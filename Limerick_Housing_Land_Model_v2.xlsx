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ory" sheetId="1" state="visible" r:id="rId3"/>
    <sheet name="Inputs" sheetId="2" state="visible" r:id="rId4"/>
    <sheet name="1 Demand" sheetId="3" state="visible" r:id="rId5"/>
    <sheet name="2 Register" sheetId="4" state="visible" r:id="rId6"/>
    <sheet name="3 Supply" sheetId="5" state="visible" r:id="rId7"/>
    <sheet name="3b Study Areas" sheetId="6" state="visible" r:id="rId8"/>
    <sheet name="4 Delivery" sheetId="7" state="visible" r:id="rId9"/>
    <sheet name="5 Land Need" sheetId="8" state="visible" r:id="rId10"/>
    <sheet name="Data_Parcels" sheetId="9" state="visible" r:id="rId11"/>
    <sheet name="Data_Perms" sheetId="10" state="visible" r:id="rId12"/>
  </sheets>
  <definedNames>
    <definedName function="false" hidden="false" name="act_old" vbProcedure="false">'4 Delivery'!$J$17</definedName>
    <definedName function="false" hidden="false" name="avg_rem" vbProcedure="false">'3b Study Areas'!$F$47</definedName>
    <definedName function="false" hidden="false" name="cc_dph_inc" vbProcedure="false">Inputs!$C$33</definedName>
    <definedName function="false" hidden="false" name="cc_share" vbProcedure="false">Inputs!$C$23</definedName>
    <definedName function="false" hidden="false" name="city_share" vbProcedure="false">Inputs!$C$16</definedName>
    <definedName function="false" hidden="false" name="cons_check" vbProcedure="false">'2 Register'!$D$27</definedName>
    <definedName function="false" hidden="false" name="c_citypct" vbProcedure="false">'5 Land Need'!$B$18</definedName>
    <definedName function="false" hidden="false" name="c_gap" vbProcedure="false">'5 Land Need'!$B$9</definedName>
    <definedName function="false" hidden="false" name="c_ha" vbProcedure="false">'5 Land Need'!$B$16</definedName>
    <definedName function="false" hidden="false" name="dens_inc" vbProcedure="false">Inputs!$C$9</definedName>
    <definedName function="false" hidden="false" name="dens_scn" vbProcedure="false">Inputs!$C$8</definedName>
    <definedName function="false" hidden="false" name="dev_share" vbProcedure="false">Inputs!$C$40</definedName>
    <definedName function="false" hidden="false" name="dm_beds" vbProcedure="false">Data_Perms!$F$2:$F$266</definedName>
    <definedName function="false" hidden="false" name="dm_body" vbProcedure="false">Data_Perms!$K$2:$K$266</definedName>
    <definedName function="false" hidden="false" name="dm_catch" vbProcedure="false">Data_Perms!$AA$2:$AA$266</definedName>
    <definedName function="false" hidden="false" name="dm_conf" vbProcedure="false">Data_Perms!$R$2:$R$266</definedName>
    <definedName function="false" hidden="false" name="dm_counted" vbProcedure="false">Data_Perms!$AG$2:$AG$266</definedName>
    <definedName function="false" hidden="false" name="dm_counts" vbProcedure="false">Data_Perms!$H$2:$H$266</definedName>
    <definedName function="false" hidden="false" name="dm_ctype" vbProcedure="false">Data_Perms!$AB$2:$AB$266</definedName>
    <definedName function="false" hidden="false" name="dm_e26" vbProcedure="false">Data_Perms!$S$2:$S$266</definedName>
    <definedName function="false" hidden="false" name="dm_e27" vbProcedure="false">Data_Perms!$T$2:$T$266</definedName>
    <definedName function="false" hidden="false" name="dm_e28" vbProcedure="false">Data_Perms!$U$2:$U$266</definedName>
    <definedName function="false" hidden="false" name="dm_e29" vbProcedure="false">Data_Perms!$V$2:$V$266</definedName>
    <definedName function="false" hidden="false" name="dm_e30" vbProcedure="false">Data_Perms!$W$2:$W$266</definedName>
    <definedName function="false" hidden="false" name="dm_e31" vbProcedure="false">Data_Perms!$X$2:$X$266</definedName>
    <definedName function="false" hidden="false" name="dm_estend" vbProcedure="false">Data_Perms!$Q$2:$Q$266</definedName>
    <definedName function="false" hidden="false" name="dm_estst" vbProcedure="false">Data_Perms!$P$2:$P$266</definedName>
    <definedName function="false" hidden="false" name="dm_expiry" vbProcedure="false">Data_Perms!$N$2:$N$266</definedName>
    <definedName function="false" hidden="false" name="dm_ey" vbProcedure="false">Data_Perms!$AF$2:$AF$266</definedName>
    <definedName function="false" hidden="false" name="dm_geo" vbProcedure="false">Data_Perms!$AC$2:$AC$266</definedName>
    <definedName function="false" hidden="false" name="dm_geodsug" vbProcedure="false">Data_Perms!$Z$2:$Z$266</definedName>
    <definedName function="false" hidden="false" name="dm_grant" vbProcedure="false">Data_Perms!$M$2:$M$266</definedName>
    <definedName function="false" hidden="false" name="dm_gy" vbProcedure="false">Data_Perms!$AD$2:$AD$266</definedName>
    <definedName function="false" hidden="false" name="dm_id" vbProcedure="false">Data_Perms!$A$2:$A$266</definedName>
    <definedName function="false" hidden="false" name="dm_live" vbProcedure="false">Data_Perms!$AH$2:$AH$266</definedName>
    <definedName function="false" hidden="false" name="dm_pid" vbProcedure="false">Data_Perms!$B$2:$B$266</definedName>
    <definedName function="false" hidden="false" name="dm_ref" vbProcedure="false">Data_Perms!$C$2:$C$266</definedName>
    <definedName function="false" hidden="false" name="dm_rel" vbProcedure="false">Data_Perms!$I$2:$I$266</definedName>
    <definedName function="false" hidden="false" name="dm_route" vbProcedure="false">Data_Perms!$L$2:$L$266</definedName>
    <definedName function="false" hidden="false" name="dm_scheme" vbProcedure="false">Data_Perms!$D$2:$D$266</definedName>
    <definedName function="false" hidden="false" name="dm_sos" vbProcedure="false">Data_Perms!$O$2:$O$266</definedName>
    <definedName function="false" hidden="false" name="dm_statsrc" vbProcedure="false">Data_Perms!$Y$2:$Y$266</definedName>
    <definedName function="false" hidden="false" name="dm_status" vbProcedure="false">Data_Perms!$G$2:$G$266</definedName>
    <definedName function="false" hidden="false" name="dm_sy" vbProcedure="false">Data_Perms!$AE$2:$AE$266</definedName>
    <definedName function="false" hidden="false" name="dm_tenure" vbProcedure="false">Data_Perms!$J$2:$J$266</definedName>
    <definedName function="false" hidden="false" name="dm_units" vbProcedure="false">Data_Perms!$E$2:$E$266</definedName>
    <definedName function="false" hidden="false" name="dp_area" vbProcedure="false">Data_Parcels!$I$2:$I$447</definedName>
    <definedName function="false" hidden="false" name="dp_band" vbProcedure="false">Data_Parcels!$H$2:$H$447</definedName>
    <definedName function="false" hidden="false" name="dp_cap" vbProcedure="false">Data_Parcels!$K$2:$K$447</definedName>
    <definedName function="false" hidden="false" name="dp_capbasis" vbProcedure="false">Data_Parcels!$L$2:$L$447</definedName>
    <definedName function="false" hidden="false" name="dp_catch" vbProcedure="false">Data_Parcels!$AK$2:$AK$447</definedName>
    <definedName function="false" hidden="false" name="dp_cbasis" vbProcedure="false">Data_Parcels!$AN$2:$AN$447</definedName>
    <definedName function="false" hidden="false" name="dp_comp" vbProcedure="false">Data_Parcels!$R$2:$R$447</definedName>
    <definedName function="false" hidden="false" name="dp_cons" vbProcedure="false">Data_Parcels!$X$2:$X$447</definedName>
    <definedName function="false" hidden="false" name="dp_cshare" vbProcedure="false">Data_Parcels!$AM$2:$AM$447</definedName>
    <definedName function="false" hidden="false" name="dp_ctype" vbProcedure="false">Data_Parcels!$AL$2:$AL$447</definedName>
    <definedName function="false" hidden="false" name="dp_dphreg" vbProcedure="false">Data_Parcels!$O$2:$O$447</definedName>
    <definedName function="false" hidden="false" name="dp_e26" vbProcedure="false">Data_Parcels!$AB$2:$AB$447</definedName>
    <definedName function="false" hidden="false" name="dp_e27" vbProcedure="false">Data_Parcels!$AC$2:$AC$447</definedName>
    <definedName function="false" hidden="false" name="dp_e28" vbProcedure="false">Data_Parcels!$AD$2:$AD$447</definedName>
    <definedName function="false" hidden="false" name="dp_e29" vbProcedure="false">Data_Parcels!$AE$2:$AE$447</definedName>
    <definedName function="false" hidden="false" name="dp_e30" vbProcedure="false">Data_Parcels!$AF$2:$AF$447</definedName>
    <definedName function="false" hidden="false" name="dp_e31" vbProcedure="false">Data_Parcels!$AG$2:$AG$447</definedName>
    <definedName function="false" hidden="false" name="dp_exp" vbProcedure="false">Data_Parcels!$V$2:$V$447</definedName>
    <definedName function="false" hidden="false" name="dp_flag" vbProcedure="false">Data_Parcels!$AI$2:$AI$447</definedName>
    <definedName function="false" hidden="false" name="dp_fut" vbProcedure="false">Data_Parcels!$AA$2:$AA$447</definedName>
    <definedName function="false" hidden="false" name="dp_geo" vbProcedure="false">Data_Parcels!$AO$2:$AO$447</definedName>
    <definedName function="false" hidden="false" name="dp_geodnew" vbProcedure="false">Data_Parcels!$AJ$2:$AJ$447</definedName>
    <definedName function="false" hidden="false" name="dp_grp" vbProcedure="false">Data_Parcels!$AP$2:$AP$447</definedName>
    <definedName function="false" hidden="false" name="dp_id" vbProcedure="false">Data_Parcels!$A$2:$A$447</definedName>
    <definedName function="false" hidden="false" name="dp_inpl" vbProcedure="false">Data_Parcels!$W$2:$W$447</definedName>
    <definedName function="false" hidden="false" name="dp_lname" vbProcedure="false">Data_Parcels!$E$2:$E$447</definedName>
    <definedName function="false" hidden="false" name="dp_mapped" vbProcedure="false">Data_Parcels!$J$2:$J$447</definedName>
    <definedName function="false" hidden="false" name="dp_nbhd" vbProcedure="false">Data_Parcels!$D$2:$D$447</definedName>
    <definedName function="false" hidden="false" name="dp_plan" vbProcedure="false">Data_Parcels!$M$2:$M$447</definedName>
    <definedName function="false" hidden="false" name="dp_pns" vbProcedure="false">Data_Parcels!$T$2:$T$447</definedName>
    <definedName function="false" hidden="false" name="dp_pstat" vbProcedure="false">Data_Parcels!$AH$2:$AH$447</definedName>
    <definedName function="false" hidden="false" name="dp_regstat" vbProcedure="false">Data_Parcels!$Q$2:$Q$447</definedName>
    <definedName function="false" hidden="false" name="dp_rzlt" vbProcedure="false">Data_Parcels!$P$2:$P$447</definedName>
    <definedName function="false" hidden="false" name="dp_scope" vbProcedure="false">Data_Parcels!$C$2:$C$447</definedName>
    <definedName function="false" hidden="false" name="dp_src" vbProcedure="false">Data_Parcels!$B$2:$B$447</definedName>
    <definedName function="false" hidden="false" name="dp_stl" vbProcedure="false">Data_Parcels!$U$2:$U$447</definedName>
    <definedName function="false" hidden="false" name="dp_stype" vbProcedure="false">Data_Parcels!$G$2:$G$447</definedName>
    <definedName function="false" hidden="false" name="dp_tier" vbProcedure="false">Data_Parcels!$N$2:$N$447</definedName>
    <definedName function="false" hidden="false" name="dp_tot" vbProcedure="false">Data_Parcels!$Z$2:$Z$447</definedName>
    <definedName function="false" hidden="false" name="dp_uarea" vbProcedure="false">Data_Parcels!$AQ$2:$AQ$447</definedName>
    <definedName function="false" hidden="false" name="dp_uc" vbProcedure="false">Data_Parcels!$S$2:$S$447</definedName>
    <definedName function="false" hidden="false" name="dp_unc" vbProcedure="false">Data_Parcels!$Y$2:$Y$447</definedName>
    <definedName function="false" hidden="false" name="dp_zoning" vbProcedure="false">Data_Parcels!$F$2:$F$447</definedName>
    <definedName function="false" hidden="false" name="d_aff" vbProcedure="false">'1 Demand'!$S$25</definedName>
    <definedName function="false" hidden="false" name="d_buy" vbProcedure="false">'1 Demand'!$X$25</definedName>
    <definedName function="false" hidden="false" name="d_prs" vbProcedure="false">'1 Demand'!$T$25</definedName>
    <definedName function="false" hidden="false" name="d_soc" vbProcedure="false">'1 Demand'!$W$25</definedName>
    <definedName function="false" hidden="false" name="fs_city" vbProcedure="false">Inputs!$C$20</definedName>
    <definedName function="false" hidden="false" name="fs_rem" vbProcedure="false">Inputs!$C$22</definedName>
    <definedName function="false" hidden="false" name="fs_set" vbProcedure="false">Inputs!$C$21</definedName>
    <definedName function="false" hidden="false" name="fs_tot" vbProcedure="false">Inputs!$C$19</definedName>
    <definedName function="false" hidden="false" name="hl_incl" vbProcedure="false">Inputs!$C$10</definedName>
    <definedName function="false" hidden="false" name="hl_total" vbProcedure="false">Inputs!$C$11</definedName>
    <definedName function="false" hidden="false" name="h_all" vbProcedure="false">Inputs!$C$56</definedName>
    <definedName function="false" hidden="false" name="h_com" vbProcedure="false">Inputs!$C$55</definedName>
    <definedName function="false" hidden="false" name="h_dis" vbProcedure="false">Inputs!$C$52</definedName>
    <definedName function="false" hidden="false" name="h_old" vbProcedure="false">Inputs!$C$53</definedName>
    <definedName function="false" hidden="false" name="h_trav" vbProcedure="false">Inputs!$C$54</definedName>
    <definedName function="false" hidden="false" name="i_citypct" vbProcedure="false">'5 Land Need'!$C$18</definedName>
    <definedName function="false" hidden="false" name="i_gap" vbProcedure="false">'5 Land Need'!$C$9</definedName>
    <definedName function="false" hidden="false" name="i_ha" vbProcedure="false">'5 Land Need'!$C$16</definedName>
    <definedName function="false" hidden="false" name="mix_Affordable1" vbProcedure="false">Inputs!$C$62</definedName>
    <definedName function="false" hidden="false" name="mix_Affordable2" vbProcedure="false">Inputs!$C$63</definedName>
    <definedName function="false" hidden="false" name="mix_Affordable3" vbProcedure="false">Inputs!$C$64</definedName>
    <definedName function="false" hidden="false" name="mix_Affordable4" vbProcedure="false">Inputs!$C$65</definedName>
    <definedName function="false" hidden="false" name="mix_Buyers1" vbProcedure="false">Inputs!$C$70</definedName>
    <definedName function="false" hidden="false" name="mix_Buyers2" vbProcedure="false">Inputs!$C$71</definedName>
    <definedName function="false" hidden="false" name="mix_Buyers3" vbProcedure="false">Inputs!$C$72</definedName>
    <definedName function="false" hidden="false" name="mix_Buyers4" vbProcedure="false">Inputs!$C$73</definedName>
    <definedName function="false" hidden="false" name="mix_Privaterented1" vbProcedure="false">Inputs!$C$66</definedName>
    <definedName function="false" hidden="false" name="mix_Privaterented2" vbProcedure="false">Inputs!$C$67</definedName>
    <definedName function="false" hidden="false" name="mix_Privaterented3" vbProcedure="false">Inputs!$C$68</definedName>
    <definedName function="false" hidden="false" name="mix_Privaterented4" vbProcedure="false">Inputs!$C$69</definedName>
    <definedName function="false" hidden="false" name="mix_Social1" vbProcedure="false">Inputs!$C$58</definedName>
    <definedName function="false" hidden="false" name="mix_Social2" vbProcedure="false">Inputs!$C$59</definedName>
    <definedName function="false" hidden="false" name="mix_Social3" vbProcedure="false">Inputs!$C$60</definedName>
    <definedName function="false" hidden="false" name="mix_Social4" vbProcedure="false">Inputs!$C$61</definedName>
    <definedName function="false" hidden="false" name="new_cty" vbProcedure="false">'5 Land Need'!$B$27</definedName>
    <definedName function="false" hidden="false" name="new_cty_ss" vbProcedure="false">Inputs!$C$37</definedName>
    <definedName function="false" hidden="false" name="new_cty_town" vbProcedure="false">Inputs!$C$36</definedName>
    <definedName function="false" hidden="false" name="new_e" vbProcedure="false">Inputs!$C$50</definedName>
    <definedName function="false" hidden="false" name="new_roc" vbProcedure="false">Inputs!$C$35</definedName>
    <definedName function="false" hidden="false" name="new_s" vbProcedure="false">Inputs!$C$49</definedName>
    <definedName function="false" hidden="false" name="o_citygap" vbProcedure="false">'5 Land Need'!$D$19</definedName>
    <definedName function="false" hidden="false" name="o_citypct" vbProcedure="false">'5 Land Need'!$D$18</definedName>
    <definedName function="false" hidden="false" name="o_gap" vbProcedure="false">'5 Land Need'!$D$9</definedName>
    <definedName function="false" hidden="false" name="o_ha" vbProcedure="false">'5 Land Need'!$D$16</definedName>
    <definedName function="false" hidden="false" name="o_ha_cc" vbProcedure="false">'5 Land Need'!$D$12</definedName>
    <definedName function="false" hidden="false" name="o_ha_city" vbProcedure="false">'5 Land Need'!$D$17</definedName>
    <definedName function="false" hidden="false" name="o_ha_rem" vbProcedure="false">'5 Land Need'!$D$15</definedName>
    <definedName function="false" hidden="false" name="o_ha_roc" vbProcedure="false">'5 Land Need'!$D$13</definedName>
    <definedName function="false" hidden="false" name="o_ha_set" vbProcedure="false">'5 Land Need'!$D$14</definedName>
    <definedName function="false" hidden="false" name="o_newcap" vbProcedure="false">'5 Land Need'!$D$11</definedName>
    <definedName function="false" hidden="false" name="o_req" vbProcedure="false">'5 Land Need'!$D$7</definedName>
    <definedName function="false" hidden="false" name="o_sup" vbProcedure="false">'5 Land Need'!$D$8</definedName>
    <definedName function="false" hidden="false" name="p31_end" vbProcedure="false">Inputs!$C$42</definedName>
    <definedName function="false" hidden="false" name="pbsa" vbProcedure="false">Inputs!$C$31</definedName>
    <definedName function="false" hidden="false" name="reg_comp" vbProcedure="false">'2 Register'!$F$19</definedName>
    <definedName function="false" hidden="false" name="reg_cons" vbProcedure="false">'2 Register'!$J$19</definedName>
    <definedName function="false" hidden="false" name="reg_fut" vbProcedure="false">'2 Register'!$M$19</definedName>
    <definedName function="false" hidden="false" name="reg_parcels" vbProcedure="false">'2 Register'!$C$19</definedName>
    <definedName function="false" hidden="false" name="reg_tot" vbProcedure="false">'2 Register'!$L$19</definedName>
    <definedName function="false" hidden="false" name="reg_unc" vbProcedure="false">'2 Register'!$K$19</definedName>
    <definedName function="false" hidden="false" name="rem_dph_ovr" vbProcedure="false">Inputs!$C$39</definedName>
    <definedName function="false" hidden="false" name="rem_share" vbProcedure="false">Inputs!$C$18</definedName>
    <definedName function="false" hidden="false" name="roc_dph_inc" vbProcedure="false">Inputs!$C$34</definedName>
    <definedName function="false" hidden="false" name="r_new" vbProcedure="false">Inputs!$C$30</definedName>
    <definedName function="false" hidden="false" name="r_pns" vbProcedure="false">Inputs!$C$26</definedName>
    <definedName function="false" hidden="false" name="r_stl" vbProcedure="false">Inputs!$C$27</definedName>
    <definedName function="false" hidden="false" name="r_uc" vbProcedure="false">Inputs!$C$25</definedName>
    <definedName function="false" hidden="false" name="r_unc" vbProcedure="false">Inputs!$C$28</definedName>
    <definedName function="false" hidden="false" name="r_zon" vbProcedure="false">Inputs!$C$29</definedName>
    <definedName function="false" hidden="false" name="sa_req" vbProcedure="false">'3b Study Areas'!$C$51</definedName>
    <definedName function="false" hidden="false" name="sc_idx" vbProcedure="false">Inputs!$C$7</definedName>
    <definedName function="false" hidden="false" name="set_dph_ovr" vbProcedure="false">Inputs!$C$38</definedName>
    <definedName function="false" hidden="false" name="set_gap" vbProcedure="false">'3b Study Areas'!$I$68</definedName>
    <definedName function="false" hidden="false" name="set_ha" vbProcedure="false">'3b Study Areas'!$M$68</definedName>
    <definedName function="false" hidden="false" name="set_newcap" vbProcedure="false">'3b Study Areas'!$L$68</definedName>
    <definedName function="false" hidden="false" name="set_share" vbProcedure="false">Inputs!$C$17</definedName>
    <definedName function="false" hidden="false" name="set_sur" vbProcedure="false">'3b Study Areas'!$J$68</definedName>
    <definedName function="false" hidden="false" name="stl_e" vbProcedure="false">Inputs!$C$44</definedName>
    <definedName function="false" hidden="false" name="stl_s" vbProcedure="false">Inputs!$C$43</definedName>
    <definedName function="false" hidden="false" name="target_total" vbProcedure="false">Inputs!$C$13</definedName>
    <definedName function="false" hidden="false" name="tenure_scn" vbProcedure="false">Inputs!$C$6</definedName>
    <definedName function="false" hidden="false" name="t_shaff" vbProcedure="false">'5 Land Need'!$C$102</definedName>
    <definedName function="false" hidden="false" name="t_shpriv" vbProcedure="false">'5 Land Need'!$D$102</definedName>
    <definedName function="false" hidden="false" name="t_shsoc" vbProcedure="false">'5 Land Need'!$B$102</definedName>
    <definedName function="false" hidden="false" name="unc_e" vbProcedure="false">Inputs!$C$46</definedName>
    <definedName function="false" hidden="false" name="unc_s" vbProcedure="false">Inputs!$C$45</definedName>
    <definedName function="false" hidden="false" name="v_avg2" vbProcedure="false">'4 Delivery'!$D$85</definedName>
    <definedName function="false" hidden="false" name="v_avg3" vbProcedure="false">'4 Delivery'!$E$85</definedName>
    <definedName function="false" hidden="false" name="v_cumgap_end" vbProcedure="false">'4 Delivery'!$Q$83</definedName>
    <definedName function="false" hidden="false" name="v_nonew_gap" vbProcedure="false">'4 Delivery'!$Q$84</definedName>
    <definedName function="false" hidden="false" name="v_peak" vbProcedure="false">'4 Delivery'!$C$87</definedName>
    <definedName function="false" hidden="false" name="v_peak_yr" vbProcedure="false">'4 Delivery'!$C$88</definedName>
    <definedName function="false" hidden="false" name="v_pipe_26_30" vbProcedure="false">'4 Delivery'!$C$85</definedName>
    <definedName function="false" hidden="false" name="v_target" vbProcedure="false">'4 Delivery'!$R$77</definedName>
    <definedName function="false" hidden="false" name="v_total" vbProcedure="false">'4 Delivery'!$R$76</definedName>
    <definedName function="false" hidden="false" name="windfall" vbProcedure="false">Inputs!$C$15</definedName>
    <definedName function="false" hidden="false" name="ytd" vbProcedure="false">Inputs!$C$14</definedName>
    <definedName function="false" hidden="false" name="zon_e" vbProcedure="false">Inputs!$C$48</definedName>
    <definedName function="false" hidden="false" name="zon_s" vbProcedure="false">Inputs!$C$47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<sst xmlns="http://schemas.openxmlformats.org/spreadsheetml/2006/main" count="10358" uniqueCount="1976">
  <si>
    <t xml:space="preserve">Limerick: is there enough zoned land to build 39,865 homes by 2040?</t>
  </si>
  <si>
    <t xml:space="preserve">Reads top to bottom: demand, what the Housing Land Register holds, where supply sits, how fast it is delivered, and how much more land to zone. Numbers are live; change levers on Inputs.</t>
  </si>
  <si>
    <t xml:space="preserve">Housing target 2026–40</t>
  </si>
  <si>
    <t xml:space="preserve">Register: homes still to build</t>
  </si>
  <si>
    <t xml:space="preserve">Deliverable by 2040 (selected)</t>
  </si>
  <si>
    <t xml:space="preserve">Shortfall against fair share</t>
  </si>
  <si>
    <t xml:space="preserve">Land to zone (ha)</t>
  </si>
  <si>
    <t xml:space="preserve">City share of new land</t>
  </si>
  <si>
    <t xml:space="preserve">1  Demand: what has to be built</t>
  </si>
  <si>
    <t xml:space="preserve">2  The register: what it holds</t>
  </si>
  <si>
    <t xml:space="preserve">Parcels hold the land and permissions hold the consents, one permission to one parcel. Only Complete, Under construction, Permitted – not started and Stalled count; Expired and In planning are kept but not counted. The register also carries a quarterly GeoDirectory check of new addresses (see 2 Register).</t>
  </si>
  <si>
    <t xml:space="preserve">3  Where the supply sits</t>
  </si>
  <si>
    <t xml:space="preserve">4  Delivery: how fast sites activate</t>
  </si>
  <si>
    <t xml:space="preserve">5  Land: how much more to zone</t>
  </si>
  <si>
    <t xml:space="preserve">6  Recommendation</t>
  </si>
  <si>
    <t xml:space="preserve">The city share follows the fair-share principle (city about 70% of the county). The split of the other 30% between settlements and the remainder is a placeholder, as are realisation rates and timing. Check them against the county land audit and the 25 open register checks.</t>
  </si>
  <si>
    <t xml:space="preserve">Charts</t>
  </si>
  <si>
    <t xml:space="preserve">Sources: Limerick Housing Land Register (GeoPackage, register file date October 2026); Limerick Interim HNDA synopsis, Spatialis, October 2026 working draft. Realisation rates, timing and the city / county fair share are working assumptions or placeholders, marked on Inputs. Source not verified for the fair share.</t>
  </si>
  <si>
    <t xml:space="preserve">Inputs and levers</t>
  </si>
  <si>
    <t xml:space="preserve">Change the yellow cells. Everything else in the workbook recalculates. Blue text = input; black = formula; green = link to another sheet.</t>
  </si>
  <si>
    <t xml:space="preserve">1  Scenario switches</t>
  </si>
  <si>
    <t xml:space="preserve">Tenure position used as the plan</t>
  </si>
  <si>
    <t xml:space="preserve">Working</t>
  </si>
  <si>
    <t xml:space="preserve">Working = the middle position from the HNDA note (sums to the Council target). Lower / Upper normalise the published range ends to the same total.</t>
  </si>
  <si>
    <t xml:space="preserve">   (index)</t>
  </si>
  <si>
    <t xml:space="preserve">Density scenario that drives the annual projection</t>
  </si>
  <si>
    <t xml:space="preserve">Current density</t>
  </si>
  <si>
    <t xml:space="preserve">Both scenarios are always shown side by side on 5 Land Need. This switch picks the one used on 4 Delivery and the Story page.</t>
  </si>
  <si>
    <t xml:space="preserve">   (1 = increased)</t>
  </si>
  <si>
    <t xml:space="preserve">Add housing-list need to social (taken from buyers)</t>
  </si>
  <si>
    <t xml:space="preserve">No</t>
  </si>
  <si>
    <t xml:space="preserve">HNDA note: 1,308 households on the list are not in the model. Yes moves them from buyers to social over 2026–35 so the total stays at target.</t>
  </si>
  <si>
    <t xml:space="preserve">   Housing-list households to add</t>
  </si>
  <si>
    <t xml:space="preserve">homes</t>
  </si>
  <si>
    <t xml:space="preserve">Source: HNDA synopsis, social demand table (housing list note). Spread evenly 2026–35.</t>
  </si>
  <si>
    <t xml:space="preserve">2  Target and fair share</t>
  </si>
  <si>
    <t xml:space="preserve">Housing target 2026–2040</t>
  </si>
  <si>
    <t xml:space="preserve">Source: HNDA synopsis (Council target for 2026–40 equals the new HNDA need). The annual figures on 1 Demand are rounded and sum to 39,864.</t>
  </si>
  <si>
    <t xml:space="preserve">Completions 1 Jan – 30 Sep 2026 not yet in the register</t>
  </si>
  <si>
    <t xml:space="preserve">Source not verified. The register holds no completion dates, so this is left at 0. Enter the figure when known.</t>
  </si>
  <si>
    <t xml:space="preserve">Supply from outside the register 2026–40 (small sites, vacancy, conversions)</t>
  </si>
  <si>
    <t xml:space="preserve">Not in the register. Left at 0 so the model reflects the register as it stands.</t>
  </si>
  <si>
    <t xml:space="preserve">City share of future demand (Limerick City ≈ 70% of the county)</t>
  </si>
  <si>
    <t xml:space="preserve">Fair-share principle from the project brief: the city is about 70% of the county, so future demand is accommodated in that proportion. Change to test other splits.</t>
  </si>
  <si>
    <t xml:space="preserve">Settlements share (the 15 key towns and large villages)</t>
  </si>
  <si>
    <t xml:space="preserve">PLACEHOLDER. Source not verified. Assumes 80% of the non-city 30% goes to the 15 settlements. Council to set from the settlement strategy.</t>
  </si>
  <si>
    <t xml:space="preserve">Remainder of county share (everywhere outside the 24 study areas)</t>
  </si>
  <si>
    <t xml:space="preserve">PLACEHOLDER. Source not verified. The other 20% of the non-city 30%.</t>
  </si>
  <si>
    <t xml:space="preserve">   Total of the three shares (should be 100%)</t>
  </si>
  <si>
    <t xml:space="preserve">The model rescales the three shares to 100% if they do not add up.</t>
  </si>
  <si>
    <t xml:space="preserve">   City share used</t>
  </si>
  <si>
    <t xml:space="preserve">   Settlements share used</t>
  </si>
  <si>
    <t xml:space="preserve">   Remainder share used</t>
  </si>
  <si>
    <t xml:space="preserve">City Centre share of the City target</t>
  </si>
  <si>
    <t xml:space="preserve">PLACEHOLDER. Source not verified. Set from the city centre strategy / Development Plan.</t>
  </si>
  <si>
    <t xml:space="preserve">3  How much of each register layer is actually built by 2040 (realisation)</t>
  </si>
  <si>
    <t xml:space="preserve">Under construction</t>
  </si>
  <si>
    <t xml:space="preserve">Working assumption.</t>
  </si>
  <si>
    <t xml:space="preserve">Permitted – not started</t>
  </si>
  <si>
    <t xml:space="preserve">Working assumption. Evidence on 4 Delivery: share of units granted 2018–23 that have started.</t>
  </si>
  <si>
    <t xml:space="preserve">Stalled</t>
  </si>
  <si>
    <t xml:space="preserve">Council audit land with no consent (unconsented capacity)</t>
  </si>
  <si>
    <t xml:space="preserve">Working assumption. These parcels have no permission yet.</t>
  </si>
  <si>
    <t xml:space="preserve">Zoned land, no consent (county estimate)</t>
  </si>
  <si>
    <t xml:space="preserve">Working assumption. Interim estimate in the register until the county audit arrives.</t>
  </si>
  <si>
    <t xml:space="preserve">Newly zoned land</t>
  </si>
  <si>
    <t xml:space="preserve">Working assumption. Applied when sizing how much land to zone.</t>
  </si>
  <si>
    <t xml:space="preserve">Student (PBSA) units counted towards the target</t>
  </si>
  <si>
    <t xml:space="preserve">The register counts PBSA units in its totals. Set to 0% if student schemes do not meet HNDA need.</t>
  </si>
  <si>
    <t xml:space="preserve">4  Density</t>
  </si>
  <si>
    <t xml:space="preserve">City Centre density in the increased scenario</t>
  </si>
  <si>
    <t xml:space="preserve">homes/ha</t>
  </si>
  <si>
    <t xml:space="preserve">Register density band for city centre parcels is "100+". Applied to unconsented audit land and to newly zoned City Centre land. 0 = no change.</t>
  </si>
  <si>
    <t xml:space="preserve">Rest of City density in the increased scenario</t>
  </si>
  <si>
    <t xml:space="preserve">0 = no change from the register capacity.</t>
  </si>
  <si>
    <t xml:space="preserve">Density on newly zoned Rest of City land</t>
  </si>
  <si>
    <t xml:space="preserve">Register: median of 39 permitted city-suburb schemes of 10+ homes (zoned-land parcels, density_basis).</t>
  </si>
  <si>
    <t xml:space="preserve">Density on newly zoned county town land (fallback)</t>
  </si>
  <si>
    <t xml:space="preserve">Register: median of 102 permitted county town and village schemes of 10+ homes.</t>
  </si>
  <si>
    <t xml:space="preserve">Density on newly zoned county serviced sites (fallback)</t>
  </si>
  <si>
    <t xml:space="preserve">Register: lower quartile of permitted county schemes, serviced-site zoning.</t>
  </si>
  <si>
    <t xml:space="preserve">Density on newly zoned settlement land: override</t>
  </si>
  <si>
    <t xml:space="preserve">0 = use the average zoning density the register already carries for each settlement (3b Study Areas), else the county blend above.</t>
  </si>
  <si>
    <t xml:space="preserve">Density on newly zoned remainder-of-county land: override</t>
  </si>
  <si>
    <t xml:space="preserve">0 = register average for the remainder, else the county blend.</t>
  </si>
  <si>
    <t xml:space="preserve">Developable share of zoned land</t>
  </si>
  <si>
    <t xml:space="preserve">Register: council city audit developable area / mapped area. Gross zoned hectares = net capacity / (density × this).</t>
  </si>
  <si>
    <t xml:space="preserve">5  Timing of delivery (even spread between the start and end years)</t>
  </si>
  <si>
    <t xml:space="preserve">Register pipeline beyond 2030: spread to</t>
  </si>
  <si>
    <t xml:space="preserve">year</t>
  </si>
  <si>
    <t xml:space="preserve">Register holds one "2031+" figure. Working assumption.</t>
  </si>
  <si>
    <t xml:space="preserve">Stalled: start year</t>
  </si>
  <si>
    <t xml:space="preserve">Stalled: end year</t>
  </si>
  <si>
    <t xml:space="preserve">Unconsented audit land: start year</t>
  </si>
  <si>
    <t xml:space="preserve">Working assumption. No permission yet, so not before the 2028 plan year.</t>
  </si>
  <si>
    <t xml:space="preserve">Unconsented audit land: end year</t>
  </si>
  <si>
    <t xml:space="preserve">Zoned land with no consent: start year</t>
  </si>
  <si>
    <t xml:space="preserve">Zoned land with no consent: end year</t>
  </si>
  <si>
    <t xml:space="preserve">Newly zoned land: first completions</t>
  </si>
  <si>
    <t xml:space="preserve">Working assumption: zoning, permission and build take until after the current plan period.</t>
  </si>
  <si>
    <t xml:space="preserve">Newly zoned land: end year</t>
  </si>
  <si>
    <t xml:space="preserve">6  Specialist need (HDAP 2027–2030 assessed need)</t>
  </si>
  <si>
    <t xml:space="preserve">Disability</t>
  </si>
  <si>
    <t xml:space="preserve">Source: HNDA synopsis, specialist shares (HDAP Tables 8 and 9).</t>
  </si>
  <si>
    <t xml:space="preserve">Older persons</t>
  </si>
  <si>
    <t xml:space="preserve">Traveller-specific</t>
  </si>
  <si>
    <t xml:space="preserve">Community dwellings (H15)</t>
  </si>
  <si>
    <t xml:space="preserve">Assessed social need, all categories</t>
  </si>
  <si>
    <t xml:space="preserve">Source: HNDA synopsis. Shares are held constant for every year.</t>
  </si>
  <si>
    <t xml:space="preserve">7  Unit mix: share of homes by size, by tenure</t>
  </si>
  <si>
    <t xml:space="preserve">Social: 1 bed / 1p</t>
  </si>
  <si>
    <t xml:space="preserve">share</t>
  </si>
  <si>
    <t xml:space="preserve">HDAP assessed social need 2027–30 (1,460 / 483 / 479 / 215 of 2,637). HNDA synopsis.</t>
  </si>
  <si>
    <t xml:space="preserve">Social: 2 bed / 2p</t>
  </si>
  <si>
    <t xml:space="preserve">Social: 3 bed / 3p</t>
  </si>
  <si>
    <t xml:space="preserve">Social: 4+ bed / 4p+</t>
  </si>
  <si>
    <t xml:space="preserve">Affordable: 1 bed / 1p</t>
  </si>
  <si>
    <t xml:space="preserve">Council planned split 2026–35 (7,739 / 9,954 / 6,000 / 8,389 of 32,082). "ph" read as persons per household; confirm with the Council.</t>
  </si>
  <si>
    <t xml:space="preserve">Affordable: 2 bed / 2p</t>
  </si>
  <si>
    <t xml:space="preserve">Affordable: 3 bed / 3p</t>
  </si>
  <si>
    <t xml:space="preserve">Affordable: 4+ bed / 4p+</t>
  </si>
  <si>
    <t xml:space="preserve">Private rented: 1 bed / 1p</t>
  </si>
  <si>
    <t xml:space="preserve">As affordable: Council planned split.</t>
  </si>
  <si>
    <t xml:space="preserve">Private rented: 2 bed / 2p</t>
  </si>
  <si>
    <t xml:space="preserve">Private rented: 3 bed / 3p</t>
  </si>
  <si>
    <t xml:space="preserve">Private rented: 4+ bed / 4p+</t>
  </si>
  <si>
    <t xml:space="preserve">Buyers: 1 bed / 1p</t>
  </si>
  <si>
    <t xml:space="preserve">Buyers: 2 bed / 2p</t>
  </si>
  <si>
    <t xml:space="preserve">Buyers: 3 bed / 3p</t>
  </si>
  <si>
    <t xml:space="preserve">Buyers: 4+ bed / 4p+</t>
  </si>
  <si>
    <t xml:space="preserve">8  Legend</t>
  </si>
  <si>
    <t xml:space="preserve">Yellow cell, blue text: an input you can change.</t>
  </si>
  <si>
    <t xml:space="preserve">Black text: formula. Green text: link to another sheet.</t>
  </si>
  <si>
    <t xml:space="preserve">1  Demand: what Limerick has to build, 2026–2040</t>
  </si>
  <si>
    <t xml:space="preserve">Target, tenure, unit mix and specialist need from the Limerick Interim HNDA synopsis (Spatialis, October 2026 working draft). The rest of the workbook uses these totals.</t>
  </si>
  <si>
    <t xml:space="preserve">A  Housing target by year and tenure (hard-coded from the HNDA synopsis, summary table 1)</t>
  </si>
  <si>
    <t xml:space="preserve">Year</t>
  </si>
  <si>
    <t xml:space="preserve">Core Strat. HST</t>
  </si>
  <si>
    <t xml:space="preserve">New HNDA need</t>
  </si>
  <si>
    <t xml:space="preserve">Council target</t>
  </si>
  <si>
    <t xml:space="preserve">Social
Lower</t>
  </si>
  <si>
    <t xml:space="preserve">Social
Working</t>
  </si>
  <si>
    <t xml:space="preserve">Social
Upper</t>
  </si>
  <si>
    <t xml:space="preserve">Afford.
Lower</t>
  </si>
  <si>
    <t xml:space="preserve">Afford.
Working</t>
  </si>
  <si>
    <t xml:space="preserve">Afford.
Upper</t>
  </si>
  <si>
    <t xml:space="preserve">PRS
Lower</t>
  </si>
  <si>
    <t xml:space="preserve">PRS
Working</t>
  </si>
  <si>
    <t xml:space="preserve">PRS
Upper</t>
  </si>
  <si>
    <t xml:space="preserve">Buyers
Lower</t>
  </si>
  <si>
    <t xml:space="preserve">Buyers
Working</t>
  </si>
  <si>
    <t xml:space="preserve">Buyers
Upper</t>
  </si>
  <si>
    <t xml:space="preserve">Social
(plan)</t>
  </si>
  <si>
    <t xml:space="preserve">Affordable
(plan)</t>
  </si>
  <si>
    <t xml:space="preserve">Private rented
(plan)</t>
  </si>
  <si>
    <t xml:space="preserve">Buyers
(plan)</t>
  </si>
  <si>
    <t xml:space="preserve">Housing list
uplift</t>
  </si>
  <si>
    <t xml:space="preserve">Social
(final)</t>
  </si>
  <si>
    <t xml:space="preserve">Buyers
(final)</t>
  </si>
  <si>
    <t xml:space="preserve">Total
(check)</t>
  </si>
  <si>
    <t xml:space="preserve">2026–28</t>
  </si>
  <si>
    <t xml:space="preserve">2029–35</t>
  </si>
  <si>
    <t xml:space="preserve">2036–40</t>
  </si>
  <si>
    <t xml:space="preserve">2026–40</t>
  </si>
  <si>
    <t xml:space="preserve">Share of total</t>
  </si>
  <si>
    <t xml:space="preserve">Source: HNDA synopsis, "Housing target by year and tenure". Council target 2026–35 is the front-loaded profile (32,082); 2036–40 is reduced so 2026–40 equals the new HNDA need of 39,865. Lower and upper are the ends of the Council's published range per tenure. Working is a Spatialis working assumption, not a Council figure. Plan columns normalise the chosen position to the Council target each year, so Lower and Upper still sum to the target. The published 2026–40 total is 39,865; the rounded annual figures sum to 39,864 (shown in row 25). Core Strategy HST: Development Plan 2022–2028, 2,598 a year; no later adopted all-tenure target in the source documents.</t>
  </si>
  <si>
    <t xml:space="preserve">B  Social demand and specialist need (shares from the HDAP assessment on Inputs)</t>
  </si>
  <si>
    <t xml:space="preserve">Social (final)</t>
  </si>
  <si>
    <t xml:space="preserve">General needs</t>
  </si>
  <si>
    <t xml:space="preserve">HDAP social planned</t>
  </si>
  <si>
    <t xml:space="preserve">Share</t>
  </si>
  <si>
    <t xml:space="preserve">Memo: specialist need if the housing list is added to social (HNDA note basis)</t>
  </si>
  <si>
    <t xml:space="preserve">Source: HNDA synopsis "Social housing demand by need type". Specialist categories may overlap (an older person with a disability); the HDAP counts them separately. HDAP social planned 2027–30 (all categories) is 2,807 in the HNDA note; the planned specialist homes are disability 164, older persons 202, Traveller-specific 9, community dwellings 42. The housing-list range checks in the note suggest older-person need could be 18.7% of social rather than 10.7%.</t>
  </si>
  <si>
    <t xml:space="preserve">C  Unit mix 2026–2040: what each tenure needs, set from the mix table on Inputs</t>
  </si>
  <si>
    <t xml:space="preserve">Tenure</t>
  </si>
  <si>
    <t xml:space="preserve">Homes 2026–40</t>
  </si>
  <si>
    <t xml:space="preserve">1 bed / 1p</t>
  </si>
  <si>
    <t xml:space="preserve">2 bed / 2p</t>
  </si>
  <si>
    <t xml:space="preserve">3 bed / 3p</t>
  </si>
  <si>
    <t xml:space="preserve">4+ bed</t>
  </si>
  <si>
    <t xml:space="preserve">1 bed %</t>
  </si>
  <si>
    <t xml:space="preserve">2 bed %</t>
  </si>
  <si>
    <t xml:space="preserve">3 bed %</t>
  </si>
  <si>
    <t xml:space="preserve">4+ bed %</t>
  </si>
  <si>
    <t xml:space="preserve">Social</t>
  </si>
  <si>
    <t xml:space="preserve">Affordable</t>
  </si>
  <si>
    <t xml:space="preserve">Private rented</t>
  </si>
  <si>
    <t xml:space="preserve">Buyers</t>
  </si>
  <si>
    <t xml:space="preserve">Need-based mix, all tenures</t>
  </si>
  <si>
    <t xml:space="preserve">Council planned mix 2026–35</t>
  </si>
  <si>
    <t xml:space="preserve">Difference (points)</t>
  </si>
  <si>
    <t xml:space="preserve">Source for the planned mix: HNDA synopsis, Interim HNDA Bed Split sheet (categories read as persons per household, not confirmed as bedrooms). Social need uses the HDAP assessed need shares; the other tenures use the Council planned split because no better source exists. The housing-list and HDAP evidence says social need is mostly one-bed (55% of HDAP assessed need; 47% of the list).</t>
  </si>
  <si>
    <t xml:space="preserve">2  The Housing Land Register: what it holds and how it is divided</t>
  </si>
  <si>
    <t xml:space="preserve">Limerick Housing Land Register (GeoPackage): 446 parcels, 265 permissions, quarterly GeoDirectory check. All numbers below are live formulas on the Data sheets.</t>
  </si>
  <si>
    <t xml:space="preserve">A  Structure: parcels carry the land, permissions carry the consents</t>
  </si>
  <si>
    <t xml:space="preserve">Parcels</t>
  </si>
  <si>
    <t xml:space="preserve">One row per piece of land. Four kinds: Council audit parcels (the city land audit, ref CITY-n); reinstated audit parcels; consent parcels outside the audit (PC-ref, drawn from the planning boundary); and zoned-land estimates for new residential zoning with no consent (interim until the county audit replaces them).</t>
  </si>
  <si>
    <t xml:space="preserve">Permissions</t>
  </si>
  <si>
    <t xml:space="preserve">One row per permission, each on exactly one parcel. Only Complete, Under construction, Permitted – not started and Stalled count as consented. Expired and In planning are held but not counted.</t>
  </si>
  <si>
    <t xml:space="preserve">Totals</t>
  </si>
  <si>
    <t xml:space="preserve">Consented units + unconsented capacity (council capacity less consented units, floored at zero) = total supply. Future supply = total supply less homes already complete. Totals are calculated, never typed, with no double counting.</t>
  </si>
  <si>
    <t xml:space="preserve">Progress</t>
  </si>
  <si>
    <t xml:space="preserve">Status comes from CIS and building control. GeoDirectory moves a scheme to Complete when new built addresses reach 95% of its units. Each quarter the build is rerun and mismatches go to the register_checks list.</t>
  </si>
  <si>
    <t xml:space="preserve">B  Parcels by source and scope</t>
  </si>
  <si>
    <t xml:space="preserve">Parcel source</t>
  </si>
  <si>
    <t xml:space="preserve">Scope</t>
  </si>
  <si>
    <t xml:space="preserve">Developable ha</t>
  </si>
  <si>
    <t xml:space="preserve">Council / zoning capacity</t>
  </si>
  <si>
    <t xml:space="preserve">Complete</t>
  </si>
  <si>
    <t xml:space="preserve">Under constr.</t>
  </si>
  <si>
    <t xml:space="preserve">Permitted not started</t>
  </si>
  <si>
    <t xml:space="preserve">Consented</t>
  </si>
  <si>
    <t xml:space="preserve">Unconsented capacity</t>
  </si>
  <si>
    <t xml:space="preserve">Total supply</t>
  </si>
  <si>
    <t xml:space="preserve">Future supply</t>
  </si>
  <si>
    <t xml:space="preserve">Council audit</t>
  </si>
  <si>
    <t xml:space="preserve">City</t>
  </si>
  <si>
    <t xml:space="preserve">Council audit – reinstated</t>
  </si>
  <si>
    <t xml:space="preserve">Planning consent – not in council audit</t>
  </si>
  <si>
    <t xml:space="preserve">Zoned land – no consent (estimate)</t>
  </si>
  <si>
    <t xml:space="preserve">County</t>
  </si>
  <si>
    <t xml:space="preserve">Register total</t>
  </si>
  <si>
    <t xml:space="preserve">C  Consent tracking: permissions by status</t>
  </si>
  <si>
    <t xml:space="preserve">Status</t>
  </si>
  <si>
    <t xml:space="preserve">Counts toward totals?</t>
  </si>
  <si>
    <t xml:space="preserve">Units</t>
  </si>
  <si>
    <t xml:space="preserve">% of counted units</t>
  </si>
  <si>
    <t xml:space="preserve">Student bedspaces (memo)</t>
  </si>
  <si>
    <t xml:space="preserve">Yes</t>
  </si>
  <si>
    <t xml:space="preserve">Consented (counted)</t>
  </si>
  <si>
    <t xml:space="preserve">Expired – not started</t>
  </si>
  <si>
    <t xml:space="preserve">In planning</t>
  </si>
  <si>
    <t xml:space="preserve">Check: counted units equal the parcel-level consented total</t>
  </si>
  <si>
    <t xml:space="preserve">D  Parcel progress and evidence on the ground</t>
  </si>
  <si>
    <t xml:space="preserve">Parcel status (register)</t>
  </si>
  <si>
    <t xml:space="preserve">Of which City</t>
  </si>
  <si>
    <t xml:space="preserve">Of which County</t>
  </si>
  <si>
    <t xml:space="preserve">Built out</t>
  </si>
  <si>
    <t xml:space="preserve">Partly built</t>
  </si>
  <si>
    <t xml:space="preserve">Consented – not built</t>
  </si>
  <si>
    <t xml:space="preserve">No consent</t>
  </si>
  <si>
    <t xml:space="preserve">GeoDirectory new residential addresses on register parcels since 2019</t>
  </si>
  <si>
    <t xml:space="preserve">Consented parcels flagged "Consented above capacity" (council capacity below consent)</t>
  </si>
  <si>
    <t xml:space="preserve">E  Open data checks in the register (register_checks sheet)</t>
  </si>
  <si>
    <t xml:space="preserve">Check</t>
  </si>
  <si>
    <t xml:space="preserve">Count</t>
  </si>
  <si>
    <t xml:space="preserve">GeoDirectory: Fewer addresses than units – check</t>
  </si>
  <si>
    <t xml:space="preserve">GeoDirectory: No new addresses found – check location</t>
  </si>
  <si>
    <t xml:space="preserve">GeoDirectory: Under construction – check</t>
  </si>
  <si>
    <t xml:space="preserve">Counts typed from the register_checks table at the file date. Each one needs a person to confirm status or location; they do not change totals until confirmed.</t>
  </si>
  <si>
    <t xml:space="preserve">3  Land supply: capacity, pipeline and progress by location</t>
  </si>
  <si>
    <t xml:space="preserve">City Centre, rest of the city, the 15 settlements and the remainder of the county. Live formulas on Data_Parcels and Data_Perms. Area-by-area detail is on 3b Study Areas.</t>
  </si>
  <si>
    <t xml:space="preserve">A  Register position by location</t>
  </si>
  <si>
    <t xml:space="preserve">Location</t>
  </si>
  <si>
    <t xml:space="preserve">Capacity (audit + zoning est.)</t>
  </si>
  <si>
    <t xml:space="preserve">Future supply (not yet built)</t>
  </si>
  <si>
    <t xml:space="preserve">% of future supply</t>
  </si>
  <si>
    <t xml:space="preserve">Memo: expired + in planning (not counted)</t>
  </si>
  <si>
    <t xml:space="preserve">City Centre</t>
  </si>
  <si>
    <t xml:space="preserve">Rest of City</t>
  </si>
  <si>
    <t xml:space="preserve">City total</t>
  </si>
  <si>
    <t xml:space="preserve">Settlements (15)</t>
  </si>
  <si>
    <t xml:space="preserve">Remainder of county</t>
  </si>
  <si>
    <t xml:space="preserve">County total</t>
  </si>
  <si>
    <t xml:space="preserve">Check against register tab</t>
  </si>
  <si>
    <t xml:space="preserve">City Centre = parcels in the City Centre neighbourhood. Rest of City = the other eight city neighbourhoods. Settlements = parcels assigned to one of the 15 study settlements (6 key towns, 9 large villages). Remainder = county parcels outside every study catchment. Capacity is blank on consent parcels (their capacity is the consented units).</t>
  </si>
  <si>
    <t xml:space="preserve">B  Future supply by layer (homes still to be built)</t>
  </si>
  <si>
    <t xml:space="preserve">Layer</t>
  </si>
  <si>
    <t xml:space="preserve">Settlements</t>
  </si>
  <si>
    <t xml:space="preserve">Remainder of County</t>
  </si>
  <si>
    <t xml:space="preserve">Total</t>
  </si>
  <si>
    <t xml:space="preserve">% of total</t>
  </si>
  <si>
    <t xml:space="preserve">Consented pipeline: under construction</t>
  </si>
  <si>
    <t xml:space="preserve">Consented pipeline: permitted, not started</t>
  </si>
  <si>
    <t xml:space="preserve">Consented pipeline: stalled</t>
  </si>
  <si>
    <t xml:space="preserve">Council audit land, no consent</t>
  </si>
  <si>
    <t xml:space="preserve">Zoned land, no consent (estimate)</t>
  </si>
  <si>
    <t xml:space="preserve">Consent parcels outside the audit: unconsented capacity</t>
  </si>
  <si>
    <t xml:space="preserve">Check: layers less future supply in table A</t>
  </si>
  <si>
    <t xml:space="preserve">C  City neighbourhoods and county</t>
  </si>
  <si>
    <t xml:space="preserve">Neighbourhood / area</t>
  </si>
  <si>
    <t xml:space="preserve">Developable ha (audit)</t>
  </si>
  <si>
    <t xml:space="preserve">Audit capacity</t>
  </si>
  <si>
    <t xml:space="preserve">Effective density, audit land (homes/ha)</t>
  </si>
  <si>
    <t xml:space="preserve">Caherdavin</t>
  </si>
  <si>
    <t xml:space="preserve">Castletroy/Annacotty</t>
  </si>
  <si>
    <t xml:space="preserve">Dooradoyle</t>
  </si>
  <si>
    <t xml:space="preserve">Southhill</t>
  </si>
  <si>
    <t xml:space="preserve">Singland/Garryowen</t>
  </si>
  <si>
    <t xml:space="preserve">Corbally/Grove Island</t>
  </si>
  <si>
    <t xml:space="preserve">Ballinacurra</t>
  </si>
  <si>
    <t xml:space="preserve">Kings Island</t>
  </si>
  <si>
    <t xml:space="preserve">n/a (zoning estimates)</t>
  </si>
  <si>
    <t xml:space="preserve">D  Density the register assumes on unconsented land</t>
  </si>
  <si>
    <t xml:space="preserve">Measure</t>
  </si>
  <si>
    <t xml:space="preserve">Unconsented audit capacity (homes)</t>
  </si>
  <si>
    <t xml:space="preserve">Unconsented developable area (ha)</t>
  </si>
  <si>
    <t xml:space="preserve">Effective density on that land (homes/ha)</t>
  </si>
  <si>
    <t xml:space="preserve">Zoned-land (no consent) capacity (homes)</t>
  </si>
  <si>
    <t xml:space="preserve">Zoned-land area (ha)</t>
  </si>
  <si>
    <t xml:space="preserve">Average zoning density on that land (homes/ha)</t>
  </si>
  <si>
    <t xml:space="preserve">The register caps capacity at a council estimate (area × density band). The City Centre's largest parcel carries the "100+" band but a capacity that works out at far fewer homes per hectare. That is the gap the density lever on Inputs tests.</t>
  </si>
  <si>
    <t xml:space="preserve">E  Consented pipeline by tenure, delivery body and route (not yet complete)</t>
  </si>
  <si>
    <t xml:space="preserve">Affordable / cost rental</t>
  </si>
  <si>
    <t xml:space="preserve">Market (incl. Part V)</t>
  </si>
  <si>
    <t xml:space="preserve">Student (PBSA)</t>
  </si>
  <si>
    <t xml:space="preserve">Delivery body</t>
  </si>
  <si>
    <t xml:space="preserve">Planning route</t>
  </si>
  <si>
    <t xml:space="preserve">Private</t>
  </si>
  <si>
    <t xml:space="preserve">Standard planning application</t>
  </si>
  <si>
    <t xml:space="preserve">Local authority</t>
  </si>
  <si>
    <t xml:space="preserve">LRD</t>
  </si>
  <si>
    <t xml:space="preserve">Approved housing body</t>
  </si>
  <si>
    <t xml:space="preserve">Part 8 / council</t>
  </si>
  <si>
    <t xml:space="preserve">Land Development Agency</t>
  </si>
  <si>
    <t xml:space="preserve">SHD (An Bord Pleanála)</t>
  </si>
  <si>
    <t xml:space="preserve">F  Strategic sites: largest parcels by future supply (list fixed when the model was built)</t>
  </si>
  <si>
    <t xml:space="preserve">Parcel</t>
  </si>
  <si>
    <t xml:space="preserve">Local name</t>
  </si>
  <si>
    <t xml:space="preserve">Zoning</t>
  </si>
  <si>
    <t xml:space="preserve">Site type</t>
  </si>
  <si>
    <t xml:space="preserve">Capacity</t>
  </si>
  <si>
    <t xml:space="preserve">Unconsented</t>
  </si>
  <si>
    <t xml:space="preserve">Effective homes/ha</t>
  </si>
  <si>
    <t xml:space="preserve">CITY-107</t>
  </si>
  <si>
    <t xml:space="preserve">CITY-144</t>
  </si>
  <si>
    <t xml:space="preserve">CITY-57</t>
  </si>
  <si>
    <t xml:space="preserve">CITY-22</t>
  </si>
  <si>
    <t xml:space="preserve">CITY-71</t>
  </si>
  <si>
    <t xml:space="preserve">CITY-151</t>
  </si>
  <si>
    <t xml:space="preserve">CITY-7</t>
  </si>
  <si>
    <t xml:space="preserve">CITY-76</t>
  </si>
  <si>
    <t xml:space="preserve">CITY-136</t>
  </si>
  <si>
    <t xml:space="preserve">CITY-70</t>
  </si>
  <si>
    <t xml:space="preserve">CITY-133</t>
  </si>
  <si>
    <t xml:space="preserve">CITY-69</t>
  </si>
  <si>
    <t xml:space="preserve">3b  Study areas: land capacity and consents for the 24 areas and the county remainder</t>
  </si>
  <si>
    <t xml:space="preserve">9 city neighbourhoods, 6 key towns, 9 large villages (15 settlements) and everything outside them. Each parcel sits in the one catchment it overlaps most (as in the register catchment_summary).</t>
  </si>
  <si>
    <t xml:space="preserve">A  Capacity and consents by study area</t>
  </si>
  <si>
    <t xml:space="preserve">Study area</t>
  </si>
  <si>
    <t xml:space="preserve">Type</t>
  </si>
  <si>
    <t xml:space="preserve">of which zoned-land estimate</t>
  </si>
  <si>
    <t xml:space="preserve">Consented share of total supply</t>
  </si>
  <si>
    <t xml:space="preserve">Consented, not yet built, share of future supply</t>
  </si>
  <si>
    <t xml:space="preserve">Memo: expired + in planning</t>
  </si>
  <si>
    <t xml:space="preserve">New GeoDirectory addresses since 2019</t>
  </si>
  <si>
    <t xml:space="preserve">Effective weight (helper)</t>
  </si>
  <si>
    <t xml:space="preserve">City neighbourhood</t>
  </si>
  <si>
    <t xml:space="preserve">Newcastle West</t>
  </si>
  <si>
    <t xml:space="preserve">Key town</t>
  </si>
  <si>
    <t xml:space="preserve">Abbeyfeale</t>
  </si>
  <si>
    <t xml:space="preserve">Rathkeale</t>
  </si>
  <si>
    <t xml:space="preserve">Kilmallock</t>
  </si>
  <si>
    <t xml:space="preserve">Castleconnell</t>
  </si>
  <si>
    <t xml:space="preserve">Caherconlish</t>
  </si>
  <si>
    <t xml:space="preserve">Adare</t>
  </si>
  <si>
    <t xml:space="preserve">Large village</t>
  </si>
  <si>
    <t xml:space="preserve">Askeaton</t>
  </si>
  <si>
    <t xml:space="preserve">Bruff</t>
  </si>
  <si>
    <t xml:space="preserve">Cappamore</t>
  </si>
  <si>
    <t xml:space="preserve">Croom</t>
  </si>
  <si>
    <t xml:space="preserve">Hospital</t>
  </si>
  <si>
    <t xml:space="preserve">Kilfinnane</t>
  </si>
  <si>
    <t xml:space="preserve">Moroe</t>
  </si>
  <si>
    <t xml:space="preserve">Patrickswell</t>
  </si>
  <si>
    <t xml:space="preserve">Rest of county</t>
  </si>
  <si>
    <t xml:space="preserve">Total, all areas</t>
  </si>
  <si>
    <t xml:space="preserve">Check against register (future supply)</t>
  </si>
  <si>
    <t xml:space="preserve">Subtotal by type</t>
  </si>
  <si>
    <t xml:space="preserve">Askeaton is one of the 15 study settlements but the register has no parcels in its catchment, so it shows zero. Edge-of-settlement parcels (within 500 m) are assigned to the nearest settlement by the register. Totals reconcile to the register catchment_summary.</t>
  </si>
  <si>
    <t xml:space="preserve">B  Average zoning density the register carries for zoned land (homes per net hectare)</t>
  </si>
  <si>
    <t xml:space="preserve">Area type</t>
  </si>
  <si>
    <t xml:space="preserve">Zoned parcels</t>
  </si>
  <si>
    <t xml:space="preserve">Zoned area (ha)</t>
  </si>
  <si>
    <t xml:space="preserve">Zoned capacity (homes)</t>
  </si>
  <si>
    <t xml:space="preserve">Average zoning density</t>
  </si>
  <si>
    <t xml:space="preserve">City neighbourhoods</t>
  </si>
  <si>
    <t xml:space="preserve">Key towns</t>
  </si>
  <si>
    <t xml:space="preserve">Large villages</t>
  </si>
  <si>
    <t xml:space="preserve">Zoned-land capacity in the register = zoned area × developable share × density, using the median of permitted schemes (25 homes/ha towns and villages, 19 serviced sites, 34 city suburbs). The average here is the net density the register already applies and is the default for newly zoned land.</t>
  </si>
  <si>
    <t xml:space="preserve">C  Settlements: fair-share requirement, supply and land to zone (the 15 settlements, not netted against each other)</t>
  </si>
  <si>
    <t xml:space="preserve">Settlements requirement to 2040 (homes)</t>
  </si>
  <si>
    <t xml:space="preserve">Settlement</t>
  </si>
  <si>
    <t xml:space="preserve">Future supply (register)</t>
  </si>
  <si>
    <t xml:space="preserve">Default share (pro rata to supply)</t>
  </si>
  <si>
    <t xml:space="preserve">Override share (optional)</t>
  </si>
  <si>
    <t xml:space="preserve">Share used</t>
  </si>
  <si>
    <t xml:space="preserve">Requirement (homes)</t>
  </si>
  <si>
    <t xml:space="preserve">Deliverable by 2040</t>
  </si>
  <si>
    <t xml:space="preserve">Shortfall</t>
  </si>
  <si>
    <t xml:space="preserve">Surplus</t>
  </si>
  <si>
    <t xml:space="preserve">Density on new land (homes/ha)</t>
  </si>
  <si>
    <t xml:space="preserve">New capacity needed (after realisation)</t>
  </si>
  <si>
    <t xml:space="preserve">Total, 15 settlements</t>
  </si>
  <si>
    <t xml:space="preserve">Default share is each settlement's share of the 15 settlements' future supply, so it only shows where the register already has capacity. Type a share in column E to override (the shares used are rescaled to 100%). Replace with the Core Strategy settlement allocation when available. Deliverable uses the realisation rates on Inputs; settlements with no zoned land in the register use the county blend density.</t>
  </si>
  <si>
    <t xml:space="preserve">4  Delivery: activation trends and the projected path to 2040</t>
  </si>
  <si>
    <t xml:space="preserve">How fast consented sites have started, then the year-by-year path from the register against the Council target (density scenario selected on Inputs).</t>
  </si>
  <si>
    <t xml:space="preserve">A  Site activation: what happened to permissions granted each year</t>
  </si>
  <si>
    <t xml:space="preserve">Year permission granted</t>
  </si>
  <si>
    <t xml:space="preserve">Units granted</t>
  </si>
  <si>
    <t xml:space="preserve">Started (sum)</t>
  </si>
  <si>
    <t xml:space="preserve">Expired not started</t>
  </si>
  <si>
    <t xml:space="preserve">% started</t>
  </si>
  <si>
    <t xml:space="preserve">Starts on site in year (units)</t>
  </si>
  <si>
    <t xml:space="preserve">Permissions started in year</t>
  </si>
  <si>
    <t xml:space="preserve">2018–2026</t>
  </si>
  <si>
    <t xml:space="preserve">Permissions granted 2018–2023 (at least three years old)</t>
  </si>
  <si>
    <t xml:space="preserve">← share of older permissions that have started: the evidence behind the "permitted, not started" realisation rate on Inputs</t>
  </si>
  <si>
    <t xml:space="preserve">Permissions without a grant date (In planning, and a few completed or pre-CIS schemes) are not in this table. Starts use the start-on-site date in the register; stalled units count as started because work began.</t>
  </si>
  <si>
    <t xml:space="preserve">Permitted, not started: units by expiry year</t>
  </si>
  <si>
    <t xml:space="preserve">2026</t>
  </si>
  <si>
    <t xml:space="preserve">2027</t>
  </si>
  <si>
    <t xml:space="preserve">2028</t>
  </si>
  <si>
    <t xml:space="preserve">2029</t>
  </si>
  <si>
    <t xml:space="preserve">2030</t>
  </si>
  <si>
    <t xml:space="preserve">2031+</t>
  </si>
  <si>
    <t xml:space="preserve">No expiry date</t>
  </si>
  <si>
    <t xml:space="preserve">Units at risk of lapsing</t>
  </si>
  <si>
    <t xml:space="preserve">B  Timing profiles (even spread between start and end year, set on Inputs)</t>
  </si>
  <si>
    <t xml:space="preserve">Register pipeline beyond 2030</t>
  </si>
  <si>
    <t xml:space="preserve">Zoned land, no consent</t>
  </si>
  <si>
    <t xml:space="preserve">Outside-register supply (even over 15 years)</t>
  </si>
  <si>
    <t xml:space="preserve">C  Projected delivery by location against the Council target (selected density scenario)</t>
  </si>
  <si>
    <t xml:space="preserve">Scenario shown:</t>
  </si>
  <si>
    <t xml:space="preserve">Homes</t>
  </si>
  <si>
    <t xml:space="preserve">Pipeline scale</t>
  </si>
  <si>
    <t xml:space="preserve">Consented pipeline (under construction + permitted)</t>
  </si>
  <si>
    <t xml:space="preserve">Council audit land + density uplift</t>
  </si>
  <si>
    <t xml:space="preserve">Zoned land (no consent) + density uplift</t>
  </si>
  <si>
    <t xml:space="preserve">City Centre: total delivery</t>
  </si>
  <si>
    <t xml:space="preserve">City Centre: fair-share target (Council profile)</t>
  </si>
  <si>
    <t xml:space="preserve">Rest of City: total delivery</t>
  </si>
  <si>
    <t xml:space="preserve">Rest of City: fair-share target (Council profile)</t>
  </si>
  <si>
    <t xml:space="preserve">Settlements: total delivery</t>
  </si>
  <si>
    <t xml:space="preserve">Settlements: fair-share target (Council profile)</t>
  </si>
  <si>
    <t xml:space="preserve">Remainder of County: total delivery</t>
  </si>
  <si>
    <t xml:space="preserve">Remainder of County: fair-share target (Council profile)</t>
  </si>
  <si>
    <t xml:space="preserve">D  All locations</t>
  </si>
  <si>
    <t xml:space="preserve">Register pipeline, audit and zoned land (all locations)</t>
  </si>
  <si>
    <t xml:space="preserve">Completions to date in 2026 (not in register)</t>
  </si>
  <si>
    <t xml:space="preserve">Supply from outside the register</t>
  </si>
  <si>
    <t xml:space="preserve">Total projected delivery</t>
  </si>
  <si>
    <t xml:space="preserve">Council target (front-loaded profile)</t>
  </si>
  <si>
    <t xml:space="preserve">New HNDA need (modelled)</t>
  </si>
  <si>
    <t xml:space="preserve">Annual surplus / (shortfall) against Council target</t>
  </si>
  <si>
    <t xml:space="preserve">Delivery without any new zoning, against Council target</t>
  </si>
  <si>
    <t xml:space="preserve">Cumulative delivery</t>
  </si>
  <si>
    <t xml:space="preserve">Cumulative Council target</t>
  </si>
  <si>
    <t xml:space="preserve">Cumulative surplus / (shortfall)</t>
  </si>
  <si>
    <t xml:space="preserve">Cumulative shortfall if no new land is zoned</t>
  </si>
  <si>
    <t xml:space="preserve">Average annual delivery 2026–30 / 2031–35 / 2036–40</t>
  </si>
  <si>
    <t xml:space="preserve">The Council target is front-loaded (4,263 a year to 2030, then lower) and the register pipeline cannot match it in the early years even if total supply reaches the 2040 target. New zoning is sized to close the 2040 total; it is delivered from the first-completions year set on Inputs, so it does not fix the early shortfall.</t>
  </si>
  <si>
    <t xml:space="preserve">Largest cumulative shortfall against the Council profile</t>
  </si>
  <si>
    <t xml:space="preserve">Year of largest cumulative shortfall</t>
  </si>
  <si>
    <t xml:space="preserve">5  Land need: how much more land to zone, and where</t>
  </si>
  <si>
    <t xml:space="preserve">Fair-share requirement by area against what the register can deliver by 2040, at current and at increased density. Change the city / settlements / remainder split and densities on Inputs.</t>
  </si>
  <si>
    <t xml:space="preserve">A  Headline</t>
  </si>
  <si>
    <t xml:space="preserve">Increased density</t>
  </si>
  <si>
    <t xml:space="preserve">Selected</t>
  </si>
  <si>
    <t xml:space="preserve">Requirement 2026–40 (homes)</t>
  </si>
  <si>
    <t xml:space="preserve">Deliverable from the register by 2040</t>
  </si>
  <si>
    <t xml:space="preserve">Shortfall against fair share, summed by area</t>
  </si>
  <si>
    <t xml:space="preserve">Surplus in areas ahead of fair share (not transferred)</t>
  </si>
  <si>
    <t xml:space="preserve">New zoned capacity needed (homes)</t>
  </si>
  <si>
    <t xml:space="preserve">Land to zone: City Centre (ha)</t>
  </si>
  <si>
    <t xml:space="preserve">Land to zone: Rest of City (ha)</t>
  </si>
  <si>
    <t xml:space="preserve">Land to zone: Settlements (ha)</t>
  </si>
  <si>
    <t xml:space="preserve">Land to zone: Remainder of county (ha)</t>
  </si>
  <si>
    <t xml:space="preserve">Land to zone: total (ha)</t>
  </si>
  <si>
    <t xml:space="preserve">Land to zone in the city (Centre + Rest of City, ha)</t>
  </si>
  <si>
    <t xml:space="preserve">City share of the homes still to be found</t>
  </si>
  <si>
    <t xml:space="preserve">Land saved by the density lever (ha)</t>
  </si>
  <si>
    <t xml:space="preserve">Shortfall is measured against each area's fair share and is not netted across areas: a surplus in one settlement does not cover a shortfall in another, and a surplus in the city does not cover the county. Realisation rates, density and the split are levers on Inputs.</t>
  </si>
  <si>
    <t xml:space="preserve">Serviced-site share of county zoned area (register)</t>
  </si>
  <si>
    <t xml:space="preserve">Blended density on new county land, fallback (homes/ha)</t>
  </si>
  <si>
    <t xml:space="preserve">B  Current density: register capacity as it stands</t>
  </si>
  <si>
    <t xml:space="preserve">Homes unless stated</t>
  </si>
  <si>
    <t xml:space="preserve">City (Centre + Rest)</t>
  </si>
  <si>
    <t xml:space="preserve">Fair share of the target</t>
  </si>
  <si>
    <t xml:space="preserve">Requirement 2026–40 (net of completions to date and outside supply)</t>
  </si>
  <si>
    <t xml:space="preserve">Consented: under construction × realisation</t>
  </si>
  <si>
    <t xml:space="preserve">Consented: permitted, not started × realisation</t>
  </si>
  <si>
    <t xml:space="preserve">Consented: stalled × realisation</t>
  </si>
  <si>
    <t xml:space="preserve">Less: student (PBSA) units not counted</t>
  </si>
  <si>
    <t xml:space="preserve">Council audit land, no consent × realisation (register capacity)</t>
  </si>
  <si>
    <t xml:space="preserve">Density uplift on audit land × realisation</t>
  </si>
  <si>
    <t xml:space="preserve">Zoned land, no consent × realisation (register estimate)</t>
  </si>
  <si>
    <t xml:space="preserve">Density uplift on zoned land × realisation</t>
  </si>
  <si>
    <t xml:space="preserve">Surplus / (shortfall) against fair share</t>
  </si>
  <si>
    <t xml:space="preserve">Shortfall to fill with new zoning (homes)</t>
  </si>
  <si>
    <t xml:space="preserve">Memo: surplus where supply exceeds fair share</t>
  </si>
  <si>
    <t xml:space="preserve">New zoned capacity needed, after realisation (homes)</t>
  </si>
  <si>
    <t xml:space="preserve">Density on newly zoned land (homes/ha, net)</t>
  </si>
  <si>
    <t xml:space="preserve">Land to zone (gross hectares)</t>
  </si>
  <si>
    <t xml:space="preserve">Share of all new land</t>
  </si>
  <si>
    <t xml:space="preserve">C  Increased density: City Centre and Rest of City densities from Inputs applied to unconsented land and new land</t>
  </si>
  <si>
    <t xml:space="preserve">D  Summary by area: split of future demand, supply and land to zone (selected density scenario)</t>
  </si>
  <si>
    <t xml:space="preserve">Area</t>
  </si>
  <si>
    <t xml:space="preserve">Share of future demand</t>
  </si>
  <si>
    <t xml:space="preserve">Shortfall (homes)</t>
  </si>
  <si>
    <t xml:space="preserve">Average density on new land (homes/ha)</t>
  </si>
  <si>
    <t xml:space="preserve">Share of new land</t>
  </si>
  <si>
    <t xml:space="preserve">Change the split (city / settlements / remainder), the City Centre share of the city and the density overrides on Inputs. Settlement-level detail, with an optional override of each settlement's share, is on 3b Study Areas.</t>
  </si>
  <si>
    <t xml:space="preserve">E  City Centre: density ladder (what each density does to the shortfall and to land to zone)</t>
  </si>
  <si>
    <t xml:space="preserve">City Centre net density on unconsented and new land (homes/ha)</t>
  </si>
  <si>
    <t xml:space="preserve">Homes from unconsented audit land</t>
  </si>
  <si>
    <t xml:space="preserve">Deliverable from register, City Centre</t>
  </si>
  <si>
    <t xml:space="preserve">Shortfall vs City Centre fair share</t>
  </si>
  <si>
    <t xml:space="preserve">New City Centre land to zone (ha)</t>
  </si>
  <si>
    <t xml:space="preserve">Homes gained vs current density</t>
  </si>
  <si>
    <t xml:space="preserve">← current effective density in the register</t>
  </si>
  <si>
    <t xml:space="preserve">Each row applies the density in column A to unconsented City Centre audit land and to any new City Centre zoning. The first row is the register as it stands.</t>
  </si>
  <si>
    <t xml:space="preserve">F  Tenure and unit mix of the homes still to be found (selected density scenario, planned tenure from 1 Demand)</t>
  </si>
  <si>
    <t xml:space="preserve">Private market (PRS + buyers)</t>
  </si>
  <si>
    <t xml:space="preserve">Plan target by tenure</t>
  </si>
  <si>
    <t xml:space="preserve">Net of completions to date and outside supply</t>
  </si>
  <si>
    <t xml:space="preserve">Already consented and not yet built (before realisation)</t>
  </si>
  <si>
    <t xml:space="preserve">Still to find by tenure (floored at zero)</t>
  </si>
  <si>
    <t xml:space="preserve">Share of what is still to find</t>
  </si>
  <si>
    <t xml:space="preserve">Homes to come from land with no consent today (audit, zoned, new)</t>
  </si>
  <si>
    <t xml:space="preserve">   of which on newly zoned land</t>
  </si>
  <si>
    <t xml:space="preserve">   land to zone (ha)</t>
  </si>
  <si>
    <t xml:space="preserve">Tenure of the consented pipeline comes from the register permissions. Land has no tenure until it is permitted, so the homes still to find are split in proportion to what each tenure still lacks after the pipeline. Private market keeps PRS and buyers together because the register records market homes only as "Market (incl. Part V)".</t>
  </si>
  <si>
    <t xml:space="preserve">Newly zoned homes by size</t>
  </si>
  <si>
    <t xml:space="preserve">Share of newly zoned homes</t>
  </si>
  <si>
    <t xml:space="preserve">id</t>
  </si>
  <si>
    <t xml:space="preserve">src</t>
  </si>
  <si>
    <t xml:space="preserve">scope</t>
  </si>
  <si>
    <t xml:space="preserve">nbhd</t>
  </si>
  <si>
    <t xml:space="preserve">lname</t>
  </si>
  <si>
    <t xml:space="preserve">zoning</t>
  </si>
  <si>
    <t xml:space="preserve">stype</t>
  </si>
  <si>
    <t xml:space="preserve">band</t>
  </si>
  <si>
    <t xml:space="preserve">area</t>
  </si>
  <si>
    <t xml:space="preserve">mapped</t>
  </si>
  <si>
    <t xml:space="preserve">cap</t>
  </si>
  <si>
    <t xml:space="preserve">capbasis</t>
  </si>
  <si>
    <t xml:space="preserve">plan</t>
  </si>
  <si>
    <t xml:space="preserve">tier</t>
  </si>
  <si>
    <t xml:space="preserve">dphreg</t>
  </si>
  <si>
    <t xml:space="preserve">rzlt</t>
  </si>
  <si>
    <t xml:space="preserve">regstat</t>
  </si>
  <si>
    <t xml:space="preserve">comp</t>
  </si>
  <si>
    <t xml:space="preserve">uc</t>
  </si>
  <si>
    <t xml:space="preserve">pns</t>
  </si>
  <si>
    <t xml:space="preserve">stl</t>
  </si>
  <si>
    <t xml:space="preserve">exp</t>
  </si>
  <si>
    <t xml:space="preserve">inpl</t>
  </si>
  <si>
    <t xml:space="preserve">cons</t>
  </si>
  <si>
    <t xml:space="preserve">unc</t>
  </si>
  <si>
    <t xml:space="preserve">tot</t>
  </si>
  <si>
    <t xml:space="preserve">fut</t>
  </si>
  <si>
    <t xml:space="preserve">e26</t>
  </si>
  <si>
    <t xml:space="preserve">e27</t>
  </si>
  <si>
    <t xml:space="preserve">e28</t>
  </si>
  <si>
    <t xml:space="preserve">e29</t>
  </si>
  <si>
    <t xml:space="preserve">e30</t>
  </si>
  <si>
    <t xml:space="preserve">e31</t>
  </si>
  <si>
    <t xml:space="preserve">pstat</t>
  </si>
  <si>
    <t xml:space="preserve">flag</t>
  </si>
  <si>
    <t xml:space="preserve">geodnew</t>
  </si>
  <si>
    <t xml:space="preserve">catch</t>
  </si>
  <si>
    <t xml:space="preserve">ctype</t>
  </si>
  <si>
    <t xml:space="preserve">cshare</t>
  </si>
  <si>
    <t xml:space="preserve">cbasis</t>
  </si>
  <si>
    <t xml:space="preserve">geo</t>
  </si>
  <si>
    <t xml:space="preserve">grp</t>
  </si>
  <si>
    <t xml:space="preserve">uarea</t>
  </si>
  <si>
    <t xml:space="preserve">CITY-1</t>
  </si>
  <si>
    <t xml:space="preserve">Northside</t>
  </si>
  <si>
    <t xml:space="preserve">New Resi</t>
  </si>
  <si>
    <t xml:space="preserve">Greenfield</t>
  </si>
  <si>
    <t xml:space="preserve">35+</t>
  </si>
  <si>
    <t xml:space="preserve">Council estimate (area × density band)</t>
  </si>
  <si>
    <t xml:space="preserve">Permission Granted</t>
  </si>
  <si>
    <t xml:space="preserve">Inside catchment</t>
  </si>
  <si>
    <t xml:space="preserve">CITY-3</t>
  </si>
  <si>
    <t xml:space="preserve">Brownfield</t>
  </si>
  <si>
    <t xml:space="preserve">45+</t>
  </si>
  <si>
    <t xml:space="preserve">CITY-5</t>
  </si>
  <si>
    <t xml:space="preserve">CITY-6</t>
  </si>
  <si>
    <t xml:space="preserve">Local Centre</t>
  </si>
  <si>
    <t xml:space="preserve">CITY-8</t>
  </si>
  <si>
    <t xml:space="preserve">CITY-9</t>
  </si>
  <si>
    <t xml:space="preserve">Exist Resi</t>
  </si>
  <si>
    <t xml:space="preserve">Infill</t>
  </si>
  <si>
    <t xml:space="preserve">Undeveloped/Permission Sought</t>
  </si>
  <si>
    <t xml:space="preserve">CITY-10</t>
  </si>
  <si>
    <t xml:space="preserve">CITY-12</t>
  </si>
  <si>
    <t xml:space="preserve">Mixed Use</t>
  </si>
  <si>
    <t xml:space="preserve">6.207 in 45+ 3.224 in 35+</t>
  </si>
  <si>
    <t xml:space="preserve">Consented above capacity</t>
  </si>
  <si>
    <t xml:space="preserve">CITY-13</t>
  </si>
  <si>
    <t xml:space="preserve">CITY-14</t>
  </si>
  <si>
    <t xml:space="preserve">Complete/Commenced</t>
  </si>
  <si>
    <t xml:space="preserve">CITY-15</t>
  </si>
  <si>
    <t xml:space="preserve">CITY-16</t>
  </si>
  <si>
    <t xml:space="preserve">CITY-20</t>
  </si>
  <si>
    <t xml:space="preserve">CITY-21</t>
  </si>
  <si>
    <t xml:space="preserve">City C</t>
  </si>
  <si>
    <t xml:space="preserve">100+</t>
  </si>
  <si>
    <t xml:space="preserve">CITY-23</t>
  </si>
  <si>
    <t xml:space="preserve">CITY-24</t>
  </si>
  <si>
    <t xml:space="preserve">CITY-25</t>
  </si>
  <si>
    <t xml:space="preserve">CITY-26</t>
  </si>
  <si>
    <t xml:space="preserve">Corbally</t>
  </si>
  <si>
    <t xml:space="preserve">CITY-27</t>
  </si>
  <si>
    <t xml:space="preserve">0.08 in 45+ 2.34 in 35+</t>
  </si>
  <si>
    <t xml:space="preserve">CITY-28</t>
  </si>
  <si>
    <t xml:space="preserve">0.478 in 45+ 0.108 in 35+</t>
  </si>
  <si>
    <t xml:space="preserve">CITY-29</t>
  </si>
  <si>
    <t xml:space="preserve">CITY-30</t>
  </si>
  <si>
    <t xml:space="preserve">CITY-31</t>
  </si>
  <si>
    <t xml:space="preserve">0.007 in 45+ 1.054 in 35+</t>
  </si>
  <si>
    <t xml:space="preserve">CITY-32</t>
  </si>
  <si>
    <t xml:space="preserve">2.893 in 45+ 1.38 in 35+</t>
  </si>
  <si>
    <t xml:space="preserve">CITY-33</t>
  </si>
  <si>
    <t xml:space="preserve">CITY-34</t>
  </si>
  <si>
    <t xml:space="preserve">CITY-40</t>
  </si>
  <si>
    <t xml:space="preserve">CITY-41</t>
  </si>
  <si>
    <t xml:space="preserve">CITY-43</t>
  </si>
  <si>
    <t xml:space="preserve">Garryowen</t>
  </si>
  <si>
    <t xml:space="preserve">CITY-45</t>
  </si>
  <si>
    <t xml:space="preserve">CITY-46</t>
  </si>
  <si>
    <t xml:space="preserve">CITY-47</t>
  </si>
  <si>
    <t xml:space="preserve">CITY-49</t>
  </si>
  <si>
    <t xml:space="preserve">CITY-50</t>
  </si>
  <si>
    <t xml:space="preserve">CITY-51</t>
  </si>
  <si>
    <t xml:space="preserve">CITY-52</t>
  </si>
  <si>
    <t xml:space="preserve">CITY-53</t>
  </si>
  <si>
    <t xml:space="preserve">Castletroy</t>
  </si>
  <si>
    <t xml:space="preserve">CITY-54</t>
  </si>
  <si>
    <t xml:space="preserve">CITY-56</t>
  </si>
  <si>
    <t xml:space="preserve">7.544 in 45+ 4.816 in 35+</t>
  </si>
  <si>
    <t xml:space="preserve">CITY-60</t>
  </si>
  <si>
    <t xml:space="preserve">CITY-61</t>
  </si>
  <si>
    <t xml:space="preserve">CITY-62</t>
  </si>
  <si>
    <t xml:space="preserve">CITY-63</t>
  </si>
  <si>
    <t xml:space="preserve">CITY-65</t>
  </si>
  <si>
    <t xml:space="preserve">CITY-66</t>
  </si>
  <si>
    <t xml:space="preserve">CITY-67</t>
  </si>
  <si>
    <t xml:space="preserve">0.397 in 45+ 8.349 in 35+</t>
  </si>
  <si>
    <t xml:space="preserve">7.515 in 45+ 1.045 in 35+</t>
  </si>
  <si>
    <t xml:space="preserve">2.979 in 45+ 0.188 in 35+</t>
  </si>
  <si>
    <t xml:space="preserve">CITY-72</t>
  </si>
  <si>
    <t xml:space="preserve">CITY-74</t>
  </si>
  <si>
    <t xml:space="preserve">CITY-75</t>
  </si>
  <si>
    <t xml:space="preserve">0.171 in 45+ 0.056 in 35+</t>
  </si>
  <si>
    <t xml:space="preserve">CITY-77</t>
  </si>
  <si>
    <t xml:space="preserve">CITY-78</t>
  </si>
  <si>
    <t xml:space="preserve">CITY-79</t>
  </si>
  <si>
    <t xml:space="preserve">CITY-80</t>
  </si>
  <si>
    <t xml:space="preserve">CITY-81</t>
  </si>
  <si>
    <t xml:space="preserve">CITY-82</t>
  </si>
  <si>
    <t xml:space="preserve">CITY-83</t>
  </si>
  <si>
    <t xml:space="preserve">CITY-84</t>
  </si>
  <si>
    <t xml:space="preserve">CITY-86</t>
  </si>
  <si>
    <t xml:space="preserve">CITY-87</t>
  </si>
  <si>
    <t xml:space="preserve">CITY-88</t>
  </si>
  <si>
    <t xml:space="preserve">CITY-89</t>
  </si>
  <si>
    <t xml:space="preserve">CITY-91</t>
  </si>
  <si>
    <t xml:space="preserve">Dock Rd</t>
  </si>
  <si>
    <t xml:space="preserve">CITY-92</t>
  </si>
  <si>
    <t xml:space="preserve">CITY-93</t>
  </si>
  <si>
    <t xml:space="preserve">CITY-95</t>
  </si>
  <si>
    <t xml:space="preserve">CITY-97</t>
  </si>
  <si>
    <t xml:space="preserve">CITY-99</t>
  </si>
  <si>
    <t xml:space="preserve">CITY-101</t>
  </si>
  <si>
    <t xml:space="preserve">CITY-102</t>
  </si>
  <si>
    <t xml:space="preserve">CITY-104</t>
  </si>
  <si>
    <t xml:space="preserve">CITY-105</t>
  </si>
  <si>
    <t xml:space="preserve">CITY-106</t>
  </si>
  <si>
    <t xml:space="preserve">CITY-108</t>
  </si>
  <si>
    <t xml:space="preserve">CITY-109</t>
  </si>
  <si>
    <t xml:space="preserve">CITY-110</t>
  </si>
  <si>
    <t xml:space="preserve">CITY-111</t>
  </si>
  <si>
    <t xml:space="preserve">CITY-113</t>
  </si>
  <si>
    <t xml:space="preserve">CITY-114</t>
  </si>
  <si>
    <t xml:space="preserve">CITY-115</t>
  </si>
  <si>
    <t xml:space="preserve">Southill</t>
  </si>
  <si>
    <t xml:space="preserve">CITY-116</t>
  </si>
  <si>
    <t xml:space="preserve">CITY-117</t>
  </si>
  <si>
    <t xml:space="preserve">CITY-118</t>
  </si>
  <si>
    <t xml:space="preserve">CITY-119</t>
  </si>
  <si>
    <t xml:space="preserve">CITY-120</t>
  </si>
  <si>
    <t xml:space="preserve">CITY-121</t>
  </si>
  <si>
    <t xml:space="preserve">CITY-123</t>
  </si>
  <si>
    <t xml:space="preserve">0.467 in 45+</t>
  </si>
  <si>
    <t xml:space="preserve">CITY-124</t>
  </si>
  <si>
    <t xml:space="preserve">CITY-125</t>
  </si>
  <si>
    <t xml:space="preserve">CITY-127</t>
  </si>
  <si>
    <t xml:space="preserve">CITY-128</t>
  </si>
  <si>
    <t xml:space="preserve">CITY-129</t>
  </si>
  <si>
    <t xml:space="preserve">CITY-130</t>
  </si>
  <si>
    <t xml:space="preserve">CITY-131</t>
  </si>
  <si>
    <t xml:space="preserve">CITY-132</t>
  </si>
  <si>
    <t xml:space="preserve">6.659 in 45+ 2.284 in 35+</t>
  </si>
  <si>
    <t xml:space="preserve">CITY-134</t>
  </si>
  <si>
    <t xml:space="preserve">0.194 in 45+ 0.412 in 35+</t>
  </si>
  <si>
    <t xml:space="preserve">CITY-135</t>
  </si>
  <si>
    <t xml:space="preserve">CITY-137</t>
  </si>
  <si>
    <t xml:space="preserve">CITY-139</t>
  </si>
  <si>
    <t xml:space="preserve">CITY-141</t>
  </si>
  <si>
    <t xml:space="preserve">CITY-142</t>
  </si>
  <si>
    <t xml:space="preserve">CITY-143</t>
  </si>
  <si>
    <t xml:space="preserve">CITY-145</t>
  </si>
  <si>
    <t xml:space="preserve">CITY-146</t>
  </si>
  <si>
    <t xml:space="preserve">CITY-147</t>
  </si>
  <si>
    <t xml:space="preserve">CITY-148</t>
  </si>
  <si>
    <t xml:space="preserve">CITY-149</t>
  </si>
  <si>
    <t xml:space="preserve">7.869 in 45+ 3.1017 in 35+</t>
  </si>
  <si>
    <t xml:space="preserve">CITY-152</t>
  </si>
  <si>
    <t xml:space="preserve">0.775 in 45+ 3.345 in 35+</t>
  </si>
  <si>
    <t xml:space="preserve">CITY-153</t>
  </si>
  <si>
    <t xml:space="preserve">CITY-154</t>
  </si>
  <si>
    <t xml:space="preserve">CITY-155</t>
  </si>
  <si>
    <t xml:space="preserve">CITY-156</t>
  </si>
  <si>
    <t xml:space="preserve">CITY-158</t>
  </si>
  <si>
    <t xml:space="preserve">CITY-159</t>
  </si>
  <si>
    <t xml:space="preserve">0.145 in 45+ 2.589 in 35+</t>
  </si>
  <si>
    <t xml:space="preserve">CITY-160</t>
  </si>
  <si>
    <t xml:space="preserve">CITY-162</t>
  </si>
  <si>
    <t xml:space="preserve">CITY-163</t>
  </si>
  <si>
    <t xml:space="preserve">CITY-164</t>
  </si>
  <si>
    <t xml:space="preserve">CITY-168</t>
  </si>
  <si>
    <t xml:space="preserve">CITY-169</t>
  </si>
  <si>
    <t xml:space="preserve">CITY-2</t>
  </si>
  <si>
    <t xml:space="preserve">CITY-112</t>
  </si>
  <si>
    <t xml:space="preserve">CITY-35</t>
  </si>
  <si>
    <t xml:space="preserve">PC-211152</t>
  </si>
  <si>
    <t xml:space="preserve">€16.6m - Residential Development, Castletroy</t>
  </si>
  <si>
    <t xml:space="preserve">Consented units (no council estimate)</t>
  </si>
  <si>
    <t xml:space="preserve">PC-ABPREF307631</t>
  </si>
  <si>
    <t xml:space="preserve">€44m - Residential Development, Castletroy</t>
  </si>
  <si>
    <t xml:space="preserve">PC-201115</t>
  </si>
  <si>
    <t xml:space="preserve">€16.5m - Residential Development, Mungret</t>
  </si>
  <si>
    <t xml:space="preserve">PC-18434</t>
  </si>
  <si>
    <t xml:space="preserve">€10m - Residential Development, Singland</t>
  </si>
  <si>
    <t xml:space="preserve">PC-2560156</t>
  </si>
  <si>
    <t xml:space="preserve">Outside city neighbourhoods</t>
  </si>
  <si>
    <t xml:space="preserve">€15.9m - Residential Development, Patrickswell</t>
  </si>
  <si>
    <t xml:space="preserve">PC-22990</t>
  </si>
  <si>
    <t xml:space="preserve">€22m - Residential Development, Adare</t>
  </si>
  <si>
    <t xml:space="preserve">Edge of settlement (within 500 m)</t>
  </si>
  <si>
    <t xml:space="preserve">PC-181104</t>
  </si>
  <si>
    <t xml:space="preserve">€11.8m - Residential Development, Castletroy</t>
  </si>
  <si>
    <t xml:space="preserve">PC-2360842</t>
  </si>
  <si>
    <t xml:space="preserve">€22m - Golf Links Road LRD, Monaleen</t>
  </si>
  <si>
    <t xml:space="preserve">PC-21594</t>
  </si>
  <si>
    <t xml:space="preserve">€11.3m - Residential Development </t>
  </si>
  <si>
    <t xml:space="preserve">PC-181193</t>
  </si>
  <si>
    <t xml:space="preserve">€9m - Housing Development</t>
  </si>
  <si>
    <t xml:space="preserve">PC-2360703</t>
  </si>
  <si>
    <t xml:space="preserve">€27m - Mixed Use Development, Dooradoyle</t>
  </si>
  <si>
    <t xml:space="preserve">PC-211217</t>
  </si>
  <si>
    <t xml:space="preserve">€15.2m - Residential Development Mungret</t>
  </si>
  <si>
    <t xml:space="preserve">PC-21350</t>
  </si>
  <si>
    <t xml:space="preserve">€14m - Residential Development,Castletroy</t>
  </si>
  <si>
    <t xml:space="preserve">PC-2561242</t>
  </si>
  <si>
    <t xml:space="preserve">€14.5m - Residential Development, Limerick</t>
  </si>
  <si>
    <t xml:space="preserve">PC-211216</t>
  </si>
  <si>
    <t xml:space="preserve">€21m - Residential Development, Mungret</t>
  </si>
  <si>
    <t xml:space="preserve">PC-22840</t>
  </si>
  <si>
    <t xml:space="preserve">€21m - Residential Development, Newcastle West</t>
  </si>
  <si>
    <t xml:space="preserve">PC-19970</t>
  </si>
  <si>
    <t xml:space="preserve">€16m - Residential Development, Ennis Road</t>
  </si>
  <si>
    <t xml:space="preserve">PC-2561228</t>
  </si>
  <si>
    <t xml:space="preserve">€18.4m - Residential Development, Patrickswell</t>
  </si>
  <si>
    <t xml:space="preserve">PC-2360794</t>
  </si>
  <si>
    <t xml:space="preserve">€15.3m - Residential Development, Bruff</t>
  </si>
  <si>
    <t xml:space="preserve">PC-2360866</t>
  </si>
  <si>
    <t xml:space="preserve">€16.8m - Residential Development, Castleconnell</t>
  </si>
  <si>
    <t xml:space="preserve">PC-2560546</t>
  </si>
  <si>
    <t xml:space="preserve">€7m - Residential/Commercial Development, Limerick</t>
  </si>
  <si>
    <t xml:space="preserve">PC-21531</t>
  </si>
  <si>
    <t xml:space="preserve">€9.7m - Housing Development, Newcastle West</t>
  </si>
  <si>
    <t xml:space="preserve">PC-2360615</t>
  </si>
  <si>
    <t xml:space="preserve">€11.3m - Housing Development, Mungret</t>
  </si>
  <si>
    <t xml:space="preserve">PC-201195</t>
  </si>
  <si>
    <t xml:space="preserve">€9m - Residential Development, Mungret</t>
  </si>
  <si>
    <t xml:space="preserve">PC-19518</t>
  </si>
  <si>
    <t xml:space="preserve">€11m - Mixed Use Development, Castleconnell</t>
  </si>
  <si>
    <t xml:space="preserve">PC-201074</t>
  </si>
  <si>
    <t xml:space="preserve">€13m - Residential Development, Castletroy</t>
  </si>
  <si>
    <t xml:space="preserve">PC-20467</t>
  </si>
  <si>
    <t xml:space="preserve">€5.4m - Patricks Well Housing Development, Mungret</t>
  </si>
  <si>
    <t xml:space="preserve">PC-2360706</t>
  </si>
  <si>
    <t xml:space="preserve">€8.9m - Housing Development, Newcastle West</t>
  </si>
  <si>
    <t xml:space="preserve">PC-181243</t>
  </si>
  <si>
    <t xml:space="preserve">€6.4m - Residential Development, Crossagalla</t>
  </si>
  <si>
    <t xml:space="preserve">PC-221318</t>
  </si>
  <si>
    <t xml:space="preserve">€10.9m - Residential Development, Patrickswell</t>
  </si>
  <si>
    <t xml:space="preserve">PC-21630</t>
  </si>
  <si>
    <t xml:space="preserve">€10.8m - Residential Development, Croom</t>
  </si>
  <si>
    <t xml:space="preserve">PC-228017</t>
  </si>
  <si>
    <t xml:space="preserve">€4.4m - Residential Development, Patrickswell</t>
  </si>
  <si>
    <t xml:space="preserve">PC-2560540</t>
  </si>
  <si>
    <t xml:space="preserve">€7m - Apartment Development, Limerick City</t>
  </si>
  <si>
    <t xml:space="preserve">PC-188007</t>
  </si>
  <si>
    <t xml:space="preserve">€8.9m - Residential Development </t>
  </si>
  <si>
    <t xml:space="preserve">PC-188008</t>
  </si>
  <si>
    <t xml:space="preserve">€7m - Residential Development, Condell Road</t>
  </si>
  <si>
    <t xml:space="preserve">PC-2460788</t>
  </si>
  <si>
    <t xml:space="preserve">€7.4m - Residential Development, Kilmallock</t>
  </si>
  <si>
    <t xml:space="preserve">PC-2360144</t>
  </si>
  <si>
    <t xml:space="preserve">€9m - Housing Development, Patrickswell</t>
  </si>
  <si>
    <t xml:space="preserve">PC-2460570</t>
  </si>
  <si>
    <t xml:space="preserve">€4.5m - Apartment Development, Limerick City</t>
  </si>
  <si>
    <t xml:space="preserve">PC-Part81063948</t>
  </si>
  <si>
    <t xml:space="preserve">€9m - Rapid Housing Delivery</t>
  </si>
  <si>
    <t xml:space="preserve">PC-218012</t>
  </si>
  <si>
    <t xml:space="preserve">€2.4m - Residential Development</t>
  </si>
  <si>
    <t xml:space="preserve">PC-191060</t>
  </si>
  <si>
    <t xml:space="preserve">€50m - 1 BQ Development, Limerick City</t>
  </si>
  <si>
    <t xml:space="preserve">PC-191298</t>
  </si>
  <si>
    <t xml:space="preserve">€5.6m - Housing Development</t>
  </si>
  <si>
    <t xml:space="preserve">PC-22410</t>
  </si>
  <si>
    <t xml:space="preserve">€18.8m - Nursing Home Development, Croom</t>
  </si>
  <si>
    <t xml:space="preserve">PC-228020</t>
  </si>
  <si>
    <t xml:space="preserve">€4.9m - Residential Development, Newcastle West</t>
  </si>
  <si>
    <t xml:space="preserve">PC-198010</t>
  </si>
  <si>
    <t xml:space="preserve">€5m - Housing Development </t>
  </si>
  <si>
    <t xml:space="preserve">PC-24352</t>
  </si>
  <si>
    <t xml:space="preserve">€7.3m - Residential Development</t>
  </si>
  <si>
    <t xml:space="preserve">PC-221107</t>
  </si>
  <si>
    <t xml:space="preserve">€5m - Apartment/Retail Development, Dooradoyle</t>
  </si>
  <si>
    <t xml:space="preserve">PC-2660575</t>
  </si>
  <si>
    <t xml:space="preserve">€4.3m - Apartment Development, Newcastle West</t>
  </si>
  <si>
    <t xml:space="preserve">PC-221003</t>
  </si>
  <si>
    <t xml:space="preserve">€6.5m - Apartment Development, Limerick</t>
  </si>
  <si>
    <t xml:space="preserve">PC-221189</t>
  </si>
  <si>
    <t xml:space="preserve">€6.3m - Apartment Development, Limerick</t>
  </si>
  <si>
    <t xml:space="preserve">PC-2326</t>
  </si>
  <si>
    <t xml:space="preserve">€6.3m - Housing Development, Kilmallock</t>
  </si>
  <si>
    <t xml:space="preserve">PC-2660779</t>
  </si>
  <si>
    <t xml:space="preserve">€8.6m - Staff Accommodation/8Apartments, Adare</t>
  </si>
  <si>
    <t xml:space="preserve">Named in scheme, within 2 km</t>
  </si>
  <si>
    <t xml:space="preserve">PC-198003</t>
  </si>
  <si>
    <t xml:space="preserve">€3.9m - Residential Development, Moyross</t>
  </si>
  <si>
    <t xml:space="preserve">PC-2461182</t>
  </si>
  <si>
    <t xml:space="preserve">€5.4m - Residential Development </t>
  </si>
  <si>
    <t xml:space="preserve">PC-187040</t>
  </si>
  <si>
    <t xml:space="preserve">€5.7m - Residential Development, Rhebogue</t>
  </si>
  <si>
    <t xml:space="preserve">PC-221172</t>
  </si>
  <si>
    <t xml:space="preserve">€5.9m - Student Accommodation Development </t>
  </si>
  <si>
    <t xml:space="preserve">PC-2460304</t>
  </si>
  <si>
    <t xml:space="preserve">€6.2m - Residential Development,  Adare</t>
  </si>
  <si>
    <t xml:space="preserve">PC-187029</t>
  </si>
  <si>
    <t xml:space="preserve">€1.9m - Housing Development </t>
  </si>
  <si>
    <t xml:space="preserve">PC-Part81248404</t>
  </si>
  <si>
    <t xml:space="preserve">€4.6m - Residential Development, Patrickswell</t>
  </si>
  <si>
    <t xml:space="preserve">PC-221367</t>
  </si>
  <si>
    <t xml:space="preserve">€5.2m - Residential Development, Limerick</t>
  </si>
  <si>
    <t xml:space="preserve">PC-2560425</t>
  </si>
  <si>
    <t xml:space="preserve">€4.4m - Apartment Development </t>
  </si>
  <si>
    <t xml:space="preserve">PC-2360150</t>
  </si>
  <si>
    <t xml:space="preserve">€3m - Apartment Development, Limerick</t>
  </si>
  <si>
    <t xml:space="preserve">PC-CIS1422145</t>
  </si>
  <si>
    <t xml:space="preserve">€719k - Architect Led Integrated Design Team Services for 23 Residential Units, </t>
  </si>
  <si>
    <t xml:space="preserve">PC-23529</t>
  </si>
  <si>
    <t xml:space="preserve">€4.4m - Housing Development</t>
  </si>
  <si>
    <t xml:space="preserve">PC-2560771</t>
  </si>
  <si>
    <t xml:space="preserve">€4.5m - Mixed Use Development</t>
  </si>
  <si>
    <t xml:space="preserve">PC-PT8LL283</t>
  </si>
  <si>
    <t xml:space="preserve">€5.4m - Cosgrave Park Phase 2, Moyross</t>
  </si>
  <si>
    <t xml:space="preserve">PC-2360345</t>
  </si>
  <si>
    <t xml:space="preserve">€3.7m - Residential Development, Limerick City</t>
  </si>
  <si>
    <t xml:space="preserve">PC-2360025</t>
  </si>
  <si>
    <t xml:space="preserve">€3.8m - Apartment Development, Limerick</t>
  </si>
  <si>
    <t xml:space="preserve">PC-19149</t>
  </si>
  <si>
    <t xml:space="preserve">€567k - Change of Use to Care Residential Units </t>
  </si>
  <si>
    <t xml:space="preserve">PC-22471</t>
  </si>
  <si>
    <t xml:space="preserve">€4.5m - Housing Development, Mungret</t>
  </si>
  <si>
    <t xml:space="preserve">PC-188002</t>
  </si>
  <si>
    <t xml:space="preserve">€1.9m - Residential Development </t>
  </si>
  <si>
    <t xml:space="preserve">PC-Part81371977</t>
  </si>
  <si>
    <t xml:space="preserve">€3.4m - Residential Development</t>
  </si>
  <si>
    <t xml:space="preserve">PC-2460568</t>
  </si>
  <si>
    <t xml:space="preserve">€3.9m - Residential Development, Castlemahon</t>
  </si>
  <si>
    <t xml:space="preserve">PC-Part81392454</t>
  </si>
  <si>
    <t xml:space="preserve">€5.9m - Residential Development, Bruff</t>
  </si>
  <si>
    <t xml:space="preserve">PC-CIS1015929</t>
  </si>
  <si>
    <t xml:space="preserve">€2m - Housing Development </t>
  </si>
  <si>
    <t xml:space="preserve">PC-188014</t>
  </si>
  <si>
    <t xml:space="preserve">€1.7m - Residential Development, Rosbrien Road</t>
  </si>
  <si>
    <t xml:space="preserve">PC-198007</t>
  </si>
  <si>
    <t xml:space="preserve">€1.4m - Housing Development </t>
  </si>
  <si>
    <t xml:space="preserve">PC-221381</t>
  </si>
  <si>
    <t xml:space="preserve">€2m - 9 Apartments</t>
  </si>
  <si>
    <t xml:space="preserve">PC-221352</t>
  </si>
  <si>
    <t xml:space="preserve">€5.5m - Housing Development, Cappamore</t>
  </si>
  <si>
    <t xml:space="preserve">PC-198005</t>
  </si>
  <si>
    <t xml:space="preserve">€1.7m - Residential Development </t>
  </si>
  <si>
    <t xml:space="preserve">PC-2560365</t>
  </si>
  <si>
    <t xml:space="preserve">€2.4m - Apartment Development</t>
  </si>
  <si>
    <t xml:space="preserve">PC-178013</t>
  </si>
  <si>
    <t xml:space="preserve">Part 8: (i) Provision of 16no. residential terraced units (15no. two storey an</t>
  </si>
  <si>
    <t xml:space="preserve">PC-20622</t>
  </si>
  <si>
    <t xml:space="preserve">€3.2m - Change of Use to Apartment Development </t>
  </si>
  <si>
    <t xml:space="preserve">PC-211257</t>
  </si>
  <si>
    <t xml:space="preserve">€1.8m - Social Housing Development, Limerick</t>
  </si>
  <si>
    <t xml:space="preserve">PC-2460633</t>
  </si>
  <si>
    <t xml:space="preserve">€2.7m - Residential Development, Limerick</t>
  </si>
  <si>
    <t xml:space="preserve">PC-2460864</t>
  </si>
  <si>
    <t xml:space="preserve">€4.2m - Residential Development</t>
  </si>
  <si>
    <t xml:space="preserve">PC-188001</t>
  </si>
  <si>
    <t xml:space="preserve">€3m - Residential Development, Mulgrave Street</t>
  </si>
  <si>
    <t xml:space="preserve">PC-19552</t>
  </si>
  <si>
    <t xml:space="preserve">€2m - Apartment Development </t>
  </si>
  <si>
    <t xml:space="preserve">PC-211170</t>
  </si>
  <si>
    <t xml:space="preserve">€3m - Modifications to Housing Development, Kilfinane</t>
  </si>
  <si>
    <t xml:space="preserve">PC-211454</t>
  </si>
  <si>
    <t xml:space="preserve">€2.1m - Apartment Development </t>
  </si>
  <si>
    <t xml:space="preserve">PC-2360263</t>
  </si>
  <si>
    <t xml:space="preserve">€3.8m - Housing Development, Castletroy</t>
  </si>
  <si>
    <t xml:space="preserve">PC-2360826</t>
  </si>
  <si>
    <t xml:space="preserve">€2.2m - Residential Development, Newcastle West</t>
  </si>
  <si>
    <t xml:space="preserve">PC-Part81363543</t>
  </si>
  <si>
    <t xml:space="preserve">€4m - Housing Development</t>
  </si>
  <si>
    <t xml:space="preserve">PC-18219</t>
  </si>
  <si>
    <t xml:space="preserve">PC-20525</t>
  </si>
  <si>
    <t xml:space="preserve">Register: the construction of 14 dwelling houses, including 2 no semi-detached 2</t>
  </si>
  <si>
    <t xml:space="preserve">PC-22394</t>
  </si>
  <si>
    <t xml:space="preserve">€2.9m - Housing Development, Castleconnell</t>
  </si>
  <si>
    <t xml:space="preserve">PC-228023</t>
  </si>
  <si>
    <t xml:space="preserve">€5.45m - Apartment Development, Limerick</t>
  </si>
  <si>
    <t xml:space="preserve">PC-268371</t>
  </si>
  <si>
    <t xml:space="preserve">€3.2m - Residential Development, Thomondgate</t>
  </si>
  <si>
    <t xml:space="preserve">PC-Part826255726</t>
  </si>
  <si>
    <t xml:space="preserve">€3m - Part 8 Residential Development, Limerick</t>
  </si>
  <si>
    <t xml:space="preserve">PC-178017</t>
  </si>
  <si>
    <t xml:space="preserve">Part 8: (a) Provision of 13 no. residential terraced units (11 no. two storey </t>
  </si>
  <si>
    <t xml:space="preserve">PC-198009</t>
  </si>
  <si>
    <t xml:space="preserve">€1.8m - Housing Development </t>
  </si>
  <si>
    <t xml:space="preserve">PC-18496</t>
  </si>
  <si>
    <t xml:space="preserve">€1.3m - Housing Development</t>
  </si>
  <si>
    <t xml:space="preserve">PC-2460468</t>
  </si>
  <si>
    <t xml:space="preserve">€3.6m - Housing/Creche Development, Crossagalla</t>
  </si>
  <si>
    <t xml:space="preserve">PC-197025</t>
  </si>
  <si>
    <t xml:space="preserve">Housing Development </t>
  </si>
  <si>
    <t xml:space="preserve">PC-19302</t>
  </si>
  <si>
    <t xml:space="preserve">€2.6m - Apartments</t>
  </si>
  <si>
    <t xml:space="preserve">PC-21364</t>
  </si>
  <si>
    <t xml:space="preserve">€2.5m - Residential Development, Mungret</t>
  </si>
  <si>
    <t xml:space="preserve">PC-258297</t>
  </si>
  <si>
    <t xml:space="preserve">€4.5m - Residential Development, Abbeyfeale</t>
  </si>
  <si>
    <t xml:space="preserve">PC-CIS1419395</t>
  </si>
  <si>
    <t xml:space="preserve">€2.1m - Part 8 Residential Development, Limerick</t>
  </si>
  <si>
    <t xml:space="preserve">PC-Part81345677</t>
  </si>
  <si>
    <t xml:space="preserve">€1.5m - New Traveller Welfare Units, Hillview Park</t>
  </si>
  <si>
    <t xml:space="preserve">PC-21147</t>
  </si>
  <si>
    <t xml:space="preserve">PC-19872</t>
  </si>
  <si>
    <t xml:space="preserve">€1.3m - Care Residential Units </t>
  </si>
  <si>
    <t xml:space="preserve">PC-218013</t>
  </si>
  <si>
    <t xml:space="preserve">€3m - Housing Development</t>
  </si>
  <si>
    <t xml:space="preserve">PC-228013</t>
  </si>
  <si>
    <t xml:space="preserve">€2.2m - Housing Development, Ardagh</t>
  </si>
  <si>
    <t xml:space="preserve">PC-2560977</t>
  </si>
  <si>
    <t xml:space="preserve">€2.7m - Self Catering Accommodation Lodges, Adare</t>
  </si>
  <si>
    <t xml:space="preserve">PC-2460028</t>
  </si>
  <si>
    <t xml:space="preserve">€2.5m - Assisted Living Dwelling Units, Glin</t>
  </si>
  <si>
    <t xml:space="preserve">PC-2561211</t>
  </si>
  <si>
    <t xml:space="preserve">€1.8m - Residential Development, Newcastle West</t>
  </si>
  <si>
    <t xml:space="preserve">PC-24151</t>
  </si>
  <si>
    <t xml:space="preserve">Register: the construction of 10 dwelling units to include 2 no. detached 5 bedr</t>
  </si>
  <si>
    <t xml:space="preserve">PC-2148</t>
  </si>
  <si>
    <t xml:space="preserve">€1.9m - Change of Use to 9 Apartments, St. Paul's Convent</t>
  </si>
  <si>
    <t xml:space="preserve">PC-21550</t>
  </si>
  <si>
    <t xml:space="preserve">€1.9m - 9 Houses </t>
  </si>
  <si>
    <t xml:space="preserve">PC-228000</t>
  </si>
  <si>
    <t xml:space="preserve">€2.5m - 9 Houses</t>
  </si>
  <si>
    <t xml:space="preserve">PC-19689</t>
  </si>
  <si>
    <t xml:space="preserve">€2.2m - 9 Houses </t>
  </si>
  <si>
    <t xml:space="preserve">PC-21873</t>
  </si>
  <si>
    <t xml:space="preserve">€1.7 - 9 Houses, Patrickswell</t>
  </si>
  <si>
    <t xml:space="preserve">PC-2460075</t>
  </si>
  <si>
    <t xml:space="preserve">€816k - 8 Apartment </t>
  </si>
  <si>
    <t xml:space="preserve">PC-2560947</t>
  </si>
  <si>
    <t xml:space="preserve">€1m - 8 Houses, Bruff</t>
  </si>
  <si>
    <t xml:space="preserve">PC-191037</t>
  </si>
  <si>
    <t xml:space="preserve">€2.3m - 8 Residential Units </t>
  </si>
  <si>
    <t xml:space="preserve">PC-2360393</t>
  </si>
  <si>
    <t xml:space="preserve">€604k - 8 Residential Units </t>
  </si>
  <si>
    <t xml:space="preserve">PC-2360759</t>
  </si>
  <si>
    <t xml:space="preserve">€1.4m - Retail Units/Apartments</t>
  </si>
  <si>
    <t xml:space="preserve">PC-Part81264155</t>
  </si>
  <si>
    <t xml:space="preserve">€590k - Residential Development / Living Georgian Project, 58 O’Connell Street</t>
  </si>
  <si>
    <t xml:space="preserve">PC-2460020</t>
  </si>
  <si>
    <t xml:space="preserve">€200k - Change of Use to 8 Apartments </t>
  </si>
  <si>
    <t xml:space="preserve">PC-2660063</t>
  </si>
  <si>
    <t xml:space="preserve">€1.8m - 7 House/Apartment/Community Office, Feenagh</t>
  </si>
  <si>
    <t xml:space="preserve">PC-188013</t>
  </si>
  <si>
    <t xml:space="preserve">€701k - 7 Houses </t>
  </si>
  <si>
    <t xml:space="preserve">PC-2460151</t>
  </si>
  <si>
    <t xml:space="preserve">€1.6m - Change of Use to 7 Apartments, Limerick</t>
  </si>
  <si>
    <t xml:space="preserve">PC-2560001</t>
  </si>
  <si>
    <t xml:space="preserve">€1.3m - 6 Apartments, Thomondgate</t>
  </si>
  <si>
    <t xml:space="preserve">PC-21532</t>
  </si>
  <si>
    <t xml:space="preserve">€858k - Residential Development, Mungret</t>
  </si>
  <si>
    <t xml:space="preserve">PC-2461101</t>
  </si>
  <si>
    <t xml:space="preserve">€1.4m - 7 Houses</t>
  </si>
  <si>
    <t xml:space="preserve">PC-2460046</t>
  </si>
  <si>
    <t xml:space="preserve">€2m - 7 Houses, Broadford</t>
  </si>
  <si>
    <t xml:space="preserve">PC-178001</t>
  </si>
  <si>
    <t xml:space="preserve">Part 8: (1)Provision of 7no. residential units, 2no. two storey and 5no. singl</t>
  </si>
  <si>
    <t xml:space="preserve">PC-178012</t>
  </si>
  <si>
    <t xml:space="preserve">Part 8: (i) provision of 7 no. residential units (2 no. three-storey, 3 bedroo</t>
  </si>
  <si>
    <t xml:space="preserve">PC-18892</t>
  </si>
  <si>
    <t xml:space="preserve">€870k - Apartments  </t>
  </si>
  <si>
    <t xml:space="preserve">PC-18994</t>
  </si>
  <si>
    <t xml:space="preserve">€553k - 6 Houses</t>
  </si>
  <si>
    <t xml:space="preserve">PC-20314</t>
  </si>
  <si>
    <t xml:space="preserve">€1.1m - 6 Houses </t>
  </si>
  <si>
    <t xml:space="preserve">PC-21342</t>
  </si>
  <si>
    <t xml:space="preserve">€864k - 6 Dwellings</t>
  </si>
  <si>
    <t xml:space="preserve">PC-211395</t>
  </si>
  <si>
    <t xml:space="preserve">€1.3m - 6 Houses </t>
  </si>
  <si>
    <t xml:space="preserve">PC-248132</t>
  </si>
  <si>
    <t xml:space="preserve">€1.4m - 6 Houses, Annacotty</t>
  </si>
  <si>
    <t xml:space="preserve">PC-CE2019087</t>
  </si>
  <si>
    <t xml:space="preserve">€1.5m - Housing Development</t>
  </si>
  <si>
    <t xml:space="preserve">PC-2461298</t>
  </si>
  <si>
    <t xml:space="preserve">€975k - Change of Use to Restaurant/Apartments</t>
  </si>
  <si>
    <t xml:space="preserve">PC-187020</t>
  </si>
  <si>
    <t xml:space="preserve">€1m - Residential Development</t>
  </si>
  <si>
    <t xml:space="preserve">PC-2560633</t>
  </si>
  <si>
    <t xml:space="preserve">€2.4m - 6 Houses</t>
  </si>
  <si>
    <t xml:space="preserve">PC-2560595</t>
  </si>
  <si>
    <t xml:space="preserve">€819k - 6 Apartments</t>
  </si>
  <si>
    <t xml:space="preserve">PC-2360798</t>
  </si>
  <si>
    <t xml:space="preserve">€1.2m - 6 Houses </t>
  </si>
  <si>
    <t xml:space="preserve">PC-268364</t>
  </si>
  <si>
    <t xml:space="preserve">€883k - Part 8 - 6 Apartments, Corbally</t>
  </si>
  <si>
    <t xml:space="preserve">PC-268363</t>
  </si>
  <si>
    <t xml:space="preserve">€1.4m - 6 Houses, Caherdavin</t>
  </si>
  <si>
    <t xml:space="preserve">PC-15577</t>
  </si>
  <si>
    <t xml:space="preserve">€588k - 3 Houses</t>
  </si>
  <si>
    <t xml:space="preserve">PC-19233</t>
  </si>
  <si>
    <t xml:space="preserve">€931k - 5 Houses </t>
  </si>
  <si>
    <t xml:space="preserve">PC-201101</t>
  </si>
  <si>
    <t xml:space="preserve">€1m - 5 Houses </t>
  </si>
  <si>
    <t xml:space="preserve">PC-21240</t>
  </si>
  <si>
    <t xml:space="preserve">€561k - Main Street Housing Development, Ballylanders </t>
  </si>
  <si>
    <t xml:space="preserve">PC-188009</t>
  </si>
  <si>
    <t xml:space="preserve">€1.1m - Residential Units </t>
  </si>
  <si>
    <t xml:space="preserve">PC-19769</t>
  </si>
  <si>
    <t xml:space="preserve">€782k - Apartment Change of Use, Henry Street</t>
  </si>
  <si>
    <t xml:space="preserve">PC-PT8LL277</t>
  </si>
  <si>
    <t xml:space="preserve">€1.5m - 5 Residential Units, Limerick</t>
  </si>
  <si>
    <t xml:space="preserve">PC-178015</t>
  </si>
  <si>
    <t xml:space="preserve">Part 8: provision of 5 no. residential terraced units (all two storey) and all</t>
  </si>
  <si>
    <t xml:space="preserve">PC-188004</t>
  </si>
  <si>
    <t xml:space="preserve">Part 8: (i) provision of 5 no. residential units (3 no. 2 bedroom houses and 2</t>
  </si>
  <si>
    <t xml:space="preserve">PC-197016</t>
  </si>
  <si>
    <t xml:space="preserve">€800k - Residential Development, Ballingarry</t>
  </si>
  <si>
    <t xml:space="preserve">PC-20678</t>
  </si>
  <si>
    <t xml:space="preserve">€864k - Residential Development, Tournafulla</t>
  </si>
  <si>
    <t xml:space="preserve">PC-23283</t>
  </si>
  <si>
    <t xml:space="preserve">€907k - Change of Use to 4 Apartments </t>
  </si>
  <si>
    <t xml:space="preserve">PC-2560211</t>
  </si>
  <si>
    <t xml:space="preserve">€800k - 4 Apartments </t>
  </si>
  <si>
    <t xml:space="preserve">PC-1872</t>
  </si>
  <si>
    <t xml:space="preserve">€554k - 4 Houses </t>
  </si>
  <si>
    <t xml:space="preserve">PC-18618</t>
  </si>
  <si>
    <t xml:space="preserve">€529k - 4 Houses </t>
  </si>
  <si>
    <t xml:space="preserve">PC-2561323</t>
  </si>
  <si>
    <t xml:space="preserve">€757k - 4 Apartments, Castletroy</t>
  </si>
  <si>
    <t xml:space="preserve">PC-2360546</t>
  </si>
  <si>
    <t xml:space="preserve">€686k - 4 Dwellings</t>
  </si>
  <si>
    <t xml:space="preserve">PC-Part81033981</t>
  </si>
  <si>
    <t xml:space="preserve">€960k - Residential Development</t>
  </si>
  <si>
    <t xml:space="preserve">PC-Part81316160</t>
  </si>
  <si>
    <t xml:space="preserve">€705k - Radharc an Ghleanna Residential Development, Mountcollins</t>
  </si>
  <si>
    <t xml:space="preserve">PC-Part81378081</t>
  </si>
  <si>
    <t xml:space="preserve">€879k - 4 Houses</t>
  </si>
  <si>
    <t xml:space="preserve">PC-Part81378805</t>
  </si>
  <si>
    <t xml:space="preserve">€800k - Housing Development</t>
  </si>
  <si>
    <t xml:space="preserve">PC-2360207</t>
  </si>
  <si>
    <t xml:space="preserve">€680k - 3 Houses </t>
  </si>
  <si>
    <t xml:space="preserve">PC-2360493</t>
  </si>
  <si>
    <t xml:space="preserve">€1.4m - 3 Houses </t>
  </si>
  <si>
    <t xml:space="preserve">PC-2460299</t>
  </si>
  <si>
    <t xml:space="preserve">€884k - 3 Houses</t>
  </si>
  <si>
    <t xml:space="preserve">PC-20361</t>
  </si>
  <si>
    <t xml:space="preserve">€648k - 3 Houses </t>
  </si>
  <si>
    <t xml:space="preserve">PC-2460004</t>
  </si>
  <si>
    <t xml:space="preserve">€755k - Change of Use to 3 Apartments </t>
  </si>
  <si>
    <t xml:space="preserve">PC-198008</t>
  </si>
  <si>
    <t xml:space="preserve">Part 8: (a) provision of 3 no. residential two-storey terraced units comprisin</t>
  </si>
  <si>
    <t xml:space="preserve">PC-19841</t>
  </si>
  <si>
    <t xml:space="preserve">€618k - 2 Apartments </t>
  </si>
  <si>
    <t xml:space="preserve">PC-191255</t>
  </si>
  <si>
    <t xml:space="preserve">€572k - Residential Development, Kilmallock</t>
  </si>
  <si>
    <t xml:space="preserve">PC-20857</t>
  </si>
  <si>
    <t xml:space="preserve">€543k - 2 Houses </t>
  </si>
  <si>
    <t xml:space="preserve">PC-21853</t>
  </si>
  <si>
    <t xml:space="preserve">€622k - 2 Houses</t>
  </si>
  <si>
    <t xml:space="preserve">PC-20341</t>
  </si>
  <si>
    <t xml:space="preserve">€574k - Extension to Pub </t>
  </si>
  <si>
    <t xml:space="preserve">PC-201142</t>
  </si>
  <si>
    <t xml:space="preserve">€919k - Student Accommodation Development, Saint Gerard Street</t>
  </si>
  <si>
    <t xml:space="preserve">PC-2561232</t>
  </si>
  <si>
    <t xml:space="preserve">€9.4m - Student Accommodation Development, Limerick</t>
  </si>
  <si>
    <t xml:space="preserve">PC-19990</t>
  </si>
  <si>
    <t xml:space="preserve">€521k - 8 Houses </t>
  </si>
  <si>
    <t xml:space="preserve">PC-CIS1417205</t>
  </si>
  <si>
    <t xml:space="preserve">€1.4m - Architect Led Integrated Design Team for College Avenue Infill Housing S</t>
  </si>
  <si>
    <t xml:space="preserve">ZN-Limerick-001</t>
  </si>
  <si>
    <t xml:space="preserve">Limerick: New Residential</t>
  </si>
  <si>
    <t xml:space="preserve">New Residential</t>
  </si>
  <si>
    <t xml:space="preserve">Estimate: zoned area x developable share x density</t>
  </si>
  <si>
    <t xml:space="preserve">Limerick Development Plan 2022-2028</t>
  </si>
  <si>
    <t xml:space="preserve">County towns and villages</t>
  </si>
  <si>
    <t xml:space="preserve">ZN-Limerick-002</t>
  </si>
  <si>
    <t xml:space="preserve">Limerick: Residential Serviced Sites</t>
  </si>
  <si>
    <t xml:space="preserve">Residential Serviced Sites</t>
  </si>
  <si>
    <t xml:space="preserve">Serviced sites</t>
  </si>
  <si>
    <t xml:space="preserve">ZN-Limerick-003</t>
  </si>
  <si>
    <t xml:space="preserve">ZN-Limerick-004</t>
  </si>
  <si>
    <t xml:space="preserve">ZN-Limerick-005</t>
  </si>
  <si>
    <t xml:space="preserve">ZN-Limerick-006</t>
  </si>
  <si>
    <t xml:space="preserve">ZN-Limerick-007</t>
  </si>
  <si>
    <t xml:space="preserve">ZN-Limerick-008</t>
  </si>
  <si>
    <t xml:space="preserve">ZN-Limerick-009</t>
  </si>
  <si>
    <t xml:space="preserve">ZN-Limerick-010</t>
  </si>
  <si>
    <t xml:space="preserve">ZN-Limerick-011</t>
  </si>
  <si>
    <t xml:space="preserve">ZN-Limerick-012</t>
  </si>
  <si>
    <t xml:space="preserve">ZN-Limerick-013</t>
  </si>
  <si>
    <t xml:space="preserve">ZN-Limerick-014</t>
  </si>
  <si>
    <t xml:space="preserve">ZN-Limerick-015</t>
  </si>
  <si>
    <t xml:space="preserve">ZN-Limerick-016</t>
  </si>
  <si>
    <t xml:space="preserve">ZN-Limerick-017</t>
  </si>
  <si>
    <t xml:space="preserve">ZN-Limerick-018</t>
  </si>
  <si>
    <t xml:space="preserve">ZN-Limerick-019</t>
  </si>
  <si>
    <t xml:space="preserve">ZN-Limerick-020</t>
  </si>
  <si>
    <t xml:space="preserve">ZN-Limerick-021</t>
  </si>
  <si>
    <t xml:space="preserve">ZN-Limerick-022</t>
  </si>
  <si>
    <t xml:space="preserve">ZN-Limerick-023</t>
  </si>
  <si>
    <t xml:space="preserve">ZN-Limerick-024</t>
  </si>
  <si>
    <t xml:space="preserve">ZN-Limerick-025</t>
  </si>
  <si>
    <t xml:space="preserve">ZN-Limerick-026</t>
  </si>
  <si>
    <t xml:space="preserve">ZN-Limerick-027</t>
  </si>
  <si>
    <t xml:space="preserve">ZN-Limerick-028</t>
  </si>
  <si>
    <t xml:space="preserve">ZN-Limerick-029</t>
  </si>
  <si>
    <t xml:space="preserve">ZN-Limerick-030</t>
  </si>
  <si>
    <t xml:space="preserve">ZN-Limerick-031</t>
  </si>
  <si>
    <t xml:space="preserve">ZN-Limerick-032</t>
  </si>
  <si>
    <t xml:space="preserve">ZN-Limerick-033</t>
  </si>
  <si>
    <t xml:space="preserve">ZN-Limerick-034</t>
  </si>
  <si>
    <t xml:space="preserve">ZN-Limerick-035</t>
  </si>
  <si>
    <t xml:space="preserve">ZN-Limerick-036</t>
  </si>
  <si>
    <t xml:space="preserve">ZN-Limerick-037</t>
  </si>
  <si>
    <t xml:space="preserve">City suburbs</t>
  </si>
  <si>
    <t xml:space="preserve">ZN-Limerick-038</t>
  </si>
  <si>
    <t xml:space="preserve">ZN-Limerick-039</t>
  </si>
  <si>
    <t xml:space="preserve">ZN-Limerick-040</t>
  </si>
  <si>
    <t xml:space="preserve">ZN-Limerick-041</t>
  </si>
  <si>
    <t xml:space="preserve">ZN-Rathkeale-001</t>
  </si>
  <si>
    <t xml:space="preserve">Rathkeale: New Residential</t>
  </si>
  <si>
    <t xml:space="preserve">Rathkeale Local Area Plan 2023-2029</t>
  </si>
  <si>
    <t xml:space="preserve">ZN-Rathkeale-002</t>
  </si>
  <si>
    <t xml:space="preserve">ZN-Patrickswell-001</t>
  </si>
  <si>
    <t xml:space="preserve">Patrickswell: New Residential - Phase 1</t>
  </si>
  <si>
    <t xml:space="preserve">New Residential - Phase 1</t>
  </si>
  <si>
    <t xml:space="preserve">Patrickswell Local Area Plan 2024-2030</t>
  </si>
  <si>
    <t xml:space="preserve">ZN-Patrickswell-002</t>
  </si>
  <si>
    <t xml:space="preserve">ZN-Patrickswell-003</t>
  </si>
  <si>
    <t xml:space="preserve">Patrickswell: Residential Serviced Sites</t>
  </si>
  <si>
    <t xml:space="preserve">Zoned in the Patrickswell Local Area Plan 2024-2030</t>
  </si>
  <si>
    <t xml:space="preserve">ZN-Abbeyfeale-001</t>
  </si>
  <si>
    <t xml:space="preserve">Abbeyfeale: New Residential</t>
  </si>
  <si>
    <t xml:space="preserve">Abbeyfeale Local Area PLan 2023-2029</t>
  </si>
  <si>
    <t xml:space="preserve">Zoned in the Abbeyfeale Local Area PLan 2023-2029</t>
  </si>
  <si>
    <t xml:space="preserve">ZN-NewcastleWes-001</t>
  </si>
  <si>
    <t xml:space="preserve">Newcastle West: New Residential</t>
  </si>
  <si>
    <t xml:space="preserve">Newcastle West Local Area Plan 2023-2029</t>
  </si>
  <si>
    <t xml:space="preserve">ZN-NewcastleWes-002</t>
  </si>
  <si>
    <t xml:space="preserve">Zoned in the Newcastle West Local Area Plan 2023-2029</t>
  </si>
  <si>
    <t xml:space="preserve">ZN-NewcastleWes-003</t>
  </si>
  <si>
    <t xml:space="preserve">Newcastle West: Residential Serviced Sites</t>
  </si>
  <si>
    <t xml:space="preserve">ZN-Croom-001</t>
  </si>
  <si>
    <t xml:space="preserve">Croom: Residential Service Sites - Phase 1</t>
  </si>
  <si>
    <t xml:space="preserve">Residential Service Sites - Phase 1</t>
  </si>
  <si>
    <t xml:space="preserve">Croom Local Area Plan 2020-2026</t>
  </si>
  <si>
    <t xml:space="preserve">ZN-NewcastleWes-004</t>
  </si>
  <si>
    <t xml:space="preserve">ZN-Rathkeale-003</t>
  </si>
  <si>
    <t xml:space="preserve">ZN-Caherconlish-001</t>
  </si>
  <si>
    <t xml:space="preserve">Caherconlish: New Residential</t>
  </si>
  <si>
    <t xml:space="preserve">Caherconlish Local Area Plan 2023-2029</t>
  </si>
  <si>
    <t xml:space="preserve">ZN-Abbeyfeale-002</t>
  </si>
  <si>
    <t xml:space="preserve">ZN-Adare-001</t>
  </si>
  <si>
    <t xml:space="preserve">Adare: Residential Serviced Sites</t>
  </si>
  <si>
    <t xml:space="preserve">Adare Local Area Plan 2024-2030</t>
  </si>
  <si>
    <t xml:space="preserve">Zoned in the Adare Local Area Plan 2024-2030</t>
  </si>
  <si>
    <t xml:space="preserve">ZN-Castleconnel-001</t>
  </si>
  <si>
    <t xml:space="preserve">Castleconnell: New Residential</t>
  </si>
  <si>
    <t xml:space="preserve">Castleconnell Local Area Plan 2023-2029</t>
  </si>
  <si>
    <t xml:space="preserve">ZN-Kilmallock-001</t>
  </si>
  <si>
    <t xml:space="preserve">Kilmallock: Residential Development Area - Phase 1</t>
  </si>
  <si>
    <t xml:space="preserve">Residential Development Area - Phase 1</t>
  </si>
  <si>
    <t xml:space="preserve">Kilmallock Local Area Plan 2019-2025</t>
  </si>
  <si>
    <t xml:space="preserve">Zoned in the Kilmallock Local Area Plan 2019-2025</t>
  </si>
  <si>
    <t xml:space="preserve">ZN-NewcastleWes-005</t>
  </si>
  <si>
    <t xml:space="preserve">ZN-Abbeyfeale-003</t>
  </si>
  <si>
    <t xml:space="preserve">Abbeyfeale: Residential Serviced Sites</t>
  </si>
  <si>
    <t xml:space="preserve">ZN-NewcastleWes-006</t>
  </si>
  <si>
    <t xml:space="preserve">ZN-Castleconnel-002</t>
  </si>
  <si>
    <t xml:space="preserve">Castleconnell: Residential Serviced Sites</t>
  </si>
  <si>
    <t xml:space="preserve">Zoned in the Castleconnell Local Area Plan 2023-2029</t>
  </si>
  <si>
    <t xml:space="preserve">ZN-Patrickswell-004</t>
  </si>
  <si>
    <t xml:space="preserve">ZN-Kilmallock-002</t>
  </si>
  <si>
    <t xml:space="preserve">ZN-Kilmallock-003</t>
  </si>
  <si>
    <t xml:space="preserve">ZN-NewcastleWes-007</t>
  </si>
  <si>
    <t xml:space="preserve">ZN-Croom-002</t>
  </si>
  <si>
    <t xml:space="preserve">Croom: Residential Development Area - Phase 1</t>
  </si>
  <si>
    <t xml:space="preserve">ZN-Rathkeale-004</t>
  </si>
  <si>
    <t xml:space="preserve">ZN-Adare-002</t>
  </si>
  <si>
    <t xml:space="preserve">Adare: New Residential</t>
  </si>
  <si>
    <t xml:space="preserve">ZN-Adare-003</t>
  </si>
  <si>
    <t xml:space="preserve">ZN-Patrickswell-005</t>
  </si>
  <si>
    <t xml:space="preserve">Patrickswell: New Residential - Phase 2</t>
  </si>
  <si>
    <t xml:space="preserve">New Residential - Phase 2</t>
  </si>
  <si>
    <t xml:space="preserve">ZN-Patrickswell-006</t>
  </si>
  <si>
    <t xml:space="preserve">ZN-Patrickswell-007</t>
  </si>
  <si>
    <t xml:space="preserve">ZN-Patrickswell-008</t>
  </si>
  <si>
    <t xml:space="preserve">ZN-Castleconnel-003</t>
  </si>
  <si>
    <t xml:space="preserve">ZN-Castleconnel-004</t>
  </si>
  <si>
    <t xml:space="preserve">ZN-Croom-003</t>
  </si>
  <si>
    <t xml:space="preserve">ZN-Castleconnel-005</t>
  </si>
  <si>
    <t xml:space="preserve">ZN-NewcastleWes-008</t>
  </si>
  <si>
    <t xml:space="preserve">ZN-NewcastleWes-009</t>
  </si>
  <si>
    <t xml:space="preserve">ZN-Caherconlish-002</t>
  </si>
  <si>
    <t xml:space="preserve">ZN-Abbeyfeale-004</t>
  </si>
  <si>
    <t xml:space="preserve">ZN-Adare-004</t>
  </si>
  <si>
    <t xml:space="preserve">ZN-NewcastleWes-010</t>
  </si>
  <si>
    <t xml:space="preserve">ZN-Adare-005</t>
  </si>
  <si>
    <t xml:space="preserve">ZN-Croom-004</t>
  </si>
  <si>
    <t xml:space="preserve">ZN-Rathkeale-005</t>
  </si>
  <si>
    <t xml:space="preserve">ZN-NewcastleWes-011</t>
  </si>
  <si>
    <t xml:space="preserve">ZN-Caherconlish-003</t>
  </si>
  <si>
    <t xml:space="preserve">ZN-Castleconnel-006</t>
  </si>
  <si>
    <t xml:space="preserve">ZN-Adare-006</t>
  </si>
  <si>
    <t xml:space="preserve">ZN-Rathkeale-006</t>
  </si>
  <si>
    <t xml:space="preserve">ZN-Kilmallock-004</t>
  </si>
  <si>
    <t xml:space="preserve">ZN-NewcastleWes-012</t>
  </si>
  <si>
    <t xml:space="preserve">ZN-NewcastleWes-013</t>
  </si>
  <si>
    <t xml:space="preserve">ZN-Croom-005</t>
  </si>
  <si>
    <t xml:space="preserve">ZN-Kilmallock-005</t>
  </si>
  <si>
    <t xml:space="preserve">ZN-Rathkeale-007</t>
  </si>
  <si>
    <t xml:space="preserve">Rathkeale: Residential Serviced Sites</t>
  </si>
  <si>
    <t xml:space="preserve">Zoned in the Rathkeale Local Area Plan 2023-2029</t>
  </si>
  <si>
    <t xml:space="preserve">ZN-NewcastleWes-014</t>
  </si>
  <si>
    <t xml:space="preserve">ZN-Castleconnel-007</t>
  </si>
  <si>
    <t xml:space="preserve">ZN-Croom-006</t>
  </si>
  <si>
    <t xml:space="preserve">ZN-Kilmallock-006</t>
  </si>
  <si>
    <t xml:space="preserve">Kilmallock: Residential Service Sites - Phase 1</t>
  </si>
  <si>
    <t xml:space="preserve">ZN-Abbeyfeale-005</t>
  </si>
  <si>
    <t xml:space="preserve">ZN-Abbeyfeale-006</t>
  </si>
  <si>
    <t xml:space="preserve">ZN-Castleconnel-008</t>
  </si>
  <si>
    <t xml:space="preserve">ZN-Patrickswell-009</t>
  </si>
  <si>
    <t xml:space="preserve">ZN-Rathkeale-008</t>
  </si>
  <si>
    <t xml:space="preserve">ZN-NewcastleWes-015</t>
  </si>
  <si>
    <t xml:space="preserve">ZN-Caherconlish-004</t>
  </si>
  <si>
    <t xml:space="preserve">ZN-Caherconlish-005</t>
  </si>
  <si>
    <t xml:space="preserve">Caherconlish: Residential Serviced Sites</t>
  </si>
  <si>
    <t xml:space="preserve">ZN-Abbeyfeale-007</t>
  </si>
  <si>
    <t xml:space="preserve">ZN-Kilmallock-007</t>
  </si>
  <si>
    <t xml:space="preserve">ZN-Croom-007</t>
  </si>
  <si>
    <t xml:space="preserve">ZN-Rathkeale-009</t>
  </si>
  <si>
    <t xml:space="preserve">ZN-NewcastleWes-016</t>
  </si>
  <si>
    <t xml:space="preserve">ZN-Castleconnel-009</t>
  </si>
  <si>
    <t xml:space="preserve">ZN-Kilmallock-008</t>
  </si>
  <si>
    <t xml:space="preserve">ZN-Kilmallock-009</t>
  </si>
  <si>
    <t xml:space="preserve">ZN-Caherconlish-006</t>
  </si>
  <si>
    <t xml:space="preserve">ZN-NewcastleWes-017</t>
  </si>
  <si>
    <t xml:space="preserve">ZN-NewcastleWes-018</t>
  </si>
  <si>
    <t xml:space="preserve">ZN-NewcastleWes-019</t>
  </si>
  <si>
    <t xml:space="preserve">ZN-Rathkeale-010</t>
  </si>
  <si>
    <t xml:space="preserve">ZN-Adare-007</t>
  </si>
  <si>
    <t xml:space="preserve">pid</t>
  </si>
  <si>
    <t xml:space="preserve">ref</t>
  </si>
  <si>
    <t xml:space="preserve">scheme</t>
  </si>
  <si>
    <t xml:space="preserve">units</t>
  </si>
  <si>
    <t xml:space="preserve">beds</t>
  </si>
  <si>
    <t xml:space="preserve">status</t>
  </si>
  <si>
    <t xml:space="preserve">counts</t>
  </si>
  <si>
    <t xml:space="preserve">rel</t>
  </si>
  <si>
    <t xml:space="preserve">tenure</t>
  </si>
  <si>
    <t xml:space="preserve">body</t>
  </si>
  <si>
    <t xml:space="preserve">route</t>
  </si>
  <si>
    <t xml:space="preserve">grant</t>
  </si>
  <si>
    <t xml:space="preserve">expiry</t>
  </si>
  <si>
    <t xml:space="preserve">sos</t>
  </si>
  <si>
    <t xml:space="preserve">estst</t>
  </si>
  <si>
    <t xml:space="preserve">estend</t>
  </si>
  <si>
    <t xml:space="preserve">conf</t>
  </si>
  <si>
    <t xml:space="preserve">statsrc</t>
  </si>
  <si>
    <t xml:space="preserve">geodsug</t>
  </si>
  <si>
    <t xml:space="preserve">gy</t>
  </si>
  <si>
    <t xml:space="preserve">sy</t>
  </si>
  <si>
    <t xml:space="preserve">ey</t>
  </si>
  <si>
    <t xml:space="preserve">counted</t>
  </si>
  <si>
    <t xml:space="preserve">live</t>
  </si>
  <si>
    <t xml:space="preserve">1005377</t>
  </si>
  <si>
    <t xml:space="preserve">187029</t>
  </si>
  <si>
    <t xml:space="preserve">Extension of duration (parent not in CIS)</t>
  </si>
  <si>
    <t xml:space="preserve">Delivered</t>
  </si>
  <si>
    <t xml:space="preserve">CIS / building control</t>
  </si>
  <si>
    <t xml:space="preserve">1007351</t>
  </si>
  <si>
    <t xml:space="preserve">188013</t>
  </si>
  <si>
    <t xml:space="preserve">Primary</t>
  </si>
  <si>
    <t xml:space="preserve">2027 Q3</t>
  </si>
  <si>
    <t xml:space="preserve">2029 Q2</t>
  </si>
  <si>
    <t xml:space="preserve">Low</t>
  </si>
  <si>
    <t xml:space="preserve">1009370</t>
  </si>
  <si>
    <t xml:space="preserve">18892</t>
  </si>
  <si>
    <t xml:space="preserve">2019 Q3</t>
  </si>
  <si>
    <t xml:space="preserve">2027 Q4</t>
  </si>
  <si>
    <t xml:space="preserve">High</t>
  </si>
  <si>
    <t xml:space="preserve">1014706</t>
  </si>
  <si>
    <t xml:space="preserve">18994</t>
  </si>
  <si>
    <t xml:space="preserve">1015929</t>
  </si>
  <si>
    <t xml:space="preserve">Not projected</t>
  </si>
  <si>
    <t xml:space="preserve">Under construction – check</t>
  </si>
  <si>
    <t xml:space="preserve">1015932</t>
  </si>
  <si>
    <t xml:space="preserve">188014</t>
  </si>
  <si>
    <t xml:space="preserve">1022341</t>
  </si>
  <si>
    <t xml:space="preserve">187040</t>
  </si>
  <si>
    <t xml:space="preserve">2020 Q4</t>
  </si>
  <si>
    <t xml:space="preserve">1036712</t>
  </si>
  <si>
    <t xml:space="preserve">19233</t>
  </si>
  <si>
    <t xml:space="preserve">Fewer addresses than units – check</t>
  </si>
  <si>
    <t xml:space="preserve">1045472</t>
  </si>
  <si>
    <t xml:space="preserve">188001</t>
  </si>
  <si>
    <t xml:space="preserve">1050624</t>
  </si>
  <si>
    <t xml:space="preserve">198003</t>
  </si>
  <si>
    <t xml:space="preserve">2022 Q3</t>
  </si>
  <si>
    <t xml:space="preserve">GeoDirectory 2026-06-09</t>
  </si>
  <si>
    <t xml:space="preserve">Complete – applied</t>
  </si>
  <si>
    <t xml:space="preserve">1051821</t>
  </si>
  <si>
    <t xml:space="preserve">19552</t>
  </si>
  <si>
    <t xml:space="preserve">1053166</t>
  </si>
  <si>
    <t xml:space="preserve">197016</t>
  </si>
  <si>
    <t xml:space="preserve">2021 Q3</t>
  </si>
  <si>
    <t xml:space="preserve">1054214</t>
  </si>
  <si>
    <t xml:space="preserve">198004</t>
  </si>
  <si>
    <t xml:space="preserve">€6m - Residential Development, King's Island</t>
  </si>
  <si>
    <t xml:space="preserve">Additional application on site</t>
  </si>
  <si>
    <t xml:space="preserve">2029 Q1</t>
  </si>
  <si>
    <t xml:space="preserve">1058796</t>
  </si>
  <si>
    <t xml:space="preserve">19710</t>
  </si>
  <si>
    <t xml:space="preserve">€8.5m - Student Accommodation Development, Former Hassett’s Bar</t>
  </si>
  <si>
    <t xml:space="preserve">1058813</t>
  </si>
  <si>
    <t xml:space="preserve">198005</t>
  </si>
  <si>
    <t xml:space="preserve">1063948</t>
  </si>
  <si>
    <t xml:space="preserve">Part 8 - 1063948</t>
  </si>
  <si>
    <t xml:space="preserve">2021 Q2</t>
  </si>
  <si>
    <t xml:space="preserve">1064271</t>
  </si>
  <si>
    <t xml:space="preserve">19841</t>
  </si>
  <si>
    <t xml:space="preserve">2023 Q3</t>
  </si>
  <si>
    <t xml:space="preserve">1065269</t>
  </si>
  <si>
    <t xml:space="preserve">198007</t>
  </si>
  <si>
    <t xml:space="preserve">1065293</t>
  </si>
  <si>
    <t xml:space="preserve">19872</t>
  </si>
  <si>
    <t xml:space="preserve">2024 Q2</t>
  </si>
  <si>
    <t xml:space="preserve">1071780</t>
  </si>
  <si>
    <t xml:space="preserve">198009</t>
  </si>
  <si>
    <t xml:space="preserve">1081912</t>
  </si>
  <si>
    <t xml:space="preserve">191255</t>
  </si>
  <si>
    <t xml:space="preserve">1084266</t>
  </si>
  <si>
    <t xml:space="preserve">191298</t>
  </si>
  <si>
    <t xml:space="preserve">1098119</t>
  </si>
  <si>
    <t xml:space="preserve">20314</t>
  </si>
  <si>
    <t xml:space="preserve">2021 Q4</t>
  </si>
  <si>
    <t xml:space="preserve">1099323</t>
  </si>
  <si>
    <t xml:space="preserve">20341</t>
  </si>
  <si>
    <t xml:space="preserve">1112715</t>
  </si>
  <si>
    <t xml:space="preserve">20622</t>
  </si>
  <si>
    <t xml:space="preserve">1114096</t>
  </si>
  <si>
    <t xml:space="preserve">20678</t>
  </si>
  <si>
    <t xml:space="preserve">1120093</t>
  </si>
  <si>
    <t xml:space="preserve">20827</t>
  </si>
  <si>
    <t xml:space="preserve">€864k - 4 Houses </t>
  </si>
  <si>
    <t xml:space="preserve">1121263</t>
  </si>
  <si>
    <t xml:space="preserve">20857</t>
  </si>
  <si>
    <t xml:space="preserve">2022 Q4</t>
  </si>
  <si>
    <t xml:space="preserve">1129627</t>
  </si>
  <si>
    <t xml:space="preserve">201074</t>
  </si>
  <si>
    <t xml:space="preserve">2023 Q2</t>
  </si>
  <si>
    <t xml:space="preserve">1130829</t>
  </si>
  <si>
    <t xml:space="preserve">201101</t>
  </si>
  <si>
    <t xml:space="preserve">2024 Q3</t>
  </si>
  <si>
    <t xml:space="preserve">1132789</t>
  </si>
  <si>
    <t xml:space="preserve">201142</t>
  </si>
  <si>
    <t xml:space="preserve">1144674</t>
  </si>
  <si>
    <t xml:space="preserve">2148</t>
  </si>
  <si>
    <t xml:space="preserve">No new addresses found – check location</t>
  </si>
  <si>
    <t xml:space="preserve">1152091</t>
  </si>
  <si>
    <t xml:space="preserve">21240</t>
  </si>
  <si>
    <t xml:space="preserve">1156999</t>
  </si>
  <si>
    <t xml:space="preserve">21342</t>
  </si>
  <si>
    <t xml:space="preserve">1162677</t>
  </si>
  <si>
    <t xml:space="preserve">21520</t>
  </si>
  <si>
    <t xml:space="preserve">€6.5m - Housing Development Limerick</t>
  </si>
  <si>
    <t xml:space="preserve">1163033</t>
  </si>
  <si>
    <t xml:space="preserve">ABPREF309999</t>
  </si>
  <si>
    <t xml:space="preserve">€30m - Residential Development, Annacotty</t>
  </si>
  <si>
    <t xml:space="preserve">1164066</t>
  </si>
  <si>
    <t xml:space="preserve">21550</t>
  </si>
  <si>
    <t xml:space="preserve">1184979</t>
  </si>
  <si>
    <t xml:space="preserve">211170</t>
  </si>
  <si>
    <t xml:space="preserve">1188558</t>
  </si>
  <si>
    <t xml:space="preserve">211257</t>
  </si>
  <si>
    <t xml:space="preserve">1193931</t>
  </si>
  <si>
    <t xml:space="preserve">211395</t>
  </si>
  <si>
    <t xml:space="preserve">2026 Q1</t>
  </si>
  <si>
    <t xml:space="preserve">1194302</t>
  </si>
  <si>
    <t xml:space="preserve">ABPREF311588</t>
  </si>
  <si>
    <t xml:space="preserve">€66m - Greenpark SHD Residential Development, Dock Road, Limerick </t>
  </si>
  <si>
    <t xml:space="preserve">2030 Q4</t>
  </si>
  <si>
    <t xml:space="preserve">1195465</t>
  </si>
  <si>
    <t xml:space="preserve">211454</t>
  </si>
  <si>
    <t xml:space="preserve">1201358</t>
  </si>
  <si>
    <t xml:space="preserve">Part 8 - 1201358</t>
  </si>
  <si>
    <t xml:space="preserve">€2.4m - Residential Development, Broadford </t>
  </si>
  <si>
    <t xml:space="preserve">2029 Q3</t>
  </si>
  <si>
    <t xml:space="preserve">1202244</t>
  </si>
  <si>
    <t xml:space="preserve">211640</t>
  </si>
  <si>
    <t xml:space="preserve">€3.8m - Residential Development, Curry Lane</t>
  </si>
  <si>
    <t xml:space="preserve">1205019</t>
  </si>
  <si>
    <t xml:space="preserve">218013</t>
  </si>
  <si>
    <t xml:space="preserve">1213266</t>
  </si>
  <si>
    <t xml:space="preserve">228000</t>
  </si>
  <si>
    <t xml:space="preserve">2025 Q2</t>
  </si>
  <si>
    <t xml:space="preserve">1214059</t>
  </si>
  <si>
    <t xml:space="preserve">ABPREF312683</t>
  </si>
  <si>
    <t xml:space="preserve">€27.5m - Clonmacken Gardens Housing Development, Limerick</t>
  </si>
  <si>
    <t xml:space="preserve">1221693</t>
  </si>
  <si>
    <t xml:space="preserve">ABPREF313124</t>
  </si>
  <si>
    <t xml:space="preserve">€76m - Residential Development, Raheen</t>
  </si>
  <si>
    <t xml:space="preserve">2031 Q4</t>
  </si>
  <si>
    <t xml:space="preserve">1223809</t>
  </si>
  <si>
    <t xml:space="preserve">22394</t>
  </si>
  <si>
    <t xml:space="preserve">1225380</t>
  </si>
  <si>
    <t xml:space="preserve">22410</t>
  </si>
  <si>
    <t xml:space="preserve">1237333</t>
  </si>
  <si>
    <t xml:space="preserve">228013</t>
  </si>
  <si>
    <t xml:space="preserve">2025 Q4</t>
  </si>
  <si>
    <t xml:space="preserve">1242233</t>
  </si>
  <si>
    <t xml:space="preserve">22817</t>
  </si>
  <si>
    <t xml:space="preserve">€11m - Residential Development, Limerick</t>
  </si>
  <si>
    <t xml:space="preserve">2030 Q1</t>
  </si>
  <si>
    <t xml:space="preserve">1243349</t>
  </si>
  <si>
    <t xml:space="preserve">22840</t>
  </si>
  <si>
    <t xml:space="preserve">2024 Q1</t>
  </si>
  <si>
    <t xml:space="preserve">1247398</t>
  </si>
  <si>
    <t xml:space="preserve">22950</t>
  </si>
  <si>
    <t xml:space="preserve">€13.9m - Lidl Mixed Use Development , Ballysimon</t>
  </si>
  <si>
    <t xml:space="preserve">1256924</t>
  </si>
  <si>
    <t xml:space="preserve">221172</t>
  </si>
  <si>
    <t xml:space="preserve">2028 Q4</t>
  </si>
  <si>
    <t xml:space="preserve">1258052</t>
  </si>
  <si>
    <t xml:space="preserve">221189</t>
  </si>
  <si>
    <t xml:space="preserve">1258895</t>
  </si>
  <si>
    <t xml:space="preserve">228020</t>
  </si>
  <si>
    <t xml:space="preserve">1259753</t>
  </si>
  <si>
    <t xml:space="preserve">221216</t>
  </si>
  <si>
    <t xml:space="preserve">€14m - Old Dublin Road Student Village LRD, Limerick City</t>
  </si>
  <si>
    <t xml:space="preserve">2024 Q4</t>
  </si>
  <si>
    <t xml:space="preserve">2027 Q2</t>
  </si>
  <si>
    <t xml:space="preserve">1262614</t>
  </si>
  <si>
    <t xml:space="preserve">221318</t>
  </si>
  <si>
    <t xml:space="preserve">2025 Q1</t>
  </si>
  <si>
    <t xml:space="preserve">1265188</t>
  </si>
  <si>
    <t xml:space="preserve">221400</t>
  </si>
  <si>
    <t xml:space="preserve">€10.4m - Residential Development, Thomondgate</t>
  </si>
  <si>
    <t xml:space="preserve">1266613</t>
  </si>
  <si>
    <t xml:space="preserve">2326</t>
  </si>
  <si>
    <t xml:space="preserve">1278179</t>
  </si>
  <si>
    <t xml:space="preserve">2360148</t>
  </si>
  <si>
    <t xml:space="preserve">€1.5m - 3 Community Houses</t>
  </si>
  <si>
    <t xml:space="preserve">1283723</t>
  </si>
  <si>
    <t xml:space="preserve">2360207</t>
  </si>
  <si>
    <t xml:space="preserve">1286254</t>
  </si>
  <si>
    <t xml:space="preserve">2360263</t>
  </si>
  <si>
    <t xml:space="preserve">1290708</t>
  </si>
  <si>
    <t xml:space="preserve">2360345</t>
  </si>
  <si>
    <t xml:space="preserve">1292276</t>
  </si>
  <si>
    <t xml:space="preserve">23283</t>
  </si>
  <si>
    <t xml:space="preserve">1299520</t>
  </si>
  <si>
    <t xml:space="preserve">2360493</t>
  </si>
  <si>
    <t xml:space="preserve">1306162</t>
  </si>
  <si>
    <t xml:space="preserve">2360615</t>
  </si>
  <si>
    <t xml:space="preserve">1310783</t>
  </si>
  <si>
    <t xml:space="preserve">2360706</t>
  </si>
  <si>
    <t xml:space="preserve">1316492</t>
  </si>
  <si>
    <t xml:space="preserve">2360794</t>
  </si>
  <si>
    <t xml:space="preserve">2029 Q4</t>
  </si>
  <si>
    <t xml:space="preserve">1317302</t>
  </si>
  <si>
    <t xml:space="preserve">23529</t>
  </si>
  <si>
    <t xml:space="preserve">2028 Q2</t>
  </si>
  <si>
    <t xml:space="preserve">1318536</t>
  </si>
  <si>
    <t xml:space="preserve">2360826</t>
  </si>
  <si>
    <t xml:space="preserve">1320420</t>
  </si>
  <si>
    <t xml:space="preserve">2360866</t>
  </si>
  <si>
    <t xml:space="preserve">1325143</t>
  </si>
  <si>
    <t xml:space="preserve">2360951</t>
  </si>
  <si>
    <t xml:space="preserve">€28m - Mixed Use Development, Moyross</t>
  </si>
  <si>
    <t xml:space="preserve">2026 Q2</t>
  </si>
  <si>
    <t xml:space="preserve">2028 Q3</t>
  </si>
  <si>
    <t xml:space="preserve">1329797</t>
  </si>
  <si>
    <t xml:space="preserve">2460075</t>
  </si>
  <si>
    <t xml:space="preserve">1333345</t>
  </si>
  <si>
    <t xml:space="preserve">2460151</t>
  </si>
  <si>
    <t xml:space="preserve">2028 Q1</t>
  </si>
  <si>
    <t xml:space="preserve">1339954</t>
  </si>
  <si>
    <t xml:space="preserve">2460299</t>
  </si>
  <si>
    <t xml:space="preserve">1345677</t>
  </si>
  <si>
    <t xml:space="preserve">Part 8 - 1345677</t>
  </si>
  <si>
    <t xml:space="preserve">1350850</t>
  </si>
  <si>
    <t xml:space="preserve">2460568</t>
  </si>
  <si>
    <t xml:space="preserve">1350852</t>
  </si>
  <si>
    <t xml:space="preserve">2460570</t>
  </si>
  <si>
    <t xml:space="preserve">1357447</t>
  </si>
  <si>
    <t xml:space="preserve">2460713</t>
  </si>
  <si>
    <t xml:space="preserve">€4.2m - Apartment Development, Limerick City</t>
  </si>
  <si>
    <t xml:space="preserve">Medium</t>
  </si>
  <si>
    <t xml:space="preserve">1360553</t>
  </si>
  <si>
    <t xml:space="preserve">248132</t>
  </si>
  <si>
    <t xml:space="preserve">1360674</t>
  </si>
  <si>
    <t xml:space="preserve">2460788</t>
  </si>
  <si>
    <t xml:space="preserve">1363541</t>
  </si>
  <si>
    <t xml:space="preserve">CE/2019/087</t>
  </si>
  <si>
    <t xml:space="preserve">1363543</t>
  </si>
  <si>
    <t xml:space="preserve">Part 8 - 1363543</t>
  </si>
  <si>
    <t xml:space="preserve">1366163</t>
  </si>
  <si>
    <t xml:space="preserve">24352</t>
  </si>
  <si>
    <t xml:space="preserve">1379266</t>
  </si>
  <si>
    <t xml:space="preserve">2461182</t>
  </si>
  <si>
    <t xml:space="preserve">1382991</t>
  </si>
  <si>
    <t xml:space="preserve">2461282</t>
  </si>
  <si>
    <t xml:space="preserve">€32m - LRD, Mungret</t>
  </si>
  <si>
    <t xml:space="preserve">1383405</t>
  </si>
  <si>
    <t xml:space="preserve">2461298</t>
  </si>
  <si>
    <t xml:space="preserve">1384661</t>
  </si>
  <si>
    <t xml:space="preserve">2560001</t>
  </si>
  <si>
    <t xml:space="preserve">1389800</t>
  </si>
  <si>
    <t xml:space="preserve">2560113</t>
  </si>
  <si>
    <t xml:space="preserve">€87m - Student Accommodation, Castletroy</t>
  </si>
  <si>
    <t xml:space="preserve">1392454</t>
  </si>
  <si>
    <t xml:space="preserve">Part 8 - 1392454</t>
  </si>
  <si>
    <t xml:space="preserve">1395070</t>
  </si>
  <si>
    <t xml:space="preserve">2560211</t>
  </si>
  <si>
    <t xml:space="preserve">1401743</t>
  </si>
  <si>
    <t xml:space="preserve">2560365</t>
  </si>
  <si>
    <t xml:space="preserve">1402906</t>
  </si>
  <si>
    <t xml:space="preserve">2560399</t>
  </si>
  <si>
    <t xml:space="preserve">€16.4m - Residential Development </t>
  </si>
  <si>
    <t xml:space="preserve">1411773</t>
  </si>
  <si>
    <t xml:space="preserve">2560771</t>
  </si>
  <si>
    <t xml:space="preserve">2030 Q2</t>
  </si>
  <si>
    <t xml:space="preserve">1414007</t>
  </si>
  <si>
    <t xml:space="preserve">2560947</t>
  </si>
  <si>
    <t xml:space="preserve">1414128</t>
  </si>
  <si>
    <t xml:space="preserve">2560953</t>
  </si>
  <si>
    <t xml:space="preserve">€4.8m - Residential Development, Limerick</t>
  </si>
  <si>
    <t xml:space="preserve">1417746</t>
  </si>
  <si>
    <t xml:space="preserve">2561232</t>
  </si>
  <si>
    <t xml:space="preserve">1423228</t>
  </si>
  <si>
    <t xml:space="preserve">2660089</t>
  </si>
  <si>
    <t xml:space="preserve">€42m - Large Residential Development, Castletroy</t>
  </si>
  <si>
    <t xml:space="preserve">2037 Q3</t>
  </si>
  <si>
    <t xml:space="preserve">1424781</t>
  </si>
  <si>
    <t xml:space="preserve">2560977</t>
  </si>
  <si>
    <t xml:space="preserve">1428325</t>
  </si>
  <si>
    <t xml:space="preserve">2660275</t>
  </si>
  <si>
    <t xml:space="preserve">€42m - Large Residential Development,Limerick</t>
  </si>
  <si>
    <t xml:space="preserve">2032 Q3</t>
  </si>
  <si>
    <t xml:space="preserve">1432711</t>
  </si>
  <si>
    <t xml:space="preserve">2660396</t>
  </si>
  <si>
    <t xml:space="preserve">€39m - Large Residential Development, Mungret</t>
  </si>
  <si>
    <t xml:space="preserve">2032 Q1</t>
  </si>
  <si>
    <t xml:space="preserve">1437215</t>
  </si>
  <si>
    <t xml:space="preserve">2660603</t>
  </si>
  <si>
    <t xml:space="preserve">€84m - Parkway Valley LRD, Singland</t>
  </si>
  <si>
    <t xml:space="preserve">2036 Q2</t>
  </si>
  <si>
    <t xml:space="preserve">1444384</t>
  </si>
  <si>
    <t xml:space="preserve">2660779</t>
  </si>
  <si>
    <t xml:space="preserve">1446288</t>
  </si>
  <si>
    <t xml:space="preserve">2660241</t>
  </si>
  <si>
    <t xml:space="preserve">€125.6m - Large Residential Development, Castletroy</t>
  </si>
  <si>
    <t xml:space="preserve">2038 Q2</t>
  </si>
  <si>
    <t xml:space="preserve">895586</t>
  </si>
  <si>
    <t xml:space="preserve">191060</t>
  </si>
  <si>
    <t xml:space="preserve">974045</t>
  </si>
  <si>
    <t xml:space="preserve">1872</t>
  </si>
  <si>
    <t xml:space="preserve">978022</t>
  </si>
  <si>
    <t xml:space="preserve">18168</t>
  </si>
  <si>
    <t xml:space="preserve">€3m - Mixed Use Development</t>
  </si>
  <si>
    <t xml:space="preserve">980328</t>
  </si>
  <si>
    <t xml:space="preserve">18219</t>
  </si>
  <si>
    <t xml:space="preserve">981494</t>
  </si>
  <si>
    <t xml:space="preserve">188002</t>
  </si>
  <si>
    <t xml:space="preserve">991834</t>
  </si>
  <si>
    <t xml:space="preserve">18496</t>
  </si>
  <si>
    <t xml:space="preserve">997576</t>
  </si>
  <si>
    <t xml:space="preserve">187020</t>
  </si>
  <si>
    <t xml:space="preserve">998747</t>
  </si>
  <si>
    <t xml:space="preserve">188007</t>
  </si>
  <si>
    <t xml:space="preserve">999956</t>
  </si>
  <si>
    <t xml:space="preserve">188008</t>
  </si>
  <si>
    <t xml:space="preserve">999957</t>
  </si>
  <si>
    <t xml:space="preserve">188009</t>
  </si>
  <si>
    <t xml:space="preserve">999958</t>
  </si>
  <si>
    <t xml:space="preserve">188010</t>
  </si>
  <si>
    <t xml:space="preserve">€2.2m - Residential Development </t>
  </si>
  <si>
    <t xml:space="preserve">971158</t>
  </si>
  <si>
    <t xml:space="preserve">187001</t>
  </si>
  <si>
    <t xml:space="preserve">€18.9m - Housing Development </t>
  </si>
  <si>
    <t xml:space="preserve">1131237</t>
  </si>
  <si>
    <t xml:space="preserve">201115</t>
  </si>
  <si>
    <t xml:space="preserve">1136132</t>
  </si>
  <si>
    <t xml:space="preserve">201114</t>
  </si>
  <si>
    <t xml:space="preserve">€19.4m - Residential Development, Mungret</t>
  </si>
  <si>
    <t xml:space="preserve">2022 Q1</t>
  </si>
  <si>
    <t xml:space="preserve">973082</t>
  </si>
  <si>
    <t xml:space="preserve">1855</t>
  </si>
  <si>
    <t xml:space="preserve">€4.8m - Residential Development, Castletroy</t>
  </si>
  <si>
    <t xml:space="preserve">2018 Q3</t>
  </si>
  <si>
    <t xml:space="preserve">1100331</t>
  </si>
  <si>
    <t xml:space="preserve">20361</t>
  </si>
  <si>
    <t xml:space="preserve">1174250</t>
  </si>
  <si>
    <t xml:space="preserve">21853</t>
  </si>
  <si>
    <t xml:space="preserve">1397299</t>
  </si>
  <si>
    <t xml:space="preserve">2560271</t>
  </si>
  <si>
    <t xml:space="preserve">€21m - Residential Development, Castletroy</t>
  </si>
  <si>
    <t xml:space="preserve">979081</t>
  </si>
  <si>
    <t xml:space="preserve">18200</t>
  </si>
  <si>
    <t xml:space="preserve">€5.9m - Residential Development, Patrickswell</t>
  </si>
  <si>
    <t xml:space="preserve">1023413</t>
  </si>
  <si>
    <t xml:space="preserve">181193</t>
  </si>
  <si>
    <t xml:space="preserve">1045778</t>
  </si>
  <si>
    <t xml:space="preserve">19444</t>
  </si>
  <si>
    <t xml:space="preserve">€2.2m - Housing Development </t>
  </si>
  <si>
    <t xml:space="preserve">985986</t>
  </si>
  <si>
    <t xml:space="preserve">18346</t>
  </si>
  <si>
    <t xml:space="preserve">€6.3m - Residential Development, Patrickswell</t>
  </si>
  <si>
    <t xml:space="preserve">1057729</t>
  </si>
  <si>
    <t xml:space="preserve">19689</t>
  </si>
  <si>
    <t xml:space="preserve">1097151</t>
  </si>
  <si>
    <t xml:space="preserve">20281</t>
  </si>
  <si>
    <t xml:space="preserve">€12m - Residential Development, Patrickswell</t>
  </si>
  <si>
    <t xml:space="preserve">1174682</t>
  </si>
  <si>
    <t xml:space="preserve">21873</t>
  </si>
  <si>
    <t xml:space="preserve">1248017</t>
  </si>
  <si>
    <t xml:space="preserve">228017</t>
  </si>
  <si>
    <t xml:space="preserve">2026 Q3</t>
  </si>
  <si>
    <t xml:space="preserve">1248404</t>
  </si>
  <si>
    <t xml:space="preserve">Part 8 - 1248404</t>
  </si>
  <si>
    <t xml:space="preserve">1391914</t>
  </si>
  <si>
    <t xml:space="preserve">2560156</t>
  </si>
  <si>
    <t xml:space="preserve">1409727</t>
  </si>
  <si>
    <t xml:space="preserve">2560633</t>
  </si>
  <si>
    <t xml:space="preserve">1409934</t>
  </si>
  <si>
    <t xml:space="preserve">2560653</t>
  </si>
  <si>
    <t xml:space="preserve">€9.4m - Residential Development</t>
  </si>
  <si>
    <t xml:space="preserve">1417511</t>
  </si>
  <si>
    <t xml:space="preserve">2561228</t>
  </si>
  <si>
    <t xml:space="preserve">990309</t>
  </si>
  <si>
    <t xml:space="preserve">18434</t>
  </si>
  <si>
    <t xml:space="preserve">1025215</t>
  </si>
  <si>
    <t xml:space="preserve">181270</t>
  </si>
  <si>
    <t xml:space="preserve">€5.8m - Housing Development</t>
  </si>
  <si>
    <t xml:space="preserve">990340</t>
  </si>
  <si>
    <t xml:space="preserve">18465</t>
  </si>
  <si>
    <t xml:space="preserve">€3.4m - Residential Development, Mungret</t>
  </si>
  <si>
    <t xml:space="preserve">Additional phase</t>
  </si>
  <si>
    <t xml:space="preserve">1103803</t>
  </si>
  <si>
    <t xml:space="preserve">20467</t>
  </si>
  <si>
    <t xml:space="preserve">997554</t>
  </si>
  <si>
    <t xml:space="preserve">18618</t>
  </si>
  <si>
    <t xml:space="preserve">1024750</t>
  </si>
  <si>
    <t xml:space="preserve">181243</t>
  </si>
  <si>
    <t xml:space="preserve">1347165</t>
  </si>
  <si>
    <t xml:space="preserve">2460468</t>
  </si>
  <si>
    <t xml:space="preserve">999946</t>
  </si>
  <si>
    <t xml:space="preserve">18698</t>
  </si>
  <si>
    <t xml:space="preserve">€4.6m - Residential Development </t>
  </si>
  <si>
    <t xml:space="preserve">1019118</t>
  </si>
  <si>
    <t xml:space="preserve">181104</t>
  </si>
  <si>
    <t xml:space="preserve">1019119</t>
  </si>
  <si>
    <t xml:space="preserve">181105</t>
  </si>
  <si>
    <t xml:space="preserve">€2.3m - Housing Development</t>
  </si>
  <si>
    <t xml:space="preserve">1051816</t>
  </si>
  <si>
    <t xml:space="preserve">19547</t>
  </si>
  <si>
    <t xml:space="preserve">€18m - Residential Development, Castletroy</t>
  </si>
  <si>
    <t xml:space="preserve">2022 Q2</t>
  </si>
  <si>
    <t xml:space="preserve">1081200</t>
  </si>
  <si>
    <t xml:space="preserve">191236</t>
  </si>
  <si>
    <t xml:space="preserve">€16m - Housing Development</t>
  </si>
  <si>
    <t xml:space="preserve">1157003</t>
  </si>
  <si>
    <t xml:space="preserve">21350</t>
  </si>
  <si>
    <t xml:space="preserve">Replaces earlier</t>
  </si>
  <si>
    <t xml:space="preserve">1184347</t>
  </si>
  <si>
    <t xml:space="preserve">211152</t>
  </si>
  <si>
    <t xml:space="preserve">1193936</t>
  </si>
  <si>
    <t xml:space="preserve">211400</t>
  </si>
  <si>
    <t xml:space="preserve">€21m - Newtow Meadows Development, Phase 4, Castletroy</t>
  </si>
  <si>
    <t xml:space="preserve">1010675</t>
  </si>
  <si>
    <t xml:space="preserve">187031</t>
  </si>
  <si>
    <t xml:space="preserve">€11m - Residential Development, Castletroy</t>
  </si>
  <si>
    <t xml:space="preserve">1139440</t>
  </si>
  <si>
    <t xml:space="preserve">201320</t>
  </si>
  <si>
    <t xml:space="preserve">€3.7m - Residential Development, Newcastle</t>
  </si>
  <si>
    <t xml:space="preserve">1049430</t>
  </si>
  <si>
    <t xml:space="preserve">19518</t>
  </si>
  <si>
    <t xml:space="preserve">1327846</t>
  </si>
  <si>
    <t xml:space="preserve">2460030</t>
  </si>
  <si>
    <t xml:space="preserve">€2.9m - Residential Development</t>
  </si>
  <si>
    <t xml:space="preserve">1061120</t>
  </si>
  <si>
    <t xml:space="preserve">19769</t>
  </si>
  <si>
    <t xml:space="preserve">2021 Q1</t>
  </si>
  <si>
    <t xml:space="preserve">1069596</t>
  </si>
  <si>
    <t xml:space="preserve">19970</t>
  </si>
  <si>
    <t xml:space="preserve">1070656</t>
  </si>
  <si>
    <t xml:space="preserve">19990</t>
  </si>
  <si>
    <t xml:space="preserve">1134847</t>
  </si>
  <si>
    <t xml:space="preserve">201195</t>
  </si>
  <si>
    <t xml:space="preserve">1163125</t>
  </si>
  <si>
    <t xml:space="preserve">21532</t>
  </si>
  <si>
    <t xml:space="preserve">1186980</t>
  </si>
  <si>
    <t xml:space="preserve">211217</t>
  </si>
  <si>
    <t xml:space="preserve">1187172</t>
  </si>
  <si>
    <t xml:space="preserve">211216</t>
  </si>
  <si>
    <t xml:space="preserve">1072840</t>
  </si>
  <si>
    <t xml:space="preserve">191037</t>
  </si>
  <si>
    <t xml:space="preserve">1075116</t>
  </si>
  <si>
    <t xml:space="preserve">197025</t>
  </si>
  <si>
    <t xml:space="preserve">1073938</t>
  </si>
  <si>
    <t xml:space="preserve">198010</t>
  </si>
  <si>
    <t xml:space="preserve">1250091</t>
  </si>
  <si>
    <t xml:space="preserve">22990</t>
  </si>
  <si>
    <t xml:space="preserve">1316491</t>
  </si>
  <si>
    <t xml:space="preserve">2360793</t>
  </si>
  <si>
    <t xml:space="preserve">€6.1m - Residential Development, Adare</t>
  </si>
  <si>
    <t xml:space="preserve">1340202</t>
  </si>
  <si>
    <t xml:space="preserve">2460304</t>
  </si>
  <si>
    <t xml:space="preserve">1079275</t>
  </si>
  <si>
    <t xml:space="preserve">191184</t>
  </si>
  <si>
    <t xml:space="preserve">€790k -  5 Houses </t>
  </si>
  <si>
    <t xml:space="preserve">1293390</t>
  </si>
  <si>
    <t xml:space="preserve">2360393</t>
  </si>
  <si>
    <t xml:space="preserve">1094519</t>
  </si>
  <si>
    <t xml:space="preserve">20222</t>
  </si>
  <si>
    <t xml:space="preserve">€8.9m - Mixed Use Development, 34-41 Catherine Street</t>
  </si>
  <si>
    <t xml:space="preserve">1417885</t>
  </si>
  <si>
    <t xml:space="preserve">2561242</t>
  </si>
  <si>
    <t xml:space="preserve">1103802</t>
  </si>
  <si>
    <t xml:space="preserve">20466</t>
  </si>
  <si>
    <t xml:space="preserve">€1.7m - 8 Apartments</t>
  </si>
  <si>
    <t xml:space="preserve">1264538</t>
  </si>
  <si>
    <t xml:space="preserve">221381</t>
  </si>
  <si>
    <t xml:space="preserve">1114461</t>
  </si>
  <si>
    <t xml:space="preserve">ABPREF307631</t>
  </si>
  <si>
    <t xml:space="preserve">1196488</t>
  </si>
  <si>
    <t xml:space="preserve">211475</t>
  </si>
  <si>
    <t xml:space="preserve">€4.9m - Residential Development, Castletroy</t>
  </si>
  <si>
    <t xml:space="preserve">1419374</t>
  </si>
  <si>
    <t xml:space="preserve">2561323</t>
  </si>
  <si>
    <t xml:space="preserve">1147240</t>
  </si>
  <si>
    <t xml:space="preserve">218000</t>
  </si>
  <si>
    <t xml:space="preserve">€47m - The Mungret Project</t>
  </si>
  <si>
    <t xml:space="preserve">2031 Q3</t>
  </si>
  <si>
    <t xml:space="preserve">1417769</t>
  </si>
  <si>
    <t xml:space="preserve">2561231</t>
  </si>
  <si>
    <t xml:space="preserve">€32.5m - Large Residential Development, Mungret</t>
  </si>
  <si>
    <t xml:space="preserve">1148944</t>
  </si>
  <si>
    <t xml:space="preserve">21147</t>
  </si>
  <si>
    <t xml:space="preserve">1163124</t>
  </si>
  <si>
    <t xml:space="preserve">21531</t>
  </si>
  <si>
    <t xml:space="preserve">1330186</t>
  </si>
  <si>
    <t xml:space="preserve">2460082</t>
  </si>
  <si>
    <t xml:space="preserve">€1.9m - Apartment Development </t>
  </si>
  <si>
    <t xml:space="preserve">1203836</t>
  </si>
  <si>
    <t xml:space="preserve">218012</t>
  </si>
  <si>
    <t xml:space="preserve">1172151</t>
  </si>
  <si>
    <t xml:space="preserve">217025</t>
  </si>
  <si>
    <t xml:space="preserve">€3.7m - Ardhú Apartments Refurbishment, Ennis Road</t>
  </si>
  <si>
    <t xml:space="preserve">1319462</t>
  </si>
  <si>
    <t xml:space="preserve">23557</t>
  </si>
  <si>
    <t xml:space="preserve">€33m - LRD Development, Limerick</t>
  </si>
  <si>
    <t xml:space="preserve">2025 Q3</t>
  </si>
  <si>
    <t xml:space="preserve">1173364</t>
  </si>
  <si>
    <t xml:space="preserve">21835</t>
  </si>
  <si>
    <t xml:space="preserve">€3.5m - Apartment Development, Limerick</t>
  </si>
  <si>
    <t xml:space="preserve">1314456</t>
  </si>
  <si>
    <t xml:space="preserve">2360759</t>
  </si>
  <si>
    <t xml:space="preserve">1201033</t>
  </si>
  <si>
    <t xml:space="preserve">211598</t>
  </si>
  <si>
    <t xml:space="preserve">€5.8m - Apartment/Retail Development, Limerick </t>
  </si>
  <si>
    <t xml:space="preserve">1408496</t>
  </si>
  <si>
    <t xml:space="preserve">2560546</t>
  </si>
  <si>
    <t xml:space="preserve">1207014</t>
  </si>
  <si>
    <t xml:space="preserve">211800</t>
  </si>
  <si>
    <t xml:space="preserve">€21m - Residential Development, Old Cratloe Road</t>
  </si>
  <si>
    <t xml:space="preserve">1245941</t>
  </si>
  <si>
    <t xml:space="preserve">22917</t>
  </si>
  <si>
    <t xml:space="preserve">€3.6m - Mixed Use Development, Limerick</t>
  </si>
  <si>
    <t xml:space="preserve">1248019</t>
  </si>
  <si>
    <t xml:space="preserve">22959</t>
  </si>
  <si>
    <t xml:space="preserve">€20m - Residential Development, Limerick.</t>
  </si>
  <si>
    <t xml:space="preserve">1254544</t>
  </si>
  <si>
    <t xml:space="preserve">221114</t>
  </si>
  <si>
    <t xml:space="preserve">€12.2m - Residential Development, Limerick</t>
  </si>
  <si>
    <t xml:space="preserve">1327848</t>
  </si>
  <si>
    <t xml:space="preserve">2460032</t>
  </si>
  <si>
    <t xml:space="preserve">€18.9m - Residential Development, Old Cratloe Road</t>
  </si>
  <si>
    <t xml:space="preserve">1270045</t>
  </si>
  <si>
    <t xml:space="preserve">2360025</t>
  </si>
  <si>
    <t xml:space="preserve">1245933</t>
  </si>
  <si>
    <t xml:space="preserve">228016</t>
  </si>
  <si>
    <t xml:space="preserve">€6m - Apartment Development, Limerick</t>
  </si>
  <si>
    <t xml:space="preserve">1263448</t>
  </si>
  <si>
    <t xml:space="preserve">221352</t>
  </si>
  <si>
    <t xml:space="preserve">1375398</t>
  </si>
  <si>
    <t xml:space="preserve">2461101</t>
  </si>
  <si>
    <t xml:space="preserve">1263713</t>
  </si>
  <si>
    <t xml:space="preserve">221367</t>
  </si>
  <si>
    <t xml:space="preserve">1264155</t>
  </si>
  <si>
    <t xml:space="preserve">Part 8 - 1264155</t>
  </si>
  <si>
    <t xml:space="preserve">1265040</t>
  </si>
  <si>
    <t xml:space="preserve">228023</t>
  </si>
  <si>
    <t xml:space="preserve">1409292</t>
  </si>
  <si>
    <t xml:space="preserve">2560595</t>
  </si>
  <si>
    <t xml:space="preserve">1302251</t>
  </si>
  <si>
    <t xml:space="preserve">2360546</t>
  </si>
  <si>
    <t xml:space="preserve">1316698</t>
  </si>
  <si>
    <t xml:space="preserve">2360798</t>
  </si>
  <si>
    <t xml:space="preserve">1326040</t>
  </si>
  <si>
    <t xml:space="preserve">2460004</t>
  </si>
  <si>
    <t xml:space="preserve">1327311</t>
  </si>
  <si>
    <t xml:space="preserve">2460020</t>
  </si>
  <si>
    <t xml:space="preserve">1371977</t>
  </si>
  <si>
    <t xml:space="preserve">Part 8 - 1371977</t>
  </si>
  <si>
    <t xml:space="preserve">1403973</t>
  </si>
  <si>
    <t xml:space="preserve">2560425</t>
  </si>
  <si>
    <t xml:space="preserve">2030 Q3</t>
  </si>
  <si>
    <t xml:space="preserve">1033981</t>
  </si>
  <si>
    <t xml:space="preserve">Part 8 / 1033981</t>
  </si>
  <si>
    <t xml:space="preserve">1034286</t>
  </si>
  <si>
    <t xml:space="preserve">19149</t>
  </si>
  <si>
    <t xml:space="preserve">1040199</t>
  </si>
  <si>
    <t xml:space="preserve">19302</t>
  </si>
  <si>
    <t xml:space="preserve">1157017</t>
  </si>
  <si>
    <t xml:space="preserve">21364</t>
  </si>
  <si>
    <t xml:space="preserve">1164424</t>
  </si>
  <si>
    <t xml:space="preserve">21580</t>
  </si>
  <si>
    <t xml:space="preserve">€9.6m - Residential Development </t>
  </si>
  <si>
    <t xml:space="preserve">2027 Q1</t>
  </si>
  <si>
    <t xml:space="preserve">1165485</t>
  </si>
  <si>
    <t xml:space="preserve">21594</t>
  </si>
  <si>
    <t xml:space="preserve">1166991</t>
  </si>
  <si>
    <t xml:space="preserve">21630</t>
  </si>
  <si>
    <t xml:space="preserve">1227182</t>
  </si>
  <si>
    <t xml:space="preserve">22471</t>
  </si>
  <si>
    <t xml:space="preserve">1241529</t>
  </si>
  <si>
    <t xml:space="preserve">22793</t>
  </si>
  <si>
    <t xml:space="preserve">€4.5m - Housing Development, Limerick City</t>
  </si>
  <si>
    <t xml:space="preserve">1250272</t>
  </si>
  <si>
    <t xml:space="preserve">221003</t>
  </si>
  <si>
    <t xml:space="preserve">1254537</t>
  </si>
  <si>
    <t xml:space="preserve">221107</t>
  </si>
  <si>
    <t xml:space="preserve">1277663</t>
  </si>
  <si>
    <t xml:space="preserve">2360144</t>
  </si>
  <si>
    <t xml:space="preserve">1278374</t>
  </si>
  <si>
    <t xml:space="preserve">2360150</t>
  </si>
  <si>
    <t xml:space="preserve">1310780</t>
  </si>
  <si>
    <t xml:space="preserve">2360703</t>
  </si>
  <si>
    <t xml:space="preserve">1316160</t>
  </si>
  <si>
    <t xml:space="preserve">Part 8 - 1316160</t>
  </si>
  <si>
    <t xml:space="preserve">1319159</t>
  </si>
  <si>
    <t xml:space="preserve">2360842</t>
  </si>
  <si>
    <t xml:space="preserve">1327665</t>
  </si>
  <si>
    <t xml:space="preserve">2460028</t>
  </si>
  <si>
    <t xml:space="preserve">1328561</t>
  </si>
  <si>
    <t xml:space="preserve">2460046</t>
  </si>
  <si>
    <t xml:space="preserve">1353358</t>
  </si>
  <si>
    <t xml:space="preserve">2460633</t>
  </si>
  <si>
    <t xml:space="preserve">1360912</t>
  </si>
  <si>
    <t xml:space="preserve">2660575</t>
  </si>
  <si>
    <t xml:space="preserve">1363929</t>
  </si>
  <si>
    <t xml:space="preserve">2460864</t>
  </si>
  <si>
    <t xml:space="preserve">1378081</t>
  </si>
  <si>
    <t xml:space="preserve">Part 8 - 1378081</t>
  </si>
  <si>
    <t xml:space="preserve">1378805</t>
  </si>
  <si>
    <t xml:space="preserve">Part 8 - 1378805</t>
  </si>
  <si>
    <t xml:space="preserve">1391659</t>
  </si>
  <si>
    <t xml:space="preserve">2560151</t>
  </si>
  <si>
    <t xml:space="preserve">€6.2m - Residential Development, Limerick</t>
  </si>
  <si>
    <t xml:space="preserve">1393371</t>
  </si>
  <si>
    <t xml:space="preserve">2560169</t>
  </si>
  <si>
    <t xml:space="preserve">€4.8m - Mixed Use Development, Limerick</t>
  </si>
  <si>
    <t xml:space="preserve">1408292</t>
  </si>
  <si>
    <t xml:space="preserve">2560540</t>
  </si>
  <si>
    <t xml:space="preserve">1412002</t>
  </si>
  <si>
    <t xml:space="preserve">2560780</t>
  </si>
  <si>
    <t xml:space="preserve">€95m - Dock Road LRD, Limerick</t>
  </si>
  <si>
    <t xml:space="preserve">2033 Q3</t>
  </si>
  <si>
    <t xml:space="preserve">1412257</t>
  </si>
  <si>
    <t xml:space="preserve">2560778</t>
  </si>
  <si>
    <t xml:space="preserve">€1.2m - 10 Houses, Crossagalla</t>
  </si>
  <si>
    <t xml:space="preserve">1412368</t>
  </si>
  <si>
    <t xml:space="preserve">PT8LL277</t>
  </si>
  <si>
    <t xml:space="preserve">1412942</t>
  </si>
  <si>
    <t xml:space="preserve">PT8LL283</t>
  </si>
  <si>
    <t xml:space="preserve">1414882</t>
  </si>
  <si>
    <t xml:space="preserve">258297</t>
  </si>
  <si>
    <t xml:space="preserve">1417205</t>
  </si>
  <si>
    <t xml:space="preserve">€1.4m - Architect Led Integrated Design Team for College Avenue Infill Housing Scheme,  Moyross</t>
  </si>
  <si>
    <t xml:space="preserve">1417331</t>
  </si>
  <si>
    <t xml:space="preserve">2561211</t>
  </si>
  <si>
    <t xml:space="preserve">1419395</t>
  </si>
  <si>
    <t xml:space="preserve">1419614</t>
  </si>
  <si>
    <t xml:space="preserve">258327</t>
  </si>
  <si>
    <t xml:space="preserve">€4.8m - Apartment Development, Limerick</t>
  </si>
  <si>
    <t xml:space="preserve">1422145</t>
  </si>
  <si>
    <t xml:space="preserve">€719k - Architect Led Integrated Design Team Services for 23 Residential Units, Limerick</t>
  </si>
  <si>
    <t xml:space="preserve">1422361</t>
  </si>
  <si>
    <t xml:space="preserve">2660063</t>
  </si>
  <si>
    <t xml:space="preserve">1425841</t>
  </si>
  <si>
    <t xml:space="preserve">258328</t>
  </si>
  <si>
    <t xml:space="preserve">€14m - Residential Development, Limerick</t>
  </si>
  <si>
    <t xml:space="preserve">1431510</t>
  </si>
  <si>
    <t xml:space="preserve">268371</t>
  </si>
  <si>
    <t xml:space="preserve">1433772</t>
  </si>
  <si>
    <t xml:space="preserve">Part 8-  26255726</t>
  </si>
  <si>
    <t xml:space="preserve">1438136</t>
  </si>
  <si>
    <t xml:space="preserve">268364</t>
  </si>
  <si>
    <t xml:space="preserve">1439022</t>
  </si>
  <si>
    <t xml:space="preserve">268363</t>
  </si>
  <si>
    <t xml:space="preserve">1442414</t>
  </si>
  <si>
    <t xml:space="preserve">2660652</t>
  </si>
  <si>
    <t xml:space="preserve">€540k - 4 Apartments, Limerick</t>
  </si>
  <si>
    <t xml:space="preserve">1446285</t>
  </si>
  <si>
    <t xml:space="preserve">2660232</t>
  </si>
  <si>
    <t xml:space="preserve">€7.8m - Residential Development, Abbeyfeale</t>
  </si>
  <si>
    <t xml:space="preserve">1447625</t>
  </si>
  <si>
    <t xml:space="preserve">248153</t>
  </si>
  <si>
    <t xml:space="preserve">€1.4m - Part 8 - 2 Houses &amp; 4 Apartments, Thomondghate</t>
  </si>
  <si>
    <t xml:space="preserve">837963</t>
  </si>
  <si>
    <t xml:space="preserve">15577</t>
  </si>
  <si>
    <t xml:space="preserve">REG-178013</t>
  </si>
  <si>
    <t xml:space="preserve">178013</t>
  </si>
  <si>
    <t xml:space="preserve">2019 Q2</t>
  </si>
  <si>
    <t xml:space="preserve">REG-178015</t>
  </si>
  <si>
    <t xml:space="preserve">178015</t>
  </si>
  <si>
    <t xml:space="preserve">2019 Q1</t>
  </si>
  <si>
    <t xml:space="preserve">REG-178017</t>
  </si>
  <si>
    <t xml:space="preserve">178017</t>
  </si>
  <si>
    <t xml:space="preserve">REG-178001</t>
  </si>
  <si>
    <t xml:space="preserve">178001</t>
  </si>
  <si>
    <t xml:space="preserve">REG-198008</t>
  </si>
  <si>
    <t xml:space="preserve">198008</t>
  </si>
  <si>
    <t xml:space="preserve">2020 Q2</t>
  </si>
  <si>
    <t xml:space="preserve">REG-188012</t>
  </si>
  <si>
    <t xml:space="preserve">188012</t>
  </si>
  <si>
    <t xml:space="preserve">Part 8: (a) provision of 24 no. two storey residential housing units. The unit</t>
  </si>
  <si>
    <t xml:space="preserve">2026 Q4</t>
  </si>
  <si>
    <t xml:space="preserve">REG-188004</t>
  </si>
  <si>
    <t xml:space="preserve">188004</t>
  </si>
  <si>
    <t xml:space="preserve">REG-178012</t>
  </si>
  <si>
    <t xml:space="preserve">178012</t>
  </si>
  <si>
    <t xml:space="preserve">REG-20525</t>
  </si>
  <si>
    <t xml:space="preserve">20525</t>
  </si>
  <si>
    <t xml:space="preserve">REG-24151</t>
  </si>
  <si>
    <t xml:space="preserve">24151</t>
  </si>
</sst>
</file>

<file path=xl/styles.xml><?xml version="1.0" encoding="utf-8"?>
<styleSheet xmlns="http://schemas.openxmlformats.org/spreadsheetml/2006/main">
  <numFmts count="10">
    <numFmt numFmtId="164" formatCode="General"/>
    <numFmt numFmtId="165" formatCode="#,##0;\(#,##0\);\-"/>
    <numFmt numFmtId="166" formatCode="0%"/>
    <numFmt numFmtId="167" formatCode="#,##0"/>
    <numFmt numFmtId="168" formatCode="0"/>
    <numFmt numFmtId="169" formatCode="0.0%;\(0.0%\);\-"/>
    <numFmt numFmtId="170" formatCode="0.00"/>
    <numFmt numFmtId="171" formatCode="#,##0.0;\(#,##0.0\);\-"/>
    <numFmt numFmtId="172" formatCode="0.0"/>
    <numFmt numFmtId="173" formatCode="dd/mm/yyyy"/>
  </numFmts>
  <fonts count="24">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sz val="9"/>
      <color rgb="FFDCE8F2"/>
      <name val="Arial"/>
      <family val="0"/>
      <charset val="1"/>
    </font>
    <font>
      <b val="true"/>
      <sz val="9"/>
      <color rgb="FF20656B"/>
      <name val="Arial"/>
      <family val="0"/>
      <charset val="1"/>
    </font>
    <font>
      <b val="true"/>
      <sz val="20"/>
      <color rgb="FF054D8A"/>
      <name val="Arial"/>
      <family val="0"/>
      <charset val="1"/>
    </font>
    <font>
      <i val="true"/>
      <sz val="9"/>
      <color rgb="FF6B6B6B"/>
      <name val="Arial"/>
      <family val="0"/>
      <charset val="1"/>
    </font>
    <font>
      <b val="true"/>
      <sz val="11"/>
      <color rgb="FFFFFFFF"/>
      <name val="Arial"/>
      <family val="0"/>
      <charset val="1"/>
    </font>
    <font>
      <sz val="10"/>
      <color rgb="FF3D3A38"/>
      <name val="Arial"/>
      <family val="0"/>
      <charset val="1"/>
    </font>
    <font>
      <i val="true"/>
      <sz val="8"/>
      <color rgb="FF6B6B6B"/>
      <name val="Arial"/>
      <family val="0"/>
      <charset val="1"/>
    </font>
    <font>
      <b val="true"/>
      <sz val="18"/>
      <color rgb="FF000000"/>
      <name val="Calibri"/>
      <family val="2"/>
    </font>
    <font>
      <sz val="10"/>
      <color rgb="FF000000"/>
      <name val="Calibri"/>
      <family val="2"/>
    </font>
    <font>
      <b val="true"/>
      <sz val="10"/>
      <color rgb="FF0000FF"/>
      <name val="Arial"/>
      <family val="0"/>
      <charset val="1"/>
    </font>
    <font>
      <sz val="9"/>
      <color rgb="FF6B6B6B"/>
      <name val="Arial"/>
      <family val="0"/>
      <charset val="1"/>
    </font>
    <font>
      <b val="true"/>
      <sz val="9"/>
      <color rgb="FFFFFFFF"/>
      <name val="Arial"/>
      <family val="0"/>
      <charset val="1"/>
    </font>
    <font>
      <b val="true"/>
      <sz val="10"/>
      <color rgb="FF3D3A38"/>
      <name val="Arial"/>
      <family val="0"/>
      <charset val="1"/>
    </font>
    <font>
      <sz val="10"/>
      <color rgb="FF008000"/>
      <name val="Arial"/>
      <family val="0"/>
      <charset val="1"/>
    </font>
    <font>
      <i val="true"/>
      <sz val="9"/>
      <color rgb="FF3D3A38"/>
      <name val="Arial"/>
      <family val="0"/>
      <charset val="1"/>
    </font>
    <font>
      <sz val="10"/>
      <color rgb="FF0000FF"/>
      <name val="Arial"/>
      <family val="0"/>
      <charset val="1"/>
    </font>
    <font>
      <sz val="8"/>
      <color rgb="FF808080"/>
      <name val="Arial"/>
      <family val="0"/>
      <charset val="1"/>
    </font>
    <font>
      <b val="true"/>
      <sz val="10"/>
      <color rgb="FFFFFFFF"/>
      <name val="Arial"/>
      <family val="0"/>
      <charset val="1"/>
    </font>
    <font>
      <sz val="9"/>
      <color rgb="FF3D3A38"/>
      <name val="Arial"/>
      <family val="0"/>
      <charset val="1"/>
    </font>
  </fonts>
  <fills count="10">
    <fill>
      <patternFill patternType="none"/>
    </fill>
    <fill>
      <patternFill patternType="gray125"/>
    </fill>
    <fill>
      <patternFill patternType="solid">
        <fgColor rgb="FF054D8A"/>
        <bgColor rgb="FF20656B"/>
      </patternFill>
    </fill>
    <fill>
      <patternFill patternType="solid">
        <fgColor rgb="FF5FA34A"/>
        <bgColor rgb="FF878787"/>
      </patternFill>
    </fill>
    <fill>
      <patternFill patternType="solid">
        <fgColor rgb="FFE6EEF5"/>
        <bgColor rgb="FFE9F3E5"/>
      </patternFill>
    </fill>
    <fill>
      <patternFill patternType="solid">
        <fgColor rgb="FF20656B"/>
        <bgColor rgb="FF054D8A"/>
      </patternFill>
    </fill>
    <fill>
      <patternFill patternType="solid">
        <fgColor rgb="FFFFF6D6"/>
        <bgColor rgb="FFF8F6F2"/>
      </patternFill>
    </fill>
    <fill>
      <patternFill patternType="solid">
        <fgColor rgb="FFFFFFFF"/>
        <bgColor rgb="FFF8F6F2"/>
      </patternFill>
    </fill>
    <fill>
      <patternFill patternType="solid">
        <fgColor rgb="FFF8F6F2"/>
        <bgColor rgb="FFFFFFFF"/>
      </patternFill>
    </fill>
    <fill>
      <patternFill patternType="solid">
        <fgColor rgb="FFE9F3E5"/>
        <bgColor rgb="FFE6EEF5"/>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4" borderId="0" xfId="0" applyFont="true" applyBorder="true" applyAlignment="true" applyProtection="false">
      <alignment horizontal="center" vertical="center" textRotation="0" wrapText="true" indent="0" shrinkToFit="false"/>
      <protection locked="true" hidden="false"/>
    </xf>
    <xf numFmtId="165" fontId="7" fillId="4" borderId="0" xfId="0" applyFont="true" applyBorder="true" applyAlignment="true" applyProtection="false">
      <alignment horizontal="center" vertical="center" textRotation="0" wrapText="true" indent="0" shrinkToFit="false"/>
      <protection locked="true" hidden="false"/>
    </xf>
    <xf numFmtId="166" fontId="7" fillId="4" borderId="0"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5" borderId="0" xfId="0" applyFont="tru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4" fillId="6" borderId="1"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5" fontId="14" fillId="6" borderId="1" xfId="0" applyFont="true" applyBorder="true" applyAlignment="false" applyProtection="false">
      <alignment horizontal="general" vertical="bottom" textRotation="0" wrapText="false" indent="0" shrinkToFit="false"/>
      <protection locked="true" hidden="false"/>
    </xf>
    <xf numFmtId="166" fontId="14" fillId="6" borderId="1" xfId="0" applyFont="true" applyBorder="tru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70" fontId="14" fillId="6" borderId="1" xfId="0" applyFont="true" applyBorder="true" applyAlignment="false" applyProtection="false">
      <alignment horizontal="general" vertical="bottom" textRotation="0" wrapText="false" indent="0" shrinkToFit="false"/>
      <protection locked="true" hidden="false"/>
    </xf>
    <xf numFmtId="168" fontId="14" fillId="6" borderId="1" xfId="0" applyFont="true" applyBorder="true" applyAlignment="false" applyProtection="false">
      <alignment horizontal="general" vertical="bottom" textRotation="0" wrapText="false" indent="0" shrinkToFit="false"/>
      <protection locked="true" hidden="false"/>
    </xf>
    <xf numFmtId="169" fontId="14" fillId="6" borderId="1" xfId="0" applyFont="true" applyBorder="true" applyAlignment="false" applyProtection="false">
      <alignment horizontal="general" vertical="bottom" textRotation="0" wrapText="false" indent="0" shrinkToFit="false"/>
      <protection locked="true" hidden="false"/>
    </xf>
    <xf numFmtId="164" fontId="16" fillId="2" borderId="0" xfId="0" applyFont="true" applyBorder="false" applyAlignment="true" applyProtection="false">
      <alignment horizontal="center" vertical="center" textRotation="0" wrapText="true" indent="0" shrinkToFit="false"/>
      <protection locked="true" hidden="false"/>
    </xf>
    <xf numFmtId="164" fontId="10" fillId="7" borderId="0" xfId="0" applyFont="true" applyBorder="false" applyAlignment="false" applyProtection="false">
      <alignment horizontal="general" vertical="bottom" textRotation="0" wrapText="false" indent="0" shrinkToFit="false"/>
      <protection locked="true" hidden="false"/>
    </xf>
    <xf numFmtId="168" fontId="17"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4" fontId="17" fillId="8" borderId="0" xfId="0" applyFont="true" applyBorder="false" applyAlignment="false" applyProtection="false">
      <alignment horizontal="general" vertical="bottom" textRotation="0" wrapText="false" indent="0" shrinkToFit="false"/>
      <protection locked="true" hidden="false"/>
    </xf>
    <xf numFmtId="165" fontId="17" fillId="8"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9" fontId="1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5" fontId="18"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9" fontId="17" fillId="8" borderId="0" xfId="0" applyFont="true" applyBorder="false" applyAlignment="false" applyProtection="false">
      <alignment horizontal="general" vertical="bottom" textRotation="0" wrapText="false" indent="0" shrinkToFit="false"/>
      <protection locked="true" hidden="false"/>
    </xf>
    <xf numFmtId="164" fontId="17" fillId="8"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xf numFmtId="171" fontId="10" fillId="0" borderId="0" xfId="0" applyFont="true" applyBorder="false" applyAlignment="false" applyProtection="false">
      <alignment horizontal="general" vertical="bottom" textRotation="0" wrapText="false" indent="0" shrinkToFit="false"/>
      <protection locked="true" hidden="false"/>
    </xf>
    <xf numFmtId="164" fontId="10" fillId="8" borderId="0" xfId="0" applyFont="true" applyBorder="false" applyAlignment="false" applyProtection="false">
      <alignment horizontal="general" vertical="bottom" textRotation="0" wrapText="false" indent="0" shrinkToFit="false"/>
      <protection locked="true" hidden="false"/>
    </xf>
    <xf numFmtId="171" fontId="17" fillId="8" borderId="0" xfId="0" applyFont="true" applyBorder="false" applyAlignment="false" applyProtection="false">
      <alignment horizontal="general" vertical="bottom" textRotation="0" wrapText="false" indent="0" shrinkToFit="false"/>
      <protection locked="true" hidden="false"/>
    </xf>
    <xf numFmtId="172" fontId="10" fillId="0" borderId="0" xfId="0" applyFont="true" applyBorder="false" applyAlignment="false" applyProtection="false">
      <alignment horizontal="general" vertical="bottom" textRotation="0" wrapText="false" indent="0" shrinkToFit="false"/>
      <protection locked="true" hidden="false"/>
    </xf>
    <xf numFmtId="172" fontId="17" fillId="8"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center" vertical="center" textRotation="0" wrapText="true" indent="0" shrinkToFit="false"/>
      <protection locked="true" hidden="false"/>
    </xf>
    <xf numFmtId="172" fontId="17" fillId="0" borderId="0" xfId="0" applyFont="true" applyBorder="false" applyAlignment="false" applyProtection="false">
      <alignment horizontal="general" vertical="bottom" textRotation="0" wrapText="false" indent="0" shrinkToFit="false"/>
      <protection locked="true" hidden="false"/>
    </xf>
    <xf numFmtId="165" fontId="17" fillId="0" borderId="0" xfId="0" applyFont="true" applyBorder="false" applyAlignment="false" applyProtection="false">
      <alignment horizontal="general" vertical="bottom" textRotation="0" wrapText="false" indent="0" shrinkToFit="false"/>
      <protection locked="true" hidden="false"/>
    </xf>
    <xf numFmtId="169" fontId="17" fillId="9"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true" applyAlignment="false" applyProtection="false">
      <alignment horizontal="general" vertical="bottom" textRotation="0" wrapText="false" indent="0" shrinkToFit="false"/>
      <protection locked="true" hidden="false"/>
    </xf>
    <xf numFmtId="164" fontId="22" fillId="2" borderId="0" xfId="0" applyFont="true" applyBorder="false" applyAlignment="false" applyProtection="false">
      <alignment horizontal="general" vertical="bottom" textRotation="0" wrapText="false" indent="0" shrinkToFit="false"/>
      <protection locked="true" hidden="false"/>
    </xf>
    <xf numFmtId="164" fontId="17" fillId="9" borderId="0" xfId="0" applyFont="true" applyBorder="false" applyAlignment="false" applyProtection="false">
      <alignment horizontal="general" vertical="bottom" textRotation="0" wrapText="false" indent="0" shrinkToFit="false"/>
      <protection locked="true" hidden="false"/>
    </xf>
    <xf numFmtId="165" fontId="17" fillId="9" borderId="0" xfId="0" applyFont="true" applyBorder="false" applyAlignment="false" applyProtection="false">
      <alignment horizontal="general" vertical="bottom" textRotation="0" wrapText="false" indent="0" shrinkToFit="false"/>
      <protection locked="true" hidden="false"/>
    </xf>
    <xf numFmtId="171" fontId="18" fillId="0" borderId="0" xfId="0" applyFont="true" applyBorder="false" applyAlignment="false" applyProtection="false">
      <alignment horizontal="general" vertical="bottom" textRotation="0" wrapText="false" indent="0" shrinkToFit="false"/>
      <protection locked="true" hidden="false"/>
    </xf>
    <xf numFmtId="171" fontId="17" fillId="9" borderId="0" xfId="0" applyFont="true" applyBorder="false" applyAlignment="false" applyProtection="false">
      <alignment horizontal="general" vertical="bottom" textRotation="0" wrapText="false" indent="0" shrinkToFit="false"/>
      <protection locked="true" hidden="false"/>
    </xf>
    <xf numFmtId="171" fontId="17" fillId="0" borderId="0" xfId="0" applyFont="true" applyBorder="false" applyAlignment="false" applyProtection="false">
      <alignment horizontal="general" vertical="bottom" textRotation="0" wrapText="false" indent="0" shrinkToFit="false"/>
      <protection locked="true" hidden="false"/>
    </xf>
    <xf numFmtId="164" fontId="16" fillId="2"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73" fontId="23"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0656B"/>
      <rgbColor rgb="FFC0C0C0"/>
      <rgbColor rgb="FF808080"/>
      <rgbColor rgb="FF9999FF"/>
      <rgbColor rgb="FF993366"/>
      <rgbColor rgb="FFFFF6D6"/>
      <rgbColor rgb="FFE6EEF5"/>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CE8F2"/>
      <rgbColor rgb="FFE9F3E5"/>
      <rgbColor rgb="FFF8F6F2"/>
      <rgbColor rgb="FF99CCFF"/>
      <rgbColor rgb="FFFF99CC"/>
      <rgbColor rgb="FFCC99FF"/>
      <rgbColor rgb="FFFFCC99"/>
      <rgbColor rgb="FF3366FF"/>
      <rgbColor rgb="FF33CCCC"/>
      <rgbColor rgb="FF99CC00"/>
      <rgbColor rgb="FFE8C547"/>
      <rgbColor rgb="FFFF9900"/>
      <rgbColor rgb="FFFF6600"/>
      <rgbColor rgb="FF6B6B6B"/>
      <rgbColor rgb="FF878787"/>
      <rgbColor rgb="FF054D8A"/>
      <rgbColor rgb="FF5FA34A"/>
      <rgbColor rgb="FF003300"/>
      <rgbColor rgb="FF333300"/>
      <rgbColor rgb="FF993300"/>
      <rgbColor rgb="FF993366"/>
      <rgbColor rgb="FF333399"/>
      <rgbColor rgb="FF3D3A3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Fair-share requirement vs deliverable supply, by location</a:t>
            </a:r>
          </a:p>
        </c:rich>
      </c:tx>
      <c:overlay val="0"/>
      <c:spPr>
        <a:noFill/>
        <a:ln w="0">
          <a:noFill/>
        </a:ln>
      </c:spPr>
    </c:title>
    <c:autoTitleDeleted val="0"/>
    <c:plotArea>
      <c:barChart>
        <c:barDir val="col"/>
        <c:grouping val="clustered"/>
        <c:varyColors val="0"/>
        <c:ser>
          <c:idx val="0"/>
          <c:order val="0"/>
          <c:tx>
            <c:strRef>
              <c:f>"Requirement"</c:f>
              <c:strCache>
                <c:ptCount val="1"/>
                <c:pt idx="0">
                  <c:v>Requirement</c:v>
                </c:pt>
              </c:strCache>
            </c:strRef>
          </c:tx>
          <c:spPr>
            <a:solidFill>
              <a:srgbClr val="054d8a"/>
            </a:solidFill>
            <a:ln w="0">
              <a:solidFill>
                <a:srgbClr val="054d8a"/>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'5 Land Need'!$B$30:$E$30</c:f>
              <c:multiLvlStrCache>
                <c:ptCount val="1"/>
                <c:lvl>
                  <c:pt idx="0">
                    <c:v>Remainder of County</c:v>
                  </c:pt>
                </c:lvl>
                <c:lvl>
                  <c:pt idx="0">
                    <c:v>Settlements</c:v>
                  </c:pt>
                </c:lvl>
                <c:lvl>
                  <c:pt idx="0">
                    <c:v>Rest of City</c:v>
                  </c:pt>
                </c:lvl>
                <c:lvl>
                  <c:pt idx="0">
                    <c:v>City Centre</c:v>
                  </c:pt>
                </c:lvl>
              </c:multiLvlStrCache>
            </c:multiLvlStrRef>
          </c:cat>
          <c:val>
            <c:numRef>
              <c:f>'5 Land Need'!$B$32:$E$32</c:f>
              <c:numCache>
                <c:formatCode>#,##0;\(#,##0\);\-</c:formatCode>
                <c:ptCount val="4"/>
                <c:pt idx="0">
                  <c:v>6976.375</c:v>
                </c:pt>
                <c:pt idx="1">
                  <c:v>20929.125</c:v>
                </c:pt>
                <c:pt idx="2">
                  <c:v>9567.6</c:v>
                </c:pt>
                <c:pt idx="3">
                  <c:v>2391.9</c:v>
                </c:pt>
              </c:numCache>
            </c:numRef>
          </c:val>
        </c:ser>
        <c:ser>
          <c:idx val="1"/>
          <c:order val="1"/>
          <c:tx>
            <c:strRef>
              <c:f>"Deliverable, current density"</c:f>
              <c:strCache>
                <c:ptCount val="1"/>
                <c:pt idx="0">
                  <c:v>Deliverable, current density</c:v>
                </c:pt>
              </c:strCache>
            </c:strRef>
          </c:tx>
          <c:spPr>
            <a:solidFill>
              <a:srgbClr val="20656b"/>
            </a:solidFill>
            <a:ln w="0">
              <a:solidFill>
                <a:srgbClr val="20656b"/>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'5 Land Need'!$B$30:$E$30</c:f>
              <c:multiLvlStrCache>
                <c:ptCount val="1"/>
                <c:lvl>
                  <c:pt idx="0">
                    <c:v>Remainder of County</c:v>
                  </c:pt>
                </c:lvl>
                <c:lvl>
                  <c:pt idx="0">
                    <c:v>Settlements</c:v>
                  </c:pt>
                </c:lvl>
                <c:lvl>
                  <c:pt idx="0">
                    <c:v>Rest of City</c:v>
                  </c:pt>
                </c:lvl>
                <c:lvl>
                  <c:pt idx="0">
                    <c:v>City Centre</c:v>
                  </c:pt>
                </c:lvl>
              </c:multiLvlStrCache>
            </c:multiLvlStrRef>
          </c:cat>
          <c:val>
            <c:numRef>
              <c:f>'5 Land Need'!$B$41:$E$41</c:f>
              <c:numCache>
                <c:formatCode>#,##0;\(#,##0\);\-</c:formatCode>
                <c:ptCount val="4"/>
                <c:pt idx="0">
                  <c:v>3029.45</c:v>
                </c:pt>
                <c:pt idx="1">
                  <c:v>10646.85</c:v>
                </c:pt>
                <c:pt idx="2">
                  <c:v>3155.65</c:v>
                </c:pt>
                <c:pt idx="3">
                  <c:v>413.05</c:v>
                </c:pt>
              </c:numCache>
            </c:numRef>
          </c:val>
        </c:ser>
        <c:ser>
          <c:idx val="2"/>
          <c:order val="2"/>
          <c:tx>
            <c:strRef>
              <c:f>"Deliverable, increased density"</c:f>
              <c:strCache>
                <c:ptCount val="1"/>
                <c:pt idx="0">
                  <c:v>Deliverable, increased density</c:v>
                </c:pt>
              </c:strCache>
            </c:strRef>
          </c:tx>
          <c:spPr>
            <a:solidFill>
              <a:srgbClr val="5fa34a"/>
            </a:solidFill>
            <a:ln w="0">
              <a:solidFill>
                <a:srgbClr val="5fa34a"/>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'5 Land Need'!$B$30:$E$30</c:f>
              <c:multiLvlStrCache>
                <c:ptCount val="1"/>
                <c:lvl>
                  <c:pt idx="0">
                    <c:v>Remainder of County</c:v>
                  </c:pt>
                </c:lvl>
                <c:lvl>
                  <c:pt idx="0">
                    <c:v>Settlements</c:v>
                  </c:pt>
                </c:lvl>
                <c:lvl>
                  <c:pt idx="0">
                    <c:v>Rest of City</c:v>
                  </c:pt>
                </c:lvl>
                <c:lvl>
                  <c:pt idx="0">
                    <c:v>City Centre</c:v>
                  </c:pt>
                </c:lvl>
              </c:multiLvlStrCache>
            </c:multiLvlStrRef>
          </c:cat>
          <c:val>
            <c:numRef>
              <c:f>'5 Land Need'!$B$63:$E$63</c:f>
              <c:numCache>
                <c:formatCode>#,##0;\(#,##0\);\-</c:formatCode>
                <c:ptCount val="4"/>
                <c:pt idx="0">
                  <c:v>6025.98816</c:v>
                </c:pt>
                <c:pt idx="1">
                  <c:v>10646.85</c:v>
                </c:pt>
                <c:pt idx="2">
                  <c:v>3155.65</c:v>
                </c:pt>
                <c:pt idx="3">
                  <c:v>413.05</c:v>
                </c:pt>
              </c:numCache>
            </c:numRef>
          </c:val>
        </c:ser>
        <c:gapWidth val="150"/>
        <c:overlap val="0"/>
        <c:axId val="1799007"/>
        <c:axId val="47572035"/>
      </c:barChart>
      <c:catAx>
        <c:axId val="179900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7572035"/>
        <c:crosses val="autoZero"/>
        <c:auto val="1"/>
        <c:lblAlgn val="ctr"/>
        <c:lblOffset val="100"/>
        <c:noMultiLvlLbl val="0"/>
      </c:catAx>
      <c:valAx>
        <c:axId val="47572035"/>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799007"/>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Cumulative delivery vs Council target</a:t>
            </a:r>
          </a:p>
        </c:rich>
      </c:tx>
      <c:overlay val="0"/>
      <c:spPr>
        <a:noFill/>
        <a:ln w="0">
          <a:noFill/>
        </a:ln>
      </c:spPr>
    </c:title>
    <c:autoTitleDeleted val="0"/>
    <c:plotArea>
      <c:lineChart>
        <c:grouping val="standard"/>
        <c:varyColors val="0"/>
        <c:ser>
          <c:idx val="0"/>
          <c:order val="0"/>
          <c:tx>
            <c:strRef>
              <c:f>"Cumulative delivery"</c:f>
              <c:strCache>
                <c:ptCount val="1"/>
                <c:pt idx="0">
                  <c:v>Cumulative delivery</c:v>
                </c:pt>
              </c:strCache>
            </c:strRef>
          </c:tx>
          <c:spPr>
            <a:solidFill>
              <a:srgbClr val="5fa34a"/>
            </a:solidFill>
            <a:ln w="28080">
              <a:solidFill>
                <a:srgbClr val="5fa34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'4 Delivery'!$C$24:$Q$24</c:f>
              <c:multiLvlStrCache>
                <c:ptCount val="1"/>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'4 Delivery'!$C$81:$Q$81</c:f>
              <c:numCache>
                <c:formatCode>#,##0;\(#,##0\);\-</c:formatCode>
                <c:ptCount val="15"/>
                <c:pt idx="0">
                  <c:v>464.562848695968</c:v>
                </c:pt>
                <c:pt idx="1">
                  <c:v>2376.23098163397</c:v>
                </c:pt>
                <c:pt idx="2">
                  <c:v>4691.11220742237</c:v>
                </c:pt>
                <c:pt idx="3">
                  <c:v>7217.56415146125</c:v>
                </c:pt>
                <c:pt idx="4">
                  <c:v>8728.89337779127</c:v>
                </c:pt>
                <c:pt idx="5">
                  <c:v>12177.5417390403</c:v>
                </c:pt>
                <c:pt idx="6">
                  <c:v>15626.1901002894</c:v>
                </c:pt>
                <c:pt idx="7">
                  <c:v>19074.8384615385</c:v>
                </c:pt>
                <c:pt idx="8">
                  <c:v>22044.8615384615</c:v>
                </c:pt>
                <c:pt idx="9">
                  <c:v>25014.8846153846</c:v>
                </c:pt>
                <c:pt idx="10">
                  <c:v>27984.9076923077</c:v>
                </c:pt>
                <c:pt idx="11">
                  <c:v>30954.9307692308</c:v>
                </c:pt>
                <c:pt idx="12">
                  <c:v>33924.9538461539</c:v>
                </c:pt>
                <c:pt idx="13">
                  <c:v>36894.9769230769</c:v>
                </c:pt>
                <c:pt idx="14">
                  <c:v>39865</c:v>
                </c:pt>
              </c:numCache>
            </c:numRef>
          </c:val>
          <c:smooth val="0"/>
        </c:ser>
        <c:ser>
          <c:idx val="1"/>
          <c:order val="1"/>
          <c:tx>
            <c:strRef>
              <c:f>"Cumulative Council target"</c:f>
              <c:strCache>
                <c:ptCount val="1"/>
                <c:pt idx="0">
                  <c:v>Cumulative Council target</c:v>
                </c:pt>
              </c:strCache>
            </c:strRef>
          </c:tx>
          <c:spPr>
            <a:solidFill>
              <a:srgbClr val="054d8a"/>
            </a:solidFill>
            <a:ln w="28080">
              <a:solidFill>
                <a:srgbClr val="054d8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'4 Delivery'!$C$24:$Q$24</c:f>
              <c:multiLvlStrCache>
                <c:ptCount val="1"/>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'4 Delivery'!$C$82:$Q$82</c:f>
              <c:numCache>
                <c:formatCode>#,##0;\(#,##0\);\-</c:formatCode>
                <c:ptCount val="15"/>
                <c:pt idx="0">
                  <c:v>4263</c:v>
                </c:pt>
                <c:pt idx="1">
                  <c:v>8526</c:v>
                </c:pt>
                <c:pt idx="2">
                  <c:v>12789</c:v>
                </c:pt>
                <c:pt idx="3">
                  <c:v>17052</c:v>
                </c:pt>
                <c:pt idx="4">
                  <c:v>21315</c:v>
                </c:pt>
                <c:pt idx="5">
                  <c:v>23483</c:v>
                </c:pt>
                <c:pt idx="6">
                  <c:v>25651</c:v>
                </c:pt>
                <c:pt idx="7">
                  <c:v>27819</c:v>
                </c:pt>
                <c:pt idx="8">
                  <c:v>29987</c:v>
                </c:pt>
                <c:pt idx="9">
                  <c:v>32082</c:v>
                </c:pt>
                <c:pt idx="10">
                  <c:v>33669</c:v>
                </c:pt>
                <c:pt idx="11">
                  <c:v>35243</c:v>
                </c:pt>
                <c:pt idx="12">
                  <c:v>36798</c:v>
                </c:pt>
                <c:pt idx="13">
                  <c:v>38339</c:v>
                </c:pt>
                <c:pt idx="14">
                  <c:v>39864</c:v>
                </c:pt>
              </c:numCache>
            </c:numRef>
          </c:val>
          <c:smooth val="0"/>
        </c:ser>
        <c:hiLowLines>
          <c:spPr>
            <a:ln w="0">
              <a:noFill/>
            </a:ln>
          </c:spPr>
        </c:hiLowLines>
        <c:marker val="0"/>
        <c:axId val="37207499"/>
        <c:axId val="25515515"/>
      </c:lineChart>
      <c:catAx>
        <c:axId val="3720749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5515515"/>
        <c:crosses val="autoZero"/>
        <c:auto val="1"/>
        <c:lblAlgn val="ctr"/>
        <c:lblOffset val="100"/>
        <c:noMultiLvlLbl val="0"/>
      </c:catAx>
      <c:valAx>
        <c:axId val="25515515"/>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7207499"/>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Land to zone (ha), by location</a:t>
            </a:r>
          </a:p>
        </c:rich>
      </c:tx>
      <c:overlay val="0"/>
      <c:spPr>
        <a:noFill/>
        <a:ln w="0">
          <a:noFill/>
        </a:ln>
      </c:spPr>
    </c:title>
    <c:autoTitleDeleted val="0"/>
    <c:plotArea>
      <c:barChart>
        <c:barDir val="col"/>
        <c:grouping val="clustered"/>
        <c:varyColors val="0"/>
        <c:ser>
          <c:idx val="0"/>
          <c:order val="0"/>
          <c:tx>
            <c:strRef>
              <c:f>"Current density"</c:f>
              <c:strCache>
                <c:ptCount val="1"/>
                <c:pt idx="0">
                  <c:v>Current density</c:v>
                </c:pt>
              </c:strCache>
            </c:strRef>
          </c:tx>
          <c:spPr>
            <a:solidFill>
              <a:srgbClr val="054d8a"/>
            </a:solidFill>
            <a:ln w="0">
              <a:solidFill>
                <a:srgbClr val="054d8a"/>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'5 Land Need'!$B$30:$E$30</c:f>
              <c:multiLvlStrCache>
                <c:ptCount val="1"/>
                <c:lvl>
                  <c:pt idx="0">
                    <c:v>Remainder of County</c:v>
                  </c:pt>
                </c:lvl>
                <c:lvl>
                  <c:pt idx="0">
                    <c:v>Settlements</c:v>
                  </c:pt>
                </c:lvl>
                <c:lvl>
                  <c:pt idx="0">
                    <c:v>Rest of City</c:v>
                  </c:pt>
                </c:lvl>
                <c:lvl>
                  <c:pt idx="0">
                    <c:v>City Centre</c:v>
                  </c:pt>
                </c:lvl>
              </c:multiLvlStrCache>
            </c:multiLvlStrRef>
          </c:cat>
          <c:val>
            <c:numRef>
              <c:f>'5 Land Need'!$B$47:$E$47</c:f>
              <c:numCache>
                <c:formatCode>#,##0.0;\(#,##0.0\);\-</c:formatCode>
                <c:ptCount val="4"/>
                <c:pt idx="0">
                  <c:v>124.523840681562</c:v>
                </c:pt>
                <c:pt idx="1">
                  <c:v>415.411885908209</c:v>
                </c:pt>
                <c:pt idx="2">
                  <c:v>375.159966329893</c:v>
                </c:pt>
                <c:pt idx="3">
                  <c:v>120.374518538766</c:v>
                </c:pt>
              </c:numCache>
            </c:numRef>
          </c:val>
        </c:ser>
        <c:ser>
          <c:idx val="1"/>
          <c:order val="1"/>
          <c:tx>
            <c:strRef>
              <c:f>"Increased density"</c:f>
              <c:strCache>
                <c:ptCount val="1"/>
                <c:pt idx="0">
                  <c:v>Increased density</c:v>
                </c:pt>
              </c:strCache>
            </c:strRef>
          </c:tx>
          <c:spPr>
            <a:solidFill>
              <a:srgbClr val="5fa34a"/>
            </a:solidFill>
            <a:ln w="0">
              <a:solidFill>
                <a:srgbClr val="5fa34a"/>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'5 Land Need'!$B$30:$E$30</c:f>
              <c:multiLvlStrCache>
                <c:ptCount val="1"/>
                <c:lvl>
                  <c:pt idx="0">
                    <c:v>Remainder of County</c:v>
                  </c:pt>
                </c:lvl>
                <c:lvl>
                  <c:pt idx="0">
                    <c:v>Settlements</c:v>
                  </c:pt>
                </c:lvl>
                <c:lvl>
                  <c:pt idx="0">
                    <c:v>Rest of City</c:v>
                  </c:pt>
                </c:lvl>
                <c:lvl>
                  <c:pt idx="0">
                    <c:v>City Centre</c:v>
                  </c:pt>
                </c:lvl>
              </c:multiLvlStrCache>
            </c:multiLvlStrRef>
          </c:cat>
          <c:val>
            <c:numRef>
              <c:f>'5 Land Need'!$B$69:$E$69</c:f>
              <c:numCache>
                <c:formatCode>#,##0.0;\(#,##0.0\);\-</c:formatCode>
                <c:ptCount val="4"/>
                <c:pt idx="0">
                  <c:v>13.0547642857143</c:v>
                </c:pt>
                <c:pt idx="1">
                  <c:v>415.411885908209</c:v>
                </c:pt>
                <c:pt idx="2">
                  <c:v>375.159966329893</c:v>
                </c:pt>
                <c:pt idx="3">
                  <c:v>120.374518538766</c:v>
                </c:pt>
              </c:numCache>
            </c:numRef>
          </c:val>
        </c:ser>
        <c:gapWidth val="150"/>
        <c:overlap val="0"/>
        <c:axId val="38699948"/>
        <c:axId val="90103271"/>
      </c:barChart>
      <c:catAx>
        <c:axId val="3869994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0103271"/>
        <c:crosses val="autoZero"/>
        <c:auto val="1"/>
        <c:lblAlgn val="ctr"/>
        <c:lblOffset val="100"/>
        <c:noMultiLvlLbl val="0"/>
      </c:catAx>
      <c:valAx>
        <c:axId val="90103271"/>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8699948"/>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35</xdr:row>
      <xdr:rowOff>0</xdr:rowOff>
    </xdr:from>
    <xdr:to>
      <xdr:col>6</xdr:col>
      <xdr:colOff>769320</xdr:colOff>
      <xdr:row>51</xdr:row>
      <xdr:rowOff>11520</xdr:rowOff>
    </xdr:to>
    <xdr:graphicFrame>
      <xdr:nvGraphicFramePr>
        <xdr:cNvPr id="0" name="Chart 1"/>
        <xdr:cNvGraphicFramePr/>
      </xdr:nvGraphicFramePr>
      <xdr:xfrm>
        <a:off x="141120" y="11953800"/>
        <a:ext cx="4823640" cy="30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35</xdr:row>
      <xdr:rowOff>0</xdr:rowOff>
    </xdr:from>
    <xdr:to>
      <xdr:col>12</xdr:col>
      <xdr:colOff>769320</xdr:colOff>
      <xdr:row>51</xdr:row>
      <xdr:rowOff>11520</xdr:rowOff>
    </xdr:to>
    <xdr:graphicFrame>
      <xdr:nvGraphicFramePr>
        <xdr:cNvPr id="1" name="Chart 2"/>
        <xdr:cNvGraphicFramePr/>
      </xdr:nvGraphicFramePr>
      <xdr:xfrm>
        <a:off x="5006520" y="11953800"/>
        <a:ext cx="4823640" cy="305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53</xdr:row>
      <xdr:rowOff>0</xdr:rowOff>
    </xdr:from>
    <xdr:to>
      <xdr:col>6</xdr:col>
      <xdr:colOff>769320</xdr:colOff>
      <xdr:row>69</xdr:row>
      <xdr:rowOff>11520</xdr:rowOff>
    </xdr:to>
    <xdr:graphicFrame>
      <xdr:nvGraphicFramePr>
        <xdr:cNvPr id="2" name="Chart 3"/>
        <xdr:cNvGraphicFramePr/>
      </xdr:nvGraphicFramePr>
      <xdr:xfrm>
        <a:off x="141120" y="15382800"/>
        <a:ext cx="4823640" cy="305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54D8A"/>
    <pageSetUpPr fitToPage="true"/>
  </sheetPr>
  <dimension ref="A1:N7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13" min="2" style="0" width="11.5"/>
    <col collapsed="false" customWidth="true" hidden="false" outlineLevel="0" max="14" min="14" style="0" width="2"/>
  </cols>
  <sheetData>
    <row r="1" customFormat="false" ht="30" hidden="false" customHeight="true" outlineLevel="0" collapsed="false">
      <c r="A1" s="1" t="s">
        <v>0</v>
      </c>
      <c r="B1" s="2"/>
      <c r="C1" s="2"/>
      <c r="D1" s="2"/>
      <c r="E1" s="2"/>
      <c r="F1" s="2"/>
      <c r="G1" s="2"/>
      <c r="H1" s="2"/>
      <c r="I1" s="2"/>
      <c r="J1" s="2"/>
      <c r="K1" s="2"/>
      <c r="L1" s="2"/>
      <c r="M1" s="2"/>
      <c r="N1" s="2"/>
    </row>
    <row r="2" customFormat="false" ht="18" hidden="false" customHeight="true" outlineLevel="0" collapsed="false">
      <c r="A2" s="3" t="s">
        <v>1</v>
      </c>
      <c r="B2" s="2"/>
      <c r="C2" s="2"/>
      <c r="D2" s="2"/>
      <c r="E2" s="2"/>
      <c r="F2" s="2"/>
      <c r="G2" s="2"/>
      <c r="H2" s="2"/>
      <c r="I2" s="2"/>
      <c r="J2" s="2"/>
      <c r="K2" s="2"/>
      <c r="L2" s="2"/>
      <c r="M2" s="2"/>
      <c r="N2" s="2"/>
    </row>
    <row r="3" customFormat="false" ht="3.75" hidden="false" customHeight="true" outlineLevel="0" collapsed="false">
      <c r="A3" s="4"/>
      <c r="B3" s="4"/>
      <c r="C3" s="4"/>
      <c r="D3" s="4"/>
      <c r="E3" s="4"/>
      <c r="F3" s="4"/>
      <c r="G3" s="4"/>
      <c r="H3" s="4"/>
      <c r="I3" s="4"/>
      <c r="J3" s="4"/>
      <c r="K3" s="4"/>
      <c r="L3" s="4"/>
      <c r="M3" s="4"/>
      <c r="N3" s="4"/>
    </row>
    <row r="5" customFormat="false" ht="25.5" hidden="false" customHeight="true" outlineLevel="0" collapsed="false">
      <c r="B5" s="5" t="s">
        <v>2</v>
      </c>
      <c r="C5" s="5"/>
      <c r="D5" s="5" t="s">
        <v>3</v>
      </c>
      <c r="E5" s="5"/>
      <c r="F5" s="5" t="s">
        <v>4</v>
      </c>
      <c r="G5" s="5"/>
      <c r="H5" s="5" t="s">
        <v>5</v>
      </c>
      <c r="I5" s="5"/>
      <c r="J5" s="5" t="s">
        <v>6</v>
      </c>
      <c r="K5" s="5"/>
      <c r="L5" s="5" t="s">
        <v>7</v>
      </c>
      <c r="M5" s="5"/>
    </row>
    <row r="6" customFormat="false" ht="36" hidden="false" customHeight="true" outlineLevel="0" collapsed="false">
      <c r="B6" s="6" t="n">
        <f aca="false">target_total</f>
        <v>39865</v>
      </c>
      <c r="C6" s="6"/>
      <c r="D6" s="6" t="n">
        <f aca="false">reg_fut</f>
        <v>22519</v>
      </c>
      <c r="E6" s="6"/>
      <c r="F6" s="6" t="n">
        <f aca="false">o_sup</f>
        <v>17245</v>
      </c>
      <c r="G6" s="6"/>
      <c r="H6" s="6" t="n">
        <f aca="false">o_gap</f>
        <v>22620</v>
      </c>
      <c r="I6" s="6"/>
      <c r="J6" s="6" t="n">
        <f aca="false">o_ha</f>
        <v>1035.47021145843</v>
      </c>
      <c r="K6" s="6"/>
      <c r="L6" s="7" t="n">
        <f aca="false">o_citypct</f>
        <v>0.52144013474737</v>
      </c>
      <c r="M6" s="7"/>
    </row>
    <row r="7" customFormat="false" ht="15" hidden="false" customHeight="false" outlineLevel="0" collapsed="false">
      <c r="B7" s="8" t="str">
        <f aca="false">"Scenario shown: "&amp;dens_scn&amp;"  ·  tenure position: "&amp;tenure_scn&amp;"  ·  split city / settlements / remainder: "&amp;TEXT(fs_city,"0%")&amp;" / "&amp;TEXT(fs_set,"0%")&amp;" / "&amp;TEXT(fs_rem,"0%")&amp;" (set on Inputs)"</f>
        <v>Scenario shown: Current density  ·  tenure position: Working  ·  split city / settlements / remainder: 70% / 24% / 6% (set on Inputs)</v>
      </c>
    </row>
    <row r="9" customFormat="false" ht="15" hidden="false" customHeight="false" outlineLevel="0" collapsed="false">
      <c r="B9" s="9" t="s">
        <v>8</v>
      </c>
      <c r="C9" s="10"/>
      <c r="D9" s="10"/>
      <c r="E9" s="10"/>
      <c r="F9" s="10"/>
      <c r="G9" s="10"/>
      <c r="H9" s="10"/>
      <c r="I9" s="10"/>
      <c r="J9" s="10"/>
      <c r="K9" s="10"/>
      <c r="L9" s="10"/>
      <c r="M9" s="10"/>
    </row>
    <row r="10" customFormat="false" ht="42" hidden="false" customHeight="true" outlineLevel="0" collapsed="false">
      <c r="B10" s="11" t="str">
        <f aca="false">"Limerick needs "&amp;TEXT(target_total,"#,##0")&amp;" homes between 2026 and 2040, about "&amp;TEXT(target_total/15,"#,##0")&amp;" a year. On the "&amp;LOWER(tenure_scn)&amp;" tenure position that is "&amp;TEXT(d_soc,"#,##0")&amp;" social ("&amp;TEXT(d_soc/target_total,"0%")&amp;"), "&amp;TEXT(d_aff,"#,##0")&amp;" affordable ("&amp;TEXT(d_aff/target_total,"0%")&amp;"), "&amp;TEXT(d_prs,"#,##0")&amp;" private rented ("&amp;TEXT(d_prs/target_total,"0%")&amp;") and "&amp;TEXT(d_buy,"#,##0")&amp;" for buyers ("&amp;TEXT(d_buy/target_total,"0%")&amp;")."</f>
        <v>Limerick needs 39,865 homes between 2026 and 2040, about 2,658 a year. On the working tenure position that is 8,362 social (21%), 5,019 affordable (13%), 5,292 private rented (13%) and 21,191 for buyers (53%).</v>
      </c>
      <c r="C10" s="11"/>
      <c r="D10" s="11"/>
      <c r="E10" s="11"/>
      <c r="F10" s="11"/>
      <c r="G10" s="11"/>
      <c r="H10" s="11"/>
      <c r="I10" s="11"/>
      <c r="J10" s="11"/>
      <c r="K10" s="11"/>
      <c r="L10" s="11"/>
      <c r="M10" s="11"/>
    </row>
    <row r="11" customFormat="false" ht="42" hidden="false" customHeight="true" outlineLevel="0" collapsed="false">
      <c r="B11" s="11" t="str">
        <f aca="false">"The Council profile front-loads delivery: "&amp;TEXT('1 Demand'!D22,"#,##0")&amp;" homes in 2026–28 against "&amp;TEXT('1 Demand'!C22,"#,##0")&amp;" of modelled need, then paid back after 2035. The totals are not the risk. The risk is the wrong tenures and sizes."</f>
        <v>The Council profile front-loads delivery: 12,789 homes in 2026–28 against 7,957 of modelled need, then paid back after 2035. The totals are not the risk. The risk is the wrong tenures and sizes.</v>
      </c>
      <c r="C11" s="11"/>
      <c r="D11" s="11"/>
      <c r="E11" s="11"/>
      <c r="F11" s="11"/>
      <c r="G11" s="11"/>
      <c r="H11" s="11"/>
      <c r="I11" s="11"/>
      <c r="J11" s="11"/>
      <c r="K11" s="11"/>
      <c r="L11" s="11"/>
      <c r="M11" s="11"/>
    </row>
    <row r="12" customFormat="false" ht="42" hidden="false" customHeight="true" outlineLevel="0" collapsed="false">
      <c r="B12" s="11" t="str">
        <f aca="false">"Specialist need inside social: about "&amp;TEXT('1 Demand'!D46,"#,##0")&amp;" disability, "&amp;TEXT('1 Demand'!E46,"#,##0")&amp;" older persons, "&amp;TEXT('1 Demand'!F46,"#,##0")&amp;" Traveller-specific and "&amp;TEXT('1 Demand'!G46,"#,##0")&amp;" community dwellings over 2026–40. On size, the Council plan is "&amp;TEXT('1 Demand'!G58,"0%")&amp;" one-bed overall; need-based mix gives "&amp;TEXT('1 Demand'!G57,"0%")&amp;", and "&amp;TEXT(mix_Social1,"0%")&amp;" for social alone."</f>
        <v>Specialist need inside social: about 1,554 disability, 891 older persons, 92 Traveller-specific and 155 community dwellings over 2026–40. On size, the Council plan is 24% one-bed overall; need-based mix gives 31%, and 55% for social alone.</v>
      </c>
      <c r="C12" s="11"/>
      <c r="D12" s="11"/>
      <c r="E12" s="11"/>
      <c r="F12" s="11"/>
      <c r="G12" s="11"/>
      <c r="H12" s="11"/>
      <c r="I12" s="11"/>
      <c r="J12" s="11"/>
      <c r="K12" s="11"/>
      <c r="L12" s="11"/>
      <c r="M12" s="11"/>
    </row>
    <row r="14" customFormat="false" ht="15" hidden="false" customHeight="false" outlineLevel="0" collapsed="false">
      <c r="B14" s="9" t="s">
        <v>9</v>
      </c>
      <c r="C14" s="10"/>
      <c r="D14" s="10"/>
      <c r="E14" s="10"/>
      <c r="F14" s="10"/>
      <c r="G14" s="10"/>
      <c r="H14" s="10"/>
      <c r="I14" s="10"/>
      <c r="J14" s="10"/>
      <c r="K14" s="10"/>
      <c r="L14" s="10"/>
      <c r="M14" s="10"/>
    </row>
    <row r="15" customFormat="false" ht="42" hidden="false" customHeight="true" outlineLevel="0" collapsed="false">
      <c r="B15" s="11" t="str">
        <f aca="false">"The register has "&amp;TEXT(reg_parcels,"#,##0")&amp;" parcels and "&amp;TEXT('2 Register'!C27,"#,##0")&amp;" counted permissions. Consented homes total "&amp;TEXT(reg_cons,"#,##0")&amp;", of which "&amp;TEXT(reg_comp,"#,##0")&amp;" are complete. Council audit land and zoning estimates with no consent add "&amp;TEXT(reg_unc,"#,##0")&amp;" of capacity. Total supply is "&amp;TEXT(reg_tot,"#,##0")&amp;"; "&amp;TEXT(reg_fut,"#,##0")&amp;" are still to be built."</f>
        <v>The register has 446 parcels and 236 counted permissions. Consented homes total 10,500, of which 1,631 are complete. Council audit land and zoning estimates with no consent add 13,650 of capacity. Total supply is 24,150; 22,519 are still to be built.</v>
      </c>
      <c r="C15" s="11"/>
      <c r="D15" s="11"/>
      <c r="E15" s="11"/>
      <c r="F15" s="11"/>
      <c r="G15" s="11"/>
      <c r="H15" s="11"/>
      <c r="I15" s="11"/>
      <c r="J15" s="11"/>
      <c r="K15" s="11"/>
      <c r="L15" s="11"/>
      <c r="M15" s="11"/>
    </row>
    <row r="16" customFormat="false" ht="42" hidden="false" customHeight="true" outlineLevel="0" collapsed="false">
      <c r="B16" s="11" t="s">
        <v>10</v>
      </c>
      <c r="C16" s="11"/>
      <c r="D16" s="11"/>
      <c r="E16" s="11"/>
      <c r="F16" s="11"/>
      <c r="G16" s="11"/>
      <c r="H16" s="11"/>
      <c r="I16" s="11"/>
      <c r="J16" s="11"/>
      <c r="K16" s="11"/>
      <c r="L16" s="11"/>
      <c r="M16" s="11"/>
    </row>
    <row r="18" customFormat="false" ht="15" hidden="false" customHeight="false" outlineLevel="0" collapsed="false">
      <c r="B18" s="9" t="s">
        <v>11</v>
      </c>
      <c r="C18" s="10"/>
      <c r="D18" s="10"/>
      <c r="E18" s="10"/>
      <c r="F18" s="10"/>
      <c r="G18" s="10"/>
      <c r="H18" s="10"/>
      <c r="I18" s="10"/>
      <c r="J18" s="10"/>
      <c r="K18" s="10"/>
      <c r="L18" s="10"/>
      <c r="M18" s="10"/>
    </row>
    <row r="19" customFormat="false" ht="42" hidden="false" customHeight="true" outlineLevel="0" collapsed="false">
      <c r="B19" s="11" t="str">
        <f aca="false">"City Centre holds "&amp;TEXT('3 Supply'!L7,"#,##0")&amp;" homes of future supply ("&amp;TEXT('3 Supply'!M7,"0%")&amp;"), the rest of the city "&amp;TEXT('3 Supply'!L8,"#,##0")&amp;" ("&amp;TEXT('3 Supply'!M8,"0%")&amp;"), the 15 settlements "&amp;TEXT('3 Supply'!L10,"#,##0")&amp;" ("&amp;TEXT('3 Supply'!M10,"0%")&amp;") and the remainder of the county "&amp;TEXT('3 Supply'!L11,"#,##0")&amp;" ("&amp;TEXT('3 Supply'!M11,"0%")&amp;"). Only "&amp;TEXT('3 Supply'!I7,"#,##0")&amp;" City Centre homes have a consent; "&amp;TEXT('3 Supply'!J7,"#,##0")&amp;" sit on audit land with none."</f>
        <v>City Centre holds 4,127 homes of future supply (18%), the rest of the city 13,258 (59%), the 15 settlements 4,550 (20%) and the remainder of the county 584 (3%). Only 925 City Centre homes have a consent; 3,301 sit on audit land with none.</v>
      </c>
      <c r="C19" s="11"/>
      <c r="D19" s="11"/>
      <c r="E19" s="11"/>
      <c r="F19" s="11"/>
      <c r="G19" s="11"/>
      <c r="H19" s="11"/>
      <c r="I19" s="11"/>
      <c r="J19" s="11"/>
      <c r="K19" s="11"/>
      <c r="L19" s="11"/>
      <c r="M19" s="11"/>
    </row>
    <row r="20" customFormat="false" ht="42" hidden="false" customHeight="true" outlineLevel="0" collapsed="false">
      <c r="B20" s="11" t="str">
        <f aca="false">"In the settlements "&amp;TEXT('3 Supply'!I10,"#,##0")&amp;" homes are consented ("&amp;TEXT('3 Supply'!I10/'3 Supply'!K10,"0%")&amp;" of their total supply) and "&amp;TEXT('3 Supply'!J10,"#,##0")&amp;" are zoned-land estimates with no consent. Area-by-area detail for all 24 study areas is on 3b Study Areas."</f>
        <v>In the settlements 1,738 homes are consented (36% of their total supply) and 3,063 are zoned-land estimates with no consent. Area-by-area detail for all 24 study areas is on 3b Study Areas.</v>
      </c>
      <c r="C20" s="11"/>
      <c r="D20" s="11"/>
      <c r="E20" s="11"/>
      <c r="F20" s="11"/>
      <c r="G20" s="11"/>
      <c r="H20" s="11"/>
      <c r="I20" s="11"/>
      <c r="J20" s="11"/>
      <c r="K20" s="11"/>
      <c r="L20" s="11"/>
      <c r="M20" s="11"/>
    </row>
    <row r="21" customFormat="false" ht="42" hidden="false" customHeight="true" outlineLevel="0" collapsed="false">
      <c r="B21" s="11" t="str">
        <f aca="false">"The City Centre figure rests on a few large audit parcels. Across City Centre audit land with no consent, capacity works out at "&amp;TEXT('3 Supply'!B47,"0")&amp;" homes a hectare, against a register density band of 100+ on most of it. The largest parcel, "&amp;TEXT('3 Supply'!A69,"@")&amp;" ("&amp;TEXT('3 Supply'!F69,"0")&amp;" ha), works out at "&amp;TEXT('3 Supply'!J69,"0")&amp;". The density lever tests that gap."</f>
        <v>The City Centre figure rests on a few large audit parcels. Across City Centre audit land with no consent, capacity works out at 44 homes a hectare, against a register density band of 100+ on most of it. The largest parcel, CITY-107 (68 ha), works out at 37. The density lever tests that gap.</v>
      </c>
      <c r="C21" s="11"/>
      <c r="D21" s="11"/>
      <c r="E21" s="11"/>
      <c r="F21" s="11"/>
      <c r="G21" s="11"/>
      <c r="H21" s="11"/>
      <c r="I21" s="11"/>
      <c r="J21" s="11"/>
      <c r="K21" s="11"/>
      <c r="L21" s="11"/>
      <c r="M21" s="11"/>
    </row>
    <row r="23" customFormat="false" ht="15" hidden="false" customHeight="false" outlineLevel="0" collapsed="false">
      <c r="B23" s="9" t="s">
        <v>12</v>
      </c>
      <c r="C23" s="10"/>
      <c r="D23" s="10"/>
      <c r="E23" s="10"/>
      <c r="F23" s="10"/>
      <c r="G23" s="10"/>
      <c r="H23" s="10"/>
      <c r="I23" s="10"/>
      <c r="J23" s="10"/>
      <c r="K23" s="10"/>
      <c r="L23" s="10"/>
      <c r="M23" s="10"/>
    </row>
    <row r="24" customFormat="false" ht="42" hidden="false" customHeight="true" outlineLevel="0" collapsed="false">
      <c r="B24" s="11" t="str">
        <f aca="false">"Of the units granted permission in 2018–23, "&amp;TEXT(act_old,"0%")&amp;" have started. Projected delivery from the register (scenario: "&amp;dens_scn&amp;") averages "&amp;TEXT(v_pipe_26_30,"#,##0")&amp;" a year in 2026–30, "&amp;TEXT(v_avg2,"#,##0")&amp;" in 2031–35 and "&amp;TEXT(v_avg3,"#,##0")&amp;" in 2036–40, against a Council profile of 4,263 a year to 2030."</f>
        <v>Of the units granted permission in 2018–23, 79% have started. Projected delivery from the register (scenario: Current density) averages 1,746 a year in 2026–30, 3,257 in 2031–35 and 2,970 in 2036–40, against a Council profile of 4,263 a year to 2030.</v>
      </c>
      <c r="C24" s="11"/>
      <c r="D24" s="11"/>
      <c r="E24" s="11"/>
      <c r="F24" s="11"/>
      <c r="G24" s="11"/>
      <c r="H24" s="11"/>
      <c r="I24" s="11"/>
      <c r="J24" s="11"/>
      <c r="K24" s="11"/>
      <c r="L24" s="11"/>
      <c r="M24" s="11"/>
    </row>
    <row r="25" customFormat="false" ht="42" hidden="false" customHeight="true" outlineLevel="0" collapsed="false">
      <c r="B25" s="11" t="str">
        <f aca="false">"Projected delivery to 2040 is "&amp;TEXT(v_total,"#,##0")&amp;" against a target of "&amp;TEXT(target_total,"#,##0")&amp;". Without any new zoning the gap in 2040 would be "&amp;TEXT(-v_nonew_gap,"#,##0")&amp;" homes. New land is sized to close that total, but it delivers from "&amp;TEXT(new_s,"0")&amp;", so the cumulative shortfall against the Council profile peaks at "&amp;TEXT(-v_peak,"#,##0")&amp;" homes in "&amp;TEXT(v_peak_yr,"0")&amp;"."</f>
        <v>Projected delivery to 2040 is 39,865 against a target of 39,865. Without any new zoning the gap in 2040 would be 22,619 homes. New land is sized to close that total, but it delivers from 2031, so the cumulative shortfall against the Council profile peaks at 12,586 homes in 2030.</v>
      </c>
      <c r="C25" s="11"/>
      <c r="D25" s="11"/>
      <c r="E25" s="11"/>
      <c r="F25" s="11"/>
      <c r="G25" s="11"/>
      <c r="H25" s="11"/>
      <c r="I25" s="11"/>
      <c r="J25" s="11"/>
      <c r="K25" s="11"/>
      <c r="L25" s="11"/>
      <c r="M25" s="11"/>
    </row>
    <row r="27" customFormat="false" ht="15" hidden="false" customHeight="false" outlineLevel="0" collapsed="false">
      <c r="B27" s="9" t="s">
        <v>13</v>
      </c>
      <c r="C27" s="10"/>
      <c r="D27" s="10"/>
      <c r="E27" s="10"/>
      <c r="F27" s="10"/>
      <c r="G27" s="10"/>
      <c r="H27" s="10"/>
      <c r="I27" s="10"/>
      <c r="J27" s="10"/>
      <c r="K27" s="10"/>
      <c r="L27" s="10"/>
      <c r="M27" s="10"/>
    </row>
    <row r="28" customFormat="false" ht="42" hidden="false" customHeight="true" outlineLevel="0" collapsed="false">
      <c r="B28" s="11" t="str">
        <f aca="false">"The fair-share test splits future demand "&amp;TEXT(fs_city,"0%")&amp;" city, "&amp;TEXT(fs_set,"0%")&amp;" settlements and "&amp;TEXT(fs_rem,"0%")&amp;" remainder of the county. Against that, the register delivers "&amp;TEXT('5 Land Need'!B8,"#,##0")&amp;" homes at current densities and "&amp;TEXT('5 Land Need'!C8,"#,##0")&amp;" at increased density, against "&amp;TEXT('5 Land Need'!B7,"#,##0")&amp;" required. The shortfall is "&amp;TEXT('5 Land Need'!B9,"#,##0")&amp;" and "&amp;TEXT('5 Land Need'!C9,"#,##0")&amp;" homes."</f>
        <v>The fair-share test splits future demand 70% city, 24% settlements and 6% remainder of the county. Against that, the register delivers 17,245 homes at current densities and 20,242 at increased density, against 39,865 required. The shortfall is 22,620 and 19,623 homes.</v>
      </c>
      <c r="C28" s="11"/>
      <c r="D28" s="11"/>
      <c r="E28" s="11"/>
      <c r="F28" s="11"/>
      <c r="G28" s="11"/>
      <c r="H28" s="11"/>
      <c r="I28" s="11"/>
      <c r="J28" s="11"/>
      <c r="K28" s="11"/>
      <c r="L28" s="11"/>
      <c r="M28" s="11"/>
    </row>
    <row r="29" customFormat="false" ht="42" hidden="false" customHeight="true" outlineLevel="0" collapsed="false">
      <c r="B29" s="11" t="str">
        <f aca="false">"Land to zone: "&amp;TEXT('5 Land Need'!B16,"#,##0")&amp;" ha at current densities (City Centre "&amp;TEXT('5 Land Need'!B12,"#,##0")&amp;", rest of city "&amp;TEXT('5 Land Need'!B13,"#,##0")&amp;", settlements "&amp;TEXT('5 Land Need'!B14,"#,##0")&amp;", remainder "&amp;TEXT('5 Land Need'!B15,"#,##0")&amp;") or "&amp;TEXT('5 Land Need'!C16,"#,##0")&amp;" ha with the City Centre at "&amp;TEXT(cc_dph_inc,"0")&amp;" homes a hectare (City Centre "&amp;TEXT('5 Land Need'!C12,"#,##0")&amp;", rest of city "&amp;TEXT('5 Land Need'!C13,"#,##0")&amp;", settlements "&amp;TEXT('5 Land Need'!C14,"#,##0")&amp;", remainder "&amp;TEXT('5 Land Need'!C15,"#,##0")&amp;")."</f>
        <v>Land to zone: 1,035 ha at current densities (City Centre 125, rest of city 415, settlements 375, remainder 120) or 924 ha with the City Centre at 100 homes a hectare (City Centre 13, rest of city 415, settlements 375, remainder 120).</v>
      </c>
      <c r="C29" s="11"/>
      <c r="D29" s="11"/>
      <c r="E29" s="11"/>
      <c r="F29" s="11"/>
      <c r="G29" s="11"/>
      <c r="H29" s="11"/>
      <c r="I29" s="11"/>
      <c r="J29" s="11"/>
      <c r="K29" s="11"/>
      <c r="L29" s="11"/>
      <c r="M29" s="11"/>
    </row>
    <row r="31" customFormat="false" ht="15" hidden="false" customHeight="false" outlineLevel="0" collapsed="false">
      <c r="B31" s="9" t="s">
        <v>14</v>
      </c>
      <c r="C31" s="10"/>
      <c r="D31" s="10"/>
      <c r="E31" s="10"/>
      <c r="F31" s="10"/>
      <c r="G31" s="10"/>
      <c r="H31" s="10"/>
      <c r="I31" s="10"/>
      <c r="J31" s="10"/>
      <c r="K31" s="10"/>
      <c r="L31" s="10"/>
      <c r="M31" s="10"/>
    </row>
    <row r="32" customFormat="false" ht="42" hidden="false" customHeight="true" outlineLevel="0" collapsed="false">
      <c r="B32" s="11" t="str">
        <f aca="false">"Zone about "&amp;TEXT(o_ha,"#,##0")&amp;" more hectares ("&amp;dens_scn&amp;"): "&amp;TEXT(o_ha_city,"#,##0")&amp;" ha ("&amp;TEXT(o_citypct,"0%")&amp;") in the city, "&amp;TEXT(o_ha_set,"#,##0")&amp;" ha in the settlements and "&amp;TEXT(o_ha_rem,"#,##0")&amp;" ha in the remainder of the county. At the planned tenure, the homes still to find are "&amp;TEXT(t_shsoc,"0%")&amp;" social, "&amp;TEXT(t_shaff,"0%")&amp;" affordable and "&amp;TEXT(t_shpriv,"0%")&amp;" private market."</f>
        <v>Zone about 1,035 more hectares (Current density): 540 ha (52%) in the city, 375 ha in the settlements and 120 ha in the remainder of the county. At the planned tenure, the homes still to find are 24% social, 15% affordable and 61% private market.</v>
      </c>
      <c r="C32" s="11"/>
      <c r="D32" s="11"/>
      <c r="E32" s="11"/>
      <c r="F32" s="11"/>
      <c r="G32" s="11"/>
      <c r="H32" s="11"/>
      <c r="I32" s="11"/>
      <c r="J32" s="11"/>
      <c r="K32" s="11"/>
      <c r="L32" s="11"/>
      <c r="M32" s="11"/>
    </row>
    <row r="33" customFormat="false" ht="42" hidden="false" customHeight="true" outlineLevel="0" collapsed="false">
      <c r="B33" s="11" t="s">
        <v>15</v>
      </c>
      <c r="C33" s="11"/>
      <c r="D33" s="11"/>
      <c r="E33" s="11"/>
      <c r="F33" s="11"/>
      <c r="G33" s="11"/>
      <c r="H33" s="11"/>
      <c r="I33" s="11"/>
      <c r="J33" s="11"/>
      <c r="K33" s="11"/>
      <c r="L33" s="11"/>
      <c r="M33" s="11"/>
    </row>
    <row r="35" customFormat="false" ht="15" hidden="false" customHeight="false" outlineLevel="0" collapsed="false">
      <c r="B35" s="9" t="s">
        <v>16</v>
      </c>
      <c r="C35" s="10"/>
      <c r="D35" s="10"/>
      <c r="E35" s="10"/>
      <c r="F35" s="10"/>
      <c r="G35" s="10"/>
      <c r="H35" s="10"/>
      <c r="I35" s="10"/>
      <c r="J35" s="10"/>
      <c r="K35" s="10"/>
      <c r="L35" s="10"/>
      <c r="M35" s="10"/>
    </row>
    <row r="73" customFormat="false" ht="30" hidden="false" customHeight="true" outlineLevel="0" collapsed="false">
      <c r="B73" s="12" t="s">
        <v>17</v>
      </c>
      <c r="C73" s="12"/>
      <c r="D73" s="12"/>
      <c r="E73" s="12"/>
      <c r="F73" s="12"/>
      <c r="G73" s="12"/>
      <c r="H73" s="12"/>
      <c r="I73" s="12"/>
      <c r="J73" s="12"/>
      <c r="K73" s="12"/>
      <c r="L73" s="12"/>
      <c r="M73" s="12"/>
    </row>
  </sheetData>
  <mergeCells count="27">
    <mergeCell ref="B5:C5"/>
    <mergeCell ref="D5:E5"/>
    <mergeCell ref="F5:G5"/>
    <mergeCell ref="H5:I5"/>
    <mergeCell ref="J5:K5"/>
    <mergeCell ref="L5:M5"/>
    <mergeCell ref="B6:C6"/>
    <mergeCell ref="D6:E6"/>
    <mergeCell ref="F6:G6"/>
    <mergeCell ref="H6:I6"/>
    <mergeCell ref="J6:K6"/>
    <mergeCell ref="L6:M6"/>
    <mergeCell ref="B10:M10"/>
    <mergeCell ref="B11:M11"/>
    <mergeCell ref="B12:M12"/>
    <mergeCell ref="B15:M15"/>
    <mergeCell ref="B16:M16"/>
    <mergeCell ref="B19:M19"/>
    <mergeCell ref="B20:M20"/>
    <mergeCell ref="B21:M21"/>
    <mergeCell ref="B24:M24"/>
    <mergeCell ref="B25:M25"/>
    <mergeCell ref="B28:M28"/>
    <mergeCell ref="B29:M29"/>
    <mergeCell ref="B32:M32"/>
    <mergeCell ref="B33:M33"/>
    <mergeCell ref="B73:M7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8C547"/>
    <pageSetUpPr fitToPage="true"/>
  </sheetPr>
  <dimension ref="A1:F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64"/>
    <col collapsed="false" customWidth="true" hidden="false" outlineLevel="0" max="3" min="3" style="0" width="16"/>
    <col collapsed="false" customWidth="true" hidden="false" outlineLevel="0" max="4" min="4" style="0" width="14"/>
    <col collapsed="false" customWidth="true" hidden="false" outlineLevel="0" max="5" min="5" style="0" width="70"/>
    <col collapsed="false" customWidth="true" hidden="false" outlineLevel="0" max="6" min="6" style="0" width="3"/>
  </cols>
  <sheetData>
    <row r="1" customFormat="false" ht="30" hidden="false" customHeight="true" outlineLevel="0" collapsed="false">
      <c r="A1" s="1" t="s">
        <v>18</v>
      </c>
      <c r="B1" s="2"/>
      <c r="C1" s="2"/>
      <c r="D1" s="2"/>
      <c r="E1" s="2"/>
      <c r="F1" s="2"/>
    </row>
    <row r="2" customFormat="false" ht="18" hidden="false" customHeight="true" outlineLevel="0" collapsed="false">
      <c r="A2" s="3" t="s">
        <v>19</v>
      </c>
      <c r="B2" s="2"/>
      <c r="C2" s="2"/>
      <c r="D2" s="2"/>
      <c r="E2" s="2"/>
      <c r="F2" s="2"/>
    </row>
    <row r="3" customFormat="false" ht="3.75" hidden="false" customHeight="true" outlineLevel="0" collapsed="false">
      <c r="A3" s="4"/>
      <c r="B3" s="4"/>
      <c r="C3" s="4"/>
      <c r="D3" s="4"/>
      <c r="E3" s="4"/>
      <c r="F3" s="4"/>
    </row>
    <row r="5" customFormat="false" ht="15" hidden="false" customHeight="false" outlineLevel="0" collapsed="false">
      <c r="B5" s="9" t="s">
        <v>20</v>
      </c>
      <c r="C5" s="10"/>
      <c r="D5" s="10"/>
      <c r="E5" s="10"/>
    </row>
    <row r="6" customFormat="false" ht="27" hidden="false" customHeight="true" outlineLevel="0" collapsed="false">
      <c r="B6" s="13" t="s">
        <v>21</v>
      </c>
      <c r="C6" s="14" t="s">
        <v>22</v>
      </c>
      <c r="D6" s="15"/>
      <c r="E6" s="16" t="s">
        <v>23</v>
      </c>
    </row>
    <row r="7" customFormat="false" ht="15" hidden="false" customHeight="false" outlineLevel="0" collapsed="false">
      <c r="B7" s="13" t="s">
        <v>24</v>
      </c>
      <c r="C7" s="17" t="n">
        <f aca="false">IF(tenure_scn="Lower",1,IF(tenure_scn="Upper",3,2))</f>
        <v>2</v>
      </c>
      <c r="E7" s="16"/>
    </row>
    <row r="8" customFormat="false" ht="27" hidden="false" customHeight="true" outlineLevel="0" collapsed="false">
      <c r="B8" s="13" t="s">
        <v>25</v>
      </c>
      <c r="C8" s="14" t="s">
        <v>26</v>
      </c>
      <c r="D8" s="15"/>
      <c r="E8" s="16" t="s">
        <v>27</v>
      </c>
    </row>
    <row r="9" customFormat="false" ht="15" hidden="false" customHeight="false" outlineLevel="0" collapsed="false">
      <c r="B9" s="13" t="s">
        <v>28</v>
      </c>
      <c r="C9" s="17" t="n">
        <f aca="false">IF(dens_scn="Increased density",1,0)</f>
        <v>0</v>
      </c>
      <c r="E9" s="16"/>
    </row>
    <row r="10" customFormat="false" ht="27" hidden="false" customHeight="true" outlineLevel="0" collapsed="false">
      <c r="B10" s="13" t="s">
        <v>29</v>
      </c>
      <c r="C10" s="14" t="s">
        <v>30</v>
      </c>
      <c r="D10" s="15"/>
      <c r="E10" s="16" t="s">
        <v>31</v>
      </c>
    </row>
    <row r="11" customFormat="false" ht="27" hidden="false" customHeight="true" outlineLevel="0" collapsed="false">
      <c r="B11" s="13" t="s">
        <v>32</v>
      </c>
      <c r="C11" s="18" t="n">
        <v>1308</v>
      </c>
      <c r="D11" s="15" t="s">
        <v>33</v>
      </c>
      <c r="E11" s="16" t="s">
        <v>34</v>
      </c>
    </row>
    <row r="12" customFormat="false" ht="15" hidden="false" customHeight="false" outlineLevel="0" collapsed="false">
      <c r="B12" s="9" t="s">
        <v>35</v>
      </c>
      <c r="C12" s="10"/>
      <c r="D12" s="10"/>
      <c r="E12" s="10"/>
    </row>
    <row r="13" customFormat="false" ht="27" hidden="false" customHeight="true" outlineLevel="0" collapsed="false">
      <c r="B13" s="13" t="s">
        <v>36</v>
      </c>
      <c r="C13" s="18" t="n">
        <v>39865</v>
      </c>
      <c r="D13" s="15" t="s">
        <v>33</v>
      </c>
      <c r="E13" s="16" t="s">
        <v>37</v>
      </c>
    </row>
    <row r="14" customFormat="false" ht="27" hidden="false" customHeight="true" outlineLevel="0" collapsed="false">
      <c r="B14" s="13" t="s">
        <v>38</v>
      </c>
      <c r="C14" s="18" t="n">
        <v>0</v>
      </c>
      <c r="D14" s="15" t="s">
        <v>33</v>
      </c>
      <c r="E14" s="16" t="s">
        <v>39</v>
      </c>
    </row>
    <row r="15" customFormat="false" ht="27" hidden="false" customHeight="true" outlineLevel="0" collapsed="false">
      <c r="B15" s="13" t="s">
        <v>40</v>
      </c>
      <c r="C15" s="18" t="n">
        <v>0</v>
      </c>
      <c r="D15" s="15" t="s">
        <v>33</v>
      </c>
      <c r="E15" s="16" t="s">
        <v>41</v>
      </c>
    </row>
    <row r="16" customFormat="false" ht="27" hidden="false" customHeight="true" outlineLevel="0" collapsed="false">
      <c r="B16" s="13" t="s">
        <v>42</v>
      </c>
      <c r="C16" s="19" t="n">
        <v>0.7</v>
      </c>
      <c r="D16" s="15"/>
      <c r="E16" s="16" t="s">
        <v>43</v>
      </c>
    </row>
    <row r="17" customFormat="false" ht="27" hidden="false" customHeight="true" outlineLevel="0" collapsed="false">
      <c r="B17" s="13" t="s">
        <v>44</v>
      </c>
      <c r="C17" s="19" t="n">
        <v>0.24</v>
      </c>
      <c r="D17" s="15"/>
      <c r="E17" s="16" t="s">
        <v>45</v>
      </c>
    </row>
    <row r="18" customFormat="false" ht="27" hidden="false" customHeight="true" outlineLevel="0" collapsed="false">
      <c r="B18" s="13" t="s">
        <v>46</v>
      </c>
      <c r="C18" s="19" t="n">
        <v>0.06</v>
      </c>
      <c r="D18" s="15"/>
      <c r="E18" s="16" t="s">
        <v>47</v>
      </c>
    </row>
    <row r="19" customFormat="false" ht="15" hidden="false" customHeight="false" outlineLevel="0" collapsed="false">
      <c r="B19" s="13" t="s">
        <v>48</v>
      </c>
      <c r="C19" s="20" t="n">
        <f aca="false">city_share+set_share+rem_share</f>
        <v>1</v>
      </c>
      <c r="E19" s="16" t="s">
        <v>49</v>
      </c>
    </row>
    <row r="20" customFormat="false" ht="15" hidden="false" customHeight="false" outlineLevel="0" collapsed="false">
      <c r="B20" s="13" t="s">
        <v>50</v>
      </c>
      <c r="C20" s="21" t="n">
        <f aca="false">city_share/fs_tot</f>
        <v>0.7</v>
      </c>
      <c r="E20" s="16"/>
    </row>
    <row r="21" customFormat="false" ht="15" hidden="false" customHeight="false" outlineLevel="0" collapsed="false">
      <c r="B21" s="13" t="s">
        <v>51</v>
      </c>
      <c r="C21" s="21" t="n">
        <f aca="false">set_share/fs_tot</f>
        <v>0.24</v>
      </c>
      <c r="E21" s="16"/>
    </row>
    <row r="22" customFormat="false" ht="15" hidden="false" customHeight="false" outlineLevel="0" collapsed="false">
      <c r="B22" s="13" t="s">
        <v>52</v>
      </c>
      <c r="C22" s="21" t="n">
        <f aca="false">rem_share/fs_tot</f>
        <v>0.06</v>
      </c>
      <c r="E22" s="16"/>
    </row>
    <row r="23" customFormat="false" ht="27" hidden="false" customHeight="true" outlineLevel="0" collapsed="false">
      <c r="B23" s="13" t="s">
        <v>53</v>
      </c>
      <c r="C23" s="19" t="n">
        <v>0.25</v>
      </c>
      <c r="D23" s="15"/>
      <c r="E23" s="16" t="s">
        <v>54</v>
      </c>
    </row>
    <row r="24" customFormat="false" ht="15" hidden="false" customHeight="false" outlineLevel="0" collapsed="false">
      <c r="B24" s="9" t="s">
        <v>55</v>
      </c>
      <c r="C24" s="10"/>
      <c r="D24" s="10"/>
      <c r="E24" s="10"/>
    </row>
    <row r="25" customFormat="false" ht="27" hidden="false" customHeight="true" outlineLevel="0" collapsed="false">
      <c r="B25" s="13" t="s">
        <v>56</v>
      </c>
      <c r="C25" s="19" t="n">
        <v>1</v>
      </c>
      <c r="D25" s="15"/>
      <c r="E25" s="16" t="s">
        <v>57</v>
      </c>
    </row>
    <row r="26" customFormat="false" ht="27" hidden="false" customHeight="true" outlineLevel="0" collapsed="false">
      <c r="B26" s="13" t="s">
        <v>58</v>
      </c>
      <c r="C26" s="19" t="n">
        <v>0.85</v>
      </c>
      <c r="D26" s="15"/>
      <c r="E26" s="16" t="s">
        <v>59</v>
      </c>
    </row>
    <row r="27" customFormat="false" ht="27" hidden="false" customHeight="true" outlineLevel="0" collapsed="false">
      <c r="B27" s="13" t="s">
        <v>60</v>
      </c>
      <c r="C27" s="19" t="n">
        <v>0.5</v>
      </c>
      <c r="D27" s="15"/>
      <c r="E27" s="16" t="s">
        <v>57</v>
      </c>
    </row>
    <row r="28" customFormat="false" ht="27" hidden="false" customHeight="true" outlineLevel="0" collapsed="false">
      <c r="B28" s="13" t="s">
        <v>61</v>
      </c>
      <c r="C28" s="19" t="n">
        <v>0.7</v>
      </c>
      <c r="D28" s="15"/>
      <c r="E28" s="16" t="s">
        <v>62</v>
      </c>
    </row>
    <row r="29" customFormat="false" ht="27" hidden="false" customHeight="true" outlineLevel="0" collapsed="false">
      <c r="B29" s="13" t="s">
        <v>63</v>
      </c>
      <c r="C29" s="19" t="n">
        <v>0.6</v>
      </c>
      <c r="D29" s="15"/>
      <c r="E29" s="16" t="s">
        <v>64</v>
      </c>
    </row>
    <row r="30" customFormat="false" ht="27" hidden="false" customHeight="true" outlineLevel="0" collapsed="false">
      <c r="B30" s="13" t="s">
        <v>65</v>
      </c>
      <c r="C30" s="19" t="n">
        <v>0.8</v>
      </c>
      <c r="D30" s="15"/>
      <c r="E30" s="16" t="s">
        <v>66</v>
      </c>
    </row>
    <row r="31" customFormat="false" ht="27" hidden="false" customHeight="true" outlineLevel="0" collapsed="false">
      <c r="B31" s="13" t="s">
        <v>67</v>
      </c>
      <c r="C31" s="19" t="n">
        <v>1</v>
      </c>
      <c r="D31" s="15"/>
      <c r="E31" s="16" t="s">
        <v>68</v>
      </c>
    </row>
    <row r="32" customFormat="false" ht="15" hidden="false" customHeight="false" outlineLevel="0" collapsed="false">
      <c r="B32" s="9" t="s">
        <v>69</v>
      </c>
      <c r="C32" s="10"/>
      <c r="D32" s="10"/>
      <c r="E32" s="10"/>
    </row>
    <row r="33" customFormat="false" ht="27" hidden="false" customHeight="true" outlineLevel="0" collapsed="false">
      <c r="B33" s="13" t="s">
        <v>70</v>
      </c>
      <c r="C33" s="18" t="n">
        <v>100</v>
      </c>
      <c r="D33" s="15" t="s">
        <v>71</v>
      </c>
      <c r="E33" s="16" t="s">
        <v>72</v>
      </c>
    </row>
    <row r="34" customFormat="false" ht="27" hidden="false" customHeight="true" outlineLevel="0" collapsed="false">
      <c r="B34" s="13" t="s">
        <v>73</v>
      </c>
      <c r="C34" s="18" t="n">
        <v>0</v>
      </c>
      <c r="D34" s="15" t="s">
        <v>71</v>
      </c>
      <c r="E34" s="16" t="s">
        <v>74</v>
      </c>
    </row>
    <row r="35" customFormat="false" ht="27" hidden="false" customHeight="true" outlineLevel="0" collapsed="false">
      <c r="B35" s="13" t="s">
        <v>75</v>
      </c>
      <c r="C35" s="18" t="n">
        <v>34</v>
      </c>
      <c r="D35" s="15" t="s">
        <v>71</v>
      </c>
      <c r="E35" s="16" t="s">
        <v>76</v>
      </c>
    </row>
    <row r="36" customFormat="false" ht="27" hidden="false" customHeight="true" outlineLevel="0" collapsed="false">
      <c r="B36" s="13" t="s">
        <v>77</v>
      </c>
      <c r="C36" s="18" t="n">
        <v>25</v>
      </c>
      <c r="D36" s="15" t="s">
        <v>71</v>
      </c>
      <c r="E36" s="16" t="s">
        <v>78</v>
      </c>
    </row>
    <row r="37" customFormat="false" ht="27" hidden="false" customHeight="true" outlineLevel="0" collapsed="false">
      <c r="B37" s="13" t="s">
        <v>79</v>
      </c>
      <c r="C37" s="18" t="n">
        <v>19</v>
      </c>
      <c r="D37" s="15" t="s">
        <v>71</v>
      </c>
      <c r="E37" s="16" t="s">
        <v>80</v>
      </c>
    </row>
    <row r="38" customFormat="false" ht="27" hidden="false" customHeight="true" outlineLevel="0" collapsed="false">
      <c r="B38" s="13" t="s">
        <v>81</v>
      </c>
      <c r="C38" s="18" t="n">
        <v>0</v>
      </c>
      <c r="D38" s="15" t="s">
        <v>71</v>
      </c>
      <c r="E38" s="16" t="s">
        <v>82</v>
      </c>
    </row>
    <row r="39" customFormat="false" ht="27" hidden="false" customHeight="true" outlineLevel="0" collapsed="false">
      <c r="B39" s="13" t="s">
        <v>83</v>
      </c>
      <c r="C39" s="18" t="n">
        <v>0</v>
      </c>
      <c r="D39" s="15" t="s">
        <v>71</v>
      </c>
      <c r="E39" s="16" t="s">
        <v>84</v>
      </c>
    </row>
    <row r="40" customFormat="false" ht="27" hidden="false" customHeight="true" outlineLevel="0" collapsed="false">
      <c r="B40" s="13" t="s">
        <v>85</v>
      </c>
      <c r="C40" s="22" t="n">
        <v>0.91</v>
      </c>
      <c r="D40" s="15"/>
      <c r="E40" s="16" t="s">
        <v>86</v>
      </c>
    </row>
    <row r="41" customFormat="false" ht="15" hidden="false" customHeight="false" outlineLevel="0" collapsed="false">
      <c r="B41" s="9" t="s">
        <v>87</v>
      </c>
      <c r="C41" s="10"/>
      <c r="D41" s="10"/>
      <c r="E41" s="10"/>
    </row>
    <row r="42" customFormat="false" ht="27" hidden="false" customHeight="true" outlineLevel="0" collapsed="false">
      <c r="B42" s="13" t="s">
        <v>88</v>
      </c>
      <c r="C42" s="23" t="n">
        <v>2033</v>
      </c>
      <c r="D42" s="15" t="s">
        <v>89</v>
      </c>
      <c r="E42" s="16" t="s">
        <v>90</v>
      </c>
    </row>
    <row r="43" customFormat="false" ht="27" hidden="false" customHeight="true" outlineLevel="0" collapsed="false">
      <c r="B43" s="13" t="s">
        <v>91</v>
      </c>
      <c r="C43" s="23" t="n">
        <v>2028</v>
      </c>
      <c r="D43" s="15" t="s">
        <v>89</v>
      </c>
      <c r="E43" s="16" t="s">
        <v>57</v>
      </c>
    </row>
    <row r="44" customFormat="false" ht="27" hidden="false" customHeight="true" outlineLevel="0" collapsed="false">
      <c r="B44" s="13" t="s">
        <v>92</v>
      </c>
      <c r="C44" s="23" t="n">
        <v>2030</v>
      </c>
      <c r="D44" s="15" t="s">
        <v>89</v>
      </c>
      <c r="E44" s="16"/>
    </row>
    <row r="45" customFormat="false" ht="27" hidden="false" customHeight="true" outlineLevel="0" collapsed="false">
      <c r="B45" s="13" t="s">
        <v>93</v>
      </c>
      <c r="C45" s="23" t="n">
        <v>2028</v>
      </c>
      <c r="D45" s="15" t="s">
        <v>89</v>
      </c>
      <c r="E45" s="16" t="s">
        <v>94</v>
      </c>
    </row>
    <row r="46" customFormat="false" ht="27" hidden="false" customHeight="true" outlineLevel="0" collapsed="false">
      <c r="B46" s="13" t="s">
        <v>95</v>
      </c>
      <c r="C46" s="23" t="n">
        <v>2040</v>
      </c>
      <c r="D46" s="15" t="s">
        <v>89</v>
      </c>
      <c r="E46" s="16"/>
    </row>
    <row r="47" customFormat="false" ht="27" hidden="false" customHeight="true" outlineLevel="0" collapsed="false">
      <c r="B47" s="13" t="s">
        <v>96</v>
      </c>
      <c r="C47" s="23" t="n">
        <v>2028</v>
      </c>
      <c r="D47" s="15" t="s">
        <v>89</v>
      </c>
      <c r="E47" s="16" t="s">
        <v>57</v>
      </c>
    </row>
    <row r="48" customFormat="false" ht="27" hidden="false" customHeight="true" outlineLevel="0" collapsed="false">
      <c r="B48" s="13" t="s">
        <v>97</v>
      </c>
      <c r="C48" s="23" t="n">
        <v>2040</v>
      </c>
      <c r="D48" s="15" t="s">
        <v>89</v>
      </c>
      <c r="E48" s="16"/>
    </row>
    <row r="49" customFormat="false" ht="27" hidden="false" customHeight="true" outlineLevel="0" collapsed="false">
      <c r="B49" s="13" t="s">
        <v>98</v>
      </c>
      <c r="C49" s="23" t="n">
        <v>2031</v>
      </c>
      <c r="D49" s="15" t="s">
        <v>89</v>
      </c>
      <c r="E49" s="16" t="s">
        <v>99</v>
      </c>
    </row>
    <row r="50" customFormat="false" ht="27" hidden="false" customHeight="true" outlineLevel="0" collapsed="false">
      <c r="B50" s="13" t="s">
        <v>100</v>
      </c>
      <c r="C50" s="23" t="n">
        <v>2040</v>
      </c>
      <c r="D50" s="15" t="s">
        <v>89</v>
      </c>
      <c r="E50" s="16"/>
    </row>
    <row r="51" customFormat="false" ht="15" hidden="false" customHeight="false" outlineLevel="0" collapsed="false">
      <c r="B51" s="9" t="s">
        <v>101</v>
      </c>
      <c r="C51" s="10"/>
      <c r="D51" s="10"/>
      <c r="E51" s="10"/>
    </row>
    <row r="52" customFormat="false" ht="27" hidden="false" customHeight="true" outlineLevel="0" collapsed="false">
      <c r="B52" s="13" t="s">
        <v>102</v>
      </c>
      <c r="C52" s="18" t="n">
        <v>490</v>
      </c>
      <c r="D52" s="15" t="s">
        <v>33</v>
      </c>
      <c r="E52" s="16" t="s">
        <v>103</v>
      </c>
    </row>
    <row r="53" customFormat="false" ht="27" hidden="false" customHeight="true" outlineLevel="0" collapsed="false">
      <c r="B53" s="13" t="s">
        <v>104</v>
      </c>
      <c r="C53" s="18" t="n">
        <v>281</v>
      </c>
      <c r="D53" s="15" t="s">
        <v>33</v>
      </c>
      <c r="E53" s="16"/>
    </row>
    <row r="54" customFormat="false" ht="27" hidden="false" customHeight="true" outlineLevel="0" collapsed="false">
      <c r="B54" s="13" t="s">
        <v>105</v>
      </c>
      <c r="C54" s="18" t="n">
        <v>29</v>
      </c>
      <c r="D54" s="15" t="s">
        <v>33</v>
      </c>
      <c r="E54" s="16"/>
    </row>
    <row r="55" customFormat="false" ht="27" hidden="false" customHeight="true" outlineLevel="0" collapsed="false">
      <c r="B55" s="13" t="s">
        <v>106</v>
      </c>
      <c r="C55" s="18" t="n">
        <v>49</v>
      </c>
      <c r="D55" s="15" t="s">
        <v>33</v>
      </c>
      <c r="E55" s="16"/>
    </row>
    <row r="56" customFormat="false" ht="27" hidden="false" customHeight="true" outlineLevel="0" collapsed="false">
      <c r="B56" s="13" t="s">
        <v>107</v>
      </c>
      <c r="C56" s="18" t="n">
        <v>2637</v>
      </c>
      <c r="D56" s="15" t="s">
        <v>33</v>
      </c>
      <c r="E56" s="16" t="s">
        <v>108</v>
      </c>
    </row>
    <row r="57" customFormat="false" ht="15" hidden="false" customHeight="false" outlineLevel="0" collapsed="false">
      <c r="B57" s="9" t="s">
        <v>109</v>
      </c>
      <c r="C57" s="10"/>
      <c r="D57" s="10"/>
      <c r="E57" s="10"/>
    </row>
    <row r="58" customFormat="false" ht="27" hidden="false" customHeight="true" outlineLevel="0" collapsed="false">
      <c r="B58" s="13" t="s">
        <v>110</v>
      </c>
      <c r="C58" s="24" t="n">
        <f aca="false">1460/2637</f>
        <v>0.553659461509291</v>
      </c>
      <c r="D58" s="15" t="s">
        <v>111</v>
      </c>
      <c r="E58" s="16" t="s">
        <v>112</v>
      </c>
    </row>
    <row r="59" customFormat="false" ht="27" hidden="false" customHeight="true" outlineLevel="0" collapsed="false">
      <c r="B59" s="13" t="s">
        <v>113</v>
      </c>
      <c r="C59" s="24" t="n">
        <f aca="false">483/2637</f>
        <v>0.18316268486917</v>
      </c>
      <c r="D59" s="15" t="s">
        <v>111</v>
      </c>
      <c r="E59" s="16"/>
    </row>
    <row r="60" customFormat="false" ht="27" hidden="false" customHeight="true" outlineLevel="0" collapsed="false">
      <c r="B60" s="13" t="s">
        <v>114</v>
      </c>
      <c r="C60" s="24" t="n">
        <f aca="false">479/2637</f>
        <v>0.181645809632158</v>
      </c>
      <c r="D60" s="15" t="s">
        <v>111</v>
      </c>
      <c r="E60" s="16"/>
    </row>
    <row r="61" customFormat="false" ht="27" hidden="false" customHeight="true" outlineLevel="0" collapsed="false">
      <c r="B61" s="13" t="s">
        <v>115</v>
      </c>
      <c r="C61" s="24" t="n">
        <f aca="false">215/2637</f>
        <v>0.0815320439893819</v>
      </c>
      <c r="D61" s="15" t="s">
        <v>111</v>
      </c>
      <c r="E61" s="16"/>
    </row>
    <row r="62" customFormat="false" ht="27" hidden="false" customHeight="true" outlineLevel="0" collapsed="false">
      <c r="B62" s="13" t="s">
        <v>116</v>
      </c>
      <c r="C62" s="24" t="n">
        <f aca="false">7739/32082</f>
        <v>0.241225609375974</v>
      </c>
      <c r="D62" s="15" t="s">
        <v>111</v>
      </c>
      <c r="E62" s="16" t="s">
        <v>117</v>
      </c>
    </row>
    <row r="63" customFormat="false" ht="27" hidden="false" customHeight="true" outlineLevel="0" collapsed="false">
      <c r="B63" s="13" t="s">
        <v>118</v>
      </c>
      <c r="C63" s="24" t="n">
        <f aca="false">9954/32082</f>
        <v>0.310267439685805</v>
      </c>
      <c r="D63" s="15" t="s">
        <v>111</v>
      </c>
      <c r="E63" s="16"/>
    </row>
    <row r="64" customFormat="false" ht="27" hidden="false" customHeight="true" outlineLevel="0" collapsed="false">
      <c r="B64" s="13" t="s">
        <v>119</v>
      </c>
      <c r="C64" s="24" t="n">
        <f aca="false">6000/32082</f>
        <v>0.187020759304283</v>
      </c>
      <c r="D64" s="15" t="s">
        <v>111</v>
      </c>
      <c r="E64" s="16"/>
    </row>
    <row r="65" customFormat="false" ht="27" hidden="false" customHeight="true" outlineLevel="0" collapsed="false">
      <c r="B65" s="13" t="s">
        <v>120</v>
      </c>
      <c r="C65" s="24" t="n">
        <f aca="false">8389/32082</f>
        <v>0.261486191633938</v>
      </c>
      <c r="D65" s="15" t="s">
        <v>111</v>
      </c>
      <c r="E65" s="16"/>
    </row>
    <row r="66" customFormat="false" ht="27" hidden="false" customHeight="true" outlineLevel="0" collapsed="false">
      <c r="B66" s="13" t="s">
        <v>121</v>
      </c>
      <c r="C66" s="24" t="n">
        <f aca="false">7739/32082</f>
        <v>0.241225609375974</v>
      </c>
      <c r="D66" s="15" t="s">
        <v>111</v>
      </c>
      <c r="E66" s="16" t="s">
        <v>122</v>
      </c>
    </row>
    <row r="67" customFormat="false" ht="27" hidden="false" customHeight="true" outlineLevel="0" collapsed="false">
      <c r="B67" s="13" t="s">
        <v>123</v>
      </c>
      <c r="C67" s="24" t="n">
        <f aca="false">9954/32082</f>
        <v>0.310267439685805</v>
      </c>
      <c r="D67" s="15" t="s">
        <v>111</v>
      </c>
      <c r="E67" s="16"/>
    </row>
    <row r="68" customFormat="false" ht="27" hidden="false" customHeight="true" outlineLevel="0" collapsed="false">
      <c r="B68" s="13" t="s">
        <v>124</v>
      </c>
      <c r="C68" s="24" t="n">
        <f aca="false">6000/32082</f>
        <v>0.187020759304283</v>
      </c>
      <c r="D68" s="15" t="s">
        <v>111</v>
      </c>
      <c r="E68" s="16"/>
    </row>
    <row r="69" customFormat="false" ht="27" hidden="false" customHeight="true" outlineLevel="0" collapsed="false">
      <c r="B69" s="13" t="s">
        <v>125</v>
      </c>
      <c r="C69" s="24" t="n">
        <f aca="false">8389/32082</f>
        <v>0.261486191633938</v>
      </c>
      <c r="D69" s="15" t="s">
        <v>111</v>
      </c>
      <c r="E69" s="16"/>
    </row>
    <row r="70" customFormat="false" ht="27" hidden="false" customHeight="true" outlineLevel="0" collapsed="false">
      <c r="B70" s="13" t="s">
        <v>126</v>
      </c>
      <c r="C70" s="24" t="n">
        <f aca="false">7739/32082</f>
        <v>0.241225609375974</v>
      </c>
      <c r="D70" s="15" t="s">
        <v>111</v>
      </c>
      <c r="E70" s="16" t="s">
        <v>122</v>
      </c>
    </row>
    <row r="71" customFormat="false" ht="27" hidden="false" customHeight="true" outlineLevel="0" collapsed="false">
      <c r="B71" s="13" t="s">
        <v>127</v>
      </c>
      <c r="C71" s="24" t="n">
        <f aca="false">9954/32082</f>
        <v>0.310267439685805</v>
      </c>
      <c r="D71" s="15" t="s">
        <v>111</v>
      </c>
      <c r="E71" s="16"/>
    </row>
    <row r="72" customFormat="false" ht="27" hidden="false" customHeight="true" outlineLevel="0" collapsed="false">
      <c r="B72" s="13" t="s">
        <v>128</v>
      </c>
      <c r="C72" s="24" t="n">
        <f aca="false">6000/32082</f>
        <v>0.187020759304283</v>
      </c>
      <c r="D72" s="15" t="s">
        <v>111</v>
      </c>
      <c r="E72" s="16"/>
    </row>
    <row r="73" customFormat="false" ht="27" hidden="false" customHeight="true" outlineLevel="0" collapsed="false">
      <c r="B73" s="13" t="s">
        <v>129</v>
      </c>
      <c r="C73" s="24" t="n">
        <f aca="false">8389/32082</f>
        <v>0.261486191633938</v>
      </c>
      <c r="D73" s="15" t="s">
        <v>111</v>
      </c>
      <c r="E73" s="16"/>
    </row>
    <row r="74" customFormat="false" ht="15" hidden="false" customHeight="false" outlineLevel="0" collapsed="false">
      <c r="B74" s="9" t="s">
        <v>130</v>
      </c>
      <c r="C74" s="10"/>
      <c r="D74" s="10"/>
      <c r="E74" s="10"/>
    </row>
    <row r="75" customFormat="false" ht="15" hidden="false" customHeight="false" outlineLevel="0" collapsed="false">
      <c r="B75" s="13" t="s">
        <v>131</v>
      </c>
      <c r="C75" s="18" t="n">
        <v>123</v>
      </c>
    </row>
    <row r="76" customFormat="false" ht="15" hidden="false" customHeight="false" outlineLevel="0" collapsed="false">
      <c r="B76" s="13" t="s">
        <v>132</v>
      </c>
    </row>
  </sheetData>
  <dataValidations count="3">
    <dataValidation allowBlank="false" errorStyle="stop" operator="between" showDropDown="false" showErrorMessage="false" showInputMessage="false" sqref="C6" type="list">
      <formula1>"Lower,Working,Upper"</formula1>
      <formula2>0</formula2>
    </dataValidation>
    <dataValidation allowBlank="false" errorStyle="stop" operator="between" showDropDown="false" showErrorMessage="false" showInputMessage="false" sqref="C8" type="list">
      <formula1>"Current density,Increased density"</formula1>
      <formula2>0</formula2>
    </dataValidation>
    <dataValidation allowBlank="false" errorStyle="stop" operator="between" showDropDown="false" showErrorMessage="false" showInputMessage="false" sqref="C10"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FA34A"/>
    <pageSetUpPr fitToPage="true"/>
  </sheetPr>
  <dimension ref="A1:AA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16" min="2" style="0" width="11"/>
    <col collapsed="false" customWidth="true" hidden="false" outlineLevel="0" max="17" min="17" style="0" width="3"/>
    <col collapsed="false" customWidth="true" hidden="false" outlineLevel="0" max="25" min="18" style="0" width="12"/>
  </cols>
  <sheetData>
    <row r="1" customFormat="false" ht="30" hidden="false" customHeight="true" outlineLevel="0" collapsed="false">
      <c r="A1" s="1" t="s">
        <v>133</v>
      </c>
      <c r="B1" s="2"/>
      <c r="C1" s="2"/>
      <c r="D1" s="2"/>
      <c r="E1" s="2"/>
      <c r="F1" s="2"/>
      <c r="G1" s="2"/>
      <c r="H1" s="2"/>
      <c r="I1" s="2"/>
      <c r="J1" s="2"/>
      <c r="K1" s="2"/>
      <c r="L1" s="2"/>
      <c r="M1" s="2"/>
      <c r="N1" s="2"/>
      <c r="O1" s="2"/>
      <c r="P1" s="2"/>
      <c r="Q1" s="2"/>
      <c r="R1" s="2"/>
      <c r="S1" s="2"/>
      <c r="T1" s="2"/>
      <c r="U1" s="2"/>
      <c r="V1" s="2"/>
      <c r="W1" s="2"/>
      <c r="X1" s="2"/>
      <c r="Y1" s="2"/>
      <c r="Z1" s="2"/>
      <c r="AA1" s="2"/>
    </row>
    <row r="2" customFormat="false" ht="18" hidden="false" customHeight="true" outlineLevel="0" collapsed="false">
      <c r="A2" s="3" t="s">
        <v>134</v>
      </c>
      <c r="B2" s="2"/>
      <c r="C2" s="2"/>
      <c r="D2" s="2"/>
      <c r="E2" s="2"/>
      <c r="F2" s="2"/>
      <c r="G2" s="2"/>
      <c r="H2" s="2"/>
      <c r="I2" s="2"/>
      <c r="J2" s="2"/>
      <c r="K2" s="2"/>
      <c r="L2" s="2"/>
      <c r="M2" s="2"/>
      <c r="N2" s="2"/>
      <c r="O2" s="2"/>
      <c r="P2" s="2"/>
      <c r="Q2" s="2"/>
      <c r="R2" s="2"/>
      <c r="S2" s="2"/>
      <c r="T2" s="2"/>
      <c r="U2" s="2"/>
      <c r="V2" s="2"/>
      <c r="W2" s="2"/>
      <c r="X2" s="2"/>
      <c r="Y2" s="2"/>
      <c r="Z2" s="2"/>
      <c r="AA2" s="2"/>
    </row>
    <row r="3" customFormat="false" ht="3.75" hidden="false" customHeight="true" outlineLevel="0" collapsed="false">
      <c r="A3" s="4"/>
      <c r="B3" s="4"/>
      <c r="C3" s="4"/>
      <c r="D3" s="4"/>
      <c r="E3" s="4"/>
      <c r="F3" s="4"/>
      <c r="G3" s="4"/>
      <c r="H3" s="4"/>
      <c r="I3" s="4"/>
      <c r="J3" s="4"/>
      <c r="K3" s="4"/>
      <c r="L3" s="4"/>
      <c r="M3" s="4"/>
      <c r="N3" s="4"/>
      <c r="O3" s="4"/>
      <c r="P3" s="4"/>
      <c r="Q3" s="4"/>
      <c r="R3" s="4"/>
      <c r="S3" s="4"/>
      <c r="T3" s="4"/>
      <c r="U3" s="4"/>
      <c r="V3" s="4"/>
      <c r="W3" s="4"/>
      <c r="X3" s="4"/>
      <c r="Y3" s="4"/>
      <c r="Z3" s="4"/>
      <c r="AA3" s="4"/>
    </row>
    <row r="5" customFormat="false" ht="15" hidden="false" customHeight="false" outlineLevel="0" collapsed="false">
      <c r="A5" s="9" t="s">
        <v>135</v>
      </c>
      <c r="B5" s="10"/>
      <c r="C5" s="10"/>
      <c r="D5" s="10"/>
      <c r="E5" s="10"/>
      <c r="F5" s="10"/>
      <c r="G5" s="10"/>
      <c r="H5" s="10"/>
      <c r="I5" s="10"/>
      <c r="J5" s="10"/>
      <c r="K5" s="10"/>
      <c r="L5" s="10"/>
      <c r="M5" s="10"/>
      <c r="N5" s="10"/>
      <c r="O5" s="10"/>
      <c r="P5" s="10"/>
      <c r="Q5" s="10"/>
      <c r="R5" s="10"/>
      <c r="S5" s="10"/>
      <c r="T5" s="10"/>
      <c r="U5" s="10"/>
      <c r="V5" s="10"/>
      <c r="W5" s="10"/>
      <c r="X5" s="10"/>
      <c r="Y5" s="10"/>
      <c r="Z5" s="10"/>
      <c r="AA5" s="10"/>
    </row>
    <row r="6" customFormat="false" ht="33.75" hidden="false" customHeight="true" outlineLevel="0" collapsed="false">
      <c r="A6" s="25" t="s">
        <v>136</v>
      </c>
      <c r="B6" s="25" t="s">
        <v>137</v>
      </c>
      <c r="C6" s="25" t="s">
        <v>138</v>
      </c>
      <c r="D6" s="25" t="s">
        <v>139</v>
      </c>
      <c r="E6" s="25" t="s">
        <v>140</v>
      </c>
      <c r="F6" s="25" t="s">
        <v>141</v>
      </c>
      <c r="G6" s="25" t="s">
        <v>142</v>
      </c>
      <c r="H6" s="25" t="s">
        <v>143</v>
      </c>
      <c r="I6" s="25" t="s">
        <v>144</v>
      </c>
      <c r="J6" s="25" t="s">
        <v>145</v>
      </c>
      <c r="K6" s="25" t="s">
        <v>146</v>
      </c>
      <c r="L6" s="25" t="s">
        <v>147</v>
      </c>
      <c r="M6" s="25" t="s">
        <v>148</v>
      </c>
      <c r="N6" s="25" t="s">
        <v>149</v>
      </c>
      <c r="O6" s="25" t="s">
        <v>150</v>
      </c>
      <c r="P6" s="25" t="s">
        <v>151</v>
      </c>
      <c r="Q6" s="26"/>
      <c r="R6" s="25" t="s">
        <v>152</v>
      </c>
      <c r="S6" s="25" t="s">
        <v>153</v>
      </c>
      <c r="T6" s="25" t="s">
        <v>154</v>
      </c>
      <c r="U6" s="25" t="s">
        <v>155</v>
      </c>
      <c r="V6" s="25" t="s">
        <v>156</v>
      </c>
      <c r="W6" s="25" t="s">
        <v>157</v>
      </c>
      <c r="X6" s="25" t="s">
        <v>158</v>
      </c>
      <c r="Y6" s="25" t="s">
        <v>159</v>
      </c>
    </row>
    <row r="7" customFormat="false" ht="15" hidden="false" customHeight="false" outlineLevel="0" collapsed="false">
      <c r="A7" s="27" t="n">
        <v>2026</v>
      </c>
      <c r="B7" s="18" t="n">
        <v>2598</v>
      </c>
      <c r="C7" s="18" t="n">
        <v>2617</v>
      </c>
      <c r="D7" s="18" t="n">
        <v>4263</v>
      </c>
      <c r="E7" s="18" t="n">
        <v>756</v>
      </c>
      <c r="F7" s="18" t="n">
        <v>964</v>
      </c>
      <c r="G7" s="18" t="n">
        <v>1208</v>
      </c>
      <c r="H7" s="18" t="n">
        <v>305</v>
      </c>
      <c r="I7" s="18" t="n">
        <v>543</v>
      </c>
      <c r="J7" s="18" t="n">
        <v>802</v>
      </c>
      <c r="K7" s="18" t="n">
        <v>300</v>
      </c>
      <c r="L7" s="18" t="n">
        <v>532</v>
      </c>
      <c r="M7" s="18" t="n">
        <v>785</v>
      </c>
      <c r="N7" s="18" t="n">
        <v>1832</v>
      </c>
      <c r="O7" s="18" t="n">
        <v>2224</v>
      </c>
      <c r="P7" s="18" t="n">
        <v>2701</v>
      </c>
      <c r="R7" s="28" t="n">
        <f aca="false">$D7*INDEX(E7:G7,sc_idx)/(INDEX(E7:G7,sc_idx)+INDEX(H7:J7,sc_idx)+INDEX(K7:M7,sc_idx)+INDEX(N7:P7,sc_idx))</f>
        <v>964</v>
      </c>
      <c r="S7" s="28" t="n">
        <f aca="false">$D7*INDEX(H7:J7,sc_idx)/(INDEX(E7:G7,sc_idx)+INDEX(H7:J7,sc_idx)+INDEX(K7:M7,sc_idx)+INDEX(N7:P7,sc_idx))</f>
        <v>543</v>
      </c>
      <c r="T7" s="28" t="n">
        <f aca="false">$D7*INDEX(K7:M7,sc_idx)/(INDEX(E7:G7,sc_idx)+INDEX(H7:J7,sc_idx)+INDEX(K7:M7,sc_idx)+INDEX(N7:P7,sc_idx))</f>
        <v>532</v>
      </c>
      <c r="U7" s="28" t="n">
        <f aca="false">$D7*INDEX(N7:P7,sc_idx)/(INDEX(E7:G7,sc_idx)+INDEX(H7:J7,sc_idx)+INDEX(K7:M7,sc_idx)+INDEX(N7:P7,sc_idx))</f>
        <v>2224</v>
      </c>
      <c r="V7" s="28" t="n">
        <f aca="false">IF(AND(hl_incl="Yes",A7&lt;=2035),hl_total/10,0)</f>
        <v>0</v>
      </c>
      <c r="W7" s="28" t="n">
        <f aca="false">R7+V7</f>
        <v>964</v>
      </c>
      <c r="X7" s="28" t="n">
        <f aca="false">U7-V7</f>
        <v>2224</v>
      </c>
      <c r="Y7" s="28" t="n">
        <f aca="false">W7+S7+T7+X7</f>
        <v>4263</v>
      </c>
    </row>
    <row r="8" customFormat="false" ht="15" hidden="false" customHeight="false" outlineLevel="0" collapsed="false">
      <c r="A8" s="27" t="n">
        <v>2027</v>
      </c>
      <c r="B8" s="18" t="n">
        <v>2598</v>
      </c>
      <c r="C8" s="18" t="n">
        <v>2662</v>
      </c>
      <c r="D8" s="18" t="n">
        <v>4263</v>
      </c>
      <c r="E8" s="18" t="n">
        <v>756</v>
      </c>
      <c r="F8" s="18" t="n">
        <v>964</v>
      </c>
      <c r="G8" s="18" t="n">
        <v>1208</v>
      </c>
      <c r="H8" s="18" t="n">
        <v>305</v>
      </c>
      <c r="I8" s="18" t="n">
        <v>543</v>
      </c>
      <c r="J8" s="18" t="n">
        <v>802</v>
      </c>
      <c r="K8" s="18" t="n">
        <v>300</v>
      </c>
      <c r="L8" s="18" t="n">
        <v>532</v>
      </c>
      <c r="M8" s="18" t="n">
        <v>785</v>
      </c>
      <c r="N8" s="18" t="n">
        <v>1832</v>
      </c>
      <c r="O8" s="18" t="n">
        <v>2224</v>
      </c>
      <c r="P8" s="18" t="n">
        <v>2701</v>
      </c>
      <c r="R8" s="28" t="n">
        <f aca="false">$D8*INDEX(E8:G8,sc_idx)/(INDEX(E8:G8,sc_idx)+INDEX(H8:J8,sc_idx)+INDEX(K8:M8,sc_idx)+INDEX(N8:P8,sc_idx))</f>
        <v>964</v>
      </c>
      <c r="S8" s="28" t="n">
        <f aca="false">$D8*INDEX(H8:J8,sc_idx)/(INDEX(E8:G8,sc_idx)+INDEX(H8:J8,sc_idx)+INDEX(K8:M8,sc_idx)+INDEX(N8:P8,sc_idx))</f>
        <v>543</v>
      </c>
      <c r="T8" s="28" t="n">
        <f aca="false">$D8*INDEX(K8:M8,sc_idx)/(INDEX(E8:G8,sc_idx)+INDEX(H8:J8,sc_idx)+INDEX(K8:M8,sc_idx)+INDEX(N8:P8,sc_idx))</f>
        <v>532</v>
      </c>
      <c r="U8" s="28" t="n">
        <f aca="false">$D8*INDEX(N8:P8,sc_idx)/(INDEX(E8:G8,sc_idx)+INDEX(H8:J8,sc_idx)+INDEX(K8:M8,sc_idx)+INDEX(N8:P8,sc_idx))</f>
        <v>2224</v>
      </c>
      <c r="V8" s="28" t="n">
        <f aca="false">IF(AND(hl_incl="Yes",A8&lt;=2035),hl_total/10,0)</f>
        <v>0</v>
      </c>
      <c r="W8" s="28" t="n">
        <f aca="false">R8+V8</f>
        <v>964</v>
      </c>
      <c r="X8" s="28" t="n">
        <f aca="false">U8-V8</f>
        <v>2224</v>
      </c>
      <c r="Y8" s="28" t="n">
        <f aca="false">W8+S8+T8+X8</f>
        <v>4263</v>
      </c>
    </row>
    <row r="9" customFormat="false" ht="15" hidden="false" customHeight="false" outlineLevel="0" collapsed="false">
      <c r="A9" s="27" t="n">
        <v>2028</v>
      </c>
      <c r="B9" s="18" t="n">
        <v>2598</v>
      </c>
      <c r="C9" s="18" t="n">
        <v>2678</v>
      </c>
      <c r="D9" s="18" t="n">
        <v>4263</v>
      </c>
      <c r="E9" s="18" t="n">
        <v>756</v>
      </c>
      <c r="F9" s="18" t="n">
        <v>964</v>
      </c>
      <c r="G9" s="18" t="n">
        <v>1208</v>
      </c>
      <c r="H9" s="18" t="n">
        <v>305</v>
      </c>
      <c r="I9" s="18" t="n">
        <v>543</v>
      </c>
      <c r="J9" s="18" t="n">
        <v>802</v>
      </c>
      <c r="K9" s="18" t="n">
        <v>300</v>
      </c>
      <c r="L9" s="18" t="n">
        <v>532</v>
      </c>
      <c r="M9" s="18" t="n">
        <v>785</v>
      </c>
      <c r="N9" s="18" t="n">
        <v>1832</v>
      </c>
      <c r="O9" s="18" t="n">
        <v>2224</v>
      </c>
      <c r="P9" s="18" t="n">
        <v>2701</v>
      </c>
      <c r="R9" s="28" t="n">
        <f aca="false">$D9*INDEX(E9:G9,sc_idx)/(INDEX(E9:G9,sc_idx)+INDEX(H9:J9,sc_idx)+INDEX(K9:M9,sc_idx)+INDEX(N9:P9,sc_idx))</f>
        <v>964</v>
      </c>
      <c r="S9" s="28" t="n">
        <f aca="false">$D9*INDEX(H9:J9,sc_idx)/(INDEX(E9:G9,sc_idx)+INDEX(H9:J9,sc_idx)+INDEX(K9:M9,sc_idx)+INDEX(N9:P9,sc_idx))</f>
        <v>543</v>
      </c>
      <c r="T9" s="28" t="n">
        <f aca="false">$D9*INDEX(K9:M9,sc_idx)/(INDEX(E9:G9,sc_idx)+INDEX(H9:J9,sc_idx)+INDEX(K9:M9,sc_idx)+INDEX(N9:P9,sc_idx))</f>
        <v>532</v>
      </c>
      <c r="U9" s="28" t="n">
        <f aca="false">$D9*INDEX(N9:P9,sc_idx)/(INDEX(E9:G9,sc_idx)+INDEX(H9:J9,sc_idx)+INDEX(K9:M9,sc_idx)+INDEX(N9:P9,sc_idx))</f>
        <v>2224</v>
      </c>
      <c r="V9" s="28" t="n">
        <f aca="false">IF(AND(hl_incl="Yes",A9&lt;=2035),hl_total/10,0)</f>
        <v>0</v>
      </c>
      <c r="W9" s="28" t="n">
        <f aca="false">R9+V9</f>
        <v>964</v>
      </c>
      <c r="X9" s="28" t="n">
        <f aca="false">U9-V9</f>
        <v>2224</v>
      </c>
      <c r="Y9" s="28" t="n">
        <f aca="false">W9+S9+T9+X9</f>
        <v>4263</v>
      </c>
    </row>
    <row r="10" customFormat="false" ht="15" hidden="false" customHeight="false" outlineLevel="0" collapsed="false">
      <c r="A10" s="27" t="n">
        <v>2029</v>
      </c>
      <c r="C10" s="18" t="n">
        <v>2700</v>
      </c>
      <c r="D10" s="18" t="n">
        <v>4263</v>
      </c>
      <c r="E10" s="18" t="n">
        <v>756</v>
      </c>
      <c r="F10" s="18" t="n">
        <v>964</v>
      </c>
      <c r="G10" s="18" t="n">
        <v>1208</v>
      </c>
      <c r="H10" s="18" t="n">
        <v>305</v>
      </c>
      <c r="I10" s="18" t="n">
        <v>543</v>
      </c>
      <c r="J10" s="18" t="n">
        <v>802</v>
      </c>
      <c r="K10" s="18" t="n">
        <v>300</v>
      </c>
      <c r="L10" s="18" t="n">
        <v>532</v>
      </c>
      <c r="M10" s="18" t="n">
        <v>785</v>
      </c>
      <c r="N10" s="18" t="n">
        <v>1832</v>
      </c>
      <c r="O10" s="18" t="n">
        <v>2224</v>
      </c>
      <c r="P10" s="18" t="n">
        <v>2701</v>
      </c>
      <c r="R10" s="28" t="n">
        <f aca="false">$D10*INDEX(E10:G10,sc_idx)/(INDEX(E10:G10,sc_idx)+INDEX(H10:J10,sc_idx)+INDEX(K10:M10,sc_idx)+INDEX(N10:P10,sc_idx))</f>
        <v>964</v>
      </c>
      <c r="S10" s="28" t="n">
        <f aca="false">$D10*INDEX(H10:J10,sc_idx)/(INDEX(E10:G10,sc_idx)+INDEX(H10:J10,sc_idx)+INDEX(K10:M10,sc_idx)+INDEX(N10:P10,sc_idx))</f>
        <v>543</v>
      </c>
      <c r="T10" s="28" t="n">
        <f aca="false">$D10*INDEX(K10:M10,sc_idx)/(INDEX(E10:G10,sc_idx)+INDEX(H10:J10,sc_idx)+INDEX(K10:M10,sc_idx)+INDEX(N10:P10,sc_idx))</f>
        <v>532</v>
      </c>
      <c r="U10" s="28" t="n">
        <f aca="false">$D10*INDEX(N10:P10,sc_idx)/(INDEX(E10:G10,sc_idx)+INDEX(H10:J10,sc_idx)+INDEX(K10:M10,sc_idx)+INDEX(N10:P10,sc_idx))</f>
        <v>2224</v>
      </c>
      <c r="V10" s="28" t="n">
        <f aca="false">IF(AND(hl_incl="Yes",A10&lt;=2035),hl_total/10,0)</f>
        <v>0</v>
      </c>
      <c r="W10" s="28" t="n">
        <f aca="false">R10+V10</f>
        <v>964</v>
      </c>
      <c r="X10" s="28" t="n">
        <f aca="false">U10-V10</f>
        <v>2224</v>
      </c>
      <c r="Y10" s="28" t="n">
        <f aca="false">W10+S10+T10+X10</f>
        <v>4263</v>
      </c>
    </row>
    <row r="11" customFormat="false" ht="15" hidden="false" customHeight="false" outlineLevel="0" collapsed="false">
      <c r="A11" s="27" t="n">
        <v>2030</v>
      </c>
      <c r="C11" s="18" t="n">
        <v>2749</v>
      </c>
      <c r="D11" s="18" t="n">
        <v>4263</v>
      </c>
      <c r="E11" s="18" t="n">
        <v>756</v>
      </c>
      <c r="F11" s="18" t="n">
        <v>964</v>
      </c>
      <c r="G11" s="18" t="n">
        <v>1208</v>
      </c>
      <c r="H11" s="18" t="n">
        <v>305</v>
      </c>
      <c r="I11" s="18" t="n">
        <v>543</v>
      </c>
      <c r="J11" s="18" t="n">
        <v>802</v>
      </c>
      <c r="K11" s="18" t="n">
        <v>300</v>
      </c>
      <c r="L11" s="18" t="n">
        <v>532</v>
      </c>
      <c r="M11" s="18" t="n">
        <v>785</v>
      </c>
      <c r="N11" s="18" t="n">
        <v>1832</v>
      </c>
      <c r="O11" s="18" t="n">
        <v>2224</v>
      </c>
      <c r="P11" s="18" t="n">
        <v>2701</v>
      </c>
      <c r="R11" s="28" t="n">
        <f aca="false">$D11*INDEX(E11:G11,sc_idx)/(INDEX(E11:G11,sc_idx)+INDEX(H11:J11,sc_idx)+INDEX(K11:M11,sc_idx)+INDEX(N11:P11,sc_idx))</f>
        <v>964</v>
      </c>
      <c r="S11" s="28" t="n">
        <f aca="false">$D11*INDEX(H11:J11,sc_idx)/(INDEX(E11:G11,sc_idx)+INDEX(H11:J11,sc_idx)+INDEX(K11:M11,sc_idx)+INDEX(N11:P11,sc_idx))</f>
        <v>543</v>
      </c>
      <c r="T11" s="28" t="n">
        <f aca="false">$D11*INDEX(K11:M11,sc_idx)/(INDEX(E11:G11,sc_idx)+INDEX(H11:J11,sc_idx)+INDEX(K11:M11,sc_idx)+INDEX(N11:P11,sc_idx))</f>
        <v>532</v>
      </c>
      <c r="U11" s="28" t="n">
        <f aca="false">$D11*INDEX(N11:P11,sc_idx)/(INDEX(E11:G11,sc_idx)+INDEX(H11:J11,sc_idx)+INDEX(K11:M11,sc_idx)+INDEX(N11:P11,sc_idx))</f>
        <v>2224</v>
      </c>
      <c r="V11" s="28" t="n">
        <f aca="false">IF(AND(hl_incl="Yes",A11&lt;=2035),hl_total/10,0)</f>
        <v>0</v>
      </c>
      <c r="W11" s="28" t="n">
        <f aca="false">R11+V11</f>
        <v>964</v>
      </c>
      <c r="X11" s="28" t="n">
        <f aca="false">U11-V11</f>
        <v>2224</v>
      </c>
      <c r="Y11" s="28" t="n">
        <f aca="false">W11+S11+T11+X11</f>
        <v>4263</v>
      </c>
    </row>
    <row r="12" customFormat="false" ht="15" hidden="false" customHeight="false" outlineLevel="0" collapsed="false">
      <c r="A12" s="27" t="n">
        <v>2031</v>
      </c>
      <c r="C12" s="18" t="n">
        <v>2532</v>
      </c>
      <c r="D12" s="18" t="n">
        <v>2168</v>
      </c>
      <c r="E12" s="18" t="n">
        <v>385</v>
      </c>
      <c r="F12" s="18" t="n">
        <v>490</v>
      </c>
      <c r="G12" s="18" t="n">
        <v>614</v>
      </c>
      <c r="H12" s="18" t="n">
        <v>155</v>
      </c>
      <c r="I12" s="18" t="n">
        <v>276</v>
      </c>
      <c r="J12" s="18" t="n">
        <v>408</v>
      </c>
      <c r="K12" s="18" t="n">
        <v>153</v>
      </c>
      <c r="L12" s="18" t="n">
        <v>271</v>
      </c>
      <c r="M12" s="18" t="n">
        <v>399</v>
      </c>
      <c r="N12" s="18" t="n">
        <v>932</v>
      </c>
      <c r="O12" s="18" t="n">
        <v>1131</v>
      </c>
      <c r="P12" s="18" t="n">
        <v>1374</v>
      </c>
      <c r="R12" s="28" t="n">
        <f aca="false">$D12*INDEX(E12:G12,sc_idx)/(INDEX(E12:G12,sc_idx)+INDEX(H12:J12,sc_idx)+INDEX(K12:M12,sc_idx)+INDEX(N12:P12,sc_idx))</f>
        <v>490</v>
      </c>
      <c r="S12" s="28" t="n">
        <f aca="false">$D12*INDEX(H12:J12,sc_idx)/(INDEX(E12:G12,sc_idx)+INDEX(H12:J12,sc_idx)+INDEX(K12:M12,sc_idx)+INDEX(N12:P12,sc_idx))</f>
        <v>276</v>
      </c>
      <c r="T12" s="28" t="n">
        <f aca="false">$D12*INDEX(K12:M12,sc_idx)/(INDEX(E12:G12,sc_idx)+INDEX(H12:J12,sc_idx)+INDEX(K12:M12,sc_idx)+INDEX(N12:P12,sc_idx))</f>
        <v>271</v>
      </c>
      <c r="U12" s="28" t="n">
        <f aca="false">$D12*INDEX(N12:P12,sc_idx)/(INDEX(E12:G12,sc_idx)+INDEX(H12:J12,sc_idx)+INDEX(K12:M12,sc_idx)+INDEX(N12:P12,sc_idx))</f>
        <v>1131</v>
      </c>
      <c r="V12" s="28" t="n">
        <f aca="false">IF(AND(hl_incl="Yes",A12&lt;=2035),hl_total/10,0)</f>
        <v>0</v>
      </c>
      <c r="W12" s="28" t="n">
        <f aca="false">R12+V12</f>
        <v>490</v>
      </c>
      <c r="X12" s="28" t="n">
        <f aca="false">U12-V12</f>
        <v>1131</v>
      </c>
      <c r="Y12" s="28" t="n">
        <f aca="false">W12+S12+T12+X12</f>
        <v>2168</v>
      </c>
    </row>
    <row r="13" customFormat="false" ht="15" hidden="false" customHeight="false" outlineLevel="0" collapsed="false">
      <c r="A13" s="27" t="n">
        <v>2032</v>
      </c>
      <c r="C13" s="18" t="n">
        <v>2541</v>
      </c>
      <c r="D13" s="18" t="n">
        <v>2168</v>
      </c>
      <c r="E13" s="18" t="n">
        <v>385</v>
      </c>
      <c r="F13" s="18" t="n">
        <v>490</v>
      </c>
      <c r="G13" s="18" t="n">
        <v>614</v>
      </c>
      <c r="H13" s="18" t="n">
        <v>155</v>
      </c>
      <c r="I13" s="18" t="n">
        <v>276</v>
      </c>
      <c r="J13" s="18" t="n">
        <v>408</v>
      </c>
      <c r="K13" s="18" t="n">
        <v>153</v>
      </c>
      <c r="L13" s="18" t="n">
        <v>271</v>
      </c>
      <c r="M13" s="18" t="n">
        <v>399</v>
      </c>
      <c r="N13" s="18" t="n">
        <v>932</v>
      </c>
      <c r="O13" s="18" t="n">
        <v>1131</v>
      </c>
      <c r="P13" s="18" t="n">
        <v>1374</v>
      </c>
      <c r="R13" s="28" t="n">
        <f aca="false">$D13*INDEX(E13:G13,sc_idx)/(INDEX(E13:G13,sc_idx)+INDEX(H13:J13,sc_idx)+INDEX(K13:M13,sc_idx)+INDEX(N13:P13,sc_idx))</f>
        <v>490</v>
      </c>
      <c r="S13" s="28" t="n">
        <f aca="false">$D13*INDEX(H13:J13,sc_idx)/(INDEX(E13:G13,sc_idx)+INDEX(H13:J13,sc_idx)+INDEX(K13:M13,sc_idx)+INDEX(N13:P13,sc_idx))</f>
        <v>276</v>
      </c>
      <c r="T13" s="28" t="n">
        <f aca="false">$D13*INDEX(K13:M13,sc_idx)/(INDEX(E13:G13,sc_idx)+INDEX(H13:J13,sc_idx)+INDEX(K13:M13,sc_idx)+INDEX(N13:P13,sc_idx))</f>
        <v>271</v>
      </c>
      <c r="U13" s="28" t="n">
        <f aca="false">$D13*INDEX(N13:P13,sc_idx)/(INDEX(E13:G13,sc_idx)+INDEX(H13:J13,sc_idx)+INDEX(K13:M13,sc_idx)+INDEX(N13:P13,sc_idx))</f>
        <v>1131</v>
      </c>
      <c r="V13" s="28" t="n">
        <f aca="false">IF(AND(hl_incl="Yes",A13&lt;=2035),hl_total/10,0)</f>
        <v>0</v>
      </c>
      <c r="W13" s="28" t="n">
        <f aca="false">R13+V13</f>
        <v>490</v>
      </c>
      <c r="X13" s="28" t="n">
        <f aca="false">U13-V13</f>
        <v>1131</v>
      </c>
      <c r="Y13" s="28" t="n">
        <f aca="false">W13+S13+T13+X13</f>
        <v>2168</v>
      </c>
    </row>
    <row r="14" customFormat="false" ht="15" hidden="false" customHeight="false" outlineLevel="0" collapsed="false">
      <c r="A14" s="27" t="n">
        <v>2033</v>
      </c>
      <c r="C14" s="18" t="n">
        <v>2530</v>
      </c>
      <c r="D14" s="18" t="n">
        <v>2168</v>
      </c>
      <c r="E14" s="18" t="n">
        <v>385</v>
      </c>
      <c r="F14" s="18" t="n">
        <v>490</v>
      </c>
      <c r="G14" s="18" t="n">
        <v>614</v>
      </c>
      <c r="H14" s="18" t="n">
        <v>155</v>
      </c>
      <c r="I14" s="18" t="n">
        <v>276</v>
      </c>
      <c r="J14" s="18" t="n">
        <v>408</v>
      </c>
      <c r="K14" s="18" t="n">
        <v>153</v>
      </c>
      <c r="L14" s="18" t="n">
        <v>271</v>
      </c>
      <c r="M14" s="18" t="n">
        <v>399</v>
      </c>
      <c r="N14" s="18" t="n">
        <v>932</v>
      </c>
      <c r="O14" s="18" t="n">
        <v>1131</v>
      </c>
      <c r="P14" s="18" t="n">
        <v>1374</v>
      </c>
      <c r="R14" s="28" t="n">
        <f aca="false">$D14*INDEX(E14:G14,sc_idx)/(INDEX(E14:G14,sc_idx)+INDEX(H14:J14,sc_idx)+INDEX(K14:M14,sc_idx)+INDEX(N14:P14,sc_idx))</f>
        <v>490</v>
      </c>
      <c r="S14" s="28" t="n">
        <f aca="false">$D14*INDEX(H14:J14,sc_idx)/(INDEX(E14:G14,sc_idx)+INDEX(H14:J14,sc_idx)+INDEX(K14:M14,sc_idx)+INDEX(N14:P14,sc_idx))</f>
        <v>276</v>
      </c>
      <c r="T14" s="28" t="n">
        <f aca="false">$D14*INDEX(K14:M14,sc_idx)/(INDEX(E14:G14,sc_idx)+INDEX(H14:J14,sc_idx)+INDEX(K14:M14,sc_idx)+INDEX(N14:P14,sc_idx))</f>
        <v>271</v>
      </c>
      <c r="U14" s="28" t="n">
        <f aca="false">$D14*INDEX(N14:P14,sc_idx)/(INDEX(E14:G14,sc_idx)+INDEX(H14:J14,sc_idx)+INDEX(K14:M14,sc_idx)+INDEX(N14:P14,sc_idx))</f>
        <v>1131</v>
      </c>
      <c r="V14" s="28" t="n">
        <f aca="false">IF(AND(hl_incl="Yes",A14&lt;=2035),hl_total/10,0)</f>
        <v>0</v>
      </c>
      <c r="W14" s="28" t="n">
        <f aca="false">R14+V14</f>
        <v>490</v>
      </c>
      <c r="X14" s="28" t="n">
        <f aca="false">U14-V14</f>
        <v>1131</v>
      </c>
      <c r="Y14" s="28" t="n">
        <f aca="false">W14+S14+T14+X14</f>
        <v>2168</v>
      </c>
    </row>
    <row r="15" customFormat="false" ht="15" hidden="false" customHeight="false" outlineLevel="0" collapsed="false">
      <c r="A15" s="27" t="n">
        <v>2034</v>
      </c>
      <c r="C15" s="18" t="n">
        <v>2518</v>
      </c>
      <c r="D15" s="18" t="n">
        <v>2168</v>
      </c>
      <c r="E15" s="18" t="n">
        <v>385</v>
      </c>
      <c r="F15" s="18" t="n">
        <v>490</v>
      </c>
      <c r="G15" s="18" t="n">
        <v>614</v>
      </c>
      <c r="H15" s="18" t="n">
        <v>155</v>
      </c>
      <c r="I15" s="18" t="n">
        <v>276</v>
      </c>
      <c r="J15" s="18" t="n">
        <v>408</v>
      </c>
      <c r="K15" s="18" t="n">
        <v>153</v>
      </c>
      <c r="L15" s="18" t="n">
        <v>271</v>
      </c>
      <c r="M15" s="18" t="n">
        <v>399</v>
      </c>
      <c r="N15" s="18" t="n">
        <v>932</v>
      </c>
      <c r="O15" s="18" t="n">
        <v>1131</v>
      </c>
      <c r="P15" s="18" t="n">
        <v>1374</v>
      </c>
      <c r="R15" s="28" t="n">
        <f aca="false">$D15*INDEX(E15:G15,sc_idx)/(INDEX(E15:G15,sc_idx)+INDEX(H15:J15,sc_idx)+INDEX(K15:M15,sc_idx)+INDEX(N15:P15,sc_idx))</f>
        <v>490</v>
      </c>
      <c r="S15" s="28" t="n">
        <f aca="false">$D15*INDEX(H15:J15,sc_idx)/(INDEX(E15:G15,sc_idx)+INDEX(H15:J15,sc_idx)+INDEX(K15:M15,sc_idx)+INDEX(N15:P15,sc_idx))</f>
        <v>276</v>
      </c>
      <c r="T15" s="28" t="n">
        <f aca="false">$D15*INDEX(K15:M15,sc_idx)/(INDEX(E15:G15,sc_idx)+INDEX(H15:J15,sc_idx)+INDEX(K15:M15,sc_idx)+INDEX(N15:P15,sc_idx))</f>
        <v>271</v>
      </c>
      <c r="U15" s="28" t="n">
        <f aca="false">$D15*INDEX(N15:P15,sc_idx)/(INDEX(E15:G15,sc_idx)+INDEX(H15:J15,sc_idx)+INDEX(K15:M15,sc_idx)+INDEX(N15:P15,sc_idx))</f>
        <v>1131</v>
      </c>
      <c r="V15" s="28" t="n">
        <f aca="false">IF(AND(hl_incl="Yes",A15&lt;=2035),hl_total/10,0)</f>
        <v>0</v>
      </c>
      <c r="W15" s="28" t="n">
        <f aca="false">R15+V15</f>
        <v>490</v>
      </c>
      <c r="X15" s="28" t="n">
        <f aca="false">U15-V15</f>
        <v>1131</v>
      </c>
      <c r="Y15" s="28" t="n">
        <f aca="false">W15+S15+T15+X15</f>
        <v>2168</v>
      </c>
    </row>
    <row r="16" customFormat="false" ht="15" hidden="false" customHeight="false" outlineLevel="0" collapsed="false">
      <c r="A16" s="27" t="n">
        <v>2035</v>
      </c>
      <c r="C16" s="18" t="n">
        <v>3584</v>
      </c>
      <c r="D16" s="18" t="n">
        <v>2095</v>
      </c>
      <c r="E16" s="18" t="n">
        <v>372</v>
      </c>
      <c r="F16" s="18" t="n">
        <v>474</v>
      </c>
      <c r="G16" s="18" t="n">
        <v>594</v>
      </c>
      <c r="H16" s="18" t="n">
        <v>150</v>
      </c>
      <c r="I16" s="18" t="n">
        <v>267</v>
      </c>
      <c r="J16" s="18" t="n">
        <v>394</v>
      </c>
      <c r="K16" s="18" t="n">
        <v>148</v>
      </c>
      <c r="L16" s="18" t="n">
        <v>262</v>
      </c>
      <c r="M16" s="18" t="n">
        <v>386</v>
      </c>
      <c r="N16" s="18" t="n">
        <v>900</v>
      </c>
      <c r="O16" s="18" t="n">
        <v>1093</v>
      </c>
      <c r="P16" s="18" t="n">
        <v>1327</v>
      </c>
      <c r="R16" s="28" t="n">
        <f aca="false">$D16*INDEX(E16:G16,sc_idx)/(INDEX(E16:G16,sc_idx)+INDEX(H16:J16,sc_idx)+INDEX(K16:M16,sc_idx)+INDEX(N16:P16,sc_idx))</f>
        <v>473.773854961832</v>
      </c>
      <c r="S16" s="28" t="n">
        <f aca="false">$D16*INDEX(H16:J16,sc_idx)/(INDEX(E16:G16,sc_idx)+INDEX(H16:J16,sc_idx)+INDEX(K16:M16,sc_idx)+INDEX(N16:P16,sc_idx))</f>
        <v>266.872614503817</v>
      </c>
      <c r="T16" s="28" t="n">
        <f aca="false">$D16*INDEX(K16:M16,sc_idx)/(INDEX(E16:G16,sc_idx)+INDEX(H16:J16,sc_idx)+INDEX(K16:M16,sc_idx)+INDEX(N16:P16,sc_idx))</f>
        <v>261.875</v>
      </c>
      <c r="U16" s="28" t="n">
        <f aca="false">$D16*INDEX(N16:P16,sc_idx)/(INDEX(E16:G16,sc_idx)+INDEX(H16:J16,sc_idx)+INDEX(K16:M16,sc_idx)+INDEX(N16:P16,sc_idx))</f>
        <v>1092.47853053435</v>
      </c>
      <c r="V16" s="28" t="n">
        <f aca="false">IF(AND(hl_incl="Yes",A16&lt;=2035),hl_total/10,0)</f>
        <v>0</v>
      </c>
      <c r="W16" s="28" t="n">
        <f aca="false">R16+V16</f>
        <v>473.773854961832</v>
      </c>
      <c r="X16" s="28" t="n">
        <f aca="false">U16-V16</f>
        <v>1092.47853053435</v>
      </c>
      <c r="Y16" s="28" t="n">
        <f aca="false">W16+S16+T16+X16</f>
        <v>2095</v>
      </c>
    </row>
    <row r="17" customFormat="false" ht="15" hidden="false" customHeight="false" outlineLevel="0" collapsed="false">
      <c r="A17" s="27" t="n">
        <v>2036</v>
      </c>
      <c r="C17" s="18" t="n">
        <v>2600</v>
      </c>
      <c r="D17" s="18" t="n">
        <v>1587</v>
      </c>
      <c r="E17" s="18" t="n">
        <v>241</v>
      </c>
      <c r="F17" s="18" t="n">
        <v>241</v>
      </c>
      <c r="G17" s="18" t="n">
        <v>241</v>
      </c>
      <c r="H17" s="18" t="n">
        <v>159</v>
      </c>
      <c r="I17" s="18" t="n">
        <v>159</v>
      </c>
      <c r="J17" s="18" t="n">
        <v>159</v>
      </c>
      <c r="K17" s="18" t="n">
        <v>273</v>
      </c>
      <c r="L17" s="18" t="n">
        <v>273</v>
      </c>
      <c r="M17" s="18" t="n">
        <v>273</v>
      </c>
      <c r="N17" s="18" t="n">
        <v>914</v>
      </c>
      <c r="O17" s="18" t="n">
        <v>914</v>
      </c>
      <c r="P17" s="18" t="n">
        <v>914</v>
      </c>
      <c r="R17" s="28" t="n">
        <f aca="false">$D17*INDEX(E17:G17,sc_idx)/(INDEX(E17:G17,sc_idx)+INDEX(H17:J17,sc_idx)+INDEX(K17:M17,sc_idx)+INDEX(N17:P17,sc_idx))</f>
        <v>241</v>
      </c>
      <c r="S17" s="28" t="n">
        <f aca="false">$D17*INDEX(H17:J17,sc_idx)/(INDEX(E17:G17,sc_idx)+INDEX(H17:J17,sc_idx)+INDEX(K17:M17,sc_idx)+INDEX(N17:P17,sc_idx))</f>
        <v>159</v>
      </c>
      <c r="T17" s="28" t="n">
        <f aca="false">$D17*INDEX(K17:M17,sc_idx)/(INDEX(E17:G17,sc_idx)+INDEX(H17:J17,sc_idx)+INDEX(K17:M17,sc_idx)+INDEX(N17:P17,sc_idx))</f>
        <v>273</v>
      </c>
      <c r="U17" s="28" t="n">
        <f aca="false">$D17*INDEX(N17:P17,sc_idx)/(INDEX(E17:G17,sc_idx)+INDEX(H17:J17,sc_idx)+INDEX(K17:M17,sc_idx)+INDEX(N17:P17,sc_idx))</f>
        <v>914</v>
      </c>
      <c r="V17" s="28" t="n">
        <f aca="false">IF(AND(hl_incl="Yes",A17&lt;=2035),hl_total/10,0)</f>
        <v>0</v>
      </c>
      <c r="W17" s="28" t="n">
        <f aca="false">R17+V17</f>
        <v>241</v>
      </c>
      <c r="X17" s="28" t="n">
        <f aca="false">U17-V17</f>
        <v>914</v>
      </c>
      <c r="Y17" s="28" t="n">
        <f aca="false">W17+S17+T17+X17</f>
        <v>1587</v>
      </c>
    </row>
    <row r="18" customFormat="false" ht="15" hidden="false" customHeight="false" outlineLevel="0" collapsed="false">
      <c r="A18" s="27" t="n">
        <v>2037</v>
      </c>
      <c r="C18" s="18" t="n">
        <v>2580</v>
      </c>
      <c r="D18" s="18" t="n">
        <v>1574</v>
      </c>
      <c r="E18" s="18" t="n">
        <v>227</v>
      </c>
      <c r="F18" s="18" t="n">
        <v>227</v>
      </c>
      <c r="G18" s="18" t="n">
        <v>227</v>
      </c>
      <c r="H18" s="18" t="n">
        <v>189</v>
      </c>
      <c r="I18" s="18" t="n">
        <v>189</v>
      </c>
      <c r="J18" s="18" t="n">
        <v>189</v>
      </c>
      <c r="K18" s="18" t="n">
        <v>252</v>
      </c>
      <c r="L18" s="18" t="n">
        <v>252</v>
      </c>
      <c r="M18" s="18" t="n">
        <v>252</v>
      </c>
      <c r="N18" s="18" t="n">
        <v>907</v>
      </c>
      <c r="O18" s="18" t="n">
        <v>907</v>
      </c>
      <c r="P18" s="18" t="n">
        <v>907</v>
      </c>
      <c r="R18" s="28" t="n">
        <f aca="false">$D18*INDEX(E18:G18,sc_idx)/(INDEX(E18:G18,sc_idx)+INDEX(H18:J18,sc_idx)+INDEX(K18:M18,sc_idx)+INDEX(N18:P18,sc_idx))</f>
        <v>226.855873015873</v>
      </c>
      <c r="S18" s="28" t="n">
        <f aca="false">$D18*INDEX(H18:J18,sc_idx)/(INDEX(E18:G18,sc_idx)+INDEX(H18:J18,sc_idx)+INDEX(K18:M18,sc_idx)+INDEX(N18:P18,sc_idx))</f>
        <v>188.88</v>
      </c>
      <c r="T18" s="28" t="n">
        <f aca="false">$D18*INDEX(K18:M18,sc_idx)/(INDEX(E18:G18,sc_idx)+INDEX(H18:J18,sc_idx)+INDEX(K18:M18,sc_idx)+INDEX(N18:P18,sc_idx))</f>
        <v>251.84</v>
      </c>
      <c r="U18" s="28" t="n">
        <f aca="false">$D18*INDEX(N18:P18,sc_idx)/(INDEX(E18:G18,sc_idx)+INDEX(H18:J18,sc_idx)+INDEX(K18:M18,sc_idx)+INDEX(N18:P18,sc_idx))</f>
        <v>906.424126984127</v>
      </c>
      <c r="V18" s="28" t="n">
        <f aca="false">IF(AND(hl_incl="Yes",A18&lt;=2035),hl_total/10,0)</f>
        <v>0</v>
      </c>
      <c r="W18" s="28" t="n">
        <f aca="false">R18+V18</f>
        <v>226.855873015873</v>
      </c>
      <c r="X18" s="28" t="n">
        <f aca="false">U18-V18</f>
        <v>906.424126984127</v>
      </c>
      <c r="Y18" s="28" t="n">
        <f aca="false">W18+S18+T18+X18</f>
        <v>1574</v>
      </c>
    </row>
    <row r="19" customFormat="false" ht="15" hidden="false" customHeight="false" outlineLevel="0" collapsed="false">
      <c r="A19" s="27" t="n">
        <v>2038</v>
      </c>
      <c r="C19" s="18" t="n">
        <v>2549</v>
      </c>
      <c r="D19" s="18" t="n">
        <v>1555</v>
      </c>
      <c r="E19" s="18" t="n">
        <v>224</v>
      </c>
      <c r="F19" s="18" t="n">
        <v>224</v>
      </c>
      <c r="G19" s="18" t="n">
        <v>224</v>
      </c>
      <c r="H19" s="18" t="n">
        <v>187</v>
      </c>
      <c r="I19" s="18" t="n">
        <v>187</v>
      </c>
      <c r="J19" s="18" t="n">
        <v>187</v>
      </c>
      <c r="K19" s="18" t="n">
        <v>249</v>
      </c>
      <c r="L19" s="18" t="n">
        <v>249</v>
      </c>
      <c r="M19" s="18" t="n">
        <v>249</v>
      </c>
      <c r="N19" s="18" t="n">
        <v>896</v>
      </c>
      <c r="O19" s="18" t="n">
        <v>896</v>
      </c>
      <c r="P19" s="18" t="n">
        <v>896</v>
      </c>
      <c r="R19" s="28" t="n">
        <f aca="false">$D19*INDEX(E19:G19,sc_idx)/(INDEX(E19:G19,sc_idx)+INDEX(H19:J19,sc_idx)+INDEX(K19:M19,sc_idx)+INDEX(N19:P19,sc_idx))</f>
        <v>223.856041131105</v>
      </c>
      <c r="S19" s="28" t="n">
        <f aca="false">$D19*INDEX(H19:J19,sc_idx)/(INDEX(E19:G19,sc_idx)+INDEX(H19:J19,sc_idx)+INDEX(K19:M19,sc_idx)+INDEX(N19:P19,sc_idx))</f>
        <v>186.879820051414</v>
      </c>
      <c r="T19" s="28" t="n">
        <f aca="false">$D19*INDEX(K19:M19,sc_idx)/(INDEX(E19:G19,sc_idx)+INDEX(H19:J19,sc_idx)+INDEX(K19:M19,sc_idx)+INDEX(N19:P19,sc_idx))</f>
        <v>248.839974293059</v>
      </c>
      <c r="U19" s="28" t="n">
        <f aca="false">$D19*INDEX(N19:P19,sc_idx)/(INDEX(E19:G19,sc_idx)+INDEX(H19:J19,sc_idx)+INDEX(K19:M19,sc_idx)+INDEX(N19:P19,sc_idx))</f>
        <v>895.424164524422</v>
      </c>
      <c r="V19" s="28" t="n">
        <f aca="false">IF(AND(hl_incl="Yes",A19&lt;=2035),hl_total/10,0)</f>
        <v>0</v>
      </c>
      <c r="W19" s="28" t="n">
        <f aca="false">R19+V19</f>
        <v>223.856041131105</v>
      </c>
      <c r="X19" s="28" t="n">
        <f aca="false">U19-V19</f>
        <v>895.424164524422</v>
      </c>
      <c r="Y19" s="28" t="n">
        <f aca="false">W19+S19+T19+X19</f>
        <v>1555</v>
      </c>
    </row>
    <row r="20" customFormat="false" ht="15" hidden="false" customHeight="false" outlineLevel="0" collapsed="false">
      <c r="A20" s="27" t="n">
        <v>2039</v>
      </c>
      <c r="C20" s="18" t="n">
        <v>2525</v>
      </c>
      <c r="D20" s="18" t="n">
        <v>1541</v>
      </c>
      <c r="E20" s="18" t="n">
        <v>210</v>
      </c>
      <c r="F20" s="18" t="n">
        <v>210</v>
      </c>
      <c r="G20" s="18" t="n">
        <v>210</v>
      </c>
      <c r="H20" s="18" t="n">
        <v>200</v>
      </c>
      <c r="I20" s="18" t="n">
        <v>200</v>
      </c>
      <c r="J20" s="18" t="n">
        <v>200</v>
      </c>
      <c r="K20" s="18" t="n">
        <v>257</v>
      </c>
      <c r="L20" s="18" t="n">
        <v>257</v>
      </c>
      <c r="M20" s="18" t="n">
        <v>257</v>
      </c>
      <c r="N20" s="18" t="n">
        <v>874</v>
      </c>
      <c r="O20" s="18" t="n">
        <v>874</v>
      </c>
      <c r="P20" s="18" t="n">
        <v>874</v>
      </c>
      <c r="R20" s="28" t="n">
        <f aca="false">$D20*INDEX(E20:G20,sc_idx)/(INDEX(E20:G20,sc_idx)+INDEX(H20:J20,sc_idx)+INDEX(K20:M20,sc_idx)+INDEX(N20:P20,sc_idx))</f>
        <v>210</v>
      </c>
      <c r="S20" s="28" t="n">
        <f aca="false">$D20*INDEX(H20:J20,sc_idx)/(INDEX(E20:G20,sc_idx)+INDEX(H20:J20,sc_idx)+INDEX(K20:M20,sc_idx)+INDEX(N20:P20,sc_idx))</f>
        <v>200</v>
      </c>
      <c r="T20" s="28" t="n">
        <f aca="false">$D20*INDEX(K20:M20,sc_idx)/(INDEX(E20:G20,sc_idx)+INDEX(H20:J20,sc_idx)+INDEX(K20:M20,sc_idx)+INDEX(N20:P20,sc_idx))</f>
        <v>257</v>
      </c>
      <c r="U20" s="28" t="n">
        <f aca="false">$D20*INDEX(N20:P20,sc_idx)/(INDEX(E20:G20,sc_idx)+INDEX(H20:J20,sc_idx)+INDEX(K20:M20,sc_idx)+INDEX(N20:P20,sc_idx))</f>
        <v>874</v>
      </c>
      <c r="V20" s="28" t="n">
        <f aca="false">IF(AND(hl_incl="Yes",A20&lt;=2035),hl_total/10,0)</f>
        <v>0</v>
      </c>
      <c r="W20" s="28" t="n">
        <f aca="false">R20+V20</f>
        <v>210</v>
      </c>
      <c r="X20" s="28" t="n">
        <f aca="false">U20-V20</f>
        <v>874</v>
      </c>
      <c r="Y20" s="28" t="n">
        <f aca="false">W20+S20+T20+X20</f>
        <v>1541</v>
      </c>
    </row>
    <row r="21" customFormat="false" ht="15" hidden="false" customHeight="false" outlineLevel="0" collapsed="false">
      <c r="A21" s="27" t="n">
        <v>2040</v>
      </c>
      <c r="C21" s="18" t="n">
        <v>2499</v>
      </c>
      <c r="D21" s="18" t="n">
        <v>1525</v>
      </c>
      <c r="E21" s="18" t="n">
        <v>207</v>
      </c>
      <c r="F21" s="18" t="n">
        <v>207</v>
      </c>
      <c r="G21" s="18" t="n">
        <v>207</v>
      </c>
      <c r="H21" s="18" t="n">
        <v>198</v>
      </c>
      <c r="I21" s="18" t="n">
        <v>198</v>
      </c>
      <c r="J21" s="18" t="n">
        <v>198</v>
      </c>
      <c r="K21" s="18" t="n">
        <v>255</v>
      </c>
      <c r="L21" s="18" t="n">
        <v>255</v>
      </c>
      <c r="M21" s="18" t="n">
        <v>255</v>
      </c>
      <c r="N21" s="18" t="n">
        <v>865</v>
      </c>
      <c r="O21" s="18" t="n">
        <v>865</v>
      </c>
      <c r="P21" s="18" t="n">
        <v>865</v>
      </c>
      <c r="R21" s="28" t="n">
        <f aca="false">$D21*INDEX(E21:G21,sc_idx)/(INDEX(E21:G21,sc_idx)+INDEX(H21:J21,sc_idx)+INDEX(K21:M21,sc_idx)+INDEX(N21:P21,sc_idx))</f>
        <v>207</v>
      </c>
      <c r="S21" s="28" t="n">
        <f aca="false">$D21*INDEX(H21:J21,sc_idx)/(INDEX(E21:G21,sc_idx)+INDEX(H21:J21,sc_idx)+INDEX(K21:M21,sc_idx)+INDEX(N21:P21,sc_idx))</f>
        <v>198</v>
      </c>
      <c r="T21" s="28" t="n">
        <f aca="false">$D21*INDEX(K21:M21,sc_idx)/(INDEX(E21:G21,sc_idx)+INDEX(H21:J21,sc_idx)+INDEX(K21:M21,sc_idx)+INDEX(N21:P21,sc_idx))</f>
        <v>255</v>
      </c>
      <c r="U21" s="28" t="n">
        <f aca="false">$D21*INDEX(N21:P21,sc_idx)/(INDEX(E21:G21,sc_idx)+INDEX(H21:J21,sc_idx)+INDEX(K21:M21,sc_idx)+INDEX(N21:P21,sc_idx))</f>
        <v>865</v>
      </c>
      <c r="V21" s="28" t="n">
        <f aca="false">IF(AND(hl_incl="Yes",A21&lt;=2035),hl_total/10,0)</f>
        <v>0</v>
      </c>
      <c r="W21" s="28" t="n">
        <f aca="false">R21+V21</f>
        <v>207</v>
      </c>
      <c r="X21" s="28" t="n">
        <f aca="false">U21-V21</f>
        <v>865</v>
      </c>
      <c r="Y21" s="28" t="n">
        <f aca="false">W21+S21+T21+X21</f>
        <v>1525</v>
      </c>
    </row>
    <row r="22" customFormat="false" ht="15" hidden="false" customHeight="false" outlineLevel="0" collapsed="false">
      <c r="A22" s="29" t="s">
        <v>160</v>
      </c>
      <c r="B22" s="30" t="n">
        <f aca="false">SUM(B7:B9)</f>
        <v>7794</v>
      </c>
      <c r="C22" s="30" t="n">
        <f aca="false">SUM(C7:C9)</f>
        <v>7957</v>
      </c>
      <c r="D22" s="30" t="n">
        <f aca="false">SUM(D7:D9)</f>
        <v>12789</v>
      </c>
      <c r="E22" s="30" t="n">
        <f aca="false">SUM(E7:E9)</f>
        <v>2268</v>
      </c>
      <c r="F22" s="30" t="n">
        <f aca="false">SUM(F7:F9)</f>
        <v>2892</v>
      </c>
      <c r="G22" s="30" t="n">
        <f aca="false">SUM(G7:G9)</f>
        <v>3624</v>
      </c>
      <c r="H22" s="30" t="n">
        <f aca="false">SUM(H7:H9)</f>
        <v>915</v>
      </c>
      <c r="I22" s="30" t="n">
        <f aca="false">SUM(I7:I9)</f>
        <v>1629</v>
      </c>
      <c r="J22" s="30" t="n">
        <f aca="false">SUM(J7:J9)</f>
        <v>2406</v>
      </c>
      <c r="K22" s="30" t="n">
        <f aca="false">SUM(K7:K9)</f>
        <v>900</v>
      </c>
      <c r="L22" s="30" t="n">
        <f aca="false">SUM(L7:L9)</f>
        <v>1596</v>
      </c>
      <c r="M22" s="30" t="n">
        <f aca="false">SUM(M7:M9)</f>
        <v>2355</v>
      </c>
      <c r="N22" s="30" t="n">
        <f aca="false">SUM(N7:N9)</f>
        <v>5496</v>
      </c>
      <c r="O22" s="30" t="n">
        <f aca="false">SUM(O7:O9)</f>
        <v>6672</v>
      </c>
      <c r="P22" s="30" t="n">
        <f aca="false">SUM(P7:P9)</f>
        <v>8103</v>
      </c>
      <c r="R22" s="30" t="n">
        <f aca="false">SUM(R7:R9)</f>
        <v>2892</v>
      </c>
      <c r="S22" s="30" t="n">
        <f aca="false">SUM(S7:S9)</f>
        <v>1629</v>
      </c>
      <c r="T22" s="30" t="n">
        <f aca="false">SUM(T7:T9)</f>
        <v>1596</v>
      </c>
      <c r="U22" s="30" t="n">
        <f aca="false">SUM(U7:U9)</f>
        <v>6672</v>
      </c>
      <c r="V22" s="30" t="n">
        <f aca="false">SUM(V7:V9)</f>
        <v>0</v>
      </c>
      <c r="W22" s="30" t="n">
        <f aca="false">SUM(W7:W9)</f>
        <v>2892</v>
      </c>
      <c r="X22" s="30" t="n">
        <f aca="false">SUM(X7:X9)</f>
        <v>6672</v>
      </c>
      <c r="Y22" s="30" t="n">
        <f aca="false">SUM(Y7:Y9)</f>
        <v>12789</v>
      </c>
    </row>
    <row r="23" customFormat="false" ht="15" hidden="false" customHeight="false" outlineLevel="0" collapsed="false">
      <c r="A23" s="29" t="s">
        <v>161</v>
      </c>
      <c r="B23" s="30" t="n">
        <f aca="false">SUM(B10:B16)</f>
        <v>0</v>
      </c>
      <c r="C23" s="30" t="n">
        <f aca="false">SUM(C10:C16)</f>
        <v>19154</v>
      </c>
      <c r="D23" s="30" t="n">
        <f aca="false">SUM(D10:D16)</f>
        <v>19293</v>
      </c>
      <c r="E23" s="30" t="n">
        <f aca="false">SUM(E10:E16)</f>
        <v>3424</v>
      </c>
      <c r="F23" s="30" t="n">
        <f aca="false">SUM(F10:F16)</f>
        <v>4362</v>
      </c>
      <c r="G23" s="30" t="n">
        <f aca="false">SUM(G10:G16)</f>
        <v>5466</v>
      </c>
      <c r="H23" s="30" t="n">
        <f aca="false">SUM(H10:H16)</f>
        <v>1380</v>
      </c>
      <c r="I23" s="30" t="n">
        <f aca="false">SUM(I10:I16)</f>
        <v>2457</v>
      </c>
      <c r="J23" s="30" t="n">
        <f aca="false">SUM(J10:J16)</f>
        <v>3630</v>
      </c>
      <c r="K23" s="30" t="n">
        <f aca="false">SUM(K10:K16)</f>
        <v>1360</v>
      </c>
      <c r="L23" s="30" t="n">
        <f aca="false">SUM(L10:L16)</f>
        <v>2410</v>
      </c>
      <c r="M23" s="30" t="n">
        <f aca="false">SUM(M10:M16)</f>
        <v>3552</v>
      </c>
      <c r="N23" s="30" t="n">
        <f aca="false">SUM(N10:N16)</f>
        <v>8292</v>
      </c>
      <c r="O23" s="30" t="n">
        <f aca="false">SUM(O10:O16)</f>
        <v>10065</v>
      </c>
      <c r="P23" s="30" t="n">
        <f aca="false">SUM(P10:P16)</f>
        <v>12225</v>
      </c>
      <c r="R23" s="30" t="n">
        <f aca="false">SUM(R10:R16)</f>
        <v>4361.77385496183</v>
      </c>
      <c r="S23" s="30" t="n">
        <f aca="false">SUM(S10:S16)</f>
        <v>2456.87261450382</v>
      </c>
      <c r="T23" s="30" t="n">
        <f aca="false">SUM(T10:T16)</f>
        <v>2409.875</v>
      </c>
      <c r="U23" s="30" t="n">
        <f aca="false">SUM(U10:U16)</f>
        <v>10064.4785305344</v>
      </c>
      <c r="V23" s="30" t="n">
        <f aca="false">SUM(V10:V16)</f>
        <v>0</v>
      </c>
      <c r="W23" s="30" t="n">
        <f aca="false">SUM(W10:W16)</f>
        <v>4361.77385496183</v>
      </c>
      <c r="X23" s="30" t="n">
        <f aca="false">SUM(X10:X16)</f>
        <v>10064.4785305344</v>
      </c>
      <c r="Y23" s="30" t="n">
        <f aca="false">SUM(Y10:Y16)</f>
        <v>19293</v>
      </c>
    </row>
    <row r="24" customFormat="false" ht="15" hidden="false" customHeight="false" outlineLevel="0" collapsed="false">
      <c r="A24" s="29" t="s">
        <v>162</v>
      </c>
      <c r="B24" s="30" t="n">
        <f aca="false">SUM(B17:B21)</f>
        <v>0</v>
      </c>
      <c r="C24" s="30" t="n">
        <f aca="false">SUM(C17:C21)</f>
        <v>12753</v>
      </c>
      <c r="D24" s="30" t="n">
        <f aca="false">SUM(D17:D21)</f>
        <v>7782</v>
      </c>
      <c r="E24" s="30" t="n">
        <f aca="false">SUM(E17:E21)</f>
        <v>1109</v>
      </c>
      <c r="F24" s="30" t="n">
        <f aca="false">SUM(F17:F21)</f>
        <v>1109</v>
      </c>
      <c r="G24" s="30" t="n">
        <f aca="false">SUM(G17:G21)</f>
        <v>1109</v>
      </c>
      <c r="H24" s="30" t="n">
        <f aca="false">SUM(H17:H21)</f>
        <v>933</v>
      </c>
      <c r="I24" s="30" t="n">
        <f aca="false">SUM(I17:I21)</f>
        <v>933</v>
      </c>
      <c r="J24" s="30" t="n">
        <f aca="false">SUM(J17:J21)</f>
        <v>933</v>
      </c>
      <c r="K24" s="30" t="n">
        <f aca="false">SUM(K17:K21)</f>
        <v>1286</v>
      </c>
      <c r="L24" s="30" t="n">
        <f aca="false">SUM(L17:L21)</f>
        <v>1286</v>
      </c>
      <c r="M24" s="30" t="n">
        <f aca="false">SUM(M17:M21)</f>
        <v>1286</v>
      </c>
      <c r="N24" s="30" t="n">
        <f aca="false">SUM(N17:N21)</f>
        <v>4456</v>
      </c>
      <c r="O24" s="30" t="n">
        <f aca="false">SUM(O17:O21)</f>
        <v>4456</v>
      </c>
      <c r="P24" s="30" t="n">
        <f aca="false">SUM(P17:P21)</f>
        <v>4456</v>
      </c>
      <c r="R24" s="30" t="n">
        <f aca="false">SUM(R17:R21)</f>
        <v>1108.71191414698</v>
      </c>
      <c r="S24" s="30" t="n">
        <f aca="false">SUM(S17:S21)</f>
        <v>932.759820051414</v>
      </c>
      <c r="T24" s="30" t="n">
        <f aca="false">SUM(T17:T21)</f>
        <v>1285.67997429306</v>
      </c>
      <c r="U24" s="30" t="n">
        <f aca="false">SUM(U17:U21)</f>
        <v>4454.84829150855</v>
      </c>
      <c r="V24" s="30" t="n">
        <f aca="false">SUM(V17:V21)</f>
        <v>0</v>
      </c>
      <c r="W24" s="30" t="n">
        <f aca="false">SUM(W17:W21)</f>
        <v>1108.71191414698</v>
      </c>
      <c r="X24" s="30" t="n">
        <f aca="false">SUM(X17:X21)</f>
        <v>4454.84829150855</v>
      </c>
      <c r="Y24" s="30" t="n">
        <f aca="false">SUM(Y17:Y21)</f>
        <v>7782</v>
      </c>
    </row>
    <row r="25" customFormat="false" ht="15" hidden="false" customHeight="false" outlineLevel="0" collapsed="false">
      <c r="A25" s="29" t="s">
        <v>163</v>
      </c>
      <c r="B25" s="30" t="n">
        <f aca="false">SUM(B7:B21)</f>
        <v>7794</v>
      </c>
      <c r="C25" s="30" t="n">
        <f aca="false">SUM(C7:C21)</f>
        <v>39864</v>
      </c>
      <c r="D25" s="30" t="n">
        <f aca="false">SUM(D7:D21)</f>
        <v>39864</v>
      </c>
      <c r="E25" s="30" t="n">
        <f aca="false">SUM(E7:E21)</f>
        <v>6801</v>
      </c>
      <c r="F25" s="30" t="n">
        <f aca="false">SUM(F7:F21)</f>
        <v>8363</v>
      </c>
      <c r="G25" s="30" t="n">
        <f aca="false">SUM(G7:G21)</f>
        <v>10199</v>
      </c>
      <c r="H25" s="30" t="n">
        <f aca="false">SUM(H7:H21)</f>
        <v>3228</v>
      </c>
      <c r="I25" s="30" t="n">
        <f aca="false">SUM(I7:I21)</f>
        <v>5019</v>
      </c>
      <c r="J25" s="30" t="n">
        <f aca="false">SUM(J7:J21)</f>
        <v>6969</v>
      </c>
      <c r="K25" s="30" t="n">
        <f aca="false">SUM(K7:K21)</f>
        <v>3546</v>
      </c>
      <c r="L25" s="30" t="n">
        <f aca="false">SUM(L7:L21)</f>
        <v>5292</v>
      </c>
      <c r="M25" s="30" t="n">
        <f aca="false">SUM(M7:M21)</f>
        <v>7193</v>
      </c>
      <c r="N25" s="30" t="n">
        <f aca="false">SUM(N7:N21)</f>
        <v>18244</v>
      </c>
      <c r="O25" s="30" t="n">
        <f aca="false">SUM(O7:O21)</f>
        <v>21193</v>
      </c>
      <c r="P25" s="30" t="n">
        <f aca="false">SUM(P7:P21)</f>
        <v>24784</v>
      </c>
      <c r="R25" s="30" t="n">
        <f aca="false">SUM(R7:R21)</f>
        <v>8362.48576910881</v>
      </c>
      <c r="S25" s="30" t="n">
        <f aca="false">SUM(S7:S21)</f>
        <v>5018.63243455523</v>
      </c>
      <c r="T25" s="30" t="n">
        <f aca="false">SUM(T7:T21)</f>
        <v>5291.55497429306</v>
      </c>
      <c r="U25" s="30" t="n">
        <f aca="false">SUM(U7:U21)</f>
        <v>21191.3268220429</v>
      </c>
      <c r="V25" s="30" t="n">
        <f aca="false">SUM(V7:V21)</f>
        <v>0</v>
      </c>
      <c r="W25" s="30" t="n">
        <f aca="false">SUM(W7:W21)</f>
        <v>8362.48576910881</v>
      </c>
      <c r="X25" s="30" t="n">
        <f aca="false">SUM(X7:X21)</f>
        <v>21191.3268220429</v>
      </c>
      <c r="Y25" s="30" t="n">
        <f aca="false">SUM(Y7:Y21)</f>
        <v>39864</v>
      </c>
    </row>
    <row r="26" customFormat="false" ht="15" hidden="false" customHeight="false" outlineLevel="0" collapsed="false">
      <c r="A26" s="31" t="s">
        <v>164</v>
      </c>
      <c r="R26" s="32" t="n">
        <f aca="false">R25/$D$25</f>
        <v>0.209775380521493</v>
      </c>
      <c r="S26" s="32" t="n">
        <f aca="false">S25/$D$25</f>
        <v>0.125893849953723</v>
      </c>
      <c r="T26" s="32" t="n">
        <f aca="false">T25/$D$25</f>
        <v>0.132740191006749</v>
      </c>
      <c r="U26" s="32" t="n">
        <f aca="false">U25/$D$25</f>
        <v>0.531590578518034</v>
      </c>
      <c r="W26" s="32" t="n">
        <f aca="false">W25/$D$25</f>
        <v>0.209775380521493</v>
      </c>
      <c r="X26" s="32" t="n">
        <f aca="false">X25/$D$25</f>
        <v>0.531590578518034</v>
      </c>
    </row>
    <row r="27" customFormat="false" ht="48" hidden="false" customHeight="true" outlineLevel="0" collapsed="false">
      <c r="A27" s="33" t="s">
        <v>165</v>
      </c>
      <c r="B27" s="33"/>
      <c r="C27" s="33"/>
      <c r="D27" s="33"/>
      <c r="E27" s="33"/>
      <c r="F27" s="33"/>
      <c r="G27" s="33"/>
      <c r="H27" s="33"/>
      <c r="I27" s="33"/>
      <c r="J27" s="33"/>
      <c r="K27" s="33"/>
      <c r="L27" s="33"/>
      <c r="M27" s="33"/>
      <c r="N27" s="33"/>
      <c r="O27" s="33"/>
      <c r="P27" s="33"/>
      <c r="Q27" s="33"/>
      <c r="R27" s="33"/>
      <c r="S27" s="33"/>
      <c r="T27" s="33"/>
      <c r="U27" s="33"/>
      <c r="V27" s="33"/>
      <c r="W27" s="33"/>
      <c r="X27" s="33"/>
      <c r="Y27" s="33"/>
    </row>
    <row r="29" customFormat="false" ht="15" hidden="false" customHeight="false" outlineLevel="0" collapsed="false">
      <c r="A29" s="9" t="s">
        <v>166</v>
      </c>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row>
    <row r="30" customFormat="false" ht="33.75" hidden="false" customHeight="true" outlineLevel="0" collapsed="false">
      <c r="A30" s="25" t="s">
        <v>136</v>
      </c>
      <c r="B30" s="25" t="s">
        <v>167</v>
      </c>
      <c r="C30" s="25" t="s">
        <v>168</v>
      </c>
      <c r="D30" s="25" t="s">
        <v>102</v>
      </c>
      <c r="E30" s="25" t="s">
        <v>104</v>
      </c>
      <c r="F30" s="25" t="s">
        <v>105</v>
      </c>
      <c r="G30" s="25" t="s">
        <v>106</v>
      </c>
      <c r="H30" s="25" t="s">
        <v>169</v>
      </c>
    </row>
    <row r="31" customFormat="false" ht="15" hidden="false" customHeight="false" outlineLevel="0" collapsed="false">
      <c r="A31" s="27" t="n">
        <f aca="false">A7</f>
        <v>2026</v>
      </c>
      <c r="B31" s="34" t="n">
        <f aca="false">W7</f>
        <v>964</v>
      </c>
      <c r="C31" s="28" t="n">
        <f aca="false">B31-SUM(D31:G31)</f>
        <v>653.633674630262</v>
      </c>
      <c r="D31" s="28" t="n">
        <f aca="false">B31*h_dis/h_all</f>
        <v>179.127796738718</v>
      </c>
      <c r="E31" s="28" t="n">
        <f aca="false">B31*h_old/h_all</f>
        <v>102.724307925673</v>
      </c>
      <c r="F31" s="28" t="n">
        <f aca="false">B31*h_trav/h_all</f>
        <v>10.6014410314752</v>
      </c>
      <c r="G31" s="28" t="n">
        <f aca="false">B31*h_com/h_all</f>
        <v>17.9127796738718</v>
      </c>
    </row>
    <row r="32" customFormat="false" ht="15" hidden="false" customHeight="false" outlineLevel="0" collapsed="false">
      <c r="A32" s="27" t="n">
        <f aca="false">A8</f>
        <v>2027</v>
      </c>
      <c r="B32" s="34" t="n">
        <f aca="false">W8</f>
        <v>964</v>
      </c>
      <c r="C32" s="28" t="n">
        <f aca="false">B32-SUM(D32:G32)</f>
        <v>653.633674630262</v>
      </c>
      <c r="D32" s="28" t="n">
        <f aca="false">B32*h_dis/h_all</f>
        <v>179.127796738718</v>
      </c>
      <c r="E32" s="28" t="n">
        <f aca="false">B32*h_old/h_all</f>
        <v>102.724307925673</v>
      </c>
      <c r="F32" s="28" t="n">
        <f aca="false">B32*h_trav/h_all</f>
        <v>10.6014410314752</v>
      </c>
      <c r="G32" s="28" t="n">
        <f aca="false">B32*h_com/h_all</f>
        <v>17.9127796738718</v>
      </c>
      <c r="H32" s="18" t="n">
        <v>569</v>
      </c>
    </row>
    <row r="33" customFormat="false" ht="15" hidden="false" customHeight="false" outlineLevel="0" collapsed="false">
      <c r="A33" s="27" t="n">
        <f aca="false">A9</f>
        <v>2028</v>
      </c>
      <c r="B33" s="34" t="n">
        <f aca="false">W9</f>
        <v>964</v>
      </c>
      <c r="C33" s="28" t="n">
        <f aca="false">B33-SUM(D33:G33)</f>
        <v>653.633674630262</v>
      </c>
      <c r="D33" s="28" t="n">
        <f aca="false">B33*h_dis/h_all</f>
        <v>179.127796738718</v>
      </c>
      <c r="E33" s="28" t="n">
        <f aca="false">B33*h_old/h_all</f>
        <v>102.724307925673</v>
      </c>
      <c r="F33" s="28" t="n">
        <f aca="false">B33*h_trav/h_all</f>
        <v>10.6014410314752</v>
      </c>
      <c r="G33" s="28" t="n">
        <f aca="false">B33*h_com/h_all</f>
        <v>17.9127796738718</v>
      </c>
      <c r="H33" s="18" t="n">
        <v>751</v>
      </c>
    </row>
    <row r="34" customFormat="false" ht="15" hidden="false" customHeight="false" outlineLevel="0" collapsed="false">
      <c r="A34" s="27" t="n">
        <f aca="false">A10</f>
        <v>2029</v>
      </c>
      <c r="B34" s="34" t="n">
        <f aca="false">W10</f>
        <v>964</v>
      </c>
      <c r="C34" s="28" t="n">
        <f aca="false">B34-SUM(D34:G34)</f>
        <v>653.633674630262</v>
      </c>
      <c r="D34" s="28" t="n">
        <f aca="false">B34*h_dis/h_all</f>
        <v>179.127796738718</v>
      </c>
      <c r="E34" s="28" t="n">
        <f aca="false">B34*h_old/h_all</f>
        <v>102.724307925673</v>
      </c>
      <c r="F34" s="28" t="n">
        <f aca="false">B34*h_trav/h_all</f>
        <v>10.6014410314752</v>
      </c>
      <c r="G34" s="28" t="n">
        <f aca="false">B34*h_com/h_all</f>
        <v>17.9127796738718</v>
      </c>
      <c r="H34" s="18" t="n">
        <v>885</v>
      </c>
    </row>
    <row r="35" customFormat="false" ht="15" hidden="false" customHeight="false" outlineLevel="0" collapsed="false">
      <c r="A35" s="27" t="n">
        <f aca="false">A11</f>
        <v>2030</v>
      </c>
      <c r="B35" s="34" t="n">
        <f aca="false">W11</f>
        <v>964</v>
      </c>
      <c r="C35" s="28" t="n">
        <f aca="false">B35-SUM(D35:G35)</f>
        <v>653.633674630262</v>
      </c>
      <c r="D35" s="28" t="n">
        <f aca="false">B35*h_dis/h_all</f>
        <v>179.127796738718</v>
      </c>
      <c r="E35" s="28" t="n">
        <f aca="false">B35*h_old/h_all</f>
        <v>102.724307925673</v>
      </c>
      <c r="F35" s="28" t="n">
        <f aca="false">B35*h_trav/h_all</f>
        <v>10.6014410314752</v>
      </c>
      <c r="G35" s="28" t="n">
        <f aca="false">B35*h_com/h_all</f>
        <v>17.9127796738718</v>
      </c>
      <c r="H35" s="18" t="n">
        <v>602</v>
      </c>
    </row>
    <row r="36" customFormat="false" ht="15" hidden="false" customHeight="false" outlineLevel="0" collapsed="false">
      <c r="A36" s="27" t="n">
        <f aca="false">A12</f>
        <v>2031</v>
      </c>
      <c r="B36" s="34" t="n">
        <f aca="false">W12</f>
        <v>490</v>
      </c>
      <c r="C36" s="28" t="n">
        <f aca="false">B36-SUM(D36:G36)</f>
        <v>332.241183162685</v>
      </c>
      <c r="D36" s="28" t="n">
        <f aca="false">B36*h_dis/h_all</f>
        <v>91.0504361016306</v>
      </c>
      <c r="E36" s="28" t="n">
        <f aca="false">B36*h_old/h_all</f>
        <v>52.2146378460372</v>
      </c>
      <c r="F36" s="28" t="n">
        <f aca="false">B36*h_trav/h_all</f>
        <v>5.38869927948426</v>
      </c>
      <c r="G36" s="28" t="n">
        <f aca="false">B36*h_com/h_all</f>
        <v>9.10504361016306</v>
      </c>
    </row>
    <row r="37" customFormat="false" ht="15" hidden="false" customHeight="false" outlineLevel="0" collapsed="false">
      <c r="A37" s="27" t="n">
        <f aca="false">A13</f>
        <v>2032</v>
      </c>
      <c r="B37" s="34" t="n">
        <f aca="false">W13</f>
        <v>490</v>
      </c>
      <c r="C37" s="28" t="n">
        <f aca="false">B37-SUM(D37:G37)</f>
        <v>332.241183162685</v>
      </c>
      <c r="D37" s="28" t="n">
        <f aca="false">B37*h_dis/h_all</f>
        <v>91.0504361016306</v>
      </c>
      <c r="E37" s="28" t="n">
        <f aca="false">B37*h_old/h_all</f>
        <v>52.2146378460372</v>
      </c>
      <c r="F37" s="28" t="n">
        <f aca="false">B37*h_trav/h_all</f>
        <v>5.38869927948426</v>
      </c>
      <c r="G37" s="28" t="n">
        <f aca="false">B37*h_com/h_all</f>
        <v>9.10504361016306</v>
      </c>
    </row>
    <row r="38" customFormat="false" ht="15" hidden="false" customHeight="false" outlineLevel="0" collapsed="false">
      <c r="A38" s="27" t="n">
        <f aca="false">A14</f>
        <v>2033</v>
      </c>
      <c r="B38" s="34" t="n">
        <f aca="false">W14</f>
        <v>490</v>
      </c>
      <c r="C38" s="28" t="n">
        <f aca="false">B38-SUM(D38:G38)</f>
        <v>332.241183162685</v>
      </c>
      <c r="D38" s="28" t="n">
        <f aca="false">B38*h_dis/h_all</f>
        <v>91.0504361016306</v>
      </c>
      <c r="E38" s="28" t="n">
        <f aca="false">B38*h_old/h_all</f>
        <v>52.2146378460372</v>
      </c>
      <c r="F38" s="28" t="n">
        <f aca="false">B38*h_trav/h_all</f>
        <v>5.38869927948426</v>
      </c>
      <c r="G38" s="28" t="n">
        <f aca="false">B38*h_com/h_all</f>
        <v>9.10504361016306</v>
      </c>
    </row>
    <row r="39" customFormat="false" ht="15" hidden="false" customHeight="false" outlineLevel="0" collapsed="false">
      <c r="A39" s="27" t="n">
        <f aca="false">A15</f>
        <v>2034</v>
      </c>
      <c r="B39" s="34" t="n">
        <f aca="false">W15</f>
        <v>490</v>
      </c>
      <c r="C39" s="28" t="n">
        <f aca="false">B39-SUM(D39:G39)</f>
        <v>332.241183162685</v>
      </c>
      <c r="D39" s="28" t="n">
        <f aca="false">B39*h_dis/h_all</f>
        <v>91.0504361016306</v>
      </c>
      <c r="E39" s="28" t="n">
        <f aca="false">B39*h_old/h_all</f>
        <v>52.2146378460372</v>
      </c>
      <c r="F39" s="28" t="n">
        <f aca="false">B39*h_trav/h_all</f>
        <v>5.38869927948426</v>
      </c>
      <c r="G39" s="28" t="n">
        <f aca="false">B39*h_com/h_all</f>
        <v>9.10504361016306</v>
      </c>
    </row>
    <row r="40" customFormat="false" ht="15" hidden="false" customHeight="false" outlineLevel="0" collapsed="false">
      <c r="A40" s="27" t="n">
        <f aca="false">A16</f>
        <v>2035</v>
      </c>
      <c r="B40" s="34" t="n">
        <f aca="false">W16</f>
        <v>473.773854961832</v>
      </c>
      <c r="C40" s="28" t="n">
        <f aca="false">B40-SUM(D40:G40)</f>
        <v>321.239155355235</v>
      </c>
      <c r="D40" s="28" t="n">
        <f aca="false">B40*h_dis/h_all</f>
        <v>88.0353389955623</v>
      </c>
      <c r="E40" s="28" t="n">
        <f aca="false">B40*h_old/h_all</f>
        <v>50.485571954598</v>
      </c>
      <c r="F40" s="28" t="n">
        <f aca="false">B40*h_trav/h_all</f>
        <v>5.21025475688022</v>
      </c>
      <c r="G40" s="28" t="n">
        <f aca="false">B40*h_com/h_all</f>
        <v>8.80353389955623</v>
      </c>
    </row>
    <row r="41" customFormat="false" ht="15" hidden="false" customHeight="false" outlineLevel="0" collapsed="false">
      <c r="A41" s="27" t="n">
        <f aca="false">A17</f>
        <v>2036</v>
      </c>
      <c r="B41" s="34" t="n">
        <f aca="false">W17</f>
        <v>241</v>
      </c>
      <c r="C41" s="28" t="n">
        <f aca="false">B41-SUM(D41:G41)</f>
        <v>163.408418657565</v>
      </c>
      <c r="D41" s="28" t="n">
        <f aca="false">B41*h_dis/h_all</f>
        <v>44.7819491846796</v>
      </c>
      <c r="E41" s="28" t="n">
        <f aca="false">B41*h_old/h_all</f>
        <v>25.6810769814183</v>
      </c>
      <c r="F41" s="28" t="n">
        <f aca="false">B41*h_trav/h_all</f>
        <v>2.65036025786879</v>
      </c>
      <c r="G41" s="28" t="n">
        <f aca="false">B41*h_com/h_all</f>
        <v>4.47819491846796</v>
      </c>
    </row>
    <row r="42" customFormat="false" ht="15" hidden="false" customHeight="false" outlineLevel="0" collapsed="false">
      <c r="A42" s="27" t="n">
        <f aca="false">A18</f>
        <v>2037</v>
      </c>
      <c r="B42" s="34" t="n">
        <f aca="false">W18</f>
        <v>226.855873015873</v>
      </c>
      <c r="C42" s="28" t="n">
        <f aca="false">B42-SUM(D42:G42)</f>
        <v>153.818089098362</v>
      </c>
      <c r="D42" s="28" t="n">
        <f aca="false">B42*h_dis/h_all</f>
        <v>42.1537268781865</v>
      </c>
      <c r="E42" s="28" t="n">
        <f aca="false">B42*h_old/h_all</f>
        <v>24.1738719444294</v>
      </c>
      <c r="F42" s="28" t="n">
        <f aca="false">B42*h_trav/h_all</f>
        <v>2.49481240707634</v>
      </c>
      <c r="G42" s="28" t="n">
        <f aca="false">B42*h_com/h_all</f>
        <v>4.21537268781865</v>
      </c>
    </row>
    <row r="43" customFormat="false" ht="15" hidden="false" customHeight="false" outlineLevel="0" collapsed="false">
      <c r="A43" s="27" t="n">
        <f aca="false">A19</f>
        <v>2038</v>
      </c>
      <c r="B43" s="34" t="n">
        <f aca="false">W19</f>
        <v>223.856041131105</v>
      </c>
      <c r="C43" s="28" t="n">
        <f aca="false">B43-SUM(D43:G43)</f>
        <v>151.784073394925</v>
      </c>
      <c r="D43" s="28" t="n">
        <f aca="false">B43*h_dis/h_all</f>
        <v>41.5963064672892</v>
      </c>
      <c r="E43" s="28" t="n">
        <f aca="false">B43*h_old/h_all</f>
        <v>23.8542084026699</v>
      </c>
      <c r="F43" s="28" t="n">
        <f aca="false">B43*h_trav/h_all</f>
        <v>2.46182221949263</v>
      </c>
      <c r="G43" s="28" t="n">
        <f aca="false">B43*h_com/h_all</f>
        <v>4.15963064672892</v>
      </c>
    </row>
    <row r="44" customFormat="false" ht="15" hidden="false" customHeight="false" outlineLevel="0" collapsed="false">
      <c r="A44" s="27" t="n">
        <f aca="false">A20</f>
        <v>2039</v>
      </c>
      <c r="B44" s="34" t="n">
        <f aca="false">W20</f>
        <v>210</v>
      </c>
      <c r="C44" s="28" t="n">
        <f aca="false">B44-SUM(D44:G44)</f>
        <v>142.389078498294</v>
      </c>
      <c r="D44" s="28" t="n">
        <f aca="false">B44*h_dis/h_all</f>
        <v>39.0216154721274</v>
      </c>
      <c r="E44" s="28" t="n">
        <f aca="false">B44*h_old/h_all</f>
        <v>22.3777019340159</v>
      </c>
      <c r="F44" s="28" t="n">
        <f aca="false">B44*h_trav/h_all</f>
        <v>2.3094425483504</v>
      </c>
      <c r="G44" s="28" t="n">
        <f aca="false">B44*h_com/h_all</f>
        <v>3.90216154721274</v>
      </c>
    </row>
    <row r="45" customFormat="false" ht="15" hidden="false" customHeight="false" outlineLevel="0" collapsed="false">
      <c r="A45" s="27" t="n">
        <f aca="false">A21</f>
        <v>2040</v>
      </c>
      <c r="B45" s="34" t="n">
        <f aca="false">W21</f>
        <v>207</v>
      </c>
      <c r="C45" s="28" t="n">
        <f aca="false">B45-SUM(D45:G45)</f>
        <v>140.354948805461</v>
      </c>
      <c r="D45" s="28" t="n">
        <f aca="false">B45*h_dis/h_all</f>
        <v>38.4641638225256</v>
      </c>
      <c r="E45" s="28" t="n">
        <f aca="false">B45*h_old/h_all</f>
        <v>22.0580204778157</v>
      </c>
      <c r="F45" s="28" t="n">
        <f aca="false">B45*h_trav/h_all</f>
        <v>2.27645051194539</v>
      </c>
      <c r="G45" s="28" t="n">
        <f aca="false">B45*h_com/h_all</f>
        <v>3.84641638225256</v>
      </c>
    </row>
    <row r="46" customFormat="false" ht="15" hidden="false" customHeight="false" outlineLevel="0" collapsed="false">
      <c r="A46" s="29" t="s">
        <v>163</v>
      </c>
      <c r="B46" s="30" t="n">
        <f aca="false">SUM(B31:B45)</f>
        <v>8362.48576910881</v>
      </c>
      <c r="C46" s="30" t="n">
        <f aca="false">SUM(C31:C45)</f>
        <v>5670.12686961189</v>
      </c>
      <c r="D46" s="30" t="n">
        <f aca="false">SUM(D31:D45)</f>
        <v>1553.89382892048</v>
      </c>
      <c r="E46" s="30" t="n">
        <f aca="false">SUM(E31:E45)</f>
        <v>891.110542707462</v>
      </c>
      <c r="F46" s="30" t="n">
        <f aca="false">SUM(F31:F45)</f>
        <v>91.9651449769266</v>
      </c>
      <c r="G46" s="30" t="n">
        <f aca="false">SUM(G31:G45)</f>
        <v>155.389382892048</v>
      </c>
      <c r="H46" s="30" t="n">
        <f aca="false">SUM(H31:H45)</f>
        <v>2807</v>
      </c>
    </row>
    <row r="47" customFormat="false" ht="15" hidden="false" customHeight="false" outlineLevel="0" collapsed="false">
      <c r="A47" s="31" t="s">
        <v>170</v>
      </c>
      <c r="C47" s="32" t="n">
        <f aca="false">C46/$B$46</f>
        <v>0.678043230944255</v>
      </c>
      <c r="D47" s="32" t="n">
        <f aca="false">D46/$B$46</f>
        <v>0.18581721653394</v>
      </c>
      <c r="E47" s="32" t="n">
        <f aca="false">E46/$B$46</f>
        <v>0.106560485400076</v>
      </c>
      <c r="F47" s="32" t="n">
        <f aca="false">F46/$B$46</f>
        <v>0.0109973454683352</v>
      </c>
      <c r="G47" s="32" t="n">
        <f aca="false">G46/$B$46</f>
        <v>0.018581721653394</v>
      </c>
    </row>
    <row r="48" customFormat="false" ht="15" hidden="false" customHeight="false" outlineLevel="0" collapsed="false">
      <c r="A48" s="35" t="s">
        <v>171</v>
      </c>
      <c r="B48" s="28" t="n">
        <f aca="false">SUM(W7:W21)-SUMPRODUCT((A7:A21&lt;=2035)*V7:V21)+IF(hl_incl="Yes",0,hl_total)</f>
        <v>9670.48576910881</v>
      </c>
      <c r="D48" s="28" t="n">
        <f aca="false">$B$48*h_dis/h_all</f>
        <v>1796.94274814688</v>
      </c>
      <c r="E48" s="28" t="n">
        <f aca="false">$B$48*h_old/h_all</f>
        <v>1030.49165761076</v>
      </c>
      <c r="F48" s="28" t="n">
        <f aca="false">$B$48*h_trav/h_all</f>
        <v>106.349672849509</v>
      </c>
      <c r="G48" s="28" t="n">
        <f aca="false">$B$48*h_com/h_all</f>
        <v>179.694274814688</v>
      </c>
    </row>
    <row r="49" customFormat="false" ht="60" hidden="false" customHeight="true" outlineLevel="0" collapsed="false">
      <c r="A49" s="33" t="s">
        <v>172</v>
      </c>
      <c r="B49" s="33"/>
      <c r="C49" s="33"/>
      <c r="D49" s="33"/>
      <c r="E49" s="33"/>
      <c r="F49" s="33"/>
      <c r="G49" s="33"/>
      <c r="H49" s="33"/>
    </row>
    <row r="51" customFormat="false" ht="15" hidden="false" customHeight="false" outlineLevel="0" collapsed="false">
      <c r="A51" s="9" t="s">
        <v>173</v>
      </c>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row>
    <row r="52" customFormat="false" ht="33.75" hidden="false" customHeight="true" outlineLevel="0" collapsed="false">
      <c r="A52" s="25" t="s">
        <v>174</v>
      </c>
      <c r="B52" s="25" t="s">
        <v>175</v>
      </c>
      <c r="C52" s="25" t="s">
        <v>176</v>
      </c>
      <c r="D52" s="25" t="s">
        <v>177</v>
      </c>
      <c r="E52" s="25" t="s">
        <v>178</v>
      </c>
      <c r="F52" s="25" t="s">
        <v>179</v>
      </c>
      <c r="G52" s="25" t="s">
        <v>180</v>
      </c>
      <c r="H52" s="25" t="s">
        <v>181</v>
      </c>
      <c r="I52" s="25" t="s">
        <v>182</v>
      </c>
      <c r="J52" s="25" t="s">
        <v>183</v>
      </c>
    </row>
    <row r="53" customFormat="false" ht="15" hidden="false" customHeight="false" outlineLevel="0" collapsed="false">
      <c r="A53" s="31" t="s">
        <v>184</v>
      </c>
      <c r="B53" s="34" t="n">
        <f aca="false">B46</f>
        <v>8362.48576910881</v>
      </c>
      <c r="C53" s="28" t="n">
        <f aca="false">$B53*mix_Social1</f>
        <v>4629.96936780389</v>
      </c>
      <c r="D53" s="28" t="n">
        <f aca="false">$B53*mix_Social2</f>
        <v>1531.69534565019</v>
      </c>
      <c r="E53" s="28" t="n">
        <f aca="false">$B53*mix_Social3</f>
        <v>1519.01049806717</v>
      </c>
      <c r="F53" s="28" t="n">
        <f aca="false">$B53*mix_Social4</f>
        <v>681.810557587559</v>
      </c>
      <c r="G53" s="21" t="n">
        <f aca="false">C53/$B53</f>
        <v>0.553659461509291</v>
      </c>
      <c r="H53" s="21" t="n">
        <f aca="false">D53/$B53</f>
        <v>0.18316268486917</v>
      </c>
      <c r="I53" s="21" t="n">
        <f aca="false">E53/$B53</f>
        <v>0.181645809632158</v>
      </c>
      <c r="J53" s="21" t="n">
        <f aca="false">F53/$B53</f>
        <v>0.0815320439893819</v>
      </c>
    </row>
    <row r="54" customFormat="false" ht="15" hidden="false" customHeight="false" outlineLevel="0" collapsed="false">
      <c r="A54" s="31" t="s">
        <v>185</v>
      </c>
      <c r="B54" s="34" t="n">
        <f aca="false">S25</f>
        <v>5018.63243455523</v>
      </c>
      <c r="C54" s="28" t="n">
        <f aca="false">$B54*mix_Affordable1</f>
        <v>1210.62266725961</v>
      </c>
      <c r="D54" s="28" t="n">
        <f aca="false">$B54*mix_Affordable2</f>
        <v>1557.11823619359</v>
      </c>
      <c r="E54" s="28" t="n">
        <f aca="false">$B54*mix_Affordable3</f>
        <v>938.58844857962</v>
      </c>
      <c r="F54" s="28" t="n">
        <f aca="false">$B54*mix_Affordable4</f>
        <v>1312.30308252241</v>
      </c>
      <c r="G54" s="21" t="n">
        <f aca="false">C54/$B54</f>
        <v>0.241225609375974</v>
      </c>
      <c r="H54" s="21" t="n">
        <f aca="false">D54/$B54</f>
        <v>0.310267439685805</v>
      </c>
      <c r="I54" s="21" t="n">
        <f aca="false">E54/$B54</f>
        <v>0.187020759304283</v>
      </c>
      <c r="J54" s="21" t="n">
        <f aca="false">F54/$B54</f>
        <v>0.261486191633938</v>
      </c>
    </row>
    <row r="55" customFormat="false" ht="15" hidden="false" customHeight="false" outlineLevel="0" collapsed="false">
      <c r="A55" s="31" t="s">
        <v>186</v>
      </c>
      <c r="B55" s="34" t="n">
        <f aca="false">T25</f>
        <v>5291.55497429306</v>
      </c>
      <c r="C55" s="28" t="n">
        <f aca="false">$B55*mix_Privaterented1</f>
        <v>1276.45857322031</v>
      </c>
      <c r="D55" s="28" t="n">
        <f aca="false">$B55*mix_Privaterented2</f>
        <v>1641.79721383059</v>
      </c>
      <c r="E55" s="28" t="n">
        <f aca="false">$B55*mix_Privaterented3</f>
        <v>989.630629192642</v>
      </c>
      <c r="F55" s="28" t="n">
        <f aca="false">$B55*mix_Privaterented4</f>
        <v>1383.66855804951</v>
      </c>
      <c r="G55" s="21" t="n">
        <f aca="false">C55/$B55</f>
        <v>0.241225609375974</v>
      </c>
      <c r="H55" s="21" t="n">
        <f aca="false">D55/$B55</f>
        <v>0.310267439685805</v>
      </c>
      <c r="I55" s="21" t="n">
        <f aca="false">E55/$B55</f>
        <v>0.187020759304283</v>
      </c>
      <c r="J55" s="21" t="n">
        <f aca="false">F55/$B55</f>
        <v>0.261486191633938</v>
      </c>
    </row>
    <row r="56" customFormat="false" ht="15" hidden="false" customHeight="false" outlineLevel="0" collapsed="false">
      <c r="A56" s="31" t="s">
        <v>187</v>
      </c>
      <c r="B56" s="34" t="n">
        <f aca="false">X25</f>
        <v>21191.3268220429</v>
      </c>
      <c r="C56" s="28" t="n">
        <f aca="false">$B56*mix_Buyers1</f>
        <v>5111.89072613272</v>
      </c>
      <c r="D56" s="28" t="n">
        <f aca="false">$B56*mix_Buyers2</f>
        <v>6574.97871662038</v>
      </c>
      <c r="E56" s="28" t="n">
        <f aca="false">$B56*mix_Buyers3</f>
        <v>3963.21803292368</v>
      </c>
      <c r="F56" s="28" t="n">
        <f aca="false">$B56*mix_Buyers4</f>
        <v>5541.23934636612</v>
      </c>
      <c r="G56" s="21" t="n">
        <f aca="false">C56/$B56</f>
        <v>0.241225609375974</v>
      </c>
      <c r="H56" s="21" t="n">
        <f aca="false">D56/$B56</f>
        <v>0.310267439685805</v>
      </c>
      <c r="I56" s="21" t="n">
        <f aca="false">E56/$B56</f>
        <v>0.187020759304283</v>
      </c>
      <c r="J56" s="21" t="n">
        <f aca="false">F56/$B56</f>
        <v>0.261486191633938</v>
      </c>
    </row>
    <row r="57" customFormat="false" ht="15" hidden="false" customHeight="false" outlineLevel="0" collapsed="false">
      <c r="A57" s="29" t="s">
        <v>188</v>
      </c>
      <c r="B57" s="30" t="n">
        <f aca="false">SUM(B53:B56)</f>
        <v>39864</v>
      </c>
      <c r="C57" s="30" t="n">
        <f aca="false">SUM(C53:C56)</f>
        <v>12228.9413344165</v>
      </c>
      <c r="D57" s="30" t="n">
        <f aca="false">SUM(D53:D56)</f>
        <v>11305.5895122948</v>
      </c>
      <c r="E57" s="30" t="n">
        <f aca="false">SUM(E53:E56)</f>
        <v>7410.44760876311</v>
      </c>
      <c r="F57" s="30" t="n">
        <f aca="false">SUM(F53:F56)</f>
        <v>8919.0215445256</v>
      </c>
      <c r="G57" s="36" t="n">
        <f aca="false">C57/$B57</f>
        <v>0.306766539595037</v>
      </c>
      <c r="H57" s="36" t="n">
        <f aca="false">D57/$B57</f>
        <v>0.283603991378054</v>
      </c>
      <c r="I57" s="36" t="n">
        <f aca="false">E57/$B57</f>
        <v>0.185893227191529</v>
      </c>
      <c r="J57" s="36" t="n">
        <f aca="false">F57/$B57</f>
        <v>0.22373624183538</v>
      </c>
    </row>
    <row r="58" customFormat="false" ht="15" hidden="false" customHeight="false" outlineLevel="0" collapsed="false">
      <c r="A58" s="31" t="s">
        <v>189</v>
      </c>
      <c r="B58" s="28" t="n">
        <f aca="false">SUM(C58:F58)</f>
        <v>32082</v>
      </c>
      <c r="C58" s="18" t="n">
        <v>7739</v>
      </c>
      <c r="D58" s="18" t="n">
        <v>9954</v>
      </c>
      <c r="E58" s="18" t="n">
        <v>6000</v>
      </c>
      <c r="F58" s="18" t="n">
        <v>8389</v>
      </c>
      <c r="G58" s="21" t="n">
        <f aca="false">C58/SUM($C$58:$F$58)</f>
        <v>0.241225609375974</v>
      </c>
      <c r="H58" s="21" t="n">
        <f aca="false">D58/SUM($C$58:$F$58)</f>
        <v>0.310267439685805</v>
      </c>
      <c r="I58" s="21" t="n">
        <f aca="false">E58/SUM($C$58:$F$58)</f>
        <v>0.187020759304283</v>
      </c>
      <c r="J58" s="21" t="n">
        <f aca="false">F58/SUM($C$58:$F$58)</f>
        <v>0.261486191633938</v>
      </c>
    </row>
    <row r="59" customFormat="false" ht="15" hidden="false" customHeight="false" outlineLevel="0" collapsed="false">
      <c r="A59" s="31" t="s">
        <v>190</v>
      </c>
      <c r="G59" s="32" t="n">
        <f aca="false">G57-G58</f>
        <v>0.0655409302190625</v>
      </c>
      <c r="H59" s="32" t="n">
        <f aca="false">H57-H58</f>
        <v>-0.0266634483077509</v>
      </c>
      <c r="I59" s="32" t="n">
        <f aca="false">I57-I58</f>
        <v>-0.0011275321127539</v>
      </c>
      <c r="J59" s="32" t="n">
        <f aca="false">J57-J58</f>
        <v>-0.0377499497985578</v>
      </c>
    </row>
    <row r="60" customFormat="false" ht="48" hidden="false" customHeight="true" outlineLevel="0" collapsed="false">
      <c r="A60" s="33" t="s">
        <v>191</v>
      </c>
      <c r="B60" s="33"/>
      <c r="C60" s="33"/>
      <c r="D60" s="33"/>
      <c r="E60" s="33"/>
      <c r="F60" s="33"/>
      <c r="G60" s="33"/>
      <c r="H60" s="33"/>
      <c r="I60" s="33"/>
      <c r="J60" s="33"/>
    </row>
  </sheetData>
  <mergeCells count="3">
    <mergeCell ref="A27:Y27"/>
    <mergeCell ref="A49:H49"/>
    <mergeCell ref="A60:J60"/>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0656B"/>
    <pageSetUpPr fitToPage="true"/>
  </sheetPr>
  <dimension ref="A1:M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13" min="2" style="0" width="12"/>
  </cols>
  <sheetData>
    <row r="1" customFormat="false" ht="30" hidden="false" customHeight="true" outlineLevel="0" collapsed="false">
      <c r="A1" s="1" t="s">
        <v>192</v>
      </c>
      <c r="B1" s="2"/>
      <c r="C1" s="2"/>
      <c r="D1" s="2"/>
      <c r="E1" s="2"/>
      <c r="F1" s="2"/>
      <c r="G1" s="2"/>
      <c r="H1" s="2"/>
      <c r="I1" s="2"/>
      <c r="J1" s="2"/>
      <c r="K1" s="2"/>
      <c r="L1" s="2"/>
      <c r="M1" s="2"/>
    </row>
    <row r="2" customFormat="false" ht="18" hidden="false" customHeight="true" outlineLevel="0" collapsed="false">
      <c r="A2" s="3" t="s">
        <v>193</v>
      </c>
      <c r="B2" s="2"/>
      <c r="C2" s="2"/>
      <c r="D2" s="2"/>
      <c r="E2" s="2"/>
      <c r="F2" s="2"/>
      <c r="G2" s="2"/>
      <c r="H2" s="2"/>
      <c r="I2" s="2"/>
      <c r="J2" s="2"/>
      <c r="K2" s="2"/>
      <c r="L2" s="2"/>
      <c r="M2" s="2"/>
    </row>
    <row r="3" customFormat="false" ht="3.75" hidden="false" customHeight="true" outlineLevel="0" collapsed="false">
      <c r="A3" s="4"/>
      <c r="B3" s="4"/>
      <c r="C3" s="4"/>
      <c r="D3" s="4"/>
      <c r="E3" s="4"/>
      <c r="F3" s="4"/>
      <c r="G3" s="4"/>
      <c r="H3" s="4"/>
      <c r="I3" s="4"/>
      <c r="J3" s="4"/>
      <c r="K3" s="4"/>
      <c r="L3" s="4"/>
      <c r="M3" s="4"/>
    </row>
    <row r="5" customFormat="false" ht="15" hidden="false" customHeight="false" outlineLevel="0" collapsed="false">
      <c r="A5" s="9" t="s">
        <v>194</v>
      </c>
      <c r="B5" s="10"/>
      <c r="C5" s="10"/>
      <c r="D5" s="10"/>
      <c r="E5" s="10"/>
      <c r="F5" s="10"/>
      <c r="G5" s="10"/>
      <c r="H5" s="10"/>
      <c r="I5" s="10"/>
      <c r="J5" s="10"/>
      <c r="K5" s="10"/>
      <c r="L5" s="10"/>
      <c r="M5" s="10"/>
    </row>
    <row r="6" customFormat="false" ht="42" hidden="false" customHeight="true" outlineLevel="0" collapsed="false">
      <c r="A6" s="37" t="s">
        <v>195</v>
      </c>
      <c r="B6" s="11" t="s">
        <v>196</v>
      </c>
      <c r="C6" s="11"/>
      <c r="D6" s="11"/>
      <c r="E6" s="11"/>
      <c r="F6" s="11"/>
      <c r="G6" s="11"/>
      <c r="H6" s="11"/>
      <c r="I6" s="11"/>
      <c r="J6" s="11"/>
      <c r="K6" s="11"/>
      <c r="L6" s="11"/>
      <c r="M6" s="11"/>
    </row>
    <row r="7" customFormat="false" ht="42" hidden="false" customHeight="true" outlineLevel="0" collapsed="false">
      <c r="A7" s="37" t="s">
        <v>197</v>
      </c>
      <c r="B7" s="11" t="s">
        <v>198</v>
      </c>
      <c r="C7" s="11"/>
      <c r="D7" s="11"/>
      <c r="E7" s="11"/>
      <c r="F7" s="11"/>
      <c r="G7" s="11"/>
      <c r="H7" s="11"/>
      <c r="I7" s="11"/>
      <c r="J7" s="11"/>
      <c r="K7" s="11"/>
      <c r="L7" s="11"/>
      <c r="M7" s="11"/>
    </row>
    <row r="8" customFormat="false" ht="42" hidden="false" customHeight="true" outlineLevel="0" collapsed="false">
      <c r="A8" s="37" t="s">
        <v>199</v>
      </c>
      <c r="B8" s="11" t="s">
        <v>200</v>
      </c>
      <c r="C8" s="11"/>
      <c r="D8" s="11"/>
      <c r="E8" s="11"/>
      <c r="F8" s="11"/>
      <c r="G8" s="11"/>
      <c r="H8" s="11"/>
      <c r="I8" s="11"/>
      <c r="J8" s="11"/>
      <c r="K8" s="11"/>
      <c r="L8" s="11"/>
      <c r="M8" s="11"/>
    </row>
    <row r="9" customFormat="false" ht="42" hidden="false" customHeight="true" outlineLevel="0" collapsed="false">
      <c r="A9" s="37" t="s">
        <v>201</v>
      </c>
      <c r="B9" s="11" t="s">
        <v>202</v>
      </c>
      <c r="C9" s="11"/>
      <c r="D9" s="11"/>
      <c r="E9" s="11"/>
      <c r="F9" s="11"/>
      <c r="G9" s="11"/>
      <c r="H9" s="11"/>
      <c r="I9" s="11"/>
      <c r="J9" s="11"/>
      <c r="K9" s="11"/>
      <c r="L9" s="11"/>
      <c r="M9" s="11"/>
    </row>
    <row r="11" customFormat="false" ht="15" hidden="false" customHeight="false" outlineLevel="0" collapsed="false">
      <c r="A11" s="9" t="s">
        <v>203</v>
      </c>
      <c r="B11" s="10"/>
      <c r="C11" s="10"/>
      <c r="D11" s="10"/>
      <c r="E11" s="10"/>
      <c r="F11" s="10"/>
      <c r="G11" s="10"/>
      <c r="H11" s="10"/>
      <c r="I11" s="10"/>
      <c r="J11" s="10"/>
      <c r="K11" s="10"/>
      <c r="L11" s="10"/>
      <c r="M11" s="10"/>
    </row>
    <row r="12" customFormat="false" ht="43.5" hidden="false" customHeight="true" outlineLevel="0" collapsed="false">
      <c r="A12" s="25" t="s">
        <v>204</v>
      </c>
      <c r="B12" s="25" t="s">
        <v>205</v>
      </c>
      <c r="C12" s="25" t="s">
        <v>195</v>
      </c>
      <c r="D12" s="25" t="s">
        <v>206</v>
      </c>
      <c r="E12" s="25" t="s">
        <v>207</v>
      </c>
      <c r="F12" s="25" t="s">
        <v>208</v>
      </c>
      <c r="G12" s="25" t="s">
        <v>209</v>
      </c>
      <c r="H12" s="25" t="s">
        <v>210</v>
      </c>
      <c r="I12" s="25" t="s">
        <v>60</v>
      </c>
      <c r="J12" s="25" t="s">
        <v>211</v>
      </c>
      <c r="K12" s="25" t="s">
        <v>212</v>
      </c>
      <c r="L12" s="25" t="s">
        <v>213</v>
      </c>
      <c r="M12" s="25" t="s">
        <v>214</v>
      </c>
    </row>
    <row r="13" customFormat="false" ht="15" hidden="false" customHeight="false" outlineLevel="0" collapsed="false">
      <c r="A13" s="13" t="s">
        <v>215</v>
      </c>
      <c r="B13" s="38" t="s">
        <v>216</v>
      </c>
      <c r="C13" s="28" t="n">
        <f aca="false">COUNTIFS(dp_src,$A13,dp_scope,$B13)</f>
        <v>131</v>
      </c>
      <c r="D13" s="39" t="n">
        <f aca="false">SUMIFS(dp_area,dp_src,$A13,dp_scope,$B13)</f>
        <v>312.219</v>
      </c>
      <c r="E13" s="28" t="n">
        <f aca="false">SUMIFS(dp_cap,dp_src,$A13,dp_scope,$B13)</f>
        <v>13927</v>
      </c>
      <c r="F13" s="28" t="n">
        <f aca="false">SUMIFS(dp_comp,dp_src,$A13,dp_scope,$B13)</f>
        <v>76</v>
      </c>
      <c r="G13" s="28" t="n">
        <f aca="false">SUMIFS(dp_uc,dp_src,$A13,dp_scope,$B13)</f>
        <v>1635</v>
      </c>
      <c r="H13" s="28" t="n">
        <f aca="false">SUMIFS(dp_pns,dp_src,$A13,dp_scope,$B13)</f>
        <v>3483</v>
      </c>
      <c r="I13" s="28" t="n">
        <f aca="false">SUMIFS(dp_stl,dp_src,$A13,dp_scope,$B13)</f>
        <v>31</v>
      </c>
      <c r="J13" s="28" t="n">
        <f aca="false">SUMIFS(dp_cons,dp_src,$A13,dp_scope,$B13)</f>
        <v>5225</v>
      </c>
      <c r="K13" s="28" t="n">
        <f aca="false">SUMIFS(dp_unc,dp_src,$A13,dp_scope,$B13)</f>
        <v>10005</v>
      </c>
      <c r="L13" s="28" t="n">
        <f aca="false">SUMIFS(dp_tot,dp_src,$A13,dp_scope,$B13)</f>
        <v>15230</v>
      </c>
      <c r="M13" s="28" t="n">
        <f aca="false">SUMIFS(dp_fut,dp_src,$A13,dp_scope,$B13)</f>
        <v>15154</v>
      </c>
    </row>
    <row r="14" customFormat="false" ht="15" hidden="false" customHeight="false" outlineLevel="0" collapsed="false">
      <c r="A14" s="13" t="s">
        <v>217</v>
      </c>
      <c r="B14" s="38" t="s">
        <v>216</v>
      </c>
      <c r="C14" s="28" t="n">
        <f aca="false">COUNTIFS(dp_src,$A14,dp_scope,$B14)</f>
        <v>3</v>
      </c>
      <c r="D14" s="39" t="n">
        <f aca="false">SUMIFS(dp_area,dp_src,$A14,dp_scope,$B14)</f>
        <v>3.993</v>
      </c>
      <c r="E14" s="28" t="n">
        <f aca="false">SUMIFS(dp_cap,dp_src,$A14,dp_scope,$B14)</f>
        <v>165</v>
      </c>
      <c r="F14" s="28" t="n">
        <f aca="false">SUMIFS(dp_comp,dp_src,$A14,dp_scope,$B14)</f>
        <v>0</v>
      </c>
      <c r="G14" s="28" t="n">
        <f aca="false">SUMIFS(dp_uc,dp_src,$A14,dp_scope,$B14)</f>
        <v>0</v>
      </c>
      <c r="H14" s="28" t="n">
        <f aca="false">SUMIFS(dp_pns,dp_src,$A14,dp_scope,$B14)</f>
        <v>27</v>
      </c>
      <c r="I14" s="28" t="n">
        <f aca="false">SUMIFS(dp_stl,dp_src,$A14,dp_scope,$B14)</f>
        <v>0</v>
      </c>
      <c r="J14" s="28" t="n">
        <f aca="false">SUMIFS(dp_cons,dp_src,$A14,dp_scope,$B14)</f>
        <v>27</v>
      </c>
      <c r="K14" s="28" t="n">
        <f aca="false">SUMIFS(dp_unc,dp_src,$A14,dp_scope,$B14)</f>
        <v>138</v>
      </c>
      <c r="L14" s="28" t="n">
        <f aca="false">SUMIFS(dp_tot,dp_src,$A14,dp_scope,$B14)</f>
        <v>165</v>
      </c>
      <c r="M14" s="28" t="n">
        <f aca="false">SUMIFS(dp_fut,dp_src,$A14,dp_scope,$B14)</f>
        <v>165</v>
      </c>
    </row>
    <row r="15" customFormat="false" ht="15" hidden="false" customHeight="false" outlineLevel="0" collapsed="false">
      <c r="A15" s="13" t="s">
        <v>218</v>
      </c>
      <c r="B15" s="38" t="s">
        <v>216</v>
      </c>
      <c r="C15" s="28" t="n">
        <f aca="false">COUNTIFS(dp_src,$A15,dp_scope,$B15)</f>
        <v>103</v>
      </c>
      <c r="D15" s="39" t="n">
        <f aca="false">SUMIFS(dp_area,dp_src,$A15,dp_scope,$B15)</f>
        <v>102.379</v>
      </c>
      <c r="E15" s="28" t="n">
        <f aca="false">SUMIFS(dp_cap,dp_src,$A15,dp_scope,$B15)</f>
        <v>0</v>
      </c>
      <c r="F15" s="28" t="n">
        <f aca="false">SUMIFS(dp_comp,dp_src,$A15,dp_scope,$B15)</f>
        <v>1260</v>
      </c>
      <c r="G15" s="28" t="n">
        <f aca="false">SUMIFS(dp_uc,dp_src,$A15,dp_scope,$B15)</f>
        <v>1319</v>
      </c>
      <c r="H15" s="28" t="n">
        <f aca="false">SUMIFS(dp_pns,dp_src,$A15,dp_scope,$B15)</f>
        <v>700</v>
      </c>
      <c r="I15" s="28" t="n">
        <f aca="false">SUMIFS(dp_stl,dp_src,$A15,dp_scope,$B15)</f>
        <v>0</v>
      </c>
      <c r="J15" s="28" t="n">
        <f aca="false">SUMIFS(dp_cons,dp_src,$A15,dp_scope,$B15)</f>
        <v>3279</v>
      </c>
      <c r="K15" s="28" t="n">
        <f aca="false">SUMIFS(dp_unc,dp_src,$A15,dp_scope,$B15)</f>
        <v>0</v>
      </c>
      <c r="L15" s="28" t="n">
        <f aca="false">SUMIFS(dp_tot,dp_src,$A15,dp_scope,$B15)</f>
        <v>3279</v>
      </c>
      <c r="M15" s="28" t="n">
        <f aca="false">SUMIFS(dp_fut,dp_src,$A15,dp_scope,$B15)</f>
        <v>2019</v>
      </c>
    </row>
    <row r="16" customFormat="false" ht="15" hidden="false" customHeight="false" outlineLevel="0" collapsed="false">
      <c r="A16" s="13" t="s">
        <v>219</v>
      </c>
      <c r="B16" s="38" t="s">
        <v>216</v>
      </c>
      <c r="C16" s="28" t="n">
        <f aca="false">COUNTIFS(dp_src,$A16,dp_scope,$B16)</f>
        <v>5</v>
      </c>
      <c r="D16" s="39" t="n">
        <f aca="false">SUMIFS(dp_area,dp_src,$A16,dp_scope,$B16)</f>
        <v>1.384</v>
      </c>
      <c r="E16" s="28" t="n">
        <f aca="false">SUMIFS(dp_cap,dp_src,$A16,dp_scope,$B16)</f>
        <v>47</v>
      </c>
      <c r="F16" s="28" t="n">
        <f aca="false">SUMIFS(dp_comp,dp_src,$A16,dp_scope,$B16)</f>
        <v>0</v>
      </c>
      <c r="G16" s="28" t="n">
        <f aca="false">SUMIFS(dp_uc,dp_src,$A16,dp_scope,$B16)</f>
        <v>0</v>
      </c>
      <c r="H16" s="28" t="n">
        <f aca="false">SUMIFS(dp_pns,dp_src,$A16,dp_scope,$B16)</f>
        <v>0</v>
      </c>
      <c r="I16" s="28" t="n">
        <f aca="false">SUMIFS(dp_stl,dp_src,$A16,dp_scope,$B16)</f>
        <v>0</v>
      </c>
      <c r="J16" s="28" t="n">
        <f aca="false">SUMIFS(dp_cons,dp_src,$A16,dp_scope,$B16)</f>
        <v>0</v>
      </c>
      <c r="K16" s="28" t="n">
        <f aca="false">SUMIFS(dp_unc,dp_src,$A16,dp_scope,$B16)</f>
        <v>47</v>
      </c>
      <c r="L16" s="28" t="n">
        <f aca="false">SUMIFS(dp_tot,dp_src,$A16,dp_scope,$B16)</f>
        <v>47</v>
      </c>
      <c r="M16" s="28" t="n">
        <f aca="false">SUMIFS(dp_fut,dp_src,$A16,dp_scope,$B16)</f>
        <v>47</v>
      </c>
    </row>
    <row r="17" customFormat="false" ht="15" hidden="false" customHeight="false" outlineLevel="0" collapsed="false">
      <c r="A17" s="13" t="s">
        <v>218</v>
      </c>
      <c r="B17" s="38" t="s">
        <v>220</v>
      </c>
      <c r="C17" s="28" t="n">
        <f aca="false">COUNTIFS(dp_src,$A17,dp_scope,$B17)</f>
        <v>85</v>
      </c>
      <c r="D17" s="39" t="n">
        <f aca="false">SUMIFS(dp_area,dp_src,$A17,dp_scope,$B17)</f>
        <v>116.115</v>
      </c>
      <c r="E17" s="28" t="n">
        <f aca="false">SUMIFS(dp_cap,dp_src,$A17,dp_scope,$B17)</f>
        <v>0</v>
      </c>
      <c r="F17" s="28" t="n">
        <f aca="false">SUMIFS(dp_comp,dp_src,$A17,dp_scope,$B17)</f>
        <v>295</v>
      </c>
      <c r="G17" s="28" t="n">
        <f aca="false">SUMIFS(dp_uc,dp_src,$A17,dp_scope,$B17)</f>
        <v>757</v>
      </c>
      <c r="H17" s="28" t="n">
        <f aca="false">SUMIFS(dp_pns,dp_src,$A17,dp_scope,$B17)</f>
        <v>792</v>
      </c>
      <c r="I17" s="28" t="n">
        <f aca="false">SUMIFS(dp_stl,dp_src,$A17,dp_scope,$B17)</f>
        <v>125</v>
      </c>
      <c r="J17" s="28" t="n">
        <f aca="false">SUMIFS(dp_cons,dp_src,$A17,dp_scope,$B17)</f>
        <v>1969</v>
      </c>
      <c r="K17" s="28" t="n">
        <f aca="false">SUMIFS(dp_unc,dp_src,$A17,dp_scope,$B17)</f>
        <v>0</v>
      </c>
      <c r="L17" s="28" t="n">
        <f aca="false">SUMIFS(dp_tot,dp_src,$A17,dp_scope,$B17)</f>
        <v>1969</v>
      </c>
      <c r="M17" s="28" t="n">
        <f aca="false">SUMIFS(dp_fut,dp_src,$A17,dp_scope,$B17)</f>
        <v>1674</v>
      </c>
    </row>
    <row r="18" customFormat="false" ht="15" hidden="false" customHeight="false" outlineLevel="0" collapsed="false">
      <c r="A18" s="13" t="s">
        <v>219</v>
      </c>
      <c r="B18" s="38" t="s">
        <v>220</v>
      </c>
      <c r="C18" s="28" t="n">
        <f aca="false">COUNTIFS(dp_src,$A18,dp_scope,$B18)</f>
        <v>119</v>
      </c>
      <c r="D18" s="39" t="n">
        <f aca="false">SUMIFS(dp_area,dp_src,$A18,dp_scope,$B18)</f>
        <v>148.073</v>
      </c>
      <c r="E18" s="28" t="n">
        <f aca="false">SUMIFS(dp_cap,dp_src,$A18,dp_scope,$B18)</f>
        <v>3460</v>
      </c>
      <c r="F18" s="28" t="n">
        <f aca="false">SUMIFS(dp_comp,dp_src,$A18,dp_scope,$B18)</f>
        <v>0</v>
      </c>
      <c r="G18" s="28" t="n">
        <f aca="false">SUMIFS(dp_uc,dp_src,$A18,dp_scope,$B18)</f>
        <v>0</v>
      </c>
      <c r="H18" s="28" t="n">
        <f aca="false">SUMIFS(dp_pns,dp_src,$A18,dp_scope,$B18)</f>
        <v>0</v>
      </c>
      <c r="I18" s="28" t="n">
        <f aca="false">SUMIFS(dp_stl,dp_src,$A18,dp_scope,$B18)</f>
        <v>0</v>
      </c>
      <c r="J18" s="28" t="n">
        <f aca="false">SUMIFS(dp_cons,dp_src,$A18,dp_scope,$B18)</f>
        <v>0</v>
      </c>
      <c r="K18" s="28" t="n">
        <f aca="false">SUMIFS(dp_unc,dp_src,$A18,dp_scope,$B18)</f>
        <v>3460</v>
      </c>
      <c r="L18" s="28" t="n">
        <f aca="false">SUMIFS(dp_tot,dp_src,$A18,dp_scope,$B18)</f>
        <v>3460</v>
      </c>
      <c r="M18" s="28" t="n">
        <f aca="false">SUMIFS(dp_fut,dp_src,$A18,dp_scope,$B18)</f>
        <v>3460</v>
      </c>
    </row>
    <row r="19" customFormat="false" ht="15" hidden="false" customHeight="false" outlineLevel="0" collapsed="false">
      <c r="A19" s="29" t="s">
        <v>221</v>
      </c>
      <c r="B19" s="40"/>
      <c r="C19" s="30" t="n">
        <f aca="false">SUM(C13:C18)</f>
        <v>446</v>
      </c>
      <c r="D19" s="41" t="n">
        <f aca="false">SUM(D13:D18)</f>
        <v>684.163</v>
      </c>
      <c r="E19" s="30" t="n">
        <f aca="false">SUM(E13:E18)</f>
        <v>17599</v>
      </c>
      <c r="F19" s="30" t="n">
        <f aca="false">SUM(F13:F18)</f>
        <v>1631</v>
      </c>
      <c r="G19" s="30" t="n">
        <f aca="false">SUM(G13:G18)</f>
        <v>3711</v>
      </c>
      <c r="H19" s="30" t="n">
        <f aca="false">SUM(H13:H18)</f>
        <v>5002</v>
      </c>
      <c r="I19" s="30" t="n">
        <f aca="false">SUM(I13:I18)</f>
        <v>156</v>
      </c>
      <c r="J19" s="30" t="n">
        <f aca="false">SUM(J13:J18)</f>
        <v>10500</v>
      </c>
      <c r="K19" s="30" t="n">
        <f aca="false">SUM(K13:K18)</f>
        <v>13650</v>
      </c>
      <c r="L19" s="30" t="n">
        <f aca="false">SUM(L13:L18)</f>
        <v>24150</v>
      </c>
      <c r="M19" s="30" t="n">
        <f aca="false">SUM(M13:M18)</f>
        <v>22519</v>
      </c>
    </row>
    <row r="21" customFormat="false" ht="15" hidden="false" customHeight="false" outlineLevel="0" collapsed="false">
      <c r="A21" s="9" t="s">
        <v>222</v>
      </c>
      <c r="B21" s="10"/>
      <c r="C21" s="10"/>
      <c r="D21" s="10"/>
      <c r="E21" s="10"/>
      <c r="F21" s="10"/>
      <c r="G21" s="10"/>
      <c r="H21" s="10"/>
      <c r="I21" s="10"/>
      <c r="J21" s="10"/>
      <c r="K21" s="10"/>
      <c r="L21" s="10"/>
      <c r="M21" s="10"/>
    </row>
    <row r="22" customFormat="false" ht="33.75" hidden="false" customHeight="true" outlineLevel="0" collapsed="false">
      <c r="A22" s="25" t="s">
        <v>223</v>
      </c>
      <c r="B22" s="25" t="s">
        <v>224</v>
      </c>
      <c r="C22" s="25" t="s">
        <v>197</v>
      </c>
      <c r="D22" s="25" t="s">
        <v>225</v>
      </c>
      <c r="E22" s="25" t="s">
        <v>226</v>
      </c>
      <c r="F22" s="25" t="s">
        <v>227</v>
      </c>
    </row>
    <row r="23" customFormat="false" ht="15" hidden="false" customHeight="false" outlineLevel="0" collapsed="false">
      <c r="A23" s="13" t="s">
        <v>208</v>
      </c>
      <c r="B23" s="38" t="s">
        <v>228</v>
      </c>
      <c r="C23" s="28" t="n">
        <f aca="false">COUNTIFS(dm_status,A23)</f>
        <v>66</v>
      </c>
      <c r="D23" s="28" t="n">
        <f aca="false">SUMIFS(dm_units,dm_status,A23)</f>
        <v>1631</v>
      </c>
      <c r="E23" s="21" t="n">
        <f aca="false">D23/$D$27</f>
        <v>0.155333333333333</v>
      </c>
      <c r="F23" s="28" t="n">
        <f aca="false">SUMIFS(dm_beds,dm_status,A23)</f>
        <v>0</v>
      </c>
    </row>
    <row r="24" customFormat="false" ht="15" hidden="false" customHeight="false" outlineLevel="0" collapsed="false">
      <c r="A24" s="13" t="s">
        <v>56</v>
      </c>
      <c r="B24" s="38" t="s">
        <v>228</v>
      </c>
      <c r="C24" s="28" t="n">
        <f aca="false">COUNTIFS(dm_status,A24)</f>
        <v>78</v>
      </c>
      <c r="D24" s="28" t="n">
        <f aca="false">SUMIFS(dm_units,dm_status,A24)</f>
        <v>3711</v>
      </c>
      <c r="E24" s="21" t="n">
        <f aca="false">D24/$D$27</f>
        <v>0.353428571428571</v>
      </c>
      <c r="F24" s="28" t="n">
        <f aca="false">SUMIFS(dm_beds,dm_status,A24)</f>
        <v>202</v>
      </c>
    </row>
    <row r="25" customFormat="false" ht="15" hidden="false" customHeight="false" outlineLevel="0" collapsed="false">
      <c r="A25" s="13" t="s">
        <v>58</v>
      </c>
      <c r="B25" s="38" t="s">
        <v>228</v>
      </c>
      <c r="C25" s="28" t="n">
        <f aca="false">COUNTIFS(dm_status,A25)</f>
        <v>88</v>
      </c>
      <c r="D25" s="28" t="n">
        <f aca="false">SUMIFS(dm_units,dm_status,A25)</f>
        <v>5002</v>
      </c>
      <c r="E25" s="21" t="n">
        <f aca="false">D25/$D$27</f>
        <v>0.476380952380952</v>
      </c>
      <c r="F25" s="28" t="n">
        <f aca="false">SUMIFS(dm_beds,dm_status,A25)</f>
        <v>1940</v>
      </c>
    </row>
    <row r="26" customFormat="false" ht="15" hidden="false" customHeight="false" outlineLevel="0" collapsed="false">
      <c r="A26" s="13" t="s">
        <v>60</v>
      </c>
      <c r="B26" s="38" t="s">
        <v>228</v>
      </c>
      <c r="C26" s="28" t="n">
        <f aca="false">COUNTIFS(dm_status,A26)</f>
        <v>4</v>
      </c>
      <c r="D26" s="28" t="n">
        <f aca="false">SUMIFS(dm_units,dm_status,A26)</f>
        <v>156</v>
      </c>
      <c r="E26" s="21" t="n">
        <f aca="false">D26/$D$27</f>
        <v>0.0148571428571429</v>
      </c>
      <c r="F26" s="28" t="n">
        <f aca="false">SUMIFS(dm_beds,dm_status,A26)</f>
        <v>0</v>
      </c>
    </row>
    <row r="27" customFormat="false" ht="15" hidden="false" customHeight="false" outlineLevel="0" collapsed="false">
      <c r="A27" s="29" t="s">
        <v>229</v>
      </c>
      <c r="B27" s="40"/>
      <c r="C27" s="30" t="n">
        <f aca="false">SUM(C23:C26)</f>
        <v>236</v>
      </c>
      <c r="D27" s="30" t="n">
        <f aca="false">SUM(D23:D26)</f>
        <v>10500</v>
      </c>
      <c r="E27" s="32" t="n">
        <f aca="false">D27/$D$27</f>
        <v>1</v>
      </c>
      <c r="F27" s="30" t="n">
        <f aca="false">SUM(F23:F26)</f>
        <v>2142</v>
      </c>
    </row>
    <row r="28" customFormat="false" ht="15" hidden="false" customHeight="false" outlineLevel="0" collapsed="false">
      <c r="A28" s="13" t="s">
        <v>230</v>
      </c>
      <c r="B28" s="38" t="s">
        <v>30</v>
      </c>
      <c r="C28" s="28" t="n">
        <f aca="false">COUNTIFS(dm_status,A28)</f>
        <v>14</v>
      </c>
      <c r="D28" s="28" t="n">
        <f aca="false">SUMIFS(dm_units,dm_status,A28)</f>
        <v>311</v>
      </c>
    </row>
    <row r="29" customFormat="false" ht="15" hidden="false" customHeight="false" outlineLevel="0" collapsed="false">
      <c r="A29" s="13" t="s">
        <v>231</v>
      </c>
      <c r="B29" s="38" t="s">
        <v>30</v>
      </c>
      <c r="C29" s="28" t="n">
        <f aca="false">COUNTIFS(dm_status,A29)</f>
        <v>15</v>
      </c>
      <c r="D29" s="28" t="n">
        <f aca="false">SUMIFS(dm_units,dm_status,A29)</f>
        <v>263</v>
      </c>
    </row>
    <row r="30" customFormat="false" ht="15" hidden="false" customHeight="false" outlineLevel="0" collapsed="false">
      <c r="A30" s="35" t="s">
        <v>232</v>
      </c>
      <c r="D30" s="28" t="n">
        <f aca="false">D27-reg_cons</f>
        <v>0</v>
      </c>
    </row>
    <row r="32" customFormat="false" ht="15" hidden="false" customHeight="false" outlineLevel="0" collapsed="false">
      <c r="A32" s="9" t="s">
        <v>233</v>
      </c>
      <c r="B32" s="10"/>
      <c r="C32" s="10"/>
      <c r="D32" s="10"/>
      <c r="E32" s="10"/>
      <c r="F32" s="10"/>
      <c r="G32" s="10"/>
      <c r="H32" s="10"/>
      <c r="I32" s="10"/>
      <c r="J32" s="10"/>
      <c r="K32" s="10"/>
      <c r="L32" s="10"/>
      <c r="M32" s="10"/>
    </row>
    <row r="33" customFormat="false" ht="30" hidden="false" customHeight="true" outlineLevel="0" collapsed="false">
      <c r="A33" s="25" t="s">
        <v>234</v>
      </c>
      <c r="B33" s="25" t="s">
        <v>195</v>
      </c>
      <c r="C33" s="25" t="s">
        <v>235</v>
      </c>
      <c r="D33" s="25" t="s">
        <v>236</v>
      </c>
    </row>
    <row r="34" customFormat="false" ht="15" hidden="false" customHeight="false" outlineLevel="0" collapsed="false">
      <c r="A34" s="13" t="s">
        <v>237</v>
      </c>
      <c r="B34" s="28" t="n">
        <f aca="false">COUNTIFS(dp_pstat,A34)</f>
        <v>50</v>
      </c>
      <c r="C34" s="28" t="n">
        <f aca="false">COUNTIFS(dp_pstat,A34,dp_scope,"City")</f>
        <v>30</v>
      </c>
      <c r="D34" s="28" t="n">
        <f aca="false">COUNTIFS(dp_pstat,A34,dp_scope,"County")</f>
        <v>20</v>
      </c>
    </row>
    <row r="35" customFormat="false" ht="15" hidden="false" customHeight="false" outlineLevel="0" collapsed="false">
      <c r="A35" s="13" t="s">
        <v>238</v>
      </c>
      <c r="B35" s="28" t="n">
        <f aca="false">COUNTIFS(dp_pstat,A35)</f>
        <v>7</v>
      </c>
      <c r="C35" s="28" t="n">
        <f aca="false">COUNTIFS(dp_pstat,A35,dp_scope,"City")</f>
        <v>5</v>
      </c>
      <c r="D35" s="28" t="n">
        <f aca="false">COUNTIFS(dp_pstat,A35,dp_scope,"County")</f>
        <v>2</v>
      </c>
    </row>
    <row r="36" customFormat="false" ht="15" hidden="false" customHeight="false" outlineLevel="0" collapsed="false">
      <c r="A36" s="13" t="s">
        <v>239</v>
      </c>
      <c r="B36" s="28" t="n">
        <f aca="false">COUNTIFS(dp_pstat,A36)</f>
        <v>145</v>
      </c>
      <c r="C36" s="28" t="n">
        <f aca="false">COUNTIFS(dp_pstat,A36,dp_scope,"City")</f>
        <v>89</v>
      </c>
      <c r="D36" s="28" t="n">
        <f aca="false">COUNTIFS(dp_pstat,A36,dp_scope,"County")</f>
        <v>56</v>
      </c>
    </row>
    <row r="37" customFormat="false" ht="15" hidden="false" customHeight="false" outlineLevel="0" collapsed="false">
      <c r="A37" s="13" t="s">
        <v>240</v>
      </c>
      <c r="B37" s="28" t="n">
        <f aca="false">COUNTIFS(dp_pstat,A37)</f>
        <v>244</v>
      </c>
      <c r="C37" s="28" t="n">
        <f aca="false">COUNTIFS(dp_pstat,A37,dp_scope,"City")</f>
        <v>118</v>
      </c>
      <c r="D37" s="28" t="n">
        <f aca="false">COUNTIFS(dp_pstat,A37,dp_scope,"County")</f>
        <v>126</v>
      </c>
    </row>
    <row r="38" customFormat="false" ht="15" hidden="false" customHeight="false" outlineLevel="0" collapsed="false">
      <c r="A38" s="13" t="s">
        <v>241</v>
      </c>
      <c r="B38" s="28" t="n">
        <f aca="false">SUM(dp_geodnew)</f>
        <v>2889</v>
      </c>
    </row>
    <row r="39" customFormat="false" ht="15" hidden="false" customHeight="false" outlineLevel="0" collapsed="false">
      <c r="A39" s="13" t="s">
        <v>242</v>
      </c>
      <c r="B39" s="28" t="n">
        <f aca="false">COUNTIFS(dp_flag,"Consented above capacity")</f>
        <v>14</v>
      </c>
    </row>
    <row r="41" customFormat="false" ht="15" hidden="false" customHeight="false" outlineLevel="0" collapsed="false">
      <c r="A41" s="9" t="s">
        <v>243</v>
      </c>
      <c r="B41" s="10"/>
      <c r="C41" s="10"/>
      <c r="D41" s="10"/>
      <c r="E41" s="10"/>
      <c r="F41" s="10"/>
      <c r="G41" s="10"/>
      <c r="H41" s="10"/>
      <c r="I41" s="10"/>
      <c r="J41" s="10"/>
      <c r="K41" s="10"/>
      <c r="L41" s="10"/>
      <c r="M41" s="10"/>
    </row>
    <row r="42" customFormat="false" ht="24" hidden="false" customHeight="true" outlineLevel="0" collapsed="false">
      <c r="A42" s="25" t="s">
        <v>244</v>
      </c>
      <c r="B42" s="25" t="s">
        <v>245</v>
      </c>
    </row>
    <row r="43" customFormat="false" ht="15" hidden="false" customHeight="false" outlineLevel="0" collapsed="false">
      <c r="A43" s="13" t="s">
        <v>246</v>
      </c>
      <c r="B43" s="18" t="n">
        <v>14</v>
      </c>
    </row>
    <row r="44" customFormat="false" ht="15" hidden="false" customHeight="false" outlineLevel="0" collapsed="false">
      <c r="A44" s="13" t="s">
        <v>247</v>
      </c>
      <c r="B44" s="18" t="n">
        <v>7</v>
      </c>
    </row>
    <row r="45" customFormat="false" ht="15" hidden="false" customHeight="false" outlineLevel="0" collapsed="false">
      <c r="A45" s="13" t="s">
        <v>248</v>
      </c>
      <c r="B45" s="18" t="n">
        <v>4</v>
      </c>
    </row>
    <row r="46" customFormat="false" ht="25.5" hidden="false" customHeight="true" outlineLevel="0" collapsed="false">
      <c r="A46" s="33" t="s">
        <v>249</v>
      </c>
      <c r="B46" s="33"/>
      <c r="C46" s="33"/>
      <c r="D46" s="33"/>
      <c r="E46" s="33"/>
      <c r="F46" s="33"/>
      <c r="G46" s="33"/>
      <c r="H46" s="33"/>
      <c r="I46" s="33"/>
      <c r="J46" s="33"/>
      <c r="K46" s="33"/>
      <c r="L46" s="33"/>
      <c r="M46" s="33"/>
    </row>
  </sheetData>
  <mergeCells count="5">
    <mergeCell ref="B6:M6"/>
    <mergeCell ref="B7:M7"/>
    <mergeCell ref="B8:M8"/>
    <mergeCell ref="B9:M9"/>
    <mergeCell ref="A46:M4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0656B"/>
    <pageSetUpPr fitToPage="true"/>
  </sheetPr>
  <dimension ref="A1:O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4" min="2" style="0" width="12"/>
    <col collapsed="false" customWidth="true" hidden="false" outlineLevel="0" max="5" min="5" style="0" width="26"/>
    <col collapsed="false" customWidth="true" hidden="false" outlineLevel="0" max="15" min="6" style="0" width="12"/>
  </cols>
  <sheetData>
    <row r="1" customFormat="false" ht="30" hidden="false" customHeight="true" outlineLevel="0" collapsed="false">
      <c r="A1" s="1" t="s">
        <v>250</v>
      </c>
      <c r="B1" s="2"/>
      <c r="C1" s="2"/>
      <c r="D1" s="2"/>
      <c r="E1" s="2"/>
      <c r="F1" s="2"/>
      <c r="G1" s="2"/>
      <c r="H1" s="2"/>
      <c r="I1" s="2"/>
      <c r="J1" s="2"/>
      <c r="K1" s="2"/>
      <c r="L1" s="2"/>
      <c r="M1" s="2"/>
      <c r="N1" s="2"/>
      <c r="O1" s="2"/>
    </row>
    <row r="2" customFormat="false" ht="18" hidden="false" customHeight="true" outlineLevel="0" collapsed="false">
      <c r="A2" s="3" t="s">
        <v>251</v>
      </c>
      <c r="B2" s="2"/>
      <c r="C2" s="2"/>
      <c r="D2" s="2"/>
      <c r="E2" s="2"/>
      <c r="F2" s="2"/>
      <c r="G2" s="2"/>
      <c r="H2" s="2"/>
      <c r="I2" s="2"/>
      <c r="J2" s="2"/>
      <c r="K2" s="2"/>
      <c r="L2" s="2"/>
      <c r="M2" s="2"/>
      <c r="N2" s="2"/>
      <c r="O2" s="2"/>
    </row>
    <row r="3" customFormat="false" ht="3.75" hidden="false" customHeight="true" outlineLevel="0" collapsed="false">
      <c r="A3" s="4"/>
      <c r="B3" s="4"/>
      <c r="C3" s="4"/>
      <c r="D3" s="4"/>
      <c r="E3" s="4"/>
      <c r="F3" s="4"/>
      <c r="G3" s="4"/>
      <c r="H3" s="4"/>
      <c r="I3" s="4"/>
      <c r="J3" s="4"/>
      <c r="K3" s="4"/>
      <c r="L3" s="4"/>
      <c r="M3" s="4"/>
      <c r="N3" s="4"/>
      <c r="O3" s="4"/>
    </row>
    <row r="5" customFormat="false" ht="15" hidden="false" customHeight="false" outlineLevel="0" collapsed="false">
      <c r="A5" s="9" t="s">
        <v>252</v>
      </c>
      <c r="B5" s="10"/>
      <c r="C5" s="10"/>
      <c r="D5" s="10"/>
      <c r="E5" s="10"/>
      <c r="F5" s="10"/>
      <c r="G5" s="10"/>
      <c r="H5" s="10"/>
      <c r="I5" s="10"/>
      <c r="J5" s="10"/>
      <c r="K5" s="10"/>
      <c r="L5" s="10"/>
      <c r="M5" s="10"/>
      <c r="N5" s="10"/>
      <c r="O5" s="10"/>
    </row>
    <row r="6" customFormat="false" ht="51.75" hidden="false" customHeight="true" outlineLevel="0" collapsed="false">
      <c r="A6" s="25" t="s">
        <v>253</v>
      </c>
      <c r="B6" s="25" t="s">
        <v>195</v>
      </c>
      <c r="C6" s="25" t="s">
        <v>206</v>
      </c>
      <c r="D6" s="25" t="s">
        <v>254</v>
      </c>
      <c r="E6" s="25" t="s">
        <v>208</v>
      </c>
      <c r="F6" s="25" t="s">
        <v>209</v>
      </c>
      <c r="G6" s="25" t="s">
        <v>210</v>
      </c>
      <c r="H6" s="25" t="s">
        <v>60</v>
      </c>
      <c r="I6" s="25" t="s">
        <v>211</v>
      </c>
      <c r="J6" s="25" t="s">
        <v>212</v>
      </c>
      <c r="K6" s="25" t="s">
        <v>213</v>
      </c>
      <c r="L6" s="25" t="s">
        <v>255</v>
      </c>
      <c r="M6" s="25" t="s">
        <v>256</v>
      </c>
      <c r="N6" s="25" t="s">
        <v>257</v>
      </c>
    </row>
    <row r="7" customFormat="false" ht="15" hidden="false" customHeight="false" outlineLevel="0" collapsed="false">
      <c r="A7" s="31" t="s">
        <v>258</v>
      </c>
      <c r="B7" s="28" t="n">
        <f aca="false">COUNTIFS(dp_geo,"City Centre")</f>
        <v>56</v>
      </c>
      <c r="C7" s="39" t="n">
        <f aca="false">SUMIFS(dp_area,dp_geo,"City Centre")</f>
        <v>80.92</v>
      </c>
      <c r="D7" s="28" t="n">
        <f aca="false">SUMIFS(dp_cap,dp_geo,"City Centre")</f>
        <v>3633</v>
      </c>
      <c r="E7" s="28" t="n">
        <f aca="false">SUMIFS(dp_comp,dp_geo,"City Centre")</f>
        <v>99</v>
      </c>
      <c r="F7" s="28" t="n">
        <f aca="false">SUMIFS(dp_uc,dp_geo,"City Centre")</f>
        <v>111</v>
      </c>
      <c r="G7" s="28" t="n">
        <f aca="false">SUMIFS(dp_pns,dp_geo,"City Centre")</f>
        <v>715</v>
      </c>
      <c r="H7" s="28" t="n">
        <f aca="false">SUMIFS(dp_stl,dp_geo,"City Centre")</f>
        <v>0</v>
      </c>
      <c r="I7" s="28" t="n">
        <f aca="false">SUMIFS(dp_cons,dp_geo,"City Centre")</f>
        <v>925</v>
      </c>
      <c r="J7" s="28" t="n">
        <f aca="false">SUMIFS(dp_unc,dp_geo,"City Centre")</f>
        <v>3301</v>
      </c>
      <c r="K7" s="28" t="n">
        <f aca="false">SUMIFS(dp_tot,dp_geo,"City Centre")</f>
        <v>4226</v>
      </c>
      <c r="L7" s="28" t="n">
        <f aca="false">SUMIFS(dp_fut,dp_geo,"City Centre")</f>
        <v>4127</v>
      </c>
      <c r="M7" s="21" t="n">
        <f aca="false">L7/$L$13</f>
        <v>0.183267463031218</v>
      </c>
      <c r="N7" s="28" t="n">
        <f aca="false">SUMIFS(dp_exp,dp_geo,"City Centre")+SUMIFS(dp_inpl,dp_geo,"City Centre")</f>
        <v>85</v>
      </c>
    </row>
    <row r="8" customFormat="false" ht="15" hidden="false" customHeight="false" outlineLevel="0" collapsed="false">
      <c r="A8" s="31" t="s">
        <v>259</v>
      </c>
      <c r="B8" s="28" t="n">
        <f aca="false">COUNTIFS(dp_geo,"Rest of City")</f>
        <v>186</v>
      </c>
      <c r="C8" s="39" t="n">
        <f aca="false">SUMIFS(dp_area,dp_geo,"Rest of City")</f>
        <v>339.055</v>
      </c>
      <c r="D8" s="28" t="n">
        <f aca="false">SUMIFS(dp_cap,dp_geo,"Rest of City")</f>
        <v>10506</v>
      </c>
      <c r="E8" s="28" t="n">
        <f aca="false">SUMIFS(dp_comp,dp_geo,"Rest of City")</f>
        <v>1237</v>
      </c>
      <c r="F8" s="28" t="n">
        <f aca="false">SUMIFS(dp_uc,dp_geo,"Rest of City")</f>
        <v>2843</v>
      </c>
      <c r="G8" s="28" t="n">
        <f aca="false">SUMIFS(dp_pns,dp_geo,"Rest of City")</f>
        <v>3495</v>
      </c>
      <c r="H8" s="28" t="n">
        <f aca="false">SUMIFS(dp_stl,dp_geo,"Rest of City")</f>
        <v>31</v>
      </c>
      <c r="I8" s="28" t="n">
        <f aca="false">SUMIFS(dp_cons,dp_geo,"Rest of City")</f>
        <v>7606</v>
      </c>
      <c r="J8" s="28" t="n">
        <f aca="false">SUMIFS(dp_unc,dp_geo,"Rest of City")</f>
        <v>6889</v>
      </c>
      <c r="K8" s="28" t="n">
        <f aca="false">SUMIFS(dp_tot,dp_geo,"Rest of City")</f>
        <v>14495</v>
      </c>
      <c r="L8" s="28" t="n">
        <f aca="false">SUMIFS(dp_fut,dp_geo,"Rest of City")</f>
        <v>13258</v>
      </c>
      <c r="M8" s="21" t="n">
        <f aca="false">L8/$L$13</f>
        <v>0.588747280074604</v>
      </c>
      <c r="N8" s="28" t="n">
        <f aca="false">SUMIFS(dp_exp,dp_geo,"Rest of City")+SUMIFS(dp_inpl,dp_geo,"Rest of City")</f>
        <v>308</v>
      </c>
    </row>
    <row r="9" customFormat="false" ht="15" hidden="false" customHeight="false" outlineLevel="0" collapsed="false">
      <c r="A9" s="29" t="s">
        <v>260</v>
      </c>
      <c r="B9" s="30" t="n">
        <f aca="false">B7+B8</f>
        <v>242</v>
      </c>
      <c r="C9" s="41" t="n">
        <f aca="false">C7+C8</f>
        <v>419.975</v>
      </c>
      <c r="D9" s="30" t="n">
        <f aca="false">D7+D8</f>
        <v>14139</v>
      </c>
      <c r="E9" s="30" t="n">
        <f aca="false">E7+E8</f>
        <v>1336</v>
      </c>
      <c r="F9" s="30" t="n">
        <f aca="false">F7+F8</f>
        <v>2954</v>
      </c>
      <c r="G9" s="30" t="n">
        <f aca="false">G7+G8</f>
        <v>4210</v>
      </c>
      <c r="H9" s="30" t="n">
        <f aca="false">H7+H8</f>
        <v>31</v>
      </c>
      <c r="I9" s="30" t="n">
        <f aca="false">I7+I8</f>
        <v>8531</v>
      </c>
      <c r="J9" s="30" t="n">
        <f aca="false">J7+J8</f>
        <v>10190</v>
      </c>
      <c r="K9" s="30" t="n">
        <f aca="false">K7+K8</f>
        <v>18721</v>
      </c>
      <c r="L9" s="30" t="n">
        <f aca="false">L7+L8</f>
        <v>17385</v>
      </c>
      <c r="M9" s="32" t="n">
        <f aca="false">L9/$L$13</f>
        <v>0.772014743105822</v>
      </c>
      <c r="N9" s="30" t="n">
        <f aca="false">N7+N8</f>
        <v>393</v>
      </c>
    </row>
    <row r="10" customFormat="false" ht="15" hidden="false" customHeight="false" outlineLevel="0" collapsed="false">
      <c r="A10" s="31" t="s">
        <v>261</v>
      </c>
      <c r="B10" s="28" t="n">
        <f aca="false">COUNTIFS(dp_geo,"Settlements")</f>
        <v>157</v>
      </c>
      <c r="C10" s="39" t="n">
        <f aca="false">SUMIFS(dp_area,dp_geo,"Settlements")</f>
        <v>225.481</v>
      </c>
      <c r="D10" s="28" t="n">
        <f aca="false">SUMIFS(dp_cap,dp_geo,"Settlements")</f>
        <v>3063</v>
      </c>
      <c r="E10" s="28" t="n">
        <f aca="false">SUMIFS(dp_comp,dp_geo,"Settlements")</f>
        <v>251</v>
      </c>
      <c r="F10" s="28" t="n">
        <f aca="false">SUMIFS(dp_uc,dp_geo,"Settlements")</f>
        <v>651</v>
      </c>
      <c r="G10" s="28" t="n">
        <f aca="false">SUMIFS(dp_pns,dp_geo,"Settlements")</f>
        <v>711</v>
      </c>
      <c r="H10" s="28" t="n">
        <f aca="false">SUMIFS(dp_stl,dp_geo,"Settlements")</f>
        <v>125</v>
      </c>
      <c r="I10" s="28" t="n">
        <f aca="false">SUMIFS(dp_cons,dp_geo,"Settlements")</f>
        <v>1738</v>
      </c>
      <c r="J10" s="28" t="n">
        <f aca="false">SUMIFS(dp_unc,dp_geo,"Settlements")</f>
        <v>3063</v>
      </c>
      <c r="K10" s="28" t="n">
        <f aca="false">SUMIFS(dp_tot,dp_geo,"Settlements")</f>
        <v>4801</v>
      </c>
      <c r="L10" s="28" t="n">
        <f aca="false">SUMIFS(dp_fut,dp_geo,"Settlements")</f>
        <v>4550</v>
      </c>
      <c r="M10" s="21" t="n">
        <f aca="false">L10/$L$13</f>
        <v>0.202051600870376</v>
      </c>
      <c r="N10" s="28" t="n">
        <f aca="false">SUMIFS(dp_exp,dp_geo,"Settlements")+SUMIFS(dp_inpl,dp_geo,"Settlements")</f>
        <v>127</v>
      </c>
    </row>
    <row r="11" customFormat="false" ht="15" hidden="false" customHeight="false" outlineLevel="0" collapsed="false">
      <c r="A11" s="31" t="s">
        <v>262</v>
      </c>
      <c r="B11" s="28" t="n">
        <f aca="false">COUNTIFS(dp_geo,"Remainder of County")</f>
        <v>47</v>
      </c>
      <c r="C11" s="39" t="n">
        <f aca="false">SUMIFS(dp_area,dp_geo,"Remainder of County")</f>
        <v>38.707</v>
      </c>
      <c r="D11" s="28" t="n">
        <f aca="false">SUMIFS(dp_cap,dp_geo,"Remainder of County")</f>
        <v>397</v>
      </c>
      <c r="E11" s="28" t="n">
        <f aca="false">SUMIFS(dp_comp,dp_geo,"Remainder of County")</f>
        <v>44</v>
      </c>
      <c r="F11" s="28" t="n">
        <f aca="false">SUMIFS(dp_uc,dp_geo,"Remainder of County")</f>
        <v>106</v>
      </c>
      <c r="G11" s="28" t="n">
        <f aca="false">SUMIFS(dp_pns,dp_geo,"Remainder of County")</f>
        <v>81</v>
      </c>
      <c r="H11" s="28" t="n">
        <f aca="false">SUMIFS(dp_stl,dp_geo,"Remainder of County")</f>
        <v>0</v>
      </c>
      <c r="I11" s="28" t="n">
        <f aca="false">SUMIFS(dp_cons,dp_geo,"Remainder of County")</f>
        <v>231</v>
      </c>
      <c r="J11" s="28" t="n">
        <f aca="false">SUMIFS(dp_unc,dp_geo,"Remainder of County")</f>
        <v>397</v>
      </c>
      <c r="K11" s="28" t="n">
        <f aca="false">SUMIFS(dp_tot,dp_geo,"Remainder of County")</f>
        <v>628</v>
      </c>
      <c r="L11" s="28" t="n">
        <f aca="false">SUMIFS(dp_fut,dp_geo,"Remainder of County")</f>
        <v>584</v>
      </c>
      <c r="M11" s="21" t="n">
        <f aca="false">L11/$L$13</f>
        <v>0.0259336560238021</v>
      </c>
      <c r="N11" s="28" t="n">
        <f aca="false">SUMIFS(dp_exp,dp_geo,"Remainder of County")+SUMIFS(dp_inpl,dp_geo,"Remainder of County")</f>
        <v>54</v>
      </c>
    </row>
    <row r="12" customFormat="false" ht="15" hidden="false" customHeight="false" outlineLevel="0" collapsed="false">
      <c r="A12" s="29" t="s">
        <v>263</v>
      </c>
      <c r="B12" s="30" t="n">
        <f aca="false">B10+B11</f>
        <v>204</v>
      </c>
      <c r="C12" s="41" t="n">
        <f aca="false">C10+C11</f>
        <v>264.188</v>
      </c>
      <c r="D12" s="30" t="n">
        <f aca="false">D10+D11</f>
        <v>3460</v>
      </c>
      <c r="E12" s="30" t="n">
        <f aca="false">E10+E11</f>
        <v>295</v>
      </c>
      <c r="F12" s="30" t="n">
        <f aca="false">F10+F11</f>
        <v>757</v>
      </c>
      <c r="G12" s="30" t="n">
        <f aca="false">G10+G11</f>
        <v>792</v>
      </c>
      <c r="H12" s="30" t="n">
        <f aca="false">H10+H11</f>
        <v>125</v>
      </c>
      <c r="I12" s="30" t="n">
        <f aca="false">I10+I11</f>
        <v>1969</v>
      </c>
      <c r="J12" s="30" t="n">
        <f aca="false">J10+J11</f>
        <v>3460</v>
      </c>
      <c r="K12" s="30" t="n">
        <f aca="false">K10+K11</f>
        <v>5429</v>
      </c>
      <c r="L12" s="30" t="n">
        <f aca="false">L10+L11</f>
        <v>5134</v>
      </c>
      <c r="M12" s="32" t="n">
        <f aca="false">L12/$L$13</f>
        <v>0.227985256894178</v>
      </c>
      <c r="N12" s="30" t="n">
        <f aca="false">N10+N11</f>
        <v>181</v>
      </c>
    </row>
    <row r="13" customFormat="false" ht="15" hidden="false" customHeight="false" outlineLevel="0" collapsed="false">
      <c r="A13" s="29" t="s">
        <v>221</v>
      </c>
      <c r="B13" s="30" t="n">
        <f aca="false">B9+B12</f>
        <v>446</v>
      </c>
      <c r="C13" s="41" t="n">
        <f aca="false">C9+C12</f>
        <v>684.163</v>
      </c>
      <c r="D13" s="30" t="n">
        <f aca="false">D9+D12</f>
        <v>17599</v>
      </c>
      <c r="E13" s="30" t="n">
        <f aca="false">E9+E12</f>
        <v>1631</v>
      </c>
      <c r="F13" s="30" t="n">
        <f aca="false">F9+F12</f>
        <v>3711</v>
      </c>
      <c r="G13" s="30" t="n">
        <f aca="false">G9+G12</f>
        <v>5002</v>
      </c>
      <c r="H13" s="30" t="n">
        <f aca="false">H9+H12</f>
        <v>156</v>
      </c>
      <c r="I13" s="30" t="n">
        <f aca="false">I9+I12</f>
        <v>10500</v>
      </c>
      <c r="J13" s="30" t="n">
        <f aca="false">J9+J12</f>
        <v>13650</v>
      </c>
      <c r="K13" s="30" t="n">
        <f aca="false">K9+K12</f>
        <v>24150</v>
      </c>
      <c r="L13" s="30" t="n">
        <f aca="false">L9+L12</f>
        <v>22519</v>
      </c>
      <c r="M13" s="32" t="n">
        <f aca="false">L13/$L$13</f>
        <v>1</v>
      </c>
      <c r="N13" s="30" t="n">
        <f aca="false">N9+N12</f>
        <v>574</v>
      </c>
    </row>
    <row r="14" customFormat="false" ht="15" hidden="false" customHeight="false" outlineLevel="0" collapsed="false">
      <c r="A14" s="35" t="s">
        <v>264</v>
      </c>
      <c r="L14" s="28" t="n">
        <f aca="false">L13-reg_fut</f>
        <v>0</v>
      </c>
    </row>
    <row r="15" customFormat="false" ht="30" hidden="false" customHeight="true" outlineLevel="0" collapsed="false">
      <c r="A15" s="33" t="s">
        <v>265</v>
      </c>
      <c r="B15" s="33"/>
      <c r="C15" s="33"/>
      <c r="D15" s="33"/>
      <c r="E15" s="33"/>
      <c r="F15" s="33"/>
      <c r="G15" s="33"/>
      <c r="H15" s="33"/>
      <c r="I15" s="33"/>
      <c r="J15" s="33"/>
      <c r="K15" s="33"/>
      <c r="L15" s="33"/>
      <c r="M15" s="33"/>
      <c r="N15" s="33"/>
      <c r="O15" s="33"/>
    </row>
    <row r="17" customFormat="false" ht="15" hidden="false" customHeight="false" outlineLevel="0" collapsed="false">
      <c r="A17" s="9" t="s">
        <v>266</v>
      </c>
      <c r="B17" s="10"/>
      <c r="C17" s="10"/>
      <c r="D17" s="10"/>
      <c r="E17" s="10"/>
      <c r="F17" s="10"/>
      <c r="G17" s="10"/>
      <c r="H17" s="10"/>
      <c r="I17" s="10"/>
      <c r="J17" s="10"/>
      <c r="K17" s="10"/>
      <c r="L17" s="10"/>
      <c r="M17" s="10"/>
      <c r="N17" s="10"/>
      <c r="O17" s="10"/>
    </row>
    <row r="18" customFormat="false" ht="30" hidden="false" customHeight="true" outlineLevel="0" collapsed="false">
      <c r="A18" s="25" t="s">
        <v>267</v>
      </c>
      <c r="B18" s="25" t="s">
        <v>258</v>
      </c>
      <c r="C18" s="25" t="s">
        <v>259</v>
      </c>
      <c r="D18" s="25" t="s">
        <v>268</v>
      </c>
      <c r="E18" s="25" t="s">
        <v>269</v>
      </c>
      <c r="F18" s="25" t="s">
        <v>270</v>
      </c>
      <c r="G18" s="25" t="s">
        <v>271</v>
      </c>
    </row>
    <row r="19" customFormat="false" ht="15" hidden="false" customHeight="false" outlineLevel="0" collapsed="false">
      <c r="A19" s="13" t="s">
        <v>272</v>
      </c>
      <c r="B19" s="28" t="n">
        <f aca="false">SUMIFS(dp_uc,dp_geo,"City Centre")</f>
        <v>111</v>
      </c>
      <c r="C19" s="28" t="n">
        <f aca="false">SUMIFS(dp_uc,dp_geo,"Rest of City")</f>
        <v>2843</v>
      </c>
      <c r="D19" s="28" t="n">
        <f aca="false">SUMIFS(dp_uc,dp_geo,"Settlements")</f>
        <v>651</v>
      </c>
      <c r="E19" s="28" t="n">
        <f aca="false">SUMIFS(dp_uc,dp_geo,"Remainder of County")</f>
        <v>106</v>
      </c>
      <c r="F19" s="28" t="n">
        <f aca="false">SUM(B19:E19)</f>
        <v>3711</v>
      </c>
      <c r="G19" s="21" t="n">
        <f aca="false">F19/$F$25</f>
        <v>0.164794173808784</v>
      </c>
    </row>
    <row r="20" customFormat="false" ht="15" hidden="false" customHeight="false" outlineLevel="0" collapsed="false">
      <c r="A20" s="13" t="s">
        <v>273</v>
      </c>
      <c r="B20" s="28" t="n">
        <f aca="false">SUMIFS(dp_pns,dp_geo,"City Centre")</f>
        <v>715</v>
      </c>
      <c r="C20" s="28" t="n">
        <f aca="false">SUMIFS(dp_pns,dp_geo,"Rest of City")</f>
        <v>3495</v>
      </c>
      <c r="D20" s="28" t="n">
        <f aca="false">SUMIFS(dp_pns,dp_geo,"Settlements")</f>
        <v>711</v>
      </c>
      <c r="E20" s="28" t="n">
        <f aca="false">SUMIFS(dp_pns,dp_geo,"Remainder of County")</f>
        <v>81</v>
      </c>
      <c r="F20" s="28" t="n">
        <f aca="false">SUM(B20:E20)</f>
        <v>5002</v>
      </c>
      <c r="G20" s="21" t="n">
        <f aca="false">F20/$F$25</f>
        <v>0.222123540121675</v>
      </c>
    </row>
    <row r="21" customFormat="false" ht="15" hidden="false" customHeight="false" outlineLevel="0" collapsed="false">
      <c r="A21" s="13" t="s">
        <v>274</v>
      </c>
      <c r="B21" s="28" t="n">
        <f aca="false">SUMIFS(dp_stl,dp_geo,"City Centre")</f>
        <v>0</v>
      </c>
      <c r="C21" s="28" t="n">
        <f aca="false">SUMIFS(dp_stl,dp_geo,"Rest of City")</f>
        <v>31</v>
      </c>
      <c r="D21" s="28" t="n">
        <f aca="false">SUMIFS(dp_stl,dp_geo,"Settlements")</f>
        <v>125</v>
      </c>
      <c r="E21" s="28" t="n">
        <f aca="false">SUMIFS(dp_stl,dp_geo,"Remainder of County")</f>
        <v>0</v>
      </c>
      <c r="F21" s="28" t="n">
        <f aca="false">SUM(B21:E21)</f>
        <v>156</v>
      </c>
      <c r="G21" s="21" t="n">
        <f aca="false">F21/$F$25</f>
        <v>0.0069274834584129</v>
      </c>
    </row>
    <row r="22" customFormat="false" ht="15" hidden="false" customHeight="false" outlineLevel="0" collapsed="false">
      <c r="A22" s="13" t="s">
        <v>275</v>
      </c>
      <c r="B22" s="28" t="n">
        <f aca="false">SUMIFS(dp_unc,dp_geo,"City Centre",dp_grp,"Audit")</f>
        <v>3301</v>
      </c>
      <c r="C22" s="28" t="n">
        <f aca="false">SUMIFS(dp_unc,dp_geo,"Rest of City",dp_grp,"Audit")</f>
        <v>6842</v>
      </c>
      <c r="D22" s="28" t="n">
        <f aca="false">SUMIFS(dp_unc,dp_geo,"Settlements",dp_grp,"Audit")</f>
        <v>0</v>
      </c>
      <c r="E22" s="28" t="n">
        <f aca="false">SUMIFS(dp_unc,dp_geo,"Remainder of County",dp_grp,"Audit")</f>
        <v>0</v>
      </c>
      <c r="F22" s="28" t="n">
        <f aca="false">SUM(B22:E22)</f>
        <v>10143</v>
      </c>
      <c r="G22" s="21" t="n">
        <f aca="false">F22/$F$25</f>
        <v>0.450419645632577</v>
      </c>
    </row>
    <row r="23" customFormat="false" ht="15" hidden="false" customHeight="false" outlineLevel="0" collapsed="false">
      <c r="A23" s="13" t="s">
        <v>276</v>
      </c>
      <c r="B23" s="28" t="n">
        <f aca="false">SUMIFS(dp_unc,dp_geo,"City Centre",dp_grp,"Zoned")</f>
        <v>0</v>
      </c>
      <c r="C23" s="28" t="n">
        <f aca="false">SUMIFS(dp_unc,dp_geo,"Rest of City",dp_grp,"Zoned")</f>
        <v>47</v>
      </c>
      <c r="D23" s="28" t="n">
        <f aca="false">SUMIFS(dp_unc,dp_geo,"Settlements",dp_grp,"Zoned")</f>
        <v>3063</v>
      </c>
      <c r="E23" s="28" t="n">
        <f aca="false">SUMIFS(dp_unc,dp_geo,"Remainder of County",dp_grp,"Zoned")</f>
        <v>397</v>
      </c>
      <c r="F23" s="28" t="n">
        <f aca="false">SUM(B23:E23)</f>
        <v>3507</v>
      </c>
      <c r="G23" s="21" t="n">
        <f aca="false">F23/$F$25</f>
        <v>0.155735156978551</v>
      </c>
    </row>
    <row r="24" customFormat="false" ht="15" hidden="false" customHeight="false" outlineLevel="0" collapsed="false">
      <c r="A24" s="13" t="s">
        <v>277</v>
      </c>
      <c r="B24" s="28" t="n">
        <f aca="false">SUMIFS(dp_unc,dp_geo,"City Centre",dp_grp,"Consent")</f>
        <v>0</v>
      </c>
      <c r="C24" s="28" t="n">
        <f aca="false">SUMIFS(dp_unc,dp_geo,"Rest of City",dp_grp,"Consent")</f>
        <v>0</v>
      </c>
      <c r="D24" s="28" t="n">
        <f aca="false">SUMIFS(dp_unc,dp_geo,"Settlements",dp_grp,"Consent")</f>
        <v>0</v>
      </c>
      <c r="E24" s="28" t="n">
        <f aca="false">SUMIFS(dp_unc,dp_geo,"Remainder of County",dp_grp,"Consent")</f>
        <v>0</v>
      </c>
      <c r="F24" s="28" t="n">
        <f aca="false">SUM(B24:E24)</f>
        <v>0</v>
      </c>
      <c r="G24" s="21" t="n">
        <f aca="false">F24/$F$25</f>
        <v>0</v>
      </c>
    </row>
    <row r="25" customFormat="false" ht="15" hidden="false" customHeight="false" outlineLevel="0" collapsed="false">
      <c r="A25" s="29" t="s">
        <v>214</v>
      </c>
      <c r="B25" s="30" t="n">
        <f aca="false">SUM(B19:B24)</f>
        <v>4127</v>
      </c>
      <c r="C25" s="30" t="n">
        <f aca="false">SUM(C19:C24)</f>
        <v>13258</v>
      </c>
      <c r="D25" s="30" t="n">
        <f aca="false">SUM(D19:D24)</f>
        <v>4550</v>
      </c>
      <c r="E25" s="30" t="n">
        <f aca="false">SUM(E19:E24)</f>
        <v>584</v>
      </c>
      <c r="F25" s="30" t="n">
        <f aca="false">SUM(F19:F24)</f>
        <v>22519</v>
      </c>
      <c r="G25" s="36" t="n">
        <f aca="false">F25/$F$25</f>
        <v>1</v>
      </c>
    </row>
    <row r="26" customFormat="false" ht="15" hidden="false" customHeight="false" outlineLevel="0" collapsed="false">
      <c r="A26" s="35" t="s">
        <v>278</v>
      </c>
      <c r="F26" s="28" t="n">
        <f aca="false">F25-L13</f>
        <v>0</v>
      </c>
    </row>
    <row r="28" customFormat="false" ht="15" hidden="false" customHeight="false" outlineLevel="0" collapsed="false">
      <c r="A28" s="9" t="s">
        <v>279</v>
      </c>
      <c r="B28" s="10"/>
      <c r="C28" s="10"/>
      <c r="D28" s="10"/>
      <c r="E28" s="10"/>
      <c r="F28" s="10"/>
      <c r="G28" s="10"/>
      <c r="H28" s="10"/>
      <c r="I28" s="10"/>
      <c r="J28" s="10"/>
      <c r="K28" s="10"/>
      <c r="L28" s="10"/>
      <c r="M28" s="10"/>
      <c r="N28" s="10"/>
      <c r="O28" s="10"/>
    </row>
    <row r="29" customFormat="false" ht="51.75" hidden="false" customHeight="true" outlineLevel="0" collapsed="false">
      <c r="A29" s="25" t="s">
        <v>280</v>
      </c>
      <c r="B29" s="25" t="s">
        <v>195</v>
      </c>
      <c r="C29" s="25" t="s">
        <v>281</v>
      </c>
      <c r="D29" s="25" t="s">
        <v>282</v>
      </c>
      <c r="E29" s="25" t="s">
        <v>211</v>
      </c>
      <c r="F29" s="25" t="s">
        <v>212</v>
      </c>
      <c r="G29" s="25" t="s">
        <v>214</v>
      </c>
      <c r="H29" s="25" t="s">
        <v>283</v>
      </c>
    </row>
    <row r="30" customFormat="false" ht="15" hidden="false" customHeight="false" outlineLevel="0" collapsed="false">
      <c r="A30" s="13" t="s">
        <v>258</v>
      </c>
      <c r="B30" s="28" t="n">
        <f aca="false">COUNTIFS(dp_nbhd,A30)</f>
        <v>56</v>
      </c>
      <c r="C30" s="39" t="n">
        <f aca="false">SUMIFS(dp_area,dp_nbhd,A30,dp_grp,"Audit")</f>
        <v>77.639</v>
      </c>
      <c r="D30" s="28" t="n">
        <f aca="false">SUMIFS(dp_cap,dp_nbhd,A30,dp_grp,"Audit")</f>
        <v>3633</v>
      </c>
      <c r="E30" s="28" t="n">
        <f aca="false">SUMIFS(dp_cons,dp_nbhd,A30)</f>
        <v>925</v>
      </c>
      <c r="F30" s="28" t="n">
        <f aca="false">SUMIFS(dp_unc,dp_nbhd,A30)</f>
        <v>3301</v>
      </c>
      <c r="G30" s="28" t="n">
        <f aca="false">SUMIFS(dp_fut,dp_nbhd,A30)</f>
        <v>4127</v>
      </c>
      <c r="H30" s="42" t="n">
        <f aca="false">IF(C30&gt;0,D30/C30,0)</f>
        <v>46.7934929610119</v>
      </c>
    </row>
    <row r="31" customFormat="false" ht="15" hidden="false" customHeight="false" outlineLevel="0" collapsed="false">
      <c r="A31" s="13" t="s">
        <v>284</v>
      </c>
      <c r="B31" s="28" t="n">
        <f aca="false">COUNTIFS(dp_nbhd,A31)</f>
        <v>33</v>
      </c>
      <c r="C31" s="39" t="n">
        <f aca="false">SUMIFS(dp_area,dp_nbhd,A31,dp_grp,"Audit")</f>
        <v>47.86</v>
      </c>
      <c r="D31" s="28" t="n">
        <f aca="false">SUMIFS(dp_cap,dp_nbhd,A31,dp_grp,"Audit")</f>
        <v>1933</v>
      </c>
      <c r="E31" s="28" t="n">
        <f aca="false">SUMIFS(dp_cons,dp_nbhd,A31)</f>
        <v>1298</v>
      </c>
      <c r="F31" s="28" t="n">
        <f aca="false">SUMIFS(dp_unc,dp_nbhd,A31)</f>
        <v>938</v>
      </c>
      <c r="G31" s="28" t="n">
        <f aca="false">SUMIFS(dp_fut,dp_nbhd,A31)</f>
        <v>2084</v>
      </c>
      <c r="H31" s="42" t="n">
        <f aca="false">IF(C31&gt;0,D31/C31,0)</f>
        <v>40.3886335144171</v>
      </c>
    </row>
    <row r="32" customFormat="false" ht="15" hidden="false" customHeight="false" outlineLevel="0" collapsed="false">
      <c r="A32" s="13" t="s">
        <v>285</v>
      </c>
      <c r="B32" s="28" t="n">
        <f aca="false">COUNTIFS(dp_nbhd,A32)</f>
        <v>32</v>
      </c>
      <c r="C32" s="39" t="n">
        <f aca="false">SUMIFS(dp_area,dp_nbhd,A32,dp_grp,"Audit")</f>
        <v>56.808</v>
      </c>
      <c r="D32" s="28" t="n">
        <f aca="false">SUMIFS(dp_cap,dp_nbhd,A32,dp_grp,"Audit")</f>
        <v>2355</v>
      </c>
      <c r="E32" s="28" t="n">
        <f aca="false">SUMIFS(dp_cons,dp_nbhd,A32)</f>
        <v>2810</v>
      </c>
      <c r="F32" s="28" t="n">
        <f aca="false">SUMIFS(dp_unc,dp_nbhd,A32)</f>
        <v>1193</v>
      </c>
      <c r="G32" s="28" t="n">
        <f aca="false">SUMIFS(dp_fut,dp_nbhd,A32)</f>
        <v>3387</v>
      </c>
      <c r="H32" s="42" t="n">
        <f aca="false">IF(C32&gt;0,D32/C32,0)</f>
        <v>41.4554288128433</v>
      </c>
    </row>
    <row r="33" customFormat="false" ht="15" hidden="false" customHeight="false" outlineLevel="0" collapsed="false">
      <c r="A33" s="13" t="s">
        <v>286</v>
      </c>
      <c r="B33" s="28" t="n">
        <f aca="false">COUNTIFS(dp_nbhd,A33)</f>
        <v>36</v>
      </c>
      <c r="C33" s="39" t="n">
        <f aca="false">SUMIFS(dp_area,dp_nbhd,A33,dp_grp,"Audit")</f>
        <v>80.257</v>
      </c>
      <c r="D33" s="28" t="n">
        <f aca="false">SUMIFS(dp_cap,dp_nbhd,A33,dp_grp,"Audit")</f>
        <v>3699</v>
      </c>
      <c r="E33" s="28" t="n">
        <f aca="false">SUMIFS(dp_cons,dp_nbhd,A33)</f>
        <v>1920</v>
      </c>
      <c r="F33" s="28" t="n">
        <f aca="false">SUMIFS(dp_unc,dp_nbhd,A33)</f>
        <v>2806</v>
      </c>
      <c r="G33" s="28" t="n">
        <f aca="false">SUMIFS(dp_fut,dp_nbhd,A33)</f>
        <v>4616</v>
      </c>
      <c r="H33" s="42" t="n">
        <f aca="false">IF(C33&gt;0,D33/C33,0)</f>
        <v>46.0894376814483</v>
      </c>
    </row>
    <row r="34" customFormat="false" ht="15" hidden="false" customHeight="false" outlineLevel="0" collapsed="false">
      <c r="A34" s="13" t="s">
        <v>287</v>
      </c>
      <c r="B34" s="28" t="n">
        <f aca="false">COUNTIFS(dp_nbhd,A34)</f>
        <v>31</v>
      </c>
      <c r="C34" s="39" t="n">
        <f aca="false">SUMIFS(dp_area,dp_nbhd,A34,dp_grp,"Audit")</f>
        <v>18.641</v>
      </c>
      <c r="D34" s="28" t="n">
        <f aca="false">SUMIFS(dp_cap,dp_nbhd,A34,dp_grp,"Audit")</f>
        <v>956</v>
      </c>
      <c r="E34" s="28" t="n">
        <f aca="false">SUMIFS(dp_cons,dp_nbhd,A34)</f>
        <v>754</v>
      </c>
      <c r="F34" s="28" t="n">
        <f aca="false">SUMIFS(dp_unc,dp_nbhd,A34)</f>
        <v>683</v>
      </c>
      <c r="G34" s="28" t="n">
        <f aca="false">SUMIFS(dp_fut,dp_nbhd,A34)</f>
        <v>1148</v>
      </c>
      <c r="H34" s="42" t="n">
        <f aca="false">IF(C34&gt;0,D34/C34,0)</f>
        <v>51.2848023174722</v>
      </c>
    </row>
    <row r="35" customFormat="false" ht="15" hidden="false" customHeight="false" outlineLevel="0" collapsed="false">
      <c r="A35" s="13" t="s">
        <v>288</v>
      </c>
      <c r="B35" s="28" t="n">
        <f aca="false">COUNTIFS(dp_nbhd,A35)</f>
        <v>28</v>
      </c>
      <c r="C35" s="39" t="n">
        <f aca="false">SUMIFS(dp_area,dp_nbhd,A35,dp_grp,"Audit")</f>
        <v>13.036</v>
      </c>
      <c r="D35" s="28" t="n">
        <f aca="false">SUMIFS(dp_cap,dp_nbhd,A35,dp_grp,"Audit")</f>
        <v>615</v>
      </c>
      <c r="E35" s="28" t="n">
        <f aca="false">SUMIFS(dp_cons,dp_nbhd,A35)</f>
        <v>269</v>
      </c>
      <c r="F35" s="28" t="n">
        <f aca="false">SUMIFS(dp_unc,dp_nbhd,A35)</f>
        <v>492</v>
      </c>
      <c r="G35" s="28" t="n">
        <f aca="false">SUMIFS(dp_fut,dp_nbhd,A35)</f>
        <v>732</v>
      </c>
      <c r="H35" s="42" t="n">
        <f aca="false">IF(C35&gt;0,D35/C35,0)</f>
        <v>47.1770481742866</v>
      </c>
    </row>
    <row r="36" customFormat="false" ht="15" hidden="false" customHeight="false" outlineLevel="0" collapsed="false">
      <c r="A36" s="13" t="s">
        <v>289</v>
      </c>
      <c r="B36" s="28" t="n">
        <f aca="false">COUNTIFS(dp_nbhd,A36)</f>
        <v>12</v>
      </c>
      <c r="C36" s="39" t="n">
        <f aca="false">SUMIFS(dp_area,dp_nbhd,A36,dp_grp,"Audit")</f>
        <v>16.707</v>
      </c>
      <c r="D36" s="28" t="n">
        <f aca="false">SUMIFS(dp_cap,dp_nbhd,A36,dp_grp,"Audit")</f>
        <v>646</v>
      </c>
      <c r="E36" s="28" t="n">
        <f aca="false">SUMIFS(dp_cons,dp_nbhd,A36)</f>
        <v>90</v>
      </c>
      <c r="F36" s="28" t="n">
        <f aca="false">SUMIFS(dp_unc,dp_nbhd,A36)</f>
        <v>599</v>
      </c>
      <c r="G36" s="28" t="n">
        <f aca="false">SUMIFS(dp_fut,dp_nbhd,A36)</f>
        <v>665</v>
      </c>
      <c r="H36" s="42" t="n">
        <f aca="false">IF(C36&gt;0,D36/C36,0)</f>
        <v>38.6664272460645</v>
      </c>
    </row>
    <row r="37" customFormat="false" ht="15" hidden="false" customHeight="false" outlineLevel="0" collapsed="false">
      <c r="A37" s="13" t="s">
        <v>290</v>
      </c>
      <c r="B37" s="28" t="n">
        <f aca="false">COUNTIFS(dp_nbhd,A37)</f>
        <v>9</v>
      </c>
      <c r="C37" s="39" t="n">
        <f aca="false">SUMIFS(dp_area,dp_nbhd,A37,dp_grp,"Audit")</f>
        <v>4.53</v>
      </c>
      <c r="D37" s="28" t="n">
        <f aca="false">SUMIFS(dp_cap,dp_nbhd,A37,dp_grp,"Audit")</f>
        <v>203</v>
      </c>
      <c r="E37" s="28" t="n">
        <f aca="false">SUMIFS(dp_cons,dp_nbhd,A37)</f>
        <v>415</v>
      </c>
      <c r="F37" s="28" t="n">
        <f aca="false">SUMIFS(dp_unc,dp_nbhd,A37)</f>
        <v>153</v>
      </c>
      <c r="G37" s="28" t="n">
        <f aca="false">SUMIFS(dp_fut,dp_nbhd,A37)</f>
        <v>551</v>
      </c>
      <c r="H37" s="42" t="n">
        <f aca="false">IF(C37&gt;0,D37/C37,0)</f>
        <v>44.8123620309051</v>
      </c>
    </row>
    <row r="38" customFormat="false" ht="15" hidden="false" customHeight="false" outlineLevel="0" collapsed="false">
      <c r="A38" s="13" t="s">
        <v>291</v>
      </c>
      <c r="B38" s="28" t="n">
        <f aca="false">COUNTIFS(dp_nbhd,A38)</f>
        <v>5</v>
      </c>
      <c r="C38" s="39" t="n">
        <f aca="false">SUMIFS(dp_area,dp_nbhd,A38,dp_grp,"Audit")</f>
        <v>0.734</v>
      </c>
      <c r="D38" s="28" t="n">
        <f aca="false">SUMIFS(dp_cap,dp_nbhd,A38,dp_grp,"Audit")</f>
        <v>52</v>
      </c>
      <c r="E38" s="28" t="n">
        <f aca="false">SUMIFS(dp_cons,dp_nbhd,A38)</f>
        <v>50</v>
      </c>
      <c r="F38" s="28" t="n">
        <f aca="false">SUMIFS(dp_unc,dp_nbhd,A38)</f>
        <v>25</v>
      </c>
      <c r="G38" s="28" t="n">
        <f aca="false">SUMIFS(dp_fut,dp_nbhd,A38)</f>
        <v>75</v>
      </c>
      <c r="H38" s="42" t="n">
        <f aca="false">IF(C38&gt;0,D38/C38,0)</f>
        <v>70.8446866485014</v>
      </c>
    </row>
    <row r="39" customFormat="false" ht="15" hidden="false" customHeight="false" outlineLevel="0" collapsed="false">
      <c r="A39" s="13" t="s">
        <v>261</v>
      </c>
      <c r="B39" s="28" t="n">
        <f aca="false">COUNTIFS(dp_geo,"Settlements")</f>
        <v>157</v>
      </c>
      <c r="C39" s="39" t="n">
        <f aca="false">SUMIFS(dp_area,dp_geo,"Settlements",dp_grp,"Audit")</f>
        <v>0</v>
      </c>
      <c r="D39" s="28" t="n">
        <f aca="false">SUMIFS(dp_cap,dp_geo,"Settlements",dp_grp,"Audit")</f>
        <v>0</v>
      </c>
      <c r="E39" s="28" t="n">
        <f aca="false">SUMIFS(dp_cons,dp_geo,"Settlements")</f>
        <v>1738</v>
      </c>
      <c r="F39" s="28" t="n">
        <f aca="false">SUMIFS(dp_unc,dp_geo,"Settlements")</f>
        <v>3063</v>
      </c>
      <c r="G39" s="28" t="n">
        <f aca="false">SUMIFS(dp_fut,dp_geo,"Settlements")</f>
        <v>4550</v>
      </c>
      <c r="H39" s="35" t="s">
        <v>292</v>
      </c>
    </row>
    <row r="40" customFormat="false" ht="15" hidden="false" customHeight="false" outlineLevel="0" collapsed="false">
      <c r="A40" s="13" t="s">
        <v>262</v>
      </c>
      <c r="B40" s="28" t="n">
        <f aca="false">COUNTIFS(dp_geo,"Remainder of County")</f>
        <v>47</v>
      </c>
      <c r="C40" s="39" t="n">
        <f aca="false">SUMIFS(dp_area,dp_geo,"Remainder of County",dp_grp,"Audit")</f>
        <v>0</v>
      </c>
      <c r="D40" s="28" t="n">
        <f aca="false">SUMIFS(dp_cap,dp_geo,"Remainder of County",dp_grp,"Audit")</f>
        <v>0</v>
      </c>
      <c r="E40" s="28" t="n">
        <f aca="false">SUMIFS(dp_cons,dp_geo,"Remainder of County")</f>
        <v>231</v>
      </c>
      <c r="F40" s="28" t="n">
        <f aca="false">SUMIFS(dp_unc,dp_geo,"Remainder of County")</f>
        <v>397</v>
      </c>
      <c r="G40" s="28" t="n">
        <f aca="false">SUMIFS(dp_fut,dp_geo,"Remainder of County")</f>
        <v>584</v>
      </c>
      <c r="H40" s="35" t="s">
        <v>292</v>
      </c>
    </row>
    <row r="41" customFormat="false" ht="15" hidden="false" customHeight="false" outlineLevel="0" collapsed="false">
      <c r="A41" s="29" t="s">
        <v>270</v>
      </c>
      <c r="B41" s="30" t="n">
        <f aca="false">SUM(B30:B40)</f>
        <v>446</v>
      </c>
      <c r="C41" s="41" t="n">
        <f aca="false">SUM(C30:C40)</f>
        <v>316.212</v>
      </c>
      <c r="D41" s="30" t="n">
        <f aca="false">SUM(D30:D40)</f>
        <v>14092</v>
      </c>
      <c r="E41" s="30" t="n">
        <f aca="false">SUM(E30:E40)</f>
        <v>10500</v>
      </c>
      <c r="F41" s="30" t="n">
        <f aca="false">SUM(F30:F40)</f>
        <v>13650</v>
      </c>
      <c r="G41" s="30" t="n">
        <f aca="false">SUM(G30:G40)</f>
        <v>22519</v>
      </c>
      <c r="H41" s="43" t="n">
        <f aca="false">IF(C41&gt;0,D41/C41,0)</f>
        <v>44.5650386449597</v>
      </c>
    </row>
    <row r="43" customFormat="false" ht="15" hidden="false" customHeight="false" outlineLevel="0" collapsed="false">
      <c r="A43" s="9" t="s">
        <v>293</v>
      </c>
      <c r="B43" s="10"/>
      <c r="C43" s="10"/>
      <c r="D43" s="10"/>
      <c r="E43" s="10"/>
      <c r="F43" s="10"/>
      <c r="G43" s="10"/>
      <c r="H43" s="10"/>
      <c r="I43" s="10"/>
      <c r="J43" s="10"/>
      <c r="K43" s="10"/>
      <c r="L43" s="10"/>
      <c r="M43" s="10"/>
      <c r="N43" s="10"/>
      <c r="O43" s="10"/>
    </row>
    <row r="44" customFormat="false" ht="30" hidden="false" customHeight="true" outlineLevel="0" collapsed="false">
      <c r="A44" s="25" t="s">
        <v>294</v>
      </c>
      <c r="B44" s="25" t="s">
        <v>258</v>
      </c>
      <c r="C44" s="25" t="s">
        <v>259</v>
      </c>
      <c r="D44" s="25" t="s">
        <v>268</v>
      </c>
      <c r="E44" s="25" t="s">
        <v>269</v>
      </c>
    </row>
    <row r="45" customFormat="false" ht="15" hidden="false" customHeight="false" outlineLevel="0" collapsed="false">
      <c r="A45" s="13" t="s">
        <v>295</v>
      </c>
      <c r="B45" s="28" t="n">
        <f aca="false">SUMIFS(dp_unc,dp_geo,"City Centre",dp_grp,"Audit")</f>
        <v>3301</v>
      </c>
      <c r="C45" s="28" t="n">
        <f aca="false">SUMIFS(dp_unc,dp_geo,"Rest of City",dp_grp,"Audit")</f>
        <v>6842</v>
      </c>
      <c r="D45" s="28" t="n">
        <f aca="false">SUMIFS(dp_unc,dp_geo,"Settlements",dp_grp,"Audit")</f>
        <v>0</v>
      </c>
      <c r="E45" s="28" t="n">
        <f aca="false">SUMIFS(dp_unc,dp_geo,"Remainder of County",dp_grp,"Audit")</f>
        <v>0</v>
      </c>
    </row>
    <row r="46" customFormat="false" ht="15" hidden="false" customHeight="false" outlineLevel="0" collapsed="false">
      <c r="A46" s="13" t="s">
        <v>296</v>
      </c>
      <c r="B46" s="39" t="n">
        <f aca="false">SUMIFS(dp_uarea,dp_geo,"City Centre",dp_grp,"Audit")</f>
        <v>75.817688</v>
      </c>
      <c r="C46" s="39" t="n">
        <f aca="false">SUMIFS(dp_uarea,dp_geo,"Rest of City",dp_grp,"Audit")</f>
        <v>155.177393855931</v>
      </c>
      <c r="D46" s="39" t="n">
        <f aca="false">SUMIFS(dp_uarea,dp_geo,"Settlements",dp_grp,"Audit")</f>
        <v>0</v>
      </c>
      <c r="E46" s="39" t="n">
        <f aca="false">SUMIFS(dp_uarea,dp_geo,"Remainder of County",dp_grp,"Audit")</f>
        <v>0</v>
      </c>
    </row>
    <row r="47" customFormat="false" ht="15" hidden="false" customHeight="false" outlineLevel="0" collapsed="false">
      <c r="A47" s="13" t="s">
        <v>297</v>
      </c>
      <c r="B47" s="42" t="n">
        <f aca="false">IF(B46&gt;0,B45/B46,0)</f>
        <v>43.5386528800509</v>
      </c>
      <c r="C47" s="42" t="n">
        <f aca="false">IF(C46&gt;0,C45/C46,0)</f>
        <v>44.0914738286702</v>
      </c>
      <c r="D47" s="42" t="n">
        <f aca="false">IF(D46&gt;0,D45/D46,0)</f>
        <v>0</v>
      </c>
      <c r="E47" s="42" t="n">
        <f aca="false">IF(E46&gt;0,E45/E46,0)</f>
        <v>0</v>
      </c>
    </row>
    <row r="48" customFormat="false" ht="15" hidden="false" customHeight="false" outlineLevel="0" collapsed="false">
      <c r="A48" s="13" t="s">
        <v>298</v>
      </c>
      <c r="B48" s="28" t="n">
        <f aca="false">SUMIFS(dp_unc,dp_geo,"City Centre",dp_grp,"Zoned")</f>
        <v>0</v>
      </c>
      <c r="C48" s="28" t="n">
        <f aca="false">SUMIFS(dp_unc,dp_geo,"Rest of City",dp_grp,"Zoned")</f>
        <v>47</v>
      </c>
      <c r="D48" s="28" t="n">
        <f aca="false">SUMIFS(dp_unc,dp_geo,"Settlements",dp_grp,"Zoned")</f>
        <v>3063</v>
      </c>
      <c r="E48" s="28" t="n">
        <f aca="false">SUMIFS(dp_unc,dp_geo,"Remainder of County",dp_grp,"Zoned")</f>
        <v>397</v>
      </c>
    </row>
    <row r="49" customFormat="false" ht="15" hidden="false" customHeight="false" outlineLevel="0" collapsed="false">
      <c r="A49" s="13" t="s">
        <v>299</v>
      </c>
      <c r="B49" s="39" t="n">
        <f aca="false">SUMIFS(dp_uarea,dp_geo,"City Centre",dp_grp,"Zoned")</f>
        <v>0</v>
      </c>
      <c r="C49" s="39" t="n">
        <f aca="false">SUMIFS(dp_uarea,dp_geo,"Rest of City",dp_grp,"Zoned")</f>
        <v>1.384</v>
      </c>
      <c r="D49" s="39" t="n">
        <f aca="false">SUMIFS(dp_uarea,dp_geo,"Settlements",dp_grp,"Zoned")</f>
        <v>130.492</v>
      </c>
      <c r="E49" s="39" t="n">
        <f aca="false">SUMIFS(dp_uarea,dp_geo,"Remainder of County",dp_grp,"Zoned")</f>
        <v>17.581</v>
      </c>
    </row>
    <row r="50" customFormat="false" ht="15" hidden="false" customHeight="false" outlineLevel="0" collapsed="false">
      <c r="A50" s="13" t="s">
        <v>300</v>
      </c>
      <c r="B50" s="42" t="n">
        <f aca="false">IF(B49&gt;0,B48/B49,0)</f>
        <v>0</v>
      </c>
      <c r="C50" s="42" t="n">
        <f aca="false">IF(C49&gt;0,C48/C49,0)</f>
        <v>33.9595375722543</v>
      </c>
      <c r="D50" s="42" t="n">
        <f aca="false">IF(D49&gt;0,D48/D49,0)</f>
        <v>23.4727033074825</v>
      </c>
      <c r="E50" s="42" t="n">
        <f aca="false">IF(E49&gt;0,E48/E49,0)</f>
        <v>22.581195608896</v>
      </c>
    </row>
    <row r="51" customFormat="false" ht="30" hidden="false" customHeight="true" outlineLevel="0" collapsed="false">
      <c r="A51" s="33" t="s">
        <v>301</v>
      </c>
      <c r="B51" s="33"/>
      <c r="C51" s="33"/>
      <c r="D51" s="33"/>
      <c r="E51" s="33"/>
      <c r="F51" s="33"/>
      <c r="G51" s="33"/>
      <c r="H51" s="33"/>
      <c r="I51" s="33"/>
      <c r="J51" s="33"/>
      <c r="K51" s="33"/>
      <c r="L51" s="33"/>
      <c r="M51" s="33"/>
      <c r="N51" s="33"/>
      <c r="O51" s="33"/>
    </row>
    <row r="53" customFormat="false" ht="15" hidden="false" customHeight="false" outlineLevel="0" collapsed="false">
      <c r="A53" s="9" t="s">
        <v>302</v>
      </c>
      <c r="B53" s="10"/>
      <c r="C53" s="10"/>
      <c r="D53" s="10"/>
      <c r="E53" s="10"/>
      <c r="F53" s="10"/>
      <c r="G53" s="10"/>
      <c r="H53" s="10"/>
      <c r="I53" s="10"/>
      <c r="J53" s="10"/>
      <c r="K53" s="10"/>
      <c r="L53" s="10"/>
      <c r="M53" s="10"/>
      <c r="N53" s="10"/>
      <c r="O53" s="10"/>
    </row>
    <row r="54" customFormat="false" ht="30" hidden="false" customHeight="true" outlineLevel="0" collapsed="false">
      <c r="A54" s="25" t="s">
        <v>174</v>
      </c>
      <c r="B54" s="25" t="s">
        <v>209</v>
      </c>
      <c r="C54" s="25" t="s">
        <v>210</v>
      </c>
      <c r="D54" s="25" t="s">
        <v>60</v>
      </c>
      <c r="E54" s="25" t="s">
        <v>270</v>
      </c>
      <c r="F54" s="25" t="s">
        <v>271</v>
      </c>
    </row>
    <row r="55" customFormat="false" ht="15" hidden="false" customHeight="false" outlineLevel="0" collapsed="false">
      <c r="A55" s="13" t="s">
        <v>184</v>
      </c>
      <c r="B55" s="28" t="n">
        <f aca="false">SUMIFS(dm_units,dm_tenure,$A55,dm_status,"Under construction")</f>
        <v>642</v>
      </c>
      <c r="C55" s="28" t="n">
        <f aca="false">SUMIFS(dm_units,dm_tenure,$A55,dm_status,"Permitted – not started")</f>
        <v>217</v>
      </c>
      <c r="D55" s="28" t="n">
        <f aca="false">SUMIFS(dm_units,dm_tenure,$A55,dm_status,"Stalled")</f>
        <v>0</v>
      </c>
      <c r="E55" s="28" t="n">
        <f aca="false">SUM(B55:D55)</f>
        <v>859</v>
      </c>
      <c r="F55" s="21" t="n">
        <f aca="false">E55/$E$59</f>
        <v>0.0968542112977788</v>
      </c>
    </row>
    <row r="56" customFormat="false" ht="15" hidden="false" customHeight="false" outlineLevel="0" collapsed="false">
      <c r="A56" s="13" t="s">
        <v>303</v>
      </c>
      <c r="B56" s="28" t="n">
        <f aca="false">SUMIFS(dm_units,dm_tenure,$A56,dm_status,"Under construction")</f>
        <v>0</v>
      </c>
      <c r="C56" s="28" t="n">
        <f aca="false">SUMIFS(dm_units,dm_tenure,$A56,dm_status,"Permitted – not started")</f>
        <v>316</v>
      </c>
      <c r="D56" s="28" t="n">
        <f aca="false">SUMIFS(dm_units,dm_tenure,$A56,dm_status,"Stalled")</f>
        <v>0</v>
      </c>
      <c r="E56" s="28" t="n">
        <f aca="false">SUM(B56:D56)</f>
        <v>316</v>
      </c>
      <c r="F56" s="21" t="n">
        <f aca="false">E56/$E$59</f>
        <v>0.0356297215018604</v>
      </c>
    </row>
    <row r="57" customFormat="false" ht="15" hidden="false" customHeight="false" outlineLevel="0" collapsed="false">
      <c r="A57" s="13" t="s">
        <v>304</v>
      </c>
      <c r="B57" s="28" t="n">
        <f aca="false">SUMIFS(dm_units,dm_tenure,$A57,dm_status,"Under construction")</f>
        <v>3043</v>
      </c>
      <c r="C57" s="28" t="n">
        <f aca="false">SUMIFS(dm_units,dm_tenure,$A57,dm_status,"Permitted – not started")</f>
        <v>3783</v>
      </c>
      <c r="D57" s="28" t="n">
        <f aca="false">SUMIFS(dm_units,dm_tenure,$A57,dm_status,"Stalled")</f>
        <v>125</v>
      </c>
      <c r="E57" s="28" t="n">
        <f aca="false">SUM(B57:D57)</f>
        <v>6951</v>
      </c>
      <c r="F57" s="21" t="n">
        <f aca="false">E57/$E$59</f>
        <v>0.783741120757695</v>
      </c>
    </row>
    <row r="58" customFormat="false" ht="15" hidden="false" customHeight="false" outlineLevel="0" collapsed="false">
      <c r="A58" s="13" t="s">
        <v>305</v>
      </c>
      <c r="B58" s="28" t="n">
        <f aca="false">SUMIFS(dm_units,dm_tenure,$A58,dm_status,"Under construction")</f>
        <v>26</v>
      </c>
      <c r="C58" s="28" t="n">
        <f aca="false">SUMIFS(dm_units,dm_tenure,$A58,dm_status,"Permitted – not started")</f>
        <v>686</v>
      </c>
      <c r="D58" s="28" t="n">
        <f aca="false">SUMIFS(dm_units,dm_tenure,$A58,dm_status,"Stalled")</f>
        <v>31</v>
      </c>
      <c r="E58" s="28" t="n">
        <f aca="false">SUM(B58:D58)</f>
        <v>743</v>
      </c>
      <c r="F58" s="21" t="n">
        <f aca="false">E58/$E$59</f>
        <v>0.0837749464426655</v>
      </c>
    </row>
    <row r="59" customFormat="false" ht="15" hidden="false" customHeight="false" outlineLevel="0" collapsed="false">
      <c r="A59" s="29" t="s">
        <v>270</v>
      </c>
      <c r="B59" s="30" t="n">
        <f aca="false">SUM(B55:B58)</f>
        <v>3711</v>
      </c>
      <c r="C59" s="30" t="n">
        <f aca="false">SUM(C55:C58)</f>
        <v>5002</v>
      </c>
      <c r="D59" s="30" t="n">
        <f aca="false">SUM(D55:D58)</f>
        <v>156</v>
      </c>
      <c r="E59" s="30" t="n">
        <f aca="false">SUM(E55:E58)</f>
        <v>8869</v>
      </c>
      <c r="F59" s="36" t="n">
        <f aca="false">E59/$E$59</f>
        <v>1</v>
      </c>
    </row>
    <row r="61" customFormat="false" ht="24" hidden="false" customHeight="true" outlineLevel="0" collapsed="false">
      <c r="A61" s="25" t="s">
        <v>306</v>
      </c>
      <c r="B61" s="25" t="s">
        <v>225</v>
      </c>
      <c r="C61" s="25" t="s">
        <v>271</v>
      </c>
      <c r="E61" s="25" t="s">
        <v>307</v>
      </c>
      <c r="F61" s="25" t="s">
        <v>225</v>
      </c>
      <c r="G61" s="25" t="s">
        <v>271</v>
      </c>
    </row>
    <row r="62" customFormat="false" ht="15" hidden="false" customHeight="false" outlineLevel="0" collapsed="false">
      <c r="A62" s="13" t="s">
        <v>308</v>
      </c>
      <c r="B62" s="28" t="n">
        <f aca="false">SUMIFS(dm_units,dm_body,A62,dm_live,1)</f>
        <v>7694</v>
      </c>
      <c r="C62" s="21" t="n">
        <f aca="false">B62/$E$59</f>
        <v>0.867516067200361</v>
      </c>
      <c r="E62" s="13" t="s">
        <v>309</v>
      </c>
      <c r="F62" s="28" t="n">
        <f aca="false">SUMIFS(dm_units,dm_route,E62,dm_live,1)</f>
        <v>4285</v>
      </c>
      <c r="G62" s="21" t="n">
        <f aca="false">F62/$E$59</f>
        <v>0.483143533656557</v>
      </c>
    </row>
    <row r="63" customFormat="false" ht="15" hidden="false" customHeight="false" outlineLevel="0" collapsed="false">
      <c r="A63" s="13" t="s">
        <v>310</v>
      </c>
      <c r="B63" s="28" t="n">
        <f aca="false">SUMIFS(dm_units,dm_body,A63,dm_live,1)</f>
        <v>686</v>
      </c>
      <c r="C63" s="21" t="n">
        <f aca="false">B63/$E$59</f>
        <v>0.0773480662983425</v>
      </c>
      <c r="E63" s="13" t="s">
        <v>311</v>
      </c>
      <c r="F63" s="28" t="n">
        <f aca="false">SUMIFS(dm_units,dm_route,E63,dm_live,1)</f>
        <v>3003</v>
      </c>
      <c r="G63" s="21" t="n">
        <f aca="false">F63/$E$59</f>
        <v>0.338595106550908</v>
      </c>
    </row>
    <row r="64" customFormat="false" ht="15" hidden="false" customHeight="false" outlineLevel="0" collapsed="false">
      <c r="A64" s="13" t="s">
        <v>312</v>
      </c>
      <c r="B64" s="28" t="n">
        <f aca="false">SUMIFS(dm_units,dm_body,A64,dm_live,1)</f>
        <v>204</v>
      </c>
      <c r="C64" s="21" t="n">
        <f aca="false">B64/$E$59</f>
        <v>0.023001465779682</v>
      </c>
      <c r="E64" s="13" t="s">
        <v>313</v>
      </c>
      <c r="F64" s="28" t="n">
        <f aca="false">SUMIFS(dm_units,dm_route,E64,dm_live,1)</f>
        <v>661</v>
      </c>
      <c r="G64" s="21" t="n">
        <f aca="false">F64/$E$59</f>
        <v>0.0745292592174992</v>
      </c>
    </row>
    <row r="65" customFormat="false" ht="15" hidden="false" customHeight="false" outlineLevel="0" collapsed="false">
      <c r="A65" s="13" t="s">
        <v>314</v>
      </c>
      <c r="B65" s="28" t="n">
        <f aca="false">SUMIFS(dm_units,dm_body,A65,dm_live,1)</f>
        <v>285</v>
      </c>
      <c r="C65" s="21" t="n">
        <f aca="false">B65/$E$59</f>
        <v>0.0321344007216146</v>
      </c>
      <c r="E65" s="13" t="s">
        <v>315</v>
      </c>
      <c r="F65" s="28" t="n">
        <f aca="false">SUMIFS(dm_units,dm_route,E65,dm_live,1)</f>
        <v>920</v>
      </c>
      <c r="G65" s="21" t="n">
        <f aca="false">F65/$E$59</f>
        <v>0.103732100575037</v>
      </c>
    </row>
    <row r="67" customFormat="false" ht="15" hidden="false" customHeight="false" outlineLevel="0" collapsed="false">
      <c r="A67" s="9" t="s">
        <v>316</v>
      </c>
      <c r="B67" s="10"/>
      <c r="C67" s="10"/>
      <c r="D67" s="10"/>
      <c r="E67" s="10"/>
      <c r="F67" s="10"/>
      <c r="G67" s="10"/>
      <c r="H67" s="10"/>
      <c r="I67" s="10"/>
      <c r="J67" s="10"/>
      <c r="K67" s="10"/>
      <c r="L67" s="10"/>
      <c r="M67" s="10"/>
      <c r="N67" s="10"/>
      <c r="O67" s="10"/>
    </row>
    <row r="68" customFormat="false" ht="33.75" hidden="false" customHeight="true" outlineLevel="0" collapsed="false">
      <c r="A68" s="25" t="s">
        <v>317</v>
      </c>
      <c r="B68" s="25" t="s">
        <v>318</v>
      </c>
      <c r="C68" s="25" t="s">
        <v>253</v>
      </c>
      <c r="D68" s="25" t="s">
        <v>319</v>
      </c>
      <c r="E68" s="25" t="s">
        <v>320</v>
      </c>
      <c r="F68" s="25" t="s">
        <v>206</v>
      </c>
      <c r="G68" s="25" t="s">
        <v>321</v>
      </c>
      <c r="H68" s="25" t="s">
        <v>211</v>
      </c>
      <c r="I68" s="25" t="s">
        <v>322</v>
      </c>
      <c r="J68" s="25" t="s">
        <v>323</v>
      </c>
    </row>
    <row r="69" customFormat="false" ht="15" hidden="false" customHeight="false" outlineLevel="0" collapsed="false">
      <c r="A69" s="44" t="s">
        <v>324</v>
      </c>
      <c r="B69" s="13" t="str">
        <f aca="false">IFERROR(INDEX(dp_lname,MATCH($A69,dp_id,0))&amp;"","")</f>
        <v>City Centre</v>
      </c>
      <c r="C69" s="13" t="str">
        <f aca="false">IFERROR(INDEX(dp_geo,MATCH($A69,dp_id,0))&amp;"","")</f>
        <v>City Centre</v>
      </c>
      <c r="D69" s="13" t="str">
        <f aca="false">IFERROR(INDEX(dp_zoning,MATCH($A69,dp_id,0))&amp;"","")</f>
        <v>City C</v>
      </c>
      <c r="E69" s="13" t="str">
        <f aca="false">IFERROR(INDEX(dp_stype,MATCH($A69,dp_id,0))&amp;"","")</f>
        <v>Brownfield</v>
      </c>
      <c r="F69" s="39" t="n">
        <f aca="false">INDEX(dp_area,MATCH($A69,dp_id,0))</f>
        <v>68.48</v>
      </c>
      <c r="G69" s="28" t="n">
        <f aca="false">INDEX(dp_cap,MATCH($A69,dp_id,0))</f>
        <v>2500</v>
      </c>
      <c r="H69" s="28" t="n">
        <f aca="false">INDEX(dp_cons,MATCH($A69,dp_id,0))</f>
        <v>11</v>
      </c>
      <c r="I69" s="28" t="n">
        <f aca="false">INDEX(dp_unc,MATCH($A69,dp_id,0))</f>
        <v>2489</v>
      </c>
      <c r="J69" s="42" t="n">
        <f aca="false">IF(F69&gt;0,G69/F69,0)</f>
        <v>36.5070093457944</v>
      </c>
    </row>
    <row r="70" customFormat="false" ht="15" hidden="false" customHeight="false" outlineLevel="0" collapsed="false">
      <c r="A70" s="44" t="s">
        <v>325</v>
      </c>
      <c r="B70" s="13" t="str">
        <f aca="false">IFERROR(INDEX(dp_lname,MATCH($A70,dp_id,0))&amp;"","")</f>
        <v>Dooradoyle</v>
      </c>
      <c r="C70" s="13" t="str">
        <f aca="false">IFERROR(INDEX(dp_geo,MATCH($A70,dp_id,0))&amp;"","")</f>
        <v>Rest of City</v>
      </c>
      <c r="D70" s="13" t="str">
        <f aca="false">IFERROR(INDEX(dp_zoning,MATCH($A70,dp_id,0))&amp;"","")</f>
        <v>New Resi</v>
      </c>
      <c r="E70" s="13" t="str">
        <f aca="false">IFERROR(INDEX(dp_stype,MATCH($A70,dp_id,0))&amp;"","")</f>
        <v>Greenfield</v>
      </c>
      <c r="F70" s="39" t="n">
        <f aca="false">INDEX(dp_area,MATCH($A70,dp_id,0))</f>
        <v>31.95</v>
      </c>
      <c r="G70" s="28" t="n">
        <f aca="false">INDEX(dp_cap,MATCH($A70,dp_id,0))</f>
        <v>1747</v>
      </c>
      <c r="H70" s="28" t="n">
        <f aca="false">INDEX(dp_cons,MATCH($A70,dp_id,0))</f>
        <v>351</v>
      </c>
      <c r="I70" s="28" t="n">
        <f aca="false">INDEX(dp_unc,MATCH($A70,dp_id,0))</f>
        <v>1396</v>
      </c>
      <c r="J70" s="42" t="n">
        <f aca="false">IF(F70&gt;0,G70/F70,0)</f>
        <v>54.679186228482</v>
      </c>
    </row>
    <row r="71" customFormat="false" ht="15" hidden="false" customHeight="false" outlineLevel="0" collapsed="false">
      <c r="A71" s="44" t="s">
        <v>326</v>
      </c>
      <c r="B71" s="13" t="str">
        <f aca="false">IFERROR(INDEX(dp_lname,MATCH($A71,dp_id,0))&amp;"","")</f>
        <v>Castletroy</v>
      </c>
      <c r="C71" s="13" t="str">
        <f aca="false">IFERROR(INDEX(dp_geo,MATCH($A71,dp_id,0))&amp;"","")</f>
        <v>Rest of City</v>
      </c>
      <c r="D71" s="13" t="str">
        <f aca="false">IFERROR(INDEX(dp_zoning,MATCH($A71,dp_id,0))&amp;"","")</f>
        <v>New Resi</v>
      </c>
      <c r="E71" s="13" t="str">
        <f aca="false">IFERROR(INDEX(dp_stype,MATCH($A71,dp_id,0))&amp;"","")</f>
        <v>Infill</v>
      </c>
      <c r="F71" s="39" t="n">
        <f aca="false">INDEX(dp_area,MATCH($A71,dp_id,0))</f>
        <v>12.36</v>
      </c>
      <c r="G71" s="28" t="n">
        <f aca="false">INDEX(dp_cap,MATCH($A71,dp_id,0))</f>
        <v>508</v>
      </c>
      <c r="H71" s="28" t="n">
        <f aca="false">INDEX(dp_cons,MATCH($A71,dp_id,0))</f>
        <v>523</v>
      </c>
      <c r="I71" s="28" t="n">
        <f aca="false">INDEX(dp_unc,MATCH($A71,dp_id,0))</f>
        <v>0</v>
      </c>
      <c r="J71" s="42" t="n">
        <f aca="false">IF(F71&gt;0,G71/F71,0)</f>
        <v>41.1003236245955</v>
      </c>
    </row>
    <row r="72" customFormat="false" ht="15" hidden="false" customHeight="false" outlineLevel="0" collapsed="false">
      <c r="A72" s="44" t="s">
        <v>327</v>
      </c>
      <c r="B72" s="13" t="str">
        <f aca="false">IFERROR(INDEX(dp_lname,MATCH($A72,dp_id,0))&amp;"","")</f>
        <v>Northside</v>
      </c>
      <c r="C72" s="13" t="str">
        <f aca="false">IFERROR(INDEX(dp_geo,MATCH($A72,dp_id,0))&amp;"","")</f>
        <v>City Centre</v>
      </c>
      <c r="D72" s="13" t="str">
        <f aca="false">IFERROR(INDEX(dp_zoning,MATCH($A72,dp_id,0))&amp;"","")</f>
        <v>City C</v>
      </c>
      <c r="E72" s="13" t="str">
        <f aca="false">IFERROR(INDEX(dp_stype,MATCH($A72,dp_id,0))&amp;"","")</f>
        <v>Brownfield</v>
      </c>
      <c r="F72" s="39" t="n">
        <f aca="false">INDEX(dp_area,MATCH($A72,dp_id,0))</f>
        <v>3.919</v>
      </c>
      <c r="G72" s="28" t="n">
        <f aca="false">INDEX(dp_cap,MATCH($A72,dp_id,0))</f>
        <v>500</v>
      </c>
      <c r="H72" s="28" t="n">
        <f aca="false">INDEX(dp_cons,MATCH($A72,dp_id,0))</f>
        <v>0</v>
      </c>
      <c r="I72" s="28" t="n">
        <f aca="false">INDEX(dp_unc,MATCH($A72,dp_id,0))</f>
        <v>500</v>
      </c>
      <c r="J72" s="42" t="n">
        <f aca="false">IF(F72&gt;0,G72/F72,0)</f>
        <v>127.58356723654</v>
      </c>
    </row>
    <row r="73" customFormat="false" ht="15" hidden="false" customHeight="false" outlineLevel="0" collapsed="false">
      <c r="A73" s="44" t="s">
        <v>328</v>
      </c>
      <c r="B73" s="13" t="str">
        <f aca="false">IFERROR(INDEX(dp_lname,MATCH($A73,dp_id,0))&amp;"","")</f>
        <v>Castletroy</v>
      </c>
      <c r="C73" s="13" t="str">
        <f aca="false">IFERROR(INDEX(dp_geo,MATCH($A73,dp_id,0))&amp;"","")</f>
        <v>Rest of City</v>
      </c>
      <c r="D73" s="13" t="str">
        <f aca="false">IFERROR(INDEX(dp_zoning,MATCH($A73,dp_id,0))&amp;"","")</f>
        <v>New Resi</v>
      </c>
      <c r="E73" s="13" t="str">
        <f aca="false">IFERROR(INDEX(dp_stype,MATCH($A73,dp_id,0))&amp;"","")</f>
        <v>Infill</v>
      </c>
      <c r="F73" s="39" t="n">
        <f aca="false">INDEX(dp_area,MATCH($A73,dp_id,0))</f>
        <v>3.167</v>
      </c>
      <c r="G73" s="28" t="n">
        <f aca="false">INDEX(dp_cap,MATCH($A73,dp_id,0))</f>
        <v>141</v>
      </c>
      <c r="H73" s="28" t="n">
        <f aca="false">INDEX(dp_cons,MATCH($A73,dp_id,0))</f>
        <v>465</v>
      </c>
      <c r="I73" s="28" t="n">
        <f aca="false">INDEX(dp_unc,MATCH($A73,dp_id,0))</f>
        <v>0</v>
      </c>
      <c r="J73" s="42" t="n">
        <f aca="false">IF(F73&gt;0,G73/F73,0)</f>
        <v>44.5216293021787</v>
      </c>
    </row>
    <row r="74" customFormat="false" ht="15" hidden="false" customHeight="false" outlineLevel="0" collapsed="false">
      <c r="A74" s="44" t="s">
        <v>329</v>
      </c>
      <c r="B74" s="13" t="str">
        <f aca="false">IFERROR(INDEX(dp_lname,MATCH($A74,dp_id,0))&amp;"","")</f>
        <v>Dooradoyle</v>
      </c>
      <c r="C74" s="13" t="str">
        <f aca="false">IFERROR(INDEX(dp_geo,MATCH($A74,dp_id,0))&amp;"","")</f>
        <v>Rest of City</v>
      </c>
      <c r="D74" s="13" t="str">
        <f aca="false">IFERROR(INDEX(dp_zoning,MATCH($A74,dp_id,0))&amp;"","")</f>
        <v>New Resi</v>
      </c>
      <c r="E74" s="13" t="str">
        <f aca="false">IFERROR(INDEX(dp_stype,MATCH($A74,dp_id,0))&amp;"","")</f>
        <v>Greenfield</v>
      </c>
      <c r="F74" s="39" t="n">
        <f aca="false">INDEX(dp_area,MATCH($A74,dp_id,0))</f>
        <v>10.98</v>
      </c>
      <c r="G74" s="28" t="n">
        <f aca="false">INDEX(dp_cap,MATCH($A74,dp_id,0))</f>
        <v>462</v>
      </c>
      <c r="H74" s="28" t="n">
        <f aca="false">INDEX(dp_cons,MATCH($A74,dp_id,0))</f>
        <v>0</v>
      </c>
      <c r="I74" s="28" t="n">
        <f aca="false">INDEX(dp_unc,MATCH($A74,dp_id,0))</f>
        <v>462</v>
      </c>
      <c r="J74" s="42" t="n">
        <f aca="false">IF(F74&gt;0,G74/F74,0)</f>
        <v>42.0765027322404</v>
      </c>
    </row>
    <row r="75" customFormat="false" ht="15" hidden="false" customHeight="false" outlineLevel="0" collapsed="false">
      <c r="A75" s="44" t="s">
        <v>330</v>
      </c>
      <c r="B75" s="13" t="str">
        <f aca="false">IFERROR(INDEX(dp_lname,MATCH($A75,dp_id,0))&amp;"","")</f>
        <v>Northside</v>
      </c>
      <c r="C75" s="13" t="str">
        <f aca="false">IFERROR(INDEX(dp_geo,MATCH($A75,dp_id,0))&amp;"","")</f>
        <v>Rest of City</v>
      </c>
      <c r="D75" s="13" t="str">
        <f aca="false">IFERROR(INDEX(dp_zoning,MATCH($A75,dp_id,0))&amp;"","")</f>
        <v>New Resi</v>
      </c>
      <c r="E75" s="13" t="str">
        <f aca="false">IFERROR(INDEX(dp_stype,MATCH($A75,dp_id,0))&amp;"","")</f>
        <v>Greenfield</v>
      </c>
      <c r="F75" s="39" t="n">
        <f aca="false">INDEX(dp_area,MATCH($A75,dp_id,0))</f>
        <v>11.8</v>
      </c>
      <c r="G75" s="28" t="n">
        <f aca="false">INDEX(dp_cap,MATCH($A75,dp_id,0))</f>
        <v>413</v>
      </c>
      <c r="H75" s="28" t="n">
        <f aca="false">INDEX(dp_cons,MATCH($A75,dp_id,0))</f>
        <v>251</v>
      </c>
      <c r="I75" s="28" t="n">
        <f aca="false">INDEX(dp_unc,MATCH($A75,dp_id,0))</f>
        <v>162</v>
      </c>
      <c r="J75" s="42" t="n">
        <f aca="false">IF(F75&gt;0,G75/F75,0)</f>
        <v>35</v>
      </c>
    </row>
    <row r="76" customFormat="false" ht="15" hidden="false" customHeight="false" outlineLevel="0" collapsed="false">
      <c r="A76" s="44" t="s">
        <v>331</v>
      </c>
      <c r="B76" s="13" t="str">
        <f aca="false">IFERROR(INDEX(dp_lname,MATCH($A76,dp_id,0))&amp;"","")</f>
        <v>Garryowen</v>
      </c>
      <c r="C76" s="13" t="str">
        <f aca="false">IFERROR(INDEX(dp_geo,MATCH($A76,dp_id,0))&amp;"","")</f>
        <v>Rest of City</v>
      </c>
      <c r="D76" s="13" t="str">
        <f aca="false">IFERROR(INDEX(dp_zoning,MATCH($A76,dp_id,0))&amp;"","")</f>
        <v>Mixed Use</v>
      </c>
      <c r="E76" s="13" t="str">
        <f aca="false">IFERROR(INDEX(dp_stype,MATCH($A76,dp_id,0))&amp;"","")</f>
        <v>Brownfield</v>
      </c>
      <c r="F76" s="39" t="n">
        <f aca="false">INDEX(dp_area,MATCH($A76,dp_id,0))</f>
        <v>3.169</v>
      </c>
      <c r="G76" s="28" t="n">
        <f aca="false">INDEX(dp_cap,MATCH($A76,dp_id,0))</f>
        <v>245</v>
      </c>
      <c r="H76" s="28" t="n">
        <f aca="false">INDEX(dp_cons,MATCH($A76,dp_id,0))</f>
        <v>403</v>
      </c>
      <c r="I76" s="28" t="n">
        <f aca="false">INDEX(dp_unc,MATCH($A76,dp_id,0))</f>
        <v>0</v>
      </c>
      <c r="J76" s="42" t="n">
        <f aca="false">IF(F76&gt;0,G76/F76,0)</f>
        <v>77.3114547175765</v>
      </c>
    </row>
    <row r="77" customFormat="false" ht="15" hidden="false" customHeight="false" outlineLevel="0" collapsed="false">
      <c r="A77" s="44" t="s">
        <v>332</v>
      </c>
      <c r="B77" s="13" t="str">
        <f aca="false">IFERROR(INDEX(dp_lname,MATCH($A77,dp_id,0))&amp;"","")</f>
        <v>Dooradoyle</v>
      </c>
      <c r="C77" s="13" t="str">
        <f aca="false">IFERROR(INDEX(dp_geo,MATCH($A77,dp_id,0))&amp;"","")</f>
        <v>Rest of City</v>
      </c>
      <c r="D77" s="13" t="str">
        <f aca="false">IFERROR(INDEX(dp_zoning,MATCH($A77,dp_id,0))&amp;"","")</f>
        <v>New Resi</v>
      </c>
      <c r="E77" s="13" t="str">
        <f aca="false">IFERROR(INDEX(dp_stype,MATCH($A77,dp_id,0))&amp;"","")</f>
        <v>Greenfield</v>
      </c>
      <c r="F77" s="39" t="n">
        <f aca="false">INDEX(dp_area,MATCH($A77,dp_id,0))</f>
        <v>8.559</v>
      </c>
      <c r="G77" s="28" t="n">
        <f aca="false">INDEX(dp_cap,MATCH($A77,dp_id,0))</f>
        <v>384</v>
      </c>
      <c r="H77" s="28" t="n">
        <f aca="false">INDEX(dp_cons,MATCH($A77,dp_id,0))</f>
        <v>384</v>
      </c>
      <c r="I77" s="28" t="n">
        <f aca="false">INDEX(dp_unc,MATCH($A77,dp_id,0))</f>
        <v>0</v>
      </c>
      <c r="J77" s="42" t="n">
        <f aca="false">IF(F77&gt;0,G77/F77,0)</f>
        <v>44.8650543287767</v>
      </c>
    </row>
    <row r="78" customFormat="false" ht="15" hidden="false" customHeight="false" outlineLevel="0" collapsed="false">
      <c r="A78" s="44" t="s">
        <v>333</v>
      </c>
      <c r="B78" s="13" t="str">
        <f aca="false">IFERROR(INDEX(dp_lname,MATCH($A78,dp_id,0))&amp;"","")</f>
        <v>Castletroy</v>
      </c>
      <c r="C78" s="13" t="str">
        <f aca="false">IFERROR(INDEX(dp_geo,MATCH($A78,dp_id,0))&amp;"","")</f>
        <v>Rest of City</v>
      </c>
      <c r="D78" s="13" t="str">
        <f aca="false">IFERROR(INDEX(dp_zoning,MATCH($A78,dp_id,0))&amp;"","")</f>
        <v>New Resi</v>
      </c>
      <c r="E78" s="13" t="str">
        <f aca="false">IFERROR(INDEX(dp_stype,MATCH($A78,dp_id,0))&amp;"","")</f>
        <v>Greenfield</v>
      </c>
      <c r="F78" s="39" t="n">
        <f aca="false">INDEX(dp_area,MATCH($A78,dp_id,0))</f>
        <v>8.56</v>
      </c>
      <c r="G78" s="28" t="n">
        <f aca="false">INDEX(dp_cap,MATCH($A78,dp_id,0))</f>
        <v>375</v>
      </c>
      <c r="H78" s="28" t="n">
        <f aca="false">INDEX(dp_cons,MATCH($A78,dp_id,0))</f>
        <v>0</v>
      </c>
      <c r="I78" s="28" t="n">
        <f aca="false">INDEX(dp_unc,MATCH($A78,dp_id,0))</f>
        <v>375</v>
      </c>
      <c r="J78" s="42" t="n">
        <f aca="false">IF(F78&gt;0,G78/F78,0)</f>
        <v>43.8084112149533</v>
      </c>
    </row>
    <row r="79" customFormat="false" ht="15" hidden="false" customHeight="false" outlineLevel="0" collapsed="false">
      <c r="A79" s="44" t="s">
        <v>334</v>
      </c>
      <c r="B79" s="13" t="str">
        <f aca="false">IFERROR(INDEX(dp_lname,MATCH($A79,dp_id,0))&amp;"","")</f>
        <v>Dock Rd</v>
      </c>
      <c r="C79" s="13" t="str">
        <f aca="false">IFERROR(INDEX(dp_geo,MATCH($A79,dp_id,0))&amp;"","")</f>
        <v>Rest of City</v>
      </c>
      <c r="D79" s="13" t="str">
        <f aca="false">IFERROR(INDEX(dp_zoning,MATCH($A79,dp_id,0))&amp;"","")</f>
        <v>New Resi</v>
      </c>
      <c r="E79" s="13" t="str">
        <f aca="false">IFERROR(INDEX(dp_stype,MATCH($A79,dp_id,0))&amp;"","")</f>
        <v>Infill</v>
      </c>
      <c r="F79" s="39" t="n">
        <f aca="false">INDEX(dp_area,MATCH($A79,dp_id,0))</f>
        <v>1.22</v>
      </c>
      <c r="G79" s="28" t="n">
        <f aca="false">INDEX(dp_cap,MATCH($A79,dp_id,0))</f>
        <v>55</v>
      </c>
      <c r="H79" s="28" t="n">
        <f aca="false">INDEX(dp_cons,MATCH($A79,dp_id,0))</f>
        <v>371</v>
      </c>
      <c r="I79" s="28" t="n">
        <f aca="false">INDEX(dp_unc,MATCH($A79,dp_id,0))</f>
        <v>0</v>
      </c>
      <c r="J79" s="42" t="n">
        <f aca="false">IF(F79&gt;0,G79/F79,0)</f>
        <v>45.0819672131148</v>
      </c>
    </row>
    <row r="80" customFormat="false" ht="15" hidden="false" customHeight="false" outlineLevel="0" collapsed="false">
      <c r="A80" s="44" t="s">
        <v>335</v>
      </c>
      <c r="B80" s="13" t="str">
        <f aca="false">IFERROR(INDEX(dp_lname,MATCH($A80,dp_id,0))&amp;"","")</f>
        <v>Castletroy</v>
      </c>
      <c r="C80" s="13" t="str">
        <f aca="false">IFERROR(INDEX(dp_geo,MATCH($A80,dp_id,0))&amp;"","")</f>
        <v>Rest of City</v>
      </c>
      <c r="D80" s="13" t="str">
        <f aca="false">IFERROR(INDEX(dp_zoning,MATCH($A80,dp_id,0))&amp;"","")</f>
        <v>New Resi</v>
      </c>
      <c r="E80" s="13" t="str">
        <f aca="false">IFERROR(INDEX(dp_stype,MATCH($A80,dp_id,0))&amp;"","")</f>
        <v>Greenfield</v>
      </c>
      <c r="F80" s="39" t="n">
        <f aca="false">INDEX(dp_area,MATCH($A80,dp_id,0))</f>
        <v>8.746</v>
      </c>
      <c r="G80" s="28" t="n">
        <f aca="false">INDEX(dp_cap,MATCH($A80,dp_id,0))</f>
        <v>310</v>
      </c>
      <c r="H80" s="28" t="n">
        <f aca="false">INDEX(dp_cons,MATCH($A80,dp_id,0))</f>
        <v>0</v>
      </c>
      <c r="I80" s="28" t="n">
        <f aca="false">INDEX(dp_unc,MATCH($A80,dp_id,0))</f>
        <v>310</v>
      </c>
      <c r="J80" s="42" t="n">
        <f aca="false">IF(F80&gt;0,G80/F80,0)</f>
        <v>35.4447747541733</v>
      </c>
    </row>
  </sheetData>
  <mergeCells count="2">
    <mergeCell ref="A15:O15"/>
    <mergeCell ref="A51:O5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0656B"/>
    <pageSetUpPr fitToPage="true"/>
  </sheetPr>
  <dimension ref="A1:R6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6"/>
    <col collapsed="false" customWidth="true" hidden="false" outlineLevel="0" max="17" min="3" style="0" width="11.5"/>
  </cols>
  <sheetData>
    <row r="1" customFormat="false" ht="30" hidden="false" customHeight="true" outlineLevel="0" collapsed="false">
      <c r="A1" s="1" t="s">
        <v>336</v>
      </c>
      <c r="B1" s="2"/>
      <c r="C1" s="2"/>
      <c r="D1" s="2"/>
      <c r="E1" s="2"/>
      <c r="F1" s="2"/>
      <c r="G1" s="2"/>
      <c r="H1" s="2"/>
      <c r="I1" s="2"/>
      <c r="J1" s="2"/>
      <c r="K1" s="2"/>
      <c r="L1" s="2"/>
      <c r="M1" s="2"/>
      <c r="N1" s="2"/>
      <c r="O1" s="2"/>
      <c r="P1" s="2"/>
      <c r="Q1" s="2"/>
    </row>
    <row r="2" customFormat="false" ht="18" hidden="false" customHeight="true" outlineLevel="0" collapsed="false">
      <c r="A2" s="3" t="s">
        <v>337</v>
      </c>
      <c r="B2" s="2"/>
      <c r="C2" s="2"/>
      <c r="D2" s="2"/>
      <c r="E2" s="2"/>
      <c r="F2" s="2"/>
      <c r="G2" s="2"/>
      <c r="H2" s="2"/>
      <c r="I2" s="2"/>
      <c r="J2" s="2"/>
      <c r="K2" s="2"/>
      <c r="L2" s="2"/>
      <c r="M2" s="2"/>
      <c r="N2" s="2"/>
      <c r="O2" s="2"/>
      <c r="P2" s="2"/>
      <c r="Q2" s="2"/>
    </row>
    <row r="3" customFormat="false" ht="3.75" hidden="false" customHeight="true" outlineLevel="0" collapsed="false">
      <c r="A3" s="4"/>
      <c r="B3" s="4"/>
      <c r="C3" s="4"/>
      <c r="D3" s="4"/>
      <c r="E3" s="4"/>
      <c r="F3" s="4"/>
      <c r="G3" s="4"/>
      <c r="H3" s="4"/>
      <c r="I3" s="4"/>
      <c r="J3" s="4"/>
      <c r="K3" s="4"/>
      <c r="L3" s="4"/>
      <c r="M3" s="4"/>
      <c r="N3" s="4"/>
      <c r="O3" s="4"/>
      <c r="P3" s="4"/>
      <c r="Q3" s="4"/>
    </row>
    <row r="5" customFormat="false" ht="15" hidden="false" customHeight="false" outlineLevel="0" collapsed="false">
      <c r="A5" s="9" t="s">
        <v>338</v>
      </c>
      <c r="B5" s="10"/>
      <c r="C5" s="10"/>
      <c r="D5" s="10"/>
      <c r="E5" s="10"/>
      <c r="F5" s="10"/>
      <c r="G5" s="10"/>
      <c r="H5" s="10"/>
      <c r="I5" s="10"/>
      <c r="J5" s="10"/>
      <c r="K5" s="10"/>
      <c r="L5" s="10"/>
      <c r="M5" s="10"/>
      <c r="N5" s="10"/>
      <c r="O5" s="10"/>
      <c r="P5" s="10"/>
      <c r="Q5" s="10"/>
    </row>
    <row r="6" customFormat="false" ht="63.75" hidden="false" customHeight="true" outlineLevel="0" collapsed="false">
      <c r="A6" s="25" t="s">
        <v>339</v>
      </c>
      <c r="B6" s="25" t="s">
        <v>340</v>
      </c>
      <c r="C6" s="25" t="s">
        <v>195</v>
      </c>
      <c r="D6" s="25" t="s">
        <v>206</v>
      </c>
      <c r="E6" s="25" t="s">
        <v>208</v>
      </c>
      <c r="F6" s="25" t="s">
        <v>209</v>
      </c>
      <c r="G6" s="25" t="s">
        <v>210</v>
      </c>
      <c r="H6" s="25" t="s">
        <v>60</v>
      </c>
      <c r="I6" s="25" t="s">
        <v>229</v>
      </c>
      <c r="J6" s="25" t="s">
        <v>212</v>
      </c>
      <c r="K6" s="25" t="s">
        <v>341</v>
      </c>
      <c r="L6" s="25" t="s">
        <v>213</v>
      </c>
      <c r="M6" s="25" t="s">
        <v>255</v>
      </c>
      <c r="N6" s="25" t="s">
        <v>342</v>
      </c>
      <c r="O6" s="25" t="s">
        <v>343</v>
      </c>
      <c r="P6" s="25" t="s">
        <v>344</v>
      </c>
      <c r="Q6" s="25" t="s">
        <v>345</v>
      </c>
      <c r="R6" s="45" t="s">
        <v>346</v>
      </c>
    </row>
    <row r="7" customFormat="false" ht="15" hidden="false" customHeight="false" outlineLevel="0" collapsed="false">
      <c r="A7" s="13" t="s">
        <v>258</v>
      </c>
      <c r="B7" s="15" t="s">
        <v>347</v>
      </c>
      <c r="C7" s="28" t="n">
        <f aca="false">COUNTIFS(dp_catch,$A7)</f>
        <v>56</v>
      </c>
      <c r="D7" s="39" t="n">
        <f aca="false">SUMIFS(dp_area,dp_catch,$A7)</f>
        <v>80.92</v>
      </c>
      <c r="E7" s="28" t="n">
        <f aca="false">SUMIFS(dp_comp,dp_catch,$A7)</f>
        <v>99</v>
      </c>
      <c r="F7" s="28" t="n">
        <f aca="false">SUMIFS(dp_uc,dp_catch,$A7)</f>
        <v>111</v>
      </c>
      <c r="G7" s="28" t="n">
        <f aca="false">SUMIFS(dp_pns,dp_catch,$A7)</f>
        <v>715</v>
      </c>
      <c r="H7" s="28" t="n">
        <f aca="false">SUMIFS(dp_stl,dp_catch,$A7)</f>
        <v>0</v>
      </c>
      <c r="I7" s="28" t="n">
        <f aca="false">SUMIFS(dp_cons,dp_catch,$A7)</f>
        <v>925</v>
      </c>
      <c r="J7" s="28" t="n">
        <f aca="false">SUMIFS(dp_unc,dp_catch,$A7)</f>
        <v>3301</v>
      </c>
      <c r="K7" s="28" t="n">
        <f aca="false">SUMIFS(dp_unc,dp_catch,$A7,dp_grp,"Zoned")</f>
        <v>0</v>
      </c>
      <c r="L7" s="28" t="n">
        <f aca="false">SUMIFS(dp_tot,dp_catch,$A7)</f>
        <v>4226</v>
      </c>
      <c r="M7" s="28" t="n">
        <f aca="false">SUMIFS(dp_fut,dp_catch,$A7)</f>
        <v>4127</v>
      </c>
      <c r="N7" s="21" t="n">
        <f aca="false">IF(L7&gt;0,I7/L7,0)</f>
        <v>0.218883104590629</v>
      </c>
      <c r="O7" s="21" t="n">
        <f aca="false">IF(M7&gt;0,(F7+G7+H7)/M7,0)</f>
        <v>0.200145384056215</v>
      </c>
      <c r="P7" s="28" t="n">
        <f aca="false">SUMIFS(dp_exp,dp_catch,$A7)+SUMIFS(dp_inpl,dp_catch,$A7)</f>
        <v>85</v>
      </c>
      <c r="Q7" s="28" t="n">
        <f aca="false">SUMIFS(dp_geodnew,dp_catch,$A7)</f>
        <v>47</v>
      </c>
    </row>
    <row r="8" customFormat="false" ht="15" hidden="false" customHeight="false" outlineLevel="0" collapsed="false">
      <c r="A8" s="13" t="s">
        <v>284</v>
      </c>
      <c r="B8" s="15" t="s">
        <v>347</v>
      </c>
      <c r="C8" s="28" t="n">
        <f aca="false">COUNTIFS(dp_catch,$A8)</f>
        <v>33</v>
      </c>
      <c r="D8" s="39" t="n">
        <f aca="false">SUMIFS(dp_area,dp_catch,$A8)</f>
        <v>64.726</v>
      </c>
      <c r="E8" s="28" t="n">
        <f aca="false">SUMIFS(dp_comp,dp_catch,$A8)</f>
        <v>152</v>
      </c>
      <c r="F8" s="28" t="n">
        <f aca="false">SUMIFS(dp_uc,dp_catch,$A8)</f>
        <v>539</v>
      </c>
      <c r="G8" s="28" t="n">
        <f aca="false">SUMIFS(dp_pns,dp_catch,$A8)</f>
        <v>576</v>
      </c>
      <c r="H8" s="28" t="n">
        <f aca="false">SUMIFS(dp_stl,dp_catch,$A8)</f>
        <v>31</v>
      </c>
      <c r="I8" s="28" t="n">
        <f aca="false">SUMIFS(dp_cons,dp_catch,$A8)</f>
        <v>1298</v>
      </c>
      <c r="J8" s="28" t="n">
        <f aca="false">SUMIFS(dp_unc,dp_catch,$A8)</f>
        <v>938</v>
      </c>
      <c r="K8" s="28" t="n">
        <f aca="false">SUMIFS(dp_unc,dp_catch,$A8,dp_grp,"Zoned")</f>
        <v>0</v>
      </c>
      <c r="L8" s="28" t="n">
        <f aca="false">SUMIFS(dp_tot,dp_catch,$A8)</f>
        <v>2236</v>
      </c>
      <c r="M8" s="28" t="n">
        <f aca="false">SUMIFS(dp_fut,dp_catch,$A8)</f>
        <v>2084</v>
      </c>
      <c r="N8" s="21" t="n">
        <f aca="false">IF(L8&gt;0,I8/L8,0)</f>
        <v>0.580500894454383</v>
      </c>
      <c r="O8" s="21" t="n">
        <f aca="false">IF(M8&gt;0,(F8+G8+H8)/M8,0)</f>
        <v>0.549904030710173</v>
      </c>
      <c r="P8" s="28" t="n">
        <f aca="false">SUMIFS(dp_exp,dp_catch,$A8)+SUMIFS(dp_inpl,dp_catch,$A8)</f>
        <v>46</v>
      </c>
      <c r="Q8" s="28" t="n">
        <f aca="false">SUMIFS(dp_geodnew,dp_catch,$A8)</f>
        <v>294</v>
      </c>
    </row>
    <row r="9" customFormat="false" ht="15" hidden="false" customHeight="false" outlineLevel="0" collapsed="false">
      <c r="A9" s="13" t="s">
        <v>285</v>
      </c>
      <c r="B9" s="15" t="s">
        <v>347</v>
      </c>
      <c r="C9" s="28" t="n">
        <f aca="false">COUNTIFS(dp_catch,$A9)</f>
        <v>32</v>
      </c>
      <c r="D9" s="39" t="n">
        <f aca="false">SUMIFS(dp_area,dp_catch,$A9)</f>
        <v>99.594</v>
      </c>
      <c r="E9" s="28" t="n">
        <f aca="false">SUMIFS(dp_comp,dp_catch,$A9)</f>
        <v>616</v>
      </c>
      <c r="F9" s="28" t="n">
        <f aca="false">SUMIFS(dp_uc,dp_catch,$A9)</f>
        <v>604</v>
      </c>
      <c r="G9" s="28" t="n">
        <f aca="false">SUMIFS(dp_pns,dp_catch,$A9)</f>
        <v>1590</v>
      </c>
      <c r="H9" s="28" t="n">
        <f aca="false">SUMIFS(dp_stl,dp_catch,$A9)</f>
        <v>0</v>
      </c>
      <c r="I9" s="28" t="n">
        <f aca="false">SUMIFS(dp_cons,dp_catch,$A9)</f>
        <v>2810</v>
      </c>
      <c r="J9" s="28" t="n">
        <f aca="false">SUMIFS(dp_unc,dp_catch,$A9)</f>
        <v>1193</v>
      </c>
      <c r="K9" s="28" t="n">
        <f aca="false">SUMIFS(dp_unc,dp_catch,$A9,dp_grp,"Zoned")</f>
        <v>5</v>
      </c>
      <c r="L9" s="28" t="n">
        <f aca="false">SUMIFS(dp_tot,dp_catch,$A9)</f>
        <v>4003</v>
      </c>
      <c r="M9" s="28" t="n">
        <f aca="false">SUMIFS(dp_fut,dp_catch,$A9)</f>
        <v>3387</v>
      </c>
      <c r="N9" s="21" t="n">
        <f aca="false">IF(L9&gt;0,I9/L9,0)</f>
        <v>0.701973519860105</v>
      </c>
      <c r="O9" s="21" t="n">
        <f aca="false">IF(M9&gt;0,(F9+G9+H9)/M9,0)</f>
        <v>0.647770888692058</v>
      </c>
      <c r="P9" s="28" t="n">
        <f aca="false">SUMIFS(dp_exp,dp_catch,$A9)+SUMIFS(dp_inpl,dp_catch,$A9)</f>
        <v>149</v>
      </c>
      <c r="Q9" s="28" t="n">
        <f aca="false">SUMIFS(dp_geodnew,dp_catch,$A9)</f>
        <v>923</v>
      </c>
    </row>
    <row r="10" customFormat="false" ht="15" hidden="false" customHeight="false" outlineLevel="0" collapsed="false">
      <c r="A10" s="13" t="s">
        <v>286</v>
      </c>
      <c r="B10" s="15" t="s">
        <v>347</v>
      </c>
      <c r="C10" s="28" t="n">
        <f aca="false">COUNTIFS(dp_catch,$A10)</f>
        <v>36</v>
      </c>
      <c r="D10" s="39" t="n">
        <f aca="false">SUMIFS(dp_area,dp_catch,$A10)</f>
        <v>103.808</v>
      </c>
      <c r="E10" s="28" t="n">
        <f aca="false">SUMIFS(dp_comp,dp_catch,$A10)</f>
        <v>110</v>
      </c>
      <c r="F10" s="28" t="n">
        <f aca="false">SUMIFS(dp_uc,dp_catch,$A10)</f>
        <v>1121</v>
      </c>
      <c r="G10" s="28" t="n">
        <f aca="false">SUMIFS(dp_pns,dp_catch,$A10)</f>
        <v>689</v>
      </c>
      <c r="H10" s="28" t="n">
        <f aca="false">SUMIFS(dp_stl,dp_catch,$A10)</f>
        <v>0</v>
      </c>
      <c r="I10" s="28" t="n">
        <f aca="false">SUMIFS(dp_cons,dp_catch,$A10)</f>
        <v>1920</v>
      </c>
      <c r="J10" s="28" t="n">
        <f aca="false">SUMIFS(dp_unc,dp_catch,$A10)</f>
        <v>2806</v>
      </c>
      <c r="K10" s="28" t="n">
        <f aca="false">SUMIFS(dp_unc,dp_catch,$A10,dp_grp,"Zoned")</f>
        <v>14</v>
      </c>
      <c r="L10" s="28" t="n">
        <f aca="false">SUMIFS(dp_tot,dp_catch,$A10)</f>
        <v>4726</v>
      </c>
      <c r="M10" s="28" t="n">
        <f aca="false">SUMIFS(dp_fut,dp_catch,$A10)</f>
        <v>4616</v>
      </c>
      <c r="N10" s="21" t="n">
        <f aca="false">IF(L10&gt;0,I10/L10,0)</f>
        <v>0.406263224714346</v>
      </c>
      <c r="O10" s="21" t="n">
        <f aca="false">IF(M10&gt;0,(F10+G10+H10)/M10,0)</f>
        <v>0.3921143847487</v>
      </c>
      <c r="P10" s="28" t="n">
        <f aca="false">SUMIFS(dp_exp,dp_catch,$A10)+SUMIFS(dp_inpl,dp_catch,$A10)</f>
        <v>0</v>
      </c>
      <c r="Q10" s="28" t="n">
        <f aca="false">SUMIFS(dp_geodnew,dp_catch,$A10)</f>
        <v>436</v>
      </c>
    </row>
    <row r="11" customFormat="false" ht="15" hidden="false" customHeight="false" outlineLevel="0" collapsed="false">
      <c r="A11" s="13" t="s">
        <v>287</v>
      </c>
      <c r="B11" s="15" t="s">
        <v>347</v>
      </c>
      <c r="C11" s="28" t="n">
        <f aca="false">COUNTIFS(dp_catch,$A11)</f>
        <v>31</v>
      </c>
      <c r="D11" s="39" t="n">
        <f aca="false">SUMIFS(dp_area,dp_catch,$A11)</f>
        <v>29.859</v>
      </c>
      <c r="E11" s="28" t="n">
        <f aca="false">SUMIFS(dp_comp,dp_catch,$A11)</f>
        <v>289</v>
      </c>
      <c r="F11" s="28" t="n">
        <f aca="false">SUMIFS(dp_uc,dp_catch,$A11)</f>
        <v>47</v>
      </c>
      <c r="G11" s="28" t="n">
        <f aca="false">SUMIFS(dp_pns,dp_catch,$A11)</f>
        <v>418</v>
      </c>
      <c r="H11" s="28" t="n">
        <f aca="false">SUMIFS(dp_stl,dp_catch,$A11)</f>
        <v>0</v>
      </c>
      <c r="I11" s="28" t="n">
        <f aca="false">SUMIFS(dp_cons,dp_catch,$A11)</f>
        <v>754</v>
      </c>
      <c r="J11" s="28" t="n">
        <f aca="false">SUMIFS(dp_unc,dp_catch,$A11)</f>
        <v>683</v>
      </c>
      <c r="K11" s="28" t="n">
        <f aca="false">SUMIFS(dp_unc,dp_catch,$A11,dp_grp,"Zoned")</f>
        <v>0</v>
      </c>
      <c r="L11" s="28" t="n">
        <f aca="false">SUMIFS(dp_tot,dp_catch,$A11)</f>
        <v>1437</v>
      </c>
      <c r="M11" s="28" t="n">
        <f aca="false">SUMIFS(dp_fut,dp_catch,$A11)</f>
        <v>1148</v>
      </c>
      <c r="N11" s="21" t="n">
        <f aca="false">IF(L11&gt;0,I11/L11,0)</f>
        <v>0.524704244954767</v>
      </c>
      <c r="O11" s="21" t="n">
        <f aca="false">IF(M11&gt;0,(F11+G11+H11)/M11,0)</f>
        <v>0.405052264808362</v>
      </c>
      <c r="P11" s="28" t="n">
        <f aca="false">SUMIFS(dp_exp,dp_catch,$A11)+SUMIFS(dp_inpl,dp_catch,$A11)</f>
        <v>73</v>
      </c>
      <c r="Q11" s="28" t="n">
        <f aca="false">SUMIFS(dp_geodnew,dp_catch,$A11)</f>
        <v>256</v>
      </c>
    </row>
    <row r="12" customFormat="false" ht="15" hidden="false" customHeight="false" outlineLevel="0" collapsed="false">
      <c r="A12" s="13" t="s">
        <v>288</v>
      </c>
      <c r="B12" s="15" t="s">
        <v>347</v>
      </c>
      <c r="C12" s="28" t="n">
        <f aca="false">COUNTIFS(dp_catch,$A12)</f>
        <v>28</v>
      </c>
      <c r="D12" s="39" t="n">
        <f aca="false">SUMIFS(dp_area,dp_catch,$A12)</f>
        <v>15.581</v>
      </c>
      <c r="E12" s="28" t="n">
        <f aca="false">SUMIFS(dp_comp,dp_catch,$A12)</f>
        <v>29</v>
      </c>
      <c r="F12" s="28" t="n">
        <f aca="false">SUMIFS(dp_uc,dp_catch,$A12)</f>
        <v>108</v>
      </c>
      <c r="G12" s="28" t="n">
        <f aca="false">SUMIFS(dp_pns,dp_catch,$A12)</f>
        <v>132</v>
      </c>
      <c r="H12" s="28" t="n">
        <f aca="false">SUMIFS(dp_stl,dp_catch,$A12)</f>
        <v>0</v>
      </c>
      <c r="I12" s="28" t="n">
        <f aca="false">SUMIFS(dp_cons,dp_catch,$A12)</f>
        <v>269</v>
      </c>
      <c r="J12" s="28" t="n">
        <f aca="false">SUMIFS(dp_unc,dp_catch,$A12)</f>
        <v>492</v>
      </c>
      <c r="K12" s="28" t="n">
        <f aca="false">SUMIFS(dp_unc,dp_catch,$A12,dp_grp,"Zoned")</f>
        <v>23</v>
      </c>
      <c r="L12" s="28" t="n">
        <f aca="false">SUMIFS(dp_tot,dp_catch,$A12)</f>
        <v>761</v>
      </c>
      <c r="M12" s="28" t="n">
        <f aca="false">SUMIFS(dp_fut,dp_catch,$A12)</f>
        <v>732</v>
      </c>
      <c r="N12" s="21" t="n">
        <f aca="false">IF(L12&gt;0,I12/L12,0)</f>
        <v>0.353482260183968</v>
      </c>
      <c r="O12" s="21" t="n">
        <f aca="false">IF(M12&gt;0,(F12+G12+H12)/M12,0)</f>
        <v>0.327868852459016</v>
      </c>
      <c r="P12" s="28" t="n">
        <f aca="false">SUMIFS(dp_exp,dp_catch,$A12)+SUMIFS(dp_inpl,dp_catch,$A12)</f>
        <v>4</v>
      </c>
      <c r="Q12" s="28" t="n">
        <f aca="false">SUMIFS(dp_geodnew,dp_catch,$A12)</f>
        <v>72</v>
      </c>
    </row>
    <row r="13" customFormat="false" ht="15" hidden="false" customHeight="false" outlineLevel="0" collapsed="false">
      <c r="A13" s="13" t="s">
        <v>289</v>
      </c>
      <c r="B13" s="15" t="s">
        <v>347</v>
      </c>
      <c r="C13" s="28" t="n">
        <f aca="false">COUNTIFS(dp_catch,$A13)</f>
        <v>12</v>
      </c>
      <c r="D13" s="39" t="n">
        <f aca="false">SUMIFS(dp_area,dp_catch,$A13)</f>
        <v>19.019</v>
      </c>
      <c r="E13" s="28" t="n">
        <f aca="false">SUMIFS(dp_comp,dp_catch,$A13)</f>
        <v>24</v>
      </c>
      <c r="F13" s="28" t="n">
        <f aca="false">SUMIFS(dp_uc,dp_catch,$A13)</f>
        <v>26</v>
      </c>
      <c r="G13" s="28" t="n">
        <f aca="false">SUMIFS(dp_pns,dp_catch,$A13)</f>
        <v>40</v>
      </c>
      <c r="H13" s="28" t="n">
        <f aca="false">SUMIFS(dp_stl,dp_catch,$A13)</f>
        <v>0</v>
      </c>
      <c r="I13" s="28" t="n">
        <f aca="false">SUMIFS(dp_cons,dp_catch,$A13)</f>
        <v>90</v>
      </c>
      <c r="J13" s="28" t="n">
        <f aca="false">SUMIFS(dp_unc,dp_catch,$A13)</f>
        <v>599</v>
      </c>
      <c r="K13" s="28" t="n">
        <f aca="false">SUMIFS(dp_unc,dp_catch,$A13,dp_grp,"Zoned")</f>
        <v>0</v>
      </c>
      <c r="L13" s="28" t="n">
        <f aca="false">SUMIFS(dp_tot,dp_catch,$A13)</f>
        <v>689</v>
      </c>
      <c r="M13" s="28" t="n">
        <f aca="false">SUMIFS(dp_fut,dp_catch,$A13)</f>
        <v>665</v>
      </c>
      <c r="N13" s="21" t="n">
        <f aca="false">IF(L13&gt;0,I13/L13,0)</f>
        <v>0.130624092888244</v>
      </c>
      <c r="O13" s="21" t="n">
        <f aca="false">IF(M13&gt;0,(F13+G13+H13)/M13,0)</f>
        <v>0.0992481203007519</v>
      </c>
      <c r="P13" s="28" t="n">
        <f aca="false">SUMIFS(dp_exp,dp_catch,$A13)+SUMIFS(dp_inpl,dp_catch,$A13)</f>
        <v>6</v>
      </c>
      <c r="Q13" s="28" t="n">
        <f aca="false">SUMIFS(dp_geodnew,dp_catch,$A13)</f>
        <v>15</v>
      </c>
    </row>
    <row r="14" customFormat="false" ht="15" hidden="false" customHeight="false" outlineLevel="0" collapsed="false">
      <c r="A14" s="13" t="s">
        <v>290</v>
      </c>
      <c r="B14" s="15" t="s">
        <v>347</v>
      </c>
      <c r="C14" s="28" t="n">
        <f aca="false">COUNTIFS(dp_catch,$A14)</f>
        <v>9</v>
      </c>
      <c r="D14" s="39" t="n">
        <f aca="false">SUMIFS(dp_area,dp_catch,$A14)</f>
        <v>5.562</v>
      </c>
      <c r="E14" s="28" t="n">
        <f aca="false">SUMIFS(dp_comp,dp_catch,$A14)</f>
        <v>17</v>
      </c>
      <c r="F14" s="28" t="n">
        <f aca="false">SUMIFS(dp_uc,dp_catch,$A14)</f>
        <v>398</v>
      </c>
      <c r="G14" s="28" t="n">
        <f aca="false">SUMIFS(dp_pns,dp_catch,$A14)</f>
        <v>0</v>
      </c>
      <c r="H14" s="28" t="n">
        <f aca="false">SUMIFS(dp_stl,dp_catch,$A14)</f>
        <v>0</v>
      </c>
      <c r="I14" s="28" t="n">
        <f aca="false">SUMIFS(dp_cons,dp_catch,$A14)</f>
        <v>415</v>
      </c>
      <c r="J14" s="28" t="n">
        <f aca="false">SUMIFS(dp_unc,dp_catch,$A14)</f>
        <v>153</v>
      </c>
      <c r="K14" s="28" t="n">
        <f aca="false">SUMIFS(dp_unc,dp_catch,$A14,dp_grp,"Zoned")</f>
        <v>5</v>
      </c>
      <c r="L14" s="28" t="n">
        <f aca="false">SUMIFS(dp_tot,dp_catch,$A14)</f>
        <v>568</v>
      </c>
      <c r="M14" s="28" t="n">
        <f aca="false">SUMIFS(dp_fut,dp_catch,$A14)</f>
        <v>551</v>
      </c>
      <c r="N14" s="21" t="n">
        <f aca="false">IF(L14&gt;0,I14/L14,0)</f>
        <v>0.730633802816901</v>
      </c>
      <c r="O14" s="21" t="n">
        <f aca="false">IF(M14&gt;0,(F14+G14+H14)/M14,0)</f>
        <v>0.722323049001815</v>
      </c>
      <c r="P14" s="28" t="n">
        <f aca="false">SUMIFS(dp_exp,dp_catch,$A14)+SUMIFS(dp_inpl,dp_catch,$A14)</f>
        <v>0</v>
      </c>
      <c r="Q14" s="28" t="n">
        <f aca="false">SUMIFS(dp_geodnew,dp_catch,$A14)</f>
        <v>327</v>
      </c>
    </row>
    <row r="15" customFormat="false" ht="15" hidden="false" customHeight="false" outlineLevel="0" collapsed="false">
      <c r="A15" s="13" t="s">
        <v>291</v>
      </c>
      <c r="B15" s="15" t="s">
        <v>347</v>
      </c>
      <c r="C15" s="28" t="n">
        <f aca="false">COUNTIFS(dp_catch,$A15)</f>
        <v>5</v>
      </c>
      <c r="D15" s="39" t="n">
        <f aca="false">SUMIFS(dp_area,dp_catch,$A15)</f>
        <v>0.906</v>
      </c>
      <c r="E15" s="28" t="n">
        <f aca="false">SUMIFS(dp_comp,dp_catch,$A15)</f>
        <v>0</v>
      </c>
      <c r="F15" s="28" t="n">
        <f aca="false">SUMIFS(dp_uc,dp_catch,$A15)</f>
        <v>0</v>
      </c>
      <c r="G15" s="28" t="n">
        <f aca="false">SUMIFS(dp_pns,dp_catch,$A15)</f>
        <v>50</v>
      </c>
      <c r="H15" s="28" t="n">
        <f aca="false">SUMIFS(dp_stl,dp_catch,$A15)</f>
        <v>0</v>
      </c>
      <c r="I15" s="28" t="n">
        <f aca="false">SUMIFS(dp_cons,dp_catch,$A15)</f>
        <v>50</v>
      </c>
      <c r="J15" s="28" t="n">
        <f aca="false">SUMIFS(dp_unc,dp_catch,$A15)</f>
        <v>25</v>
      </c>
      <c r="K15" s="28" t="n">
        <f aca="false">SUMIFS(dp_unc,dp_catch,$A15,dp_grp,"Zoned")</f>
        <v>0</v>
      </c>
      <c r="L15" s="28" t="n">
        <f aca="false">SUMIFS(dp_tot,dp_catch,$A15)</f>
        <v>75</v>
      </c>
      <c r="M15" s="28" t="n">
        <f aca="false">SUMIFS(dp_fut,dp_catch,$A15)</f>
        <v>75</v>
      </c>
      <c r="N15" s="21" t="n">
        <f aca="false">IF(L15&gt;0,I15/L15,0)</f>
        <v>0.666666666666667</v>
      </c>
      <c r="O15" s="21" t="n">
        <f aca="false">IF(M15&gt;0,(F15+G15+H15)/M15,0)</f>
        <v>0.666666666666667</v>
      </c>
      <c r="P15" s="28" t="n">
        <f aca="false">SUMIFS(dp_exp,dp_catch,$A15)+SUMIFS(dp_inpl,dp_catch,$A15)</f>
        <v>30</v>
      </c>
      <c r="Q15" s="28" t="n">
        <f aca="false">SUMIFS(dp_geodnew,dp_catch,$A15)</f>
        <v>0</v>
      </c>
    </row>
    <row r="16" customFormat="false" ht="15" hidden="false" customHeight="false" outlineLevel="0" collapsed="false">
      <c r="A16" s="13" t="s">
        <v>348</v>
      </c>
      <c r="B16" s="15" t="s">
        <v>349</v>
      </c>
      <c r="C16" s="28" t="n">
        <f aca="false">COUNTIFS(dp_catch,$A16)</f>
        <v>27</v>
      </c>
      <c r="D16" s="39" t="n">
        <f aca="false">SUMIFS(dp_area,dp_catch,$A16)</f>
        <v>58.216</v>
      </c>
      <c r="E16" s="28" t="n">
        <f aca="false">SUMIFS(dp_comp,dp_catch,$A16)</f>
        <v>6</v>
      </c>
      <c r="F16" s="28" t="n">
        <f aca="false">SUMIFS(dp_uc,dp_catch,$A16)</f>
        <v>166</v>
      </c>
      <c r="G16" s="28" t="n">
        <f aca="false">SUMIFS(dp_pns,dp_catch,$A16)</f>
        <v>55</v>
      </c>
      <c r="H16" s="28" t="n">
        <f aca="false">SUMIFS(dp_stl,dp_catch,$A16)</f>
        <v>53</v>
      </c>
      <c r="I16" s="28" t="n">
        <f aca="false">SUMIFS(dp_cons,dp_catch,$A16)</f>
        <v>280</v>
      </c>
      <c r="J16" s="28" t="n">
        <f aca="false">SUMIFS(dp_unc,dp_catch,$A16)</f>
        <v>1179</v>
      </c>
      <c r="K16" s="28" t="n">
        <f aca="false">SUMIFS(dp_unc,dp_catch,$A16,dp_grp,"Zoned")</f>
        <v>1179</v>
      </c>
      <c r="L16" s="28" t="n">
        <f aca="false">SUMIFS(dp_tot,dp_catch,$A16)</f>
        <v>1459</v>
      </c>
      <c r="M16" s="28" t="n">
        <f aca="false">SUMIFS(dp_fut,dp_catch,$A16)</f>
        <v>1453</v>
      </c>
      <c r="N16" s="21" t="n">
        <f aca="false">IF(L16&gt;0,I16/L16,0)</f>
        <v>0.191912268677176</v>
      </c>
      <c r="O16" s="21" t="n">
        <f aca="false">IF(M16&gt;0,(F16+G16+H16)/M16,0)</f>
        <v>0.188575361321404</v>
      </c>
      <c r="P16" s="28" t="n">
        <f aca="false">SUMIFS(dp_exp,dp_catch,$A16)+SUMIFS(dp_inpl,dp_catch,$A16)</f>
        <v>30</v>
      </c>
      <c r="Q16" s="28" t="n">
        <f aca="false">SUMIFS(dp_geodnew,dp_catch,$A16)</f>
        <v>88</v>
      </c>
    </row>
    <row r="17" customFormat="false" ht="15" hidden="false" customHeight="false" outlineLevel="0" collapsed="false">
      <c r="A17" s="13" t="s">
        <v>350</v>
      </c>
      <c r="B17" s="15" t="s">
        <v>349</v>
      </c>
      <c r="C17" s="28" t="n">
        <f aca="false">COUNTIFS(dp_catch,$A17)</f>
        <v>10</v>
      </c>
      <c r="D17" s="39" t="n">
        <f aca="false">SUMIFS(dp_area,dp_catch,$A17)</f>
        <v>11.181</v>
      </c>
      <c r="E17" s="28" t="n">
        <f aca="false">SUMIFS(dp_comp,dp_catch,$A17)</f>
        <v>0</v>
      </c>
      <c r="F17" s="28" t="n">
        <f aca="false">SUMIFS(dp_uc,dp_catch,$A17)</f>
        <v>0</v>
      </c>
      <c r="G17" s="28" t="n">
        <f aca="false">SUMIFS(dp_pns,dp_catch,$A17)</f>
        <v>87</v>
      </c>
      <c r="H17" s="28" t="n">
        <f aca="false">SUMIFS(dp_stl,dp_catch,$A17)</f>
        <v>0</v>
      </c>
      <c r="I17" s="28" t="n">
        <f aca="false">SUMIFS(dp_cons,dp_catch,$A17)</f>
        <v>87</v>
      </c>
      <c r="J17" s="28" t="n">
        <f aca="false">SUMIFS(dp_unc,dp_catch,$A17)</f>
        <v>176</v>
      </c>
      <c r="K17" s="28" t="n">
        <f aca="false">SUMIFS(dp_unc,dp_catch,$A17,dp_grp,"Zoned")</f>
        <v>176</v>
      </c>
      <c r="L17" s="28" t="n">
        <f aca="false">SUMIFS(dp_tot,dp_catch,$A17)</f>
        <v>263</v>
      </c>
      <c r="M17" s="28" t="n">
        <f aca="false">SUMIFS(dp_fut,dp_catch,$A17)</f>
        <v>263</v>
      </c>
      <c r="N17" s="21" t="n">
        <f aca="false">IF(L17&gt;0,I17/L17,0)</f>
        <v>0.330798479087452</v>
      </c>
      <c r="O17" s="21" t="n">
        <f aca="false">IF(M17&gt;0,(F17+G17+H17)/M17,0)</f>
        <v>0.330798479087452</v>
      </c>
      <c r="P17" s="28" t="n">
        <f aca="false">SUMIFS(dp_exp,dp_catch,$A17)+SUMIFS(dp_inpl,dp_catch,$A17)</f>
        <v>48</v>
      </c>
      <c r="Q17" s="28" t="n">
        <f aca="false">SUMIFS(dp_geodnew,dp_catch,$A17)</f>
        <v>0</v>
      </c>
    </row>
    <row r="18" customFormat="false" ht="15" hidden="false" customHeight="false" outlineLevel="0" collapsed="false">
      <c r="A18" s="13" t="s">
        <v>351</v>
      </c>
      <c r="B18" s="15" t="s">
        <v>349</v>
      </c>
      <c r="C18" s="28" t="n">
        <f aca="false">COUNTIFS(dp_catch,$A18)</f>
        <v>11</v>
      </c>
      <c r="D18" s="39" t="n">
        <f aca="false">SUMIFS(dp_area,dp_catch,$A18)</f>
        <v>8.243</v>
      </c>
      <c r="E18" s="28" t="n">
        <f aca="false">SUMIFS(dp_comp,dp_catch,$A18)</f>
        <v>0</v>
      </c>
      <c r="F18" s="28" t="n">
        <f aca="false">SUMIFS(dp_uc,dp_catch,$A18)</f>
        <v>11</v>
      </c>
      <c r="G18" s="28" t="n">
        <f aca="false">SUMIFS(dp_pns,dp_catch,$A18)</f>
        <v>0</v>
      </c>
      <c r="H18" s="28" t="n">
        <f aca="false">SUMIFS(dp_stl,dp_catch,$A18)</f>
        <v>0</v>
      </c>
      <c r="I18" s="28" t="n">
        <f aca="false">SUMIFS(dp_cons,dp_catch,$A18)</f>
        <v>11</v>
      </c>
      <c r="J18" s="28" t="n">
        <f aca="false">SUMIFS(dp_unc,dp_catch,$A18)</f>
        <v>189</v>
      </c>
      <c r="K18" s="28" t="n">
        <f aca="false">SUMIFS(dp_unc,dp_catch,$A18,dp_grp,"Zoned")</f>
        <v>189</v>
      </c>
      <c r="L18" s="28" t="n">
        <f aca="false">SUMIFS(dp_tot,dp_catch,$A18)</f>
        <v>200</v>
      </c>
      <c r="M18" s="28" t="n">
        <f aca="false">SUMIFS(dp_fut,dp_catch,$A18)</f>
        <v>200</v>
      </c>
      <c r="N18" s="21" t="n">
        <f aca="false">IF(L18&gt;0,I18/L18,0)</f>
        <v>0.055</v>
      </c>
      <c r="O18" s="21" t="n">
        <f aca="false">IF(M18&gt;0,(F18+G18+H18)/M18,0)</f>
        <v>0.055</v>
      </c>
      <c r="P18" s="28" t="n">
        <f aca="false">SUMIFS(dp_exp,dp_catch,$A18)+SUMIFS(dp_inpl,dp_catch,$A18)</f>
        <v>0</v>
      </c>
      <c r="Q18" s="28" t="n">
        <f aca="false">SUMIFS(dp_geodnew,dp_catch,$A18)</f>
        <v>0</v>
      </c>
    </row>
    <row r="19" customFormat="false" ht="15" hidden="false" customHeight="false" outlineLevel="0" collapsed="false">
      <c r="A19" s="13" t="s">
        <v>352</v>
      </c>
      <c r="B19" s="15" t="s">
        <v>349</v>
      </c>
      <c r="C19" s="28" t="n">
        <f aca="false">COUNTIFS(dp_catch,$A19)</f>
        <v>12</v>
      </c>
      <c r="D19" s="39" t="n">
        <f aca="false">SUMIFS(dp_area,dp_catch,$A19)</f>
        <v>18.914</v>
      </c>
      <c r="E19" s="28" t="n">
        <f aca="false">SUMIFS(dp_comp,dp_catch,$A19)</f>
        <v>5</v>
      </c>
      <c r="F19" s="28" t="n">
        <f aca="false">SUMIFS(dp_uc,dp_catch,$A19)</f>
        <v>70</v>
      </c>
      <c r="G19" s="28" t="n">
        <f aca="false">SUMIFS(dp_pns,dp_catch,$A19)</f>
        <v>0</v>
      </c>
      <c r="H19" s="28" t="n">
        <f aca="false">SUMIFS(dp_stl,dp_catch,$A19)</f>
        <v>0</v>
      </c>
      <c r="I19" s="28" t="n">
        <f aca="false">SUMIFS(dp_cons,dp_catch,$A19)</f>
        <v>75</v>
      </c>
      <c r="J19" s="28" t="n">
        <f aca="false">SUMIFS(dp_unc,dp_catch,$A19)</f>
        <v>355</v>
      </c>
      <c r="K19" s="28" t="n">
        <f aca="false">SUMIFS(dp_unc,dp_catch,$A19,dp_grp,"Zoned")</f>
        <v>355</v>
      </c>
      <c r="L19" s="28" t="n">
        <f aca="false">SUMIFS(dp_tot,dp_catch,$A19)</f>
        <v>430</v>
      </c>
      <c r="M19" s="28" t="n">
        <f aca="false">SUMIFS(dp_fut,dp_catch,$A19)</f>
        <v>425</v>
      </c>
      <c r="N19" s="21" t="n">
        <f aca="false">IF(L19&gt;0,I19/L19,0)</f>
        <v>0.174418604651163</v>
      </c>
      <c r="O19" s="21" t="n">
        <f aca="false">IF(M19&gt;0,(F19+G19+H19)/M19,0)</f>
        <v>0.164705882352941</v>
      </c>
      <c r="P19" s="28" t="n">
        <f aca="false">SUMIFS(dp_exp,dp_catch,$A19)+SUMIFS(dp_inpl,dp_catch,$A19)</f>
        <v>0</v>
      </c>
      <c r="Q19" s="28" t="n">
        <f aca="false">SUMIFS(dp_geodnew,dp_catch,$A19)</f>
        <v>5</v>
      </c>
    </row>
    <row r="20" customFormat="false" ht="15" hidden="false" customHeight="false" outlineLevel="0" collapsed="false">
      <c r="A20" s="13" t="s">
        <v>353</v>
      </c>
      <c r="B20" s="15" t="s">
        <v>349</v>
      </c>
      <c r="C20" s="28" t="n">
        <f aca="false">COUNTIFS(dp_catch,$A20)</f>
        <v>13</v>
      </c>
      <c r="D20" s="39" t="n">
        <f aca="false">SUMIFS(dp_area,dp_catch,$A20)</f>
        <v>20.846</v>
      </c>
      <c r="E20" s="28" t="n">
        <f aca="false">SUMIFS(dp_comp,dp_catch,$A20)</f>
        <v>68</v>
      </c>
      <c r="F20" s="28" t="n">
        <f aca="false">SUMIFS(dp_uc,dp_catch,$A20)</f>
        <v>74</v>
      </c>
      <c r="G20" s="28" t="n">
        <f aca="false">SUMIFS(dp_pns,dp_catch,$A20)</f>
        <v>14</v>
      </c>
      <c r="H20" s="28" t="n">
        <f aca="false">SUMIFS(dp_stl,dp_catch,$A20)</f>
        <v>0</v>
      </c>
      <c r="I20" s="28" t="n">
        <f aca="false">SUMIFS(dp_cons,dp_catch,$A20)</f>
        <v>156</v>
      </c>
      <c r="J20" s="28" t="n">
        <f aca="false">SUMIFS(dp_unc,dp_catch,$A20)</f>
        <v>208</v>
      </c>
      <c r="K20" s="28" t="n">
        <f aca="false">SUMIFS(dp_unc,dp_catch,$A20,dp_grp,"Zoned")</f>
        <v>208</v>
      </c>
      <c r="L20" s="28" t="n">
        <f aca="false">SUMIFS(dp_tot,dp_catch,$A20)</f>
        <v>364</v>
      </c>
      <c r="M20" s="28" t="n">
        <f aca="false">SUMIFS(dp_fut,dp_catch,$A20)</f>
        <v>296</v>
      </c>
      <c r="N20" s="21" t="n">
        <f aca="false">IF(L20&gt;0,I20/L20,0)</f>
        <v>0.428571428571429</v>
      </c>
      <c r="O20" s="21" t="n">
        <f aca="false">IF(M20&gt;0,(F20+G20+H20)/M20,0)</f>
        <v>0.297297297297297</v>
      </c>
      <c r="P20" s="28" t="n">
        <f aca="false">SUMIFS(dp_exp,dp_catch,$A20)+SUMIFS(dp_inpl,dp_catch,$A20)</f>
        <v>0</v>
      </c>
      <c r="Q20" s="28" t="n">
        <f aca="false">SUMIFS(dp_geodnew,dp_catch,$A20)</f>
        <v>96</v>
      </c>
    </row>
    <row r="21" customFormat="false" ht="15" hidden="false" customHeight="false" outlineLevel="0" collapsed="false">
      <c r="A21" s="13" t="s">
        <v>354</v>
      </c>
      <c r="B21" s="15" t="s">
        <v>349</v>
      </c>
      <c r="C21" s="28" t="n">
        <f aca="false">COUNTIFS(dp_catch,$A21)</f>
        <v>7</v>
      </c>
      <c r="D21" s="39" t="n">
        <f aca="false">SUMIFS(dp_area,dp_catch,$A21)</f>
        <v>8.214</v>
      </c>
      <c r="E21" s="28" t="n">
        <f aca="false">SUMIFS(dp_comp,dp_catch,$A21)</f>
        <v>9</v>
      </c>
      <c r="F21" s="28" t="n">
        <f aca="false">SUMIFS(dp_uc,dp_catch,$A21)</f>
        <v>0</v>
      </c>
      <c r="G21" s="28" t="n">
        <f aca="false">SUMIFS(dp_pns,dp_catch,$A21)</f>
        <v>0</v>
      </c>
      <c r="H21" s="28" t="n">
        <f aca="false">SUMIFS(dp_stl,dp_catch,$A21)</f>
        <v>0</v>
      </c>
      <c r="I21" s="28" t="n">
        <f aca="false">SUMIFS(dp_cons,dp_catch,$A21)</f>
        <v>9</v>
      </c>
      <c r="J21" s="28" t="n">
        <f aca="false">SUMIFS(dp_unc,dp_catch,$A21)</f>
        <v>190</v>
      </c>
      <c r="K21" s="28" t="n">
        <f aca="false">SUMIFS(dp_unc,dp_catch,$A21,dp_grp,"Zoned")</f>
        <v>190</v>
      </c>
      <c r="L21" s="28" t="n">
        <f aca="false">SUMIFS(dp_tot,dp_catch,$A21)</f>
        <v>199</v>
      </c>
      <c r="M21" s="28" t="n">
        <f aca="false">SUMIFS(dp_fut,dp_catch,$A21)</f>
        <v>190</v>
      </c>
      <c r="N21" s="21" t="n">
        <f aca="false">IF(L21&gt;0,I21/L21,0)</f>
        <v>0.0452261306532663</v>
      </c>
      <c r="O21" s="21" t="n">
        <f aca="false">IF(M21&gt;0,(F21+G21+H21)/M21,0)</f>
        <v>0</v>
      </c>
      <c r="P21" s="28" t="n">
        <f aca="false">SUMIFS(dp_exp,dp_catch,$A21)+SUMIFS(dp_inpl,dp_catch,$A21)</f>
        <v>0</v>
      </c>
      <c r="Q21" s="28" t="n">
        <f aca="false">SUMIFS(dp_geodnew,dp_catch,$A21)</f>
        <v>7</v>
      </c>
    </row>
    <row r="22" customFormat="false" ht="15" hidden="false" customHeight="false" outlineLevel="0" collapsed="false">
      <c r="A22" s="13" t="s">
        <v>355</v>
      </c>
      <c r="B22" s="15" t="s">
        <v>356</v>
      </c>
      <c r="C22" s="28" t="n">
        <f aca="false">COUNTIFS(dp_catch,$A22)</f>
        <v>13</v>
      </c>
      <c r="D22" s="39" t="n">
        <f aca="false">SUMIFS(dp_area,dp_catch,$A22)</f>
        <v>34.555</v>
      </c>
      <c r="E22" s="28" t="n">
        <f aca="false">SUMIFS(dp_comp,dp_catch,$A22)</f>
        <v>0</v>
      </c>
      <c r="F22" s="28" t="n">
        <f aca="false">SUMIFS(dp_uc,dp_catch,$A22)</f>
        <v>15</v>
      </c>
      <c r="G22" s="28" t="n">
        <f aca="false">SUMIFS(dp_pns,dp_catch,$A22)</f>
        <v>211</v>
      </c>
      <c r="H22" s="28" t="n">
        <f aca="false">SUMIFS(dp_stl,dp_catch,$A22)</f>
        <v>0</v>
      </c>
      <c r="I22" s="28" t="n">
        <f aca="false">SUMIFS(dp_cons,dp_catch,$A22)</f>
        <v>226</v>
      </c>
      <c r="J22" s="28" t="n">
        <f aca="false">SUMIFS(dp_unc,dp_catch,$A22)</f>
        <v>191</v>
      </c>
      <c r="K22" s="28" t="n">
        <f aca="false">SUMIFS(dp_unc,dp_catch,$A22,dp_grp,"Zoned")</f>
        <v>191</v>
      </c>
      <c r="L22" s="28" t="n">
        <f aca="false">SUMIFS(dp_tot,dp_catch,$A22)</f>
        <v>417</v>
      </c>
      <c r="M22" s="28" t="n">
        <f aca="false">SUMIFS(dp_fut,dp_catch,$A22)</f>
        <v>417</v>
      </c>
      <c r="N22" s="21" t="n">
        <f aca="false">IF(L22&gt;0,I22/L22,0)</f>
        <v>0.541966426858513</v>
      </c>
      <c r="O22" s="21" t="n">
        <f aca="false">IF(M22&gt;0,(F22+G22+H22)/M22,0)</f>
        <v>0.541966426858513</v>
      </c>
      <c r="P22" s="28" t="n">
        <f aca="false">SUMIFS(dp_exp,dp_catch,$A22)+SUMIFS(dp_inpl,dp_catch,$A22)</f>
        <v>0</v>
      </c>
      <c r="Q22" s="28" t="n">
        <f aca="false">SUMIFS(dp_geodnew,dp_catch,$A22)</f>
        <v>0</v>
      </c>
    </row>
    <row r="23" customFormat="false" ht="15" hidden="false" customHeight="false" outlineLevel="0" collapsed="false">
      <c r="A23" s="13" t="s">
        <v>357</v>
      </c>
      <c r="B23" s="15" t="s">
        <v>356</v>
      </c>
      <c r="C23" s="28" t="n">
        <f aca="false">COUNTIFS(dp_catch,$A23)</f>
        <v>0</v>
      </c>
      <c r="D23" s="39" t="n">
        <f aca="false">SUMIFS(dp_area,dp_catch,$A23)</f>
        <v>0</v>
      </c>
      <c r="E23" s="28" t="n">
        <f aca="false">SUMIFS(dp_comp,dp_catch,$A23)</f>
        <v>0</v>
      </c>
      <c r="F23" s="28" t="n">
        <f aca="false">SUMIFS(dp_uc,dp_catch,$A23)</f>
        <v>0</v>
      </c>
      <c r="G23" s="28" t="n">
        <f aca="false">SUMIFS(dp_pns,dp_catch,$A23)</f>
        <v>0</v>
      </c>
      <c r="H23" s="28" t="n">
        <f aca="false">SUMIFS(dp_stl,dp_catch,$A23)</f>
        <v>0</v>
      </c>
      <c r="I23" s="28" t="n">
        <f aca="false">SUMIFS(dp_cons,dp_catch,$A23)</f>
        <v>0</v>
      </c>
      <c r="J23" s="28" t="n">
        <f aca="false">SUMIFS(dp_unc,dp_catch,$A23)</f>
        <v>0</v>
      </c>
      <c r="K23" s="28" t="n">
        <f aca="false">SUMIFS(dp_unc,dp_catch,$A23,dp_grp,"Zoned")</f>
        <v>0</v>
      </c>
      <c r="L23" s="28" t="n">
        <f aca="false">SUMIFS(dp_tot,dp_catch,$A23)</f>
        <v>0</v>
      </c>
      <c r="M23" s="28" t="n">
        <f aca="false">SUMIFS(dp_fut,dp_catch,$A23)</f>
        <v>0</v>
      </c>
      <c r="N23" s="21" t="n">
        <f aca="false">IF(L23&gt;0,I23/L23,0)</f>
        <v>0</v>
      </c>
      <c r="O23" s="21" t="n">
        <f aca="false">IF(M23&gt;0,(F23+G23+H23)/M23,0)</f>
        <v>0</v>
      </c>
      <c r="P23" s="28" t="n">
        <f aca="false">SUMIFS(dp_exp,dp_catch,$A23)+SUMIFS(dp_inpl,dp_catch,$A23)</f>
        <v>0</v>
      </c>
      <c r="Q23" s="28" t="n">
        <f aca="false">SUMIFS(dp_geodnew,dp_catch,$A23)</f>
        <v>0</v>
      </c>
    </row>
    <row r="24" customFormat="false" ht="15" hidden="false" customHeight="false" outlineLevel="0" collapsed="false">
      <c r="A24" s="13" t="s">
        <v>358</v>
      </c>
      <c r="B24" s="15" t="s">
        <v>356</v>
      </c>
      <c r="C24" s="28" t="n">
        <f aca="false">COUNTIFS(dp_catch,$A24)</f>
        <v>8</v>
      </c>
      <c r="D24" s="39" t="n">
        <f aca="false">SUMIFS(dp_area,dp_catch,$A24)</f>
        <v>6.57</v>
      </c>
      <c r="E24" s="28" t="n">
        <f aca="false">SUMIFS(dp_comp,dp_catch,$A24)</f>
        <v>2</v>
      </c>
      <c r="F24" s="28" t="n">
        <f aca="false">SUMIFS(dp_uc,dp_catch,$A24)</f>
        <v>18</v>
      </c>
      <c r="G24" s="28" t="n">
        <f aca="false">SUMIFS(dp_pns,dp_catch,$A24)</f>
        <v>82</v>
      </c>
      <c r="H24" s="28" t="n">
        <f aca="false">SUMIFS(dp_stl,dp_catch,$A24)</f>
        <v>0</v>
      </c>
      <c r="I24" s="28" t="n">
        <f aca="false">SUMIFS(dp_cons,dp_catch,$A24)</f>
        <v>102</v>
      </c>
      <c r="J24" s="28" t="n">
        <f aca="false">SUMIFS(dp_unc,dp_catch,$A24)</f>
        <v>52</v>
      </c>
      <c r="K24" s="28" t="n">
        <f aca="false">SUMIFS(dp_unc,dp_catch,$A24,dp_grp,"Zoned")</f>
        <v>52</v>
      </c>
      <c r="L24" s="28" t="n">
        <f aca="false">SUMIFS(dp_tot,dp_catch,$A24)</f>
        <v>154</v>
      </c>
      <c r="M24" s="28" t="n">
        <f aca="false">SUMIFS(dp_fut,dp_catch,$A24)</f>
        <v>152</v>
      </c>
      <c r="N24" s="21" t="n">
        <f aca="false">IF(L24&gt;0,I24/L24,0)</f>
        <v>0.662337662337662</v>
      </c>
      <c r="O24" s="21" t="n">
        <f aca="false">IF(M24&gt;0,(F24+G24+H24)/M24,0)</f>
        <v>0.657894736842105</v>
      </c>
      <c r="P24" s="28" t="n">
        <f aca="false">SUMIFS(dp_exp,dp_catch,$A24)+SUMIFS(dp_inpl,dp_catch,$A24)</f>
        <v>0</v>
      </c>
      <c r="Q24" s="28" t="n">
        <f aca="false">SUMIFS(dp_geodnew,dp_catch,$A24)</f>
        <v>3</v>
      </c>
    </row>
    <row r="25" customFormat="false" ht="15" hidden="false" customHeight="false" outlineLevel="0" collapsed="false">
      <c r="A25" s="13" t="s">
        <v>359</v>
      </c>
      <c r="B25" s="15" t="s">
        <v>356</v>
      </c>
      <c r="C25" s="28" t="n">
        <f aca="false">COUNTIFS(dp_catch,$A25)</f>
        <v>6</v>
      </c>
      <c r="D25" s="39" t="n">
        <f aca="false">SUMIFS(dp_area,dp_catch,$A25)</f>
        <v>3.528</v>
      </c>
      <c r="E25" s="28" t="n">
        <f aca="false">SUMIFS(dp_comp,dp_catch,$A25)</f>
        <v>27</v>
      </c>
      <c r="F25" s="28" t="n">
        <f aca="false">SUMIFS(dp_uc,dp_catch,$A25)</f>
        <v>22</v>
      </c>
      <c r="G25" s="28" t="n">
        <f aca="false">SUMIFS(dp_pns,dp_catch,$A25)</f>
        <v>7</v>
      </c>
      <c r="H25" s="28" t="n">
        <f aca="false">SUMIFS(dp_stl,dp_catch,$A25)</f>
        <v>0</v>
      </c>
      <c r="I25" s="28" t="n">
        <f aca="false">SUMIFS(dp_cons,dp_catch,$A25)</f>
        <v>56</v>
      </c>
      <c r="J25" s="28" t="n">
        <f aca="false">SUMIFS(dp_unc,dp_catch,$A25)</f>
        <v>24</v>
      </c>
      <c r="K25" s="28" t="n">
        <f aca="false">SUMIFS(dp_unc,dp_catch,$A25,dp_grp,"Zoned")</f>
        <v>24</v>
      </c>
      <c r="L25" s="28" t="n">
        <f aca="false">SUMIFS(dp_tot,dp_catch,$A25)</f>
        <v>80</v>
      </c>
      <c r="M25" s="28" t="n">
        <f aca="false">SUMIFS(dp_fut,dp_catch,$A25)</f>
        <v>53</v>
      </c>
      <c r="N25" s="21" t="n">
        <f aca="false">IF(L25&gt;0,I25/L25,0)</f>
        <v>0.7</v>
      </c>
      <c r="O25" s="21" t="n">
        <f aca="false">IF(M25&gt;0,(F25+G25+H25)/M25,0)</f>
        <v>0.547169811320755</v>
      </c>
      <c r="P25" s="28" t="n">
        <f aca="false">SUMIFS(dp_exp,dp_catch,$A25)+SUMIFS(dp_inpl,dp_catch,$A25)</f>
        <v>0</v>
      </c>
      <c r="Q25" s="28" t="n">
        <f aca="false">SUMIFS(dp_geodnew,dp_catch,$A25)</f>
        <v>42</v>
      </c>
    </row>
    <row r="26" customFormat="false" ht="15" hidden="false" customHeight="false" outlineLevel="0" collapsed="false">
      <c r="A26" s="13" t="s">
        <v>360</v>
      </c>
      <c r="B26" s="15" t="s">
        <v>356</v>
      </c>
      <c r="C26" s="28" t="n">
        <f aca="false">COUNTIFS(dp_catch,$A26)</f>
        <v>13</v>
      </c>
      <c r="D26" s="39" t="n">
        <f aca="false">SUMIFS(dp_area,dp_catch,$A26)</f>
        <v>13.627</v>
      </c>
      <c r="E26" s="28" t="n">
        <f aca="false">SUMIFS(dp_comp,dp_catch,$A26)</f>
        <v>16</v>
      </c>
      <c r="F26" s="28" t="n">
        <f aca="false">SUMIFS(dp_uc,dp_catch,$A26)</f>
        <v>0</v>
      </c>
      <c r="G26" s="28" t="n">
        <f aca="false">SUMIFS(dp_pns,dp_catch,$A26)</f>
        <v>121</v>
      </c>
      <c r="H26" s="28" t="n">
        <f aca="false">SUMIFS(dp_stl,dp_catch,$A26)</f>
        <v>0</v>
      </c>
      <c r="I26" s="28" t="n">
        <f aca="false">SUMIFS(dp_cons,dp_catch,$A26)</f>
        <v>137</v>
      </c>
      <c r="J26" s="28" t="n">
        <f aca="false">SUMIFS(dp_unc,dp_catch,$A26)</f>
        <v>192</v>
      </c>
      <c r="K26" s="28" t="n">
        <f aca="false">SUMIFS(dp_unc,dp_catch,$A26,dp_grp,"Zoned")</f>
        <v>192</v>
      </c>
      <c r="L26" s="28" t="n">
        <f aca="false">SUMIFS(dp_tot,dp_catch,$A26)</f>
        <v>329</v>
      </c>
      <c r="M26" s="28" t="n">
        <f aca="false">SUMIFS(dp_fut,dp_catch,$A26)</f>
        <v>313</v>
      </c>
      <c r="N26" s="21" t="n">
        <f aca="false">IF(L26&gt;0,I26/L26,0)</f>
        <v>0.416413373860182</v>
      </c>
      <c r="O26" s="21" t="n">
        <f aca="false">IF(M26&gt;0,(F26+G26+H26)/M26,0)</f>
        <v>0.386581469648562</v>
      </c>
      <c r="P26" s="28" t="n">
        <f aca="false">SUMIFS(dp_exp,dp_catch,$A26)+SUMIFS(dp_inpl,dp_catch,$A26)</f>
        <v>0</v>
      </c>
      <c r="Q26" s="28" t="n">
        <f aca="false">SUMIFS(dp_geodnew,dp_catch,$A26)</f>
        <v>16</v>
      </c>
    </row>
    <row r="27" customFormat="false" ht="15" hidden="false" customHeight="false" outlineLevel="0" collapsed="false">
      <c r="A27" s="13" t="s">
        <v>361</v>
      </c>
      <c r="B27" s="15" t="s">
        <v>356</v>
      </c>
      <c r="C27" s="28" t="n">
        <f aca="false">COUNTIFS(dp_catch,$A27)</f>
        <v>5</v>
      </c>
      <c r="D27" s="39" t="n">
        <f aca="false">SUMIFS(dp_area,dp_catch,$A27)</f>
        <v>3.979</v>
      </c>
      <c r="E27" s="28" t="n">
        <f aca="false">SUMIFS(dp_comp,dp_catch,$A27)</f>
        <v>20</v>
      </c>
      <c r="F27" s="28" t="n">
        <f aca="false">SUMIFS(dp_uc,dp_catch,$A27)</f>
        <v>0</v>
      </c>
      <c r="G27" s="28" t="n">
        <f aca="false">SUMIFS(dp_pns,dp_catch,$A27)</f>
        <v>0</v>
      </c>
      <c r="H27" s="28" t="n">
        <f aca="false">SUMIFS(dp_stl,dp_catch,$A27)</f>
        <v>0</v>
      </c>
      <c r="I27" s="28" t="n">
        <f aca="false">SUMIFS(dp_cons,dp_catch,$A27)</f>
        <v>20</v>
      </c>
      <c r="J27" s="28" t="n">
        <f aca="false">SUMIFS(dp_unc,dp_catch,$A27)</f>
        <v>69</v>
      </c>
      <c r="K27" s="28" t="n">
        <f aca="false">SUMIFS(dp_unc,dp_catch,$A27,dp_grp,"Zoned")</f>
        <v>69</v>
      </c>
      <c r="L27" s="28" t="n">
        <f aca="false">SUMIFS(dp_tot,dp_catch,$A27)</f>
        <v>89</v>
      </c>
      <c r="M27" s="28" t="n">
        <f aca="false">SUMIFS(dp_fut,dp_catch,$A27)</f>
        <v>69</v>
      </c>
      <c r="N27" s="21" t="n">
        <f aca="false">IF(L27&gt;0,I27/L27,0)</f>
        <v>0.224719101123596</v>
      </c>
      <c r="O27" s="21" t="n">
        <f aca="false">IF(M27&gt;0,(F27+G27+H27)/M27,0)</f>
        <v>0</v>
      </c>
      <c r="P27" s="28" t="n">
        <f aca="false">SUMIFS(dp_exp,dp_catch,$A27)+SUMIFS(dp_inpl,dp_catch,$A27)</f>
        <v>0</v>
      </c>
      <c r="Q27" s="28" t="n">
        <f aca="false">SUMIFS(dp_geodnew,dp_catch,$A27)</f>
        <v>20</v>
      </c>
    </row>
    <row r="28" customFormat="false" ht="15" hidden="false" customHeight="false" outlineLevel="0" collapsed="false">
      <c r="A28" s="13" t="s">
        <v>362</v>
      </c>
      <c r="B28" s="15" t="s">
        <v>356</v>
      </c>
      <c r="C28" s="28" t="n">
        <f aca="false">COUNTIFS(dp_catch,$A28)</f>
        <v>7</v>
      </c>
      <c r="D28" s="39" t="n">
        <f aca="false">SUMIFS(dp_area,dp_catch,$A28)</f>
        <v>3.914</v>
      </c>
      <c r="E28" s="28" t="n">
        <f aca="false">SUMIFS(dp_comp,dp_catch,$A28)</f>
        <v>19</v>
      </c>
      <c r="F28" s="28" t="n">
        <f aca="false">SUMIFS(dp_uc,dp_catch,$A28)</f>
        <v>14</v>
      </c>
      <c r="G28" s="28" t="n">
        <f aca="false">SUMIFS(dp_pns,dp_catch,$A28)</f>
        <v>0</v>
      </c>
      <c r="H28" s="28" t="n">
        <f aca="false">SUMIFS(dp_stl,dp_catch,$A28)</f>
        <v>0</v>
      </c>
      <c r="I28" s="28" t="n">
        <f aca="false">SUMIFS(dp_cons,dp_catch,$A28)</f>
        <v>33</v>
      </c>
      <c r="J28" s="28" t="n">
        <f aca="false">SUMIFS(dp_unc,dp_catch,$A28)</f>
        <v>64</v>
      </c>
      <c r="K28" s="28" t="n">
        <f aca="false">SUMIFS(dp_unc,dp_catch,$A28,dp_grp,"Zoned")</f>
        <v>64</v>
      </c>
      <c r="L28" s="28" t="n">
        <f aca="false">SUMIFS(dp_tot,dp_catch,$A28)</f>
        <v>97</v>
      </c>
      <c r="M28" s="28" t="n">
        <f aca="false">SUMIFS(dp_fut,dp_catch,$A28)</f>
        <v>78</v>
      </c>
      <c r="N28" s="21" t="n">
        <f aca="false">IF(L28&gt;0,I28/L28,0)</f>
        <v>0.34020618556701</v>
      </c>
      <c r="O28" s="21" t="n">
        <f aca="false">IF(M28&gt;0,(F28+G28+H28)/M28,0)</f>
        <v>0.17948717948718</v>
      </c>
      <c r="P28" s="28" t="n">
        <f aca="false">SUMIFS(dp_exp,dp_catch,$A28)+SUMIFS(dp_inpl,dp_catch,$A28)</f>
        <v>0</v>
      </c>
      <c r="Q28" s="28" t="n">
        <f aca="false">SUMIFS(dp_geodnew,dp_catch,$A28)</f>
        <v>20</v>
      </c>
    </row>
    <row r="29" customFormat="false" ht="15" hidden="false" customHeight="false" outlineLevel="0" collapsed="false">
      <c r="A29" s="13" t="s">
        <v>363</v>
      </c>
      <c r="B29" s="15" t="s">
        <v>356</v>
      </c>
      <c r="C29" s="28" t="n">
        <f aca="false">COUNTIFS(dp_catch,$A29)</f>
        <v>5</v>
      </c>
      <c r="D29" s="39" t="n">
        <f aca="false">SUMIFS(dp_area,dp_catch,$A29)</f>
        <v>5.908</v>
      </c>
      <c r="E29" s="28" t="n">
        <f aca="false">SUMIFS(dp_comp,dp_catch,$A29)</f>
        <v>0</v>
      </c>
      <c r="F29" s="28" t="n">
        <f aca="false">SUMIFS(dp_uc,dp_catch,$A29)</f>
        <v>4</v>
      </c>
      <c r="G29" s="28" t="n">
        <f aca="false">SUMIFS(dp_pns,dp_catch,$A29)</f>
        <v>0</v>
      </c>
      <c r="H29" s="28" t="n">
        <f aca="false">SUMIFS(dp_stl,dp_catch,$A29)</f>
        <v>32</v>
      </c>
      <c r="I29" s="28" t="n">
        <f aca="false">SUMIFS(dp_cons,dp_catch,$A29)</f>
        <v>36</v>
      </c>
      <c r="J29" s="28" t="n">
        <f aca="false">SUMIFS(dp_unc,dp_catch,$A29)</f>
        <v>96</v>
      </c>
      <c r="K29" s="28" t="n">
        <f aca="false">SUMIFS(dp_unc,dp_catch,$A29,dp_grp,"Zoned")</f>
        <v>96</v>
      </c>
      <c r="L29" s="28" t="n">
        <f aca="false">SUMIFS(dp_tot,dp_catch,$A29)</f>
        <v>132</v>
      </c>
      <c r="M29" s="28" t="n">
        <f aca="false">SUMIFS(dp_fut,dp_catch,$A29)</f>
        <v>132</v>
      </c>
      <c r="N29" s="21" t="n">
        <f aca="false">IF(L29&gt;0,I29/L29,0)</f>
        <v>0.272727272727273</v>
      </c>
      <c r="O29" s="21" t="n">
        <f aca="false">IF(M29&gt;0,(F29+G29+H29)/M29,0)</f>
        <v>0.272727272727273</v>
      </c>
      <c r="P29" s="28" t="n">
        <f aca="false">SUMIFS(dp_exp,dp_catch,$A29)+SUMIFS(dp_inpl,dp_catch,$A29)</f>
        <v>0</v>
      </c>
      <c r="Q29" s="28" t="n">
        <f aca="false">SUMIFS(dp_geodnew,dp_catch,$A29)</f>
        <v>0</v>
      </c>
    </row>
    <row r="30" customFormat="false" ht="15" hidden="false" customHeight="false" outlineLevel="0" collapsed="false">
      <c r="A30" s="13" t="s">
        <v>364</v>
      </c>
      <c r="B30" s="15" t="s">
        <v>356</v>
      </c>
      <c r="C30" s="28" t="n">
        <f aca="false">COUNTIFS(dp_catch,$A30)</f>
        <v>20</v>
      </c>
      <c r="D30" s="39" t="n">
        <f aca="false">SUMIFS(dp_area,dp_catch,$A30)</f>
        <v>27.786</v>
      </c>
      <c r="E30" s="28" t="n">
        <f aca="false">SUMIFS(dp_comp,dp_catch,$A30)</f>
        <v>79</v>
      </c>
      <c r="F30" s="28" t="n">
        <f aca="false">SUMIFS(dp_uc,dp_catch,$A30)</f>
        <v>257</v>
      </c>
      <c r="G30" s="28" t="n">
        <f aca="false">SUMIFS(dp_pns,dp_catch,$A30)</f>
        <v>134</v>
      </c>
      <c r="H30" s="28" t="n">
        <f aca="false">SUMIFS(dp_stl,dp_catch,$A30)</f>
        <v>40</v>
      </c>
      <c r="I30" s="28" t="n">
        <f aca="false">SUMIFS(dp_cons,dp_catch,$A30)</f>
        <v>510</v>
      </c>
      <c r="J30" s="28" t="n">
        <f aca="false">SUMIFS(dp_unc,dp_catch,$A30)</f>
        <v>78</v>
      </c>
      <c r="K30" s="28" t="n">
        <f aca="false">SUMIFS(dp_unc,dp_catch,$A30,dp_grp,"Zoned")</f>
        <v>78</v>
      </c>
      <c r="L30" s="28" t="n">
        <f aca="false">SUMIFS(dp_tot,dp_catch,$A30)</f>
        <v>588</v>
      </c>
      <c r="M30" s="28" t="n">
        <f aca="false">SUMIFS(dp_fut,dp_catch,$A30)</f>
        <v>509</v>
      </c>
      <c r="N30" s="21" t="n">
        <f aca="false">IF(L30&gt;0,I30/L30,0)</f>
        <v>0.86734693877551</v>
      </c>
      <c r="O30" s="21" t="n">
        <f aca="false">IF(M30&gt;0,(F30+G30+H30)/M30,0)</f>
        <v>0.846758349705305</v>
      </c>
      <c r="P30" s="28" t="n">
        <f aca="false">SUMIFS(dp_exp,dp_catch,$A30)+SUMIFS(dp_inpl,dp_catch,$A30)</f>
        <v>49</v>
      </c>
      <c r="Q30" s="28" t="n">
        <f aca="false">SUMIFS(dp_geodnew,dp_catch,$A30)</f>
        <v>133</v>
      </c>
    </row>
    <row r="31" customFormat="false" ht="15" hidden="false" customHeight="false" outlineLevel="0" collapsed="false">
      <c r="A31" s="13" t="s">
        <v>365</v>
      </c>
      <c r="B31" s="15" t="s">
        <v>365</v>
      </c>
      <c r="C31" s="28" t="n">
        <f aca="false">COUNTIFS(dp_catch,$A31)</f>
        <v>47</v>
      </c>
      <c r="D31" s="39" t="n">
        <f aca="false">SUMIFS(dp_area,dp_catch,$A31)</f>
        <v>38.707</v>
      </c>
      <c r="E31" s="28" t="n">
        <f aca="false">SUMIFS(dp_comp,dp_catch,$A31)</f>
        <v>44</v>
      </c>
      <c r="F31" s="28" t="n">
        <f aca="false">SUMIFS(dp_uc,dp_catch,$A31)</f>
        <v>106</v>
      </c>
      <c r="G31" s="28" t="n">
        <f aca="false">SUMIFS(dp_pns,dp_catch,$A31)</f>
        <v>81</v>
      </c>
      <c r="H31" s="28" t="n">
        <f aca="false">SUMIFS(dp_stl,dp_catch,$A31)</f>
        <v>0</v>
      </c>
      <c r="I31" s="28" t="n">
        <f aca="false">SUMIFS(dp_cons,dp_catch,$A31)</f>
        <v>231</v>
      </c>
      <c r="J31" s="28" t="n">
        <f aca="false">SUMIFS(dp_unc,dp_catch,$A31)</f>
        <v>397</v>
      </c>
      <c r="K31" s="28" t="n">
        <f aca="false">SUMIFS(dp_unc,dp_catch,$A31,dp_grp,"Zoned")</f>
        <v>397</v>
      </c>
      <c r="L31" s="28" t="n">
        <f aca="false">SUMIFS(dp_tot,dp_catch,$A31)</f>
        <v>628</v>
      </c>
      <c r="M31" s="28" t="n">
        <f aca="false">SUMIFS(dp_fut,dp_catch,$A31)</f>
        <v>584</v>
      </c>
      <c r="N31" s="21" t="n">
        <f aca="false">IF(L31&gt;0,I31/L31,0)</f>
        <v>0.367834394904459</v>
      </c>
      <c r="O31" s="21" t="n">
        <f aca="false">IF(M31&gt;0,(F31+G31+H31)/M31,0)</f>
        <v>0.320205479452055</v>
      </c>
      <c r="P31" s="28" t="n">
        <f aca="false">SUMIFS(dp_exp,dp_catch,$A31)+SUMIFS(dp_inpl,dp_catch,$A31)</f>
        <v>54</v>
      </c>
      <c r="Q31" s="28" t="n">
        <f aca="false">SUMIFS(dp_geodnew,dp_catch,$A31)</f>
        <v>89</v>
      </c>
    </row>
    <row r="32" customFormat="false" ht="15" hidden="false" customHeight="false" outlineLevel="0" collapsed="false">
      <c r="A32" s="29" t="s">
        <v>366</v>
      </c>
      <c r="B32" s="40"/>
      <c r="C32" s="30" t="n">
        <f aca="false">SUM(C7:C31)</f>
        <v>446</v>
      </c>
      <c r="D32" s="41" t="n">
        <f aca="false">SUM(D7:D31)</f>
        <v>684.163</v>
      </c>
      <c r="E32" s="30" t="n">
        <f aca="false">SUM(E7:E31)</f>
        <v>1631</v>
      </c>
      <c r="F32" s="30" t="n">
        <f aca="false">SUM(F7:F31)</f>
        <v>3711</v>
      </c>
      <c r="G32" s="30" t="n">
        <f aca="false">SUM(G7:G31)</f>
        <v>5002</v>
      </c>
      <c r="H32" s="30" t="n">
        <f aca="false">SUM(H7:H31)</f>
        <v>156</v>
      </c>
      <c r="I32" s="30" t="n">
        <f aca="false">SUM(I7:I31)</f>
        <v>10500</v>
      </c>
      <c r="J32" s="30" t="n">
        <f aca="false">SUM(J7:J31)</f>
        <v>13650</v>
      </c>
      <c r="K32" s="30" t="n">
        <f aca="false">SUM(K7:K31)</f>
        <v>3507</v>
      </c>
      <c r="L32" s="30" t="n">
        <f aca="false">SUM(L7:L31)</f>
        <v>24150</v>
      </c>
      <c r="M32" s="30" t="n">
        <f aca="false">SUM(M7:M31)</f>
        <v>22519</v>
      </c>
      <c r="N32" s="36" t="n">
        <f aca="false">IF(L32&gt;0,I32/L32,0)</f>
        <v>0.434782608695652</v>
      </c>
      <c r="O32" s="36" t="n">
        <f aca="false">IF(M32&gt;0,(F32+G32+H32)/M32,0)</f>
        <v>0.393845197388872</v>
      </c>
      <c r="P32" s="30" t="n">
        <f aca="false">SUM(P7:P31)</f>
        <v>574</v>
      </c>
      <c r="Q32" s="30" t="n">
        <f aca="false">SUM(Q7:Q31)</f>
        <v>2889</v>
      </c>
    </row>
    <row r="33" customFormat="false" ht="15" hidden="false" customHeight="false" outlineLevel="0" collapsed="false">
      <c r="A33" s="35" t="s">
        <v>367</v>
      </c>
      <c r="M33" s="28" t="n">
        <f aca="false">M32-reg_fut</f>
        <v>0</v>
      </c>
    </row>
    <row r="35" customFormat="false" ht="51.75" hidden="false" customHeight="true" outlineLevel="0" collapsed="false">
      <c r="A35" s="25" t="s">
        <v>368</v>
      </c>
      <c r="B35" s="25"/>
      <c r="C35" s="25" t="s">
        <v>195</v>
      </c>
      <c r="D35" s="25" t="s">
        <v>206</v>
      </c>
      <c r="E35" s="25" t="s">
        <v>208</v>
      </c>
      <c r="F35" s="25" t="s">
        <v>209</v>
      </c>
      <c r="G35" s="25" t="s">
        <v>210</v>
      </c>
      <c r="H35" s="25" t="s">
        <v>60</v>
      </c>
      <c r="I35" s="25" t="s">
        <v>229</v>
      </c>
      <c r="J35" s="25" t="s">
        <v>212</v>
      </c>
      <c r="K35" s="25" t="s">
        <v>341</v>
      </c>
      <c r="L35" s="25" t="s">
        <v>213</v>
      </c>
      <c r="M35" s="25" t="s">
        <v>255</v>
      </c>
      <c r="N35" s="25" t="s">
        <v>342</v>
      </c>
      <c r="O35" s="25" t="s">
        <v>343</v>
      </c>
    </row>
    <row r="36" customFormat="false" ht="15" hidden="false" customHeight="false" outlineLevel="0" collapsed="false">
      <c r="A36" s="31" t="s">
        <v>347</v>
      </c>
      <c r="C36" s="28" t="n">
        <f aca="false">SUMIFS(C$7:C$31,$B$7:$B$31,$A36)</f>
        <v>242</v>
      </c>
      <c r="D36" s="39" t="n">
        <f aca="false">SUMIFS(D$7:D$31,$B$7:$B$31,$A36)</f>
        <v>419.975</v>
      </c>
      <c r="E36" s="28" t="n">
        <f aca="false">SUMIFS(E$7:E$31,$B$7:$B$31,$A36)</f>
        <v>1336</v>
      </c>
      <c r="F36" s="28" t="n">
        <f aca="false">SUMIFS(F$7:F$31,$B$7:$B$31,$A36)</f>
        <v>2954</v>
      </c>
      <c r="G36" s="28" t="n">
        <f aca="false">SUMIFS(G$7:G$31,$B$7:$B$31,$A36)</f>
        <v>4210</v>
      </c>
      <c r="H36" s="28" t="n">
        <f aca="false">SUMIFS(H$7:H$31,$B$7:$B$31,$A36)</f>
        <v>31</v>
      </c>
      <c r="I36" s="28" t="n">
        <f aca="false">SUMIFS(I$7:I$31,$B$7:$B$31,$A36)</f>
        <v>8531</v>
      </c>
      <c r="J36" s="28" t="n">
        <f aca="false">SUMIFS(J$7:J$31,$B$7:$B$31,$A36)</f>
        <v>10190</v>
      </c>
      <c r="K36" s="28" t="n">
        <f aca="false">SUMIFS(K$7:K$31,$B$7:$B$31,$A36)</f>
        <v>47</v>
      </c>
      <c r="L36" s="28" t="n">
        <f aca="false">SUMIFS(L$7:L$31,$B$7:$B$31,$A36)</f>
        <v>18721</v>
      </c>
      <c r="M36" s="28" t="n">
        <f aca="false">SUMIFS(M$7:M$31,$B$7:$B$31,$A36)</f>
        <v>17385</v>
      </c>
      <c r="N36" s="21" t="n">
        <f aca="false">IF(L36&gt;0,I36/L36,0)</f>
        <v>0.455691469472785</v>
      </c>
      <c r="O36" s="21" t="n">
        <f aca="false">IF(M36&gt;0,(F36+G36+H36)/M36,0)</f>
        <v>0.413862525165373</v>
      </c>
    </row>
    <row r="37" customFormat="false" ht="15" hidden="false" customHeight="false" outlineLevel="0" collapsed="false">
      <c r="A37" s="31" t="s">
        <v>349</v>
      </c>
      <c r="C37" s="28" t="n">
        <f aca="false">SUMIFS(C$7:C$31,$B$7:$B$31,$A37)</f>
        <v>80</v>
      </c>
      <c r="D37" s="39" t="n">
        <f aca="false">SUMIFS(D$7:D$31,$B$7:$B$31,$A37)</f>
        <v>125.614</v>
      </c>
      <c r="E37" s="28" t="n">
        <f aca="false">SUMIFS(E$7:E$31,$B$7:$B$31,$A37)</f>
        <v>88</v>
      </c>
      <c r="F37" s="28" t="n">
        <f aca="false">SUMIFS(F$7:F$31,$B$7:$B$31,$A37)</f>
        <v>321</v>
      </c>
      <c r="G37" s="28" t="n">
        <f aca="false">SUMIFS(G$7:G$31,$B$7:$B$31,$A37)</f>
        <v>156</v>
      </c>
      <c r="H37" s="28" t="n">
        <f aca="false">SUMIFS(H$7:H$31,$B$7:$B$31,$A37)</f>
        <v>53</v>
      </c>
      <c r="I37" s="28" t="n">
        <f aca="false">SUMIFS(I$7:I$31,$B$7:$B$31,$A37)</f>
        <v>618</v>
      </c>
      <c r="J37" s="28" t="n">
        <f aca="false">SUMIFS(J$7:J$31,$B$7:$B$31,$A37)</f>
        <v>2297</v>
      </c>
      <c r="K37" s="28" t="n">
        <f aca="false">SUMIFS(K$7:K$31,$B$7:$B$31,$A37)</f>
        <v>2297</v>
      </c>
      <c r="L37" s="28" t="n">
        <f aca="false">SUMIFS(L$7:L$31,$B$7:$B$31,$A37)</f>
        <v>2915</v>
      </c>
      <c r="M37" s="28" t="n">
        <f aca="false">SUMIFS(M$7:M$31,$B$7:$B$31,$A37)</f>
        <v>2827</v>
      </c>
      <c r="N37" s="21" t="n">
        <f aca="false">IF(L37&gt;0,I37/L37,0)</f>
        <v>0.212006861063465</v>
      </c>
      <c r="O37" s="21" t="n">
        <f aca="false">IF(M37&gt;0,(F37+G37+H37)/M37,0)</f>
        <v>0.187477891758047</v>
      </c>
    </row>
    <row r="38" customFormat="false" ht="15" hidden="false" customHeight="false" outlineLevel="0" collapsed="false">
      <c r="A38" s="31" t="s">
        <v>356</v>
      </c>
      <c r="C38" s="28" t="n">
        <f aca="false">SUMIFS(C$7:C$31,$B$7:$B$31,$A38)</f>
        <v>77</v>
      </c>
      <c r="D38" s="39" t="n">
        <f aca="false">SUMIFS(D$7:D$31,$B$7:$B$31,$A38)</f>
        <v>99.867</v>
      </c>
      <c r="E38" s="28" t="n">
        <f aca="false">SUMIFS(E$7:E$31,$B$7:$B$31,$A38)</f>
        <v>163</v>
      </c>
      <c r="F38" s="28" t="n">
        <f aca="false">SUMIFS(F$7:F$31,$B$7:$B$31,$A38)</f>
        <v>330</v>
      </c>
      <c r="G38" s="28" t="n">
        <f aca="false">SUMIFS(G$7:G$31,$B$7:$B$31,$A38)</f>
        <v>555</v>
      </c>
      <c r="H38" s="28" t="n">
        <f aca="false">SUMIFS(H$7:H$31,$B$7:$B$31,$A38)</f>
        <v>72</v>
      </c>
      <c r="I38" s="28" t="n">
        <f aca="false">SUMIFS(I$7:I$31,$B$7:$B$31,$A38)</f>
        <v>1120</v>
      </c>
      <c r="J38" s="28" t="n">
        <f aca="false">SUMIFS(J$7:J$31,$B$7:$B$31,$A38)</f>
        <v>766</v>
      </c>
      <c r="K38" s="28" t="n">
        <f aca="false">SUMIFS(K$7:K$31,$B$7:$B$31,$A38)</f>
        <v>766</v>
      </c>
      <c r="L38" s="28" t="n">
        <f aca="false">SUMIFS(L$7:L$31,$B$7:$B$31,$A38)</f>
        <v>1886</v>
      </c>
      <c r="M38" s="28" t="n">
        <f aca="false">SUMIFS(M$7:M$31,$B$7:$B$31,$A38)</f>
        <v>1723</v>
      </c>
      <c r="N38" s="21" t="n">
        <f aca="false">IF(L38&gt;0,I38/L38,0)</f>
        <v>0.593849416755037</v>
      </c>
      <c r="O38" s="21" t="n">
        <f aca="false">IF(M38&gt;0,(F38+G38+H38)/M38,0)</f>
        <v>0.555426581543819</v>
      </c>
    </row>
    <row r="39" customFormat="false" ht="15" hidden="false" customHeight="false" outlineLevel="0" collapsed="false">
      <c r="A39" s="31" t="s">
        <v>365</v>
      </c>
      <c r="C39" s="28" t="n">
        <f aca="false">SUMIFS(C$7:C$31,$B$7:$B$31,$A39)</f>
        <v>47</v>
      </c>
      <c r="D39" s="39" t="n">
        <f aca="false">SUMIFS(D$7:D$31,$B$7:$B$31,$A39)</f>
        <v>38.707</v>
      </c>
      <c r="E39" s="28" t="n">
        <f aca="false">SUMIFS(E$7:E$31,$B$7:$B$31,$A39)</f>
        <v>44</v>
      </c>
      <c r="F39" s="28" t="n">
        <f aca="false">SUMIFS(F$7:F$31,$B$7:$B$31,$A39)</f>
        <v>106</v>
      </c>
      <c r="G39" s="28" t="n">
        <f aca="false">SUMIFS(G$7:G$31,$B$7:$B$31,$A39)</f>
        <v>81</v>
      </c>
      <c r="H39" s="28" t="n">
        <f aca="false">SUMIFS(H$7:H$31,$B$7:$B$31,$A39)</f>
        <v>0</v>
      </c>
      <c r="I39" s="28" t="n">
        <f aca="false">SUMIFS(I$7:I$31,$B$7:$B$31,$A39)</f>
        <v>231</v>
      </c>
      <c r="J39" s="28" t="n">
        <f aca="false">SUMIFS(J$7:J$31,$B$7:$B$31,$A39)</f>
        <v>397</v>
      </c>
      <c r="K39" s="28" t="n">
        <f aca="false">SUMIFS(K$7:K$31,$B$7:$B$31,$A39)</f>
        <v>397</v>
      </c>
      <c r="L39" s="28" t="n">
        <f aca="false">SUMIFS(L$7:L$31,$B$7:$B$31,$A39)</f>
        <v>628</v>
      </c>
      <c r="M39" s="28" t="n">
        <f aca="false">SUMIFS(M$7:M$31,$B$7:$B$31,$A39)</f>
        <v>584</v>
      </c>
      <c r="N39" s="21" t="n">
        <f aca="false">IF(L39&gt;0,I39/L39,0)</f>
        <v>0.367834394904459</v>
      </c>
      <c r="O39" s="21" t="n">
        <f aca="false">IF(M39&gt;0,(F39+G39+H39)/M39,0)</f>
        <v>0.320205479452055</v>
      </c>
    </row>
    <row r="40" customFormat="false" ht="30" hidden="false" customHeight="true" outlineLevel="0" collapsed="false">
      <c r="A40" s="33" t="s">
        <v>369</v>
      </c>
      <c r="B40" s="33"/>
      <c r="C40" s="33"/>
      <c r="D40" s="33"/>
      <c r="E40" s="33"/>
      <c r="F40" s="33"/>
      <c r="G40" s="33"/>
      <c r="H40" s="33"/>
      <c r="I40" s="33"/>
      <c r="J40" s="33"/>
      <c r="K40" s="33"/>
      <c r="L40" s="33"/>
      <c r="M40" s="33"/>
      <c r="N40" s="33"/>
      <c r="O40" s="33"/>
      <c r="P40" s="33"/>
      <c r="Q40" s="33"/>
    </row>
    <row r="42" customFormat="false" ht="15" hidden="false" customHeight="false" outlineLevel="0" collapsed="false">
      <c r="A42" s="9" t="s">
        <v>370</v>
      </c>
      <c r="B42" s="10"/>
      <c r="C42" s="10"/>
      <c r="D42" s="10"/>
      <c r="E42" s="10"/>
      <c r="F42" s="10"/>
      <c r="G42" s="10"/>
      <c r="H42" s="10"/>
      <c r="I42" s="10"/>
      <c r="J42" s="10"/>
      <c r="K42" s="10"/>
      <c r="L42" s="10"/>
      <c r="M42" s="10"/>
      <c r="N42" s="10"/>
      <c r="O42" s="10"/>
      <c r="P42" s="10"/>
      <c r="Q42" s="10"/>
    </row>
    <row r="43" customFormat="false" ht="39.75" hidden="false" customHeight="true" outlineLevel="0" collapsed="false">
      <c r="A43" s="25" t="s">
        <v>371</v>
      </c>
      <c r="B43" s="25"/>
      <c r="C43" s="25" t="s">
        <v>372</v>
      </c>
      <c r="D43" s="25" t="s">
        <v>373</v>
      </c>
      <c r="E43" s="25" t="s">
        <v>374</v>
      </c>
      <c r="F43" s="25" t="s">
        <v>375</v>
      </c>
    </row>
    <row r="44" customFormat="false" ht="15" hidden="false" customHeight="false" outlineLevel="0" collapsed="false">
      <c r="A44" s="13" t="s">
        <v>376</v>
      </c>
      <c r="C44" s="28" t="n">
        <f aca="false">COUNTIFS(dp_ctype,"City neighbourhood",dp_grp,"Zoned")</f>
        <v>5</v>
      </c>
      <c r="D44" s="39" t="n">
        <f aca="false">SUMIFS(dp_uarea,dp_ctype,"City neighbourhood",dp_grp,"Zoned")</f>
        <v>1.384</v>
      </c>
      <c r="E44" s="28" t="n">
        <f aca="false">SUMIFS(dp_unc,dp_ctype,"City neighbourhood",dp_grp,"Zoned")</f>
        <v>47</v>
      </c>
      <c r="F44" s="46" t="n">
        <f aca="false">IF(D44&gt;0,E44/D44,0)</f>
        <v>33.9595375722543</v>
      </c>
    </row>
    <row r="45" customFormat="false" ht="15" hidden="false" customHeight="false" outlineLevel="0" collapsed="false">
      <c r="A45" s="13" t="s">
        <v>377</v>
      </c>
      <c r="C45" s="28" t="n">
        <f aca="false">COUNTIFS(dp_ctype,"Key town",dp_grp,"Zoned")</f>
        <v>60</v>
      </c>
      <c r="D45" s="39" t="n">
        <f aca="false">SUMIFS(dp_uarea,dp_ctype,"Key town",dp_grp,"Zoned")</f>
        <v>97.058</v>
      </c>
      <c r="E45" s="28" t="n">
        <f aca="false">SUMIFS(dp_unc,dp_ctype,"Key town",dp_grp,"Zoned")</f>
        <v>2297</v>
      </c>
      <c r="F45" s="46" t="n">
        <f aca="false">IF(D45&gt;0,E45/D45,0)</f>
        <v>23.6662614107029</v>
      </c>
    </row>
    <row r="46" customFormat="false" ht="15" hidden="false" customHeight="false" outlineLevel="0" collapsed="false">
      <c r="A46" s="13" t="s">
        <v>378</v>
      </c>
      <c r="C46" s="28" t="n">
        <f aca="false">COUNTIFS(dp_ctype,"Large village",dp_grp,"Zoned")</f>
        <v>40</v>
      </c>
      <c r="D46" s="39" t="n">
        <f aca="false">SUMIFS(dp_uarea,dp_ctype,"Large village",dp_grp,"Zoned")</f>
        <v>33.434</v>
      </c>
      <c r="E46" s="28" t="n">
        <f aca="false">SUMIFS(dp_unc,dp_ctype,"Large village",dp_grp,"Zoned")</f>
        <v>766</v>
      </c>
      <c r="F46" s="46" t="n">
        <f aca="false">IF(D46&gt;0,E46/D46,0)</f>
        <v>22.9108093557457</v>
      </c>
    </row>
    <row r="47" customFormat="false" ht="15" hidden="false" customHeight="false" outlineLevel="0" collapsed="false">
      <c r="A47" s="13" t="s">
        <v>262</v>
      </c>
      <c r="C47" s="28" t="n">
        <f aca="false">COUNTIFS(dp_ctype,"Rest of county",dp_grp,"Zoned")</f>
        <v>19</v>
      </c>
      <c r="D47" s="39" t="n">
        <f aca="false">SUMIFS(dp_uarea,dp_ctype,"Rest of county",dp_grp,"Zoned")</f>
        <v>17.581</v>
      </c>
      <c r="E47" s="28" t="n">
        <f aca="false">SUMIFS(dp_unc,dp_ctype,"Rest of county",dp_grp,"Zoned")</f>
        <v>397</v>
      </c>
      <c r="F47" s="46" t="n">
        <f aca="false">IF(D47&gt;0,E47/D47,0)</f>
        <v>22.581195608896</v>
      </c>
    </row>
    <row r="48" customFormat="false" ht="30" hidden="false" customHeight="true" outlineLevel="0" collapsed="false">
      <c r="A48" s="33" t="s">
        <v>379</v>
      </c>
      <c r="B48" s="33"/>
      <c r="C48" s="33"/>
      <c r="D48" s="33"/>
      <c r="E48" s="33"/>
      <c r="F48" s="33"/>
      <c r="G48" s="33"/>
      <c r="H48" s="33"/>
      <c r="I48" s="33"/>
      <c r="J48" s="33"/>
      <c r="K48" s="33"/>
      <c r="L48" s="33"/>
      <c r="M48" s="33"/>
      <c r="N48" s="33"/>
      <c r="O48" s="33"/>
      <c r="P48" s="33"/>
      <c r="Q48" s="33"/>
    </row>
    <row r="50" customFormat="false" ht="15" hidden="false" customHeight="false" outlineLevel="0" collapsed="false">
      <c r="A50" s="9" t="s">
        <v>380</v>
      </c>
      <c r="B50" s="10"/>
      <c r="C50" s="10"/>
      <c r="D50" s="10"/>
      <c r="E50" s="10"/>
      <c r="F50" s="10"/>
      <c r="G50" s="10"/>
      <c r="H50" s="10"/>
      <c r="I50" s="10"/>
      <c r="J50" s="10"/>
      <c r="K50" s="10"/>
      <c r="L50" s="10"/>
      <c r="M50" s="10"/>
      <c r="N50" s="10"/>
      <c r="O50" s="10"/>
      <c r="P50" s="10"/>
      <c r="Q50" s="10"/>
    </row>
    <row r="51" customFormat="false" ht="15" hidden="false" customHeight="false" outlineLevel="0" collapsed="false">
      <c r="A51" s="31" t="s">
        <v>381</v>
      </c>
      <c r="C51" s="47" t="n">
        <f aca="false">(target_total-ytd-windfall)*fs_set</f>
        <v>9567.6</v>
      </c>
    </row>
    <row r="52" customFormat="false" ht="63.75" hidden="false" customHeight="true" outlineLevel="0" collapsed="false">
      <c r="A52" s="25" t="s">
        <v>382</v>
      </c>
      <c r="B52" s="25" t="s">
        <v>340</v>
      </c>
      <c r="C52" s="25" t="s">
        <v>383</v>
      </c>
      <c r="D52" s="25" t="s">
        <v>384</v>
      </c>
      <c r="E52" s="25" t="s">
        <v>385</v>
      </c>
      <c r="F52" s="25" t="s">
        <v>386</v>
      </c>
      <c r="G52" s="25" t="s">
        <v>387</v>
      </c>
      <c r="H52" s="25" t="s">
        <v>388</v>
      </c>
      <c r="I52" s="25" t="s">
        <v>389</v>
      </c>
      <c r="J52" s="25" t="s">
        <v>390</v>
      </c>
      <c r="K52" s="25" t="s">
        <v>391</v>
      </c>
      <c r="L52" s="25" t="s">
        <v>392</v>
      </c>
      <c r="M52" s="25" t="s">
        <v>6</v>
      </c>
    </row>
    <row r="53" customFormat="false" ht="15" hidden="false" customHeight="false" outlineLevel="0" collapsed="false">
      <c r="A53" s="13" t="s">
        <v>348</v>
      </c>
      <c r="B53" s="15" t="s">
        <v>349</v>
      </c>
      <c r="C53" s="28" t="n">
        <f aca="false">SUMIFS(dp_fut,dp_catch,$A53)</f>
        <v>1453</v>
      </c>
      <c r="D53" s="21" t="n">
        <f aca="false">IF(SUM($C$53:$C$67)&gt;0,C53/SUM($C$53:$C$67),1/15)</f>
        <v>0.319340659340659</v>
      </c>
      <c r="E53" s="24"/>
      <c r="F53" s="21" t="n">
        <f aca="false">R53/SUM($R$53:$R$67)</f>
        <v>0.319340659340659</v>
      </c>
      <c r="G53" s="28" t="n">
        <f aca="false">$C$51*F53</f>
        <v>3055.32369230769</v>
      </c>
      <c r="H53" s="28" t="n">
        <f aca="false">SUMIFS(dp_uc,dp_catch,$A53)*r_uc+SUMIFS(dp_pns,dp_catch,$A53)*r_pns+SUMIFS(dp_stl,dp_catch,$A53)*r_stl-(1-pbsa)*SUMIFS(dm_units,dm_catch,$A53,dm_tenure,"Student (PBSA)",dm_live,1)+SUMIFS(dp_unc,dp_catch,$A53,dp_grp,"Audit")*r_unc+SUMIFS(dp_unc,dp_catch,$A53,dp_grp,"Zoned")*r_zon</f>
        <v>946.65</v>
      </c>
      <c r="I53" s="28" t="n">
        <f aca="false">MAX(0,G53-H53)</f>
        <v>2108.67369230769</v>
      </c>
      <c r="J53" s="28" t="n">
        <f aca="false">MAX(0,H53-G53)</f>
        <v>0</v>
      </c>
      <c r="K53" s="42" t="n">
        <f aca="false">IF(set_dph_ovr&gt;0,set_dph_ovr,IFERROR(SUMIFS(dp_unc,dp_catch,$A53,dp_grp,"Zoned")/SUMIFS(dp_uarea,dp_catch,$A53,dp_grp,"Zoned"),new_cty))</f>
        <v>24.4311823946289</v>
      </c>
      <c r="L53" s="28" t="n">
        <f aca="false">I53/r_new</f>
        <v>2635.84211538462</v>
      </c>
      <c r="M53" s="39" t="n">
        <f aca="false">IF(K53&gt;0,L53/(K53*dev_share),0)</f>
        <v>118.558723451827</v>
      </c>
      <c r="R53" s="21" t="n">
        <f aca="false">IF(ISNUMBER(E53),E53,D53)</f>
        <v>0.319340659340659</v>
      </c>
    </row>
    <row r="54" customFormat="false" ht="15" hidden="false" customHeight="false" outlineLevel="0" collapsed="false">
      <c r="A54" s="13" t="s">
        <v>350</v>
      </c>
      <c r="B54" s="15" t="s">
        <v>349</v>
      </c>
      <c r="C54" s="28" t="n">
        <f aca="false">SUMIFS(dp_fut,dp_catch,$A54)</f>
        <v>263</v>
      </c>
      <c r="D54" s="21" t="n">
        <f aca="false">IF(SUM($C$53:$C$67)&gt;0,C54/SUM($C$53:$C$67),1/15)</f>
        <v>0.0578021978021978</v>
      </c>
      <c r="E54" s="24"/>
      <c r="F54" s="21" t="n">
        <f aca="false">R54/SUM($R$53:$R$67)</f>
        <v>0.0578021978021978</v>
      </c>
      <c r="G54" s="28" t="n">
        <f aca="false">$C$51*F54</f>
        <v>553.028307692308</v>
      </c>
      <c r="H54" s="28" t="n">
        <f aca="false">SUMIFS(dp_uc,dp_catch,$A54)*r_uc+SUMIFS(dp_pns,dp_catch,$A54)*r_pns+SUMIFS(dp_stl,dp_catch,$A54)*r_stl-(1-pbsa)*SUMIFS(dm_units,dm_catch,$A54,dm_tenure,"Student (PBSA)",dm_live,1)+SUMIFS(dp_unc,dp_catch,$A54,dp_grp,"Audit")*r_unc+SUMIFS(dp_unc,dp_catch,$A54,dp_grp,"Zoned")*r_zon</f>
        <v>179.55</v>
      </c>
      <c r="I54" s="28" t="n">
        <f aca="false">MAX(0,G54-H54)</f>
        <v>373.478307692308</v>
      </c>
      <c r="J54" s="28" t="n">
        <f aca="false">MAX(0,H54-G54)</f>
        <v>0</v>
      </c>
      <c r="K54" s="42" t="n">
        <f aca="false">IF(set_dph_ovr&gt;0,set_dph_ovr,IFERROR(SUMIFS(dp_unc,dp_catch,$A54,dp_grp,"Zoned")/SUMIFS(dp_uarea,dp_catch,$A54,dp_grp,"Zoned"),new_cty))</f>
        <v>22.8067902034469</v>
      </c>
      <c r="L54" s="28" t="n">
        <f aca="false">I54/r_new</f>
        <v>466.847884615385</v>
      </c>
      <c r="M54" s="39" t="n">
        <f aca="false">IF(K54&gt;0,L54/(K54*dev_share),0)</f>
        <v>22.4941628719838</v>
      </c>
      <c r="R54" s="21" t="n">
        <f aca="false">IF(ISNUMBER(E54),E54,D54)</f>
        <v>0.0578021978021978</v>
      </c>
    </row>
    <row r="55" customFormat="false" ht="15" hidden="false" customHeight="false" outlineLevel="0" collapsed="false">
      <c r="A55" s="13" t="s">
        <v>351</v>
      </c>
      <c r="B55" s="15" t="s">
        <v>349</v>
      </c>
      <c r="C55" s="28" t="n">
        <f aca="false">SUMIFS(dp_fut,dp_catch,$A55)</f>
        <v>200</v>
      </c>
      <c r="D55" s="21" t="n">
        <f aca="false">IF(SUM($C$53:$C$67)&gt;0,C55/SUM($C$53:$C$67),1/15)</f>
        <v>0.043956043956044</v>
      </c>
      <c r="E55" s="24"/>
      <c r="F55" s="21" t="n">
        <f aca="false">R55/SUM($R$53:$R$67)</f>
        <v>0.043956043956044</v>
      </c>
      <c r="G55" s="28" t="n">
        <f aca="false">$C$51*F55</f>
        <v>420.553846153846</v>
      </c>
      <c r="H55" s="28" t="n">
        <f aca="false">SUMIFS(dp_uc,dp_catch,$A55)*r_uc+SUMIFS(dp_pns,dp_catch,$A55)*r_pns+SUMIFS(dp_stl,dp_catch,$A55)*r_stl-(1-pbsa)*SUMIFS(dm_units,dm_catch,$A55,dm_tenure,"Student (PBSA)",dm_live,1)+SUMIFS(dp_unc,dp_catch,$A55,dp_grp,"Audit")*r_unc+SUMIFS(dp_unc,dp_catch,$A55,dp_grp,"Zoned")*r_zon</f>
        <v>124.4</v>
      </c>
      <c r="I55" s="28" t="n">
        <f aca="false">MAX(0,G55-H55)</f>
        <v>296.153846153846</v>
      </c>
      <c r="J55" s="28" t="n">
        <f aca="false">MAX(0,H55-G55)</f>
        <v>0</v>
      </c>
      <c r="K55" s="42" t="n">
        <f aca="false">IF(set_dph_ovr&gt;0,set_dph_ovr,IFERROR(SUMIFS(dp_unc,dp_catch,$A55,dp_grp,"Zoned")/SUMIFS(dp_uarea,dp_catch,$A55,dp_grp,"Zoned"),new_cty))</f>
        <v>23.4870137939605</v>
      </c>
      <c r="L55" s="28" t="n">
        <f aca="false">I55/r_new</f>
        <v>370.192307692308</v>
      </c>
      <c r="M55" s="39" t="n">
        <f aca="false">IF(K55&gt;0,L55/(K55*dev_share),0)</f>
        <v>17.3204110704111</v>
      </c>
      <c r="R55" s="21" t="n">
        <f aca="false">IF(ISNUMBER(E55),E55,D55)</f>
        <v>0.043956043956044</v>
      </c>
    </row>
    <row r="56" customFormat="false" ht="15" hidden="false" customHeight="false" outlineLevel="0" collapsed="false">
      <c r="A56" s="13" t="s">
        <v>352</v>
      </c>
      <c r="B56" s="15" t="s">
        <v>349</v>
      </c>
      <c r="C56" s="28" t="n">
        <f aca="false">SUMIFS(dp_fut,dp_catch,$A56)</f>
        <v>425</v>
      </c>
      <c r="D56" s="21" t="n">
        <f aca="false">IF(SUM($C$53:$C$67)&gt;0,C56/SUM($C$53:$C$67),1/15)</f>
        <v>0.0934065934065934</v>
      </c>
      <c r="E56" s="24"/>
      <c r="F56" s="21" t="n">
        <f aca="false">R56/SUM($R$53:$R$67)</f>
        <v>0.0934065934065934</v>
      </c>
      <c r="G56" s="28" t="n">
        <f aca="false">$C$51*F56</f>
        <v>893.676923076923</v>
      </c>
      <c r="H56" s="28" t="n">
        <f aca="false">SUMIFS(dp_uc,dp_catch,$A56)*r_uc+SUMIFS(dp_pns,dp_catch,$A56)*r_pns+SUMIFS(dp_stl,dp_catch,$A56)*r_stl-(1-pbsa)*SUMIFS(dm_units,dm_catch,$A56,dm_tenure,"Student (PBSA)",dm_live,1)+SUMIFS(dp_unc,dp_catch,$A56,dp_grp,"Audit")*r_unc+SUMIFS(dp_unc,dp_catch,$A56,dp_grp,"Zoned")*r_zon</f>
        <v>283</v>
      </c>
      <c r="I56" s="28" t="n">
        <f aca="false">MAX(0,G56-H56)</f>
        <v>610.676923076923</v>
      </c>
      <c r="J56" s="28" t="n">
        <f aca="false">MAX(0,H56-G56)</f>
        <v>0</v>
      </c>
      <c r="K56" s="42" t="n">
        <f aca="false">IF(set_dph_ovr&gt;0,set_dph_ovr,IFERROR(SUMIFS(dp_unc,dp_catch,$A56,dp_grp,"Zoned")/SUMIFS(dp_uarea,dp_catch,$A56,dp_grp,"Zoned"),new_cty))</f>
        <v>22.432859399684</v>
      </c>
      <c r="L56" s="28" t="n">
        <f aca="false">I56/r_new</f>
        <v>763.346153846154</v>
      </c>
      <c r="M56" s="39" t="n">
        <f aca="false">IF(K56&gt;0,L56/(K56*dev_share),0)</f>
        <v>37.3934464776827</v>
      </c>
      <c r="R56" s="21" t="n">
        <f aca="false">IF(ISNUMBER(E56),E56,D56)</f>
        <v>0.0934065934065934</v>
      </c>
    </row>
    <row r="57" customFormat="false" ht="15" hidden="false" customHeight="false" outlineLevel="0" collapsed="false">
      <c r="A57" s="13" t="s">
        <v>353</v>
      </c>
      <c r="B57" s="15" t="s">
        <v>349</v>
      </c>
      <c r="C57" s="28" t="n">
        <f aca="false">SUMIFS(dp_fut,dp_catch,$A57)</f>
        <v>296</v>
      </c>
      <c r="D57" s="21" t="n">
        <f aca="false">IF(SUM($C$53:$C$67)&gt;0,C57/SUM($C$53:$C$67),1/15)</f>
        <v>0.0650549450549451</v>
      </c>
      <c r="E57" s="24"/>
      <c r="F57" s="21" t="n">
        <f aca="false">R57/SUM($R$53:$R$67)</f>
        <v>0.0650549450549451</v>
      </c>
      <c r="G57" s="28" t="n">
        <f aca="false">$C$51*F57</f>
        <v>622.419692307692</v>
      </c>
      <c r="H57" s="28" t="n">
        <f aca="false">SUMIFS(dp_uc,dp_catch,$A57)*r_uc+SUMIFS(dp_pns,dp_catch,$A57)*r_pns+SUMIFS(dp_stl,dp_catch,$A57)*r_stl-(1-pbsa)*SUMIFS(dm_units,dm_catch,$A57,dm_tenure,"Student (PBSA)",dm_live,1)+SUMIFS(dp_unc,dp_catch,$A57,dp_grp,"Audit")*r_unc+SUMIFS(dp_unc,dp_catch,$A57,dp_grp,"Zoned")*r_zon</f>
        <v>210.7</v>
      </c>
      <c r="I57" s="28" t="n">
        <f aca="false">MAX(0,G57-H57)</f>
        <v>411.719692307692</v>
      </c>
      <c r="J57" s="28" t="n">
        <f aca="false">MAX(0,H57-G57)</f>
        <v>0</v>
      </c>
      <c r="K57" s="42" t="n">
        <f aca="false">IF(set_dph_ovr&gt;0,set_dph_ovr,IFERROR(SUMIFS(dp_unc,dp_catch,$A57,dp_grp,"Zoned")/SUMIFS(dp_uarea,dp_catch,$A57,dp_grp,"Zoned"),new_cty))</f>
        <v>22.5841476655809</v>
      </c>
      <c r="L57" s="28" t="n">
        <f aca="false">I57/r_new</f>
        <v>514.649615384616</v>
      </c>
      <c r="M57" s="39" t="n">
        <f aca="false">IF(K57&gt;0,L57/(K57*dev_share),0)</f>
        <v>25.041858398628</v>
      </c>
      <c r="R57" s="21" t="n">
        <f aca="false">IF(ISNUMBER(E57),E57,D57)</f>
        <v>0.0650549450549451</v>
      </c>
    </row>
    <row r="58" customFormat="false" ht="15" hidden="false" customHeight="false" outlineLevel="0" collapsed="false">
      <c r="A58" s="13" t="s">
        <v>354</v>
      </c>
      <c r="B58" s="15" t="s">
        <v>349</v>
      </c>
      <c r="C58" s="28" t="n">
        <f aca="false">SUMIFS(dp_fut,dp_catch,$A58)</f>
        <v>190</v>
      </c>
      <c r="D58" s="21" t="n">
        <f aca="false">IF(SUM($C$53:$C$67)&gt;0,C58/SUM($C$53:$C$67),1/15)</f>
        <v>0.0417582417582418</v>
      </c>
      <c r="E58" s="24"/>
      <c r="F58" s="21" t="n">
        <f aca="false">R58/SUM($R$53:$R$67)</f>
        <v>0.0417582417582418</v>
      </c>
      <c r="G58" s="28" t="n">
        <f aca="false">$C$51*F58</f>
        <v>399.526153846154</v>
      </c>
      <c r="H58" s="28" t="n">
        <f aca="false">SUMIFS(dp_uc,dp_catch,$A58)*r_uc+SUMIFS(dp_pns,dp_catch,$A58)*r_pns+SUMIFS(dp_stl,dp_catch,$A58)*r_stl-(1-pbsa)*SUMIFS(dm_units,dm_catch,$A58,dm_tenure,"Student (PBSA)",dm_live,1)+SUMIFS(dp_unc,dp_catch,$A58,dp_grp,"Audit")*r_unc+SUMIFS(dp_unc,dp_catch,$A58,dp_grp,"Zoned")*r_zon</f>
        <v>114</v>
      </c>
      <c r="I58" s="28" t="n">
        <f aca="false">MAX(0,G58-H58)</f>
        <v>285.526153846154</v>
      </c>
      <c r="J58" s="28" t="n">
        <f aca="false">MAX(0,H58-G58)</f>
        <v>0</v>
      </c>
      <c r="K58" s="42" t="n">
        <f aca="false">IF(set_dph_ovr&gt;0,set_dph_ovr,IFERROR(SUMIFS(dp_unc,dp_catch,$A58,dp_grp,"Zoned")/SUMIFS(dp_uarea,dp_catch,$A58,dp_grp,"Zoned"),new_cty))</f>
        <v>23.7470316210474</v>
      </c>
      <c r="L58" s="28" t="n">
        <f aca="false">I58/r_new</f>
        <v>356.907692307692</v>
      </c>
      <c r="M58" s="39" t="n">
        <f aca="false">IF(K58&gt;0,L58/(K58*dev_share),0)</f>
        <v>16.5160118343195</v>
      </c>
      <c r="R58" s="21" t="n">
        <f aca="false">IF(ISNUMBER(E58),E58,D58)</f>
        <v>0.0417582417582418</v>
      </c>
    </row>
    <row r="59" customFormat="false" ht="15" hidden="false" customHeight="false" outlineLevel="0" collapsed="false">
      <c r="A59" s="13" t="s">
        <v>355</v>
      </c>
      <c r="B59" s="15" t="s">
        <v>356</v>
      </c>
      <c r="C59" s="28" t="n">
        <f aca="false">SUMIFS(dp_fut,dp_catch,$A59)</f>
        <v>417</v>
      </c>
      <c r="D59" s="21" t="n">
        <f aca="false">IF(SUM($C$53:$C$67)&gt;0,C59/SUM($C$53:$C$67),1/15)</f>
        <v>0.0916483516483517</v>
      </c>
      <c r="E59" s="24"/>
      <c r="F59" s="21" t="n">
        <f aca="false">R59/SUM($R$53:$R$67)</f>
        <v>0.0916483516483517</v>
      </c>
      <c r="G59" s="28" t="n">
        <f aca="false">$C$51*F59</f>
        <v>876.854769230769</v>
      </c>
      <c r="H59" s="28" t="n">
        <f aca="false">SUMIFS(dp_uc,dp_catch,$A59)*r_uc+SUMIFS(dp_pns,dp_catch,$A59)*r_pns+SUMIFS(dp_stl,dp_catch,$A59)*r_stl-(1-pbsa)*SUMIFS(dm_units,dm_catch,$A59,dm_tenure,"Student (PBSA)",dm_live,1)+SUMIFS(dp_unc,dp_catch,$A59,dp_grp,"Audit")*r_unc+SUMIFS(dp_unc,dp_catch,$A59,dp_grp,"Zoned")*r_zon</f>
        <v>308.95</v>
      </c>
      <c r="I59" s="28" t="n">
        <f aca="false">MAX(0,G59-H59)</f>
        <v>567.904769230769</v>
      </c>
      <c r="J59" s="28" t="n">
        <f aca="false">MAX(0,H59-G59)</f>
        <v>0</v>
      </c>
      <c r="K59" s="42" t="n">
        <f aca="false">IF(set_dph_ovr&gt;0,set_dph_ovr,IFERROR(SUMIFS(dp_unc,dp_catch,$A59,dp_grp,"Zoned")/SUMIFS(dp_uarea,dp_catch,$A59,dp_grp,"Zoned"),new_cty))</f>
        <v>22.7950829454589</v>
      </c>
      <c r="L59" s="28" t="n">
        <f aca="false">I59/r_new</f>
        <v>709.880961538462</v>
      </c>
      <c r="M59" s="39" t="n">
        <f aca="false">IF(K59&gt;0,L59/(K59*dev_share),0)</f>
        <v>34.2218087378791</v>
      </c>
      <c r="R59" s="21" t="n">
        <f aca="false">IF(ISNUMBER(E59),E59,D59)</f>
        <v>0.0916483516483517</v>
      </c>
    </row>
    <row r="60" customFormat="false" ht="15" hidden="false" customHeight="false" outlineLevel="0" collapsed="false">
      <c r="A60" s="13" t="s">
        <v>357</v>
      </c>
      <c r="B60" s="15" t="s">
        <v>356</v>
      </c>
      <c r="C60" s="28" t="n">
        <f aca="false">SUMIFS(dp_fut,dp_catch,$A60)</f>
        <v>0</v>
      </c>
      <c r="D60" s="21" t="n">
        <f aca="false">IF(SUM($C$53:$C$67)&gt;0,C60/SUM($C$53:$C$67),1/15)</f>
        <v>0</v>
      </c>
      <c r="E60" s="24"/>
      <c r="F60" s="21" t="n">
        <f aca="false">R60/SUM($R$53:$R$67)</f>
        <v>0</v>
      </c>
      <c r="G60" s="28" t="n">
        <f aca="false">$C$51*F60</f>
        <v>0</v>
      </c>
      <c r="H60" s="28" t="n">
        <f aca="false">SUMIFS(dp_uc,dp_catch,$A60)*r_uc+SUMIFS(dp_pns,dp_catch,$A60)*r_pns+SUMIFS(dp_stl,dp_catch,$A60)*r_stl-(1-pbsa)*SUMIFS(dm_units,dm_catch,$A60,dm_tenure,"Student (PBSA)",dm_live,1)+SUMIFS(dp_unc,dp_catch,$A60,dp_grp,"Audit")*r_unc+SUMIFS(dp_unc,dp_catch,$A60,dp_grp,"Zoned")*r_zon</f>
        <v>0</v>
      </c>
      <c r="I60" s="28" t="n">
        <f aca="false">MAX(0,G60-H60)</f>
        <v>0</v>
      </c>
      <c r="J60" s="28" t="n">
        <f aca="false">MAX(0,H60-G60)</f>
        <v>0</v>
      </c>
      <c r="K60" s="42" t="n">
        <f aca="false">IF(set_dph_ovr&gt;0,set_dph_ovr,IFERROR(SUMIFS(dp_unc,dp_catch,$A60,dp_grp,"Zoned")/SUMIFS(dp_uarea,dp_catch,$A60,dp_grp,"Zoned"),new_cty))</f>
        <v>23.3358613656777</v>
      </c>
      <c r="L60" s="28" t="n">
        <f aca="false">I60/r_new</f>
        <v>0</v>
      </c>
      <c r="M60" s="39" t="n">
        <f aca="false">IF(K60&gt;0,L60/(K60*dev_share),0)</f>
        <v>0</v>
      </c>
      <c r="R60" s="21" t="n">
        <f aca="false">IF(ISNUMBER(E60),E60,D60)</f>
        <v>0</v>
      </c>
    </row>
    <row r="61" customFormat="false" ht="15" hidden="false" customHeight="false" outlineLevel="0" collapsed="false">
      <c r="A61" s="13" t="s">
        <v>358</v>
      </c>
      <c r="B61" s="15" t="s">
        <v>356</v>
      </c>
      <c r="C61" s="28" t="n">
        <f aca="false">SUMIFS(dp_fut,dp_catch,$A61)</f>
        <v>152</v>
      </c>
      <c r="D61" s="21" t="n">
        <f aca="false">IF(SUM($C$53:$C$67)&gt;0,C61/SUM($C$53:$C$67),1/15)</f>
        <v>0.0334065934065934</v>
      </c>
      <c r="E61" s="24"/>
      <c r="F61" s="21" t="n">
        <f aca="false">R61/SUM($R$53:$R$67)</f>
        <v>0.0334065934065934</v>
      </c>
      <c r="G61" s="28" t="n">
        <f aca="false">$C$51*F61</f>
        <v>319.620923076923</v>
      </c>
      <c r="H61" s="28" t="n">
        <f aca="false">SUMIFS(dp_uc,dp_catch,$A61)*r_uc+SUMIFS(dp_pns,dp_catch,$A61)*r_pns+SUMIFS(dp_stl,dp_catch,$A61)*r_stl-(1-pbsa)*SUMIFS(dm_units,dm_catch,$A61,dm_tenure,"Student (PBSA)",dm_live,1)+SUMIFS(dp_unc,dp_catch,$A61,dp_grp,"Audit")*r_unc+SUMIFS(dp_unc,dp_catch,$A61,dp_grp,"Zoned")*r_zon</f>
        <v>118.9</v>
      </c>
      <c r="I61" s="28" t="n">
        <f aca="false">MAX(0,G61-H61)</f>
        <v>200.720923076923</v>
      </c>
      <c r="J61" s="28" t="n">
        <f aca="false">MAX(0,H61-G61)</f>
        <v>0</v>
      </c>
      <c r="K61" s="42" t="n">
        <f aca="false">IF(set_dph_ovr&gt;0,set_dph_ovr,IFERROR(SUMIFS(dp_unc,dp_catch,$A61,dp_grp,"Zoned")/SUMIFS(dp_uarea,dp_catch,$A61,dp_grp,"Zoned"),new_cty))</f>
        <v>22.1276595744681</v>
      </c>
      <c r="L61" s="28" t="n">
        <f aca="false">I61/r_new</f>
        <v>250.901153846154</v>
      </c>
      <c r="M61" s="39" t="n">
        <f aca="false">IF(K61&gt;0,L61/(K61*dev_share),0)</f>
        <v>12.4602221373301</v>
      </c>
      <c r="R61" s="21" t="n">
        <f aca="false">IF(ISNUMBER(E61),E61,D61)</f>
        <v>0.0334065934065934</v>
      </c>
    </row>
    <row r="62" customFormat="false" ht="15" hidden="false" customHeight="false" outlineLevel="0" collapsed="false">
      <c r="A62" s="13" t="s">
        <v>359</v>
      </c>
      <c r="B62" s="15" t="s">
        <v>356</v>
      </c>
      <c r="C62" s="28" t="n">
        <f aca="false">SUMIFS(dp_fut,dp_catch,$A62)</f>
        <v>53</v>
      </c>
      <c r="D62" s="21" t="n">
        <f aca="false">IF(SUM($C$53:$C$67)&gt;0,C62/SUM($C$53:$C$67),1/15)</f>
        <v>0.0116483516483516</v>
      </c>
      <c r="E62" s="24"/>
      <c r="F62" s="21" t="n">
        <f aca="false">R62/SUM($R$53:$R$67)</f>
        <v>0.0116483516483516</v>
      </c>
      <c r="G62" s="28" t="n">
        <f aca="false">$C$51*F62</f>
        <v>111.446769230769</v>
      </c>
      <c r="H62" s="28" t="n">
        <f aca="false">SUMIFS(dp_uc,dp_catch,$A62)*r_uc+SUMIFS(dp_pns,dp_catch,$A62)*r_pns+SUMIFS(dp_stl,dp_catch,$A62)*r_stl-(1-pbsa)*SUMIFS(dm_units,dm_catch,$A62,dm_tenure,"Student (PBSA)",dm_live,1)+SUMIFS(dp_unc,dp_catch,$A62,dp_grp,"Audit")*r_unc+SUMIFS(dp_unc,dp_catch,$A62,dp_grp,"Zoned")*r_zon</f>
        <v>42.35</v>
      </c>
      <c r="I62" s="28" t="n">
        <f aca="false">MAX(0,G62-H62)</f>
        <v>69.0967692307692</v>
      </c>
      <c r="J62" s="28" t="n">
        <f aca="false">MAX(0,H62-G62)</f>
        <v>0</v>
      </c>
      <c r="K62" s="42" t="n">
        <f aca="false">IF(set_dph_ovr&gt;0,set_dph_ovr,IFERROR(SUMIFS(dp_unc,dp_catch,$A62,dp_grp,"Zoned")/SUMIFS(dp_uarea,dp_catch,$A62,dp_grp,"Zoned"),new_cty))</f>
        <v>21.8978102189781</v>
      </c>
      <c r="L62" s="28" t="n">
        <f aca="false">I62/r_new</f>
        <v>86.3709615384615</v>
      </c>
      <c r="M62" s="39" t="n">
        <f aca="false">IF(K62&gt;0,L62/(K62*dev_share),0)</f>
        <v>4.3343669343477</v>
      </c>
      <c r="R62" s="21" t="n">
        <f aca="false">IF(ISNUMBER(E62),E62,D62)</f>
        <v>0.0116483516483516</v>
      </c>
    </row>
    <row r="63" customFormat="false" ht="15" hidden="false" customHeight="false" outlineLevel="0" collapsed="false">
      <c r="A63" s="13" t="s">
        <v>360</v>
      </c>
      <c r="B63" s="15" t="s">
        <v>356</v>
      </c>
      <c r="C63" s="28" t="n">
        <f aca="false">SUMIFS(dp_fut,dp_catch,$A63)</f>
        <v>313</v>
      </c>
      <c r="D63" s="21" t="n">
        <f aca="false">IF(SUM($C$53:$C$67)&gt;0,C63/SUM($C$53:$C$67),1/15)</f>
        <v>0.0687912087912088</v>
      </c>
      <c r="E63" s="24"/>
      <c r="F63" s="21" t="n">
        <f aca="false">R63/SUM($R$53:$R$67)</f>
        <v>0.0687912087912088</v>
      </c>
      <c r="G63" s="28" t="n">
        <f aca="false">$C$51*F63</f>
        <v>658.166769230769</v>
      </c>
      <c r="H63" s="28" t="n">
        <f aca="false">SUMIFS(dp_uc,dp_catch,$A63)*r_uc+SUMIFS(dp_pns,dp_catch,$A63)*r_pns+SUMIFS(dp_stl,dp_catch,$A63)*r_stl-(1-pbsa)*SUMIFS(dm_units,dm_catch,$A63,dm_tenure,"Student (PBSA)",dm_live,1)+SUMIFS(dp_unc,dp_catch,$A63,dp_grp,"Audit")*r_unc+SUMIFS(dp_unc,dp_catch,$A63,dp_grp,"Zoned")*r_zon</f>
        <v>218.05</v>
      </c>
      <c r="I63" s="28" t="n">
        <f aca="false">MAX(0,G63-H63)</f>
        <v>440.116769230769</v>
      </c>
      <c r="J63" s="28" t="n">
        <f aca="false">MAX(0,H63-G63)</f>
        <v>0</v>
      </c>
      <c r="K63" s="42" t="n">
        <f aca="false">IF(set_dph_ovr&gt;0,set_dph_ovr,IFERROR(SUMIFS(dp_unc,dp_catch,$A63,dp_grp,"Zoned")/SUMIFS(dp_uarea,dp_catch,$A63,dp_grp,"Zoned"),new_cty))</f>
        <v>23.0050323508267</v>
      </c>
      <c r="L63" s="28" t="n">
        <f aca="false">I63/r_new</f>
        <v>550.145961538462</v>
      </c>
      <c r="M63" s="39" t="n">
        <f aca="false">IF(K63&gt;0,L63/(K63*dev_share),0)</f>
        <v>26.279293698489</v>
      </c>
      <c r="R63" s="21" t="n">
        <f aca="false">IF(ISNUMBER(E63),E63,D63)</f>
        <v>0.0687912087912088</v>
      </c>
    </row>
    <row r="64" customFormat="false" ht="15" hidden="false" customHeight="false" outlineLevel="0" collapsed="false">
      <c r="A64" s="13" t="s">
        <v>361</v>
      </c>
      <c r="B64" s="15" t="s">
        <v>356</v>
      </c>
      <c r="C64" s="28" t="n">
        <f aca="false">SUMIFS(dp_fut,dp_catch,$A64)</f>
        <v>69</v>
      </c>
      <c r="D64" s="21" t="n">
        <f aca="false">IF(SUM($C$53:$C$67)&gt;0,C64/SUM($C$53:$C$67),1/15)</f>
        <v>0.0151648351648352</v>
      </c>
      <c r="E64" s="24"/>
      <c r="F64" s="21" t="n">
        <f aca="false">R64/SUM($R$53:$R$67)</f>
        <v>0.0151648351648352</v>
      </c>
      <c r="G64" s="28" t="n">
        <f aca="false">$C$51*F64</f>
        <v>145.091076923077</v>
      </c>
      <c r="H64" s="28" t="n">
        <f aca="false">SUMIFS(dp_uc,dp_catch,$A64)*r_uc+SUMIFS(dp_pns,dp_catch,$A64)*r_pns+SUMIFS(dp_stl,dp_catch,$A64)*r_stl-(1-pbsa)*SUMIFS(dm_units,dm_catch,$A64,dm_tenure,"Student (PBSA)",dm_live,1)+SUMIFS(dp_unc,dp_catch,$A64,dp_grp,"Audit")*r_unc+SUMIFS(dp_unc,dp_catch,$A64,dp_grp,"Zoned")*r_zon</f>
        <v>41.4</v>
      </c>
      <c r="I64" s="28" t="n">
        <f aca="false">MAX(0,G64-H64)</f>
        <v>103.691076923077</v>
      </c>
      <c r="J64" s="28" t="n">
        <f aca="false">MAX(0,H64-G64)</f>
        <v>0</v>
      </c>
      <c r="K64" s="42" t="n">
        <f aca="false">IF(set_dph_ovr&gt;0,set_dph_ovr,IFERROR(SUMIFS(dp_unc,dp_catch,$A64,dp_grp,"Zoned")/SUMIFS(dp_uarea,dp_catch,$A64,dp_grp,"Zoned"),new_cty))</f>
        <v>23.2793522267206</v>
      </c>
      <c r="L64" s="28" t="n">
        <f aca="false">I64/r_new</f>
        <v>129.613846153846</v>
      </c>
      <c r="M64" s="39" t="n">
        <f aca="false">IF(K64&gt;0,L64/(K64*dev_share),0)</f>
        <v>6.11841758241758</v>
      </c>
      <c r="R64" s="21" t="n">
        <f aca="false">IF(ISNUMBER(E64),E64,D64)</f>
        <v>0.0151648351648352</v>
      </c>
    </row>
    <row r="65" customFormat="false" ht="15" hidden="false" customHeight="false" outlineLevel="0" collapsed="false">
      <c r="A65" s="13" t="s">
        <v>362</v>
      </c>
      <c r="B65" s="15" t="s">
        <v>356</v>
      </c>
      <c r="C65" s="28" t="n">
        <f aca="false">SUMIFS(dp_fut,dp_catch,$A65)</f>
        <v>78</v>
      </c>
      <c r="D65" s="21" t="n">
        <f aca="false">IF(SUM($C$53:$C$67)&gt;0,C65/SUM($C$53:$C$67),1/15)</f>
        <v>0.0171428571428571</v>
      </c>
      <c r="E65" s="24"/>
      <c r="F65" s="21" t="n">
        <f aca="false">R65/SUM($R$53:$R$67)</f>
        <v>0.0171428571428571</v>
      </c>
      <c r="G65" s="28" t="n">
        <f aca="false">$C$51*F65</f>
        <v>164.016</v>
      </c>
      <c r="H65" s="28" t="n">
        <f aca="false">SUMIFS(dp_uc,dp_catch,$A65)*r_uc+SUMIFS(dp_pns,dp_catch,$A65)*r_pns+SUMIFS(dp_stl,dp_catch,$A65)*r_stl-(1-pbsa)*SUMIFS(dm_units,dm_catch,$A65,dm_tenure,"Student (PBSA)",dm_live,1)+SUMIFS(dp_unc,dp_catch,$A65,dp_grp,"Audit")*r_unc+SUMIFS(dp_unc,dp_catch,$A65,dp_grp,"Zoned")*r_zon</f>
        <v>52.4</v>
      </c>
      <c r="I65" s="28" t="n">
        <f aca="false">MAX(0,G65-H65)</f>
        <v>111.616</v>
      </c>
      <c r="J65" s="28" t="n">
        <f aca="false">MAX(0,H65-G65)</f>
        <v>0</v>
      </c>
      <c r="K65" s="42" t="n">
        <f aca="false">IF(set_dph_ovr&gt;0,set_dph_ovr,IFERROR(SUMIFS(dp_unc,dp_catch,$A65,dp_grp,"Zoned")/SUMIFS(dp_uarea,dp_catch,$A65,dp_grp,"Zoned"),new_cty))</f>
        <v>22.206800832755</v>
      </c>
      <c r="L65" s="28" t="n">
        <f aca="false">I65/r_new</f>
        <v>139.52</v>
      </c>
      <c r="M65" s="39" t="n">
        <f aca="false">IF(K65&gt;0,L65/(K65*dev_share),0)</f>
        <v>6.90413186813187</v>
      </c>
      <c r="R65" s="21" t="n">
        <f aca="false">IF(ISNUMBER(E65),E65,D65)</f>
        <v>0.0171428571428571</v>
      </c>
    </row>
    <row r="66" customFormat="false" ht="15" hidden="false" customHeight="false" outlineLevel="0" collapsed="false">
      <c r="A66" s="13" t="s">
        <v>363</v>
      </c>
      <c r="B66" s="15" t="s">
        <v>356</v>
      </c>
      <c r="C66" s="28" t="n">
        <f aca="false">SUMIFS(dp_fut,dp_catch,$A66)</f>
        <v>132</v>
      </c>
      <c r="D66" s="21" t="n">
        <f aca="false">IF(SUM($C$53:$C$67)&gt;0,C66/SUM($C$53:$C$67),1/15)</f>
        <v>0.029010989010989</v>
      </c>
      <c r="E66" s="24"/>
      <c r="F66" s="21" t="n">
        <f aca="false">R66/SUM($R$53:$R$67)</f>
        <v>0.029010989010989</v>
      </c>
      <c r="G66" s="28" t="n">
        <f aca="false">$C$51*F66</f>
        <v>277.565538461539</v>
      </c>
      <c r="H66" s="28" t="n">
        <f aca="false">SUMIFS(dp_uc,dp_catch,$A66)*r_uc+SUMIFS(dp_pns,dp_catch,$A66)*r_pns+SUMIFS(dp_stl,dp_catch,$A66)*r_stl-(1-pbsa)*SUMIFS(dm_units,dm_catch,$A66,dm_tenure,"Student (PBSA)",dm_live,1)+SUMIFS(dp_unc,dp_catch,$A66,dp_grp,"Audit")*r_unc+SUMIFS(dp_unc,dp_catch,$A66,dp_grp,"Zoned")*r_zon</f>
        <v>77.6</v>
      </c>
      <c r="I66" s="28" t="n">
        <f aca="false">MAX(0,G66-H66)</f>
        <v>199.965538461539</v>
      </c>
      <c r="J66" s="28" t="n">
        <f aca="false">MAX(0,H66-G66)</f>
        <v>0</v>
      </c>
      <c r="K66" s="42" t="n">
        <f aca="false">IF(set_dph_ovr&gt;0,set_dph_ovr,IFERROR(SUMIFS(dp_unc,dp_catch,$A66,dp_grp,"Zoned")/SUMIFS(dp_uarea,dp_catch,$A66,dp_grp,"Zoned"),new_cty))</f>
        <v>22.6361707144541</v>
      </c>
      <c r="L66" s="28" t="n">
        <f aca="false">I66/r_new</f>
        <v>249.956923076923</v>
      </c>
      <c r="M66" s="39" t="n">
        <f aca="false">IF(K66&gt;0,L66/(K66*dev_share),0)</f>
        <v>12.1344701324317</v>
      </c>
      <c r="R66" s="21" t="n">
        <f aca="false">IF(ISNUMBER(E66),E66,D66)</f>
        <v>0.029010989010989</v>
      </c>
    </row>
    <row r="67" customFormat="false" ht="15" hidden="false" customHeight="false" outlineLevel="0" collapsed="false">
      <c r="A67" s="13" t="s">
        <v>364</v>
      </c>
      <c r="B67" s="15" t="s">
        <v>356</v>
      </c>
      <c r="C67" s="28" t="n">
        <f aca="false">SUMIFS(dp_fut,dp_catch,$A67)</f>
        <v>509</v>
      </c>
      <c r="D67" s="21" t="n">
        <f aca="false">IF(SUM($C$53:$C$67)&gt;0,C67/SUM($C$53:$C$67),1/15)</f>
        <v>0.111868131868132</v>
      </c>
      <c r="E67" s="24"/>
      <c r="F67" s="21" t="n">
        <f aca="false">R67/SUM($R$53:$R$67)</f>
        <v>0.111868131868132</v>
      </c>
      <c r="G67" s="28" t="n">
        <f aca="false">$C$51*F67</f>
        <v>1070.30953846154</v>
      </c>
      <c r="H67" s="28" t="n">
        <f aca="false">SUMIFS(dp_uc,dp_catch,$A67)*r_uc+SUMIFS(dp_pns,dp_catch,$A67)*r_pns+SUMIFS(dp_stl,dp_catch,$A67)*r_stl-(1-pbsa)*SUMIFS(dm_units,dm_catch,$A67,dm_tenure,"Student (PBSA)",dm_live,1)+SUMIFS(dp_unc,dp_catch,$A67,dp_grp,"Audit")*r_unc+SUMIFS(dp_unc,dp_catch,$A67,dp_grp,"Zoned")*r_zon</f>
        <v>437.7</v>
      </c>
      <c r="I67" s="28" t="n">
        <f aca="false">MAX(0,G67-H67)</f>
        <v>632.609538461539</v>
      </c>
      <c r="J67" s="28" t="n">
        <f aca="false">MAX(0,H67-G67)</f>
        <v>0</v>
      </c>
      <c r="K67" s="42" t="n">
        <f aca="false">IF(set_dph_ovr&gt;0,set_dph_ovr,IFERROR(SUMIFS(dp_unc,dp_catch,$A67,dp_grp,"Zoned")/SUMIFS(dp_uarea,dp_catch,$A67,dp_grp,"Zoned"),new_cty))</f>
        <v>24.55919395466</v>
      </c>
      <c r="L67" s="28" t="n">
        <f aca="false">I67/r_new</f>
        <v>790.761923076923</v>
      </c>
      <c r="M67" s="39" t="n">
        <f aca="false">IF(K67&gt;0,L67/(K67*dev_share),0)</f>
        <v>35.3826411340139</v>
      </c>
      <c r="R67" s="21" t="n">
        <f aca="false">IF(ISNUMBER(E67),E67,D67)</f>
        <v>0.111868131868132</v>
      </c>
    </row>
    <row r="68" customFormat="false" ht="15" hidden="false" customHeight="false" outlineLevel="0" collapsed="false">
      <c r="A68" s="29" t="s">
        <v>393</v>
      </c>
      <c r="B68" s="40"/>
      <c r="C68" s="30" t="n">
        <f aca="false">SUM(C53:C67)</f>
        <v>4550</v>
      </c>
      <c r="D68" s="36" t="n">
        <f aca="false">SUM(D53:D67)</f>
        <v>1</v>
      </c>
      <c r="F68" s="36" t="n">
        <f aca="false">SUM(F53:F67)</f>
        <v>1</v>
      </c>
      <c r="G68" s="30" t="n">
        <f aca="false">SUM(G53:G67)</f>
        <v>9567.6</v>
      </c>
      <c r="H68" s="30" t="n">
        <f aca="false">SUM(H53:H67)</f>
        <v>3155.65</v>
      </c>
      <c r="I68" s="30" t="n">
        <f aca="false">SUM(I53:I67)</f>
        <v>6411.95</v>
      </c>
      <c r="J68" s="30" t="n">
        <f aca="false">SUM(J53:J67)</f>
        <v>0</v>
      </c>
      <c r="K68" s="43" t="n">
        <f aca="false">IF(M68&gt;0,L68/(M68*dev_share),0)</f>
        <v>23.4769815994405</v>
      </c>
      <c r="L68" s="30" t="n">
        <f aca="false">SUM(L53:L67)</f>
        <v>8014.9375</v>
      </c>
      <c r="M68" s="41" t="n">
        <f aca="false">SUM(M53:M67)</f>
        <v>375.159966329893</v>
      </c>
    </row>
    <row r="69" customFormat="false" ht="39.75" hidden="false" customHeight="true" outlineLevel="0" collapsed="false">
      <c r="A69" s="33" t="s">
        <v>394</v>
      </c>
      <c r="B69" s="33"/>
      <c r="C69" s="33"/>
      <c r="D69" s="33"/>
      <c r="E69" s="33"/>
      <c r="F69" s="33"/>
      <c r="G69" s="33"/>
      <c r="H69" s="33"/>
      <c r="I69" s="33"/>
      <c r="J69" s="33"/>
      <c r="K69" s="33"/>
      <c r="L69" s="33"/>
      <c r="M69" s="33"/>
      <c r="N69" s="33"/>
      <c r="O69" s="33"/>
      <c r="P69" s="33"/>
      <c r="Q69" s="33"/>
    </row>
  </sheetData>
  <mergeCells count="3">
    <mergeCell ref="A40:Q40"/>
    <mergeCell ref="A48:Q48"/>
    <mergeCell ref="A69:Q69"/>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FA34A"/>
    <pageSetUpPr fitToPage="true"/>
  </sheetPr>
  <dimension ref="A1:R8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2"/>
    <col collapsed="false" customWidth="true" hidden="false" outlineLevel="0" max="18" min="3" style="0" width="9.51"/>
  </cols>
  <sheetData>
    <row r="1" customFormat="false" ht="30" hidden="false" customHeight="true" outlineLevel="0" collapsed="false">
      <c r="A1" s="1" t="s">
        <v>395</v>
      </c>
      <c r="B1" s="2"/>
      <c r="C1" s="2"/>
      <c r="D1" s="2"/>
      <c r="E1" s="2"/>
      <c r="F1" s="2"/>
      <c r="G1" s="2"/>
      <c r="H1" s="2"/>
      <c r="I1" s="2"/>
      <c r="J1" s="2"/>
      <c r="K1" s="2"/>
      <c r="L1" s="2"/>
      <c r="M1" s="2"/>
      <c r="N1" s="2"/>
      <c r="O1" s="2"/>
      <c r="P1" s="2"/>
      <c r="Q1" s="2"/>
      <c r="R1" s="2"/>
    </row>
    <row r="2" customFormat="false" ht="18" hidden="false" customHeight="true" outlineLevel="0" collapsed="false">
      <c r="A2" s="3" t="s">
        <v>396</v>
      </c>
      <c r="B2" s="2"/>
      <c r="C2" s="2"/>
      <c r="D2" s="2"/>
      <c r="E2" s="2"/>
      <c r="F2" s="2"/>
      <c r="G2" s="2"/>
      <c r="H2" s="2"/>
      <c r="I2" s="2"/>
      <c r="J2" s="2"/>
      <c r="K2" s="2"/>
      <c r="L2" s="2"/>
      <c r="M2" s="2"/>
      <c r="N2" s="2"/>
      <c r="O2" s="2"/>
      <c r="P2" s="2"/>
      <c r="Q2" s="2"/>
      <c r="R2" s="2"/>
    </row>
    <row r="3" customFormat="false" ht="3.75" hidden="false" customHeight="true" outlineLevel="0" collapsed="false">
      <c r="A3" s="4"/>
      <c r="B3" s="4"/>
      <c r="C3" s="4"/>
      <c r="D3" s="4"/>
      <c r="E3" s="4"/>
      <c r="F3" s="4"/>
      <c r="G3" s="4"/>
      <c r="H3" s="4"/>
      <c r="I3" s="4"/>
      <c r="J3" s="4"/>
      <c r="K3" s="4"/>
      <c r="L3" s="4"/>
      <c r="M3" s="4"/>
      <c r="N3" s="4"/>
      <c r="O3" s="4"/>
      <c r="P3" s="4"/>
      <c r="Q3" s="4"/>
      <c r="R3" s="4"/>
    </row>
    <row r="5" customFormat="false" ht="15" hidden="false" customHeight="false" outlineLevel="0" collapsed="false">
      <c r="A5" s="9" t="s">
        <v>397</v>
      </c>
      <c r="B5" s="10"/>
      <c r="C5" s="10"/>
      <c r="D5" s="10"/>
      <c r="E5" s="10"/>
      <c r="F5" s="10"/>
      <c r="G5" s="10"/>
      <c r="H5" s="10"/>
      <c r="I5" s="10"/>
      <c r="J5" s="10"/>
      <c r="K5" s="10"/>
      <c r="L5" s="10"/>
      <c r="M5" s="10"/>
      <c r="N5" s="10"/>
      <c r="O5" s="10"/>
      <c r="P5" s="10"/>
      <c r="Q5" s="10"/>
      <c r="R5" s="10"/>
    </row>
    <row r="6" customFormat="false" ht="51.75" hidden="false" customHeight="true" outlineLevel="0" collapsed="false">
      <c r="A6" s="25" t="s">
        <v>398</v>
      </c>
      <c r="B6" s="25"/>
      <c r="C6" s="25" t="s">
        <v>399</v>
      </c>
      <c r="D6" s="25" t="s">
        <v>208</v>
      </c>
      <c r="E6" s="25" t="s">
        <v>209</v>
      </c>
      <c r="F6" s="25" t="s">
        <v>60</v>
      </c>
      <c r="G6" s="25" t="s">
        <v>400</v>
      </c>
      <c r="H6" s="25" t="s">
        <v>210</v>
      </c>
      <c r="I6" s="25" t="s">
        <v>401</v>
      </c>
      <c r="J6" s="25" t="s">
        <v>402</v>
      </c>
      <c r="K6" s="25" t="s">
        <v>403</v>
      </c>
      <c r="L6" s="25" t="s">
        <v>404</v>
      </c>
    </row>
    <row r="7" customFormat="false" ht="15" hidden="false" customHeight="false" outlineLevel="0" collapsed="false">
      <c r="A7" s="27" t="n">
        <v>2018</v>
      </c>
      <c r="C7" s="28" t="n">
        <f aca="false">SUMIFS(dm_units,dm_gy,$A7)</f>
        <v>655</v>
      </c>
      <c r="D7" s="28" t="n">
        <f aca="false">SUMIFS(dm_units,dm_gy,$A7,dm_status,"Complete")</f>
        <v>500</v>
      </c>
      <c r="E7" s="28" t="n">
        <f aca="false">SUMIFS(dm_units,dm_gy,$A7,dm_status,"Under construction")</f>
        <v>86</v>
      </c>
      <c r="F7" s="28" t="n">
        <f aca="false">SUMIFS(dm_units,dm_gy,$A7,dm_status,"Stalled")</f>
        <v>0</v>
      </c>
      <c r="G7" s="28" t="n">
        <f aca="false">SUM(D7:F7)</f>
        <v>586</v>
      </c>
      <c r="H7" s="28" t="n">
        <f aca="false">SUMIFS(dm_units,dm_gy,$A7,dm_status,"Permitted – not started")</f>
        <v>12</v>
      </c>
      <c r="I7" s="28" t="n">
        <f aca="false">SUMIFS(dm_units,dm_gy,$A7,dm_status,"Expired – not started")</f>
        <v>57</v>
      </c>
      <c r="J7" s="21" t="n">
        <f aca="false">IF(C7&gt;0,G7/C7,0)</f>
        <v>0.894656488549618</v>
      </c>
      <c r="K7" s="28" t="n">
        <f aca="false">SUMIFS(dm_units,dm_sy,$A7,dm_counted,1)</f>
        <v>63</v>
      </c>
      <c r="L7" s="28" t="n">
        <f aca="false">COUNTIFS(dm_sy,$A7,dm_counted,1)</f>
        <v>3</v>
      </c>
    </row>
    <row r="8" customFormat="false" ht="15" hidden="false" customHeight="false" outlineLevel="0" collapsed="false">
      <c r="A8" s="27" t="n">
        <v>2019</v>
      </c>
      <c r="C8" s="28" t="n">
        <f aca="false">SUMIFS(dm_units,dm_gy,$A8)</f>
        <v>481</v>
      </c>
      <c r="D8" s="28" t="n">
        <f aca="false">SUMIFS(dm_units,dm_gy,$A8,dm_status,"Complete")</f>
        <v>163</v>
      </c>
      <c r="E8" s="28" t="n">
        <f aca="false">SUMIFS(dm_units,dm_gy,$A8,dm_status,"Under construction")</f>
        <v>229</v>
      </c>
      <c r="F8" s="28" t="n">
        <f aca="false">SUMIFS(dm_units,dm_gy,$A8,dm_status,"Stalled")</f>
        <v>0</v>
      </c>
      <c r="G8" s="28" t="n">
        <f aca="false">SUM(D8:F8)</f>
        <v>392</v>
      </c>
      <c r="H8" s="28" t="n">
        <f aca="false">SUMIFS(dm_units,dm_gy,$A8,dm_status,"Permitted – not started")</f>
        <v>39</v>
      </c>
      <c r="I8" s="28" t="n">
        <f aca="false">SUMIFS(dm_units,dm_gy,$A8,dm_status,"Expired – not started")</f>
        <v>50</v>
      </c>
      <c r="J8" s="21" t="n">
        <f aca="false">IF(C8&gt;0,G8/C8,0)</f>
        <v>0.814968814968815</v>
      </c>
      <c r="K8" s="28" t="n">
        <f aca="false">SUMIFS(dm_units,dm_sy,$A8,dm_counted,1)</f>
        <v>161</v>
      </c>
      <c r="L8" s="28" t="n">
        <f aca="false">COUNTIFS(dm_sy,$A8,dm_counted,1)</f>
        <v>11</v>
      </c>
    </row>
    <row r="9" customFormat="false" ht="15" hidden="false" customHeight="false" outlineLevel="0" collapsed="false">
      <c r="A9" s="27" t="n">
        <v>2020</v>
      </c>
      <c r="C9" s="28" t="n">
        <f aca="false">SUMIFS(dm_units,dm_gy,$A9)</f>
        <v>622</v>
      </c>
      <c r="D9" s="28" t="n">
        <f aca="false">SUMIFS(dm_units,dm_gy,$A9,dm_status,"Complete")</f>
        <v>308</v>
      </c>
      <c r="E9" s="28" t="n">
        <f aca="false">SUMIFS(dm_units,dm_gy,$A9,dm_status,"Under construction")</f>
        <v>209</v>
      </c>
      <c r="F9" s="28" t="n">
        <f aca="false">SUMIFS(dm_units,dm_gy,$A9,dm_status,"Stalled")</f>
        <v>32</v>
      </c>
      <c r="G9" s="28" t="n">
        <f aca="false">SUM(D9:F9)</f>
        <v>549</v>
      </c>
      <c r="H9" s="28" t="n">
        <f aca="false">SUMIFS(dm_units,dm_gy,$A9,dm_status,"Permitted – not started")</f>
        <v>45</v>
      </c>
      <c r="I9" s="28" t="n">
        <f aca="false">SUMIFS(dm_units,dm_gy,$A9,dm_status,"Expired – not started")</f>
        <v>28</v>
      </c>
      <c r="J9" s="21" t="n">
        <f aca="false">IF(C9&gt;0,G9/C9,0)</f>
        <v>0.882636655948553</v>
      </c>
      <c r="K9" s="28" t="n">
        <f aca="false">SUMIFS(dm_units,dm_sy,$A9,dm_counted,1)</f>
        <v>301</v>
      </c>
      <c r="L9" s="28" t="n">
        <f aca="false">COUNTIFS(dm_sy,$A9,dm_counted,1)</f>
        <v>12</v>
      </c>
    </row>
    <row r="10" customFormat="false" ht="15" hidden="false" customHeight="false" outlineLevel="0" collapsed="false">
      <c r="A10" s="27" t="n">
        <v>2021</v>
      </c>
      <c r="C10" s="28" t="n">
        <f aca="false">SUMIFS(dm_units,dm_gy,$A10)</f>
        <v>1132</v>
      </c>
      <c r="D10" s="28" t="n">
        <f aca="false">SUMIFS(dm_units,dm_gy,$A10,dm_status,"Complete")</f>
        <v>334</v>
      </c>
      <c r="E10" s="28" t="n">
        <f aca="false">SUMIFS(dm_units,dm_gy,$A10,dm_status,"Under construction")</f>
        <v>580</v>
      </c>
      <c r="F10" s="28" t="n">
        <f aca="false">SUMIFS(dm_units,dm_gy,$A10,dm_status,"Stalled")</f>
        <v>31</v>
      </c>
      <c r="G10" s="28" t="n">
        <f aca="false">SUM(D10:F10)</f>
        <v>945</v>
      </c>
      <c r="H10" s="28" t="n">
        <f aca="false">SUMIFS(dm_units,dm_gy,$A10,dm_status,"Permitted – not started")</f>
        <v>14</v>
      </c>
      <c r="I10" s="28" t="n">
        <f aca="false">SUMIFS(dm_units,dm_gy,$A10,dm_status,"Expired – not started")</f>
        <v>173</v>
      </c>
      <c r="J10" s="21" t="n">
        <f aca="false">IF(C10&gt;0,G10/C10,0)</f>
        <v>0.834805653710247</v>
      </c>
      <c r="K10" s="28" t="n">
        <f aca="false">SUMIFS(dm_units,dm_sy,$A10,dm_counted,1)</f>
        <v>247</v>
      </c>
      <c r="L10" s="28" t="n">
        <f aca="false">COUNTIFS(dm_sy,$A10,dm_counted,1)</f>
        <v>11</v>
      </c>
    </row>
    <row r="11" customFormat="false" ht="15" hidden="false" customHeight="false" outlineLevel="0" collapsed="false">
      <c r="A11" s="27" t="n">
        <v>2022</v>
      </c>
      <c r="C11" s="28" t="n">
        <f aca="false">SUMIFS(dm_units,dm_gy,$A11)</f>
        <v>1634</v>
      </c>
      <c r="D11" s="28" t="n">
        <f aca="false">SUMIFS(dm_units,dm_gy,$A11,dm_status,"Complete")</f>
        <v>187</v>
      </c>
      <c r="E11" s="28" t="n">
        <f aca="false">SUMIFS(dm_units,dm_gy,$A11,dm_status,"Under construction")</f>
        <v>1061</v>
      </c>
      <c r="F11" s="28" t="n">
        <f aca="false">SUMIFS(dm_units,dm_gy,$A11,dm_status,"Stalled")</f>
        <v>0</v>
      </c>
      <c r="G11" s="28" t="n">
        <f aca="false">SUM(D11:F11)</f>
        <v>1248</v>
      </c>
      <c r="H11" s="28" t="n">
        <f aca="false">SUMIFS(dm_units,dm_gy,$A11,dm_status,"Permitted – not started")</f>
        <v>386</v>
      </c>
      <c r="I11" s="28" t="n">
        <f aca="false">SUMIFS(dm_units,dm_gy,$A11,dm_status,"Expired – not started")</f>
        <v>0</v>
      </c>
      <c r="J11" s="21" t="n">
        <f aca="false">IF(C11&gt;0,G11/C11,0)</f>
        <v>0.763769889840881</v>
      </c>
      <c r="K11" s="28" t="n">
        <f aca="false">SUMIFS(dm_units,dm_sy,$A11,dm_counted,1)</f>
        <v>965</v>
      </c>
      <c r="L11" s="28" t="n">
        <f aca="false">COUNTIFS(dm_sy,$A11,dm_counted,1)</f>
        <v>19</v>
      </c>
    </row>
    <row r="12" customFormat="false" ht="15" hidden="false" customHeight="false" outlineLevel="0" collapsed="false">
      <c r="A12" s="27" t="n">
        <v>2023</v>
      </c>
      <c r="C12" s="28" t="n">
        <f aca="false">SUMIFS(dm_units,dm_gy,$A12)</f>
        <v>880</v>
      </c>
      <c r="D12" s="28" t="n">
        <f aca="false">SUMIFS(dm_units,dm_gy,$A12,dm_status,"Complete")</f>
        <v>68</v>
      </c>
      <c r="E12" s="28" t="n">
        <f aca="false">SUMIFS(dm_units,dm_gy,$A12,dm_status,"Under construction")</f>
        <v>496</v>
      </c>
      <c r="F12" s="28" t="n">
        <f aca="false">SUMIFS(dm_units,dm_gy,$A12,dm_status,"Stalled")</f>
        <v>0</v>
      </c>
      <c r="G12" s="28" t="n">
        <f aca="false">SUM(D12:F12)</f>
        <v>564</v>
      </c>
      <c r="H12" s="28" t="n">
        <f aca="false">SUMIFS(dm_units,dm_gy,$A12,dm_status,"Permitted – not started")</f>
        <v>313</v>
      </c>
      <c r="I12" s="28" t="n">
        <f aca="false">SUMIFS(dm_units,dm_gy,$A12,dm_status,"Expired – not started")</f>
        <v>3</v>
      </c>
      <c r="J12" s="21" t="n">
        <f aca="false">IF(C12&gt;0,G12/C12,0)</f>
        <v>0.640909090909091</v>
      </c>
      <c r="K12" s="28" t="n">
        <f aca="false">SUMIFS(dm_units,dm_sy,$A12,dm_counted,1)</f>
        <v>713</v>
      </c>
      <c r="L12" s="28" t="n">
        <f aca="false">COUNTIFS(dm_sy,$A12,dm_counted,1)</f>
        <v>12</v>
      </c>
    </row>
    <row r="13" customFormat="false" ht="15" hidden="false" customHeight="false" outlineLevel="0" collapsed="false">
      <c r="A13" s="27" t="n">
        <v>2024</v>
      </c>
      <c r="C13" s="28" t="n">
        <f aca="false">SUMIFS(dm_units,dm_gy,$A13)</f>
        <v>1402</v>
      </c>
      <c r="D13" s="28" t="n">
        <f aca="false">SUMIFS(dm_units,dm_gy,$A13,dm_status,"Complete")</f>
        <v>20</v>
      </c>
      <c r="E13" s="28" t="n">
        <f aca="false">SUMIFS(dm_units,dm_gy,$A13,dm_status,"Under construction")</f>
        <v>837</v>
      </c>
      <c r="F13" s="28" t="n">
        <f aca="false">SUMIFS(dm_units,dm_gy,$A13,dm_status,"Stalled")</f>
        <v>53</v>
      </c>
      <c r="G13" s="28" t="n">
        <f aca="false">SUM(D13:F13)</f>
        <v>910</v>
      </c>
      <c r="H13" s="28" t="n">
        <f aca="false">SUMIFS(dm_units,dm_gy,$A13,dm_status,"Permitted – not started")</f>
        <v>492</v>
      </c>
      <c r="I13" s="28" t="n">
        <f aca="false">SUMIFS(dm_units,dm_gy,$A13,dm_status,"Expired – not started")</f>
        <v>0</v>
      </c>
      <c r="J13" s="21" t="n">
        <f aca="false">IF(C13&gt;0,G13/C13,0)</f>
        <v>0.649072753209701</v>
      </c>
      <c r="K13" s="28" t="n">
        <f aca="false">SUMIFS(dm_units,dm_sy,$A13,dm_counted,1)</f>
        <v>1607</v>
      </c>
      <c r="L13" s="28" t="n">
        <f aca="false">COUNTIFS(dm_sy,$A13,dm_counted,1)</f>
        <v>41</v>
      </c>
    </row>
    <row r="14" customFormat="false" ht="15" hidden="false" customHeight="false" outlineLevel="0" collapsed="false">
      <c r="A14" s="27" t="n">
        <v>2025</v>
      </c>
      <c r="C14" s="28" t="n">
        <f aca="false">SUMIFS(dm_units,dm_gy,$A14)</f>
        <v>1113</v>
      </c>
      <c r="D14" s="28" t="n">
        <f aca="false">SUMIFS(dm_units,dm_gy,$A14,dm_status,"Complete")</f>
        <v>0</v>
      </c>
      <c r="E14" s="28" t="n">
        <f aca="false">SUMIFS(dm_units,dm_gy,$A14,dm_status,"Under construction")</f>
        <v>138</v>
      </c>
      <c r="F14" s="28" t="n">
        <f aca="false">SUMIFS(dm_units,dm_gy,$A14,dm_status,"Stalled")</f>
        <v>0</v>
      </c>
      <c r="G14" s="28" t="n">
        <f aca="false">SUM(D14:F14)</f>
        <v>138</v>
      </c>
      <c r="H14" s="28" t="n">
        <f aca="false">SUMIFS(dm_units,dm_gy,$A14,dm_status,"Permitted – not started")</f>
        <v>975</v>
      </c>
      <c r="I14" s="28" t="n">
        <f aca="false">SUMIFS(dm_units,dm_gy,$A14,dm_status,"Expired – not started")</f>
        <v>0</v>
      </c>
      <c r="J14" s="21" t="n">
        <f aca="false">IF(C14&gt;0,G14/C14,0)</f>
        <v>0.123989218328841</v>
      </c>
      <c r="K14" s="28" t="n">
        <f aca="false">SUMIFS(dm_units,dm_sy,$A14,dm_counted,1)</f>
        <v>513</v>
      </c>
      <c r="L14" s="28" t="n">
        <f aca="false">COUNTIFS(dm_sy,$A14,dm_counted,1)</f>
        <v>15</v>
      </c>
    </row>
    <row r="15" customFormat="false" ht="15" hidden="false" customHeight="false" outlineLevel="0" collapsed="false">
      <c r="A15" s="27" t="n">
        <v>2026</v>
      </c>
      <c r="C15" s="28" t="n">
        <f aca="false">SUMIFS(dm_units,dm_gy,$A15)</f>
        <v>2795</v>
      </c>
      <c r="D15" s="28" t="n">
        <f aca="false">SUMIFS(dm_units,dm_gy,$A15,dm_status,"Complete")</f>
        <v>0</v>
      </c>
      <c r="E15" s="28" t="n">
        <f aca="false">SUMIFS(dm_units,dm_gy,$A15,dm_status,"Under construction")</f>
        <v>64</v>
      </c>
      <c r="F15" s="28" t="n">
        <f aca="false">SUMIFS(dm_units,dm_gy,$A15,dm_status,"Stalled")</f>
        <v>40</v>
      </c>
      <c r="G15" s="28" t="n">
        <f aca="false">SUM(D15:F15)</f>
        <v>104</v>
      </c>
      <c r="H15" s="28" t="n">
        <f aca="false">SUMIFS(dm_units,dm_gy,$A15,dm_status,"Permitted – not started")</f>
        <v>2691</v>
      </c>
      <c r="I15" s="28" t="n">
        <f aca="false">SUMIFS(dm_units,dm_gy,$A15,dm_status,"Expired – not started")</f>
        <v>0</v>
      </c>
      <c r="J15" s="21" t="n">
        <f aca="false">IF(C15&gt;0,G15/C15,0)</f>
        <v>0.0372093023255814</v>
      </c>
      <c r="K15" s="28" t="n">
        <f aca="false">SUMIFS(dm_units,dm_sy,$A15,dm_counted,1)</f>
        <v>745</v>
      </c>
      <c r="L15" s="28" t="n">
        <f aca="false">COUNTIFS(dm_sy,$A15,dm_counted,1)</f>
        <v>18</v>
      </c>
    </row>
    <row r="16" customFormat="false" ht="15" hidden="false" customHeight="false" outlineLevel="0" collapsed="false">
      <c r="A16" s="29" t="s">
        <v>405</v>
      </c>
      <c r="B16" s="40"/>
      <c r="C16" s="30" t="n">
        <f aca="false">SUM(C7:C15)</f>
        <v>10714</v>
      </c>
      <c r="D16" s="30" t="n">
        <f aca="false">SUM(D7:D15)</f>
        <v>1580</v>
      </c>
      <c r="E16" s="30" t="n">
        <f aca="false">SUM(E7:E15)</f>
        <v>3700</v>
      </c>
      <c r="F16" s="30" t="n">
        <f aca="false">SUM(F7:F15)</f>
        <v>156</v>
      </c>
      <c r="G16" s="30" t="n">
        <f aca="false">SUM(G7:G15)</f>
        <v>5436</v>
      </c>
      <c r="H16" s="30" t="n">
        <f aca="false">SUM(H7:H15)</f>
        <v>4967</v>
      </c>
      <c r="I16" s="30" t="n">
        <f aca="false">SUM(I7:I15)</f>
        <v>311</v>
      </c>
      <c r="J16" s="36" t="n">
        <f aca="false">IF(C16&gt;0,G16/C16,0)</f>
        <v>0.507373529960799</v>
      </c>
      <c r="K16" s="30" t="n">
        <f aca="false">SUM(K7:K15)</f>
        <v>5315</v>
      </c>
      <c r="L16" s="30" t="n">
        <f aca="false">SUM(L7:L15)</f>
        <v>142</v>
      </c>
    </row>
    <row r="17" customFormat="false" ht="15" hidden="false" customHeight="false" outlineLevel="0" collapsed="false">
      <c r="A17" s="31" t="s">
        <v>406</v>
      </c>
      <c r="C17" s="47" t="n">
        <f aca="false">SUM(C7:C12)</f>
        <v>5404</v>
      </c>
      <c r="G17" s="47" t="n">
        <f aca="false">SUM(G7:G12)</f>
        <v>4284</v>
      </c>
      <c r="J17" s="48" t="n">
        <f aca="false">IF(C17&gt;0,G17/C17,0)</f>
        <v>0.792746113989637</v>
      </c>
      <c r="K17" s="8" t="s">
        <v>407</v>
      </c>
    </row>
    <row r="18" customFormat="false" ht="25.5" hidden="false" customHeight="true" outlineLevel="0" collapsed="false">
      <c r="A18" s="33" t="s">
        <v>408</v>
      </c>
      <c r="B18" s="33"/>
      <c r="C18" s="33"/>
      <c r="D18" s="33"/>
      <c r="E18" s="33"/>
      <c r="F18" s="33"/>
      <c r="G18" s="33"/>
      <c r="H18" s="33"/>
      <c r="I18" s="33"/>
      <c r="J18" s="33"/>
      <c r="K18" s="33"/>
      <c r="L18" s="33"/>
      <c r="M18" s="33"/>
      <c r="N18" s="33"/>
      <c r="O18" s="33"/>
      <c r="P18" s="33"/>
      <c r="Q18" s="33"/>
      <c r="R18" s="33"/>
    </row>
    <row r="20" customFormat="false" ht="30" hidden="false" customHeight="true" outlineLevel="0" collapsed="false">
      <c r="A20" s="25" t="s">
        <v>409</v>
      </c>
      <c r="B20" s="25"/>
      <c r="C20" s="25" t="s">
        <v>410</v>
      </c>
      <c r="D20" s="25" t="s">
        <v>411</v>
      </c>
      <c r="E20" s="25" t="s">
        <v>412</v>
      </c>
      <c r="F20" s="25" t="s">
        <v>413</v>
      </c>
      <c r="G20" s="25" t="s">
        <v>414</v>
      </c>
      <c r="H20" s="25" t="s">
        <v>415</v>
      </c>
      <c r="I20" s="25" t="s">
        <v>416</v>
      </c>
    </row>
    <row r="21" customFormat="false" ht="15" hidden="false" customHeight="false" outlineLevel="0" collapsed="false">
      <c r="A21" s="31" t="s">
        <v>417</v>
      </c>
      <c r="C21" s="28" t="n">
        <f aca="false">SUMIFS(dm_units,dm_status,"Permitted – not started",dm_ey,2026)</f>
        <v>14</v>
      </c>
      <c r="D21" s="28" t="n">
        <f aca="false">SUMIFS(dm_units,dm_status,"Permitted – not started",dm_ey,2027)</f>
        <v>360</v>
      </c>
      <c r="E21" s="28" t="n">
        <f aca="false">SUMIFS(dm_units,dm_status,"Permitted – not started",dm_ey,2028)</f>
        <v>279</v>
      </c>
      <c r="F21" s="28" t="n">
        <f aca="false">SUMIFS(dm_units,dm_status,"Permitted – not started",dm_ey,2029)</f>
        <v>488</v>
      </c>
      <c r="G21" s="28" t="n">
        <f aca="false">SUMIFS(dm_units,dm_status,"Permitted – not started",dm_ey,2030)</f>
        <v>943</v>
      </c>
      <c r="H21" s="28" t="n">
        <f aca="false">SUMIFS(dm_units,dm_status,"Permitted – not started",dm_ey,"&gt;=2031")</f>
        <v>2691</v>
      </c>
      <c r="I21" s="28" t="n">
        <f aca="false">SUMIFS(dm_units,dm_status,"Permitted – not started",dm_ey,"")</f>
        <v>227</v>
      </c>
    </row>
    <row r="23" customFormat="false" ht="15" hidden="false" customHeight="false" outlineLevel="0" collapsed="false">
      <c r="A23" s="9" t="s">
        <v>418</v>
      </c>
      <c r="B23" s="10"/>
      <c r="C23" s="10"/>
      <c r="D23" s="10"/>
      <c r="E23" s="10"/>
      <c r="F23" s="10"/>
      <c r="G23" s="10"/>
      <c r="H23" s="10"/>
      <c r="I23" s="10"/>
      <c r="J23" s="10"/>
      <c r="K23" s="10"/>
      <c r="L23" s="10"/>
      <c r="M23" s="10"/>
      <c r="N23" s="10"/>
      <c r="O23" s="10"/>
      <c r="P23" s="10"/>
      <c r="Q23" s="10"/>
      <c r="R23" s="10"/>
    </row>
    <row r="24" customFormat="false" ht="19.5" hidden="false" customHeight="true" outlineLevel="0" collapsed="false">
      <c r="A24" s="25" t="s">
        <v>136</v>
      </c>
      <c r="B24" s="25"/>
      <c r="C24" s="25" t="n">
        <v>2026</v>
      </c>
      <c r="D24" s="25" t="n">
        <v>2027</v>
      </c>
      <c r="E24" s="25" t="n">
        <v>2028</v>
      </c>
      <c r="F24" s="25" t="n">
        <v>2029</v>
      </c>
      <c r="G24" s="25" t="n">
        <v>2030</v>
      </c>
      <c r="H24" s="25" t="n">
        <v>2031</v>
      </c>
      <c r="I24" s="25" t="n">
        <v>2032</v>
      </c>
      <c r="J24" s="25" t="n">
        <v>2033</v>
      </c>
      <c r="K24" s="25" t="n">
        <v>2034</v>
      </c>
      <c r="L24" s="25" t="n">
        <v>2035</v>
      </c>
      <c r="M24" s="25" t="n">
        <v>2036</v>
      </c>
      <c r="N24" s="25" t="n">
        <v>2037</v>
      </c>
      <c r="O24" s="25" t="n">
        <v>2038</v>
      </c>
      <c r="P24" s="25" t="n">
        <v>2039</v>
      </c>
      <c r="Q24" s="25" t="n">
        <v>2040</v>
      </c>
      <c r="R24" s="25" t="s">
        <v>270</v>
      </c>
    </row>
    <row r="25" customFormat="false" ht="15" hidden="false" customHeight="false" outlineLevel="0" collapsed="false">
      <c r="A25" s="13" t="s">
        <v>419</v>
      </c>
      <c r="C25" s="21" t="n">
        <f aca="false">IF(AND(C$24&gt;=2031,C$24&lt;=p31_end),1/(p31_end-2031+1),0)</f>
        <v>0</v>
      </c>
      <c r="D25" s="21" t="n">
        <f aca="false">IF(AND(D$24&gt;=2031,D$24&lt;=p31_end),1/(p31_end-2031+1),0)</f>
        <v>0</v>
      </c>
      <c r="E25" s="21" t="n">
        <f aca="false">IF(AND(E$24&gt;=2031,E$24&lt;=p31_end),1/(p31_end-2031+1),0)</f>
        <v>0</v>
      </c>
      <c r="F25" s="21" t="n">
        <f aca="false">IF(AND(F$24&gt;=2031,F$24&lt;=p31_end),1/(p31_end-2031+1),0)</f>
        <v>0</v>
      </c>
      <c r="G25" s="21" t="n">
        <f aca="false">IF(AND(G$24&gt;=2031,G$24&lt;=p31_end),1/(p31_end-2031+1),0)</f>
        <v>0</v>
      </c>
      <c r="H25" s="21" t="n">
        <f aca="false">IF(AND(H$24&gt;=2031,H$24&lt;=p31_end),1/(p31_end-2031+1),0)</f>
        <v>0.333333333333333</v>
      </c>
      <c r="I25" s="21" t="n">
        <f aca="false">IF(AND(I$24&gt;=2031,I$24&lt;=p31_end),1/(p31_end-2031+1),0)</f>
        <v>0.333333333333333</v>
      </c>
      <c r="J25" s="21" t="n">
        <f aca="false">IF(AND(J$24&gt;=2031,J$24&lt;=p31_end),1/(p31_end-2031+1),0)</f>
        <v>0.333333333333333</v>
      </c>
      <c r="K25" s="21" t="n">
        <f aca="false">IF(AND(K$24&gt;=2031,K$24&lt;=p31_end),1/(p31_end-2031+1),0)</f>
        <v>0</v>
      </c>
      <c r="L25" s="21" t="n">
        <f aca="false">IF(AND(L$24&gt;=2031,L$24&lt;=p31_end),1/(p31_end-2031+1),0)</f>
        <v>0</v>
      </c>
      <c r="M25" s="21" t="n">
        <f aca="false">IF(AND(M$24&gt;=2031,M$24&lt;=p31_end),1/(p31_end-2031+1),0)</f>
        <v>0</v>
      </c>
      <c r="N25" s="21" t="n">
        <f aca="false">IF(AND(N$24&gt;=2031,N$24&lt;=p31_end),1/(p31_end-2031+1),0)</f>
        <v>0</v>
      </c>
      <c r="O25" s="21" t="n">
        <f aca="false">IF(AND(O$24&gt;=2031,O$24&lt;=p31_end),1/(p31_end-2031+1),0)</f>
        <v>0</v>
      </c>
      <c r="P25" s="21" t="n">
        <f aca="false">IF(AND(P$24&gt;=2031,P$24&lt;=p31_end),1/(p31_end-2031+1),0)</f>
        <v>0</v>
      </c>
      <c r="Q25" s="21" t="n">
        <f aca="false">IF(AND(Q$24&gt;=2031,Q$24&lt;=p31_end),1/(p31_end-2031+1),0)</f>
        <v>0</v>
      </c>
      <c r="R25" s="21" t="n">
        <f aca="false">SUM(C25:Q25)</f>
        <v>1</v>
      </c>
    </row>
    <row r="26" customFormat="false" ht="15" hidden="false" customHeight="false" outlineLevel="0" collapsed="false">
      <c r="A26" s="13" t="s">
        <v>60</v>
      </c>
      <c r="C26" s="21" t="n">
        <f aca="false">IF(AND(C$24&gt;=stl_s,C$24&lt;=stl_e),1/(stl_e-stl_s+1),0)</f>
        <v>0</v>
      </c>
      <c r="D26" s="21" t="n">
        <f aca="false">IF(AND(D$24&gt;=stl_s,D$24&lt;=stl_e),1/(stl_e-stl_s+1),0)</f>
        <v>0</v>
      </c>
      <c r="E26" s="21" t="n">
        <f aca="false">IF(AND(E$24&gt;=stl_s,E$24&lt;=stl_e),1/(stl_e-stl_s+1),0)</f>
        <v>0.333333333333333</v>
      </c>
      <c r="F26" s="21" t="n">
        <f aca="false">IF(AND(F$24&gt;=stl_s,F$24&lt;=stl_e),1/(stl_e-stl_s+1),0)</f>
        <v>0.333333333333333</v>
      </c>
      <c r="G26" s="21" t="n">
        <f aca="false">IF(AND(G$24&gt;=stl_s,G$24&lt;=stl_e),1/(stl_e-stl_s+1),0)</f>
        <v>0.333333333333333</v>
      </c>
      <c r="H26" s="21" t="n">
        <f aca="false">IF(AND(H$24&gt;=stl_s,H$24&lt;=stl_e),1/(stl_e-stl_s+1),0)</f>
        <v>0</v>
      </c>
      <c r="I26" s="21" t="n">
        <f aca="false">IF(AND(I$24&gt;=stl_s,I$24&lt;=stl_e),1/(stl_e-stl_s+1),0)</f>
        <v>0</v>
      </c>
      <c r="J26" s="21" t="n">
        <f aca="false">IF(AND(J$24&gt;=stl_s,J$24&lt;=stl_e),1/(stl_e-stl_s+1),0)</f>
        <v>0</v>
      </c>
      <c r="K26" s="21" t="n">
        <f aca="false">IF(AND(K$24&gt;=stl_s,K$24&lt;=stl_e),1/(stl_e-stl_s+1),0)</f>
        <v>0</v>
      </c>
      <c r="L26" s="21" t="n">
        <f aca="false">IF(AND(L$24&gt;=stl_s,L$24&lt;=stl_e),1/(stl_e-stl_s+1),0)</f>
        <v>0</v>
      </c>
      <c r="M26" s="21" t="n">
        <f aca="false">IF(AND(M$24&gt;=stl_s,M$24&lt;=stl_e),1/(stl_e-stl_s+1),0)</f>
        <v>0</v>
      </c>
      <c r="N26" s="21" t="n">
        <f aca="false">IF(AND(N$24&gt;=stl_s,N$24&lt;=stl_e),1/(stl_e-stl_s+1),0)</f>
        <v>0</v>
      </c>
      <c r="O26" s="21" t="n">
        <f aca="false">IF(AND(O$24&gt;=stl_s,O$24&lt;=stl_e),1/(stl_e-stl_s+1),0)</f>
        <v>0</v>
      </c>
      <c r="P26" s="21" t="n">
        <f aca="false">IF(AND(P$24&gt;=stl_s,P$24&lt;=stl_e),1/(stl_e-stl_s+1),0)</f>
        <v>0</v>
      </c>
      <c r="Q26" s="21" t="n">
        <f aca="false">IF(AND(Q$24&gt;=stl_s,Q$24&lt;=stl_e),1/(stl_e-stl_s+1),0)</f>
        <v>0</v>
      </c>
      <c r="R26" s="21" t="n">
        <f aca="false">SUM(C26:Q26)</f>
        <v>1</v>
      </c>
    </row>
    <row r="27" customFormat="false" ht="15" hidden="false" customHeight="false" outlineLevel="0" collapsed="false">
      <c r="A27" s="13" t="s">
        <v>275</v>
      </c>
      <c r="C27" s="21" t="n">
        <f aca="false">IF(AND(C$24&gt;=unc_s,C$24&lt;=unc_e),1/(unc_e-unc_s+1),0)</f>
        <v>0</v>
      </c>
      <c r="D27" s="21" t="n">
        <f aca="false">IF(AND(D$24&gt;=unc_s,D$24&lt;=unc_e),1/(unc_e-unc_s+1),0)</f>
        <v>0</v>
      </c>
      <c r="E27" s="21" t="n">
        <f aca="false">IF(AND(E$24&gt;=unc_s,E$24&lt;=unc_e),1/(unc_e-unc_s+1),0)</f>
        <v>0.0769230769230769</v>
      </c>
      <c r="F27" s="21" t="n">
        <f aca="false">IF(AND(F$24&gt;=unc_s,F$24&lt;=unc_e),1/(unc_e-unc_s+1),0)</f>
        <v>0.0769230769230769</v>
      </c>
      <c r="G27" s="21" t="n">
        <f aca="false">IF(AND(G$24&gt;=unc_s,G$24&lt;=unc_e),1/(unc_e-unc_s+1),0)</f>
        <v>0.0769230769230769</v>
      </c>
      <c r="H27" s="21" t="n">
        <f aca="false">IF(AND(H$24&gt;=unc_s,H$24&lt;=unc_e),1/(unc_e-unc_s+1),0)</f>
        <v>0.0769230769230769</v>
      </c>
      <c r="I27" s="21" t="n">
        <f aca="false">IF(AND(I$24&gt;=unc_s,I$24&lt;=unc_e),1/(unc_e-unc_s+1),0)</f>
        <v>0.0769230769230769</v>
      </c>
      <c r="J27" s="21" t="n">
        <f aca="false">IF(AND(J$24&gt;=unc_s,J$24&lt;=unc_e),1/(unc_e-unc_s+1),0)</f>
        <v>0.0769230769230769</v>
      </c>
      <c r="K27" s="21" t="n">
        <f aca="false">IF(AND(K$24&gt;=unc_s,K$24&lt;=unc_e),1/(unc_e-unc_s+1),0)</f>
        <v>0.0769230769230769</v>
      </c>
      <c r="L27" s="21" t="n">
        <f aca="false">IF(AND(L$24&gt;=unc_s,L$24&lt;=unc_e),1/(unc_e-unc_s+1),0)</f>
        <v>0.0769230769230769</v>
      </c>
      <c r="M27" s="21" t="n">
        <f aca="false">IF(AND(M$24&gt;=unc_s,M$24&lt;=unc_e),1/(unc_e-unc_s+1),0)</f>
        <v>0.0769230769230769</v>
      </c>
      <c r="N27" s="21" t="n">
        <f aca="false">IF(AND(N$24&gt;=unc_s,N$24&lt;=unc_e),1/(unc_e-unc_s+1),0)</f>
        <v>0.0769230769230769</v>
      </c>
      <c r="O27" s="21" t="n">
        <f aca="false">IF(AND(O$24&gt;=unc_s,O$24&lt;=unc_e),1/(unc_e-unc_s+1),0)</f>
        <v>0.0769230769230769</v>
      </c>
      <c r="P27" s="21" t="n">
        <f aca="false">IF(AND(P$24&gt;=unc_s,P$24&lt;=unc_e),1/(unc_e-unc_s+1),0)</f>
        <v>0.0769230769230769</v>
      </c>
      <c r="Q27" s="21" t="n">
        <f aca="false">IF(AND(Q$24&gt;=unc_s,Q$24&lt;=unc_e),1/(unc_e-unc_s+1),0)</f>
        <v>0.0769230769230769</v>
      </c>
      <c r="R27" s="21" t="n">
        <f aca="false">SUM(C27:Q27)</f>
        <v>1</v>
      </c>
    </row>
    <row r="28" customFormat="false" ht="15" hidden="false" customHeight="false" outlineLevel="0" collapsed="false">
      <c r="A28" s="13" t="s">
        <v>420</v>
      </c>
      <c r="C28" s="21" t="n">
        <f aca="false">IF(AND(C$24&gt;=zon_s,C$24&lt;=zon_e),1/(zon_e-zon_s+1),0)</f>
        <v>0</v>
      </c>
      <c r="D28" s="21" t="n">
        <f aca="false">IF(AND(D$24&gt;=zon_s,D$24&lt;=zon_e),1/(zon_e-zon_s+1),0)</f>
        <v>0</v>
      </c>
      <c r="E28" s="21" t="n">
        <f aca="false">IF(AND(E$24&gt;=zon_s,E$24&lt;=zon_e),1/(zon_e-zon_s+1),0)</f>
        <v>0.0769230769230769</v>
      </c>
      <c r="F28" s="21" t="n">
        <f aca="false">IF(AND(F$24&gt;=zon_s,F$24&lt;=zon_e),1/(zon_e-zon_s+1),0)</f>
        <v>0.0769230769230769</v>
      </c>
      <c r="G28" s="21" t="n">
        <f aca="false">IF(AND(G$24&gt;=zon_s,G$24&lt;=zon_e),1/(zon_e-zon_s+1),0)</f>
        <v>0.0769230769230769</v>
      </c>
      <c r="H28" s="21" t="n">
        <f aca="false">IF(AND(H$24&gt;=zon_s,H$24&lt;=zon_e),1/(zon_e-zon_s+1),0)</f>
        <v>0.0769230769230769</v>
      </c>
      <c r="I28" s="21" t="n">
        <f aca="false">IF(AND(I$24&gt;=zon_s,I$24&lt;=zon_e),1/(zon_e-zon_s+1),0)</f>
        <v>0.0769230769230769</v>
      </c>
      <c r="J28" s="21" t="n">
        <f aca="false">IF(AND(J$24&gt;=zon_s,J$24&lt;=zon_e),1/(zon_e-zon_s+1),0)</f>
        <v>0.0769230769230769</v>
      </c>
      <c r="K28" s="21" t="n">
        <f aca="false">IF(AND(K$24&gt;=zon_s,K$24&lt;=zon_e),1/(zon_e-zon_s+1),0)</f>
        <v>0.0769230769230769</v>
      </c>
      <c r="L28" s="21" t="n">
        <f aca="false">IF(AND(L$24&gt;=zon_s,L$24&lt;=zon_e),1/(zon_e-zon_s+1),0)</f>
        <v>0.0769230769230769</v>
      </c>
      <c r="M28" s="21" t="n">
        <f aca="false">IF(AND(M$24&gt;=zon_s,M$24&lt;=zon_e),1/(zon_e-zon_s+1),0)</f>
        <v>0.0769230769230769</v>
      </c>
      <c r="N28" s="21" t="n">
        <f aca="false">IF(AND(N$24&gt;=zon_s,N$24&lt;=zon_e),1/(zon_e-zon_s+1),0)</f>
        <v>0.0769230769230769</v>
      </c>
      <c r="O28" s="21" t="n">
        <f aca="false">IF(AND(O$24&gt;=zon_s,O$24&lt;=zon_e),1/(zon_e-zon_s+1),0)</f>
        <v>0.0769230769230769</v>
      </c>
      <c r="P28" s="21" t="n">
        <f aca="false">IF(AND(P$24&gt;=zon_s,P$24&lt;=zon_e),1/(zon_e-zon_s+1),0)</f>
        <v>0.0769230769230769</v>
      </c>
      <c r="Q28" s="21" t="n">
        <f aca="false">IF(AND(Q$24&gt;=zon_s,Q$24&lt;=zon_e),1/(zon_e-zon_s+1),0)</f>
        <v>0.0769230769230769</v>
      </c>
      <c r="R28" s="21" t="n">
        <f aca="false">SUM(C28:Q28)</f>
        <v>1</v>
      </c>
    </row>
    <row r="29" customFormat="false" ht="15" hidden="false" customHeight="false" outlineLevel="0" collapsed="false">
      <c r="A29" s="13" t="s">
        <v>65</v>
      </c>
      <c r="C29" s="21" t="n">
        <f aca="false">IF(AND(C$24&gt;=new_s,C$24&lt;=new_e),1/(new_e-new_s+1),0)</f>
        <v>0</v>
      </c>
      <c r="D29" s="21" t="n">
        <f aca="false">IF(AND(D$24&gt;=new_s,D$24&lt;=new_e),1/(new_e-new_s+1),0)</f>
        <v>0</v>
      </c>
      <c r="E29" s="21" t="n">
        <f aca="false">IF(AND(E$24&gt;=new_s,E$24&lt;=new_e),1/(new_e-new_s+1),0)</f>
        <v>0</v>
      </c>
      <c r="F29" s="21" t="n">
        <f aca="false">IF(AND(F$24&gt;=new_s,F$24&lt;=new_e),1/(new_e-new_s+1),0)</f>
        <v>0</v>
      </c>
      <c r="G29" s="21" t="n">
        <f aca="false">IF(AND(G$24&gt;=new_s,G$24&lt;=new_e),1/(new_e-new_s+1),0)</f>
        <v>0</v>
      </c>
      <c r="H29" s="21" t="n">
        <f aca="false">IF(AND(H$24&gt;=new_s,H$24&lt;=new_e),1/(new_e-new_s+1),0)</f>
        <v>0.1</v>
      </c>
      <c r="I29" s="21" t="n">
        <f aca="false">IF(AND(I$24&gt;=new_s,I$24&lt;=new_e),1/(new_e-new_s+1),0)</f>
        <v>0.1</v>
      </c>
      <c r="J29" s="21" t="n">
        <f aca="false">IF(AND(J$24&gt;=new_s,J$24&lt;=new_e),1/(new_e-new_s+1),0)</f>
        <v>0.1</v>
      </c>
      <c r="K29" s="21" t="n">
        <f aca="false">IF(AND(K$24&gt;=new_s,K$24&lt;=new_e),1/(new_e-new_s+1),0)</f>
        <v>0.1</v>
      </c>
      <c r="L29" s="21" t="n">
        <f aca="false">IF(AND(L$24&gt;=new_s,L$24&lt;=new_e),1/(new_e-new_s+1),0)</f>
        <v>0.1</v>
      </c>
      <c r="M29" s="21" t="n">
        <f aca="false">IF(AND(M$24&gt;=new_s,M$24&lt;=new_e),1/(new_e-new_s+1),0)</f>
        <v>0.1</v>
      </c>
      <c r="N29" s="21" t="n">
        <f aca="false">IF(AND(N$24&gt;=new_s,N$24&lt;=new_e),1/(new_e-new_s+1),0)</f>
        <v>0.1</v>
      </c>
      <c r="O29" s="21" t="n">
        <f aca="false">IF(AND(O$24&gt;=new_s,O$24&lt;=new_e),1/(new_e-new_s+1),0)</f>
        <v>0.1</v>
      </c>
      <c r="P29" s="21" t="n">
        <f aca="false">IF(AND(P$24&gt;=new_s,P$24&lt;=new_e),1/(new_e-new_s+1),0)</f>
        <v>0.1</v>
      </c>
      <c r="Q29" s="21" t="n">
        <f aca="false">IF(AND(Q$24&gt;=new_s,Q$24&lt;=new_e),1/(new_e-new_s+1),0)</f>
        <v>0.1</v>
      </c>
      <c r="R29" s="21" t="n">
        <f aca="false">SUM(C29:Q29)</f>
        <v>1</v>
      </c>
    </row>
    <row r="30" customFormat="false" ht="15" hidden="false" customHeight="false" outlineLevel="0" collapsed="false">
      <c r="A30" s="13" t="s">
        <v>421</v>
      </c>
      <c r="C30" s="21" t="n">
        <f aca="false">1/15</f>
        <v>0.0666666666666667</v>
      </c>
      <c r="D30" s="21" t="n">
        <f aca="false">1/15</f>
        <v>0.0666666666666667</v>
      </c>
      <c r="E30" s="21" t="n">
        <f aca="false">1/15</f>
        <v>0.0666666666666667</v>
      </c>
      <c r="F30" s="21" t="n">
        <f aca="false">1/15</f>
        <v>0.0666666666666667</v>
      </c>
      <c r="G30" s="21" t="n">
        <f aca="false">1/15</f>
        <v>0.0666666666666667</v>
      </c>
      <c r="H30" s="21" t="n">
        <f aca="false">1/15</f>
        <v>0.0666666666666667</v>
      </c>
      <c r="I30" s="21" t="n">
        <f aca="false">1/15</f>
        <v>0.0666666666666667</v>
      </c>
      <c r="J30" s="21" t="n">
        <f aca="false">1/15</f>
        <v>0.0666666666666667</v>
      </c>
      <c r="K30" s="21" t="n">
        <f aca="false">1/15</f>
        <v>0.0666666666666667</v>
      </c>
      <c r="L30" s="21" t="n">
        <f aca="false">1/15</f>
        <v>0.0666666666666667</v>
      </c>
      <c r="M30" s="21" t="n">
        <f aca="false">1/15</f>
        <v>0.0666666666666667</v>
      </c>
      <c r="N30" s="21" t="n">
        <f aca="false">1/15</f>
        <v>0.0666666666666667</v>
      </c>
      <c r="O30" s="21" t="n">
        <f aca="false">1/15</f>
        <v>0.0666666666666667</v>
      </c>
      <c r="P30" s="21" t="n">
        <f aca="false">1/15</f>
        <v>0.0666666666666667</v>
      </c>
      <c r="Q30" s="21" t="n">
        <f aca="false">1/15</f>
        <v>0.0666666666666667</v>
      </c>
      <c r="R30" s="21" t="n">
        <f aca="false">SUM(C30:Q30)</f>
        <v>1</v>
      </c>
    </row>
    <row r="32" customFormat="false" ht="15" hidden="false" customHeight="false" outlineLevel="0" collapsed="false">
      <c r="A32" s="9" t="s">
        <v>422</v>
      </c>
      <c r="B32" s="10"/>
      <c r="C32" s="10"/>
      <c r="D32" s="10"/>
      <c r="E32" s="10"/>
      <c r="F32" s="10"/>
      <c r="G32" s="10"/>
      <c r="H32" s="10"/>
      <c r="I32" s="10"/>
      <c r="J32" s="10"/>
      <c r="K32" s="10"/>
      <c r="L32" s="10"/>
      <c r="M32" s="10"/>
      <c r="N32" s="10"/>
      <c r="O32" s="10"/>
      <c r="P32" s="10"/>
      <c r="Q32" s="10"/>
      <c r="R32" s="10"/>
    </row>
    <row r="33" customFormat="false" ht="15" hidden="false" customHeight="false" outlineLevel="0" collapsed="false">
      <c r="A33" s="31" t="s">
        <v>423</v>
      </c>
      <c r="B33" s="49" t="str">
        <f aca="false">dens_scn</f>
        <v>Current density</v>
      </c>
      <c r="C33" s="49"/>
      <c r="D33" s="49"/>
      <c r="E33" s="49"/>
    </row>
    <row r="34" customFormat="false" ht="21.75" hidden="false" customHeight="true" outlineLevel="0" collapsed="false">
      <c r="A34" s="25" t="s">
        <v>424</v>
      </c>
      <c r="B34" s="25" t="s">
        <v>425</v>
      </c>
      <c r="C34" s="25" t="n">
        <v>2026</v>
      </c>
      <c r="D34" s="25" t="n">
        <v>2027</v>
      </c>
      <c r="E34" s="25" t="n">
        <v>2028</v>
      </c>
      <c r="F34" s="25" t="n">
        <v>2029</v>
      </c>
      <c r="G34" s="25" t="n">
        <v>2030</v>
      </c>
      <c r="H34" s="25" t="n">
        <v>2031</v>
      </c>
      <c r="I34" s="25" t="n">
        <v>2032</v>
      </c>
      <c r="J34" s="25" t="n">
        <v>2033</v>
      </c>
      <c r="K34" s="25" t="n">
        <v>2034</v>
      </c>
      <c r="L34" s="25" t="n">
        <v>2035</v>
      </c>
      <c r="M34" s="25" t="n">
        <v>2036</v>
      </c>
      <c r="N34" s="25" t="n">
        <v>2037</v>
      </c>
      <c r="O34" s="25" t="n">
        <v>2038</v>
      </c>
      <c r="P34" s="25" t="n">
        <v>2039</v>
      </c>
      <c r="Q34" s="25" t="n">
        <v>2040</v>
      </c>
      <c r="R34" s="25" t="s">
        <v>163</v>
      </c>
    </row>
    <row r="35" customFormat="false" ht="15" hidden="false" customHeight="false" outlineLevel="0" collapsed="false">
      <c r="A35" s="50" t="s">
        <v>258</v>
      </c>
      <c r="B35" s="2"/>
      <c r="C35" s="2"/>
      <c r="D35" s="2"/>
      <c r="E35" s="2"/>
      <c r="F35" s="2"/>
      <c r="G35" s="2"/>
      <c r="H35" s="2"/>
      <c r="I35" s="2"/>
      <c r="J35" s="2"/>
      <c r="K35" s="2"/>
      <c r="L35" s="2"/>
      <c r="M35" s="2"/>
      <c r="N35" s="2"/>
      <c r="O35" s="2"/>
      <c r="P35" s="2"/>
      <c r="Q35" s="2"/>
      <c r="R35" s="2"/>
    </row>
    <row r="36" customFormat="false" ht="15" hidden="false" customHeight="false" outlineLevel="0" collapsed="false">
      <c r="A36" s="13" t="s">
        <v>426</v>
      </c>
      <c r="B36" s="21" t="n">
        <f aca="false">IFERROR((IF(dens_inc=1,'5 Land Need'!$B$55,'5 Land Need'!$B$33)+IF(dens_inc=1,'5 Land Need'!$B$56,'5 Land Need'!$B$34)+IF(dens_inc=1,'5 Land Need'!$B$58,'5 Land Need'!$B$36))/(SUMIFS(dp_uc,dp_geo,"City Centre")+SUMIFS(dp_pns,dp_geo,"City Centre")),0)</f>
        <v>0.870157384987893</v>
      </c>
      <c r="C36" s="28" t="n">
        <f aca="false">SUMIFS(dp_e26,dp_geo,"City Centre")*$B36</f>
        <v>12.0081719128329</v>
      </c>
      <c r="D36" s="28" t="n">
        <f aca="false">SUMIFS(dp_e27,dp_geo,"City Centre")*$B36</f>
        <v>74.3984564164649</v>
      </c>
      <c r="E36" s="28" t="n">
        <f aca="false">SUMIFS(dp_e28,dp_geo,"City Centre")*$B36</f>
        <v>210.926150121065</v>
      </c>
      <c r="F36" s="28" t="n">
        <f aca="false">SUMIFS(dp_e29,dp_geo,"City Centre")*$B36</f>
        <v>225.283746973366</v>
      </c>
      <c r="G36" s="28" t="n">
        <f aca="false">SUMIFS(dp_e30,dp_geo,"City Centre")*$B36</f>
        <v>63.2604418886199</v>
      </c>
      <c r="H36" s="28" t="n">
        <f aca="false">SUMIFS(dp_e31,dp_geo,"City Centre")*$B36*H$25</f>
        <v>44.2910108958838</v>
      </c>
      <c r="I36" s="28" t="n">
        <f aca="false">SUMIFS(dp_e31,dp_geo,"City Centre")*$B36*I$25</f>
        <v>44.2910108958838</v>
      </c>
      <c r="J36" s="28" t="n">
        <f aca="false">SUMIFS(dp_e31,dp_geo,"City Centre")*$B36*J$25</f>
        <v>44.2910108958838</v>
      </c>
      <c r="K36" s="28" t="n">
        <f aca="false">SUMIFS(dp_e31,dp_geo,"City Centre")*$B36*K$25</f>
        <v>0</v>
      </c>
      <c r="L36" s="28" t="n">
        <f aca="false">SUMIFS(dp_e31,dp_geo,"City Centre")*$B36*L$25</f>
        <v>0</v>
      </c>
      <c r="M36" s="28" t="n">
        <f aca="false">SUMIFS(dp_e31,dp_geo,"City Centre")*$B36*M$25</f>
        <v>0</v>
      </c>
      <c r="N36" s="28" t="n">
        <f aca="false">SUMIFS(dp_e31,dp_geo,"City Centre")*$B36*N$25</f>
        <v>0</v>
      </c>
      <c r="O36" s="28" t="n">
        <f aca="false">SUMIFS(dp_e31,dp_geo,"City Centre")*$B36*O$25</f>
        <v>0</v>
      </c>
      <c r="P36" s="28" t="n">
        <f aca="false">SUMIFS(dp_e31,dp_geo,"City Centre")*$B36*P$25</f>
        <v>0</v>
      </c>
      <c r="Q36" s="28" t="n">
        <f aca="false">SUMIFS(dp_e31,dp_geo,"City Centre")*$B36*Q$25</f>
        <v>0</v>
      </c>
      <c r="R36" s="47" t="n">
        <f aca="false">SUM(C36:Q36)</f>
        <v>718.75</v>
      </c>
    </row>
    <row r="37" customFormat="false" ht="15" hidden="false" customHeight="false" outlineLevel="0" collapsed="false">
      <c r="A37" s="13" t="s">
        <v>60</v>
      </c>
      <c r="C37" s="28" t="n">
        <f aca="false">IF(dens_inc=1,'5 Land Need'!$B$57,'5 Land Need'!$B$35)*C$26</f>
        <v>0</v>
      </c>
      <c r="D37" s="28" t="n">
        <f aca="false">IF(dens_inc=1,'5 Land Need'!$B$57,'5 Land Need'!$B$35)*D$26</f>
        <v>0</v>
      </c>
      <c r="E37" s="28" t="n">
        <f aca="false">IF(dens_inc=1,'5 Land Need'!$B$57,'5 Land Need'!$B$35)*E$26</f>
        <v>0</v>
      </c>
      <c r="F37" s="28" t="n">
        <f aca="false">IF(dens_inc=1,'5 Land Need'!$B$57,'5 Land Need'!$B$35)*F$26</f>
        <v>0</v>
      </c>
      <c r="G37" s="28" t="n">
        <f aca="false">IF(dens_inc=1,'5 Land Need'!$B$57,'5 Land Need'!$B$35)*G$26</f>
        <v>0</v>
      </c>
      <c r="H37" s="28" t="n">
        <f aca="false">IF(dens_inc=1,'5 Land Need'!$B$57,'5 Land Need'!$B$35)*H$26</f>
        <v>0</v>
      </c>
      <c r="I37" s="28" t="n">
        <f aca="false">IF(dens_inc=1,'5 Land Need'!$B$57,'5 Land Need'!$B$35)*I$26</f>
        <v>0</v>
      </c>
      <c r="J37" s="28" t="n">
        <f aca="false">IF(dens_inc=1,'5 Land Need'!$B$57,'5 Land Need'!$B$35)*J$26</f>
        <v>0</v>
      </c>
      <c r="K37" s="28" t="n">
        <f aca="false">IF(dens_inc=1,'5 Land Need'!$B$57,'5 Land Need'!$B$35)*K$26</f>
        <v>0</v>
      </c>
      <c r="L37" s="28" t="n">
        <f aca="false">IF(dens_inc=1,'5 Land Need'!$B$57,'5 Land Need'!$B$35)*L$26</f>
        <v>0</v>
      </c>
      <c r="M37" s="28" t="n">
        <f aca="false">IF(dens_inc=1,'5 Land Need'!$B$57,'5 Land Need'!$B$35)*M$26</f>
        <v>0</v>
      </c>
      <c r="N37" s="28" t="n">
        <f aca="false">IF(dens_inc=1,'5 Land Need'!$B$57,'5 Land Need'!$B$35)*N$26</f>
        <v>0</v>
      </c>
      <c r="O37" s="28" t="n">
        <f aca="false">IF(dens_inc=1,'5 Land Need'!$B$57,'5 Land Need'!$B$35)*O$26</f>
        <v>0</v>
      </c>
      <c r="P37" s="28" t="n">
        <f aca="false">IF(dens_inc=1,'5 Land Need'!$B$57,'5 Land Need'!$B$35)*P$26</f>
        <v>0</v>
      </c>
      <c r="Q37" s="28" t="n">
        <f aca="false">IF(dens_inc=1,'5 Land Need'!$B$57,'5 Land Need'!$B$35)*Q$26</f>
        <v>0</v>
      </c>
      <c r="R37" s="47" t="n">
        <f aca="false">SUM(C37:Q37)</f>
        <v>0</v>
      </c>
    </row>
    <row r="38" customFormat="false" ht="15" hidden="false" customHeight="false" outlineLevel="0" collapsed="false">
      <c r="A38" s="13" t="s">
        <v>427</v>
      </c>
      <c r="C38" s="28" t="n">
        <f aca="false">(IF(dens_inc=1,'5 Land Need'!$B$59,'5 Land Need'!$B$37)+IF(dens_inc=1,'5 Land Need'!$B$60,'5 Land Need'!$B$38))*C$27</f>
        <v>0</v>
      </c>
      <c r="D38" s="28" t="n">
        <f aca="false">(IF(dens_inc=1,'5 Land Need'!$B$59,'5 Land Need'!$B$37)+IF(dens_inc=1,'5 Land Need'!$B$60,'5 Land Need'!$B$38))*D$27</f>
        <v>0</v>
      </c>
      <c r="E38" s="28" t="n">
        <f aca="false">(IF(dens_inc=1,'5 Land Need'!$B$59,'5 Land Need'!$B$37)+IF(dens_inc=1,'5 Land Need'!$B$60,'5 Land Need'!$B$38))*E$27</f>
        <v>177.746153846154</v>
      </c>
      <c r="F38" s="28" t="n">
        <f aca="false">(IF(dens_inc=1,'5 Land Need'!$B$59,'5 Land Need'!$B$37)+IF(dens_inc=1,'5 Land Need'!$B$60,'5 Land Need'!$B$38))*F$27</f>
        <v>177.746153846154</v>
      </c>
      <c r="G38" s="28" t="n">
        <f aca="false">(IF(dens_inc=1,'5 Land Need'!$B$59,'5 Land Need'!$B$37)+IF(dens_inc=1,'5 Land Need'!$B$60,'5 Land Need'!$B$38))*G$27</f>
        <v>177.746153846154</v>
      </c>
      <c r="H38" s="28" t="n">
        <f aca="false">(IF(dens_inc=1,'5 Land Need'!$B$59,'5 Land Need'!$B$37)+IF(dens_inc=1,'5 Land Need'!$B$60,'5 Land Need'!$B$38))*H$27</f>
        <v>177.746153846154</v>
      </c>
      <c r="I38" s="28" t="n">
        <f aca="false">(IF(dens_inc=1,'5 Land Need'!$B$59,'5 Land Need'!$B$37)+IF(dens_inc=1,'5 Land Need'!$B$60,'5 Land Need'!$B$38))*I$27</f>
        <v>177.746153846154</v>
      </c>
      <c r="J38" s="28" t="n">
        <f aca="false">(IF(dens_inc=1,'5 Land Need'!$B$59,'5 Land Need'!$B$37)+IF(dens_inc=1,'5 Land Need'!$B$60,'5 Land Need'!$B$38))*J$27</f>
        <v>177.746153846154</v>
      </c>
      <c r="K38" s="28" t="n">
        <f aca="false">(IF(dens_inc=1,'5 Land Need'!$B$59,'5 Land Need'!$B$37)+IF(dens_inc=1,'5 Land Need'!$B$60,'5 Land Need'!$B$38))*K$27</f>
        <v>177.746153846154</v>
      </c>
      <c r="L38" s="28" t="n">
        <f aca="false">(IF(dens_inc=1,'5 Land Need'!$B$59,'5 Land Need'!$B$37)+IF(dens_inc=1,'5 Land Need'!$B$60,'5 Land Need'!$B$38))*L$27</f>
        <v>177.746153846154</v>
      </c>
      <c r="M38" s="28" t="n">
        <f aca="false">(IF(dens_inc=1,'5 Land Need'!$B$59,'5 Land Need'!$B$37)+IF(dens_inc=1,'5 Land Need'!$B$60,'5 Land Need'!$B$38))*M$27</f>
        <v>177.746153846154</v>
      </c>
      <c r="N38" s="28" t="n">
        <f aca="false">(IF(dens_inc=1,'5 Land Need'!$B$59,'5 Land Need'!$B$37)+IF(dens_inc=1,'5 Land Need'!$B$60,'5 Land Need'!$B$38))*N$27</f>
        <v>177.746153846154</v>
      </c>
      <c r="O38" s="28" t="n">
        <f aca="false">(IF(dens_inc=1,'5 Land Need'!$B$59,'5 Land Need'!$B$37)+IF(dens_inc=1,'5 Land Need'!$B$60,'5 Land Need'!$B$38))*O$27</f>
        <v>177.746153846154</v>
      </c>
      <c r="P38" s="28" t="n">
        <f aca="false">(IF(dens_inc=1,'5 Land Need'!$B$59,'5 Land Need'!$B$37)+IF(dens_inc=1,'5 Land Need'!$B$60,'5 Land Need'!$B$38))*P$27</f>
        <v>177.746153846154</v>
      </c>
      <c r="Q38" s="28" t="n">
        <f aca="false">(IF(dens_inc=1,'5 Land Need'!$B$59,'5 Land Need'!$B$37)+IF(dens_inc=1,'5 Land Need'!$B$60,'5 Land Need'!$B$38))*Q$27</f>
        <v>177.746153846154</v>
      </c>
      <c r="R38" s="47" t="n">
        <f aca="false">SUM(C38:Q38)</f>
        <v>2310.7</v>
      </c>
    </row>
    <row r="39" customFormat="false" ht="15" hidden="false" customHeight="false" outlineLevel="0" collapsed="false">
      <c r="A39" s="13" t="s">
        <v>428</v>
      </c>
      <c r="C39" s="28" t="n">
        <f aca="false">(IF(dens_inc=1,'5 Land Need'!$B$61,'5 Land Need'!$B$39)+IF(dens_inc=1,'5 Land Need'!$B$62,'5 Land Need'!$B$40))*C$28</f>
        <v>0</v>
      </c>
      <c r="D39" s="28" t="n">
        <f aca="false">(IF(dens_inc=1,'5 Land Need'!$B$61,'5 Land Need'!$B$39)+IF(dens_inc=1,'5 Land Need'!$B$62,'5 Land Need'!$B$40))*D$28</f>
        <v>0</v>
      </c>
      <c r="E39" s="28" t="n">
        <f aca="false">(IF(dens_inc=1,'5 Land Need'!$B$61,'5 Land Need'!$B$39)+IF(dens_inc=1,'5 Land Need'!$B$62,'5 Land Need'!$B$40))*E$28</f>
        <v>0</v>
      </c>
      <c r="F39" s="28" t="n">
        <f aca="false">(IF(dens_inc=1,'5 Land Need'!$B$61,'5 Land Need'!$B$39)+IF(dens_inc=1,'5 Land Need'!$B$62,'5 Land Need'!$B$40))*F$28</f>
        <v>0</v>
      </c>
      <c r="G39" s="28" t="n">
        <f aca="false">(IF(dens_inc=1,'5 Land Need'!$B$61,'5 Land Need'!$B$39)+IF(dens_inc=1,'5 Land Need'!$B$62,'5 Land Need'!$B$40))*G$28</f>
        <v>0</v>
      </c>
      <c r="H39" s="28" t="n">
        <f aca="false">(IF(dens_inc=1,'5 Land Need'!$B$61,'5 Land Need'!$B$39)+IF(dens_inc=1,'5 Land Need'!$B$62,'5 Land Need'!$B$40))*H$28</f>
        <v>0</v>
      </c>
      <c r="I39" s="28" t="n">
        <f aca="false">(IF(dens_inc=1,'5 Land Need'!$B$61,'5 Land Need'!$B$39)+IF(dens_inc=1,'5 Land Need'!$B$62,'5 Land Need'!$B$40))*I$28</f>
        <v>0</v>
      </c>
      <c r="J39" s="28" t="n">
        <f aca="false">(IF(dens_inc=1,'5 Land Need'!$B$61,'5 Land Need'!$B$39)+IF(dens_inc=1,'5 Land Need'!$B$62,'5 Land Need'!$B$40))*J$28</f>
        <v>0</v>
      </c>
      <c r="K39" s="28" t="n">
        <f aca="false">(IF(dens_inc=1,'5 Land Need'!$B$61,'5 Land Need'!$B$39)+IF(dens_inc=1,'5 Land Need'!$B$62,'5 Land Need'!$B$40))*K$28</f>
        <v>0</v>
      </c>
      <c r="L39" s="28" t="n">
        <f aca="false">(IF(dens_inc=1,'5 Land Need'!$B$61,'5 Land Need'!$B$39)+IF(dens_inc=1,'5 Land Need'!$B$62,'5 Land Need'!$B$40))*L$28</f>
        <v>0</v>
      </c>
      <c r="M39" s="28" t="n">
        <f aca="false">(IF(dens_inc=1,'5 Land Need'!$B$61,'5 Land Need'!$B$39)+IF(dens_inc=1,'5 Land Need'!$B$62,'5 Land Need'!$B$40))*M$28</f>
        <v>0</v>
      </c>
      <c r="N39" s="28" t="n">
        <f aca="false">(IF(dens_inc=1,'5 Land Need'!$B$61,'5 Land Need'!$B$39)+IF(dens_inc=1,'5 Land Need'!$B$62,'5 Land Need'!$B$40))*N$28</f>
        <v>0</v>
      </c>
      <c r="O39" s="28" t="n">
        <f aca="false">(IF(dens_inc=1,'5 Land Need'!$B$61,'5 Land Need'!$B$39)+IF(dens_inc=1,'5 Land Need'!$B$62,'5 Land Need'!$B$40))*O$28</f>
        <v>0</v>
      </c>
      <c r="P39" s="28" t="n">
        <f aca="false">(IF(dens_inc=1,'5 Land Need'!$B$61,'5 Land Need'!$B$39)+IF(dens_inc=1,'5 Land Need'!$B$62,'5 Land Need'!$B$40))*P$28</f>
        <v>0</v>
      </c>
      <c r="Q39" s="28" t="n">
        <f aca="false">(IF(dens_inc=1,'5 Land Need'!$B$61,'5 Land Need'!$B$39)+IF(dens_inc=1,'5 Land Need'!$B$62,'5 Land Need'!$B$40))*Q$28</f>
        <v>0</v>
      </c>
      <c r="R39" s="47" t="n">
        <f aca="false">SUM(C39:Q39)</f>
        <v>0</v>
      </c>
    </row>
    <row r="40" customFormat="false" ht="15" hidden="false" customHeight="false" outlineLevel="0" collapsed="false">
      <c r="A40" s="13" t="s">
        <v>65</v>
      </c>
      <c r="C40" s="28" t="n">
        <f aca="false">IF(dens_inc=1,'5 Land Need'!$B$65,'5 Land Need'!$B$43)*C$29</f>
        <v>0</v>
      </c>
      <c r="D40" s="28" t="n">
        <f aca="false">IF(dens_inc=1,'5 Land Need'!$B$65,'5 Land Need'!$B$43)*D$29</f>
        <v>0</v>
      </c>
      <c r="E40" s="28" t="n">
        <f aca="false">IF(dens_inc=1,'5 Land Need'!$B$65,'5 Land Need'!$B$43)*E$29</f>
        <v>0</v>
      </c>
      <c r="F40" s="28" t="n">
        <f aca="false">IF(dens_inc=1,'5 Land Need'!$B$65,'5 Land Need'!$B$43)*F$29</f>
        <v>0</v>
      </c>
      <c r="G40" s="28" t="n">
        <f aca="false">IF(dens_inc=1,'5 Land Need'!$B$65,'5 Land Need'!$B$43)*G$29</f>
        <v>0</v>
      </c>
      <c r="H40" s="28" t="n">
        <f aca="false">IF(dens_inc=1,'5 Land Need'!$B$65,'5 Land Need'!$B$43)*H$29</f>
        <v>394.6925</v>
      </c>
      <c r="I40" s="28" t="n">
        <f aca="false">IF(dens_inc=1,'5 Land Need'!$B$65,'5 Land Need'!$B$43)*I$29</f>
        <v>394.6925</v>
      </c>
      <c r="J40" s="28" t="n">
        <f aca="false">IF(dens_inc=1,'5 Land Need'!$B$65,'5 Land Need'!$B$43)*J$29</f>
        <v>394.6925</v>
      </c>
      <c r="K40" s="28" t="n">
        <f aca="false">IF(dens_inc=1,'5 Land Need'!$B$65,'5 Land Need'!$B$43)*K$29</f>
        <v>394.6925</v>
      </c>
      <c r="L40" s="28" t="n">
        <f aca="false">IF(dens_inc=1,'5 Land Need'!$B$65,'5 Land Need'!$B$43)*L$29</f>
        <v>394.6925</v>
      </c>
      <c r="M40" s="28" t="n">
        <f aca="false">IF(dens_inc=1,'5 Land Need'!$B$65,'5 Land Need'!$B$43)*M$29</f>
        <v>394.6925</v>
      </c>
      <c r="N40" s="28" t="n">
        <f aca="false">IF(dens_inc=1,'5 Land Need'!$B$65,'5 Land Need'!$B$43)*N$29</f>
        <v>394.6925</v>
      </c>
      <c r="O40" s="28" t="n">
        <f aca="false">IF(dens_inc=1,'5 Land Need'!$B$65,'5 Land Need'!$B$43)*O$29</f>
        <v>394.6925</v>
      </c>
      <c r="P40" s="28" t="n">
        <f aca="false">IF(dens_inc=1,'5 Land Need'!$B$65,'5 Land Need'!$B$43)*P$29</f>
        <v>394.6925</v>
      </c>
      <c r="Q40" s="28" t="n">
        <f aca="false">IF(dens_inc=1,'5 Land Need'!$B$65,'5 Land Need'!$B$43)*Q$29</f>
        <v>394.6925</v>
      </c>
      <c r="R40" s="47" t="n">
        <f aca="false">SUM(C40:Q40)</f>
        <v>3946.925</v>
      </c>
    </row>
    <row r="41" customFormat="false" ht="15" hidden="false" customHeight="false" outlineLevel="0" collapsed="false">
      <c r="A41" s="29" t="s">
        <v>429</v>
      </c>
      <c r="C41" s="30" t="n">
        <f aca="false">SUM(C36:C40)</f>
        <v>12.0081719128329</v>
      </c>
      <c r="D41" s="30" t="n">
        <f aca="false">SUM(D36:D40)</f>
        <v>74.3984564164649</v>
      </c>
      <c r="E41" s="30" t="n">
        <f aca="false">SUM(E36:E40)</f>
        <v>388.672303967219</v>
      </c>
      <c r="F41" s="30" t="n">
        <f aca="false">SUM(F36:F40)</f>
        <v>403.029900819519</v>
      </c>
      <c r="G41" s="30" t="n">
        <f aca="false">SUM(G36:G40)</f>
        <v>241.006595734774</v>
      </c>
      <c r="H41" s="30" t="n">
        <f aca="false">SUM(H36:H40)</f>
        <v>616.729664742038</v>
      </c>
      <c r="I41" s="30" t="n">
        <f aca="false">SUM(I36:I40)</f>
        <v>616.729664742038</v>
      </c>
      <c r="J41" s="30" t="n">
        <f aca="false">SUM(J36:J40)</f>
        <v>616.729664742038</v>
      </c>
      <c r="K41" s="30" t="n">
        <f aca="false">SUM(K36:K40)</f>
        <v>572.438653846154</v>
      </c>
      <c r="L41" s="30" t="n">
        <f aca="false">SUM(L36:L40)</f>
        <v>572.438653846154</v>
      </c>
      <c r="M41" s="30" t="n">
        <f aca="false">SUM(M36:M40)</f>
        <v>572.438653846154</v>
      </c>
      <c r="N41" s="30" t="n">
        <f aca="false">SUM(N36:N40)</f>
        <v>572.438653846154</v>
      </c>
      <c r="O41" s="30" t="n">
        <f aca="false">SUM(O36:O40)</f>
        <v>572.438653846154</v>
      </c>
      <c r="P41" s="30" t="n">
        <f aca="false">SUM(P36:P40)</f>
        <v>572.438653846154</v>
      </c>
      <c r="Q41" s="30" t="n">
        <f aca="false">SUM(Q36:Q40)</f>
        <v>572.438653846154</v>
      </c>
      <c r="R41" s="30" t="n">
        <f aca="false">SUM(R36:R40)</f>
        <v>6976.375</v>
      </c>
    </row>
    <row r="42" customFormat="false" ht="15" hidden="false" customHeight="false" outlineLevel="0" collapsed="false">
      <c r="A42" s="13" t="s">
        <v>430</v>
      </c>
      <c r="C42" s="28" t="n">
        <f aca="false">INDEX('1 Demand'!$D$7:$D$21,1)*IF(dens_inc=1,'5 Land Need'!$B$53,'5 Land Need'!$B$31)</f>
        <v>746.025</v>
      </c>
      <c r="D42" s="28" t="n">
        <f aca="false">INDEX('1 Demand'!$D$7:$D$21,2)*IF(dens_inc=1,'5 Land Need'!$B$53,'5 Land Need'!$B$31)</f>
        <v>746.025</v>
      </c>
      <c r="E42" s="28" t="n">
        <f aca="false">INDEX('1 Demand'!$D$7:$D$21,3)*IF(dens_inc=1,'5 Land Need'!$B$53,'5 Land Need'!$B$31)</f>
        <v>746.025</v>
      </c>
      <c r="F42" s="28" t="n">
        <f aca="false">INDEX('1 Demand'!$D$7:$D$21,4)*IF(dens_inc=1,'5 Land Need'!$B$53,'5 Land Need'!$B$31)</f>
        <v>746.025</v>
      </c>
      <c r="G42" s="28" t="n">
        <f aca="false">INDEX('1 Demand'!$D$7:$D$21,5)*IF(dens_inc=1,'5 Land Need'!$B$53,'5 Land Need'!$B$31)</f>
        <v>746.025</v>
      </c>
      <c r="H42" s="28" t="n">
        <f aca="false">INDEX('1 Demand'!$D$7:$D$21,6)*IF(dens_inc=1,'5 Land Need'!$B$53,'5 Land Need'!$B$31)</f>
        <v>379.4</v>
      </c>
      <c r="I42" s="28" t="n">
        <f aca="false">INDEX('1 Demand'!$D$7:$D$21,7)*IF(dens_inc=1,'5 Land Need'!$B$53,'5 Land Need'!$B$31)</f>
        <v>379.4</v>
      </c>
      <c r="J42" s="28" t="n">
        <f aca="false">INDEX('1 Demand'!$D$7:$D$21,8)*IF(dens_inc=1,'5 Land Need'!$B$53,'5 Land Need'!$B$31)</f>
        <v>379.4</v>
      </c>
      <c r="K42" s="28" t="n">
        <f aca="false">INDEX('1 Demand'!$D$7:$D$21,9)*IF(dens_inc=1,'5 Land Need'!$B$53,'5 Land Need'!$B$31)</f>
        <v>379.4</v>
      </c>
      <c r="L42" s="28" t="n">
        <f aca="false">INDEX('1 Demand'!$D$7:$D$21,10)*IF(dens_inc=1,'5 Land Need'!$B$53,'5 Land Need'!$B$31)</f>
        <v>366.625</v>
      </c>
      <c r="M42" s="28" t="n">
        <f aca="false">INDEX('1 Demand'!$D$7:$D$21,11)*IF(dens_inc=1,'5 Land Need'!$B$53,'5 Land Need'!$B$31)</f>
        <v>277.725</v>
      </c>
      <c r="N42" s="28" t="n">
        <f aca="false">INDEX('1 Demand'!$D$7:$D$21,12)*IF(dens_inc=1,'5 Land Need'!$B$53,'5 Land Need'!$B$31)</f>
        <v>275.45</v>
      </c>
      <c r="O42" s="28" t="n">
        <f aca="false">INDEX('1 Demand'!$D$7:$D$21,13)*IF(dens_inc=1,'5 Land Need'!$B$53,'5 Land Need'!$B$31)</f>
        <v>272.125</v>
      </c>
      <c r="P42" s="28" t="n">
        <f aca="false">INDEX('1 Demand'!$D$7:$D$21,14)*IF(dens_inc=1,'5 Land Need'!$B$53,'5 Land Need'!$B$31)</f>
        <v>269.675</v>
      </c>
      <c r="Q42" s="28" t="n">
        <f aca="false">INDEX('1 Demand'!$D$7:$D$21,15)*IF(dens_inc=1,'5 Land Need'!$B$53,'5 Land Need'!$B$31)</f>
        <v>266.875</v>
      </c>
      <c r="R42" s="47" t="n">
        <f aca="false">SUM(C42:Q42)</f>
        <v>6976.2</v>
      </c>
    </row>
    <row r="44" customFormat="false" ht="15" hidden="false" customHeight="false" outlineLevel="0" collapsed="false">
      <c r="A44" s="50" t="s">
        <v>259</v>
      </c>
      <c r="B44" s="2"/>
      <c r="C44" s="2"/>
      <c r="D44" s="2"/>
      <c r="E44" s="2"/>
      <c r="F44" s="2"/>
      <c r="G44" s="2"/>
      <c r="H44" s="2"/>
      <c r="I44" s="2"/>
      <c r="J44" s="2"/>
      <c r="K44" s="2"/>
      <c r="L44" s="2"/>
      <c r="M44" s="2"/>
      <c r="N44" s="2"/>
      <c r="O44" s="2"/>
      <c r="P44" s="2"/>
      <c r="Q44" s="2"/>
      <c r="R44" s="2"/>
    </row>
    <row r="45" customFormat="false" ht="15" hidden="false" customHeight="false" outlineLevel="0" collapsed="false">
      <c r="A45" s="13" t="s">
        <v>426</v>
      </c>
      <c r="B45" s="21" t="n">
        <f aca="false">IFERROR((IF(dens_inc=1,'5 Land Need'!$C$55,'5 Land Need'!$C$33)+IF(dens_inc=1,'5 Land Need'!$C$56,'5 Land Need'!$C$34)+IF(dens_inc=1,'5 Land Need'!$C$58,'5 Land Need'!$C$36))/(SUMIFS(dp_uc,dp_geo,"Rest of City")+SUMIFS(dp_pns,dp_geo,"Rest of City")),0)</f>
        <v>0.917284632376144</v>
      </c>
      <c r="C45" s="28" t="n">
        <f aca="false">SUMIFS(dp_e26,dp_geo,"Rest of City")*$B45</f>
        <v>334.717162354055</v>
      </c>
      <c r="D45" s="28" t="n">
        <f aca="false">SUMIFS(dp_e27,dp_geo,"Rest of City")*$B45</f>
        <v>1346.75729725465</v>
      </c>
      <c r="E45" s="28" t="n">
        <f aca="false">SUMIFS(dp_e28,dp_geo,"Rest of City")*$B45</f>
        <v>890.408192647523</v>
      </c>
      <c r="F45" s="28" t="n">
        <f aca="false">SUMIFS(dp_e29,dp_geo,"Rest of City")*$B45</f>
        <v>1250.5341393184</v>
      </c>
      <c r="G45" s="28" t="n">
        <f aca="false">SUMIFS(dp_e30,dp_geo,"Rest of City")*$B45</f>
        <v>688.330388135058</v>
      </c>
      <c r="H45" s="28" t="n">
        <f aca="false">SUMIFS(dp_e31,dp_geo,"Rest of City")*$B45*H$25</f>
        <v>434.334273430104</v>
      </c>
      <c r="I45" s="28" t="n">
        <f aca="false">SUMIFS(dp_e31,dp_geo,"Rest of City")*$B45*I$25</f>
        <v>434.334273430104</v>
      </c>
      <c r="J45" s="28" t="n">
        <f aca="false">SUMIFS(dp_e31,dp_geo,"Rest of City")*$B45*J$25</f>
        <v>434.334273430104</v>
      </c>
      <c r="K45" s="28" t="n">
        <f aca="false">SUMIFS(dp_e31,dp_geo,"Rest of City")*$B45*K$25</f>
        <v>0</v>
      </c>
      <c r="L45" s="28" t="n">
        <f aca="false">SUMIFS(dp_e31,dp_geo,"Rest of City")*$B45*L$25</f>
        <v>0</v>
      </c>
      <c r="M45" s="28" t="n">
        <f aca="false">SUMIFS(dp_e31,dp_geo,"Rest of City")*$B45*M$25</f>
        <v>0</v>
      </c>
      <c r="N45" s="28" t="n">
        <f aca="false">SUMIFS(dp_e31,dp_geo,"Rest of City")*$B45*N$25</f>
        <v>0</v>
      </c>
      <c r="O45" s="28" t="n">
        <f aca="false">SUMIFS(dp_e31,dp_geo,"Rest of City")*$B45*O$25</f>
        <v>0</v>
      </c>
      <c r="P45" s="28" t="n">
        <f aca="false">SUMIFS(dp_e31,dp_geo,"Rest of City")*$B45*P$25</f>
        <v>0</v>
      </c>
      <c r="Q45" s="28" t="n">
        <f aca="false">SUMIFS(dp_e31,dp_geo,"Rest of City")*$B45*Q$25</f>
        <v>0</v>
      </c>
      <c r="R45" s="47" t="n">
        <f aca="false">SUM(C45:Q45)</f>
        <v>5813.75</v>
      </c>
    </row>
    <row r="46" customFormat="false" ht="15" hidden="false" customHeight="false" outlineLevel="0" collapsed="false">
      <c r="A46" s="13" t="s">
        <v>60</v>
      </c>
      <c r="C46" s="28" t="n">
        <f aca="false">IF(dens_inc=1,'5 Land Need'!$C$57,'5 Land Need'!$C$35)*C$26</f>
        <v>0</v>
      </c>
      <c r="D46" s="28" t="n">
        <f aca="false">IF(dens_inc=1,'5 Land Need'!$C$57,'5 Land Need'!$C$35)*D$26</f>
        <v>0</v>
      </c>
      <c r="E46" s="28" t="n">
        <f aca="false">IF(dens_inc=1,'5 Land Need'!$C$57,'5 Land Need'!$C$35)*E$26</f>
        <v>5.16666666666667</v>
      </c>
      <c r="F46" s="28" t="n">
        <f aca="false">IF(dens_inc=1,'5 Land Need'!$C$57,'5 Land Need'!$C$35)*F$26</f>
        <v>5.16666666666667</v>
      </c>
      <c r="G46" s="28" t="n">
        <f aca="false">IF(dens_inc=1,'5 Land Need'!$C$57,'5 Land Need'!$C$35)*G$26</f>
        <v>5.16666666666667</v>
      </c>
      <c r="H46" s="28" t="n">
        <f aca="false">IF(dens_inc=1,'5 Land Need'!$C$57,'5 Land Need'!$C$35)*H$26</f>
        <v>0</v>
      </c>
      <c r="I46" s="28" t="n">
        <f aca="false">IF(dens_inc=1,'5 Land Need'!$C$57,'5 Land Need'!$C$35)*I$26</f>
        <v>0</v>
      </c>
      <c r="J46" s="28" t="n">
        <f aca="false">IF(dens_inc=1,'5 Land Need'!$C$57,'5 Land Need'!$C$35)*J$26</f>
        <v>0</v>
      </c>
      <c r="K46" s="28" t="n">
        <f aca="false">IF(dens_inc=1,'5 Land Need'!$C$57,'5 Land Need'!$C$35)*K$26</f>
        <v>0</v>
      </c>
      <c r="L46" s="28" t="n">
        <f aca="false">IF(dens_inc=1,'5 Land Need'!$C$57,'5 Land Need'!$C$35)*L$26</f>
        <v>0</v>
      </c>
      <c r="M46" s="28" t="n">
        <f aca="false">IF(dens_inc=1,'5 Land Need'!$C$57,'5 Land Need'!$C$35)*M$26</f>
        <v>0</v>
      </c>
      <c r="N46" s="28" t="n">
        <f aca="false">IF(dens_inc=1,'5 Land Need'!$C$57,'5 Land Need'!$C$35)*N$26</f>
        <v>0</v>
      </c>
      <c r="O46" s="28" t="n">
        <f aca="false">IF(dens_inc=1,'5 Land Need'!$C$57,'5 Land Need'!$C$35)*O$26</f>
        <v>0</v>
      </c>
      <c r="P46" s="28" t="n">
        <f aca="false">IF(dens_inc=1,'5 Land Need'!$C$57,'5 Land Need'!$C$35)*P$26</f>
        <v>0</v>
      </c>
      <c r="Q46" s="28" t="n">
        <f aca="false">IF(dens_inc=1,'5 Land Need'!$C$57,'5 Land Need'!$C$35)*Q$26</f>
        <v>0</v>
      </c>
      <c r="R46" s="47" t="n">
        <f aca="false">SUM(C46:Q46)</f>
        <v>15.5</v>
      </c>
    </row>
    <row r="47" customFormat="false" ht="15" hidden="false" customHeight="false" outlineLevel="0" collapsed="false">
      <c r="A47" s="13" t="s">
        <v>427</v>
      </c>
      <c r="C47" s="28" t="n">
        <f aca="false">(IF(dens_inc=1,'5 Land Need'!$C$59,'5 Land Need'!$C$37)+IF(dens_inc=1,'5 Land Need'!$C$60,'5 Land Need'!$C$38))*C$27</f>
        <v>0</v>
      </c>
      <c r="D47" s="28" t="n">
        <f aca="false">(IF(dens_inc=1,'5 Land Need'!$C$59,'5 Land Need'!$C$37)+IF(dens_inc=1,'5 Land Need'!$C$60,'5 Land Need'!$C$38))*D$27</f>
        <v>0</v>
      </c>
      <c r="E47" s="28" t="n">
        <f aca="false">(IF(dens_inc=1,'5 Land Need'!$C$59,'5 Land Need'!$C$37)+IF(dens_inc=1,'5 Land Need'!$C$60,'5 Land Need'!$C$38))*E$27</f>
        <v>368.415384615385</v>
      </c>
      <c r="F47" s="28" t="n">
        <f aca="false">(IF(dens_inc=1,'5 Land Need'!$C$59,'5 Land Need'!$C$37)+IF(dens_inc=1,'5 Land Need'!$C$60,'5 Land Need'!$C$38))*F$27</f>
        <v>368.415384615385</v>
      </c>
      <c r="G47" s="28" t="n">
        <f aca="false">(IF(dens_inc=1,'5 Land Need'!$C$59,'5 Land Need'!$C$37)+IF(dens_inc=1,'5 Land Need'!$C$60,'5 Land Need'!$C$38))*G$27</f>
        <v>368.415384615385</v>
      </c>
      <c r="H47" s="28" t="n">
        <f aca="false">(IF(dens_inc=1,'5 Land Need'!$C$59,'5 Land Need'!$C$37)+IF(dens_inc=1,'5 Land Need'!$C$60,'5 Land Need'!$C$38))*H$27</f>
        <v>368.415384615385</v>
      </c>
      <c r="I47" s="28" t="n">
        <f aca="false">(IF(dens_inc=1,'5 Land Need'!$C$59,'5 Land Need'!$C$37)+IF(dens_inc=1,'5 Land Need'!$C$60,'5 Land Need'!$C$38))*I$27</f>
        <v>368.415384615385</v>
      </c>
      <c r="J47" s="28" t="n">
        <f aca="false">(IF(dens_inc=1,'5 Land Need'!$C$59,'5 Land Need'!$C$37)+IF(dens_inc=1,'5 Land Need'!$C$60,'5 Land Need'!$C$38))*J$27</f>
        <v>368.415384615385</v>
      </c>
      <c r="K47" s="28" t="n">
        <f aca="false">(IF(dens_inc=1,'5 Land Need'!$C$59,'5 Land Need'!$C$37)+IF(dens_inc=1,'5 Land Need'!$C$60,'5 Land Need'!$C$38))*K$27</f>
        <v>368.415384615385</v>
      </c>
      <c r="L47" s="28" t="n">
        <f aca="false">(IF(dens_inc=1,'5 Land Need'!$C$59,'5 Land Need'!$C$37)+IF(dens_inc=1,'5 Land Need'!$C$60,'5 Land Need'!$C$38))*L$27</f>
        <v>368.415384615385</v>
      </c>
      <c r="M47" s="28" t="n">
        <f aca="false">(IF(dens_inc=1,'5 Land Need'!$C$59,'5 Land Need'!$C$37)+IF(dens_inc=1,'5 Land Need'!$C$60,'5 Land Need'!$C$38))*M$27</f>
        <v>368.415384615385</v>
      </c>
      <c r="N47" s="28" t="n">
        <f aca="false">(IF(dens_inc=1,'5 Land Need'!$C$59,'5 Land Need'!$C$37)+IF(dens_inc=1,'5 Land Need'!$C$60,'5 Land Need'!$C$38))*N$27</f>
        <v>368.415384615385</v>
      </c>
      <c r="O47" s="28" t="n">
        <f aca="false">(IF(dens_inc=1,'5 Land Need'!$C$59,'5 Land Need'!$C$37)+IF(dens_inc=1,'5 Land Need'!$C$60,'5 Land Need'!$C$38))*O$27</f>
        <v>368.415384615385</v>
      </c>
      <c r="P47" s="28" t="n">
        <f aca="false">(IF(dens_inc=1,'5 Land Need'!$C$59,'5 Land Need'!$C$37)+IF(dens_inc=1,'5 Land Need'!$C$60,'5 Land Need'!$C$38))*P$27</f>
        <v>368.415384615385</v>
      </c>
      <c r="Q47" s="28" t="n">
        <f aca="false">(IF(dens_inc=1,'5 Land Need'!$C$59,'5 Land Need'!$C$37)+IF(dens_inc=1,'5 Land Need'!$C$60,'5 Land Need'!$C$38))*Q$27</f>
        <v>368.415384615385</v>
      </c>
      <c r="R47" s="47" t="n">
        <f aca="false">SUM(C47:Q47)</f>
        <v>4789.4</v>
      </c>
    </row>
    <row r="48" customFormat="false" ht="15" hidden="false" customHeight="false" outlineLevel="0" collapsed="false">
      <c r="A48" s="13" t="s">
        <v>428</v>
      </c>
      <c r="C48" s="28" t="n">
        <f aca="false">(IF(dens_inc=1,'5 Land Need'!$C$61,'5 Land Need'!$C$39)+IF(dens_inc=1,'5 Land Need'!$C$62,'5 Land Need'!$C$40))*C$28</f>
        <v>0</v>
      </c>
      <c r="D48" s="28" t="n">
        <f aca="false">(IF(dens_inc=1,'5 Land Need'!$C$61,'5 Land Need'!$C$39)+IF(dens_inc=1,'5 Land Need'!$C$62,'5 Land Need'!$C$40))*D$28</f>
        <v>0</v>
      </c>
      <c r="E48" s="28" t="n">
        <f aca="false">(IF(dens_inc=1,'5 Land Need'!$C$61,'5 Land Need'!$C$39)+IF(dens_inc=1,'5 Land Need'!$C$62,'5 Land Need'!$C$40))*E$28</f>
        <v>2.16923076923077</v>
      </c>
      <c r="F48" s="28" t="n">
        <f aca="false">(IF(dens_inc=1,'5 Land Need'!$C$61,'5 Land Need'!$C$39)+IF(dens_inc=1,'5 Land Need'!$C$62,'5 Land Need'!$C$40))*F$28</f>
        <v>2.16923076923077</v>
      </c>
      <c r="G48" s="28" t="n">
        <f aca="false">(IF(dens_inc=1,'5 Land Need'!$C$61,'5 Land Need'!$C$39)+IF(dens_inc=1,'5 Land Need'!$C$62,'5 Land Need'!$C$40))*G$28</f>
        <v>2.16923076923077</v>
      </c>
      <c r="H48" s="28" t="n">
        <f aca="false">(IF(dens_inc=1,'5 Land Need'!$C$61,'5 Land Need'!$C$39)+IF(dens_inc=1,'5 Land Need'!$C$62,'5 Land Need'!$C$40))*H$28</f>
        <v>2.16923076923077</v>
      </c>
      <c r="I48" s="28" t="n">
        <f aca="false">(IF(dens_inc=1,'5 Land Need'!$C$61,'5 Land Need'!$C$39)+IF(dens_inc=1,'5 Land Need'!$C$62,'5 Land Need'!$C$40))*I$28</f>
        <v>2.16923076923077</v>
      </c>
      <c r="J48" s="28" t="n">
        <f aca="false">(IF(dens_inc=1,'5 Land Need'!$C$61,'5 Land Need'!$C$39)+IF(dens_inc=1,'5 Land Need'!$C$62,'5 Land Need'!$C$40))*J$28</f>
        <v>2.16923076923077</v>
      </c>
      <c r="K48" s="28" t="n">
        <f aca="false">(IF(dens_inc=1,'5 Land Need'!$C$61,'5 Land Need'!$C$39)+IF(dens_inc=1,'5 Land Need'!$C$62,'5 Land Need'!$C$40))*K$28</f>
        <v>2.16923076923077</v>
      </c>
      <c r="L48" s="28" t="n">
        <f aca="false">(IF(dens_inc=1,'5 Land Need'!$C$61,'5 Land Need'!$C$39)+IF(dens_inc=1,'5 Land Need'!$C$62,'5 Land Need'!$C$40))*L$28</f>
        <v>2.16923076923077</v>
      </c>
      <c r="M48" s="28" t="n">
        <f aca="false">(IF(dens_inc=1,'5 Land Need'!$C$61,'5 Land Need'!$C$39)+IF(dens_inc=1,'5 Land Need'!$C$62,'5 Land Need'!$C$40))*M$28</f>
        <v>2.16923076923077</v>
      </c>
      <c r="N48" s="28" t="n">
        <f aca="false">(IF(dens_inc=1,'5 Land Need'!$C$61,'5 Land Need'!$C$39)+IF(dens_inc=1,'5 Land Need'!$C$62,'5 Land Need'!$C$40))*N$28</f>
        <v>2.16923076923077</v>
      </c>
      <c r="O48" s="28" t="n">
        <f aca="false">(IF(dens_inc=1,'5 Land Need'!$C$61,'5 Land Need'!$C$39)+IF(dens_inc=1,'5 Land Need'!$C$62,'5 Land Need'!$C$40))*O$28</f>
        <v>2.16923076923077</v>
      </c>
      <c r="P48" s="28" t="n">
        <f aca="false">(IF(dens_inc=1,'5 Land Need'!$C$61,'5 Land Need'!$C$39)+IF(dens_inc=1,'5 Land Need'!$C$62,'5 Land Need'!$C$40))*P$28</f>
        <v>2.16923076923077</v>
      </c>
      <c r="Q48" s="28" t="n">
        <f aca="false">(IF(dens_inc=1,'5 Land Need'!$C$61,'5 Land Need'!$C$39)+IF(dens_inc=1,'5 Land Need'!$C$62,'5 Land Need'!$C$40))*Q$28</f>
        <v>2.16923076923077</v>
      </c>
      <c r="R48" s="47" t="n">
        <f aca="false">SUM(C48:Q48)</f>
        <v>28.2</v>
      </c>
    </row>
    <row r="49" customFormat="false" ht="15" hidden="false" customHeight="false" outlineLevel="0" collapsed="false">
      <c r="A49" s="13" t="s">
        <v>65</v>
      </c>
      <c r="C49" s="28" t="n">
        <f aca="false">IF(dens_inc=1,'5 Land Need'!$C$65,'5 Land Need'!$C$43)*C$29</f>
        <v>0</v>
      </c>
      <c r="D49" s="28" t="n">
        <f aca="false">IF(dens_inc=1,'5 Land Need'!$C$65,'5 Land Need'!$C$43)*D$29</f>
        <v>0</v>
      </c>
      <c r="E49" s="28" t="n">
        <f aca="false">IF(dens_inc=1,'5 Land Need'!$C$65,'5 Land Need'!$C$43)*E$29</f>
        <v>0</v>
      </c>
      <c r="F49" s="28" t="n">
        <f aca="false">IF(dens_inc=1,'5 Land Need'!$C$65,'5 Land Need'!$C$43)*F$29</f>
        <v>0</v>
      </c>
      <c r="G49" s="28" t="n">
        <f aca="false">IF(dens_inc=1,'5 Land Need'!$C$65,'5 Land Need'!$C$43)*G$29</f>
        <v>0</v>
      </c>
      <c r="H49" s="28" t="n">
        <f aca="false">IF(dens_inc=1,'5 Land Need'!$C$65,'5 Land Need'!$C$43)*H$29</f>
        <v>1028.2275</v>
      </c>
      <c r="I49" s="28" t="n">
        <f aca="false">IF(dens_inc=1,'5 Land Need'!$C$65,'5 Land Need'!$C$43)*I$29</f>
        <v>1028.2275</v>
      </c>
      <c r="J49" s="28" t="n">
        <f aca="false">IF(dens_inc=1,'5 Land Need'!$C$65,'5 Land Need'!$C$43)*J$29</f>
        <v>1028.2275</v>
      </c>
      <c r="K49" s="28" t="n">
        <f aca="false">IF(dens_inc=1,'5 Land Need'!$C$65,'5 Land Need'!$C$43)*K$29</f>
        <v>1028.2275</v>
      </c>
      <c r="L49" s="28" t="n">
        <f aca="false">IF(dens_inc=1,'5 Land Need'!$C$65,'5 Land Need'!$C$43)*L$29</f>
        <v>1028.2275</v>
      </c>
      <c r="M49" s="28" t="n">
        <f aca="false">IF(dens_inc=1,'5 Land Need'!$C$65,'5 Land Need'!$C$43)*M$29</f>
        <v>1028.2275</v>
      </c>
      <c r="N49" s="28" t="n">
        <f aca="false">IF(dens_inc=1,'5 Land Need'!$C$65,'5 Land Need'!$C$43)*N$29</f>
        <v>1028.2275</v>
      </c>
      <c r="O49" s="28" t="n">
        <f aca="false">IF(dens_inc=1,'5 Land Need'!$C$65,'5 Land Need'!$C$43)*O$29</f>
        <v>1028.2275</v>
      </c>
      <c r="P49" s="28" t="n">
        <f aca="false">IF(dens_inc=1,'5 Land Need'!$C$65,'5 Land Need'!$C$43)*P$29</f>
        <v>1028.2275</v>
      </c>
      <c r="Q49" s="28" t="n">
        <f aca="false">IF(dens_inc=1,'5 Land Need'!$C$65,'5 Land Need'!$C$43)*Q$29</f>
        <v>1028.2275</v>
      </c>
      <c r="R49" s="47" t="n">
        <f aca="false">SUM(C49:Q49)</f>
        <v>10282.275</v>
      </c>
    </row>
    <row r="50" customFormat="false" ht="15" hidden="false" customHeight="false" outlineLevel="0" collapsed="false">
      <c r="A50" s="29" t="s">
        <v>431</v>
      </c>
      <c r="C50" s="30" t="n">
        <f aca="false">SUM(C45:C49)</f>
        <v>334.717162354055</v>
      </c>
      <c r="D50" s="30" t="n">
        <f aca="false">SUM(D45:D49)</f>
        <v>1346.75729725465</v>
      </c>
      <c r="E50" s="30" t="n">
        <f aca="false">SUM(E45:E49)</f>
        <v>1266.1594746988</v>
      </c>
      <c r="F50" s="30" t="n">
        <f aca="false">SUM(F45:F49)</f>
        <v>1626.28542136968</v>
      </c>
      <c r="G50" s="30" t="n">
        <f aca="false">SUM(G45:G49)</f>
        <v>1064.08167018634</v>
      </c>
      <c r="H50" s="30" t="n">
        <f aca="false">SUM(H45:H49)</f>
        <v>1833.14638881472</v>
      </c>
      <c r="I50" s="30" t="n">
        <f aca="false">SUM(I45:I49)</f>
        <v>1833.14638881472</v>
      </c>
      <c r="J50" s="30" t="n">
        <f aca="false">SUM(J45:J49)</f>
        <v>1833.14638881472</v>
      </c>
      <c r="K50" s="30" t="n">
        <f aca="false">SUM(K45:K49)</f>
        <v>1398.81211538462</v>
      </c>
      <c r="L50" s="30" t="n">
        <f aca="false">SUM(L45:L49)</f>
        <v>1398.81211538462</v>
      </c>
      <c r="M50" s="30" t="n">
        <f aca="false">SUM(M45:M49)</f>
        <v>1398.81211538462</v>
      </c>
      <c r="N50" s="30" t="n">
        <f aca="false">SUM(N45:N49)</f>
        <v>1398.81211538462</v>
      </c>
      <c r="O50" s="30" t="n">
        <f aca="false">SUM(O45:O49)</f>
        <v>1398.81211538462</v>
      </c>
      <c r="P50" s="30" t="n">
        <f aca="false">SUM(P45:P49)</f>
        <v>1398.81211538462</v>
      </c>
      <c r="Q50" s="30" t="n">
        <f aca="false">SUM(Q45:Q49)</f>
        <v>1398.81211538462</v>
      </c>
      <c r="R50" s="30" t="n">
        <f aca="false">SUM(R45:R49)</f>
        <v>20929.125</v>
      </c>
    </row>
    <row r="51" customFormat="false" ht="15" hidden="false" customHeight="false" outlineLevel="0" collapsed="false">
      <c r="A51" s="13" t="s">
        <v>432</v>
      </c>
      <c r="C51" s="28" t="n">
        <f aca="false">INDEX('1 Demand'!$D$7:$D$21,1)*IF(dens_inc=1,'5 Land Need'!$C$53,'5 Land Need'!$C$31)</f>
        <v>2238.075</v>
      </c>
      <c r="D51" s="28" t="n">
        <f aca="false">INDEX('1 Demand'!$D$7:$D$21,2)*IF(dens_inc=1,'5 Land Need'!$C$53,'5 Land Need'!$C$31)</f>
        <v>2238.075</v>
      </c>
      <c r="E51" s="28" t="n">
        <f aca="false">INDEX('1 Demand'!$D$7:$D$21,3)*IF(dens_inc=1,'5 Land Need'!$C$53,'5 Land Need'!$C$31)</f>
        <v>2238.075</v>
      </c>
      <c r="F51" s="28" t="n">
        <f aca="false">INDEX('1 Demand'!$D$7:$D$21,4)*IF(dens_inc=1,'5 Land Need'!$C$53,'5 Land Need'!$C$31)</f>
        <v>2238.075</v>
      </c>
      <c r="G51" s="28" t="n">
        <f aca="false">INDEX('1 Demand'!$D$7:$D$21,5)*IF(dens_inc=1,'5 Land Need'!$C$53,'5 Land Need'!$C$31)</f>
        <v>2238.075</v>
      </c>
      <c r="H51" s="28" t="n">
        <f aca="false">INDEX('1 Demand'!$D$7:$D$21,6)*IF(dens_inc=1,'5 Land Need'!$C$53,'5 Land Need'!$C$31)</f>
        <v>1138.2</v>
      </c>
      <c r="I51" s="28" t="n">
        <f aca="false">INDEX('1 Demand'!$D$7:$D$21,7)*IF(dens_inc=1,'5 Land Need'!$C$53,'5 Land Need'!$C$31)</f>
        <v>1138.2</v>
      </c>
      <c r="J51" s="28" t="n">
        <f aca="false">INDEX('1 Demand'!$D$7:$D$21,8)*IF(dens_inc=1,'5 Land Need'!$C$53,'5 Land Need'!$C$31)</f>
        <v>1138.2</v>
      </c>
      <c r="K51" s="28" t="n">
        <f aca="false">INDEX('1 Demand'!$D$7:$D$21,9)*IF(dens_inc=1,'5 Land Need'!$C$53,'5 Land Need'!$C$31)</f>
        <v>1138.2</v>
      </c>
      <c r="L51" s="28" t="n">
        <f aca="false">INDEX('1 Demand'!$D$7:$D$21,10)*IF(dens_inc=1,'5 Land Need'!$C$53,'5 Land Need'!$C$31)</f>
        <v>1099.875</v>
      </c>
      <c r="M51" s="28" t="n">
        <f aca="false">INDEX('1 Demand'!$D$7:$D$21,11)*IF(dens_inc=1,'5 Land Need'!$C$53,'5 Land Need'!$C$31)</f>
        <v>833.175</v>
      </c>
      <c r="N51" s="28" t="n">
        <f aca="false">INDEX('1 Demand'!$D$7:$D$21,12)*IF(dens_inc=1,'5 Land Need'!$C$53,'5 Land Need'!$C$31)</f>
        <v>826.35</v>
      </c>
      <c r="O51" s="28" t="n">
        <f aca="false">INDEX('1 Demand'!$D$7:$D$21,13)*IF(dens_inc=1,'5 Land Need'!$C$53,'5 Land Need'!$C$31)</f>
        <v>816.375</v>
      </c>
      <c r="P51" s="28" t="n">
        <f aca="false">INDEX('1 Demand'!$D$7:$D$21,14)*IF(dens_inc=1,'5 Land Need'!$C$53,'5 Land Need'!$C$31)</f>
        <v>809.025</v>
      </c>
      <c r="Q51" s="28" t="n">
        <f aca="false">INDEX('1 Demand'!$D$7:$D$21,15)*IF(dens_inc=1,'5 Land Need'!$C$53,'5 Land Need'!$C$31)</f>
        <v>800.625</v>
      </c>
      <c r="R51" s="47" t="n">
        <f aca="false">SUM(C51:Q51)</f>
        <v>20928.6</v>
      </c>
    </row>
    <row r="53" customFormat="false" ht="15" hidden="false" customHeight="false" outlineLevel="0" collapsed="false">
      <c r="A53" s="50" t="s">
        <v>268</v>
      </c>
      <c r="B53" s="2"/>
      <c r="C53" s="2"/>
      <c r="D53" s="2"/>
      <c r="E53" s="2"/>
      <c r="F53" s="2"/>
      <c r="G53" s="2"/>
      <c r="H53" s="2"/>
      <c r="I53" s="2"/>
      <c r="J53" s="2"/>
      <c r="K53" s="2"/>
      <c r="L53" s="2"/>
      <c r="M53" s="2"/>
      <c r="N53" s="2"/>
      <c r="O53" s="2"/>
      <c r="P53" s="2"/>
      <c r="Q53" s="2"/>
      <c r="R53" s="2"/>
    </row>
    <row r="54" customFormat="false" ht="15" hidden="false" customHeight="false" outlineLevel="0" collapsed="false">
      <c r="A54" s="13" t="s">
        <v>426</v>
      </c>
      <c r="B54" s="21" t="n">
        <f aca="false">IFERROR((IF(dens_inc=1,'5 Land Need'!$D$55,'5 Land Need'!$D$33)+IF(dens_inc=1,'5 Land Need'!$D$56,'5 Land Need'!$D$34)+IF(dens_inc=1,'5 Land Need'!$D$58,'5 Land Need'!$D$36))/(SUMIFS(dp_uc,dp_geo,"Settlements")+SUMIFS(dp_pns,dp_geo,"Settlements")),0)</f>
        <v>0.921696035242291</v>
      </c>
      <c r="C54" s="28" t="n">
        <f aca="false">SUMIFS(dp_e26,dp_geo,"Settlements")*$B54</f>
        <v>95.3033700440529</v>
      </c>
      <c r="D54" s="28" t="n">
        <f aca="false">SUMIFS(dp_e27,dp_geo,"Settlements")*$B54</f>
        <v>413.933689427313</v>
      </c>
      <c r="E54" s="28" t="n">
        <f aca="false">SUMIFS(dp_e28,dp_geo,"Settlements")*$B54</f>
        <v>436.699581497797</v>
      </c>
      <c r="F54" s="28" t="n">
        <f aca="false">SUMIFS(dp_e29,dp_geo,"Settlements")*$B54</f>
        <v>283.698039647577</v>
      </c>
      <c r="G54" s="28" t="n">
        <f aca="false">SUMIFS(dp_e30,dp_geo,"Settlements")*$B54</f>
        <v>25.7153193832599</v>
      </c>
      <c r="H54" s="28" t="n">
        <f aca="false">SUMIFS(dp_e31,dp_geo,"Settlements")*$B54*H$25</f>
        <v>0</v>
      </c>
      <c r="I54" s="28" t="n">
        <f aca="false">SUMIFS(dp_e31,dp_geo,"Settlements")*$B54*I$25</f>
        <v>0</v>
      </c>
      <c r="J54" s="28" t="n">
        <f aca="false">SUMIFS(dp_e31,dp_geo,"Settlements")*$B54*J$25</f>
        <v>0</v>
      </c>
      <c r="K54" s="28" t="n">
        <f aca="false">SUMIFS(dp_e31,dp_geo,"Settlements")*$B54*K$25</f>
        <v>0</v>
      </c>
      <c r="L54" s="28" t="n">
        <f aca="false">SUMIFS(dp_e31,dp_geo,"Settlements")*$B54*L$25</f>
        <v>0</v>
      </c>
      <c r="M54" s="28" t="n">
        <f aca="false">SUMIFS(dp_e31,dp_geo,"Settlements")*$B54*M$25</f>
        <v>0</v>
      </c>
      <c r="N54" s="28" t="n">
        <f aca="false">SUMIFS(dp_e31,dp_geo,"Settlements")*$B54*N$25</f>
        <v>0</v>
      </c>
      <c r="O54" s="28" t="n">
        <f aca="false">SUMIFS(dp_e31,dp_geo,"Settlements")*$B54*O$25</f>
        <v>0</v>
      </c>
      <c r="P54" s="28" t="n">
        <f aca="false">SUMIFS(dp_e31,dp_geo,"Settlements")*$B54*P$25</f>
        <v>0</v>
      </c>
      <c r="Q54" s="28" t="n">
        <f aca="false">SUMIFS(dp_e31,dp_geo,"Settlements")*$B54*Q$25</f>
        <v>0</v>
      </c>
      <c r="R54" s="47" t="n">
        <f aca="false">SUM(C54:Q54)</f>
        <v>1255.35</v>
      </c>
    </row>
    <row r="55" customFormat="false" ht="15" hidden="false" customHeight="false" outlineLevel="0" collapsed="false">
      <c r="A55" s="13" t="s">
        <v>60</v>
      </c>
      <c r="C55" s="28" t="n">
        <f aca="false">IF(dens_inc=1,'5 Land Need'!$D$57,'5 Land Need'!$D$35)*C$26</f>
        <v>0</v>
      </c>
      <c r="D55" s="28" t="n">
        <f aca="false">IF(dens_inc=1,'5 Land Need'!$D$57,'5 Land Need'!$D$35)*D$26</f>
        <v>0</v>
      </c>
      <c r="E55" s="28" t="n">
        <f aca="false">IF(dens_inc=1,'5 Land Need'!$D$57,'5 Land Need'!$D$35)*E$26</f>
        <v>20.8333333333333</v>
      </c>
      <c r="F55" s="28" t="n">
        <f aca="false">IF(dens_inc=1,'5 Land Need'!$D$57,'5 Land Need'!$D$35)*F$26</f>
        <v>20.8333333333333</v>
      </c>
      <c r="G55" s="28" t="n">
        <f aca="false">IF(dens_inc=1,'5 Land Need'!$D$57,'5 Land Need'!$D$35)*G$26</f>
        <v>20.8333333333333</v>
      </c>
      <c r="H55" s="28" t="n">
        <f aca="false">IF(dens_inc=1,'5 Land Need'!$D$57,'5 Land Need'!$D$35)*H$26</f>
        <v>0</v>
      </c>
      <c r="I55" s="28" t="n">
        <f aca="false">IF(dens_inc=1,'5 Land Need'!$D$57,'5 Land Need'!$D$35)*I$26</f>
        <v>0</v>
      </c>
      <c r="J55" s="28" t="n">
        <f aca="false">IF(dens_inc=1,'5 Land Need'!$D$57,'5 Land Need'!$D$35)*J$26</f>
        <v>0</v>
      </c>
      <c r="K55" s="28" t="n">
        <f aca="false">IF(dens_inc=1,'5 Land Need'!$D$57,'5 Land Need'!$D$35)*K$26</f>
        <v>0</v>
      </c>
      <c r="L55" s="28" t="n">
        <f aca="false">IF(dens_inc=1,'5 Land Need'!$D$57,'5 Land Need'!$D$35)*L$26</f>
        <v>0</v>
      </c>
      <c r="M55" s="28" t="n">
        <f aca="false">IF(dens_inc=1,'5 Land Need'!$D$57,'5 Land Need'!$D$35)*M$26</f>
        <v>0</v>
      </c>
      <c r="N55" s="28" t="n">
        <f aca="false">IF(dens_inc=1,'5 Land Need'!$D$57,'5 Land Need'!$D$35)*N$26</f>
        <v>0</v>
      </c>
      <c r="O55" s="28" t="n">
        <f aca="false">IF(dens_inc=1,'5 Land Need'!$D$57,'5 Land Need'!$D$35)*O$26</f>
        <v>0</v>
      </c>
      <c r="P55" s="28" t="n">
        <f aca="false">IF(dens_inc=1,'5 Land Need'!$D$57,'5 Land Need'!$D$35)*P$26</f>
        <v>0</v>
      </c>
      <c r="Q55" s="28" t="n">
        <f aca="false">IF(dens_inc=1,'5 Land Need'!$D$57,'5 Land Need'!$D$35)*Q$26</f>
        <v>0</v>
      </c>
      <c r="R55" s="47" t="n">
        <f aca="false">SUM(C55:Q55)</f>
        <v>62.5</v>
      </c>
    </row>
    <row r="56" customFormat="false" ht="15" hidden="false" customHeight="false" outlineLevel="0" collapsed="false">
      <c r="A56" s="13" t="s">
        <v>427</v>
      </c>
      <c r="C56" s="28" t="n">
        <f aca="false">(IF(dens_inc=1,'5 Land Need'!$D$59,'5 Land Need'!$D$37)+IF(dens_inc=1,'5 Land Need'!$D$60,'5 Land Need'!$D$38))*C$27</f>
        <v>0</v>
      </c>
      <c r="D56" s="28" t="n">
        <f aca="false">(IF(dens_inc=1,'5 Land Need'!$D$59,'5 Land Need'!$D$37)+IF(dens_inc=1,'5 Land Need'!$D$60,'5 Land Need'!$D$38))*D$27</f>
        <v>0</v>
      </c>
      <c r="E56" s="28" t="n">
        <f aca="false">(IF(dens_inc=1,'5 Land Need'!$D$59,'5 Land Need'!$D$37)+IF(dens_inc=1,'5 Land Need'!$D$60,'5 Land Need'!$D$38))*E$27</f>
        <v>0</v>
      </c>
      <c r="F56" s="28" t="n">
        <f aca="false">(IF(dens_inc=1,'5 Land Need'!$D$59,'5 Land Need'!$D$37)+IF(dens_inc=1,'5 Land Need'!$D$60,'5 Land Need'!$D$38))*F$27</f>
        <v>0</v>
      </c>
      <c r="G56" s="28" t="n">
        <f aca="false">(IF(dens_inc=1,'5 Land Need'!$D$59,'5 Land Need'!$D$37)+IF(dens_inc=1,'5 Land Need'!$D$60,'5 Land Need'!$D$38))*G$27</f>
        <v>0</v>
      </c>
      <c r="H56" s="28" t="n">
        <f aca="false">(IF(dens_inc=1,'5 Land Need'!$D$59,'5 Land Need'!$D$37)+IF(dens_inc=1,'5 Land Need'!$D$60,'5 Land Need'!$D$38))*H$27</f>
        <v>0</v>
      </c>
      <c r="I56" s="28" t="n">
        <f aca="false">(IF(dens_inc=1,'5 Land Need'!$D$59,'5 Land Need'!$D$37)+IF(dens_inc=1,'5 Land Need'!$D$60,'5 Land Need'!$D$38))*I$27</f>
        <v>0</v>
      </c>
      <c r="J56" s="28" t="n">
        <f aca="false">(IF(dens_inc=1,'5 Land Need'!$D$59,'5 Land Need'!$D$37)+IF(dens_inc=1,'5 Land Need'!$D$60,'5 Land Need'!$D$38))*J$27</f>
        <v>0</v>
      </c>
      <c r="K56" s="28" t="n">
        <f aca="false">(IF(dens_inc=1,'5 Land Need'!$D$59,'5 Land Need'!$D$37)+IF(dens_inc=1,'5 Land Need'!$D$60,'5 Land Need'!$D$38))*K$27</f>
        <v>0</v>
      </c>
      <c r="L56" s="28" t="n">
        <f aca="false">(IF(dens_inc=1,'5 Land Need'!$D$59,'5 Land Need'!$D$37)+IF(dens_inc=1,'5 Land Need'!$D$60,'5 Land Need'!$D$38))*L$27</f>
        <v>0</v>
      </c>
      <c r="M56" s="28" t="n">
        <f aca="false">(IF(dens_inc=1,'5 Land Need'!$D$59,'5 Land Need'!$D$37)+IF(dens_inc=1,'5 Land Need'!$D$60,'5 Land Need'!$D$38))*M$27</f>
        <v>0</v>
      </c>
      <c r="N56" s="28" t="n">
        <f aca="false">(IF(dens_inc=1,'5 Land Need'!$D$59,'5 Land Need'!$D$37)+IF(dens_inc=1,'5 Land Need'!$D$60,'5 Land Need'!$D$38))*N$27</f>
        <v>0</v>
      </c>
      <c r="O56" s="28" t="n">
        <f aca="false">(IF(dens_inc=1,'5 Land Need'!$D$59,'5 Land Need'!$D$37)+IF(dens_inc=1,'5 Land Need'!$D$60,'5 Land Need'!$D$38))*O$27</f>
        <v>0</v>
      </c>
      <c r="P56" s="28" t="n">
        <f aca="false">(IF(dens_inc=1,'5 Land Need'!$D$59,'5 Land Need'!$D$37)+IF(dens_inc=1,'5 Land Need'!$D$60,'5 Land Need'!$D$38))*P$27</f>
        <v>0</v>
      </c>
      <c r="Q56" s="28" t="n">
        <f aca="false">(IF(dens_inc=1,'5 Land Need'!$D$59,'5 Land Need'!$D$37)+IF(dens_inc=1,'5 Land Need'!$D$60,'5 Land Need'!$D$38))*Q$27</f>
        <v>0</v>
      </c>
      <c r="R56" s="47" t="n">
        <f aca="false">SUM(C56:Q56)</f>
        <v>0</v>
      </c>
    </row>
    <row r="57" customFormat="false" ht="15" hidden="false" customHeight="false" outlineLevel="0" collapsed="false">
      <c r="A57" s="13" t="s">
        <v>428</v>
      </c>
      <c r="C57" s="28" t="n">
        <f aca="false">(IF(dens_inc=1,'5 Land Need'!$D$61,'5 Land Need'!$D$39)+IF(dens_inc=1,'5 Land Need'!$D$62,'5 Land Need'!$D$40))*C$28</f>
        <v>0</v>
      </c>
      <c r="D57" s="28" t="n">
        <f aca="false">(IF(dens_inc=1,'5 Land Need'!$D$61,'5 Land Need'!$D$39)+IF(dens_inc=1,'5 Land Need'!$D$62,'5 Land Need'!$D$40))*D$28</f>
        <v>0</v>
      </c>
      <c r="E57" s="28" t="n">
        <f aca="false">(IF(dens_inc=1,'5 Land Need'!$D$61,'5 Land Need'!$D$39)+IF(dens_inc=1,'5 Land Need'!$D$62,'5 Land Need'!$D$40))*E$28</f>
        <v>141.369230769231</v>
      </c>
      <c r="F57" s="28" t="n">
        <f aca="false">(IF(dens_inc=1,'5 Land Need'!$D$61,'5 Land Need'!$D$39)+IF(dens_inc=1,'5 Land Need'!$D$62,'5 Land Need'!$D$40))*F$28</f>
        <v>141.369230769231</v>
      </c>
      <c r="G57" s="28" t="n">
        <f aca="false">(IF(dens_inc=1,'5 Land Need'!$D$61,'5 Land Need'!$D$39)+IF(dens_inc=1,'5 Land Need'!$D$62,'5 Land Need'!$D$40))*G$28</f>
        <v>141.369230769231</v>
      </c>
      <c r="H57" s="28" t="n">
        <f aca="false">(IF(dens_inc=1,'5 Land Need'!$D$61,'5 Land Need'!$D$39)+IF(dens_inc=1,'5 Land Need'!$D$62,'5 Land Need'!$D$40))*H$28</f>
        <v>141.369230769231</v>
      </c>
      <c r="I57" s="28" t="n">
        <f aca="false">(IF(dens_inc=1,'5 Land Need'!$D$61,'5 Land Need'!$D$39)+IF(dens_inc=1,'5 Land Need'!$D$62,'5 Land Need'!$D$40))*I$28</f>
        <v>141.369230769231</v>
      </c>
      <c r="J57" s="28" t="n">
        <f aca="false">(IF(dens_inc=1,'5 Land Need'!$D$61,'5 Land Need'!$D$39)+IF(dens_inc=1,'5 Land Need'!$D$62,'5 Land Need'!$D$40))*J$28</f>
        <v>141.369230769231</v>
      </c>
      <c r="K57" s="28" t="n">
        <f aca="false">(IF(dens_inc=1,'5 Land Need'!$D$61,'5 Land Need'!$D$39)+IF(dens_inc=1,'5 Land Need'!$D$62,'5 Land Need'!$D$40))*K$28</f>
        <v>141.369230769231</v>
      </c>
      <c r="L57" s="28" t="n">
        <f aca="false">(IF(dens_inc=1,'5 Land Need'!$D$61,'5 Land Need'!$D$39)+IF(dens_inc=1,'5 Land Need'!$D$62,'5 Land Need'!$D$40))*L$28</f>
        <v>141.369230769231</v>
      </c>
      <c r="M57" s="28" t="n">
        <f aca="false">(IF(dens_inc=1,'5 Land Need'!$D$61,'5 Land Need'!$D$39)+IF(dens_inc=1,'5 Land Need'!$D$62,'5 Land Need'!$D$40))*M$28</f>
        <v>141.369230769231</v>
      </c>
      <c r="N57" s="28" t="n">
        <f aca="false">(IF(dens_inc=1,'5 Land Need'!$D$61,'5 Land Need'!$D$39)+IF(dens_inc=1,'5 Land Need'!$D$62,'5 Land Need'!$D$40))*N$28</f>
        <v>141.369230769231</v>
      </c>
      <c r="O57" s="28" t="n">
        <f aca="false">(IF(dens_inc=1,'5 Land Need'!$D$61,'5 Land Need'!$D$39)+IF(dens_inc=1,'5 Land Need'!$D$62,'5 Land Need'!$D$40))*O$28</f>
        <v>141.369230769231</v>
      </c>
      <c r="P57" s="28" t="n">
        <f aca="false">(IF(dens_inc=1,'5 Land Need'!$D$61,'5 Land Need'!$D$39)+IF(dens_inc=1,'5 Land Need'!$D$62,'5 Land Need'!$D$40))*P$28</f>
        <v>141.369230769231</v>
      </c>
      <c r="Q57" s="28" t="n">
        <f aca="false">(IF(dens_inc=1,'5 Land Need'!$D$61,'5 Land Need'!$D$39)+IF(dens_inc=1,'5 Land Need'!$D$62,'5 Land Need'!$D$40))*Q$28</f>
        <v>141.369230769231</v>
      </c>
      <c r="R57" s="47" t="n">
        <f aca="false">SUM(C57:Q57)</f>
        <v>1837.8</v>
      </c>
    </row>
    <row r="58" customFormat="false" ht="15" hidden="false" customHeight="false" outlineLevel="0" collapsed="false">
      <c r="A58" s="13" t="s">
        <v>65</v>
      </c>
      <c r="C58" s="28" t="n">
        <f aca="false">IF(dens_inc=1,'5 Land Need'!$D$65,'5 Land Need'!$D$43)*C$29</f>
        <v>0</v>
      </c>
      <c r="D58" s="28" t="n">
        <f aca="false">IF(dens_inc=1,'5 Land Need'!$D$65,'5 Land Need'!$D$43)*D$29</f>
        <v>0</v>
      </c>
      <c r="E58" s="28" t="n">
        <f aca="false">IF(dens_inc=1,'5 Land Need'!$D$65,'5 Land Need'!$D$43)*E$29</f>
        <v>0</v>
      </c>
      <c r="F58" s="28" t="n">
        <f aca="false">IF(dens_inc=1,'5 Land Need'!$D$65,'5 Land Need'!$D$43)*F$29</f>
        <v>0</v>
      </c>
      <c r="G58" s="28" t="n">
        <f aca="false">IF(dens_inc=1,'5 Land Need'!$D$65,'5 Land Need'!$D$43)*G$29</f>
        <v>0</v>
      </c>
      <c r="H58" s="28" t="n">
        <f aca="false">IF(dens_inc=1,'5 Land Need'!$D$65,'5 Land Need'!$D$43)*H$29</f>
        <v>641.195</v>
      </c>
      <c r="I58" s="28" t="n">
        <f aca="false">IF(dens_inc=1,'5 Land Need'!$D$65,'5 Land Need'!$D$43)*I$29</f>
        <v>641.195</v>
      </c>
      <c r="J58" s="28" t="n">
        <f aca="false">IF(dens_inc=1,'5 Land Need'!$D$65,'5 Land Need'!$D$43)*J$29</f>
        <v>641.195</v>
      </c>
      <c r="K58" s="28" t="n">
        <f aca="false">IF(dens_inc=1,'5 Land Need'!$D$65,'5 Land Need'!$D$43)*K$29</f>
        <v>641.195</v>
      </c>
      <c r="L58" s="28" t="n">
        <f aca="false">IF(dens_inc=1,'5 Land Need'!$D$65,'5 Land Need'!$D$43)*L$29</f>
        <v>641.195</v>
      </c>
      <c r="M58" s="28" t="n">
        <f aca="false">IF(dens_inc=1,'5 Land Need'!$D$65,'5 Land Need'!$D$43)*M$29</f>
        <v>641.195</v>
      </c>
      <c r="N58" s="28" t="n">
        <f aca="false">IF(dens_inc=1,'5 Land Need'!$D$65,'5 Land Need'!$D$43)*N$29</f>
        <v>641.195</v>
      </c>
      <c r="O58" s="28" t="n">
        <f aca="false">IF(dens_inc=1,'5 Land Need'!$D$65,'5 Land Need'!$D$43)*O$29</f>
        <v>641.195</v>
      </c>
      <c r="P58" s="28" t="n">
        <f aca="false">IF(dens_inc=1,'5 Land Need'!$D$65,'5 Land Need'!$D$43)*P$29</f>
        <v>641.195</v>
      </c>
      <c r="Q58" s="28" t="n">
        <f aca="false">IF(dens_inc=1,'5 Land Need'!$D$65,'5 Land Need'!$D$43)*Q$29</f>
        <v>641.195</v>
      </c>
      <c r="R58" s="47" t="n">
        <f aca="false">SUM(C58:Q58)</f>
        <v>6411.95</v>
      </c>
    </row>
    <row r="59" customFormat="false" ht="15" hidden="false" customHeight="false" outlineLevel="0" collapsed="false">
      <c r="A59" s="29" t="s">
        <v>433</v>
      </c>
      <c r="C59" s="30" t="n">
        <f aca="false">SUM(C54:C58)</f>
        <v>95.3033700440529</v>
      </c>
      <c r="D59" s="30" t="n">
        <f aca="false">SUM(D54:D58)</f>
        <v>413.933689427313</v>
      </c>
      <c r="E59" s="30" t="n">
        <f aca="false">SUM(E54:E58)</f>
        <v>598.902145600362</v>
      </c>
      <c r="F59" s="30" t="n">
        <f aca="false">SUM(F54:F58)</f>
        <v>445.900603750141</v>
      </c>
      <c r="G59" s="30" t="n">
        <f aca="false">SUM(G54:G58)</f>
        <v>187.917883485824</v>
      </c>
      <c r="H59" s="30" t="n">
        <f aca="false">SUM(H54:H58)</f>
        <v>782.564230769231</v>
      </c>
      <c r="I59" s="30" t="n">
        <f aca="false">SUM(I54:I58)</f>
        <v>782.564230769231</v>
      </c>
      <c r="J59" s="30" t="n">
        <f aca="false">SUM(J54:J58)</f>
        <v>782.564230769231</v>
      </c>
      <c r="K59" s="30" t="n">
        <f aca="false">SUM(K54:K58)</f>
        <v>782.564230769231</v>
      </c>
      <c r="L59" s="30" t="n">
        <f aca="false">SUM(L54:L58)</f>
        <v>782.564230769231</v>
      </c>
      <c r="M59" s="30" t="n">
        <f aca="false">SUM(M54:M58)</f>
        <v>782.564230769231</v>
      </c>
      <c r="N59" s="30" t="n">
        <f aca="false">SUM(N54:N58)</f>
        <v>782.564230769231</v>
      </c>
      <c r="O59" s="30" t="n">
        <f aca="false">SUM(O54:O58)</f>
        <v>782.564230769231</v>
      </c>
      <c r="P59" s="30" t="n">
        <f aca="false">SUM(P54:P58)</f>
        <v>782.564230769231</v>
      </c>
      <c r="Q59" s="30" t="n">
        <f aca="false">SUM(Q54:Q58)</f>
        <v>782.564230769231</v>
      </c>
      <c r="R59" s="30" t="n">
        <f aca="false">SUM(R54:R58)</f>
        <v>9567.6</v>
      </c>
    </row>
    <row r="60" customFormat="false" ht="15" hidden="false" customHeight="false" outlineLevel="0" collapsed="false">
      <c r="A60" s="13" t="s">
        <v>434</v>
      </c>
      <c r="C60" s="28" t="n">
        <f aca="false">INDEX('1 Demand'!$D$7:$D$21,1)*IF(dens_inc=1,'5 Land Need'!$D$53,'5 Land Need'!$D$31)</f>
        <v>1023.12</v>
      </c>
      <c r="D60" s="28" t="n">
        <f aca="false">INDEX('1 Demand'!$D$7:$D$21,2)*IF(dens_inc=1,'5 Land Need'!$D$53,'5 Land Need'!$D$31)</f>
        <v>1023.12</v>
      </c>
      <c r="E60" s="28" t="n">
        <f aca="false">INDEX('1 Demand'!$D$7:$D$21,3)*IF(dens_inc=1,'5 Land Need'!$D$53,'5 Land Need'!$D$31)</f>
        <v>1023.12</v>
      </c>
      <c r="F60" s="28" t="n">
        <f aca="false">INDEX('1 Demand'!$D$7:$D$21,4)*IF(dens_inc=1,'5 Land Need'!$D$53,'5 Land Need'!$D$31)</f>
        <v>1023.12</v>
      </c>
      <c r="G60" s="28" t="n">
        <f aca="false">INDEX('1 Demand'!$D$7:$D$21,5)*IF(dens_inc=1,'5 Land Need'!$D$53,'5 Land Need'!$D$31)</f>
        <v>1023.12</v>
      </c>
      <c r="H60" s="28" t="n">
        <f aca="false">INDEX('1 Demand'!$D$7:$D$21,6)*IF(dens_inc=1,'5 Land Need'!$D$53,'5 Land Need'!$D$31)</f>
        <v>520.32</v>
      </c>
      <c r="I60" s="28" t="n">
        <f aca="false">INDEX('1 Demand'!$D$7:$D$21,7)*IF(dens_inc=1,'5 Land Need'!$D$53,'5 Land Need'!$D$31)</f>
        <v>520.32</v>
      </c>
      <c r="J60" s="28" t="n">
        <f aca="false">INDEX('1 Demand'!$D$7:$D$21,8)*IF(dens_inc=1,'5 Land Need'!$D$53,'5 Land Need'!$D$31)</f>
        <v>520.32</v>
      </c>
      <c r="K60" s="28" t="n">
        <f aca="false">INDEX('1 Demand'!$D$7:$D$21,9)*IF(dens_inc=1,'5 Land Need'!$D$53,'5 Land Need'!$D$31)</f>
        <v>520.32</v>
      </c>
      <c r="L60" s="28" t="n">
        <f aca="false">INDEX('1 Demand'!$D$7:$D$21,10)*IF(dens_inc=1,'5 Land Need'!$D$53,'5 Land Need'!$D$31)</f>
        <v>502.8</v>
      </c>
      <c r="M60" s="28" t="n">
        <f aca="false">INDEX('1 Demand'!$D$7:$D$21,11)*IF(dens_inc=1,'5 Land Need'!$D$53,'5 Land Need'!$D$31)</f>
        <v>380.88</v>
      </c>
      <c r="N60" s="28" t="n">
        <f aca="false">INDEX('1 Demand'!$D$7:$D$21,12)*IF(dens_inc=1,'5 Land Need'!$D$53,'5 Land Need'!$D$31)</f>
        <v>377.76</v>
      </c>
      <c r="O60" s="28" t="n">
        <f aca="false">INDEX('1 Demand'!$D$7:$D$21,13)*IF(dens_inc=1,'5 Land Need'!$D$53,'5 Land Need'!$D$31)</f>
        <v>373.2</v>
      </c>
      <c r="P60" s="28" t="n">
        <f aca="false">INDEX('1 Demand'!$D$7:$D$21,14)*IF(dens_inc=1,'5 Land Need'!$D$53,'5 Land Need'!$D$31)</f>
        <v>369.84</v>
      </c>
      <c r="Q60" s="28" t="n">
        <f aca="false">INDEX('1 Demand'!$D$7:$D$21,15)*IF(dens_inc=1,'5 Land Need'!$D$53,'5 Land Need'!$D$31)</f>
        <v>366</v>
      </c>
      <c r="R60" s="47" t="n">
        <f aca="false">SUM(C60:Q60)</f>
        <v>9567.36</v>
      </c>
    </row>
    <row r="62" customFormat="false" ht="15" hidden="false" customHeight="false" outlineLevel="0" collapsed="false">
      <c r="A62" s="50" t="s">
        <v>269</v>
      </c>
      <c r="B62" s="2"/>
      <c r="C62" s="2"/>
      <c r="D62" s="2"/>
      <c r="E62" s="2"/>
      <c r="F62" s="2"/>
      <c r="G62" s="2"/>
      <c r="H62" s="2"/>
      <c r="I62" s="2"/>
      <c r="J62" s="2"/>
      <c r="K62" s="2"/>
      <c r="L62" s="2"/>
      <c r="M62" s="2"/>
      <c r="N62" s="2"/>
      <c r="O62" s="2"/>
      <c r="P62" s="2"/>
      <c r="Q62" s="2"/>
      <c r="R62" s="2"/>
    </row>
    <row r="63" customFormat="false" ht="15" hidden="false" customHeight="false" outlineLevel="0" collapsed="false">
      <c r="A63" s="13" t="s">
        <v>426</v>
      </c>
      <c r="B63" s="21" t="n">
        <f aca="false">IFERROR((IF(dens_inc=1,'5 Land Need'!$E$55,'5 Land Need'!$E$33)+IF(dens_inc=1,'5 Land Need'!$E$56,'5 Land Need'!$E$34)+IF(dens_inc=1,'5 Land Need'!$E$58,'5 Land Need'!$E$36))/(SUMIFS(dp_uc,dp_geo,"Remainder of County")+SUMIFS(dp_pns,dp_geo,"Remainder of County")),0)</f>
        <v>0.935026737967914</v>
      </c>
      <c r="C63" s="28" t="n">
        <f aca="false">SUMIFS(dp_e26,dp_geo,"Remainder of County")*$B63</f>
        <v>22.5341443850267</v>
      </c>
      <c r="D63" s="28" t="n">
        <f aca="false">SUMIFS(dp_e27,dp_geo,"Remainder of County")*$B63</f>
        <v>76.5786898395722</v>
      </c>
      <c r="E63" s="28" t="n">
        <f aca="false">SUMIFS(dp_e28,dp_geo,"Remainder of County")*$B63</f>
        <v>42.8242245989305</v>
      </c>
      <c r="F63" s="28" t="n">
        <f aca="false">SUMIFS(dp_e29,dp_geo,"Remainder of County")*$B63</f>
        <v>32.9129411764706</v>
      </c>
      <c r="G63" s="28" t="n">
        <f aca="false">SUMIFS(dp_e30,dp_geo,"Remainder of County")*$B63</f>
        <v>0</v>
      </c>
      <c r="H63" s="28" t="n">
        <f aca="false">SUMIFS(dp_e31,dp_geo,"Remainder of County")*$B63*H$25</f>
        <v>0</v>
      </c>
      <c r="I63" s="28" t="n">
        <f aca="false">SUMIFS(dp_e31,dp_geo,"Remainder of County")*$B63*I$25</f>
        <v>0</v>
      </c>
      <c r="J63" s="28" t="n">
        <f aca="false">SUMIFS(dp_e31,dp_geo,"Remainder of County")*$B63*J$25</f>
        <v>0</v>
      </c>
      <c r="K63" s="28" t="n">
        <f aca="false">SUMIFS(dp_e31,dp_geo,"Remainder of County")*$B63*K$25</f>
        <v>0</v>
      </c>
      <c r="L63" s="28" t="n">
        <f aca="false">SUMIFS(dp_e31,dp_geo,"Remainder of County")*$B63*L$25</f>
        <v>0</v>
      </c>
      <c r="M63" s="28" t="n">
        <f aca="false">SUMIFS(dp_e31,dp_geo,"Remainder of County")*$B63*M$25</f>
        <v>0</v>
      </c>
      <c r="N63" s="28" t="n">
        <f aca="false">SUMIFS(dp_e31,dp_geo,"Remainder of County")*$B63*N$25</f>
        <v>0</v>
      </c>
      <c r="O63" s="28" t="n">
        <f aca="false">SUMIFS(dp_e31,dp_geo,"Remainder of County")*$B63*O$25</f>
        <v>0</v>
      </c>
      <c r="P63" s="28" t="n">
        <f aca="false">SUMIFS(dp_e31,dp_geo,"Remainder of County")*$B63*P$25</f>
        <v>0</v>
      </c>
      <c r="Q63" s="28" t="n">
        <f aca="false">SUMIFS(dp_e31,dp_geo,"Remainder of County")*$B63*Q$25</f>
        <v>0</v>
      </c>
      <c r="R63" s="47" t="n">
        <f aca="false">SUM(C63:Q63)</f>
        <v>174.85</v>
      </c>
    </row>
    <row r="64" customFormat="false" ht="15" hidden="false" customHeight="false" outlineLevel="0" collapsed="false">
      <c r="A64" s="13" t="s">
        <v>60</v>
      </c>
      <c r="C64" s="28" t="n">
        <f aca="false">IF(dens_inc=1,'5 Land Need'!$E$57,'5 Land Need'!$E$35)*C$26</f>
        <v>0</v>
      </c>
      <c r="D64" s="28" t="n">
        <f aca="false">IF(dens_inc=1,'5 Land Need'!$E$57,'5 Land Need'!$E$35)*D$26</f>
        <v>0</v>
      </c>
      <c r="E64" s="28" t="n">
        <f aca="false">IF(dens_inc=1,'5 Land Need'!$E$57,'5 Land Need'!$E$35)*E$26</f>
        <v>0</v>
      </c>
      <c r="F64" s="28" t="n">
        <f aca="false">IF(dens_inc=1,'5 Land Need'!$E$57,'5 Land Need'!$E$35)*F$26</f>
        <v>0</v>
      </c>
      <c r="G64" s="28" t="n">
        <f aca="false">IF(dens_inc=1,'5 Land Need'!$E$57,'5 Land Need'!$E$35)*G$26</f>
        <v>0</v>
      </c>
      <c r="H64" s="28" t="n">
        <f aca="false">IF(dens_inc=1,'5 Land Need'!$E$57,'5 Land Need'!$E$35)*H$26</f>
        <v>0</v>
      </c>
      <c r="I64" s="28" t="n">
        <f aca="false">IF(dens_inc=1,'5 Land Need'!$E$57,'5 Land Need'!$E$35)*I$26</f>
        <v>0</v>
      </c>
      <c r="J64" s="28" t="n">
        <f aca="false">IF(dens_inc=1,'5 Land Need'!$E$57,'5 Land Need'!$E$35)*J$26</f>
        <v>0</v>
      </c>
      <c r="K64" s="28" t="n">
        <f aca="false">IF(dens_inc=1,'5 Land Need'!$E$57,'5 Land Need'!$E$35)*K$26</f>
        <v>0</v>
      </c>
      <c r="L64" s="28" t="n">
        <f aca="false">IF(dens_inc=1,'5 Land Need'!$E$57,'5 Land Need'!$E$35)*L$26</f>
        <v>0</v>
      </c>
      <c r="M64" s="28" t="n">
        <f aca="false">IF(dens_inc=1,'5 Land Need'!$E$57,'5 Land Need'!$E$35)*M$26</f>
        <v>0</v>
      </c>
      <c r="N64" s="28" t="n">
        <f aca="false">IF(dens_inc=1,'5 Land Need'!$E$57,'5 Land Need'!$E$35)*N$26</f>
        <v>0</v>
      </c>
      <c r="O64" s="28" t="n">
        <f aca="false">IF(dens_inc=1,'5 Land Need'!$E$57,'5 Land Need'!$E$35)*O$26</f>
        <v>0</v>
      </c>
      <c r="P64" s="28" t="n">
        <f aca="false">IF(dens_inc=1,'5 Land Need'!$E$57,'5 Land Need'!$E$35)*P$26</f>
        <v>0</v>
      </c>
      <c r="Q64" s="28" t="n">
        <f aca="false">IF(dens_inc=1,'5 Land Need'!$E$57,'5 Land Need'!$E$35)*Q$26</f>
        <v>0</v>
      </c>
      <c r="R64" s="47" t="n">
        <f aca="false">SUM(C64:Q64)</f>
        <v>0</v>
      </c>
    </row>
    <row r="65" customFormat="false" ht="15" hidden="false" customHeight="false" outlineLevel="0" collapsed="false">
      <c r="A65" s="13" t="s">
        <v>427</v>
      </c>
      <c r="C65" s="28" t="n">
        <f aca="false">(IF(dens_inc=1,'5 Land Need'!$E$59,'5 Land Need'!$E$37)+IF(dens_inc=1,'5 Land Need'!$E$60,'5 Land Need'!$E$38))*C$27</f>
        <v>0</v>
      </c>
      <c r="D65" s="28" t="n">
        <f aca="false">(IF(dens_inc=1,'5 Land Need'!$E$59,'5 Land Need'!$E$37)+IF(dens_inc=1,'5 Land Need'!$E$60,'5 Land Need'!$E$38))*D$27</f>
        <v>0</v>
      </c>
      <c r="E65" s="28" t="n">
        <f aca="false">(IF(dens_inc=1,'5 Land Need'!$E$59,'5 Land Need'!$E$37)+IF(dens_inc=1,'5 Land Need'!$E$60,'5 Land Need'!$E$38))*E$27</f>
        <v>0</v>
      </c>
      <c r="F65" s="28" t="n">
        <f aca="false">(IF(dens_inc=1,'5 Land Need'!$E$59,'5 Land Need'!$E$37)+IF(dens_inc=1,'5 Land Need'!$E$60,'5 Land Need'!$E$38))*F$27</f>
        <v>0</v>
      </c>
      <c r="G65" s="28" t="n">
        <f aca="false">(IF(dens_inc=1,'5 Land Need'!$E$59,'5 Land Need'!$E$37)+IF(dens_inc=1,'5 Land Need'!$E$60,'5 Land Need'!$E$38))*G$27</f>
        <v>0</v>
      </c>
      <c r="H65" s="28" t="n">
        <f aca="false">(IF(dens_inc=1,'5 Land Need'!$E$59,'5 Land Need'!$E$37)+IF(dens_inc=1,'5 Land Need'!$E$60,'5 Land Need'!$E$38))*H$27</f>
        <v>0</v>
      </c>
      <c r="I65" s="28" t="n">
        <f aca="false">(IF(dens_inc=1,'5 Land Need'!$E$59,'5 Land Need'!$E$37)+IF(dens_inc=1,'5 Land Need'!$E$60,'5 Land Need'!$E$38))*I$27</f>
        <v>0</v>
      </c>
      <c r="J65" s="28" t="n">
        <f aca="false">(IF(dens_inc=1,'5 Land Need'!$E$59,'5 Land Need'!$E$37)+IF(dens_inc=1,'5 Land Need'!$E$60,'5 Land Need'!$E$38))*J$27</f>
        <v>0</v>
      </c>
      <c r="K65" s="28" t="n">
        <f aca="false">(IF(dens_inc=1,'5 Land Need'!$E$59,'5 Land Need'!$E$37)+IF(dens_inc=1,'5 Land Need'!$E$60,'5 Land Need'!$E$38))*K$27</f>
        <v>0</v>
      </c>
      <c r="L65" s="28" t="n">
        <f aca="false">(IF(dens_inc=1,'5 Land Need'!$E$59,'5 Land Need'!$E$37)+IF(dens_inc=1,'5 Land Need'!$E$60,'5 Land Need'!$E$38))*L$27</f>
        <v>0</v>
      </c>
      <c r="M65" s="28" t="n">
        <f aca="false">(IF(dens_inc=1,'5 Land Need'!$E$59,'5 Land Need'!$E$37)+IF(dens_inc=1,'5 Land Need'!$E$60,'5 Land Need'!$E$38))*M$27</f>
        <v>0</v>
      </c>
      <c r="N65" s="28" t="n">
        <f aca="false">(IF(dens_inc=1,'5 Land Need'!$E$59,'5 Land Need'!$E$37)+IF(dens_inc=1,'5 Land Need'!$E$60,'5 Land Need'!$E$38))*N$27</f>
        <v>0</v>
      </c>
      <c r="O65" s="28" t="n">
        <f aca="false">(IF(dens_inc=1,'5 Land Need'!$E$59,'5 Land Need'!$E$37)+IF(dens_inc=1,'5 Land Need'!$E$60,'5 Land Need'!$E$38))*O$27</f>
        <v>0</v>
      </c>
      <c r="P65" s="28" t="n">
        <f aca="false">(IF(dens_inc=1,'5 Land Need'!$E$59,'5 Land Need'!$E$37)+IF(dens_inc=1,'5 Land Need'!$E$60,'5 Land Need'!$E$38))*P$27</f>
        <v>0</v>
      </c>
      <c r="Q65" s="28" t="n">
        <f aca="false">(IF(dens_inc=1,'5 Land Need'!$E$59,'5 Land Need'!$E$37)+IF(dens_inc=1,'5 Land Need'!$E$60,'5 Land Need'!$E$38))*Q$27</f>
        <v>0</v>
      </c>
      <c r="R65" s="47" t="n">
        <f aca="false">SUM(C65:Q65)</f>
        <v>0</v>
      </c>
    </row>
    <row r="66" customFormat="false" ht="15" hidden="false" customHeight="false" outlineLevel="0" collapsed="false">
      <c r="A66" s="13" t="s">
        <v>428</v>
      </c>
      <c r="C66" s="28" t="n">
        <f aca="false">(IF(dens_inc=1,'5 Land Need'!$E$61,'5 Land Need'!$E$39)+IF(dens_inc=1,'5 Land Need'!$E$62,'5 Land Need'!$E$40))*C$28</f>
        <v>0</v>
      </c>
      <c r="D66" s="28" t="n">
        <f aca="false">(IF(dens_inc=1,'5 Land Need'!$E$61,'5 Land Need'!$E$39)+IF(dens_inc=1,'5 Land Need'!$E$62,'5 Land Need'!$E$40))*D$28</f>
        <v>0</v>
      </c>
      <c r="E66" s="28" t="n">
        <f aca="false">(IF(dens_inc=1,'5 Land Need'!$E$61,'5 Land Need'!$E$39)+IF(dens_inc=1,'5 Land Need'!$E$62,'5 Land Need'!$E$40))*E$28</f>
        <v>18.3230769230769</v>
      </c>
      <c r="F66" s="28" t="n">
        <f aca="false">(IF(dens_inc=1,'5 Land Need'!$E$61,'5 Land Need'!$E$39)+IF(dens_inc=1,'5 Land Need'!$E$62,'5 Land Need'!$E$40))*F$28</f>
        <v>18.3230769230769</v>
      </c>
      <c r="G66" s="28" t="n">
        <f aca="false">(IF(dens_inc=1,'5 Land Need'!$E$61,'5 Land Need'!$E$39)+IF(dens_inc=1,'5 Land Need'!$E$62,'5 Land Need'!$E$40))*G$28</f>
        <v>18.3230769230769</v>
      </c>
      <c r="H66" s="28" t="n">
        <f aca="false">(IF(dens_inc=1,'5 Land Need'!$E$61,'5 Land Need'!$E$39)+IF(dens_inc=1,'5 Land Need'!$E$62,'5 Land Need'!$E$40))*H$28</f>
        <v>18.3230769230769</v>
      </c>
      <c r="I66" s="28" t="n">
        <f aca="false">(IF(dens_inc=1,'5 Land Need'!$E$61,'5 Land Need'!$E$39)+IF(dens_inc=1,'5 Land Need'!$E$62,'5 Land Need'!$E$40))*I$28</f>
        <v>18.3230769230769</v>
      </c>
      <c r="J66" s="28" t="n">
        <f aca="false">(IF(dens_inc=1,'5 Land Need'!$E$61,'5 Land Need'!$E$39)+IF(dens_inc=1,'5 Land Need'!$E$62,'5 Land Need'!$E$40))*J$28</f>
        <v>18.3230769230769</v>
      </c>
      <c r="K66" s="28" t="n">
        <f aca="false">(IF(dens_inc=1,'5 Land Need'!$E$61,'5 Land Need'!$E$39)+IF(dens_inc=1,'5 Land Need'!$E$62,'5 Land Need'!$E$40))*K$28</f>
        <v>18.3230769230769</v>
      </c>
      <c r="L66" s="28" t="n">
        <f aca="false">(IF(dens_inc=1,'5 Land Need'!$E$61,'5 Land Need'!$E$39)+IF(dens_inc=1,'5 Land Need'!$E$62,'5 Land Need'!$E$40))*L$28</f>
        <v>18.3230769230769</v>
      </c>
      <c r="M66" s="28" t="n">
        <f aca="false">(IF(dens_inc=1,'5 Land Need'!$E$61,'5 Land Need'!$E$39)+IF(dens_inc=1,'5 Land Need'!$E$62,'5 Land Need'!$E$40))*M$28</f>
        <v>18.3230769230769</v>
      </c>
      <c r="N66" s="28" t="n">
        <f aca="false">(IF(dens_inc=1,'5 Land Need'!$E$61,'5 Land Need'!$E$39)+IF(dens_inc=1,'5 Land Need'!$E$62,'5 Land Need'!$E$40))*N$28</f>
        <v>18.3230769230769</v>
      </c>
      <c r="O66" s="28" t="n">
        <f aca="false">(IF(dens_inc=1,'5 Land Need'!$E$61,'5 Land Need'!$E$39)+IF(dens_inc=1,'5 Land Need'!$E$62,'5 Land Need'!$E$40))*O$28</f>
        <v>18.3230769230769</v>
      </c>
      <c r="P66" s="28" t="n">
        <f aca="false">(IF(dens_inc=1,'5 Land Need'!$E$61,'5 Land Need'!$E$39)+IF(dens_inc=1,'5 Land Need'!$E$62,'5 Land Need'!$E$40))*P$28</f>
        <v>18.3230769230769</v>
      </c>
      <c r="Q66" s="28" t="n">
        <f aca="false">(IF(dens_inc=1,'5 Land Need'!$E$61,'5 Land Need'!$E$39)+IF(dens_inc=1,'5 Land Need'!$E$62,'5 Land Need'!$E$40))*Q$28</f>
        <v>18.3230769230769</v>
      </c>
      <c r="R66" s="47" t="n">
        <f aca="false">SUM(C66:Q66)</f>
        <v>238.2</v>
      </c>
    </row>
    <row r="67" customFormat="false" ht="15" hidden="false" customHeight="false" outlineLevel="0" collapsed="false">
      <c r="A67" s="13" t="s">
        <v>65</v>
      </c>
      <c r="C67" s="28" t="n">
        <f aca="false">IF(dens_inc=1,'5 Land Need'!$E$65,'5 Land Need'!$E$43)*C$29</f>
        <v>0</v>
      </c>
      <c r="D67" s="28" t="n">
        <f aca="false">IF(dens_inc=1,'5 Land Need'!$E$65,'5 Land Need'!$E$43)*D$29</f>
        <v>0</v>
      </c>
      <c r="E67" s="28" t="n">
        <f aca="false">IF(dens_inc=1,'5 Land Need'!$E$65,'5 Land Need'!$E$43)*E$29</f>
        <v>0</v>
      </c>
      <c r="F67" s="28" t="n">
        <f aca="false">IF(dens_inc=1,'5 Land Need'!$E$65,'5 Land Need'!$E$43)*F$29</f>
        <v>0</v>
      </c>
      <c r="G67" s="28" t="n">
        <f aca="false">IF(dens_inc=1,'5 Land Need'!$E$65,'5 Land Need'!$E$43)*G$29</f>
        <v>0</v>
      </c>
      <c r="H67" s="28" t="n">
        <f aca="false">IF(dens_inc=1,'5 Land Need'!$E$65,'5 Land Need'!$E$43)*H$29</f>
        <v>197.885</v>
      </c>
      <c r="I67" s="28" t="n">
        <f aca="false">IF(dens_inc=1,'5 Land Need'!$E$65,'5 Land Need'!$E$43)*I$29</f>
        <v>197.885</v>
      </c>
      <c r="J67" s="28" t="n">
        <f aca="false">IF(dens_inc=1,'5 Land Need'!$E$65,'5 Land Need'!$E$43)*J$29</f>
        <v>197.885</v>
      </c>
      <c r="K67" s="28" t="n">
        <f aca="false">IF(dens_inc=1,'5 Land Need'!$E$65,'5 Land Need'!$E$43)*K$29</f>
        <v>197.885</v>
      </c>
      <c r="L67" s="28" t="n">
        <f aca="false">IF(dens_inc=1,'5 Land Need'!$E$65,'5 Land Need'!$E$43)*L$29</f>
        <v>197.885</v>
      </c>
      <c r="M67" s="28" t="n">
        <f aca="false">IF(dens_inc=1,'5 Land Need'!$E$65,'5 Land Need'!$E$43)*M$29</f>
        <v>197.885</v>
      </c>
      <c r="N67" s="28" t="n">
        <f aca="false">IF(dens_inc=1,'5 Land Need'!$E$65,'5 Land Need'!$E$43)*N$29</f>
        <v>197.885</v>
      </c>
      <c r="O67" s="28" t="n">
        <f aca="false">IF(dens_inc=1,'5 Land Need'!$E$65,'5 Land Need'!$E$43)*O$29</f>
        <v>197.885</v>
      </c>
      <c r="P67" s="28" t="n">
        <f aca="false">IF(dens_inc=1,'5 Land Need'!$E$65,'5 Land Need'!$E$43)*P$29</f>
        <v>197.885</v>
      </c>
      <c r="Q67" s="28" t="n">
        <f aca="false">IF(dens_inc=1,'5 Land Need'!$E$65,'5 Land Need'!$E$43)*Q$29</f>
        <v>197.885</v>
      </c>
      <c r="R67" s="47" t="n">
        <f aca="false">SUM(C67:Q67)</f>
        <v>1978.85</v>
      </c>
    </row>
    <row r="68" customFormat="false" ht="15" hidden="false" customHeight="false" outlineLevel="0" collapsed="false">
      <c r="A68" s="29" t="s">
        <v>435</v>
      </c>
      <c r="C68" s="30" t="n">
        <f aca="false">SUM(C63:C67)</f>
        <v>22.5341443850267</v>
      </c>
      <c r="D68" s="30" t="n">
        <f aca="false">SUM(D63:D67)</f>
        <v>76.5786898395722</v>
      </c>
      <c r="E68" s="30" t="n">
        <f aca="false">SUM(E63:E67)</f>
        <v>61.1473015220074</v>
      </c>
      <c r="F68" s="30" t="n">
        <f aca="false">SUM(F63:F67)</f>
        <v>51.2360180995475</v>
      </c>
      <c r="G68" s="30" t="n">
        <f aca="false">SUM(G63:G67)</f>
        <v>18.3230769230769</v>
      </c>
      <c r="H68" s="30" t="n">
        <f aca="false">SUM(H63:H67)</f>
        <v>216.208076923077</v>
      </c>
      <c r="I68" s="30" t="n">
        <f aca="false">SUM(I63:I67)</f>
        <v>216.208076923077</v>
      </c>
      <c r="J68" s="30" t="n">
        <f aca="false">SUM(J63:J67)</f>
        <v>216.208076923077</v>
      </c>
      <c r="K68" s="30" t="n">
        <f aca="false">SUM(K63:K67)</f>
        <v>216.208076923077</v>
      </c>
      <c r="L68" s="30" t="n">
        <f aca="false">SUM(L63:L67)</f>
        <v>216.208076923077</v>
      </c>
      <c r="M68" s="30" t="n">
        <f aca="false">SUM(M63:M67)</f>
        <v>216.208076923077</v>
      </c>
      <c r="N68" s="30" t="n">
        <f aca="false">SUM(N63:N67)</f>
        <v>216.208076923077</v>
      </c>
      <c r="O68" s="30" t="n">
        <f aca="false">SUM(O63:O67)</f>
        <v>216.208076923077</v>
      </c>
      <c r="P68" s="30" t="n">
        <f aca="false">SUM(P63:P67)</f>
        <v>216.208076923077</v>
      </c>
      <c r="Q68" s="30" t="n">
        <f aca="false">SUM(Q63:Q67)</f>
        <v>216.208076923077</v>
      </c>
      <c r="R68" s="30" t="n">
        <f aca="false">SUM(R63:R67)</f>
        <v>2391.9</v>
      </c>
    </row>
    <row r="69" customFormat="false" ht="15" hidden="false" customHeight="false" outlineLevel="0" collapsed="false">
      <c r="A69" s="13" t="s">
        <v>436</v>
      </c>
      <c r="C69" s="28" t="n">
        <f aca="false">INDEX('1 Demand'!$D$7:$D$21,1)*IF(dens_inc=1,'5 Land Need'!$E$53,'5 Land Need'!$E$31)</f>
        <v>255.78</v>
      </c>
      <c r="D69" s="28" t="n">
        <f aca="false">INDEX('1 Demand'!$D$7:$D$21,2)*IF(dens_inc=1,'5 Land Need'!$E$53,'5 Land Need'!$E$31)</f>
        <v>255.78</v>
      </c>
      <c r="E69" s="28" t="n">
        <f aca="false">INDEX('1 Demand'!$D$7:$D$21,3)*IF(dens_inc=1,'5 Land Need'!$E$53,'5 Land Need'!$E$31)</f>
        <v>255.78</v>
      </c>
      <c r="F69" s="28" t="n">
        <f aca="false">INDEX('1 Demand'!$D$7:$D$21,4)*IF(dens_inc=1,'5 Land Need'!$E$53,'5 Land Need'!$E$31)</f>
        <v>255.78</v>
      </c>
      <c r="G69" s="28" t="n">
        <f aca="false">INDEX('1 Demand'!$D$7:$D$21,5)*IF(dens_inc=1,'5 Land Need'!$E$53,'5 Land Need'!$E$31)</f>
        <v>255.78</v>
      </c>
      <c r="H69" s="28" t="n">
        <f aca="false">INDEX('1 Demand'!$D$7:$D$21,6)*IF(dens_inc=1,'5 Land Need'!$E$53,'5 Land Need'!$E$31)</f>
        <v>130.08</v>
      </c>
      <c r="I69" s="28" t="n">
        <f aca="false">INDEX('1 Demand'!$D$7:$D$21,7)*IF(dens_inc=1,'5 Land Need'!$E$53,'5 Land Need'!$E$31)</f>
        <v>130.08</v>
      </c>
      <c r="J69" s="28" t="n">
        <f aca="false">INDEX('1 Demand'!$D$7:$D$21,8)*IF(dens_inc=1,'5 Land Need'!$E$53,'5 Land Need'!$E$31)</f>
        <v>130.08</v>
      </c>
      <c r="K69" s="28" t="n">
        <f aca="false">INDEX('1 Demand'!$D$7:$D$21,9)*IF(dens_inc=1,'5 Land Need'!$E$53,'5 Land Need'!$E$31)</f>
        <v>130.08</v>
      </c>
      <c r="L69" s="28" t="n">
        <f aca="false">INDEX('1 Demand'!$D$7:$D$21,10)*IF(dens_inc=1,'5 Land Need'!$E$53,'5 Land Need'!$E$31)</f>
        <v>125.7</v>
      </c>
      <c r="M69" s="28" t="n">
        <f aca="false">INDEX('1 Demand'!$D$7:$D$21,11)*IF(dens_inc=1,'5 Land Need'!$E$53,'5 Land Need'!$E$31)</f>
        <v>95.22</v>
      </c>
      <c r="N69" s="28" t="n">
        <f aca="false">INDEX('1 Demand'!$D$7:$D$21,12)*IF(dens_inc=1,'5 Land Need'!$E$53,'5 Land Need'!$E$31)</f>
        <v>94.44</v>
      </c>
      <c r="O69" s="28" t="n">
        <f aca="false">INDEX('1 Demand'!$D$7:$D$21,13)*IF(dens_inc=1,'5 Land Need'!$E$53,'5 Land Need'!$E$31)</f>
        <v>93.3</v>
      </c>
      <c r="P69" s="28" t="n">
        <f aca="false">INDEX('1 Demand'!$D$7:$D$21,14)*IF(dens_inc=1,'5 Land Need'!$E$53,'5 Land Need'!$E$31)</f>
        <v>92.46</v>
      </c>
      <c r="Q69" s="28" t="n">
        <f aca="false">INDEX('1 Demand'!$D$7:$D$21,15)*IF(dens_inc=1,'5 Land Need'!$E$53,'5 Land Need'!$E$31)</f>
        <v>91.5</v>
      </c>
      <c r="R69" s="47" t="n">
        <f aca="false">SUM(C69:Q69)</f>
        <v>2391.84</v>
      </c>
    </row>
    <row r="71" customFormat="false" ht="15" hidden="false" customHeight="false" outlineLevel="0" collapsed="false">
      <c r="A71" s="9" t="s">
        <v>437</v>
      </c>
      <c r="B71" s="10"/>
      <c r="C71" s="10"/>
      <c r="D71" s="10"/>
      <c r="E71" s="10"/>
      <c r="F71" s="10"/>
      <c r="G71" s="10"/>
      <c r="H71" s="10"/>
      <c r="I71" s="10"/>
      <c r="J71" s="10"/>
      <c r="K71" s="10"/>
      <c r="L71" s="10"/>
      <c r="M71" s="10"/>
      <c r="N71" s="10"/>
      <c r="O71" s="10"/>
      <c r="P71" s="10"/>
      <c r="Q71" s="10"/>
      <c r="R71" s="10"/>
    </row>
    <row r="72" customFormat="false" ht="15" hidden="false" customHeight="false" outlineLevel="0" collapsed="false">
      <c r="A72" s="13" t="s">
        <v>438</v>
      </c>
      <c r="C72" s="28" t="n">
        <f aca="false">C41-C40+C50-C49+C59-C58+C68-C67</f>
        <v>464.562848695968</v>
      </c>
      <c r="D72" s="28" t="n">
        <f aca="false">D41-D40+D50-D49+D59-D58+D68-D67</f>
        <v>1911.668132938</v>
      </c>
      <c r="E72" s="28" t="n">
        <f aca="false">E41-E40+E50-E49+E59-E58+E68-E67</f>
        <v>2314.88122578839</v>
      </c>
      <c r="F72" s="28" t="n">
        <f aca="false">F41-F40+F50-F49+F59-F58+F68-F67</f>
        <v>2526.45194403889</v>
      </c>
      <c r="G72" s="28" t="n">
        <f aca="false">G41-G40+G50-G49+G59-G58+G68-G67</f>
        <v>1511.32922633002</v>
      </c>
      <c r="H72" s="28" t="n">
        <f aca="false">H41-H40+H50-H49+H59-H58+H68-H67</f>
        <v>1186.64836124906</v>
      </c>
      <c r="I72" s="28" t="n">
        <f aca="false">I41-I40+I50-I49+I59-I58+I68-I67</f>
        <v>1186.64836124906</v>
      </c>
      <c r="J72" s="28" t="n">
        <f aca="false">J41-J40+J50-J49+J59-J58+J68-J67</f>
        <v>1186.64836124906</v>
      </c>
      <c r="K72" s="28" t="n">
        <f aca="false">K41-K40+K50-K49+K59-K58+K68-K67</f>
        <v>708.023076923077</v>
      </c>
      <c r="L72" s="28" t="n">
        <f aca="false">L41-L40+L50-L49+L59-L58+L68-L67</f>
        <v>708.023076923077</v>
      </c>
      <c r="M72" s="28" t="n">
        <f aca="false">M41-M40+M50-M49+M59-M58+M68-M67</f>
        <v>708.023076923077</v>
      </c>
      <c r="N72" s="28" t="n">
        <f aca="false">N41-N40+N50-N49+N59-N58+N68-N67</f>
        <v>708.023076923077</v>
      </c>
      <c r="O72" s="28" t="n">
        <f aca="false">O41-O40+O50-O49+O59-O58+O68-O67</f>
        <v>708.023076923077</v>
      </c>
      <c r="P72" s="28" t="n">
        <f aca="false">P41-P40+P50-P49+P59-P58+P68-P67</f>
        <v>708.023076923077</v>
      </c>
      <c r="Q72" s="28" t="n">
        <f aca="false">Q41-Q40+Q50-Q49+Q59-Q58+Q68-Q67</f>
        <v>708.023076923077</v>
      </c>
      <c r="R72" s="28" t="n">
        <f aca="false">SUM(C72:Q72)</f>
        <v>17245</v>
      </c>
    </row>
    <row r="73" customFormat="false" ht="15" hidden="false" customHeight="false" outlineLevel="0" collapsed="false">
      <c r="A73" s="13" t="s">
        <v>65</v>
      </c>
      <c r="C73" s="28" t="n">
        <f aca="false">C40+C49+C58+C67</f>
        <v>0</v>
      </c>
      <c r="D73" s="28" t="n">
        <f aca="false">D40+D49+D58+D67</f>
        <v>0</v>
      </c>
      <c r="E73" s="28" t="n">
        <f aca="false">E40+E49+E58+E67</f>
        <v>0</v>
      </c>
      <c r="F73" s="28" t="n">
        <f aca="false">F40+F49+F58+F67</f>
        <v>0</v>
      </c>
      <c r="G73" s="28" t="n">
        <f aca="false">G40+G49+G58+G67</f>
        <v>0</v>
      </c>
      <c r="H73" s="28" t="n">
        <f aca="false">H40+H49+H58+H67</f>
        <v>2262</v>
      </c>
      <c r="I73" s="28" t="n">
        <f aca="false">I40+I49+I58+I67</f>
        <v>2262</v>
      </c>
      <c r="J73" s="28" t="n">
        <f aca="false">J40+J49+J58+J67</f>
        <v>2262</v>
      </c>
      <c r="K73" s="28" t="n">
        <f aca="false">K40+K49+K58+K67</f>
        <v>2262</v>
      </c>
      <c r="L73" s="28" t="n">
        <f aca="false">L40+L49+L58+L67</f>
        <v>2262</v>
      </c>
      <c r="M73" s="28" t="n">
        <f aca="false">M40+M49+M58+M67</f>
        <v>2262</v>
      </c>
      <c r="N73" s="28" t="n">
        <f aca="false">N40+N49+N58+N67</f>
        <v>2262</v>
      </c>
      <c r="O73" s="28" t="n">
        <f aca="false">O40+O49+O58+O67</f>
        <v>2262</v>
      </c>
      <c r="P73" s="28" t="n">
        <f aca="false">P40+P49+P58+P67</f>
        <v>2262</v>
      </c>
      <c r="Q73" s="28" t="n">
        <f aca="false">Q40+Q49+Q58+Q67</f>
        <v>2262</v>
      </c>
      <c r="R73" s="28" t="n">
        <f aca="false">SUM(C73:Q73)</f>
        <v>22620</v>
      </c>
    </row>
    <row r="74" customFormat="false" ht="15" hidden="false" customHeight="false" outlineLevel="0" collapsed="false">
      <c r="A74" s="13" t="s">
        <v>439</v>
      </c>
      <c r="C74" s="28" t="n">
        <f aca="false">ytd</f>
        <v>0</v>
      </c>
      <c r="D74" s="28" t="n">
        <f aca="false">0</f>
        <v>0</v>
      </c>
      <c r="E74" s="28" t="n">
        <f aca="false">0</f>
        <v>0</v>
      </c>
      <c r="F74" s="28" t="n">
        <f aca="false">0</f>
        <v>0</v>
      </c>
      <c r="G74" s="28" t="n">
        <f aca="false">0</f>
        <v>0</v>
      </c>
      <c r="H74" s="28" t="n">
        <f aca="false">0</f>
        <v>0</v>
      </c>
      <c r="I74" s="28" t="n">
        <f aca="false">0</f>
        <v>0</v>
      </c>
      <c r="J74" s="28" t="n">
        <f aca="false">0</f>
        <v>0</v>
      </c>
      <c r="K74" s="28" t="n">
        <f aca="false">0</f>
        <v>0</v>
      </c>
      <c r="L74" s="28" t="n">
        <f aca="false">0</f>
        <v>0</v>
      </c>
      <c r="M74" s="28" t="n">
        <f aca="false">0</f>
        <v>0</v>
      </c>
      <c r="N74" s="28" t="n">
        <f aca="false">0</f>
        <v>0</v>
      </c>
      <c r="O74" s="28" t="n">
        <f aca="false">0</f>
        <v>0</v>
      </c>
      <c r="P74" s="28" t="n">
        <f aca="false">0</f>
        <v>0</v>
      </c>
      <c r="Q74" s="28" t="n">
        <f aca="false">0</f>
        <v>0</v>
      </c>
      <c r="R74" s="28" t="n">
        <f aca="false">SUM(C74:Q74)</f>
        <v>0</v>
      </c>
    </row>
    <row r="75" customFormat="false" ht="15" hidden="false" customHeight="false" outlineLevel="0" collapsed="false">
      <c r="A75" s="13" t="s">
        <v>440</v>
      </c>
      <c r="C75" s="28" t="n">
        <f aca="false">windfall*C$30</f>
        <v>0</v>
      </c>
      <c r="D75" s="28" t="n">
        <f aca="false">windfall*D$30</f>
        <v>0</v>
      </c>
      <c r="E75" s="28" t="n">
        <f aca="false">windfall*E$30</f>
        <v>0</v>
      </c>
      <c r="F75" s="28" t="n">
        <f aca="false">windfall*F$30</f>
        <v>0</v>
      </c>
      <c r="G75" s="28" t="n">
        <f aca="false">windfall*G$30</f>
        <v>0</v>
      </c>
      <c r="H75" s="28" t="n">
        <f aca="false">windfall*H$30</f>
        <v>0</v>
      </c>
      <c r="I75" s="28" t="n">
        <f aca="false">windfall*I$30</f>
        <v>0</v>
      </c>
      <c r="J75" s="28" t="n">
        <f aca="false">windfall*J$30</f>
        <v>0</v>
      </c>
      <c r="K75" s="28" t="n">
        <f aca="false">windfall*K$30</f>
        <v>0</v>
      </c>
      <c r="L75" s="28" t="n">
        <f aca="false">windfall*L$30</f>
        <v>0</v>
      </c>
      <c r="M75" s="28" t="n">
        <f aca="false">windfall*M$30</f>
        <v>0</v>
      </c>
      <c r="N75" s="28" t="n">
        <f aca="false">windfall*N$30</f>
        <v>0</v>
      </c>
      <c r="O75" s="28" t="n">
        <f aca="false">windfall*O$30</f>
        <v>0</v>
      </c>
      <c r="P75" s="28" t="n">
        <f aca="false">windfall*P$30</f>
        <v>0</v>
      </c>
      <c r="Q75" s="28" t="n">
        <f aca="false">windfall*Q$30</f>
        <v>0</v>
      </c>
      <c r="R75" s="28" t="n">
        <f aca="false">SUM(C75:Q75)</f>
        <v>0</v>
      </c>
    </row>
    <row r="76" customFormat="false" ht="15" hidden="false" customHeight="false" outlineLevel="0" collapsed="false">
      <c r="A76" s="51" t="s">
        <v>441</v>
      </c>
      <c r="C76" s="52" t="n">
        <f aca="false">SUM(C72:C75)</f>
        <v>464.562848695968</v>
      </c>
      <c r="D76" s="52" t="n">
        <f aca="false">SUM(D72:D75)</f>
        <v>1911.668132938</v>
      </c>
      <c r="E76" s="52" t="n">
        <f aca="false">SUM(E72:E75)</f>
        <v>2314.88122578839</v>
      </c>
      <c r="F76" s="52" t="n">
        <f aca="false">SUM(F72:F75)</f>
        <v>2526.45194403889</v>
      </c>
      <c r="G76" s="52" t="n">
        <f aca="false">SUM(G72:G75)</f>
        <v>1511.32922633002</v>
      </c>
      <c r="H76" s="52" t="n">
        <f aca="false">SUM(H72:H75)</f>
        <v>3448.64836124906</v>
      </c>
      <c r="I76" s="52" t="n">
        <f aca="false">SUM(I72:I75)</f>
        <v>3448.64836124906</v>
      </c>
      <c r="J76" s="52" t="n">
        <f aca="false">SUM(J72:J75)</f>
        <v>3448.64836124906</v>
      </c>
      <c r="K76" s="52" t="n">
        <f aca="false">SUM(K72:K75)</f>
        <v>2970.02307692308</v>
      </c>
      <c r="L76" s="52" t="n">
        <f aca="false">SUM(L72:L75)</f>
        <v>2970.02307692308</v>
      </c>
      <c r="M76" s="52" t="n">
        <f aca="false">SUM(M72:M75)</f>
        <v>2970.02307692308</v>
      </c>
      <c r="N76" s="52" t="n">
        <f aca="false">SUM(N72:N75)</f>
        <v>2970.02307692308</v>
      </c>
      <c r="O76" s="52" t="n">
        <f aca="false">SUM(O72:O75)</f>
        <v>2970.02307692308</v>
      </c>
      <c r="P76" s="52" t="n">
        <f aca="false">SUM(P72:P75)</f>
        <v>2970.02307692308</v>
      </c>
      <c r="Q76" s="52" t="n">
        <f aca="false">SUM(Q72:Q75)</f>
        <v>2970.02307692308</v>
      </c>
      <c r="R76" s="52" t="n">
        <f aca="false">SUM(C76:Q76)</f>
        <v>39865</v>
      </c>
    </row>
    <row r="77" customFormat="false" ht="15" hidden="false" customHeight="false" outlineLevel="0" collapsed="false">
      <c r="A77" s="13" t="s">
        <v>442</v>
      </c>
      <c r="C77" s="28" t="n">
        <f aca="false">INDEX('1 Demand'!$D$7:$D$21,1)</f>
        <v>4263</v>
      </c>
      <c r="D77" s="28" t="n">
        <f aca="false">INDEX('1 Demand'!$D$7:$D$21,2)</f>
        <v>4263</v>
      </c>
      <c r="E77" s="28" t="n">
        <f aca="false">INDEX('1 Demand'!$D$7:$D$21,3)</f>
        <v>4263</v>
      </c>
      <c r="F77" s="28" t="n">
        <f aca="false">INDEX('1 Demand'!$D$7:$D$21,4)</f>
        <v>4263</v>
      </c>
      <c r="G77" s="28" t="n">
        <f aca="false">INDEX('1 Demand'!$D$7:$D$21,5)</f>
        <v>4263</v>
      </c>
      <c r="H77" s="28" t="n">
        <f aca="false">INDEX('1 Demand'!$D$7:$D$21,6)</f>
        <v>2168</v>
      </c>
      <c r="I77" s="28" t="n">
        <f aca="false">INDEX('1 Demand'!$D$7:$D$21,7)</f>
        <v>2168</v>
      </c>
      <c r="J77" s="28" t="n">
        <f aca="false">INDEX('1 Demand'!$D$7:$D$21,8)</f>
        <v>2168</v>
      </c>
      <c r="K77" s="28" t="n">
        <f aca="false">INDEX('1 Demand'!$D$7:$D$21,9)</f>
        <v>2168</v>
      </c>
      <c r="L77" s="28" t="n">
        <f aca="false">INDEX('1 Demand'!$D$7:$D$21,10)</f>
        <v>2095</v>
      </c>
      <c r="M77" s="28" t="n">
        <f aca="false">INDEX('1 Demand'!$D$7:$D$21,11)</f>
        <v>1587</v>
      </c>
      <c r="N77" s="28" t="n">
        <f aca="false">INDEX('1 Demand'!$D$7:$D$21,12)</f>
        <v>1574</v>
      </c>
      <c r="O77" s="28" t="n">
        <f aca="false">INDEX('1 Demand'!$D$7:$D$21,13)</f>
        <v>1555</v>
      </c>
      <c r="P77" s="28" t="n">
        <f aca="false">INDEX('1 Demand'!$D$7:$D$21,14)</f>
        <v>1541</v>
      </c>
      <c r="Q77" s="28" t="n">
        <f aca="false">INDEX('1 Demand'!$D$7:$D$21,15)</f>
        <v>1525</v>
      </c>
      <c r="R77" s="28" t="n">
        <f aca="false">SUM(C77:Q77)</f>
        <v>39864</v>
      </c>
    </row>
    <row r="78" customFormat="false" ht="15" hidden="false" customHeight="false" outlineLevel="0" collapsed="false">
      <c r="A78" s="13" t="s">
        <v>443</v>
      </c>
      <c r="C78" s="28" t="n">
        <f aca="false">INDEX('1 Demand'!$C$7:$C$21,1)</f>
        <v>2617</v>
      </c>
      <c r="D78" s="28" t="n">
        <f aca="false">INDEX('1 Demand'!$C$7:$C$21,2)</f>
        <v>2662</v>
      </c>
      <c r="E78" s="28" t="n">
        <f aca="false">INDEX('1 Demand'!$C$7:$C$21,3)</f>
        <v>2678</v>
      </c>
      <c r="F78" s="28" t="n">
        <f aca="false">INDEX('1 Demand'!$C$7:$C$21,4)</f>
        <v>2700</v>
      </c>
      <c r="G78" s="28" t="n">
        <f aca="false">INDEX('1 Demand'!$C$7:$C$21,5)</f>
        <v>2749</v>
      </c>
      <c r="H78" s="28" t="n">
        <f aca="false">INDEX('1 Demand'!$C$7:$C$21,6)</f>
        <v>2532</v>
      </c>
      <c r="I78" s="28" t="n">
        <f aca="false">INDEX('1 Demand'!$C$7:$C$21,7)</f>
        <v>2541</v>
      </c>
      <c r="J78" s="28" t="n">
        <f aca="false">INDEX('1 Demand'!$C$7:$C$21,8)</f>
        <v>2530</v>
      </c>
      <c r="K78" s="28" t="n">
        <f aca="false">INDEX('1 Demand'!$C$7:$C$21,9)</f>
        <v>2518</v>
      </c>
      <c r="L78" s="28" t="n">
        <f aca="false">INDEX('1 Demand'!$C$7:$C$21,10)</f>
        <v>3584</v>
      </c>
      <c r="M78" s="28" t="n">
        <f aca="false">INDEX('1 Demand'!$C$7:$C$21,11)</f>
        <v>2600</v>
      </c>
      <c r="N78" s="28" t="n">
        <f aca="false">INDEX('1 Demand'!$C$7:$C$21,12)</f>
        <v>2580</v>
      </c>
      <c r="O78" s="28" t="n">
        <f aca="false">INDEX('1 Demand'!$C$7:$C$21,13)</f>
        <v>2549</v>
      </c>
      <c r="P78" s="28" t="n">
        <f aca="false">INDEX('1 Demand'!$C$7:$C$21,14)</f>
        <v>2525</v>
      </c>
      <c r="Q78" s="28" t="n">
        <f aca="false">INDEX('1 Demand'!$C$7:$C$21,15)</f>
        <v>2499</v>
      </c>
      <c r="R78" s="28" t="n">
        <f aca="false">SUM(C78:Q78)</f>
        <v>39864</v>
      </c>
    </row>
    <row r="79" customFormat="false" ht="15" hidden="false" customHeight="false" outlineLevel="0" collapsed="false">
      <c r="A79" s="31" t="s">
        <v>444</v>
      </c>
      <c r="C79" s="47" t="n">
        <f aca="false">C76-C77</f>
        <v>-3798.43715130403</v>
      </c>
      <c r="D79" s="47" t="n">
        <f aca="false">D76-D77</f>
        <v>-2351.331867062</v>
      </c>
      <c r="E79" s="47" t="n">
        <f aca="false">E76-E77</f>
        <v>-1948.11877421161</v>
      </c>
      <c r="F79" s="47" t="n">
        <f aca="false">F76-F77</f>
        <v>-1736.54805596111</v>
      </c>
      <c r="G79" s="47" t="n">
        <f aca="false">G76-G77</f>
        <v>-2751.67077366998</v>
      </c>
      <c r="H79" s="47" t="n">
        <f aca="false">H76-H77</f>
        <v>1280.64836124906</v>
      </c>
      <c r="I79" s="47" t="n">
        <f aca="false">I76-I77</f>
        <v>1280.64836124906</v>
      </c>
      <c r="J79" s="47" t="n">
        <f aca="false">J76-J77</f>
        <v>1280.64836124906</v>
      </c>
      <c r="K79" s="47" t="n">
        <f aca="false">K76-K77</f>
        <v>802.023076923077</v>
      </c>
      <c r="L79" s="47" t="n">
        <f aca="false">L76-L77</f>
        <v>875.023076923077</v>
      </c>
      <c r="M79" s="47" t="n">
        <f aca="false">M76-M77</f>
        <v>1383.02307692308</v>
      </c>
      <c r="N79" s="47" t="n">
        <f aca="false">N76-N77</f>
        <v>1396.02307692308</v>
      </c>
      <c r="O79" s="47" t="n">
        <f aca="false">O76-O77</f>
        <v>1415.02307692308</v>
      </c>
      <c r="P79" s="47" t="n">
        <f aca="false">P76-P77</f>
        <v>1429.02307692308</v>
      </c>
      <c r="Q79" s="47" t="n">
        <f aca="false">Q76-Q77</f>
        <v>1445.02307692308</v>
      </c>
      <c r="R79" s="47" t="n">
        <f aca="false">SUM(C79:Q79)</f>
        <v>0.999999999997726</v>
      </c>
    </row>
    <row r="80" customFormat="false" ht="15" hidden="false" customHeight="false" outlineLevel="0" collapsed="false">
      <c r="A80" s="13" t="s">
        <v>445</v>
      </c>
      <c r="C80" s="28" t="n">
        <f aca="false">C76-C73-C77</f>
        <v>-3798.43715130403</v>
      </c>
      <c r="D80" s="28" t="n">
        <f aca="false">D76-D73-D77</f>
        <v>-2351.331867062</v>
      </c>
      <c r="E80" s="28" t="n">
        <f aca="false">E76-E73-E77</f>
        <v>-1948.11877421161</v>
      </c>
      <c r="F80" s="28" t="n">
        <f aca="false">F76-F73-F77</f>
        <v>-1736.54805596111</v>
      </c>
      <c r="G80" s="28" t="n">
        <f aca="false">G76-G73-G77</f>
        <v>-2751.67077366998</v>
      </c>
      <c r="H80" s="28" t="n">
        <f aca="false">H76-H73-H77</f>
        <v>-981.351638750935</v>
      </c>
      <c r="I80" s="28" t="n">
        <f aca="false">I76-I73-I77</f>
        <v>-981.351638750935</v>
      </c>
      <c r="J80" s="28" t="n">
        <f aca="false">J76-J73-J77</f>
        <v>-981.351638750935</v>
      </c>
      <c r="K80" s="28" t="n">
        <f aca="false">K76-K73-K77</f>
        <v>-1459.97692307692</v>
      </c>
      <c r="L80" s="28" t="n">
        <f aca="false">L76-L73-L77</f>
        <v>-1386.97692307692</v>
      </c>
      <c r="M80" s="28" t="n">
        <f aca="false">M76-M73-M77</f>
        <v>-878.976923076923</v>
      </c>
      <c r="N80" s="28" t="n">
        <f aca="false">N76-N73-N77</f>
        <v>-865.976923076923</v>
      </c>
      <c r="O80" s="28" t="n">
        <f aca="false">O76-O73-O77</f>
        <v>-846.976923076923</v>
      </c>
      <c r="P80" s="28" t="n">
        <f aca="false">P76-P73-P77</f>
        <v>-832.976923076923</v>
      </c>
      <c r="Q80" s="28" t="n">
        <f aca="false">Q76-Q73-Q77</f>
        <v>-816.976923076923</v>
      </c>
      <c r="R80" s="28" t="n">
        <f aca="false">SUM(C80:Q80)</f>
        <v>-22619</v>
      </c>
    </row>
    <row r="81" customFormat="false" ht="15" hidden="false" customHeight="false" outlineLevel="0" collapsed="false">
      <c r="A81" s="13" t="s">
        <v>446</v>
      </c>
      <c r="C81" s="28" t="n">
        <f aca="false">SUM($C76:C76)</f>
        <v>464.562848695968</v>
      </c>
      <c r="D81" s="28" t="n">
        <f aca="false">SUM($C76:D76)</f>
        <v>2376.23098163397</v>
      </c>
      <c r="E81" s="28" t="n">
        <f aca="false">SUM($C76:E76)</f>
        <v>4691.11220742237</v>
      </c>
      <c r="F81" s="28" t="n">
        <f aca="false">SUM($C76:F76)</f>
        <v>7217.56415146125</v>
      </c>
      <c r="G81" s="28" t="n">
        <f aca="false">SUM($C76:G76)</f>
        <v>8728.89337779127</v>
      </c>
      <c r="H81" s="28" t="n">
        <f aca="false">SUM($C76:H76)</f>
        <v>12177.5417390403</v>
      </c>
      <c r="I81" s="28" t="n">
        <f aca="false">SUM($C76:I76)</f>
        <v>15626.1901002894</v>
      </c>
      <c r="J81" s="28" t="n">
        <f aca="false">SUM($C76:J76)</f>
        <v>19074.8384615385</v>
      </c>
      <c r="K81" s="28" t="n">
        <f aca="false">SUM($C76:K76)</f>
        <v>22044.8615384615</v>
      </c>
      <c r="L81" s="28" t="n">
        <f aca="false">SUM($C76:L76)</f>
        <v>25014.8846153846</v>
      </c>
      <c r="M81" s="28" t="n">
        <f aca="false">SUM($C76:M76)</f>
        <v>27984.9076923077</v>
      </c>
      <c r="N81" s="28" t="n">
        <f aca="false">SUM($C76:N76)</f>
        <v>30954.9307692308</v>
      </c>
      <c r="O81" s="28" t="n">
        <f aca="false">SUM($C76:O76)</f>
        <v>33924.9538461539</v>
      </c>
      <c r="P81" s="28" t="n">
        <f aca="false">SUM($C76:P76)</f>
        <v>36894.9769230769</v>
      </c>
      <c r="Q81" s="28" t="n">
        <f aca="false">SUM($C76:Q76)</f>
        <v>39865</v>
      </c>
    </row>
    <row r="82" customFormat="false" ht="15" hidden="false" customHeight="false" outlineLevel="0" collapsed="false">
      <c r="A82" s="13" t="s">
        <v>447</v>
      </c>
      <c r="C82" s="28" t="n">
        <f aca="false">SUM($C77:C77)</f>
        <v>4263</v>
      </c>
      <c r="D82" s="28" t="n">
        <f aca="false">SUM($C77:D77)</f>
        <v>8526</v>
      </c>
      <c r="E82" s="28" t="n">
        <f aca="false">SUM($C77:E77)</f>
        <v>12789</v>
      </c>
      <c r="F82" s="28" t="n">
        <f aca="false">SUM($C77:F77)</f>
        <v>17052</v>
      </c>
      <c r="G82" s="28" t="n">
        <f aca="false">SUM($C77:G77)</f>
        <v>21315</v>
      </c>
      <c r="H82" s="28" t="n">
        <f aca="false">SUM($C77:H77)</f>
        <v>23483</v>
      </c>
      <c r="I82" s="28" t="n">
        <f aca="false">SUM($C77:I77)</f>
        <v>25651</v>
      </c>
      <c r="J82" s="28" t="n">
        <f aca="false">SUM($C77:J77)</f>
        <v>27819</v>
      </c>
      <c r="K82" s="28" t="n">
        <f aca="false">SUM($C77:K77)</f>
        <v>29987</v>
      </c>
      <c r="L82" s="28" t="n">
        <f aca="false">SUM($C77:L77)</f>
        <v>32082</v>
      </c>
      <c r="M82" s="28" t="n">
        <f aca="false">SUM($C77:M77)</f>
        <v>33669</v>
      </c>
      <c r="N82" s="28" t="n">
        <f aca="false">SUM($C77:N77)</f>
        <v>35243</v>
      </c>
      <c r="O82" s="28" t="n">
        <f aca="false">SUM($C77:O77)</f>
        <v>36798</v>
      </c>
      <c r="P82" s="28" t="n">
        <f aca="false">SUM($C77:P77)</f>
        <v>38339</v>
      </c>
      <c r="Q82" s="28" t="n">
        <f aca="false">SUM($C77:Q77)</f>
        <v>39864</v>
      </c>
    </row>
    <row r="83" customFormat="false" ht="15" hidden="false" customHeight="false" outlineLevel="0" collapsed="false">
      <c r="A83" s="31" t="s">
        <v>448</v>
      </c>
      <c r="C83" s="47" t="n">
        <f aca="false">C81-C82</f>
        <v>-3798.43715130403</v>
      </c>
      <c r="D83" s="47" t="n">
        <f aca="false">D81-D82</f>
        <v>-6149.76901836603</v>
      </c>
      <c r="E83" s="47" t="n">
        <f aca="false">E81-E82</f>
        <v>-8097.88779257764</v>
      </c>
      <c r="F83" s="47" t="n">
        <f aca="false">F81-F82</f>
        <v>-9834.43584853875</v>
      </c>
      <c r="G83" s="47" t="n">
        <f aca="false">G81-G82</f>
        <v>-12586.1066222087</v>
      </c>
      <c r="H83" s="47" t="n">
        <f aca="false">H81-H82</f>
        <v>-11305.4582609597</v>
      </c>
      <c r="I83" s="47" t="n">
        <f aca="false">I81-I82</f>
        <v>-10024.8098997106</v>
      </c>
      <c r="J83" s="47" t="n">
        <f aca="false">J81-J82</f>
        <v>-8744.16153846154</v>
      </c>
      <c r="K83" s="47" t="n">
        <f aca="false">K81-K82</f>
        <v>-7942.13846153846</v>
      </c>
      <c r="L83" s="47" t="n">
        <f aca="false">L81-L82</f>
        <v>-7067.11538461539</v>
      </c>
      <c r="M83" s="47" t="n">
        <f aca="false">M81-M82</f>
        <v>-5684.09230769231</v>
      </c>
      <c r="N83" s="47" t="n">
        <f aca="false">N81-N82</f>
        <v>-4288.06923076923</v>
      </c>
      <c r="O83" s="47" t="n">
        <f aca="false">O81-O82</f>
        <v>-2873.04615384615</v>
      </c>
      <c r="P83" s="47" t="n">
        <f aca="false">P81-P82</f>
        <v>-1444.02307692308</v>
      </c>
      <c r="Q83" s="47" t="n">
        <f aca="false">Q81-Q82</f>
        <v>1</v>
      </c>
    </row>
    <row r="84" customFormat="false" ht="15" hidden="false" customHeight="false" outlineLevel="0" collapsed="false">
      <c r="A84" s="13" t="s">
        <v>449</v>
      </c>
      <c r="C84" s="28" t="n">
        <f aca="false">SUM($C80:C80)</f>
        <v>-3798.43715130403</v>
      </c>
      <c r="D84" s="28" t="n">
        <f aca="false">SUM($C80:D80)</f>
        <v>-6149.76901836603</v>
      </c>
      <c r="E84" s="28" t="n">
        <f aca="false">SUM($C80:E80)</f>
        <v>-8097.88779257764</v>
      </c>
      <c r="F84" s="28" t="n">
        <f aca="false">SUM($C80:F80)</f>
        <v>-9834.43584853875</v>
      </c>
      <c r="G84" s="28" t="n">
        <f aca="false">SUM($C80:G80)</f>
        <v>-12586.1066222087</v>
      </c>
      <c r="H84" s="28" t="n">
        <f aca="false">SUM($C80:H80)</f>
        <v>-13567.4582609597</v>
      </c>
      <c r="I84" s="28" t="n">
        <f aca="false">SUM($C80:I80)</f>
        <v>-14548.8098997106</v>
      </c>
      <c r="J84" s="28" t="n">
        <f aca="false">SUM($C80:J80)</f>
        <v>-15530.1615384615</v>
      </c>
      <c r="K84" s="28" t="n">
        <f aca="false">SUM($C80:K80)</f>
        <v>-16990.1384615385</v>
      </c>
      <c r="L84" s="28" t="n">
        <f aca="false">SUM($C80:L80)</f>
        <v>-18377.1153846154</v>
      </c>
      <c r="M84" s="28" t="n">
        <f aca="false">SUM($C80:M80)</f>
        <v>-19256.0923076923</v>
      </c>
      <c r="N84" s="28" t="n">
        <f aca="false">SUM($C80:N80)</f>
        <v>-20122.0692307692</v>
      </c>
      <c r="O84" s="28" t="n">
        <f aca="false">SUM($C80:O80)</f>
        <v>-20969.0461538462</v>
      </c>
      <c r="P84" s="28" t="n">
        <f aca="false">SUM($C80:P80)</f>
        <v>-21802.0230769231</v>
      </c>
      <c r="Q84" s="28" t="n">
        <f aca="false">SUM($C80:Q80)</f>
        <v>-22619</v>
      </c>
    </row>
    <row r="85" customFormat="false" ht="15" hidden="false" customHeight="false" outlineLevel="0" collapsed="false">
      <c r="A85" s="31" t="s">
        <v>450</v>
      </c>
      <c r="C85" s="47" t="n">
        <f aca="false">SUM(C76:G76)/5</f>
        <v>1745.77867555825</v>
      </c>
      <c r="D85" s="47" t="n">
        <f aca="false">SUM(H76:L76)/5</f>
        <v>3257.19824751867</v>
      </c>
      <c r="E85" s="47" t="n">
        <f aca="false">SUM(M76:Q76)/5</f>
        <v>2970.02307692308</v>
      </c>
    </row>
    <row r="86" customFormat="false" ht="39.75" hidden="false" customHeight="true" outlineLevel="0" collapsed="false">
      <c r="A86" s="33" t="s">
        <v>451</v>
      </c>
      <c r="B86" s="33"/>
      <c r="C86" s="33"/>
      <c r="D86" s="33"/>
      <c r="E86" s="33"/>
      <c r="F86" s="33"/>
      <c r="G86" s="33"/>
      <c r="H86" s="33"/>
      <c r="I86" s="33"/>
      <c r="J86" s="33"/>
      <c r="K86" s="33"/>
      <c r="L86" s="33"/>
      <c r="M86" s="33"/>
      <c r="N86" s="33"/>
      <c r="O86" s="33"/>
      <c r="P86" s="33"/>
      <c r="Q86" s="33"/>
      <c r="R86" s="33"/>
    </row>
    <row r="87" customFormat="false" ht="15" hidden="false" customHeight="false" outlineLevel="0" collapsed="false">
      <c r="A87" s="31" t="s">
        <v>452</v>
      </c>
      <c r="C87" s="47" t="n">
        <f aca="false">MIN(C83:Q83)</f>
        <v>-12586.1066222087</v>
      </c>
    </row>
    <row r="88" customFormat="false" ht="15" hidden="false" customHeight="false" outlineLevel="0" collapsed="false">
      <c r="A88" s="31" t="s">
        <v>453</v>
      </c>
      <c r="C88" s="27" t="n">
        <f aca="false">INDEX($C$34:$Q$34,MATCH(C87,C83:Q83,0))</f>
        <v>2030</v>
      </c>
    </row>
  </sheetData>
  <mergeCells count="3">
    <mergeCell ref="A18:R18"/>
    <mergeCell ref="B33:E33"/>
    <mergeCell ref="A86:R8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54D8A"/>
    <pageSetUpPr fitToPage="true"/>
  </sheetPr>
  <dimension ref="A1:I1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9" min="2" style="0" width="15"/>
  </cols>
  <sheetData>
    <row r="1" customFormat="false" ht="30" hidden="false" customHeight="true" outlineLevel="0" collapsed="false">
      <c r="A1" s="1" t="s">
        <v>454</v>
      </c>
      <c r="B1" s="2"/>
      <c r="C1" s="2"/>
      <c r="D1" s="2"/>
      <c r="E1" s="2"/>
      <c r="F1" s="2"/>
      <c r="G1" s="2"/>
      <c r="H1" s="2"/>
      <c r="I1" s="2"/>
    </row>
    <row r="2" customFormat="false" ht="18" hidden="false" customHeight="true" outlineLevel="0" collapsed="false">
      <c r="A2" s="3" t="s">
        <v>455</v>
      </c>
      <c r="B2" s="2"/>
      <c r="C2" s="2"/>
      <c r="D2" s="2"/>
      <c r="E2" s="2"/>
      <c r="F2" s="2"/>
      <c r="G2" s="2"/>
      <c r="H2" s="2"/>
      <c r="I2" s="2"/>
    </row>
    <row r="3" customFormat="false" ht="3.75" hidden="false" customHeight="true" outlineLevel="0" collapsed="false">
      <c r="A3" s="4"/>
      <c r="B3" s="4"/>
      <c r="C3" s="4"/>
      <c r="D3" s="4"/>
      <c r="E3" s="4"/>
      <c r="F3" s="4"/>
      <c r="G3" s="4"/>
      <c r="H3" s="4"/>
      <c r="I3" s="4"/>
    </row>
    <row r="5" customFormat="false" ht="15" hidden="false" customHeight="false" outlineLevel="0" collapsed="false">
      <c r="A5" s="9" t="s">
        <v>456</v>
      </c>
      <c r="B5" s="10"/>
      <c r="C5" s="10"/>
      <c r="D5" s="10"/>
      <c r="E5" s="10"/>
      <c r="F5" s="10"/>
      <c r="G5" s="10"/>
      <c r="H5" s="10"/>
      <c r="I5" s="10"/>
    </row>
    <row r="6" customFormat="false" ht="24" hidden="false" customHeight="true" outlineLevel="0" collapsed="false">
      <c r="A6" s="25" t="s">
        <v>294</v>
      </c>
      <c r="B6" s="25" t="s">
        <v>26</v>
      </c>
      <c r="C6" s="25" t="s">
        <v>457</v>
      </c>
      <c r="D6" s="25" t="s">
        <v>458</v>
      </c>
    </row>
    <row r="7" customFormat="false" ht="15" hidden="false" customHeight="false" outlineLevel="0" collapsed="false">
      <c r="A7" s="13" t="s">
        <v>459</v>
      </c>
      <c r="B7" s="34" t="n">
        <f aca="false">'5 Land Need'!$F$32</f>
        <v>39865</v>
      </c>
      <c r="C7" s="34" t="n">
        <f aca="false">'5 Land Need'!$F$54</f>
        <v>39865</v>
      </c>
      <c r="D7" s="52" t="n">
        <f aca="false">IF(dens_inc=1,C7,B7)</f>
        <v>39865</v>
      </c>
    </row>
    <row r="8" customFormat="false" ht="15" hidden="false" customHeight="false" outlineLevel="0" collapsed="false">
      <c r="A8" s="13" t="s">
        <v>460</v>
      </c>
      <c r="B8" s="34" t="n">
        <f aca="false">'5 Land Need'!$F$41</f>
        <v>17245</v>
      </c>
      <c r="C8" s="34" t="n">
        <f aca="false">'5 Land Need'!$F$63</f>
        <v>20241.53816</v>
      </c>
      <c r="D8" s="52" t="n">
        <f aca="false">IF(dens_inc=1,C8,B8)</f>
        <v>17245</v>
      </c>
    </row>
    <row r="9" customFormat="false" ht="15" hidden="false" customHeight="false" outlineLevel="0" collapsed="false">
      <c r="A9" s="13" t="s">
        <v>461</v>
      </c>
      <c r="B9" s="34" t="n">
        <f aca="false">'5 Land Need'!$F$43</f>
        <v>22620</v>
      </c>
      <c r="C9" s="34" t="n">
        <f aca="false">'5 Land Need'!$F$65</f>
        <v>19623.46184</v>
      </c>
      <c r="D9" s="52" t="n">
        <f aca="false">IF(dens_inc=1,C9,B9)</f>
        <v>22620</v>
      </c>
    </row>
    <row r="10" customFormat="false" ht="15" hidden="false" customHeight="false" outlineLevel="0" collapsed="false">
      <c r="A10" s="13" t="s">
        <v>462</v>
      </c>
      <c r="B10" s="34" t="n">
        <f aca="false">'5 Land Need'!$F$44</f>
        <v>0</v>
      </c>
      <c r="C10" s="34" t="n">
        <f aca="false">'5 Land Need'!$F$66</f>
        <v>0</v>
      </c>
      <c r="D10" s="52" t="n">
        <f aca="false">IF(dens_inc=1,C10,B10)</f>
        <v>0</v>
      </c>
    </row>
    <row r="11" customFormat="false" ht="15" hidden="false" customHeight="false" outlineLevel="0" collapsed="false">
      <c r="A11" s="13" t="s">
        <v>463</v>
      </c>
      <c r="B11" s="34" t="n">
        <f aca="false">'5 Land Need'!$F$45</f>
        <v>28275</v>
      </c>
      <c r="C11" s="34" t="n">
        <f aca="false">'5 Land Need'!$F$67</f>
        <v>24529.3273</v>
      </c>
      <c r="D11" s="52" t="n">
        <f aca="false">IF(dens_inc=1,C11,B11)</f>
        <v>28275</v>
      </c>
    </row>
    <row r="12" customFormat="false" ht="15" hidden="false" customHeight="false" outlineLevel="0" collapsed="false">
      <c r="A12" s="13" t="s">
        <v>464</v>
      </c>
      <c r="B12" s="53" t="n">
        <f aca="false">'5 Land Need'!$B$47</f>
        <v>124.523840681562</v>
      </c>
      <c r="C12" s="53" t="n">
        <f aca="false">'5 Land Need'!$B$69</f>
        <v>13.0547642857143</v>
      </c>
      <c r="D12" s="54" t="n">
        <f aca="false">IF(dens_inc=1,C12,B12)</f>
        <v>124.523840681562</v>
      </c>
    </row>
    <row r="13" customFormat="false" ht="15" hidden="false" customHeight="false" outlineLevel="0" collapsed="false">
      <c r="A13" s="13" t="s">
        <v>465</v>
      </c>
      <c r="B13" s="53" t="n">
        <f aca="false">'5 Land Need'!$C$47</f>
        <v>415.411885908209</v>
      </c>
      <c r="C13" s="53" t="n">
        <f aca="false">'5 Land Need'!$C$69</f>
        <v>415.411885908209</v>
      </c>
      <c r="D13" s="54" t="n">
        <f aca="false">IF(dens_inc=1,C13,B13)</f>
        <v>415.411885908209</v>
      </c>
    </row>
    <row r="14" customFormat="false" ht="15" hidden="false" customHeight="false" outlineLevel="0" collapsed="false">
      <c r="A14" s="13" t="s">
        <v>466</v>
      </c>
      <c r="B14" s="53" t="n">
        <f aca="false">'5 Land Need'!$D$47</f>
        <v>375.159966329893</v>
      </c>
      <c r="C14" s="53" t="n">
        <f aca="false">'5 Land Need'!$D$69</f>
        <v>375.159966329893</v>
      </c>
      <c r="D14" s="54" t="n">
        <f aca="false">IF(dens_inc=1,C14,B14)</f>
        <v>375.159966329893</v>
      </c>
    </row>
    <row r="15" customFormat="false" ht="15" hidden="false" customHeight="false" outlineLevel="0" collapsed="false">
      <c r="A15" s="13" t="s">
        <v>467</v>
      </c>
      <c r="B15" s="53" t="n">
        <f aca="false">'5 Land Need'!$E$47</f>
        <v>120.374518538766</v>
      </c>
      <c r="C15" s="53" t="n">
        <f aca="false">'5 Land Need'!$E$69</f>
        <v>120.374518538766</v>
      </c>
      <c r="D15" s="54" t="n">
        <f aca="false">IF(dens_inc=1,C15,B15)</f>
        <v>120.374518538766</v>
      </c>
    </row>
    <row r="16" customFormat="false" ht="15" hidden="false" customHeight="false" outlineLevel="0" collapsed="false">
      <c r="A16" s="31" t="s">
        <v>468</v>
      </c>
      <c r="B16" s="53" t="n">
        <f aca="false">'5 Land Need'!$F$47</f>
        <v>1035.47021145843</v>
      </c>
      <c r="C16" s="53" t="n">
        <f aca="false">'5 Land Need'!$F$69</f>
        <v>924.001135062583</v>
      </c>
      <c r="D16" s="54" t="n">
        <f aca="false">IF(dens_inc=1,C16,B16)</f>
        <v>1035.47021145843</v>
      </c>
    </row>
    <row r="17" customFormat="false" ht="15" hidden="false" customHeight="false" outlineLevel="0" collapsed="false">
      <c r="A17" s="31" t="s">
        <v>469</v>
      </c>
      <c r="B17" s="55" t="n">
        <f aca="false">B12+B13</f>
        <v>539.935726589771</v>
      </c>
      <c r="C17" s="55" t="n">
        <f aca="false">C12+C13</f>
        <v>428.466650193924</v>
      </c>
      <c r="D17" s="55" t="n">
        <f aca="false">D12+D13</f>
        <v>539.935726589771</v>
      </c>
    </row>
    <row r="18" customFormat="false" ht="15" hidden="false" customHeight="false" outlineLevel="0" collapsed="false">
      <c r="A18" s="31" t="s">
        <v>7</v>
      </c>
      <c r="B18" s="32" t="n">
        <f aca="false">IF(B16&gt;0,B17/B16,0)</f>
        <v>0.52144013474737</v>
      </c>
      <c r="C18" s="32" t="n">
        <f aca="false">IF(C16&gt;0,C17/C16,0)</f>
        <v>0.463707926251523</v>
      </c>
      <c r="D18" s="48" t="n">
        <f aca="false">IF(D16&gt;0,D17/D16,0)</f>
        <v>0.52144013474737</v>
      </c>
    </row>
    <row r="19" customFormat="false" ht="15" hidden="false" customHeight="false" outlineLevel="0" collapsed="false">
      <c r="A19" s="31" t="s">
        <v>470</v>
      </c>
      <c r="B19" s="32" t="n">
        <f aca="false">IF('5 Land Need'!$F$43&gt;0,'5 Land Need'!$G$43/'5 Land Need'!$F$43,0)</f>
        <v>0.629053934571176</v>
      </c>
      <c r="C19" s="32" t="n">
        <f aca="false">IF('5 Land Need'!$F$65&gt;0,'5 Land Need'!$G$65/'5 Land Need'!$F$65,0)</f>
        <v>0.572409798616858</v>
      </c>
      <c r="D19" s="48" t="n">
        <f aca="false">IF(dens_inc=1,C19,B19)</f>
        <v>0.629053934571176</v>
      </c>
    </row>
    <row r="20" customFormat="false" ht="15" hidden="false" customHeight="false" outlineLevel="0" collapsed="false">
      <c r="A20" s="13" t="s">
        <v>471</v>
      </c>
      <c r="C20" s="39" t="n">
        <f aca="false">B16-C16</f>
        <v>111.469076395847</v>
      </c>
    </row>
    <row r="21" customFormat="false" ht="36" hidden="false" customHeight="true" outlineLevel="0" collapsed="false">
      <c r="A21" s="33" t="s">
        <v>472</v>
      </c>
      <c r="B21" s="33"/>
      <c r="C21" s="33"/>
      <c r="D21" s="33"/>
      <c r="E21" s="33"/>
      <c r="F21" s="33"/>
      <c r="G21" s="33"/>
      <c r="H21" s="33"/>
      <c r="I21" s="33"/>
    </row>
    <row r="26" customFormat="false" ht="15" hidden="false" customHeight="false" outlineLevel="0" collapsed="false">
      <c r="A26" s="13" t="s">
        <v>473</v>
      </c>
      <c r="B26" s="21" t="n">
        <f aca="false">SUMIFS(dp_area,dp_tier,"Serviced sites")/SUMIFS(dp_area,dp_scope,"County",dp_grp,"Zoned")</f>
        <v>0.27735643905371</v>
      </c>
    </row>
    <row r="27" customFormat="false" ht="15" hidden="false" customHeight="false" outlineLevel="0" collapsed="false">
      <c r="A27" s="13" t="s">
        <v>474</v>
      </c>
      <c r="B27" s="42" t="n">
        <f aca="false">new_cty_town*(1-B26)+new_cty_ss*B26</f>
        <v>23.3358613656777</v>
      </c>
    </row>
    <row r="29" customFormat="false" ht="15" hidden="false" customHeight="false" outlineLevel="0" collapsed="false">
      <c r="A29" s="9" t="s">
        <v>475</v>
      </c>
      <c r="B29" s="10"/>
      <c r="C29" s="10"/>
      <c r="D29" s="10"/>
      <c r="E29" s="10"/>
      <c r="F29" s="10"/>
      <c r="G29" s="10"/>
      <c r="H29" s="10"/>
      <c r="I29" s="10"/>
    </row>
    <row r="30" customFormat="false" ht="30" hidden="false" customHeight="true" outlineLevel="0" collapsed="false">
      <c r="A30" s="25" t="s">
        <v>476</v>
      </c>
      <c r="B30" s="25" t="s">
        <v>258</v>
      </c>
      <c r="C30" s="25" t="s">
        <v>259</v>
      </c>
      <c r="D30" s="25" t="s">
        <v>268</v>
      </c>
      <c r="E30" s="25" t="s">
        <v>269</v>
      </c>
      <c r="F30" s="25" t="s">
        <v>270</v>
      </c>
      <c r="G30" s="25" t="s">
        <v>477</v>
      </c>
    </row>
    <row r="31" customFormat="false" ht="15" hidden="false" customHeight="false" outlineLevel="0" collapsed="false">
      <c r="A31" s="13" t="s">
        <v>478</v>
      </c>
      <c r="B31" s="21" t="n">
        <f aca="false">fs_city*cc_share</f>
        <v>0.175</v>
      </c>
      <c r="C31" s="21" t="n">
        <f aca="false">fs_city*(1-cc_share)</f>
        <v>0.525</v>
      </c>
      <c r="D31" s="21" t="n">
        <f aca="false">fs_set</f>
        <v>0.24</v>
      </c>
      <c r="E31" s="21" t="n">
        <f aca="false">fs_rem</f>
        <v>0.06</v>
      </c>
      <c r="F31" s="36" t="n">
        <f aca="false">B31+C31+D31+E31</f>
        <v>1</v>
      </c>
      <c r="G31" s="36" t="n">
        <f aca="false">B31+C31</f>
        <v>0.7</v>
      </c>
    </row>
    <row r="32" customFormat="false" ht="15" hidden="false" customHeight="false" outlineLevel="0" collapsed="false">
      <c r="A32" s="13" t="s">
        <v>479</v>
      </c>
      <c r="B32" s="28" t="n">
        <f aca="false">(target_total-ytd-windfall)*B31</f>
        <v>6976.375</v>
      </c>
      <c r="C32" s="28" t="n">
        <f aca="false">(target_total-ytd-windfall)*C31</f>
        <v>20929.125</v>
      </c>
      <c r="D32" s="28" t="n">
        <f aca="false">(target_total-ytd-windfall)*D31</f>
        <v>9567.6</v>
      </c>
      <c r="E32" s="28" t="n">
        <f aca="false">(target_total-ytd-windfall)*E31</f>
        <v>2391.9</v>
      </c>
      <c r="F32" s="30" t="n">
        <f aca="false">B32+C32+D32+E32</f>
        <v>39865</v>
      </c>
      <c r="G32" s="30" t="n">
        <f aca="false">B32+C32</f>
        <v>27905.5</v>
      </c>
    </row>
    <row r="33" customFormat="false" ht="15" hidden="false" customHeight="false" outlineLevel="0" collapsed="false">
      <c r="A33" s="13" t="s">
        <v>480</v>
      </c>
      <c r="B33" s="28" t="n">
        <f aca="false">SUMIFS(dp_uc,dp_geo,B$30)*r_uc</f>
        <v>111</v>
      </c>
      <c r="C33" s="28" t="n">
        <f aca="false">SUMIFS(dp_uc,dp_geo,C$30)*r_uc</f>
        <v>2843</v>
      </c>
      <c r="D33" s="28" t="n">
        <f aca="false">SUMIFS(dp_uc,dp_geo,D$30)*r_uc</f>
        <v>651</v>
      </c>
      <c r="E33" s="28" t="n">
        <f aca="false">SUMIFS(dp_uc,dp_geo,E$30)*r_uc</f>
        <v>106</v>
      </c>
      <c r="F33" s="30" t="n">
        <f aca="false">B33+C33+D33+E33</f>
        <v>3711</v>
      </c>
      <c r="G33" s="30" t="n">
        <f aca="false">B33+C33</f>
        <v>2954</v>
      </c>
    </row>
    <row r="34" customFormat="false" ht="15" hidden="false" customHeight="false" outlineLevel="0" collapsed="false">
      <c r="A34" s="13" t="s">
        <v>481</v>
      </c>
      <c r="B34" s="28" t="n">
        <f aca="false">SUMIFS(dp_pns,dp_geo,B$30)*r_pns</f>
        <v>607.75</v>
      </c>
      <c r="C34" s="28" t="n">
        <f aca="false">SUMIFS(dp_pns,dp_geo,C$30)*r_pns</f>
        <v>2970.75</v>
      </c>
      <c r="D34" s="28" t="n">
        <f aca="false">SUMIFS(dp_pns,dp_geo,D$30)*r_pns</f>
        <v>604.35</v>
      </c>
      <c r="E34" s="28" t="n">
        <f aca="false">SUMIFS(dp_pns,dp_geo,E$30)*r_pns</f>
        <v>68.85</v>
      </c>
      <c r="F34" s="30" t="n">
        <f aca="false">B34+C34+D34+E34</f>
        <v>4251.7</v>
      </c>
      <c r="G34" s="30" t="n">
        <f aca="false">B34+C34</f>
        <v>3578.5</v>
      </c>
    </row>
    <row r="35" customFormat="false" ht="15" hidden="false" customHeight="false" outlineLevel="0" collapsed="false">
      <c r="A35" s="13" t="s">
        <v>482</v>
      </c>
      <c r="B35" s="28" t="n">
        <f aca="false">SUMIFS(dp_stl,dp_geo,B$30)*r_stl</f>
        <v>0</v>
      </c>
      <c r="C35" s="28" t="n">
        <f aca="false">SUMIFS(dp_stl,dp_geo,C$30)*r_stl</f>
        <v>15.5</v>
      </c>
      <c r="D35" s="28" t="n">
        <f aca="false">SUMIFS(dp_stl,dp_geo,D$30)*r_stl</f>
        <v>62.5</v>
      </c>
      <c r="E35" s="28" t="n">
        <f aca="false">SUMIFS(dp_stl,dp_geo,E$30)*r_stl</f>
        <v>0</v>
      </c>
      <c r="F35" s="30" t="n">
        <f aca="false">B35+C35+D35+E35</f>
        <v>78</v>
      </c>
      <c r="G35" s="30" t="n">
        <f aca="false">B35+C35</f>
        <v>15.5</v>
      </c>
    </row>
    <row r="36" customFormat="false" ht="15" hidden="false" customHeight="false" outlineLevel="0" collapsed="false">
      <c r="A36" s="13" t="s">
        <v>483</v>
      </c>
      <c r="B36" s="28" t="n">
        <f aca="false">-(1-pbsa)*SUMIFS(dm_units,dm_geo,B$30,dm_tenure,"Student (PBSA)",dm_live,1)</f>
        <v>-0</v>
      </c>
      <c r="C36" s="28" t="n">
        <f aca="false">-(1-pbsa)*SUMIFS(dm_units,dm_geo,C$30,dm_tenure,"Student (PBSA)",dm_live,1)</f>
        <v>-0</v>
      </c>
      <c r="D36" s="28" t="n">
        <f aca="false">-(1-pbsa)*SUMIFS(dm_units,dm_geo,D$30,dm_tenure,"Student (PBSA)",dm_live,1)</f>
        <v>-0</v>
      </c>
      <c r="E36" s="28" t="n">
        <f aca="false">-(1-pbsa)*SUMIFS(dm_units,dm_geo,E$30,dm_tenure,"Student (PBSA)",dm_live,1)</f>
        <v>-0</v>
      </c>
      <c r="F36" s="30" t="n">
        <f aca="false">B36+C36+D36+E36</f>
        <v>-0</v>
      </c>
      <c r="G36" s="30" t="n">
        <f aca="false">B36+C36</f>
        <v>-0</v>
      </c>
    </row>
    <row r="37" customFormat="false" ht="15" hidden="false" customHeight="false" outlineLevel="0" collapsed="false">
      <c r="A37" s="13" t="s">
        <v>484</v>
      </c>
      <c r="B37" s="28" t="n">
        <f aca="false">SUMIFS(dp_unc,dp_geo,B$30,dp_grp,"Audit")*r_unc</f>
        <v>2310.7</v>
      </c>
      <c r="C37" s="28" t="n">
        <f aca="false">SUMIFS(dp_unc,dp_geo,C$30,dp_grp,"Audit")*r_unc</f>
        <v>4789.4</v>
      </c>
      <c r="D37" s="28" t="n">
        <f aca="false">SUMIFS(dp_unc,dp_geo,D$30,dp_grp,"Audit")*r_unc</f>
        <v>0</v>
      </c>
      <c r="E37" s="28" t="n">
        <f aca="false">SUMIFS(dp_unc,dp_geo,E$30,dp_grp,"Audit")*r_unc</f>
        <v>0</v>
      </c>
      <c r="F37" s="30" t="n">
        <f aca="false">B37+C37+D37+E37</f>
        <v>7100.1</v>
      </c>
      <c r="G37" s="30" t="n">
        <f aca="false">B37+C37</f>
        <v>7100.1</v>
      </c>
    </row>
    <row r="38" customFormat="false" ht="15" hidden="false" customHeight="false" outlineLevel="0" collapsed="false">
      <c r="A38" s="13" t="s">
        <v>485</v>
      </c>
      <c r="B38" s="28" t="n">
        <v>0</v>
      </c>
      <c r="C38" s="28" t="n">
        <v>0</v>
      </c>
      <c r="D38" s="28" t="n">
        <v>0</v>
      </c>
      <c r="E38" s="28" t="n">
        <v>0</v>
      </c>
      <c r="F38" s="30" t="n">
        <f aca="false">B38+C38+D38+E38</f>
        <v>0</v>
      </c>
      <c r="G38" s="30" t="n">
        <f aca="false">B38+C38</f>
        <v>0</v>
      </c>
    </row>
    <row r="39" customFormat="false" ht="15" hidden="false" customHeight="false" outlineLevel="0" collapsed="false">
      <c r="A39" s="13" t="s">
        <v>486</v>
      </c>
      <c r="B39" s="28" t="n">
        <f aca="false">SUMIFS(dp_unc,dp_geo,B$30,dp_grp,"Zoned")*r_zon</f>
        <v>0</v>
      </c>
      <c r="C39" s="28" t="n">
        <f aca="false">SUMIFS(dp_unc,dp_geo,C$30,dp_grp,"Zoned")*r_zon</f>
        <v>28.2</v>
      </c>
      <c r="D39" s="28" t="n">
        <f aca="false">SUMIFS(dp_unc,dp_geo,D$30,dp_grp,"Zoned")*r_zon</f>
        <v>1837.8</v>
      </c>
      <c r="E39" s="28" t="n">
        <f aca="false">SUMIFS(dp_unc,dp_geo,E$30,dp_grp,"Zoned")*r_zon</f>
        <v>238.2</v>
      </c>
      <c r="F39" s="30" t="n">
        <f aca="false">B39+C39+D39+E39</f>
        <v>2104.2</v>
      </c>
      <c r="G39" s="30" t="n">
        <f aca="false">B39+C39</f>
        <v>28.2</v>
      </c>
    </row>
    <row r="40" customFormat="false" ht="15" hidden="false" customHeight="false" outlineLevel="0" collapsed="false">
      <c r="A40" s="13" t="s">
        <v>487</v>
      </c>
      <c r="B40" s="28" t="n">
        <v>0</v>
      </c>
      <c r="C40" s="28" t="n">
        <v>0</v>
      </c>
      <c r="D40" s="28" t="n">
        <v>0</v>
      </c>
      <c r="E40" s="28" t="n">
        <v>0</v>
      </c>
      <c r="F40" s="30" t="n">
        <f aca="false">B40+C40+D40+E40</f>
        <v>0</v>
      </c>
      <c r="G40" s="30" t="n">
        <f aca="false">B40+C40</f>
        <v>0</v>
      </c>
    </row>
    <row r="41" customFormat="false" ht="15" hidden="false" customHeight="false" outlineLevel="0" collapsed="false">
      <c r="A41" s="31" t="s">
        <v>460</v>
      </c>
      <c r="B41" s="47" t="n">
        <f aca="false">SUM(B33:B40)</f>
        <v>3029.45</v>
      </c>
      <c r="C41" s="47" t="n">
        <f aca="false">SUM(C33:C40)</f>
        <v>10646.85</v>
      </c>
      <c r="D41" s="47" t="n">
        <f aca="false">SUM(D33:D40)</f>
        <v>3155.65</v>
      </c>
      <c r="E41" s="47" t="n">
        <f aca="false">SUM(E33:E40)</f>
        <v>413.05</v>
      </c>
      <c r="F41" s="30" t="n">
        <f aca="false">B41+C41+D41+E41</f>
        <v>17245</v>
      </c>
      <c r="G41" s="30" t="n">
        <f aca="false">B41+C41</f>
        <v>13676.3</v>
      </c>
    </row>
    <row r="42" customFormat="false" ht="15" hidden="false" customHeight="false" outlineLevel="0" collapsed="false">
      <c r="A42" s="31" t="s">
        <v>488</v>
      </c>
      <c r="B42" s="47" t="n">
        <f aca="false">B41-B32</f>
        <v>-3946.925</v>
      </c>
      <c r="C42" s="47" t="n">
        <f aca="false">C41-C32</f>
        <v>-10282.275</v>
      </c>
      <c r="D42" s="47" t="n">
        <f aca="false">D41-D32</f>
        <v>-6411.95</v>
      </c>
      <c r="E42" s="47" t="n">
        <f aca="false">E41-E32</f>
        <v>-1978.85</v>
      </c>
      <c r="F42" s="30" t="n">
        <f aca="false">B42+C42+D42+E42</f>
        <v>-22620</v>
      </c>
      <c r="G42" s="30" t="n">
        <f aca="false">B42+C42</f>
        <v>-14229.2</v>
      </c>
    </row>
    <row r="43" customFormat="false" ht="15" hidden="false" customHeight="false" outlineLevel="0" collapsed="false">
      <c r="A43" s="31" t="s">
        <v>489</v>
      </c>
      <c r="B43" s="47" t="n">
        <f aca="false">MAX(0,-B42)</f>
        <v>3946.925</v>
      </c>
      <c r="C43" s="47" t="n">
        <f aca="false">MAX(0,-C42)</f>
        <v>10282.275</v>
      </c>
      <c r="D43" s="47" t="n">
        <f aca="false">set_gap</f>
        <v>6411.95</v>
      </c>
      <c r="E43" s="47" t="n">
        <f aca="false">MAX(0,-E42)</f>
        <v>1978.85</v>
      </c>
      <c r="F43" s="30" t="n">
        <f aca="false">B43+C43+D43+E43</f>
        <v>22620</v>
      </c>
      <c r="G43" s="30" t="n">
        <f aca="false">B43+C43</f>
        <v>14229.2</v>
      </c>
    </row>
    <row r="44" customFormat="false" ht="15" hidden="false" customHeight="false" outlineLevel="0" collapsed="false">
      <c r="A44" s="13" t="s">
        <v>490</v>
      </c>
      <c r="B44" s="28" t="n">
        <f aca="false">MAX(0,B42)</f>
        <v>0</v>
      </c>
      <c r="C44" s="28" t="n">
        <f aca="false">MAX(0,C42)</f>
        <v>0</v>
      </c>
      <c r="D44" s="28" t="n">
        <f aca="false">set_sur</f>
        <v>0</v>
      </c>
      <c r="E44" s="28" t="n">
        <f aca="false">MAX(0,E42)</f>
        <v>0</v>
      </c>
      <c r="F44" s="30" t="n">
        <f aca="false">B44+C44+D44+E44</f>
        <v>0</v>
      </c>
      <c r="G44" s="30" t="n">
        <f aca="false">B44+C44</f>
        <v>0</v>
      </c>
    </row>
    <row r="45" customFormat="false" ht="15" hidden="false" customHeight="false" outlineLevel="0" collapsed="false">
      <c r="A45" s="13" t="s">
        <v>491</v>
      </c>
      <c r="B45" s="28" t="n">
        <f aca="false">B43/r_new</f>
        <v>4933.65625</v>
      </c>
      <c r="C45" s="28" t="n">
        <f aca="false">C43/r_new</f>
        <v>12852.84375</v>
      </c>
      <c r="D45" s="28" t="n">
        <f aca="false">D43/r_new</f>
        <v>8014.9375</v>
      </c>
      <c r="E45" s="28" t="n">
        <f aca="false">E43/r_new</f>
        <v>2473.5625</v>
      </c>
      <c r="F45" s="30" t="n">
        <f aca="false">B45+C45+D45+E45</f>
        <v>28275</v>
      </c>
      <c r="G45" s="30" t="n">
        <f aca="false">B45+C45</f>
        <v>17786.5</v>
      </c>
    </row>
    <row r="46" customFormat="false" ht="15" hidden="false" customHeight="false" outlineLevel="0" collapsed="false">
      <c r="A46" s="13" t="s">
        <v>492</v>
      </c>
      <c r="B46" s="42" t="n">
        <f aca="false">IFERROR(SUMIFS(dp_unc,dp_geo,B$30,dp_grp,"Audit")/SUMIFS(dp_uarea,dp_geo,B$30,dp_grp,"Audit"),0)</f>
        <v>43.5386528800509</v>
      </c>
      <c r="C46" s="42" t="n">
        <f aca="false">new_roc</f>
        <v>34</v>
      </c>
      <c r="D46" s="42" t="n">
        <f aca="false">IF(D47&gt;0,D45/(D47*dev_share),0)</f>
        <v>23.4769815994405</v>
      </c>
      <c r="E46" s="42" t="n">
        <f aca="false">IF(rem_dph_ovr&gt;0,rem_dph_ovr,IF(avg_rem&gt;0,avg_rem,new_cty))</f>
        <v>22.581195608896</v>
      </c>
      <c r="F46" s="43" t="n">
        <f aca="false">IF(F47&gt;0,F45/(F47*dev_share),0)</f>
        <v>30.0070714034983</v>
      </c>
      <c r="G46" s="43" t="n">
        <f aca="false">IF(G47&gt;0,G45/(G47*dev_share),0)</f>
        <v>36.1998723793557</v>
      </c>
    </row>
    <row r="47" customFormat="false" ht="15" hidden="false" customHeight="false" outlineLevel="0" collapsed="false">
      <c r="A47" s="31" t="s">
        <v>493</v>
      </c>
      <c r="B47" s="55" t="n">
        <f aca="false">IF(B46&gt;0,B45/(B46*dev_share),0)</f>
        <v>124.523840681562</v>
      </c>
      <c r="C47" s="55" t="n">
        <f aca="false">IF(C46&gt;0,C45/(C46*dev_share),0)</f>
        <v>415.411885908209</v>
      </c>
      <c r="D47" s="55" t="n">
        <f aca="false">set_ha</f>
        <v>375.159966329893</v>
      </c>
      <c r="E47" s="55" t="n">
        <f aca="false">IF(E46&gt;0,E45/(E46*dev_share),0)</f>
        <v>120.374518538766</v>
      </c>
      <c r="F47" s="41" t="n">
        <f aca="false">B47+C47+D47+E47</f>
        <v>1035.47021145843</v>
      </c>
      <c r="G47" s="41" t="n">
        <f aca="false">B47+C47</f>
        <v>539.935726589771</v>
      </c>
    </row>
    <row r="48" customFormat="false" ht="15" hidden="false" customHeight="false" outlineLevel="0" collapsed="false">
      <c r="A48" s="13" t="s">
        <v>494</v>
      </c>
      <c r="B48" s="21" t="n">
        <f aca="false">IF($F47&gt;0,B47/$F47,0)</f>
        <v>0.120258254948902</v>
      </c>
      <c r="C48" s="21" t="n">
        <f aca="false">IF($F47&gt;0,C47/$F47,0)</f>
        <v>0.401181879798467</v>
      </c>
      <c r="D48" s="21" t="n">
        <f aca="false">IF($F47&gt;0,D47/$F47,0)</f>
        <v>0.362308796697774</v>
      </c>
      <c r="E48" s="21" t="n">
        <f aca="false">IF($F47&gt;0,E47/$F47,0)</f>
        <v>0.116251068554857</v>
      </c>
      <c r="F48" s="36" t="n">
        <f aca="false">IF($F47&gt;0,F47/$F47,0)</f>
        <v>1</v>
      </c>
      <c r="G48" s="36" t="n">
        <f aca="false">IF($F47&gt;0,G47/$F47,0)</f>
        <v>0.52144013474737</v>
      </c>
    </row>
    <row r="51" customFormat="false" ht="15" hidden="false" customHeight="false" outlineLevel="0" collapsed="false">
      <c r="A51" s="9" t="s">
        <v>495</v>
      </c>
      <c r="B51" s="10"/>
      <c r="C51" s="10"/>
      <c r="D51" s="10"/>
      <c r="E51" s="10"/>
      <c r="F51" s="10"/>
      <c r="G51" s="10"/>
      <c r="H51" s="10"/>
      <c r="I51" s="10"/>
    </row>
    <row r="52" customFormat="false" ht="30" hidden="false" customHeight="true" outlineLevel="0" collapsed="false">
      <c r="A52" s="25" t="s">
        <v>476</v>
      </c>
      <c r="B52" s="25" t="s">
        <v>258</v>
      </c>
      <c r="C52" s="25" t="s">
        <v>259</v>
      </c>
      <c r="D52" s="25" t="s">
        <v>268</v>
      </c>
      <c r="E52" s="25" t="s">
        <v>269</v>
      </c>
      <c r="F52" s="25" t="s">
        <v>270</v>
      </c>
      <c r="G52" s="25" t="s">
        <v>477</v>
      </c>
    </row>
    <row r="53" customFormat="false" ht="15" hidden="false" customHeight="false" outlineLevel="0" collapsed="false">
      <c r="A53" s="13" t="s">
        <v>478</v>
      </c>
      <c r="B53" s="21" t="n">
        <f aca="false">fs_city*cc_share</f>
        <v>0.175</v>
      </c>
      <c r="C53" s="21" t="n">
        <f aca="false">fs_city*(1-cc_share)</f>
        <v>0.525</v>
      </c>
      <c r="D53" s="21" t="n">
        <f aca="false">fs_set</f>
        <v>0.24</v>
      </c>
      <c r="E53" s="21" t="n">
        <f aca="false">fs_rem</f>
        <v>0.06</v>
      </c>
      <c r="F53" s="36" t="n">
        <f aca="false">B53+C53+D53+E53</f>
        <v>1</v>
      </c>
      <c r="G53" s="36" t="n">
        <f aca="false">B53+C53</f>
        <v>0.7</v>
      </c>
    </row>
    <row r="54" customFormat="false" ht="15" hidden="false" customHeight="false" outlineLevel="0" collapsed="false">
      <c r="A54" s="13" t="s">
        <v>479</v>
      </c>
      <c r="B54" s="28" t="n">
        <f aca="false">(target_total-ytd-windfall)*B53</f>
        <v>6976.375</v>
      </c>
      <c r="C54" s="28" t="n">
        <f aca="false">(target_total-ytd-windfall)*C53</f>
        <v>20929.125</v>
      </c>
      <c r="D54" s="28" t="n">
        <f aca="false">(target_total-ytd-windfall)*D53</f>
        <v>9567.6</v>
      </c>
      <c r="E54" s="28" t="n">
        <f aca="false">(target_total-ytd-windfall)*E53</f>
        <v>2391.9</v>
      </c>
      <c r="F54" s="30" t="n">
        <f aca="false">B54+C54+D54+E54</f>
        <v>39865</v>
      </c>
      <c r="G54" s="30" t="n">
        <f aca="false">B54+C54</f>
        <v>27905.5</v>
      </c>
    </row>
    <row r="55" customFormat="false" ht="15" hidden="false" customHeight="false" outlineLevel="0" collapsed="false">
      <c r="A55" s="13" t="s">
        <v>480</v>
      </c>
      <c r="B55" s="28" t="n">
        <f aca="false">SUMIFS(dp_uc,dp_geo,B$52)*r_uc</f>
        <v>111</v>
      </c>
      <c r="C55" s="28" t="n">
        <f aca="false">SUMIFS(dp_uc,dp_geo,C$52)*r_uc</f>
        <v>2843</v>
      </c>
      <c r="D55" s="28" t="n">
        <f aca="false">SUMIFS(dp_uc,dp_geo,D$52)*r_uc</f>
        <v>651</v>
      </c>
      <c r="E55" s="28" t="n">
        <f aca="false">SUMIFS(dp_uc,dp_geo,E$52)*r_uc</f>
        <v>106</v>
      </c>
      <c r="F55" s="30" t="n">
        <f aca="false">B55+C55+D55+E55</f>
        <v>3711</v>
      </c>
      <c r="G55" s="30" t="n">
        <f aca="false">B55+C55</f>
        <v>2954</v>
      </c>
    </row>
    <row r="56" customFormat="false" ht="15" hidden="false" customHeight="false" outlineLevel="0" collapsed="false">
      <c r="A56" s="13" t="s">
        <v>481</v>
      </c>
      <c r="B56" s="28" t="n">
        <f aca="false">SUMIFS(dp_pns,dp_geo,B$52)*r_pns</f>
        <v>607.75</v>
      </c>
      <c r="C56" s="28" t="n">
        <f aca="false">SUMIFS(dp_pns,dp_geo,C$52)*r_pns</f>
        <v>2970.75</v>
      </c>
      <c r="D56" s="28" t="n">
        <f aca="false">SUMIFS(dp_pns,dp_geo,D$52)*r_pns</f>
        <v>604.35</v>
      </c>
      <c r="E56" s="28" t="n">
        <f aca="false">SUMIFS(dp_pns,dp_geo,E$52)*r_pns</f>
        <v>68.85</v>
      </c>
      <c r="F56" s="30" t="n">
        <f aca="false">B56+C56+D56+E56</f>
        <v>4251.7</v>
      </c>
      <c r="G56" s="30" t="n">
        <f aca="false">B56+C56</f>
        <v>3578.5</v>
      </c>
    </row>
    <row r="57" customFormat="false" ht="15" hidden="false" customHeight="false" outlineLevel="0" collapsed="false">
      <c r="A57" s="13" t="s">
        <v>482</v>
      </c>
      <c r="B57" s="28" t="n">
        <f aca="false">SUMIFS(dp_stl,dp_geo,B$52)*r_stl</f>
        <v>0</v>
      </c>
      <c r="C57" s="28" t="n">
        <f aca="false">SUMIFS(dp_stl,dp_geo,C$52)*r_stl</f>
        <v>15.5</v>
      </c>
      <c r="D57" s="28" t="n">
        <f aca="false">SUMIFS(dp_stl,dp_geo,D$52)*r_stl</f>
        <v>62.5</v>
      </c>
      <c r="E57" s="28" t="n">
        <f aca="false">SUMIFS(dp_stl,dp_geo,E$52)*r_stl</f>
        <v>0</v>
      </c>
      <c r="F57" s="30" t="n">
        <f aca="false">B57+C57+D57+E57</f>
        <v>78</v>
      </c>
      <c r="G57" s="30" t="n">
        <f aca="false">B57+C57</f>
        <v>15.5</v>
      </c>
    </row>
    <row r="58" customFormat="false" ht="15" hidden="false" customHeight="false" outlineLevel="0" collapsed="false">
      <c r="A58" s="13" t="s">
        <v>483</v>
      </c>
      <c r="B58" s="28" t="n">
        <f aca="false">-(1-pbsa)*SUMIFS(dm_units,dm_geo,B$52,dm_tenure,"Student (PBSA)",dm_live,1)</f>
        <v>-0</v>
      </c>
      <c r="C58" s="28" t="n">
        <f aca="false">-(1-pbsa)*SUMIFS(dm_units,dm_geo,C$52,dm_tenure,"Student (PBSA)",dm_live,1)</f>
        <v>-0</v>
      </c>
      <c r="D58" s="28" t="n">
        <f aca="false">-(1-pbsa)*SUMIFS(dm_units,dm_geo,D$52,dm_tenure,"Student (PBSA)",dm_live,1)</f>
        <v>-0</v>
      </c>
      <c r="E58" s="28" t="n">
        <f aca="false">-(1-pbsa)*SUMIFS(dm_units,dm_geo,E$52,dm_tenure,"Student (PBSA)",dm_live,1)</f>
        <v>-0</v>
      </c>
      <c r="F58" s="30" t="n">
        <f aca="false">B58+C58+D58+E58</f>
        <v>-0</v>
      </c>
      <c r="G58" s="30" t="n">
        <f aca="false">B58+C58</f>
        <v>-0</v>
      </c>
    </row>
    <row r="59" customFormat="false" ht="15" hidden="false" customHeight="false" outlineLevel="0" collapsed="false">
      <c r="A59" s="13" t="s">
        <v>484</v>
      </c>
      <c r="B59" s="28" t="n">
        <f aca="false">SUMIFS(dp_unc,dp_geo,B$52,dp_grp,"Audit")*r_unc</f>
        <v>2310.7</v>
      </c>
      <c r="C59" s="28" t="n">
        <f aca="false">SUMIFS(dp_unc,dp_geo,C$52,dp_grp,"Audit")*r_unc</f>
        <v>4789.4</v>
      </c>
      <c r="D59" s="28" t="n">
        <f aca="false">SUMIFS(dp_unc,dp_geo,D$52,dp_grp,"Audit")*r_unc</f>
        <v>0</v>
      </c>
      <c r="E59" s="28" t="n">
        <f aca="false">SUMIFS(dp_unc,dp_geo,E$52,dp_grp,"Audit")*r_unc</f>
        <v>0</v>
      </c>
      <c r="F59" s="30" t="n">
        <f aca="false">B59+C59+D59+E59</f>
        <v>7100.1</v>
      </c>
      <c r="G59" s="30" t="n">
        <f aca="false">B59+C59</f>
        <v>7100.1</v>
      </c>
    </row>
    <row r="60" customFormat="false" ht="15" hidden="false" customHeight="false" outlineLevel="0" collapsed="false">
      <c r="A60" s="13" t="s">
        <v>485</v>
      </c>
      <c r="B60" s="28" t="n">
        <f aca="false">MAX(0,cc_dph_inc*SUMIFS(dp_uarea,dp_geo,B$52,dp_grp,"Audit")-SUMIFS(dp_unc,dp_geo,B$52,dp_grp,"Audit"))*r_unc</f>
        <v>2996.53816</v>
      </c>
      <c r="C60" s="28" t="n">
        <f aca="false">MAX(0,roc_dph_inc*SUMIFS(dp_uarea,dp_geo,C$52,dp_grp,"Audit")-SUMIFS(dp_unc,dp_geo,C$52,dp_grp,"Audit"))*r_unc</f>
        <v>0</v>
      </c>
      <c r="D60" s="28" t="n">
        <v>0</v>
      </c>
      <c r="E60" s="28" t="n">
        <v>0</v>
      </c>
      <c r="F60" s="30" t="n">
        <f aca="false">B60+C60+D60+E60</f>
        <v>2996.53816</v>
      </c>
      <c r="G60" s="30" t="n">
        <f aca="false">B60+C60</f>
        <v>2996.53816</v>
      </c>
    </row>
    <row r="61" customFormat="false" ht="15" hidden="false" customHeight="false" outlineLevel="0" collapsed="false">
      <c r="A61" s="13" t="s">
        <v>486</v>
      </c>
      <c r="B61" s="28" t="n">
        <f aca="false">SUMIFS(dp_unc,dp_geo,B$52,dp_grp,"Zoned")*r_zon</f>
        <v>0</v>
      </c>
      <c r="C61" s="28" t="n">
        <f aca="false">SUMIFS(dp_unc,dp_geo,C$52,dp_grp,"Zoned")*r_zon</f>
        <v>28.2</v>
      </c>
      <c r="D61" s="28" t="n">
        <f aca="false">SUMIFS(dp_unc,dp_geo,D$52,dp_grp,"Zoned")*r_zon</f>
        <v>1837.8</v>
      </c>
      <c r="E61" s="28" t="n">
        <f aca="false">SUMIFS(dp_unc,dp_geo,E$52,dp_grp,"Zoned")*r_zon</f>
        <v>238.2</v>
      </c>
      <c r="F61" s="30" t="n">
        <f aca="false">B61+C61+D61+E61</f>
        <v>2104.2</v>
      </c>
      <c r="G61" s="30" t="n">
        <f aca="false">B61+C61</f>
        <v>28.2</v>
      </c>
    </row>
    <row r="62" customFormat="false" ht="15" hidden="false" customHeight="false" outlineLevel="0" collapsed="false">
      <c r="A62" s="13" t="s">
        <v>487</v>
      </c>
      <c r="B62" s="28" t="n">
        <f aca="false">MAX(0,cc_dph_inc*SUMIFS(dp_uarea,dp_geo,B$52,dp_grp,"Zoned")-SUMIFS(dp_unc,dp_geo,B$52,dp_grp,"Zoned"))*r_zon</f>
        <v>0</v>
      </c>
      <c r="C62" s="28" t="n">
        <f aca="false">MAX(0,roc_dph_inc*SUMIFS(dp_uarea,dp_geo,C$52,dp_grp,"Zoned")-SUMIFS(dp_unc,dp_geo,C$52,dp_grp,"Zoned"))*r_zon</f>
        <v>0</v>
      </c>
      <c r="D62" s="28" t="n">
        <v>0</v>
      </c>
      <c r="E62" s="28" t="n">
        <v>0</v>
      </c>
      <c r="F62" s="30" t="n">
        <f aca="false">B62+C62+D62+E62</f>
        <v>0</v>
      </c>
      <c r="G62" s="30" t="n">
        <f aca="false">B62+C62</f>
        <v>0</v>
      </c>
    </row>
    <row r="63" customFormat="false" ht="15" hidden="false" customHeight="false" outlineLevel="0" collapsed="false">
      <c r="A63" s="31" t="s">
        <v>460</v>
      </c>
      <c r="B63" s="47" t="n">
        <f aca="false">SUM(B55:B62)</f>
        <v>6025.98816</v>
      </c>
      <c r="C63" s="47" t="n">
        <f aca="false">SUM(C55:C62)</f>
        <v>10646.85</v>
      </c>
      <c r="D63" s="47" t="n">
        <f aca="false">SUM(D55:D62)</f>
        <v>3155.65</v>
      </c>
      <c r="E63" s="47" t="n">
        <f aca="false">SUM(E55:E62)</f>
        <v>413.05</v>
      </c>
      <c r="F63" s="30" t="n">
        <f aca="false">B63+C63+D63+E63</f>
        <v>20241.53816</v>
      </c>
      <c r="G63" s="30" t="n">
        <f aca="false">B63+C63</f>
        <v>16672.83816</v>
      </c>
    </row>
    <row r="64" customFormat="false" ht="15" hidden="false" customHeight="false" outlineLevel="0" collapsed="false">
      <c r="A64" s="31" t="s">
        <v>488</v>
      </c>
      <c r="B64" s="47" t="n">
        <f aca="false">B63-B54</f>
        <v>-950.386840000001</v>
      </c>
      <c r="C64" s="47" t="n">
        <f aca="false">C63-C54</f>
        <v>-10282.275</v>
      </c>
      <c r="D64" s="47" t="n">
        <f aca="false">D63-D54</f>
        <v>-6411.95</v>
      </c>
      <c r="E64" s="47" t="n">
        <f aca="false">E63-E54</f>
        <v>-1978.85</v>
      </c>
      <c r="F64" s="30" t="n">
        <f aca="false">B64+C64+D64+E64</f>
        <v>-19623.46184</v>
      </c>
      <c r="G64" s="30" t="n">
        <f aca="false">B64+C64</f>
        <v>-11232.66184</v>
      </c>
    </row>
    <row r="65" customFormat="false" ht="15" hidden="false" customHeight="false" outlineLevel="0" collapsed="false">
      <c r="A65" s="31" t="s">
        <v>489</v>
      </c>
      <c r="B65" s="47" t="n">
        <f aca="false">MAX(0,-B64)</f>
        <v>950.386840000001</v>
      </c>
      <c r="C65" s="47" t="n">
        <f aca="false">MAX(0,-C64)</f>
        <v>10282.275</v>
      </c>
      <c r="D65" s="47" t="n">
        <f aca="false">set_gap</f>
        <v>6411.95</v>
      </c>
      <c r="E65" s="47" t="n">
        <f aca="false">MAX(0,-E64)</f>
        <v>1978.85</v>
      </c>
      <c r="F65" s="30" t="n">
        <f aca="false">B65+C65+D65+E65</f>
        <v>19623.46184</v>
      </c>
      <c r="G65" s="30" t="n">
        <f aca="false">B65+C65</f>
        <v>11232.66184</v>
      </c>
    </row>
    <row r="66" customFormat="false" ht="15" hidden="false" customHeight="false" outlineLevel="0" collapsed="false">
      <c r="A66" s="13" t="s">
        <v>490</v>
      </c>
      <c r="B66" s="28" t="n">
        <f aca="false">MAX(0,B64)</f>
        <v>0</v>
      </c>
      <c r="C66" s="28" t="n">
        <f aca="false">MAX(0,C64)</f>
        <v>0</v>
      </c>
      <c r="D66" s="28" t="n">
        <f aca="false">set_sur</f>
        <v>0</v>
      </c>
      <c r="E66" s="28" t="n">
        <f aca="false">MAX(0,E64)</f>
        <v>0</v>
      </c>
      <c r="F66" s="30" t="n">
        <f aca="false">B66+C66+D66+E66</f>
        <v>0</v>
      </c>
      <c r="G66" s="30" t="n">
        <f aca="false">B66+C66</f>
        <v>0</v>
      </c>
    </row>
    <row r="67" customFormat="false" ht="15" hidden="false" customHeight="false" outlineLevel="0" collapsed="false">
      <c r="A67" s="13" t="s">
        <v>491</v>
      </c>
      <c r="B67" s="28" t="n">
        <f aca="false">B65/r_new</f>
        <v>1187.98355</v>
      </c>
      <c r="C67" s="28" t="n">
        <f aca="false">C65/r_new</f>
        <v>12852.84375</v>
      </c>
      <c r="D67" s="28" t="n">
        <f aca="false">D65/r_new</f>
        <v>8014.9375</v>
      </c>
      <c r="E67" s="28" t="n">
        <f aca="false">E65/r_new</f>
        <v>2473.5625</v>
      </c>
      <c r="F67" s="30" t="n">
        <f aca="false">B67+C67+D67+E67</f>
        <v>24529.3273</v>
      </c>
      <c r="G67" s="30" t="n">
        <f aca="false">B67+C67</f>
        <v>14040.8273</v>
      </c>
    </row>
    <row r="68" customFormat="false" ht="15" hidden="false" customHeight="false" outlineLevel="0" collapsed="false">
      <c r="A68" s="13" t="s">
        <v>492</v>
      </c>
      <c r="B68" s="42" t="n">
        <f aca="false">IF(cc_dph_inc&gt;0,cc_dph_inc,IFERROR(SUMIFS(dp_unc,dp_geo,B$52,dp_grp,"Audit")/SUMIFS(dp_uarea,dp_geo,B$52,dp_grp,"Audit"),0))</f>
        <v>100</v>
      </c>
      <c r="C68" s="42" t="n">
        <f aca="false">IF(roc_dph_inc&gt;0,roc_dph_inc,new_roc)</f>
        <v>34</v>
      </c>
      <c r="D68" s="42" t="n">
        <f aca="false">IF(D69&gt;0,D67/(D69*dev_share),0)</f>
        <v>23.4769815994405</v>
      </c>
      <c r="E68" s="42" t="n">
        <f aca="false">IF(rem_dph_ovr&gt;0,rem_dph_ovr,IF(avg_rem&gt;0,avg_rem,new_cty))</f>
        <v>22.581195608896</v>
      </c>
      <c r="F68" s="43" t="n">
        <f aca="false">IF(F69&gt;0,F67/(F69*dev_share),0)</f>
        <v>29.1723718753322</v>
      </c>
      <c r="G68" s="43" t="n">
        <f aca="false">IF(G69&gt;0,G67/(G69*dev_share),0)</f>
        <v>36.0109253368195</v>
      </c>
    </row>
    <row r="69" customFormat="false" ht="15" hidden="false" customHeight="false" outlineLevel="0" collapsed="false">
      <c r="A69" s="31" t="s">
        <v>493</v>
      </c>
      <c r="B69" s="55" t="n">
        <f aca="false">IF(B68&gt;0,B67/(B68*dev_share),0)</f>
        <v>13.0547642857143</v>
      </c>
      <c r="C69" s="55" t="n">
        <f aca="false">IF(C68&gt;0,C67/(C68*dev_share),0)</f>
        <v>415.411885908209</v>
      </c>
      <c r="D69" s="55" t="n">
        <f aca="false">set_ha</f>
        <v>375.159966329893</v>
      </c>
      <c r="E69" s="55" t="n">
        <f aca="false">IF(E68&gt;0,E67/(E68*dev_share),0)</f>
        <v>120.374518538766</v>
      </c>
      <c r="F69" s="41" t="n">
        <f aca="false">B69+C69+D69+E69</f>
        <v>924.001135062583</v>
      </c>
      <c r="G69" s="41" t="n">
        <f aca="false">B69+C69</f>
        <v>428.466650193924</v>
      </c>
    </row>
    <row r="70" customFormat="false" ht="15" hidden="false" customHeight="false" outlineLevel="0" collapsed="false">
      <c r="A70" s="13" t="s">
        <v>494</v>
      </c>
      <c r="B70" s="21" t="n">
        <f aca="false">IF($F69&gt;0,B69/$F69,0)</f>
        <v>0.0141285154209579</v>
      </c>
      <c r="C70" s="21" t="n">
        <f aca="false">IF($F69&gt;0,C69/$F69,0)</f>
        <v>0.449579410830565</v>
      </c>
      <c r="D70" s="21" t="n">
        <f aca="false">IF($F69&gt;0,D69/$F69,0)</f>
        <v>0.406016780817573</v>
      </c>
      <c r="E70" s="21" t="n">
        <f aca="false">IF($F69&gt;0,E69/$F69,0)</f>
        <v>0.130275292930904</v>
      </c>
      <c r="F70" s="36" t="n">
        <f aca="false">IF($F69&gt;0,F69/$F69,0)</f>
        <v>1</v>
      </c>
      <c r="G70" s="36" t="n">
        <f aca="false">IF($F69&gt;0,G69/$F69,0)</f>
        <v>0.463707926251523</v>
      </c>
    </row>
    <row r="73" customFormat="false" ht="15" hidden="false" customHeight="false" outlineLevel="0" collapsed="false">
      <c r="A73" s="9" t="s">
        <v>496</v>
      </c>
      <c r="B73" s="10"/>
      <c r="C73" s="10"/>
      <c r="D73" s="10"/>
      <c r="E73" s="10"/>
      <c r="F73" s="10"/>
      <c r="G73" s="10"/>
      <c r="H73" s="10"/>
      <c r="I73" s="10"/>
    </row>
    <row r="74" customFormat="false" ht="43.5" hidden="false" customHeight="true" outlineLevel="0" collapsed="false">
      <c r="A74" s="25" t="s">
        <v>497</v>
      </c>
      <c r="B74" s="25" t="s">
        <v>498</v>
      </c>
      <c r="C74" s="25" t="s">
        <v>387</v>
      </c>
      <c r="D74" s="25" t="s">
        <v>388</v>
      </c>
      <c r="E74" s="25" t="s">
        <v>499</v>
      </c>
      <c r="F74" s="25" t="s">
        <v>500</v>
      </c>
      <c r="G74" s="25" t="s">
        <v>6</v>
      </c>
      <c r="H74" s="25" t="s">
        <v>501</v>
      </c>
    </row>
    <row r="75" customFormat="false" ht="15" hidden="false" customHeight="false" outlineLevel="0" collapsed="false">
      <c r="A75" s="13" t="s">
        <v>258</v>
      </c>
      <c r="B75" s="21" t="n">
        <f aca="false">IF(dens_inc=1,'5 Land Need'!$B$53,'5 Land Need'!$B$31)</f>
        <v>0.175</v>
      </c>
      <c r="C75" s="28" t="n">
        <f aca="false">IF(dens_inc=1,'5 Land Need'!$B$54,'5 Land Need'!$B$32)</f>
        <v>6976.375</v>
      </c>
      <c r="D75" s="28" t="n">
        <f aca="false">IF(dens_inc=1,'5 Land Need'!$B$63,'5 Land Need'!$B$41)</f>
        <v>3029.45</v>
      </c>
      <c r="E75" s="28" t="n">
        <f aca="false">IF(dens_inc=1,'5 Land Need'!$B$65,'5 Land Need'!$B$43)</f>
        <v>3946.925</v>
      </c>
      <c r="F75" s="42" t="n">
        <f aca="false">IF(dens_inc=1,'5 Land Need'!$B$68,'5 Land Need'!$B$46)</f>
        <v>43.5386528800509</v>
      </c>
      <c r="G75" s="39" t="n">
        <f aca="false">IF(dens_inc=1,'5 Land Need'!$B$69,'5 Land Need'!$B$47)</f>
        <v>124.523840681562</v>
      </c>
      <c r="H75" s="21" t="n">
        <f aca="false">IF(dens_inc=1,'5 Land Need'!$B$70,'5 Land Need'!$B$48)</f>
        <v>0.120258254948902</v>
      </c>
    </row>
    <row r="76" customFormat="false" ht="15" hidden="false" customHeight="false" outlineLevel="0" collapsed="false">
      <c r="A76" s="13" t="s">
        <v>259</v>
      </c>
      <c r="B76" s="21" t="n">
        <f aca="false">IF(dens_inc=1,'5 Land Need'!$C$53,'5 Land Need'!$C$31)</f>
        <v>0.525</v>
      </c>
      <c r="C76" s="28" t="n">
        <f aca="false">IF(dens_inc=1,'5 Land Need'!$C$54,'5 Land Need'!$C$32)</f>
        <v>20929.125</v>
      </c>
      <c r="D76" s="28" t="n">
        <f aca="false">IF(dens_inc=1,'5 Land Need'!$C$63,'5 Land Need'!$C$41)</f>
        <v>10646.85</v>
      </c>
      <c r="E76" s="28" t="n">
        <f aca="false">IF(dens_inc=1,'5 Land Need'!$C$65,'5 Land Need'!$C$43)</f>
        <v>10282.275</v>
      </c>
      <c r="F76" s="42" t="n">
        <f aca="false">IF(dens_inc=1,'5 Land Need'!$C$68,'5 Land Need'!$C$46)</f>
        <v>34</v>
      </c>
      <c r="G76" s="39" t="n">
        <f aca="false">IF(dens_inc=1,'5 Land Need'!$C$69,'5 Land Need'!$C$47)</f>
        <v>415.411885908209</v>
      </c>
      <c r="H76" s="21" t="n">
        <f aca="false">IF(dens_inc=1,'5 Land Need'!$C$70,'5 Land Need'!$C$48)</f>
        <v>0.401181879798467</v>
      </c>
    </row>
    <row r="77" customFormat="false" ht="15" hidden="false" customHeight="false" outlineLevel="0" collapsed="false">
      <c r="A77" s="13" t="s">
        <v>268</v>
      </c>
      <c r="B77" s="21" t="n">
        <f aca="false">IF(dens_inc=1,'5 Land Need'!$D$53,'5 Land Need'!$D$31)</f>
        <v>0.24</v>
      </c>
      <c r="C77" s="28" t="n">
        <f aca="false">IF(dens_inc=1,'5 Land Need'!$D$54,'5 Land Need'!$D$32)</f>
        <v>9567.6</v>
      </c>
      <c r="D77" s="28" t="n">
        <f aca="false">IF(dens_inc=1,'5 Land Need'!$D$63,'5 Land Need'!$D$41)</f>
        <v>3155.65</v>
      </c>
      <c r="E77" s="28" t="n">
        <f aca="false">IF(dens_inc=1,'5 Land Need'!$D$65,'5 Land Need'!$D$43)</f>
        <v>6411.95</v>
      </c>
      <c r="F77" s="42" t="n">
        <f aca="false">IF(dens_inc=1,'5 Land Need'!$D$68,'5 Land Need'!$D$46)</f>
        <v>23.4769815994405</v>
      </c>
      <c r="G77" s="39" t="n">
        <f aca="false">IF(dens_inc=1,'5 Land Need'!$D$69,'5 Land Need'!$D$47)</f>
        <v>375.159966329893</v>
      </c>
      <c r="H77" s="21" t="n">
        <f aca="false">IF(dens_inc=1,'5 Land Need'!$D$70,'5 Land Need'!$D$48)</f>
        <v>0.362308796697774</v>
      </c>
    </row>
    <row r="78" customFormat="false" ht="15" hidden="false" customHeight="false" outlineLevel="0" collapsed="false">
      <c r="A78" s="13" t="s">
        <v>269</v>
      </c>
      <c r="B78" s="21" t="n">
        <f aca="false">IF(dens_inc=1,'5 Land Need'!$E$53,'5 Land Need'!$E$31)</f>
        <v>0.06</v>
      </c>
      <c r="C78" s="28" t="n">
        <f aca="false">IF(dens_inc=1,'5 Land Need'!$E$54,'5 Land Need'!$E$32)</f>
        <v>2391.9</v>
      </c>
      <c r="D78" s="28" t="n">
        <f aca="false">IF(dens_inc=1,'5 Land Need'!$E$63,'5 Land Need'!$E$41)</f>
        <v>413.05</v>
      </c>
      <c r="E78" s="28" t="n">
        <f aca="false">IF(dens_inc=1,'5 Land Need'!$E$65,'5 Land Need'!$E$43)</f>
        <v>1978.85</v>
      </c>
      <c r="F78" s="42" t="n">
        <f aca="false">IF(dens_inc=1,'5 Land Need'!$E$68,'5 Land Need'!$E$46)</f>
        <v>22.581195608896</v>
      </c>
      <c r="G78" s="39" t="n">
        <f aca="false">IF(dens_inc=1,'5 Land Need'!$E$69,'5 Land Need'!$E$47)</f>
        <v>120.374518538766</v>
      </c>
      <c r="H78" s="21" t="n">
        <f aca="false">IF(dens_inc=1,'5 Land Need'!$E$70,'5 Land Need'!$E$48)</f>
        <v>0.116251068554857</v>
      </c>
    </row>
    <row r="79" customFormat="false" ht="15" hidden="false" customHeight="false" outlineLevel="0" collapsed="false">
      <c r="A79" s="29" t="s">
        <v>270</v>
      </c>
      <c r="B79" s="36" t="n">
        <f aca="false">IF(dens_inc=1,'5 Land Need'!$F$53,'5 Land Need'!$F$31)</f>
        <v>1</v>
      </c>
      <c r="C79" s="30" t="n">
        <f aca="false">IF(dens_inc=1,'5 Land Need'!$F$54,'5 Land Need'!$F$32)</f>
        <v>39865</v>
      </c>
      <c r="D79" s="30" t="n">
        <f aca="false">IF(dens_inc=1,'5 Land Need'!$F$63,'5 Land Need'!$F$41)</f>
        <v>17245</v>
      </c>
      <c r="E79" s="30" t="n">
        <f aca="false">IF(dens_inc=1,'5 Land Need'!$F$65,'5 Land Need'!$F$43)</f>
        <v>22620</v>
      </c>
      <c r="F79" s="43" t="n">
        <f aca="false">IF(dens_inc=1,'5 Land Need'!$F$68,'5 Land Need'!$F$46)</f>
        <v>30.0070714034983</v>
      </c>
      <c r="G79" s="41" t="n">
        <f aca="false">IF(dens_inc=1,'5 Land Need'!$F$69,'5 Land Need'!$F$47)</f>
        <v>1035.47021145843</v>
      </c>
      <c r="H79" s="36" t="n">
        <f aca="false">IF(dens_inc=1,'5 Land Need'!$F$70,'5 Land Need'!$F$48)</f>
        <v>1</v>
      </c>
    </row>
    <row r="80" customFormat="false" ht="27.75" hidden="false" customHeight="true" outlineLevel="0" collapsed="false">
      <c r="A80" s="33" t="s">
        <v>502</v>
      </c>
      <c r="B80" s="33"/>
      <c r="C80" s="33"/>
      <c r="D80" s="33"/>
      <c r="E80" s="33"/>
      <c r="F80" s="33"/>
      <c r="G80" s="33"/>
      <c r="H80" s="33"/>
      <c r="I80" s="33"/>
    </row>
    <row r="83" customFormat="false" ht="15" hidden="false" customHeight="false" outlineLevel="0" collapsed="false">
      <c r="A83" s="9" t="s">
        <v>503</v>
      </c>
      <c r="B83" s="10"/>
      <c r="C83" s="10"/>
      <c r="D83" s="10"/>
      <c r="E83" s="10"/>
      <c r="F83" s="10"/>
      <c r="G83" s="10"/>
      <c r="H83" s="10"/>
      <c r="I83" s="10"/>
    </row>
    <row r="84" customFormat="false" ht="60" hidden="false" customHeight="true" outlineLevel="0" collapsed="false">
      <c r="A84" s="25" t="s">
        <v>504</v>
      </c>
      <c r="B84" s="25" t="s">
        <v>505</v>
      </c>
      <c r="C84" s="25" t="s">
        <v>506</v>
      </c>
      <c r="D84" s="25" t="s">
        <v>507</v>
      </c>
      <c r="E84" s="25" t="s">
        <v>508</v>
      </c>
      <c r="F84" s="25" t="s">
        <v>509</v>
      </c>
    </row>
    <row r="85" customFormat="false" ht="15" hidden="false" customHeight="false" outlineLevel="0" collapsed="false">
      <c r="A85" s="46" t="n">
        <f aca="false">'5 Land Need'!$B$46</f>
        <v>43.5386528800509</v>
      </c>
      <c r="B85" s="28" t="n">
        <f aca="false">MAX(SUMIFS(dp_unc,dp_geo,"City Centre",dp_grp,"Audit"),A85*SUMIFS(dp_uarea,dp_geo,"City Centre",dp_grp,"Audit"))*r_unc</f>
        <v>2310.7</v>
      </c>
      <c r="C85" s="28" t="n">
        <f aca="false">'5 Land Need'!$B$33+'5 Land Need'!$B$34+'5 Land Need'!$B$35+'5 Land Need'!$B$36+B85+'5 Land Need'!$B$39</f>
        <v>3029.45</v>
      </c>
      <c r="D85" s="28" t="n">
        <f aca="false">MAX(0,'5 Land Need'!$B$32-C85)</f>
        <v>3946.925</v>
      </c>
      <c r="E85" s="39" t="n">
        <f aca="false">IF(A85&gt;0,D85/r_new/(A85*dev_share),0)</f>
        <v>124.523840681562</v>
      </c>
      <c r="F85" s="28" t="n">
        <f aca="false">B85-$B$85</f>
        <v>0</v>
      </c>
      <c r="G85" s="8" t="s">
        <v>510</v>
      </c>
    </row>
    <row r="86" customFormat="false" ht="15" hidden="false" customHeight="false" outlineLevel="0" collapsed="false">
      <c r="A86" s="18" t="n">
        <v>50</v>
      </c>
      <c r="B86" s="28" t="n">
        <f aca="false">MAX(SUMIFS(dp_unc,dp_geo,"City Centre",dp_grp,"Audit"),A86*SUMIFS(dp_uarea,dp_geo,"City Centre",dp_grp,"Audit"))*r_unc</f>
        <v>2653.61908</v>
      </c>
      <c r="C86" s="28" t="n">
        <f aca="false">'5 Land Need'!$B$33+'5 Land Need'!$B$34+'5 Land Need'!$B$35+'5 Land Need'!$B$36+B86+'5 Land Need'!$B$39</f>
        <v>3372.36908</v>
      </c>
      <c r="D86" s="28" t="n">
        <f aca="false">MAX(0,'5 Land Need'!$B$32-C86)</f>
        <v>3604.00592</v>
      </c>
      <c r="E86" s="39" t="n">
        <f aca="false">IF(A86&gt;0,D86/r_new/(A86*dev_share),0)</f>
        <v>99.0111516483517</v>
      </c>
      <c r="F86" s="28" t="n">
        <f aca="false">B86-$B$85</f>
        <v>342.91908</v>
      </c>
    </row>
    <row r="87" customFormat="false" ht="15" hidden="false" customHeight="false" outlineLevel="0" collapsed="false">
      <c r="A87" s="18" t="n">
        <v>75</v>
      </c>
      <c r="B87" s="28" t="n">
        <f aca="false">MAX(SUMIFS(dp_unc,dp_geo,"City Centre",dp_grp,"Audit"),A87*SUMIFS(dp_uarea,dp_geo,"City Centre",dp_grp,"Audit"))*r_unc</f>
        <v>3980.42862</v>
      </c>
      <c r="C87" s="28" t="n">
        <f aca="false">'5 Land Need'!$B$33+'5 Land Need'!$B$34+'5 Land Need'!$B$35+'5 Land Need'!$B$36+B87+'5 Land Need'!$B$39</f>
        <v>4699.17862</v>
      </c>
      <c r="D87" s="28" t="n">
        <f aca="false">MAX(0,'5 Land Need'!$B$32-C87)</f>
        <v>2277.19638</v>
      </c>
      <c r="E87" s="39" t="n">
        <f aca="false">IF(A87&gt;0,D87/r_new/(A87*dev_share),0)</f>
        <v>41.7068934065934</v>
      </c>
      <c r="F87" s="28" t="n">
        <f aca="false">B87-$B$85</f>
        <v>1669.72862</v>
      </c>
    </row>
    <row r="88" customFormat="false" ht="15" hidden="false" customHeight="false" outlineLevel="0" collapsed="false">
      <c r="A88" s="18" t="n">
        <v>100</v>
      </c>
      <c r="B88" s="28" t="n">
        <f aca="false">MAX(SUMIFS(dp_unc,dp_geo,"City Centre",dp_grp,"Audit"),A88*SUMIFS(dp_uarea,dp_geo,"City Centre",dp_grp,"Audit"))*r_unc</f>
        <v>5307.23816</v>
      </c>
      <c r="C88" s="28" t="n">
        <f aca="false">'5 Land Need'!$B$33+'5 Land Need'!$B$34+'5 Land Need'!$B$35+'5 Land Need'!$B$36+B88+'5 Land Need'!$B$39</f>
        <v>6025.98816</v>
      </c>
      <c r="D88" s="28" t="n">
        <f aca="false">MAX(0,'5 Land Need'!$B$32-C88)</f>
        <v>950.386840000001</v>
      </c>
      <c r="E88" s="39" t="n">
        <f aca="false">IF(A88&gt;0,D88/r_new/(A88*dev_share),0)</f>
        <v>13.0547642857143</v>
      </c>
      <c r="F88" s="28" t="n">
        <f aca="false">B88-$B$85</f>
        <v>2996.53816</v>
      </c>
    </row>
    <row r="89" customFormat="false" ht="15" hidden="false" customHeight="false" outlineLevel="0" collapsed="false">
      <c r="A89" s="18" t="n">
        <v>125</v>
      </c>
      <c r="B89" s="28" t="n">
        <f aca="false">MAX(SUMIFS(dp_unc,dp_geo,"City Centre",dp_grp,"Audit"),A89*SUMIFS(dp_uarea,dp_geo,"City Centre",dp_grp,"Audit"))*r_unc</f>
        <v>6634.0477</v>
      </c>
      <c r="C89" s="28" t="n">
        <f aca="false">'5 Land Need'!$B$33+'5 Land Need'!$B$34+'5 Land Need'!$B$35+'5 Land Need'!$B$36+B89+'5 Land Need'!$B$39</f>
        <v>7352.7977</v>
      </c>
      <c r="D89" s="28" t="n">
        <f aca="false">MAX(0,'5 Land Need'!$B$32-C89)</f>
        <v>0</v>
      </c>
      <c r="E89" s="39" t="n">
        <f aca="false">IF(A89&gt;0,D89/r_new/(A89*dev_share),0)</f>
        <v>0</v>
      </c>
      <c r="F89" s="28" t="n">
        <f aca="false">B89-$B$85</f>
        <v>4323.3477</v>
      </c>
    </row>
    <row r="90" customFormat="false" ht="15" hidden="false" customHeight="false" outlineLevel="0" collapsed="false">
      <c r="A90" s="18" t="n">
        <v>150</v>
      </c>
      <c r="B90" s="28" t="n">
        <f aca="false">MAX(SUMIFS(dp_unc,dp_geo,"City Centre",dp_grp,"Audit"),A90*SUMIFS(dp_uarea,dp_geo,"City Centre",dp_grp,"Audit"))*r_unc</f>
        <v>7960.85724</v>
      </c>
      <c r="C90" s="28" t="n">
        <f aca="false">'5 Land Need'!$B$33+'5 Land Need'!$B$34+'5 Land Need'!$B$35+'5 Land Need'!$B$36+B90+'5 Land Need'!$B$39</f>
        <v>8679.60724</v>
      </c>
      <c r="D90" s="28" t="n">
        <f aca="false">MAX(0,'5 Land Need'!$B$32-C90)</f>
        <v>0</v>
      </c>
      <c r="E90" s="39" t="n">
        <f aca="false">IF(A90&gt;0,D90/r_new/(A90*dev_share),0)</f>
        <v>0</v>
      </c>
      <c r="F90" s="28" t="n">
        <f aca="false">B90-$B$85</f>
        <v>5650.15724</v>
      </c>
    </row>
    <row r="91" customFormat="false" ht="15" hidden="false" customHeight="false" outlineLevel="0" collapsed="false">
      <c r="A91" s="18" t="n">
        <v>200</v>
      </c>
      <c r="B91" s="28" t="n">
        <f aca="false">MAX(SUMIFS(dp_unc,dp_geo,"City Centre",dp_grp,"Audit"),A91*SUMIFS(dp_uarea,dp_geo,"City Centre",dp_grp,"Audit"))*r_unc</f>
        <v>10614.47632</v>
      </c>
      <c r="C91" s="28" t="n">
        <f aca="false">'5 Land Need'!$B$33+'5 Land Need'!$B$34+'5 Land Need'!$B$35+'5 Land Need'!$B$36+B91+'5 Land Need'!$B$39</f>
        <v>11333.22632</v>
      </c>
      <c r="D91" s="28" t="n">
        <f aca="false">MAX(0,'5 Land Need'!$B$32-C91)</f>
        <v>0</v>
      </c>
      <c r="E91" s="39" t="n">
        <f aca="false">IF(A91&gt;0,D91/r_new/(A91*dev_share),0)</f>
        <v>0</v>
      </c>
      <c r="F91" s="28" t="n">
        <f aca="false">B91-$B$85</f>
        <v>8303.77632</v>
      </c>
    </row>
    <row r="93" customFormat="false" ht="25.5" hidden="false" customHeight="true" outlineLevel="0" collapsed="false">
      <c r="A93" s="33" t="s">
        <v>511</v>
      </c>
      <c r="B93" s="33"/>
      <c r="C93" s="33"/>
      <c r="D93" s="33"/>
      <c r="E93" s="33"/>
      <c r="F93" s="33"/>
      <c r="G93" s="33"/>
      <c r="H93" s="33"/>
      <c r="I93" s="33"/>
    </row>
    <row r="96" customFormat="false" ht="15" hidden="false" customHeight="false" outlineLevel="0" collapsed="false">
      <c r="A96" s="9" t="s">
        <v>512</v>
      </c>
      <c r="B96" s="10"/>
      <c r="C96" s="10"/>
      <c r="D96" s="10"/>
      <c r="E96" s="10"/>
      <c r="F96" s="10"/>
      <c r="G96" s="10"/>
      <c r="H96" s="10"/>
      <c r="I96" s="10"/>
    </row>
    <row r="97" customFormat="false" ht="33.75" hidden="false" customHeight="true" outlineLevel="0" collapsed="false">
      <c r="A97" s="25" t="s">
        <v>175</v>
      </c>
      <c r="B97" s="25" t="s">
        <v>184</v>
      </c>
      <c r="C97" s="25" t="s">
        <v>185</v>
      </c>
      <c r="D97" s="25" t="s">
        <v>513</v>
      </c>
      <c r="E97" s="25" t="s">
        <v>270</v>
      </c>
    </row>
    <row r="98" customFormat="false" ht="15" hidden="false" customHeight="false" outlineLevel="0" collapsed="false">
      <c r="A98" s="13" t="s">
        <v>514</v>
      </c>
      <c r="B98" s="34" t="n">
        <f aca="false">d_soc</f>
        <v>8362.48576910881</v>
      </c>
      <c r="C98" s="34" t="n">
        <f aca="false">d_aff</f>
        <v>5018.63243455523</v>
      </c>
      <c r="D98" s="34" t="n">
        <f aca="false">d_prs+d_buy</f>
        <v>26482.881796336</v>
      </c>
      <c r="E98" s="28" t="n">
        <f aca="false">SUM(B98:D98)</f>
        <v>39864</v>
      </c>
    </row>
    <row r="99" customFormat="false" ht="15" hidden="false" customHeight="false" outlineLevel="0" collapsed="false">
      <c r="A99" s="13" t="s">
        <v>515</v>
      </c>
      <c r="B99" s="28" t="n">
        <f aca="false">B98*IF(dens_inc=1,'5 Land Need'!$F$54,'5 Land Need'!$F$32)/target_total</f>
        <v>8362.48576910881</v>
      </c>
      <c r="C99" s="28" t="n">
        <f aca="false">C98*IF(dens_inc=1,'5 Land Need'!$F$54,'5 Land Need'!$F$32)/target_total</f>
        <v>5018.63243455523</v>
      </c>
      <c r="D99" s="28" t="n">
        <f aca="false">D98*IF(dens_inc=1,'5 Land Need'!$F$54,'5 Land Need'!$F$32)/target_total</f>
        <v>26482.881796336</v>
      </c>
      <c r="E99" s="28" t="n">
        <f aca="false">SUM(B99:D99)</f>
        <v>39864</v>
      </c>
    </row>
    <row r="100" customFormat="false" ht="15" hidden="false" customHeight="false" outlineLevel="0" collapsed="false">
      <c r="A100" s="13" t="s">
        <v>516</v>
      </c>
      <c r="B100" s="28" t="n">
        <f aca="false">SUMIFS(dm_units,dm_tenure,"Social",dm_live,1)</f>
        <v>859</v>
      </c>
      <c r="C100" s="28" t="n">
        <f aca="false">SUMIFS(dm_units,dm_tenure,"Affordable / cost rental",dm_live,1)</f>
        <v>316</v>
      </c>
      <c r="D100" s="28" t="n">
        <f aca="false">SUMIFS(dm_units,dm_tenure,"Market (incl. Part V)",dm_live,1)+pbsa*SUMIFS(dm_units,dm_tenure,"Student (PBSA)",dm_live,1)</f>
        <v>7694</v>
      </c>
      <c r="E100" s="28" t="n">
        <f aca="false">SUM(B100:D100)</f>
        <v>8869</v>
      </c>
    </row>
    <row r="101" customFormat="false" ht="15" hidden="false" customHeight="false" outlineLevel="0" collapsed="false">
      <c r="A101" s="31" t="s">
        <v>517</v>
      </c>
      <c r="B101" s="47" t="n">
        <f aca="false">MAX(0,B99-B100)</f>
        <v>7503.48576910881</v>
      </c>
      <c r="C101" s="47" t="n">
        <f aca="false">MAX(0,C99-C100)</f>
        <v>4702.63243455523</v>
      </c>
      <c r="D101" s="47" t="n">
        <f aca="false">MAX(0,D99-D100)</f>
        <v>18788.881796336</v>
      </c>
      <c r="E101" s="47" t="n">
        <f aca="false">SUM(B101:D101)</f>
        <v>30995</v>
      </c>
    </row>
    <row r="102" customFormat="false" ht="15" hidden="false" customHeight="false" outlineLevel="0" collapsed="false">
      <c r="A102" s="13" t="s">
        <v>518</v>
      </c>
      <c r="B102" s="21" t="n">
        <f aca="false">IF($E101&gt;0,B101/$E101,0)</f>
        <v>0.242086974321949</v>
      </c>
      <c r="C102" s="21" t="n">
        <f aca="false">IF($E101&gt;0,C101/$E101,0)</f>
        <v>0.151722291806912</v>
      </c>
      <c r="D102" s="21" t="n">
        <f aca="false">IF($E101&gt;0,D101/$E101,0)</f>
        <v>0.606190733871139</v>
      </c>
      <c r="E102" s="21" t="n">
        <f aca="false">IF($E101&gt;0,E101/$E101,0)</f>
        <v>1</v>
      </c>
    </row>
    <row r="103" customFormat="false" ht="15" hidden="false" customHeight="false" outlineLevel="0" collapsed="false">
      <c r="A103" s="13" t="s">
        <v>519</v>
      </c>
      <c r="B103" s="28" t="n">
        <f aca="false">MAX(0,IF(dens_inc=1,'5 Land Need'!$F$54,'5 Land Need'!$F$32)-(IF(dens_inc=1,'5 Land Need'!$F$55,'5 Land Need'!$F$33)+IF(dens_inc=1,'5 Land Need'!$F$56,'5 Land Need'!$F$34)+IF(dens_inc=1,'5 Land Need'!$F$57,'5 Land Need'!$F$35)+IF(dens_inc=1,'5 Land Need'!$F$58,'5 Land Need'!$F$36)))*B102</f>
        <v>7704.248496914</v>
      </c>
      <c r="C103" s="28" t="n">
        <f aca="false">MAX(0,IF(dens_inc=1,'5 Land Need'!$F$54,'5 Land Need'!$F$32)-(IF(dens_inc=1,'5 Land Need'!$F$55,'5 Land Need'!$F$33)+IF(dens_inc=1,'5 Land Need'!$F$56,'5 Land Need'!$F$34)+IF(dens_inc=1,'5 Land Need'!$F$57,'5 Land Need'!$F$35)+IF(dens_inc=1,'5 Land Need'!$F$58,'5 Land Need'!$F$36)))*C102</f>
        <v>4828.4557311507</v>
      </c>
      <c r="D103" s="28" t="n">
        <f aca="false">MAX(0,IF(dens_inc=1,'5 Land Need'!$F$54,'5 Land Need'!$F$32)-(IF(dens_inc=1,'5 Land Need'!$F$55,'5 Land Need'!$F$33)+IF(dens_inc=1,'5 Land Need'!$F$56,'5 Land Need'!$F$34)+IF(dens_inc=1,'5 Land Need'!$F$57,'5 Land Need'!$F$35)+IF(dens_inc=1,'5 Land Need'!$F$58,'5 Land Need'!$F$36)))*D102</f>
        <v>19291.5957719353</v>
      </c>
      <c r="E103" s="28" t="n">
        <f aca="false">SUM(B103:D103)</f>
        <v>31824.3</v>
      </c>
    </row>
    <row r="104" customFormat="false" ht="15" hidden="false" customHeight="false" outlineLevel="0" collapsed="false">
      <c r="A104" s="31" t="s">
        <v>520</v>
      </c>
      <c r="B104" s="52" t="n">
        <f aca="false">IF(dens_inc=1,'5 Land Need'!$F$65,'5 Land Need'!$F$43)*B102</f>
        <v>5476.00735916249</v>
      </c>
      <c r="C104" s="52" t="n">
        <f aca="false">IF(dens_inc=1,'5 Land Need'!$F$65,'5 Land Need'!$F$43)*C102</f>
        <v>3431.95824067234</v>
      </c>
      <c r="D104" s="52" t="n">
        <f aca="false">IF(dens_inc=1,'5 Land Need'!$F$65,'5 Land Need'!$F$43)*D102</f>
        <v>13712.0344001652</v>
      </c>
      <c r="E104" s="52" t="n">
        <f aca="false">SUM(B104:D104)</f>
        <v>22620</v>
      </c>
    </row>
    <row r="105" customFormat="false" ht="15" hidden="false" customHeight="false" outlineLevel="0" collapsed="false">
      <c r="A105" s="31" t="s">
        <v>521</v>
      </c>
      <c r="B105" s="54" t="n">
        <f aca="false">IF(dens_inc=1,'5 Land Need'!$F$69,'5 Land Need'!$F$47)*B102</f>
        <v>250.67385049248</v>
      </c>
      <c r="C105" s="54" t="n">
        <f aca="false">IF(dens_inc=1,'5 Land Need'!$F$69,'5 Land Need'!$F$47)*C102</f>
        <v>157.103913580261</v>
      </c>
      <c r="D105" s="54" t="n">
        <f aca="false">IF(dens_inc=1,'5 Land Need'!$F$69,'5 Land Need'!$F$47)*D102</f>
        <v>627.692447385689</v>
      </c>
      <c r="E105" s="54" t="n">
        <f aca="false">SUM(B105:D105)</f>
        <v>1035.47021145843</v>
      </c>
    </row>
    <row r="106" customFormat="false" ht="39.75" hidden="false" customHeight="true" outlineLevel="0" collapsed="false">
      <c r="A106" s="33" t="s">
        <v>522</v>
      </c>
      <c r="B106" s="33"/>
      <c r="C106" s="33"/>
      <c r="D106" s="33"/>
      <c r="E106" s="33"/>
      <c r="F106" s="33"/>
      <c r="G106" s="33"/>
      <c r="H106" s="33"/>
      <c r="I106" s="33"/>
    </row>
    <row r="108" customFormat="false" ht="30" hidden="false" customHeight="true" outlineLevel="0" collapsed="false">
      <c r="A108" s="25" t="s">
        <v>523</v>
      </c>
      <c r="B108" s="25" t="s">
        <v>176</v>
      </c>
      <c r="C108" s="25" t="s">
        <v>177</v>
      </c>
      <c r="D108" s="25" t="s">
        <v>178</v>
      </c>
      <c r="E108" s="25" t="s">
        <v>179</v>
      </c>
      <c r="F108" s="25" t="s">
        <v>270</v>
      </c>
    </row>
    <row r="109" customFormat="false" ht="15" hidden="false" customHeight="false" outlineLevel="0" collapsed="false">
      <c r="A109" s="13" t="s">
        <v>184</v>
      </c>
      <c r="B109" s="28" t="n">
        <f aca="false">$B$104*mix_Social1</f>
        <v>3031.84328569482</v>
      </c>
      <c r="C109" s="28" t="n">
        <f aca="false">$B$104*mix_Social2</f>
        <v>1003.00021026753</v>
      </c>
      <c r="D109" s="28" t="n">
        <f aca="false">$B$104*mix_Social3</f>
        <v>994.693790306724</v>
      </c>
      <c r="E109" s="28" t="n">
        <f aca="false">$B$104*mix_Social4</f>
        <v>446.470072893415</v>
      </c>
      <c r="F109" s="28" t="n">
        <f aca="false">SUM(B109:E109)</f>
        <v>5476.00735916249</v>
      </c>
    </row>
    <row r="110" customFormat="false" ht="15" hidden="false" customHeight="false" outlineLevel="0" collapsed="false">
      <c r="A110" s="13" t="s">
        <v>185</v>
      </c>
      <c r="B110" s="28" t="n">
        <f aca="false">$C$104*mix_Affordable1</f>
        <v>827.876217959082</v>
      </c>
      <c r="C110" s="28" t="n">
        <f aca="false">$C$104*mix_Affordable2</f>
        <v>1064.82489644201</v>
      </c>
      <c r="D110" s="28" t="n">
        <f aca="false">$C$104*mix_Affordable3</f>
        <v>641.847436071132</v>
      </c>
      <c r="E110" s="28" t="n">
        <f aca="false">$C$104*mix_Affordable4</f>
        <v>897.409690200121</v>
      </c>
      <c r="F110" s="28" t="n">
        <f aca="false">SUM(B110:E110)</f>
        <v>3431.95824067234</v>
      </c>
    </row>
    <row r="111" customFormat="false" ht="15" hidden="false" customHeight="false" outlineLevel="0" collapsed="false">
      <c r="A111" s="13" t="s">
        <v>513</v>
      </c>
      <c r="B111" s="28" t="n">
        <f aca="false">$D$104*(d_prs*mix_Privaterented1+d_buy*mix_Buyers1)/(d_prs+d_buy)</f>
        <v>3307.69385396416</v>
      </c>
      <c r="C111" s="28" t="n">
        <f aca="false">$D$104*(d_prs*mix_Privaterented2+d_buy*mix_Buyers2)/(d_prs+d_buy)</f>
        <v>4254.39780622293</v>
      </c>
      <c r="D111" s="28" t="n">
        <f aca="false">$D$104*(d_prs*mix_Privaterented3+d_buy*mix_Buyers3)/(d_prs+d_buy)</f>
        <v>2564.43508512534</v>
      </c>
      <c r="E111" s="28" t="n">
        <f aca="false">$D$104*(d_prs*mix_Privaterented4+d_buy*mix_Buyers4)/(d_prs+d_buy)</f>
        <v>3585.50765485274</v>
      </c>
      <c r="F111" s="28" t="n">
        <f aca="false">SUM(B111:E111)</f>
        <v>13712.0344001652</v>
      </c>
    </row>
    <row r="112" customFormat="false" ht="15" hidden="false" customHeight="false" outlineLevel="0" collapsed="false">
      <c r="A112" s="29" t="s">
        <v>270</v>
      </c>
      <c r="B112" s="30" t="n">
        <f aca="false">SUM(B109:B111)</f>
        <v>7167.41335761806</v>
      </c>
      <c r="C112" s="30" t="n">
        <f aca="false">SUM(C109:C111)</f>
        <v>6322.22291293247</v>
      </c>
      <c r="D112" s="30" t="n">
        <f aca="false">SUM(D109:D111)</f>
        <v>4200.97631150319</v>
      </c>
      <c r="E112" s="30" t="n">
        <f aca="false">SUM(E109:E111)</f>
        <v>4929.38741794628</v>
      </c>
      <c r="F112" s="30" t="n">
        <f aca="false">SUM(F109:F111)</f>
        <v>22620</v>
      </c>
    </row>
    <row r="113" customFormat="false" ht="15" hidden="false" customHeight="false" outlineLevel="0" collapsed="false">
      <c r="A113" s="13" t="s">
        <v>524</v>
      </c>
      <c r="B113" s="21" t="n">
        <f aca="false">IF($F112&gt;0,B112/$F112,0)</f>
        <v>0.31686177531468</v>
      </c>
      <c r="C113" s="21" t="n">
        <f aca="false">IF($F112&gt;0,C112/$F112,0)</f>
        <v>0.279497034170313</v>
      </c>
      <c r="D113" s="21" t="n">
        <f aca="false">IF($F112&gt;0,D112/$F112,0)</f>
        <v>0.185719554001025</v>
      </c>
      <c r="E113" s="21" t="n">
        <f aca="false">IF($F112&gt;0,E112/$F112,0)</f>
        <v>0.217921636513982</v>
      </c>
    </row>
  </sheetData>
  <mergeCells count="4">
    <mergeCell ref="A21:I21"/>
    <mergeCell ref="A80:I80"/>
    <mergeCell ref="A93:I93"/>
    <mergeCell ref="A106:I10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true"/>
  </sheetPr>
  <dimension ref="A1:AQ4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43" min="3" style="0" width="14"/>
  </cols>
  <sheetData>
    <row r="1" customFormat="false" ht="15" hidden="false" customHeight="false" outlineLevel="0" collapsed="false">
      <c r="A1" s="56" t="s">
        <v>525</v>
      </c>
      <c r="B1" s="56" t="s">
        <v>526</v>
      </c>
      <c r="C1" s="56" t="s">
        <v>527</v>
      </c>
      <c r="D1" s="56" t="s">
        <v>528</v>
      </c>
      <c r="E1" s="56" t="s">
        <v>529</v>
      </c>
      <c r="F1" s="56" t="s">
        <v>530</v>
      </c>
      <c r="G1" s="56" t="s">
        <v>531</v>
      </c>
      <c r="H1" s="56" t="s">
        <v>532</v>
      </c>
      <c r="I1" s="56" t="s">
        <v>533</v>
      </c>
      <c r="J1" s="56" t="s">
        <v>534</v>
      </c>
      <c r="K1" s="56" t="s">
        <v>535</v>
      </c>
      <c r="L1" s="56" t="s">
        <v>536</v>
      </c>
      <c r="M1" s="56" t="s">
        <v>537</v>
      </c>
      <c r="N1" s="56" t="s">
        <v>538</v>
      </c>
      <c r="O1" s="56" t="s">
        <v>539</v>
      </c>
      <c r="P1" s="56" t="s">
        <v>540</v>
      </c>
      <c r="Q1" s="56" t="s">
        <v>541</v>
      </c>
      <c r="R1" s="56" t="s">
        <v>542</v>
      </c>
      <c r="S1" s="56" t="s">
        <v>543</v>
      </c>
      <c r="T1" s="56" t="s">
        <v>544</v>
      </c>
      <c r="U1" s="56" t="s">
        <v>545</v>
      </c>
      <c r="V1" s="56" t="s">
        <v>546</v>
      </c>
      <c r="W1" s="56" t="s">
        <v>547</v>
      </c>
      <c r="X1" s="56" t="s">
        <v>548</v>
      </c>
      <c r="Y1" s="56" t="s">
        <v>549</v>
      </c>
      <c r="Z1" s="56" t="s">
        <v>550</v>
      </c>
      <c r="AA1" s="56" t="s">
        <v>551</v>
      </c>
      <c r="AB1" s="56" t="s">
        <v>552</v>
      </c>
      <c r="AC1" s="56" t="s">
        <v>553</v>
      </c>
      <c r="AD1" s="56" t="s">
        <v>554</v>
      </c>
      <c r="AE1" s="56" t="s">
        <v>555</v>
      </c>
      <c r="AF1" s="56" t="s">
        <v>556</v>
      </c>
      <c r="AG1" s="56" t="s">
        <v>557</v>
      </c>
      <c r="AH1" s="56" t="s">
        <v>558</v>
      </c>
      <c r="AI1" s="56" t="s">
        <v>559</v>
      </c>
      <c r="AJ1" s="56" t="s">
        <v>560</v>
      </c>
      <c r="AK1" s="56" t="s">
        <v>561</v>
      </c>
      <c r="AL1" s="56" t="s">
        <v>562</v>
      </c>
      <c r="AM1" s="56" t="s">
        <v>563</v>
      </c>
      <c r="AN1" s="56" t="s">
        <v>564</v>
      </c>
      <c r="AO1" s="56" t="s">
        <v>565</v>
      </c>
      <c r="AP1" s="56" t="s">
        <v>566</v>
      </c>
      <c r="AQ1" s="56" t="s">
        <v>567</v>
      </c>
    </row>
    <row r="2" customFormat="false" ht="15" hidden="false" customHeight="false" outlineLevel="0" collapsed="false">
      <c r="A2" s="57" t="s">
        <v>568</v>
      </c>
      <c r="B2" s="57" t="s">
        <v>215</v>
      </c>
      <c r="C2" s="57" t="s">
        <v>216</v>
      </c>
      <c r="D2" s="57" t="s">
        <v>284</v>
      </c>
      <c r="E2" s="57" t="s">
        <v>569</v>
      </c>
      <c r="F2" s="57" t="s">
        <v>570</v>
      </c>
      <c r="G2" s="57" t="s">
        <v>571</v>
      </c>
      <c r="H2" s="57" t="s">
        <v>572</v>
      </c>
      <c r="I2" s="57" t="n">
        <v>2.408</v>
      </c>
      <c r="J2" s="57" t="n">
        <v>2.4</v>
      </c>
      <c r="K2" s="57" t="n">
        <v>165</v>
      </c>
      <c r="L2" s="57" t="s">
        <v>573</v>
      </c>
      <c r="M2" s="57"/>
      <c r="N2" s="57"/>
      <c r="O2" s="57"/>
      <c r="P2" s="57"/>
      <c r="Q2" s="57" t="s">
        <v>574</v>
      </c>
      <c r="R2" s="57" t="n">
        <v>0</v>
      </c>
      <c r="S2" s="57" t="n">
        <v>0</v>
      </c>
      <c r="T2" s="57" t="n">
        <v>165</v>
      </c>
      <c r="U2" s="57" t="n">
        <v>0</v>
      </c>
      <c r="V2" s="57" t="n">
        <v>0</v>
      </c>
      <c r="W2" s="57" t="n">
        <v>0</v>
      </c>
      <c r="X2" s="57" t="n">
        <v>165</v>
      </c>
      <c r="Y2" s="57" t="n">
        <v>0</v>
      </c>
      <c r="Z2" s="57" t="n">
        <v>165</v>
      </c>
      <c r="AA2" s="57" t="n">
        <v>165</v>
      </c>
      <c r="AB2" s="57" t="n">
        <v>0</v>
      </c>
      <c r="AC2" s="57" t="n">
        <v>0</v>
      </c>
      <c r="AD2" s="57" t="n">
        <v>34.9</v>
      </c>
      <c r="AE2" s="57" t="n">
        <v>72.3</v>
      </c>
      <c r="AF2" s="57" t="n">
        <v>57.8</v>
      </c>
      <c r="AG2" s="57" t="n">
        <v>0</v>
      </c>
      <c r="AH2" s="57" t="s">
        <v>239</v>
      </c>
      <c r="AI2" s="57"/>
      <c r="AJ2" s="57" t="n">
        <v>0</v>
      </c>
      <c r="AK2" s="57" t="s">
        <v>284</v>
      </c>
      <c r="AL2" s="57" t="s">
        <v>347</v>
      </c>
      <c r="AM2" s="57" t="n">
        <v>1</v>
      </c>
      <c r="AN2" s="57" t="s">
        <v>575</v>
      </c>
      <c r="AO2" s="57" t="str">
        <f aca="false">IF(C2="County",IF(AL2="Rest of county","Remainder of County","Settlements"),IF(D2="City Centre","City Centre","Rest of City"))</f>
        <v>Rest of City</v>
      </c>
      <c r="AP2" s="57" t="str">
        <f aca="false">IF(LEFT(B2,13)="Council audit","Audit",IF(LEFT(B2,8)="Planning","Consent","Zoned"))</f>
        <v>Audit</v>
      </c>
      <c r="AQ2" s="57" t="n">
        <f aca="false">IF(N(K2)&gt;0,I2*Y2/K2,0)</f>
        <v>0</v>
      </c>
    </row>
    <row r="3" customFormat="false" ht="15" hidden="false" customHeight="false" outlineLevel="0" collapsed="false">
      <c r="A3" s="57" t="s">
        <v>576</v>
      </c>
      <c r="B3" s="57" t="s">
        <v>215</v>
      </c>
      <c r="C3" s="57" t="s">
        <v>216</v>
      </c>
      <c r="D3" s="57" t="s">
        <v>284</v>
      </c>
      <c r="E3" s="57" t="s">
        <v>569</v>
      </c>
      <c r="F3" s="57" t="s">
        <v>570</v>
      </c>
      <c r="G3" s="57" t="s">
        <v>577</v>
      </c>
      <c r="H3" s="57" t="s">
        <v>578</v>
      </c>
      <c r="I3" s="57" t="n">
        <v>2.013</v>
      </c>
      <c r="J3" s="57" t="n">
        <v>2.012</v>
      </c>
      <c r="K3" s="57" t="n">
        <v>343</v>
      </c>
      <c r="L3" s="57" t="s">
        <v>573</v>
      </c>
      <c r="M3" s="57"/>
      <c r="N3" s="57"/>
      <c r="O3" s="57"/>
      <c r="P3" s="57"/>
      <c r="Q3" s="57" t="s">
        <v>574</v>
      </c>
      <c r="R3" s="57" t="n">
        <v>65</v>
      </c>
      <c r="S3" s="57" t="n">
        <v>167</v>
      </c>
      <c r="T3" s="57" t="n">
        <v>0</v>
      </c>
      <c r="U3" s="57" t="n">
        <v>0</v>
      </c>
      <c r="V3" s="57" t="n">
        <v>0</v>
      </c>
      <c r="W3" s="57" t="n">
        <v>0</v>
      </c>
      <c r="X3" s="57" t="n">
        <v>232</v>
      </c>
      <c r="Y3" s="57" t="n">
        <v>111</v>
      </c>
      <c r="Z3" s="57" t="n">
        <v>343</v>
      </c>
      <c r="AA3" s="57" t="n">
        <v>278</v>
      </c>
      <c r="AB3" s="57" t="n">
        <v>17.4</v>
      </c>
      <c r="AC3" s="57" t="n">
        <v>74.9</v>
      </c>
      <c r="AD3" s="57" t="n">
        <v>74.6</v>
      </c>
      <c r="AE3" s="57" t="n">
        <v>0</v>
      </c>
      <c r="AF3" s="57" t="n">
        <v>0</v>
      </c>
      <c r="AG3" s="57" t="n">
        <v>0.1</v>
      </c>
      <c r="AH3" s="57" t="s">
        <v>238</v>
      </c>
      <c r="AI3" s="57"/>
      <c r="AJ3" s="57" t="n">
        <v>95</v>
      </c>
      <c r="AK3" s="57" t="s">
        <v>284</v>
      </c>
      <c r="AL3" s="57" t="s">
        <v>347</v>
      </c>
      <c r="AM3" s="57" t="n">
        <v>1</v>
      </c>
      <c r="AN3" s="57" t="s">
        <v>575</v>
      </c>
      <c r="AO3" s="57" t="str">
        <f aca="false">IF(C3="County",IF(AL3="Rest of county","Remainder of County","Settlements"),IF(D3="City Centre","City Centre","Rest of City"))</f>
        <v>Rest of City</v>
      </c>
      <c r="AP3" s="57" t="str">
        <f aca="false">IF(LEFT(B3,13)="Council audit","Audit",IF(LEFT(B3,8)="Planning","Consent","Zoned"))</f>
        <v>Audit</v>
      </c>
      <c r="AQ3" s="57" t="n">
        <f aca="false">IF(N(K3)&gt;0,I3*Y3/K3,0)</f>
        <v>0.651437317784257</v>
      </c>
    </row>
    <row r="4" customFormat="false" ht="15" hidden="false" customHeight="false" outlineLevel="0" collapsed="false">
      <c r="A4" s="57" t="s">
        <v>579</v>
      </c>
      <c r="B4" s="57" t="s">
        <v>215</v>
      </c>
      <c r="C4" s="57" t="s">
        <v>216</v>
      </c>
      <c r="D4" s="57" t="s">
        <v>284</v>
      </c>
      <c r="E4" s="57" t="s">
        <v>569</v>
      </c>
      <c r="F4" s="57" t="s">
        <v>570</v>
      </c>
      <c r="G4" s="57" t="s">
        <v>571</v>
      </c>
      <c r="H4" s="57" t="s">
        <v>572</v>
      </c>
      <c r="I4" s="57" t="n">
        <v>2.729</v>
      </c>
      <c r="J4" s="57" t="n">
        <v>2.729</v>
      </c>
      <c r="K4" s="57" t="n">
        <v>99</v>
      </c>
      <c r="L4" s="57" t="s">
        <v>573</v>
      </c>
      <c r="M4" s="57"/>
      <c r="N4" s="57"/>
      <c r="O4" s="57"/>
      <c r="P4" s="57"/>
      <c r="Q4" s="57" t="s">
        <v>574</v>
      </c>
      <c r="R4" s="57" t="n">
        <v>0</v>
      </c>
      <c r="S4" s="57" t="n">
        <v>99</v>
      </c>
      <c r="T4" s="57" t="n">
        <v>0</v>
      </c>
      <c r="U4" s="57" t="n">
        <v>0</v>
      </c>
      <c r="V4" s="57" t="n">
        <v>0</v>
      </c>
      <c r="W4" s="57" t="n">
        <v>0</v>
      </c>
      <c r="X4" s="57" t="n">
        <v>99</v>
      </c>
      <c r="Y4" s="57" t="n">
        <v>0</v>
      </c>
      <c r="Z4" s="57" t="n">
        <v>99</v>
      </c>
      <c r="AA4" s="57" t="n">
        <v>99</v>
      </c>
      <c r="AB4" s="57" t="n">
        <v>13</v>
      </c>
      <c r="AC4" s="57" t="n">
        <v>55.8</v>
      </c>
      <c r="AD4" s="57" t="n">
        <v>30.2</v>
      </c>
      <c r="AE4" s="57" t="n">
        <v>0</v>
      </c>
      <c r="AF4" s="57" t="n">
        <v>0</v>
      </c>
      <c r="AG4" s="57" t="n">
        <v>0</v>
      </c>
      <c r="AH4" s="57" t="s">
        <v>239</v>
      </c>
      <c r="AI4" s="57"/>
      <c r="AJ4" s="57" t="n">
        <v>0</v>
      </c>
      <c r="AK4" s="57" t="s">
        <v>284</v>
      </c>
      <c r="AL4" s="57" t="s">
        <v>347</v>
      </c>
      <c r="AM4" s="57" t="n">
        <v>1</v>
      </c>
      <c r="AN4" s="57" t="s">
        <v>575</v>
      </c>
      <c r="AO4" s="57" t="str">
        <f aca="false">IF(C4="County",IF(AL4="Rest of county","Remainder of County","Settlements"),IF(D4="City Centre","City Centre","Rest of City"))</f>
        <v>Rest of City</v>
      </c>
      <c r="AP4" s="57" t="str">
        <f aca="false">IF(LEFT(B4,13)="Council audit","Audit",IF(LEFT(B4,8)="Planning","Consent","Zoned"))</f>
        <v>Audit</v>
      </c>
      <c r="AQ4" s="57" t="n">
        <f aca="false">IF(N(K4)&gt;0,I4*Y4/K4,0)</f>
        <v>0</v>
      </c>
    </row>
    <row r="5" customFormat="false" ht="15" hidden="false" customHeight="false" outlineLevel="0" collapsed="false">
      <c r="A5" s="57" t="s">
        <v>580</v>
      </c>
      <c r="B5" s="57" t="s">
        <v>215</v>
      </c>
      <c r="C5" s="57" t="s">
        <v>216</v>
      </c>
      <c r="D5" s="57" t="s">
        <v>284</v>
      </c>
      <c r="E5" s="57" t="s">
        <v>569</v>
      </c>
      <c r="F5" s="57" t="s">
        <v>581</v>
      </c>
      <c r="G5" s="57" t="s">
        <v>571</v>
      </c>
      <c r="H5" s="57" t="s">
        <v>572</v>
      </c>
      <c r="I5" s="57" t="n">
        <v>0.162</v>
      </c>
      <c r="J5" s="57" t="n">
        <v>0.651</v>
      </c>
      <c r="K5" s="57" t="n">
        <v>12</v>
      </c>
      <c r="L5" s="57" t="s">
        <v>573</v>
      </c>
      <c r="M5" s="57"/>
      <c r="N5" s="57"/>
      <c r="O5" s="57"/>
      <c r="P5" s="57"/>
      <c r="Q5" s="57" t="s">
        <v>574</v>
      </c>
      <c r="R5" s="57" t="n">
        <v>0</v>
      </c>
      <c r="S5" s="57" t="n">
        <v>0</v>
      </c>
      <c r="T5" s="57" t="n">
        <v>12</v>
      </c>
      <c r="U5" s="57" t="n">
        <v>0</v>
      </c>
      <c r="V5" s="57" t="n">
        <v>0</v>
      </c>
      <c r="W5" s="57" t="n">
        <v>0</v>
      </c>
      <c r="X5" s="57" t="n">
        <v>12</v>
      </c>
      <c r="Y5" s="57" t="n">
        <v>0</v>
      </c>
      <c r="Z5" s="57" t="n">
        <v>12</v>
      </c>
      <c r="AA5" s="57" t="n">
        <v>12</v>
      </c>
      <c r="AB5" s="57" t="n">
        <v>0</v>
      </c>
      <c r="AC5" s="57" t="n">
        <v>0</v>
      </c>
      <c r="AD5" s="57" t="n">
        <v>7</v>
      </c>
      <c r="AE5" s="57" t="n">
        <v>5</v>
      </c>
      <c r="AF5" s="57" t="n">
        <v>0</v>
      </c>
      <c r="AG5" s="57" t="n">
        <v>0</v>
      </c>
      <c r="AH5" s="57" t="s">
        <v>239</v>
      </c>
      <c r="AI5" s="57"/>
      <c r="AJ5" s="57" t="n">
        <v>0</v>
      </c>
      <c r="AK5" s="57" t="s">
        <v>284</v>
      </c>
      <c r="AL5" s="57" t="s">
        <v>347</v>
      </c>
      <c r="AM5" s="57" t="n">
        <v>1</v>
      </c>
      <c r="AN5" s="57" t="s">
        <v>575</v>
      </c>
      <c r="AO5" s="57" t="str">
        <f aca="false">IF(C5="County",IF(AL5="Rest of county","Remainder of County","Settlements"),IF(D5="City Centre","City Centre","Rest of City"))</f>
        <v>Rest of City</v>
      </c>
      <c r="AP5" s="57" t="str">
        <f aca="false">IF(LEFT(B5,13)="Council audit","Audit",IF(LEFT(B5,8)="Planning","Consent","Zoned"))</f>
        <v>Audit</v>
      </c>
      <c r="AQ5" s="57" t="n">
        <f aca="false">IF(N(K5)&gt;0,I5*Y5/K5,0)</f>
        <v>0</v>
      </c>
    </row>
    <row r="6" customFormat="false" ht="15" hidden="false" customHeight="false" outlineLevel="0" collapsed="false">
      <c r="A6" s="57" t="s">
        <v>330</v>
      </c>
      <c r="B6" s="57" t="s">
        <v>215</v>
      </c>
      <c r="C6" s="57" t="s">
        <v>216</v>
      </c>
      <c r="D6" s="57" t="s">
        <v>284</v>
      </c>
      <c r="E6" s="57" t="s">
        <v>569</v>
      </c>
      <c r="F6" s="57" t="s">
        <v>570</v>
      </c>
      <c r="G6" s="57" t="s">
        <v>571</v>
      </c>
      <c r="H6" s="57" t="s">
        <v>572</v>
      </c>
      <c r="I6" s="57" t="n">
        <v>11.8</v>
      </c>
      <c r="J6" s="57" t="n">
        <v>11.8</v>
      </c>
      <c r="K6" s="57" t="n">
        <v>413</v>
      </c>
      <c r="L6" s="57" t="s">
        <v>573</v>
      </c>
      <c r="M6" s="57"/>
      <c r="N6" s="57"/>
      <c r="O6" s="57"/>
      <c r="P6" s="57"/>
      <c r="Q6" s="57" t="s">
        <v>574</v>
      </c>
      <c r="R6" s="57" t="n">
        <v>0</v>
      </c>
      <c r="S6" s="57" t="n">
        <v>0</v>
      </c>
      <c r="T6" s="57" t="n">
        <v>251</v>
      </c>
      <c r="U6" s="57" t="n">
        <v>0</v>
      </c>
      <c r="V6" s="57" t="n">
        <v>0</v>
      </c>
      <c r="W6" s="57" t="n">
        <v>0</v>
      </c>
      <c r="X6" s="57" t="n">
        <v>251</v>
      </c>
      <c r="Y6" s="57" t="n">
        <v>162</v>
      </c>
      <c r="Z6" s="57" t="n">
        <v>413</v>
      </c>
      <c r="AA6" s="57" t="n">
        <v>413</v>
      </c>
      <c r="AB6" s="57" t="n">
        <v>0</v>
      </c>
      <c r="AC6" s="57" t="n">
        <v>0</v>
      </c>
      <c r="AD6" s="57" t="n">
        <v>71</v>
      </c>
      <c r="AE6" s="57" t="n">
        <v>137.4</v>
      </c>
      <c r="AF6" s="57" t="n">
        <v>42.6</v>
      </c>
      <c r="AG6" s="57" t="n">
        <v>0</v>
      </c>
      <c r="AH6" s="57" t="s">
        <v>239</v>
      </c>
      <c r="AI6" s="57"/>
      <c r="AJ6" s="57" t="n">
        <v>0</v>
      </c>
      <c r="AK6" s="57" t="s">
        <v>284</v>
      </c>
      <c r="AL6" s="57" t="s">
        <v>347</v>
      </c>
      <c r="AM6" s="57" t="n">
        <v>1</v>
      </c>
      <c r="AN6" s="57" t="s">
        <v>575</v>
      </c>
      <c r="AO6" s="57" t="str">
        <f aca="false">IF(C6="County",IF(AL6="Rest of county","Remainder of County","Settlements"),IF(D6="City Centre","City Centre","Rest of City"))</f>
        <v>Rest of City</v>
      </c>
      <c r="AP6" s="57" t="str">
        <f aca="false">IF(LEFT(B6,13)="Council audit","Audit",IF(LEFT(B6,8)="Planning","Consent","Zoned"))</f>
        <v>Audit</v>
      </c>
      <c r="AQ6" s="57" t="n">
        <f aca="false">IF(N(K6)&gt;0,I6*Y6/K6,0)</f>
        <v>4.62857142857143</v>
      </c>
    </row>
    <row r="7" customFormat="false" ht="15" hidden="false" customHeight="false" outlineLevel="0" collapsed="false">
      <c r="A7" s="57" t="s">
        <v>582</v>
      </c>
      <c r="B7" s="57" t="s">
        <v>215</v>
      </c>
      <c r="C7" s="57" t="s">
        <v>216</v>
      </c>
      <c r="D7" s="57" t="s">
        <v>284</v>
      </c>
      <c r="E7" s="57" t="s">
        <v>569</v>
      </c>
      <c r="F7" s="57" t="s">
        <v>570</v>
      </c>
      <c r="G7" s="57" t="s">
        <v>571</v>
      </c>
      <c r="H7" s="57" t="s">
        <v>572</v>
      </c>
      <c r="I7" s="57" t="n">
        <v>2.772</v>
      </c>
      <c r="J7" s="57" t="n">
        <v>2.771</v>
      </c>
      <c r="K7" s="57" t="n">
        <v>97</v>
      </c>
      <c r="L7" s="57" t="s">
        <v>573</v>
      </c>
      <c r="M7" s="57"/>
      <c r="N7" s="57"/>
      <c r="O7" s="57"/>
      <c r="P7" s="57"/>
      <c r="Q7" s="57" t="s">
        <v>574</v>
      </c>
      <c r="R7" s="57" t="n">
        <v>0</v>
      </c>
      <c r="S7" s="57" t="n">
        <v>0</v>
      </c>
      <c r="T7" s="57" t="n">
        <v>86</v>
      </c>
      <c r="U7" s="57" t="n">
        <v>0</v>
      </c>
      <c r="V7" s="57" t="n">
        <v>0</v>
      </c>
      <c r="W7" s="57" t="n">
        <v>0</v>
      </c>
      <c r="X7" s="57" t="n">
        <v>86</v>
      </c>
      <c r="Y7" s="57" t="n">
        <v>11</v>
      </c>
      <c r="Z7" s="57" t="n">
        <v>97</v>
      </c>
      <c r="AA7" s="57" t="n">
        <v>97</v>
      </c>
      <c r="AB7" s="57" t="n">
        <v>0</v>
      </c>
      <c r="AC7" s="57" t="n">
        <v>0</v>
      </c>
      <c r="AD7" s="57" t="n">
        <v>27.2</v>
      </c>
      <c r="AE7" s="57" t="n">
        <v>56.4</v>
      </c>
      <c r="AF7" s="57" t="n">
        <v>2.4</v>
      </c>
      <c r="AG7" s="57" t="n">
        <v>0</v>
      </c>
      <c r="AH7" s="57" t="s">
        <v>239</v>
      </c>
      <c r="AI7" s="57"/>
      <c r="AJ7" s="57" t="n">
        <v>0</v>
      </c>
      <c r="AK7" s="57" t="s">
        <v>284</v>
      </c>
      <c r="AL7" s="57" t="s">
        <v>347</v>
      </c>
      <c r="AM7" s="57" t="n">
        <v>1</v>
      </c>
      <c r="AN7" s="57" t="s">
        <v>575</v>
      </c>
      <c r="AO7" s="57" t="str">
        <f aca="false">IF(C7="County",IF(AL7="Rest of county","Remainder of County","Settlements"),IF(D7="City Centre","City Centre","Rest of City"))</f>
        <v>Rest of City</v>
      </c>
      <c r="AP7" s="57" t="str">
        <f aca="false">IF(LEFT(B7,13)="Council audit","Audit",IF(LEFT(B7,8)="Planning","Consent","Zoned"))</f>
        <v>Audit</v>
      </c>
      <c r="AQ7" s="57" t="n">
        <f aca="false">IF(N(K7)&gt;0,I7*Y7/K7,0)</f>
        <v>0.314350515463918</v>
      </c>
    </row>
    <row r="8" customFormat="false" ht="15" hidden="false" customHeight="false" outlineLevel="0" collapsed="false">
      <c r="A8" s="57" t="s">
        <v>583</v>
      </c>
      <c r="B8" s="57" t="s">
        <v>215</v>
      </c>
      <c r="C8" s="57" t="s">
        <v>216</v>
      </c>
      <c r="D8" s="57" t="s">
        <v>284</v>
      </c>
      <c r="E8" s="57" t="s">
        <v>569</v>
      </c>
      <c r="F8" s="57" t="s">
        <v>584</v>
      </c>
      <c r="G8" s="57" t="s">
        <v>585</v>
      </c>
      <c r="H8" s="57" t="s">
        <v>578</v>
      </c>
      <c r="I8" s="57" t="n">
        <v>1.07</v>
      </c>
      <c r="J8" s="57" t="n">
        <v>1.071</v>
      </c>
      <c r="K8" s="57" t="n">
        <v>48</v>
      </c>
      <c r="L8" s="57" t="s">
        <v>573</v>
      </c>
      <c r="M8" s="57"/>
      <c r="N8" s="57"/>
      <c r="O8" s="57"/>
      <c r="P8" s="57"/>
      <c r="Q8" s="57" t="s">
        <v>586</v>
      </c>
      <c r="R8" s="57" t="n">
        <v>0</v>
      </c>
      <c r="S8" s="57" t="n">
        <v>0</v>
      </c>
      <c r="T8" s="57" t="n">
        <v>0</v>
      </c>
      <c r="U8" s="57" t="n">
        <v>0</v>
      </c>
      <c r="V8" s="57" t="n">
        <v>0</v>
      </c>
      <c r="W8" s="57" t="n">
        <v>0</v>
      </c>
      <c r="X8" s="57" t="n">
        <v>0</v>
      </c>
      <c r="Y8" s="57" t="n">
        <v>48</v>
      </c>
      <c r="Z8" s="57" t="n">
        <v>48</v>
      </c>
      <c r="AA8" s="57" t="n">
        <v>48</v>
      </c>
      <c r="AB8" s="57" t="n">
        <v>0</v>
      </c>
      <c r="AC8" s="57" t="n">
        <v>0</v>
      </c>
      <c r="AD8" s="57" t="n">
        <v>0</v>
      </c>
      <c r="AE8" s="57" t="n">
        <v>0</v>
      </c>
      <c r="AF8" s="57" t="n">
        <v>0</v>
      </c>
      <c r="AG8" s="57" t="n">
        <v>0</v>
      </c>
      <c r="AH8" s="57" t="s">
        <v>240</v>
      </c>
      <c r="AI8" s="57"/>
      <c r="AJ8" s="57" t="n">
        <v>0</v>
      </c>
      <c r="AK8" s="57" t="s">
        <v>284</v>
      </c>
      <c r="AL8" s="57" t="s">
        <v>347</v>
      </c>
      <c r="AM8" s="57" t="n">
        <v>1</v>
      </c>
      <c r="AN8" s="57" t="s">
        <v>575</v>
      </c>
      <c r="AO8" s="57" t="str">
        <f aca="false">IF(C8="County",IF(AL8="Rest of county","Remainder of County","Settlements"),IF(D8="City Centre","City Centre","Rest of City"))</f>
        <v>Rest of City</v>
      </c>
      <c r="AP8" s="57" t="str">
        <f aca="false">IF(LEFT(B8,13)="Council audit","Audit",IF(LEFT(B8,8)="Planning","Consent","Zoned"))</f>
        <v>Audit</v>
      </c>
      <c r="AQ8" s="57" t="n">
        <f aca="false">IF(N(K8)&gt;0,I8*Y8/K8,0)</f>
        <v>1.07</v>
      </c>
    </row>
    <row r="9" customFormat="false" ht="15" hidden="false" customHeight="false" outlineLevel="0" collapsed="false">
      <c r="A9" s="57" t="s">
        <v>587</v>
      </c>
      <c r="B9" s="57" t="s">
        <v>215</v>
      </c>
      <c r="C9" s="57" t="s">
        <v>216</v>
      </c>
      <c r="D9" s="57" t="s">
        <v>284</v>
      </c>
      <c r="E9" s="57" t="s">
        <v>569</v>
      </c>
      <c r="F9" s="57" t="s">
        <v>584</v>
      </c>
      <c r="G9" s="57" t="s">
        <v>585</v>
      </c>
      <c r="H9" s="57" t="s">
        <v>578</v>
      </c>
      <c r="I9" s="57" t="n">
        <v>1.991</v>
      </c>
      <c r="J9" s="57" t="n">
        <v>1.991</v>
      </c>
      <c r="K9" s="57" t="n">
        <v>90</v>
      </c>
      <c r="L9" s="57" t="s">
        <v>573</v>
      </c>
      <c r="M9" s="57"/>
      <c r="N9" s="57"/>
      <c r="O9" s="57"/>
      <c r="P9" s="57"/>
      <c r="Q9" s="57" t="s">
        <v>586</v>
      </c>
      <c r="R9" s="57" t="n">
        <v>0</v>
      </c>
      <c r="S9" s="57" t="n">
        <v>0</v>
      </c>
      <c r="T9" s="57" t="n">
        <v>0</v>
      </c>
      <c r="U9" s="57" t="n">
        <v>0</v>
      </c>
      <c r="V9" s="57" t="n">
        <v>0</v>
      </c>
      <c r="W9" s="57" t="n">
        <v>0</v>
      </c>
      <c r="X9" s="57" t="n">
        <v>0</v>
      </c>
      <c r="Y9" s="57" t="n">
        <v>90</v>
      </c>
      <c r="Z9" s="57" t="n">
        <v>90</v>
      </c>
      <c r="AA9" s="57" t="n">
        <v>90</v>
      </c>
      <c r="AB9" s="57" t="n">
        <v>0</v>
      </c>
      <c r="AC9" s="57" t="n">
        <v>0</v>
      </c>
      <c r="AD9" s="57" t="n">
        <v>0</v>
      </c>
      <c r="AE9" s="57" t="n">
        <v>0</v>
      </c>
      <c r="AF9" s="57" t="n">
        <v>0</v>
      </c>
      <c r="AG9" s="57" t="n">
        <v>0</v>
      </c>
      <c r="AH9" s="57" t="s">
        <v>240</v>
      </c>
      <c r="AI9" s="57"/>
      <c r="AJ9" s="57" t="n">
        <v>0</v>
      </c>
      <c r="AK9" s="57" t="s">
        <v>284</v>
      </c>
      <c r="AL9" s="57" t="s">
        <v>347</v>
      </c>
      <c r="AM9" s="57" t="n">
        <v>1</v>
      </c>
      <c r="AN9" s="57" t="s">
        <v>575</v>
      </c>
      <c r="AO9" s="57" t="str">
        <f aca="false">IF(C9="County",IF(AL9="Rest of county","Remainder of County","Settlements"),IF(D9="City Centre","City Centre","Rest of City"))</f>
        <v>Rest of City</v>
      </c>
      <c r="AP9" s="57" t="str">
        <f aca="false">IF(LEFT(B9,13)="Council audit","Audit",IF(LEFT(B9,8)="Planning","Consent","Zoned"))</f>
        <v>Audit</v>
      </c>
      <c r="AQ9" s="57" t="n">
        <f aca="false">IF(N(K9)&gt;0,I9*Y9/K9,0)</f>
        <v>1.991</v>
      </c>
    </row>
    <row r="10" customFormat="false" ht="15" hidden="false" customHeight="false" outlineLevel="0" collapsed="false">
      <c r="A10" s="57" t="s">
        <v>588</v>
      </c>
      <c r="B10" s="57" t="s">
        <v>215</v>
      </c>
      <c r="C10" s="57" t="s">
        <v>216</v>
      </c>
      <c r="D10" s="57" t="s">
        <v>284</v>
      </c>
      <c r="E10" s="57" t="s">
        <v>569</v>
      </c>
      <c r="F10" s="57" t="s">
        <v>589</v>
      </c>
      <c r="G10" s="57" t="s">
        <v>571</v>
      </c>
      <c r="H10" s="57" t="s">
        <v>590</v>
      </c>
      <c r="I10" s="57" t="n">
        <v>9.431</v>
      </c>
      <c r="J10" s="57" t="n">
        <v>9.427</v>
      </c>
      <c r="K10" s="57" t="n">
        <v>73</v>
      </c>
      <c r="L10" s="57" t="s">
        <v>573</v>
      </c>
      <c r="M10" s="57"/>
      <c r="N10" s="57"/>
      <c r="O10" s="57"/>
      <c r="P10" s="57"/>
      <c r="Q10" s="57" t="s">
        <v>574</v>
      </c>
      <c r="R10" s="57" t="n">
        <v>0</v>
      </c>
      <c r="S10" s="57" t="n">
        <v>115</v>
      </c>
      <c r="T10" s="57" t="n">
        <v>0</v>
      </c>
      <c r="U10" s="57" t="n">
        <v>0</v>
      </c>
      <c r="V10" s="57" t="n">
        <v>0</v>
      </c>
      <c r="W10" s="57" t="n">
        <v>0</v>
      </c>
      <c r="X10" s="57" t="n">
        <v>115</v>
      </c>
      <c r="Y10" s="57" t="n">
        <v>0</v>
      </c>
      <c r="Z10" s="57" t="n">
        <v>115</v>
      </c>
      <c r="AA10" s="57" t="n">
        <v>115</v>
      </c>
      <c r="AB10" s="57" t="n">
        <v>0</v>
      </c>
      <c r="AC10" s="57" t="n">
        <v>51.6</v>
      </c>
      <c r="AD10" s="57" t="n">
        <v>63.4</v>
      </c>
      <c r="AE10" s="57" t="n">
        <v>0</v>
      </c>
      <c r="AF10" s="57" t="n">
        <v>0</v>
      </c>
      <c r="AG10" s="57" t="n">
        <v>0</v>
      </c>
      <c r="AH10" s="57" t="s">
        <v>239</v>
      </c>
      <c r="AI10" s="57" t="s">
        <v>591</v>
      </c>
      <c r="AJ10" s="57" t="n">
        <v>0</v>
      </c>
      <c r="AK10" s="57" t="s">
        <v>284</v>
      </c>
      <c r="AL10" s="57" t="s">
        <v>347</v>
      </c>
      <c r="AM10" s="57" t="n">
        <v>1</v>
      </c>
      <c r="AN10" s="57" t="s">
        <v>575</v>
      </c>
      <c r="AO10" s="57" t="str">
        <f aca="false">IF(C10="County",IF(AL10="Rest of county","Remainder of County","Settlements"),IF(D10="City Centre","City Centre","Rest of City"))</f>
        <v>Rest of City</v>
      </c>
      <c r="AP10" s="57" t="str">
        <f aca="false">IF(LEFT(B10,13)="Council audit","Audit",IF(LEFT(B10,8)="Planning","Consent","Zoned"))</f>
        <v>Audit</v>
      </c>
      <c r="AQ10" s="57" t="n">
        <f aca="false">IF(N(K10)&gt;0,I10*Y10/K10,0)</f>
        <v>0</v>
      </c>
    </row>
    <row r="11" customFormat="false" ht="15" hidden="false" customHeight="false" outlineLevel="0" collapsed="false">
      <c r="A11" s="57" t="s">
        <v>592</v>
      </c>
      <c r="B11" s="57" t="s">
        <v>215</v>
      </c>
      <c r="C11" s="57" t="s">
        <v>216</v>
      </c>
      <c r="D11" s="57" t="s">
        <v>284</v>
      </c>
      <c r="E11" s="57" t="s">
        <v>569</v>
      </c>
      <c r="F11" s="57" t="s">
        <v>584</v>
      </c>
      <c r="G11" s="57" t="s">
        <v>585</v>
      </c>
      <c r="H11" s="57" t="s">
        <v>578</v>
      </c>
      <c r="I11" s="57" t="n">
        <v>0.899</v>
      </c>
      <c r="J11" s="57" t="n">
        <v>0.899</v>
      </c>
      <c r="K11" s="57" t="n">
        <v>40</v>
      </c>
      <c r="L11" s="57" t="s">
        <v>573</v>
      </c>
      <c r="M11" s="57"/>
      <c r="N11" s="57"/>
      <c r="O11" s="57"/>
      <c r="P11" s="57"/>
      <c r="Q11" s="57" t="s">
        <v>586</v>
      </c>
      <c r="R11" s="57" t="n">
        <v>0</v>
      </c>
      <c r="S11" s="57" t="n">
        <v>0</v>
      </c>
      <c r="T11" s="57" t="n">
        <v>0</v>
      </c>
      <c r="U11" s="57" t="n">
        <v>0</v>
      </c>
      <c r="V11" s="57" t="n">
        <v>0</v>
      </c>
      <c r="W11" s="57" t="n">
        <v>0</v>
      </c>
      <c r="X11" s="57" t="n">
        <v>0</v>
      </c>
      <c r="Y11" s="57" t="n">
        <v>40</v>
      </c>
      <c r="Z11" s="57" t="n">
        <v>40</v>
      </c>
      <c r="AA11" s="57" t="n">
        <v>40</v>
      </c>
      <c r="AB11" s="57" t="n">
        <v>0</v>
      </c>
      <c r="AC11" s="57" t="n">
        <v>0</v>
      </c>
      <c r="AD11" s="57" t="n">
        <v>0</v>
      </c>
      <c r="AE11" s="57" t="n">
        <v>0</v>
      </c>
      <c r="AF11" s="57" t="n">
        <v>0</v>
      </c>
      <c r="AG11" s="57" t="n">
        <v>0</v>
      </c>
      <c r="AH11" s="57" t="s">
        <v>240</v>
      </c>
      <c r="AI11" s="57"/>
      <c r="AJ11" s="57" t="n">
        <v>0</v>
      </c>
      <c r="AK11" s="57" t="s">
        <v>284</v>
      </c>
      <c r="AL11" s="57" t="s">
        <v>347</v>
      </c>
      <c r="AM11" s="57" t="n">
        <v>1</v>
      </c>
      <c r="AN11" s="57" t="s">
        <v>575</v>
      </c>
      <c r="AO11" s="57" t="str">
        <f aca="false">IF(C11="County",IF(AL11="Rest of county","Remainder of County","Settlements"),IF(D11="City Centre","City Centre","Rest of City"))</f>
        <v>Rest of City</v>
      </c>
      <c r="AP11" s="57" t="str">
        <f aca="false">IF(LEFT(B11,13)="Council audit","Audit",IF(LEFT(B11,8)="Planning","Consent","Zoned"))</f>
        <v>Audit</v>
      </c>
      <c r="AQ11" s="57" t="n">
        <f aca="false">IF(N(K11)&gt;0,I11*Y11/K11,0)</f>
        <v>0.899</v>
      </c>
    </row>
    <row r="12" customFormat="false" ht="15" hidden="false" customHeight="false" outlineLevel="0" collapsed="false">
      <c r="A12" s="57" t="s">
        <v>593</v>
      </c>
      <c r="B12" s="57" t="s">
        <v>215</v>
      </c>
      <c r="C12" s="57" t="s">
        <v>216</v>
      </c>
      <c r="D12" s="57" t="s">
        <v>284</v>
      </c>
      <c r="E12" s="57" t="s">
        <v>569</v>
      </c>
      <c r="F12" s="57" t="s">
        <v>584</v>
      </c>
      <c r="G12" s="57" t="s">
        <v>585</v>
      </c>
      <c r="H12" s="57" t="s">
        <v>578</v>
      </c>
      <c r="I12" s="57" t="n">
        <v>0.654</v>
      </c>
      <c r="J12" s="57" t="n">
        <v>2.014</v>
      </c>
      <c r="K12" s="57" t="n">
        <v>30</v>
      </c>
      <c r="L12" s="57" t="s">
        <v>573</v>
      </c>
      <c r="M12" s="57"/>
      <c r="N12" s="57"/>
      <c r="O12" s="57"/>
      <c r="P12" s="57"/>
      <c r="Q12" s="57" t="s">
        <v>594</v>
      </c>
      <c r="R12" s="57" t="n">
        <v>0</v>
      </c>
      <c r="S12" s="57" t="n">
        <v>0</v>
      </c>
      <c r="T12" s="57" t="n">
        <v>0</v>
      </c>
      <c r="U12" s="57" t="n">
        <v>0</v>
      </c>
      <c r="V12" s="57" t="n">
        <v>0</v>
      </c>
      <c r="W12" s="57" t="n">
        <v>0</v>
      </c>
      <c r="X12" s="57" t="n">
        <v>0</v>
      </c>
      <c r="Y12" s="57" t="n">
        <v>30</v>
      </c>
      <c r="Z12" s="57" t="n">
        <v>30</v>
      </c>
      <c r="AA12" s="57" t="n">
        <v>30</v>
      </c>
      <c r="AB12" s="57" t="n">
        <v>0</v>
      </c>
      <c r="AC12" s="57" t="n">
        <v>0</v>
      </c>
      <c r="AD12" s="57" t="n">
        <v>0</v>
      </c>
      <c r="AE12" s="57" t="n">
        <v>0</v>
      </c>
      <c r="AF12" s="57" t="n">
        <v>0</v>
      </c>
      <c r="AG12" s="57" t="n">
        <v>0</v>
      </c>
      <c r="AH12" s="57" t="s">
        <v>240</v>
      </c>
      <c r="AI12" s="57"/>
      <c r="AJ12" s="57" t="n">
        <v>18</v>
      </c>
      <c r="AK12" s="57" t="s">
        <v>284</v>
      </c>
      <c r="AL12" s="57" t="s">
        <v>347</v>
      </c>
      <c r="AM12" s="57" t="n">
        <v>1</v>
      </c>
      <c r="AN12" s="57" t="s">
        <v>575</v>
      </c>
      <c r="AO12" s="57" t="str">
        <f aca="false">IF(C12="County",IF(AL12="Rest of county","Remainder of County","Settlements"),IF(D12="City Centre","City Centre","Rest of City"))</f>
        <v>Rest of City</v>
      </c>
      <c r="AP12" s="57" t="str">
        <f aca="false">IF(LEFT(B12,13)="Council audit","Audit",IF(LEFT(B12,8)="Planning","Consent","Zoned"))</f>
        <v>Audit</v>
      </c>
      <c r="AQ12" s="57" t="n">
        <f aca="false">IF(N(K12)&gt;0,I12*Y12/K12,0)</f>
        <v>0.654</v>
      </c>
    </row>
    <row r="13" customFormat="false" ht="15" hidden="false" customHeight="false" outlineLevel="0" collapsed="false">
      <c r="A13" s="57" t="s">
        <v>595</v>
      </c>
      <c r="B13" s="57" t="s">
        <v>215</v>
      </c>
      <c r="C13" s="57" t="s">
        <v>216</v>
      </c>
      <c r="D13" s="57" t="s">
        <v>284</v>
      </c>
      <c r="E13" s="57" t="s">
        <v>569</v>
      </c>
      <c r="F13" s="57" t="s">
        <v>570</v>
      </c>
      <c r="G13" s="57" t="s">
        <v>585</v>
      </c>
      <c r="H13" s="57" t="s">
        <v>578</v>
      </c>
      <c r="I13" s="57" t="n">
        <v>3.003</v>
      </c>
      <c r="J13" s="57" t="n">
        <v>3.003</v>
      </c>
      <c r="K13" s="57" t="n">
        <v>135</v>
      </c>
      <c r="L13" s="57" t="s">
        <v>573</v>
      </c>
      <c r="M13" s="57"/>
      <c r="N13" s="57"/>
      <c r="O13" s="57"/>
      <c r="P13" s="57"/>
      <c r="Q13" s="57" t="s">
        <v>586</v>
      </c>
      <c r="R13" s="57" t="n">
        <v>0</v>
      </c>
      <c r="S13" s="57" t="n">
        <v>0</v>
      </c>
      <c r="T13" s="57" t="n">
        <v>0</v>
      </c>
      <c r="U13" s="57" t="n">
        <v>0</v>
      </c>
      <c r="V13" s="57" t="n">
        <v>0</v>
      </c>
      <c r="W13" s="57" t="n">
        <v>0</v>
      </c>
      <c r="X13" s="57" t="n">
        <v>0</v>
      </c>
      <c r="Y13" s="57" t="n">
        <v>135</v>
      </c>
      <c r="Z13" s="57" t="n">
        <v>135</v>
      </c>
      <c r="AA13" s="57" t="n">
        <v>135</v>
      </c>
      <c r="AB13" s="57" t="n">
        <v>0</v>
      </c>
      <c r="AC13" s="57" t="n">
        <v>0</v>
      </c>
      <c r="AD13" s="57" t="n">
        <v>0</v>
      </c>
      <c r="AE13" s="57" t="n">
        <v>0</v>
      </c>
      <c r="AF13" s="57" t="n">
        <v>0</v>
      </c>
      <c r="AG13" s="57" t="n">
        <v>0</v>
      </c>
      <c r="AH13" s="57" t="s">
        <v>240</v>
      </c>
      <c r="AI13" s="57"/>
      <c r="AJ13" s="57" t="n">
        <v>4</v>
      </c>
      <c r="AK13" s="57" t="s">
        <v>284</v>
      </c>
      <c r="AL13" s="57" t="s">
        <v>347</v>
      </c>
      <c r="AM13" s="57" t="n">
        <v>1</v>
      </c>
      <c r="AN13" s="57" t="s">
        <v>575</v>
      </c>
      <c r="AO13" s="57" t="str">
        <f aca="false">IF(C13="County",IF(AL13="Rest of county","Remainder of County","Settlements"),IF(D13="City Centre","City Centre","Rest of City"))</f>
        <v>Rest of City</v>
      </c>
      <c r="AP13" s="57" t="str">
        <f aca="false">IF(LEFT(B13,13)="Council audit","Audit",IF(LEFT(B13,8)="Planning","Consent","Zoned"))</f>
        <v>Audit</v>
      </c>
      <c r="AQ13" s="57" t="n">
        <f aca="false">IF(N(K13)&gt;0,I13*Y13/K13,0)</f>
        <v>3.003</v>
      </c>
    </row>
    <row r="14" customFormat="false" ht="15" hidden="false" customHeight="false" outlineLevel="0" collapsed="false">
      <c r="A14" s="57" t="s">
        <v>596</v>
      </c>
      <c r="B14" s="57" t="s">
        <v>215</v>
      </c>
      <c r="C14" s="57" t="s">
        <v>216</v>
      </c>
      <c r="D14" s="57" t="s">
        <v>284</v>
      </c>
      <c r="E14" s="57" t="s">
        <v>569</v>
      </c>
      <c r="F14" s="57" t="s">
        <v>584</v>
      </c>
      <c r="G14" s="57" t="s">
        <v>585</v>
      </c>
      <c r="H14" s="57" t="s">
        <v>578</v>
      </c>
      <c r="I14" s="57" t="n">
        <v>0.436</v>
      </c>
      <c r="J14" s="57" t="n">
        <v>0.436</v>
      </c>
      <c r="K14" s="57" t="n">
        <v>20</v>
      </c>
      <c r="L14" s="57" t="s">
        <v>573</v>
      </c>
      <c r="M14" s="57"/>
      <c r="N14" s="57"/>
      <c r="O14" s="57"/>
      <c r="P14" s="57"/>
      <c r="Q14" s="57" t="s">
        <v>586</v>
      </c>
      <c r="R14" s="57" t="n">
        <v>0</v>
      </c>
      <c r="S14" s="57" t="n">
        <v>0</v>
      </c>
      <c r="T14" s="57" t="n">
        <v>0</v>
      </c>
      <c r="U14" s="57" t="n">
        <v>0</v>
      </c>
      <c r="V14" s="57" t="n">
        <v>0</v>
      </c>
      <c r="W14" s="57" t="n">
        <v>0</v>
      </c>
      <c r="X14" s="57" t="n">
        <v>0</v>
      </c>
      <c r="Y14" s="57" t="n">
        <v>20</v>
      </c>
      <c r="Z14" s="57" t="n">
        <v>20</v>
      </c>
      <c r="AA14" s="57" t="n">
        <v>20</v>
      </c>
      <c r="AB14" s="57" t="n">
        <v>0</v>
      </c>
      <c r="AC14" s="57" t="n">
        <v>0</v>
      </c>
      <c r="AD14" s="57" t="n">
        <v>0</v>
      </c>
      <c r="AE14" s="57" t="n">
        <v>0</v>
      </c>
      <c r="AF14" s="57" t="n">
        <v>0</v>
      </c>
      <c r="AG14" s="57" t="n">
        <v>0</v>
      </c>
      <c r="AH14" s="57" t="s">
        <v>240</v>
      </c>
      <c r="AI14" s="57"/>
      <c r="AJ14" s="57" t="n">
        <v>0</v>
      </c>
      <c r="AK14" s="57" t="s">
        <v>284</v>
      </c>
      <c r="AL14" s="57" t="s">
        <v>347</v>
      </c>
      <c r="AM14" s="57" t="n">
        <v>1</v>
      </c>
      <c r="AN14" s="57" t="s">
        <v>575</v>
      </c>
      <c r="AO14" s="57" t="str">
        <f aca="false">IF(C14="County",IF(AL14="Rest of county","Remainder of County","Settlements"),IF(D14="City Centre","City Centre","Rest of City"))</f>
        <v>Rest of City</v>
      </c>
      <c r="AP14" s="57" t="str">
        <f aca="false">IF(LEFT(B14,13)="Council audit","Audit",IF(LEFT(B14,8)="Planning","Consent","Zoned"))</f>
        <v>Audit</v>
      </c>
      <c r="AQ14" s="57" t="n">
        <f aca="false">IF(N(K14)&gt;0,I14*Y14/K14,0)</f>
        <v>0.436</v>
      </c>
    </row>
    <row r="15" customFormat="false" ht="15" hidden="false" customHeight="false" outlineLevel="0" collapsed="false">
      <c r="A15" s="57" t="s">
        <v>597</v>
      </c>
      <c r="B15" s="57" t="s">
        <v>215</v>
      </c>
      <c r="C15" s="57" t="s">
        <v>216</v>
      </c>
      <c r="D15" s="57" t="s">
        <v>284</v>
      </c>
      <c r="E15" s="57" t="s">
        <v>569</v>
      </c>
      <c r="F15" s="57" t="s">
        <v>589</v>
      </c>
      <c r="G15" s="57" t="s">
        <v>585</v>
      </c>
      <c r="H15" s="57" t="s">
        <v>578</v>
      </c>
      <c r="I15" s="57" t="n">
        <v>0.641</v>
      </c>
      <c r="J15" s="57" t="n">
        <v>0.641</v>
      </c>
      <c r="K15" s="57" t="n">
        <v>29</v>
      </c>
      <c r="L15" s="57" t="s">
        <v>573</v>
      </c>
      <c r="M15" s="57"/>
      <c r="N15" s="57"/>
      <c r="O15" s="57"/>
      <c r="P15" s="57"/>
      <c r="Q15" s="57" t="s">
        <v>586</v>
      </c>
      <c r="R15" s="57" t="n">
        <v>0</v>
      </c>
      <c r="S15" s="57" t="n">
        <v>0</v>
      </c>
      <c r="T15" s="57" t="n">
        <v>0</v>
      </c>
      <c r="U15" s="57" t="n">
        <v>0</v>
      </c>
      <c r="V15" s="57" t="n">
        <v>0</v>
      </c>
      <c r="W15" s="57" t="n">
        <v>0</v>
      </c>
      <c r="X15" s="57" t="n">
        <v>0</v>
      </c>
      <c r="Y15" s="57" t="n">
        <v>29</v>
      </c>
      <c r="Z15" s="57" t="n">
        <v>29</v>
      </c>
      <c r="AA15" s="57" t="n">
        <v>29</v>
      </c>
      <c r="AB15" s="57" t="n">
        <v>0</v>
      </c>
      <c r="AC15" s="57" t="n">
        <v>0</v>
      </c>
      <c r="AD15" s="57" t="n">
        <v>0</v>
      </c>
      <c r="AE15" s="57" t="n">
        <v>0</v>
      </c>
      <c r="AF15" s="57" t="n">
        <v>0</v>
      </c>
      <c r="AG15" s="57" t="n">
        <v>0</v>
      </c>
      <c r="AH15" s="57" t="s">
        <v>240</v>
      </c>
      <c r="AI15" s="57"/>
      <c r="AJ15" s="57" t="n">
        <v>0</v>
      </c>
      <c r="AK15" s="57" t="s">
        <v>284</v>
      </c>
      <c r="AL15" s="57" t="s">
        <v>347</v>
      </c>
      <c r="AM15" s="57" t="n">
        <v>1</v>
      </c>
      <c r="AN15" s="57" t="s">
        <v>575</v>
      </c>
      <c r="AO15" s="57" t="str">
        <f aca="false">IF(C15="County",IF(AL15="Rest of county","Remainder of County","Settlements"),IF(D15="City Centre","City Centre","Rest of City"))</f>
        <v>Rest of City</v>
      </c>
      <c r="AP15" s="57" t="str">
        <f aca="false">IF(LEFT(B15,13)="Council audit","Audit",IF(LEFT(B15,8)="Planning","Consent","Zoned"))</f>
        <v>Audit</v>
      </c>
      <c r="AQ15" s="57" t="n">
        <f aca="false">IF(N(K15)&gt;0,I15*Y15/K15,0)</f>
        <v>0.641</v>
      </c>
    </row>
    <row r="16" customFormat="false" ht="15" hidden="false" customHeight="false" outlineLevel="0" collapsed="false">
      <c r="A16" s="57" t="s">
        <v>598</v>
      </c>
      <c r="B16" s="57" t="s">
        <v>215</v>
      </c>
      <c r="C16" s="57" t="s">
        <v>216</v>
      </c>
      <c r="D16" s="57" t="s">
        <v>284</v>
      </c>
      <c r="E16" s="57" t="s">
        <v>569</v>
      </c>
      <c r="F16" s="57" t="s">
        <v>570</v>
      </c>
      <c r="G16" s="57" t="s">
        <v>577</v>
      </c>
      <c r="H16" s="57" t="s">
        <v>578</v>
      </c>
      <c r="I16" s="57" t="n">
        <v>0.172</v>
      </c>
      <c r="J16" s="57" t="n">
        <v>0.173</v>
      </c>
      <c r="K16" s="57" t="n">
        <v>31</v>
      </c>
      <c r="L16" s="57" t="s">
        <v>573</v>
      </c>
      <c r="M16" s="57"/>
      <c r="N16" s="57"/>
      <c r="O16" s="57"/>
      <c r="P16" s="57"/>
      <c r="Q16" s="57" t="s">
        <v>574</v>
      </c>
      <c r="R16" s="57" t="n">
        <v>0</v>
      </c>
      <c r="S16" s="57" t="n">
        <v>0</v>
      </c>
      <c r="T16" s="57" t="n">
        <v>0</v>
      </c>
      <c r="U16" s="57" t="n">
        <v>31</v>
      </c>
      <c r="V16" s="57" t="n">
        <v>0</v>
      </c>
      <c r="W16" s="57" t="n">
        <v>0</v>
      </c>
      <c r="X16" s="57" t="n">
        <v>31</v>
      </c>
      <c r="Y16" s="57" t="n">
        <v>0</v>
      </c>
      <c r="Z16" s="57" t="n">
        <v>31</v>
      </c>
      <c r="AA16" s="57" t="n">
        <v>31</v>
      </c>
      <c r="AB16" s="57" t="n">
        <v>0</v>
      </c>
      <c r="AC16" s="57" t="n">
        <v>0</v>
      </c>
      <c r="AD16" s="57" t="n">
        <v>0</v>
      </c>
      <c r="AE16" s="57" t="n">
        <v>0</v>
      </c>
      <c r="AF16" s="57" t="n">
        <v>0</v>
      </c>
      <c r="AG16" s="57" t="n">
        <v>0</v>
      </c>
      <c r="AH16" s="57" t="s">
        <v>239</v>
      </c>
      <c r="AI16" s="57"/>
      <c r="AJ16" s="57" t="n">
        <v>0</v>
      </c>
      <c r="AK16" s="57" t="s">
        <v>284</v>
      </c>
      <c r="AL16" s="57" t="s">
        <v>347</v>
      </c>
      <c r="AM16" s="57" t="n">
        <v>1</v>
      </c>
      <c r="AN16" s="57" t="s">
        <v>575</v>
      </c>
      <c r="AO16" s="57" t="str">
        <f aca="false">IF(C16="County",IF(AL16="Rest of county","Remainder of County","Settlements"),IF(D16="City Centre","City Centre","Rest of City"))</f>
        <v>Rest of City</v>
      </c>
      <c r="AP16" s="57" t="str">
        <f aca="false">IF(LEFT(B16,13)="Council audit","Audit",IF(LEFT(B16,8)="Planning","Consent","Zoned"))</f>
        <v>Audit</v>
      </c>
      <c r="AQ16" s="57" t="n">
        <f aca="false">IF(N(K16)&gt;0,I16*Y16/K16,0)</f>
        <v>0</v>
      </c>
    </row>
    <row r="17" customFormat="false" ht="15" hidden="false" customHeight="false" outlineLevel="0" collapsed="false">
      <c r="A17" s="57" t="s">
        <v>327</v>
      </c>
      <c r="B17" s="57" t="s">
        <v>215</v>
      </c>
      <c r="C17" s="57" t="s">
        <v>216</v>
      </c>
      <c r="D17" s="57" t="s">
        <v>258</v>
      </c>
      <c r="E17" s="57" t="s">
        <v>569</v>
      </c>
      <c r="F17" s="57" t="s">
        <v>599</v>
      </c>
      <c r="G17" s="57" t="s">
        <v>577</v>
      </c>
      <c r="H17" s="57" t="s">
        <v>600</v>
      </c>
      <c r="I17" s="57" t="n">
        <v>3.919</v>
      </c>
      <c r="J17" s="57" t="n">
        <v>3.918</v>
      </c>
      <c r="K17" s="57" t="n">
        <v>500</v>
      </c>
      <c r="L17" s="57" t="s">
        <v>573</v>
      </c>
      <c r="M17" s="57"/>
      <c r="N17" s="57"/>
      <c r="O17" s="57"/>
      <c r="P17" s="57"/>
      <c r="Q17" s="57" t="s">
        <v>586</v>
      </c>
      <c r="R17" s="57" t="n">
        <v>0</v>
      </c>
      <c r="S17" s="57" t="n">
        <v>0</v>
      </c>
      <c r="T17" s="57" t="n">
        <v>0</v>
      </c>
      <c r="U17" s="57" t="n">
        <v>0</v>
      </c>
      <c r="V17" s="57" t="n">
        <v>0</v>
      </c>
      <c r="W17" s="57" t="n">
        <v>0</v>
      </c>
      <c r="X17" s="57" t="n">
        <v>0</v>
      </c>
      <c r="Y17" s="57" t="n">
        <v>500</v>
      </c>
      <c r="Z17" s="57" t="n">
        <v>500</v>
      </c>
      <c r="AA17" s="57" t="n">
        <v>500</v>
      </c>
      <c r="AB17" s="57" t="n">
        <v>0</v>
      </c>
      <c r="AC17" s="57" t="n">
        <v>0</v>
      </c>
      <c r="AD17" s="57" t="n">
        <v>0</v>
      </c>
      <c r="AE17" s="57" t="n">
        <v>0</v>
      </c>
      <c r="AF17" s="57" t="n">
        <v>0</v>
      </c>
      <c r="AG17" s="57" t="n">
        <v>0</v>
      </c>
      <c r="AH17" s="57" t="s">
        <v>240</v>
      </c>
      <c r="AI17" s="57"/>
      <c r="AJ17" s="57" t="n">
        <v>0</v>
      </c>
      <c r="AK17" s="57" t="s">
        <v>258</v>
      </c>
      <c r="AL17" s="57" t="s">
        <v>347</v>
      </c>
      <c r="AM17" s="57" t="n">
        <v>1</v>
      </c>
      <c r="AN17" s="57" t="s">
        <v>575</v>
      </c>
      <c r="AO17" s="57" t="str">
        <f aca="false">IF(C17="County",IF(AL17="Rest of county","Remainder of County","Settlements"),IF(D17="City Centre","City Centre","Rest of City"))</f>
        <v>City Centre</v>
      </c>
      <c r="AP17" s="57" t="str">
        <f aca="false">IF(LEFT(B17,13)="Council audit","Audit",IF(LEFT(B17,8)="Planning","Consent","Zoned"))</f>
        <v>Audit</v>
      </c>
      <c r="AQ17" s="57" t="n">
        <f aca="false">IF(N(K17)&gt;0,I17*Y17/K17,0)</f>
        <v>3.919</v>
      </c>
    </row>
    <row r="18" customFormat="false" ht="15" hidden="false" customHeight="false" outlineLevel="0" collapsed="false">
      <c r="A18" s="57" t="s">
        <v>601</v>
      </c>
      <c r="B18" s="57" t="s">
        <v>215</v>
      </c>
      <c r="C18" s="57" t="s">
        <v>216</v>
      </c>
      <c r="D18" s="57" t="s">
        <v>258</v>
      </c>
      <c r="E18" s="57" t="s">
        <v>569</v>
      </c>
      <c r="F18" s="57" t="s">
        <v>570</v>
      </c>
      <c r="G18" s="57" t="s">
        <v>585</v>
      </c>
      <c r="H18" s="57" t="s">
        <v>578</v>
      </c>
      <c r="I18" s="57" t="n">
        <v>0.148</v>
      </c>
      <c r="J18" s="57" t="n">
        <v>0.148</v>
      </c>
      <c r="K18" s="57" t="n">
        <v>7</v>
      </c>
      <c r="L18" s="57" t="s">
        <v>573</v>
      </c>
      <c r="M18" s="57"/>
      <c r="N18" s="57"/>
      <c r="O18" s="57"/>
      <c r="P18" s="57"/>
      <c r="Q18" s="57" t="s">
        <v>586</v>
      </c>
      <c r="R18" s="57" t="n">
        <v>0</v>
      </c>
      <c r="S18" s="57" t="n">
        <v>0</v>
      </c>
      <c r="T18" s="57" t="n">
        <v>0</v>
      </c>
      <c r="U18" s="57" t="n">
        <v>0</v>
      </c>
      <c r="V18" s="57" t="n">
        <v>0</v>
      </c>
      <c r="W18" s="57" t="n">
        <v>0</v>
      </c>
      <c r="X18" s="57" t="n">
        <v>0</v>
      </c>
      <c r="Y18" s="57" t="n">
        <v>7</v>
      </c>
      <c r="Z18" s="57" t="n">
        <v>7</v>
      </c>
      <c r="AA18" s="57" t="n">
        <v>7</v>
      </c>
      <c r="AB18" s="57" t="n">
        <v>0</v>
      </c>
      <c r="AC18" s="57" t="n">
        <v>0</v>
      </c>
      <c r="AD18" s="57" t="n">
        <v>0</v>
      </c>
      <c r="AE18" s="57" t="n">
        <v>0</v>
      </c>
      <c r="AF18" s="57" t="n">
        <v>0</v>
      </c>
      <c r="AG18" s="57" t="n">
        <v>0</v>
      </c>
      <c r="AH18" s="57" t="s">
        <v>240</v>
      </c>
      <c r="AI18" s="57"/>
      <c r="AJ18" s="57" t="n">
        <v>0</v>
      </c>
      <c r="AK18" s="57" t="s">
        <v>258</v>
      </c>
      <c r="AL18" s="57" t="s">
        <v>347</v>
      </c>
      <c r="AM18" s="57" t="n">
        <v>1</v>
      </c>
      <c r="AN18" s="57" t="s">
        <v>575</v>
      </c>
      <c r="AO18" s="57" t="str">
        <f aca="false">IF(C18="County",IF(AL18="Rest of county","Remainder of County","Settlements"),IF(D18="City Centre","City Centre","Rest of City"))</f>
        <v>City Centre</v>
      </c>
      <c r="AP18" s="57" t="str">
        <f aca="false">IF(LEFT(B18,13)="Council audit","Audit",IF(LEFT(B18,8)="Planning","Consent","Zoned"))</f>
        <v>Audit</v>
      </c>
      <c r="AQ18" s="57" t="n">
        <f aca="false">IF(N(K18)&gt;0,I18*Y18/K18,0)</f>
        <v>0.148</v>
      </c>
    </row>
    <row r="19" customFormat="false" ht="15" hidden="false" customHeight="false" outlineLevel="0" collapsed="false">
      <c r="A19" s="57" t="s">
        <v>602</v>
      </c>
      <c r="B19" s="57" t="s">
        <v>215</v>
      </c>
      <c r="C19" s="57" t="s">
        <v>216</v>
      </c>
      <c r="D19" s="57" t="s">
        <v>284</v>
      </c>
      <c r="E19" s="57" t="s">
        <v>569</v>
      </c>
      <c r="F19" s="57" t="s">
        <v>570</v>
      </c>
      <c r="G19" s="57" t="s">
        <v>585</v>
      </c>
      <c r="H19" s="57" t="s">
        <v>578</v>
      </c>
      <c r="I19" s="57" t="n">
        <v>0.249</v>
      </c>
      <c r="J19" s="57" t="n">
        <v>0.249</v>
      </c>
      <c r="K19" s="57" t="n">
        <v>46</v>
      </c>
      <c r="L19" s="57" t="s">
        <v>573</v>
      </c>
      <c r="M19" s="57"/>
      <c r="N19" s="57"/>
      <c r="O19" s="57"/>
      <c r="P19" s="57"/>
      <c r="Q19" s="57" t="s">
        <v>574</v>
      </c>
      <c r="R19" s="57" t="n">
        <v>0</v>
      </c>
      <c r="S19" s="57" t="n">
        <v>0</v>
      </c>
      <c r="T19" s="57" t="n">
        <v>46</v>
      </c>
      <c r="U19" s="57" t="n">
        <v>0</v>
      </c>
      <c r="V19" s="57" t="n">
        <v>0</v>
      </c>
      <c r="W19" s="57" t="n">
        <v>0</v>
      </c>
      <c r="X19" s="57" t="n">
        <v>46</v>
      </c>
      <c r="Y19" s="57" t="n">
        <v>0</v>
      </c>
      <c r="Z19" s="57" t="n">
        <v>46</v>
      </c>
      <c r="AA19" s="57" t="n">
        <v>46</v>
      </c>
      <c r="AB19" s="57" t="n">
        <v>0</v>
      </c>
      <c r="AC19" s="57" t="n">
        <v>0</v>
      </c>
      <c r="AD19" s="57" t="n">
        <v>19.4</v>
      </c>
      <c r="AE19" s="57" t="n">
        <v>26.6</v>
      </c>
      <c r="AF19" s="57" t="n">
        <v>0</v>
      </c>
      <c r="AG19" s="57" t="n">
        <v>0</v>
      </c>
      <c r="AH19" s="57" t="s">
        <v>239</v>
      </c>
      <c r="AI19" s="57"/>
      <c r="AJ19" s="57" t="n">
        <v>0</v>
      </c>
      <c r="AK19" s="57" t="s">
        <v>284</v>
      </c>
      <c r="AL19" s="57" t="s">
        <v>347</v>
      </c>
      <c r="AM19" s="57" t="n">
        <v>1</v>
      </c>
      <c r="AN19" s="57" t="s">
        <v>575</v>
      </c>
      <c r="AO19" s="57" t="str">
        <f aca="false">IF(C19="County",IF(AL19="Rest of county","Remainder of County","Settlements"),IF(D19="City Centre","City Centre","Rest of City"))</f>
        <v>Rest of City</v>
      </c>
      <c r="AP19" s="57" t="str">
        <f aca="false">IF(LEFT(B19,13)="Council audit","Audit",IF(LEFT(B19,8)="Planning","Consent","Zoned"))</f>
        <v>Audit</v>
      </c>
      <c r="AQ19" s="57" t="n">
        <f aca="false">IF(N(K19)&gt;0,I19*Y19/K19,0)</f>
        <v>0</v>
      </c>
    </row>
    <row r="20" customFormat="false" ht="15" hidden="false" customHeight="false" outlineLevel="0" collapsed="false">
      <c r="A20" s="57" t="s">
        <v>603</v>
      </c>
      <c r="B20" s="57" t="s">
        <v>215</v>
      </c>
      <c r="C20" s="57" t="s">
        <v>216</v>
      </c>
      <c r="D20" s="57" t="s">
        <v>284</v>
      </c>
      <c r="E20" s="57" t="s">
        <v>569</v>
      </c>
      <c r="F20" s="57" t="s">
        <v>584</v>
      </c>
      <c r="G20" s="57" t="s">
        <v>585</v>
      </c>
      <c r="H20" s="57" t="s">
        <v>578</v>
      </c>
      <c r="I20" s="57" t="n">
        <v>0.125</v>
      </c>
      <c r="J20" s="57" t="n">
        <v>0.125</v>
      </c>
      <c r="K20" s="57" t="n">
        <v>6</v>
      </c>
      <c r="L20" s="57" t="s">
        <v>573</v>
      </c>
      <c r="M20" s="57"/>
      <c r="N20" s="57"/>
      <c r="O20" s="57"/>
      <c r="P20" s="57"/>
      <c r="Q20" s="57" t="s">
        <v>586</v>
      </c>
      <c r="R20" s="57" t="n">
        <v>0</v>
      </c>
      <c r="S20" s="57" t="n">
        <v>0</v>
      </c>
      <c r="T20" s="57" t="n">
        <v>0</v>
      </c>
      <c r="U20" s="57" t="n">
        <v>0</v>
      </c>
      <c r="V20" s="57" t="n">
        <v>0</v>
      </c>
      <c r="W20" s="57" t="n">
        <v>6</v>
      </c>
      <c r="X20" s="57" t="n">
        <v>0</v>
      </c>
      <c r="Y20" s="57" t="n">
        <v>6</v>
      </c>
      <c r="Z20" s="57" t="n">
        <v>6</v>
      </c>
      <c r="AA20" s="57" t="n">
        <v>6</v>
      </c>
      <c r="AB20" s="57" t="n">
        <v>0</v>
      </c>
      <c r="AC20" s="57" t="n">
        <v>0</v>
      </c>
      <c r="AD20" s="57" t="n">
        <v>0</v>
      </c>
      <c r="AE20" s="57" t="n">
        <v>0</v>
      </c>
      <c r="AF20" s="57" t="n">
        <v>0</v>
      </c>
      <c r="AG20" s="57" t="n">
        <v>0</v>
      </c>
      <c r="AH20" s="57" t="s">
        <v>240</v>
      </c>
      <c r="AI20" s="57"/>
      <c r="AJ20" s="57" t="n">
        <v>0</v>
      </c>
      <c r="AK20" s="57" t="s">
        <v>284</v>
      </c>
      <c r="AL20" s="57" t="s">
        <v>347</v>
      </c>
      <c r="AM20" s="57" t="n">
        <v>1</v>
      </c>
      <c r="AN20" s="57" t="s">
        <v>575</v>
      </c>
      <c r="AO20" s="57" t="str">
        <f aca="false">IF(C20="County",IF(AL20="Rest of county","Remainder of County","Settlements"),IF(D20="City Centre","City Centre","Rest of City"))</f>
        <v>Rest of City</v>
      </c>
      <c r="AP20" s="57" t="str">
        <f aca="false">IF(LEFT(B20,13)="Council audit","Audit",IF(LEFT(B20,8)="Planning","Consent","Zoned"))</f>
        <v>Audit</v>
      </c>
      <c r="AQ20" s="57" t="n">
        <f aca="false">IF(N(K20)&gt;0,I20*Y20/K20,0)</f>
        <v>0.125</v>
      </c>
    </row>
    <row r="21" customFormat="false" ht="15" hidden="false" customHeight="false" outlineLevel="0" collapsed="false">
      <c r="A21" s="57" t="s">
        <v>604</v>
      </c>
      <c r="B21" s="57" t="s">
        <v>215</v>
      </c>
      <c r="C21" s="57" t="s">
        <v>216</v>
      </c>
      <c r="D21" s="57" t="s">
        <v>289</v>
      </c>
      <c r="E21" s="57" t="s">
        <v>605</v>
      </c>
      <c r="F21" s="57" t="s">
        <v>570</v>
      </c>
      <c r="G21" s="57" t="s">
        <v>585</v>
      </c>
      <c r="H21" s="57" t="s">
        <v>572</v>
      </c>
      <c r="I21" s="57" t="n">
        <v>2.196</v>
      </c>
      <c r="J21" s="57" t="n">
        <v>2.196</v>
      </c>
      <c r="K21" s="57" t="n">
        <v>77</v>
      </c>
      <c r="L21" s="57" t="s">
        <v>573</v>
      </c>
      <c r="M21" s="57"/>
      <c r="N21" s="57"/>
      <c r="O21" s="57"/>
      <c r="P21" s="57"/>
      <c r="Q21" s="57" t="s">
        <v>586</v>
      </c>
      <c r="R21" s="57" t="n">
        <v>0</v>
      </c>
      <c r="S21" s="57" t="n">
        <v>0</v>
      </c>
      <c r="T21" s="57" t="n">
        <v>0</v>
      </c>
      <c r="U21" s="57" t="n">
        <v>0</v>
      </c>
      <c r="V21" s="57" t="n">
        <v>0</v>
      </c>
      <c r="W21" s="57" t="n">
        <v>0</v>
      </c>
      <c r="X21" s="57" t="n">
        <v>0</v>
      </c>
      <c r="Y21" s="57" t="n">
        <v>77</v>
      </c>
      <c r="Z21" s="57" t="n">
        <v>77</v>
      </c>
      <c r="AA21" s="57" t="n">
        <v>77</v>
      </c>
      <c r="AB21" s="57" t="n">
        <v>0</v>
      </c>
      <c r="AC21" s="57" t="n">
        <v>0</v>
      </c>
      <c r="AD21" s="57" t="n">
        <v>0</v>
      </c>
      <c r="AE21" s="57" t="n">
        <v>0</v>
      </c>
      <c r="AF21" s="57" t="n">
        <v>0</v>
      </c>
      <c r="AG21" s="57" t="n">
        <v>0</v>
      </c>
      <c r="AH21" s="57" t="s">
        <v>240</v>
      </c>
      <c r="AI21" s="57"/>
      <c r="AJ21" s="57" t="n">
        <v>0</v>
      </c>
      <c r="AK21" s="57" t="s">
        <v>289</v>
      </c>
      <c r="AL21" s="57" t="s">
        <v>347</v>
      </c>
      <c r="AM21" s="57" t="n">
        <v>1</v>
      </c>
      <c r="AN21" s="57" t="s">
        <v>575</v>
      </c>
      <c r="AO21" s="57" t="str">
        <f aca="false">IF(C21="County",IF(AL21="Rest of county","Remainder of County","Settlements"),IF(D21="City Centre","City Centre","Rest of City"))</f>
        <v>Rest of City</v>
      </c>
      <c r="AP21" s="57" t="str">
        <f aca="false">IF(LEFT(B21,13)="Council audit","Audit",IF(LEFT(B21,8)="Planning","Consent","Zoned"))</f>
        <v>Audit</v>
      </c>
      <c r="AQ21" s="57" t="n">
        <f aca="false">IF(N(K21)&gt;0,I21*Y21/K21,0)</f>
        <v>2.196</v>
      </c>
    </row>
    <row r="22" customFormat="false" ht="15" hidden="false" customHeight="false" outlineLevel="0" collapsed="false">
      <c r="A22" s="57" t="s">
        <v>606</v>
      </c>
      <c r="B22" s="57" t="s">
        <v>215</v>
      </c>
      <c r="C22" s="57" t="s">
        <v>216</v>
      </c>
      <c r="D22" s="57" t="s">
        <v>289</v>
      </c>
      <c r="E22" s="57" t="s">
        <v>605</v>
      </c>
      <c r="F22" s="57" t="s">
        <v>570</v>
      </c>
      <c r="G22" s="57" t="s">
        <v>585</v>
      </c>
      <c r="H22" s="57" t="s">
        <v>607</v>
      </c>
      <c r="I22" s="57" t="n">
        <v>2.326</v>
      </c>
      <c r="J22" s="57" t="n">
        <v>2.326</v>
      </c>
      <c r="K22" s="57" t="n">
        <v>86</v>
      </c>
      <c r="L22" s="57" t="s">
        <v>573</v>
      </c>
      <c r="M22" s="57"/>
      <c r="N22" s="57"/>
      <c r="O22" s="57"/>
      <c r="P22" s="57"/>
      <c r="Q22" s="57" t="s">
        <v>586</v>
      </c>
      <c r="R22" s="57" t="n">
        <v>0</v>
      </c>
      <c r="S22" s="57" t="n">
        <v>0</v>
      </c>
      <c r="T22" s="57" t="n">
        <v>0</v>
      </c>
      <c r="U22" s="57" t="n">
        <v>0</v>
      </c>
      <c r="V22" s="57" t="n">
        <v>0</v>
      </c>
      <c r="W22" s="57" t="n">
        <v>0</v>
      </c>
      <c r="X22" s="57" t="n">
        <v>0</v>
      </c>
      <c r="Y22" s="57" t="n">
        <v>86</v>
      </c>
      <c r="Z22" s="57" t="n">
        <v>86</v>
      </c>
      <c r="AA22" s="57" t="n">
        <v>86</v>
      </c>
      <c r="AB22" s="57" t="n">
        <v>0</v>
      </c>
      <c r="AC22" s="57" t="n">
        <v>0</v>
      </c>
      <c r="AD22" s="57" t="n">
        <v>0</v>
      </c>
      <c r="AE22" s="57" t="n">
        <v>0</v>
      </c>
      <c r="AF22" s="57" t="n">
        <v>0</v>
      </c>
      <c r="AG22" s="57" t="n">
        <v>0</v>
      </c>
      <c r="AH22" s="57" t="s">
        <v>240</v>
      </c>
      <c r="AI22" s="57"/>
      <c r="AJ22" s="57" t="n">
        <v>0</v>
      </c>
      <c r="AK22" s="57" t="s">
        <v>289</v>
      </c>
      <c r="AL22" s="57" t="s">
        <v>347</v>
      </c>
      <c r="AM22" s="57" t="n">
        <v>1</v>
      </c>
      <c r="AN22" s="57" t="s">
        <v>575</v>
      </c>
      <c r="AO22" s="57" t="str">
        <f aca="false">IF(C22="County",IF(AL22="Rest of county","Remainder of County","Settlements"),IF(D22="City Centre","City Centre","Rest of City"))</f>
        <v>Rest of City</v>
      </c>
      <c r="AP22" s="57" t="str">
        <f aca="false">IF(LEFT(B22,13)="Council audit","Audit",IF(LEFT(B22,8)="Planning","Consent","Zoned"))</f>
        <v>Audit</v>
      </c>
      <c r="AQ22" s="57" t="n">
        <f aca="false">IF(N(K22)&gt;0,I22*Y22/K22,0)</f>
        <v>2.326</v>
      </c>
    </row>
    <row r="23" customFormat="false" ht="15" hidden="false" customHeight="false" outlineLevel="0" collapsed="false">
      <c r="A23" s="57" t="s">
        <v>608</v>
      </c>
      <c r="B23" s="57" t="s">
        <v>215</v>
      </c>
      <c r="C23" s="57" t="s">
        <v>216</v>
      </c>
      <c r="D23" s="57" t="s">
        <v>289</v>
      </c>
      <c r="E23" s="57" t="s">
        <v>605</v>
      </c>
      <c r="F23" s="57" t="s">
        <v>570</v>
      </c>
      <c r="G23" s="57" t="s">
        <v>585</v>
      </c>
      <c r="H23" s="57" t="s">
        <v>609</v>
      </c>
      <c r="I23" s="57" t="n">
        <v>0.586</v>
      </c>
      <c r="J23" s="57" t="n">
        <v>0.586</v>
      </c>
      <c r="K23" s="57" t="n">
        <v>25</v>
      </c>
      <c r="L23" s="57" t="s">
        <v>573</v>
      </c>
      <c r="M23" s="57"/>
      <c r="N23" s="57"/>
      <c r="O23" s="57"/>
      <c r="P23" s="57"/>
      <c r="Q23" s="57" t="s">
        <v>586</v>
      </c>
      <c r="R23" s="57" t="n">
        <v>0</v>
      </c>
      <c r="S23" s="57" t="n">
        <v>0</v>
      </c>
      <c r="T23" s="57" t="n">
        <v>0</v>
      </c>
      <c r="U23" s="57" t="n">
        <v>0</v>
      </c>
      <c r="V23" s="57" t="n">
        <v>0</v>
      </c>
      <c r="W23" s="57" t="n">
        <v>0</v>
      </c>
      <c r="X23" s="57" t="n">
        <v>0</v>
      </c>
      <c r="Y23" s="57" t="n">
        <v>25</v>
      </c>
      <c r="Z23" s="57" t="n">
        <v>25</v>
      </c>
      <c r="AA23" s="57" t="n">
        <v>25</v>
      </c>
      <c r="AB23" s="57" t="n">
        <v>0</v>
      </c>
      <c r="AC23" s="57" t="n">
        <v>0</v>
      </c>
      <c r="AD23" s="57" t="n">
        <v>0</v>
      </c>
      <c r="AE23" s="57" t="n">
        <v>0</v>
      </c>
      <c r="AF23" s="57" t="n">
        <v>0</v>
      </c>
      <c r="AG23" s="57" t="n">
        <v>0</v>
      </c>
      <c r="AH23" s="57" t="s">
        <v>240</v>
      </c>
      <c r="AI23" s="57"/>
      <c r="AJ23" s="57" t="n">
        <v>0</v>
      </c>
      <c r="AK23" s="57" t="s">
        <v>289</v>
      </c>
      <c r="AL23" s="57" t="s">
        <v>347</v>
      </c>
      <c r="AM23" s="57" t="n">
        <v>1</v>
      </c>
      <c r="AN23" s="57" t="s">
        <v>575</v>
      </c>
      <c r="AO23" s="57" t="str">
        <f aca="false">IF(C23="County",IF(AL23="Rest of county","Remainder of County","Settlements"),IF(D23="City Centre","City Centre","Rest of City"))</f>
        <v>Rest of City</v>
      </c>
      <c r="AP23" s="57" t="str">
        <f aca="false">IF(LEFT(B23,13)="Council audit","Audit",IF(LEFT(B23,8)="Planning","Consent","Zoned"))</f>
        <v>Audit</v>
      </c>
      <c r="AQ23" s="57" t="n">
        <f aca="false">IF(N(K23)&gt;0,I23*Y23/K23,0)</f>
        <v>0.586</v>
      </c>
    </row>
    <row r="24" customFormat="false" ht="15" hidden="false" customHeight="false" outlineLevel="0" collapsed="false">
      <c r="A24" s="57" t="s">
        <v>610</v>
      </c>
      <c r="B24" s="57" t="s">
        <v>215</v>
      </c>
      <c r="C24" s="57" t="s">
        <v>216</v>
      </c>
      <c r="D24" s="57" t="s">
        <v>289</v>
      </c>
      <c r="E24" s="57" t="s">
        <v>605</v>
      </c>
      <c r="F24" s="57" t="s">
        <v>570</v>
      </c>
      <c r="G24" s="57" t="s">
        <v>585</v>
      </c>
      <c r="H24" s="57" t="s">
        <v>578</v>
      </c>
      <c r="I24" s="57" t="n">
        <v>1.889</v>
      </c>
      <c r="J24" s="57" t="n">
        <v>1.888</v>
      </c>
      <c r="K24" s="57" t="n">
        <v>85</v>
      </c>
      <c r="L24" s="57" t="s">
        <v>573</v>
      </c>
      <c r="M24" s="57"/>
      <c r="N24" s="57"/>
      <c r="O24" s="57"/>
      <c r="P24" s="57"/>
      <c r="Q24" s="57" t="s">
        <v>586</v>
      </c>
      <c r="R24" s="57" t="n">
        <v>0</v>
      </c>
      <c r="S24" s="57" t="n">
        <v>0</v>
      </c>
      <c r="T24" s="57" t="n">
        <v>0</v>
      </c>
      <c r="U24" s="57" t="n">
        <v>0</v>
      </c>
      <c r="V24" s="57" t="n">
        <v>0</v>
      </c>
      <c r="W24" s="57" t="n">
        <v>0</v>
      </c>
      <c r="X24" s="57" t="n">
        <v>0</v>
      </c>
      <c r="Y24" s="57" t="n">
        <v>85</v>
      </c>
      <c r="Z24" s="57" t="n">
        <v>85</v>
      </c>
      <c r="AA24" s="57" t="n">
        <v>85</v>
      </c>
      <c r="AB24" s="57" t="n">
        <v>0</v>
      </c>
      <c r="AC24" s="57" t="n">
        <v>0</v>
      </c>
      <c r="AD24" s="57" t="n">
        <v>0</v>
      </c>
      <c r="AE24" s="57" t="n">
        <v>0</v>
      </c>
      <c r="AF24" s="57" t="n">
        <v>0</v>
      </c>
      <c r="AG24" s="57" t="n">
        <v>0</v>
      </c>
      <c r="AH24" s="57" t="s">
        <v>240</v>
      </c>
      <c r="AI24" s="57"/>
      <c r="AJ24" s="57" t="n">
        <v>0</v>
      </c>
      <c r="AK24" s="57" t="s">
        <v>289</v>
      </c>
      <c r="AL24" s="57" t="s">
        <v>347</v>
      </c>
      <c r="AM24" s="57" t="n">
        <v>1</v>
      </c>
      <c r="AN24" s="57" t="s">
        <v>575</v>
      </c>
      <c r="AO24" s="57" t="str">
        <f aca="false">IF(C24="County",IF(AL24="Rest of county","Remainder of County","Settlements"),IF(D24="City Centre","City Centre","Rest of City"))</f>
        <v>Rest of City</v>
      </c>
      <c r="AP24" s="57" t="str">
        <f aca="false">IF(LEFT(B24,13)="Council audit","Audit",IF(LEFT(B24,8)="Planning","Consent","Zoned"))</f>
        <v>Audit</v>
      </c>
      <c r="AQ24" s="57" t="n">
        <f aca="false">IF(N(K24)&gt;0,I24*Y24/K24,0)</f>
        <v>1.889</v>
      </c>
    </row>
    <row r="25" customFormat="false" ht="15" hidden="false" customHeight="false" outlineLevel="0" collapsed="false">
      <c r="A25" s="57" t="s">
        <v>611</v>
      </c>
      <c r="B25" s="57" t="s">
        <v>215</v>
      </c>
      <c r="C25" s="57" t="s">
        <v>216</v>
      </c>
      <c r="D25" s="57" t="s">
        <v>289</v>
      </c>
      <c r="E25" s="57" t="s">
        <v>605</v>
      </c>
      <c r="F25" s="57" t="s">
        <v>570</v>
      </c>
      <c r="G25" s="57" t="s">
        <v>585</v>
      </c>
      <c r="H25" s="57" t="s">
        <v>578</v>
      </c>
      <c r="I25" s="57" t="n">
        <v>0.476</v>
      </c>
      <c r="J25" s="57" t="n">
        <v>0.475</v>
      </c>
      <c r="K25" s="57" t="n">
        <v>21</v>
      </c>
      <c r="L25" s="57" t="s">
        <v>573</v>
      </c>
      <c r="M25" s="57"/>
      <c r="N25" s="57"/>
      <c r="O25" s="57"/>
      <c r="P25" s="57"/>
      <c r="Q25" s="57" t="s">
        <v>586</v>
      </c>
      <c r="R25" s="57" t="n">
        <v>0</v>
      </c>
      <c r="S25" s="57" t="n">
        <v>0</v>
      </c>
      <c r="T25" s="57" t="n">
        <v>25</v>
      </c>
      <c r="U25" s="57" t="n">
        <v>0</v>
      </c>
      <c r="V25" s="57" t="n">
        <v>0</v>
      </c>
      <c r="W25" s="57" t="n">
        <v>0</v>
      </c>
      <c r="X25" s="57" t="n">
        <v>25</v>
      </c>
      <c r="Y25" s="57" t="n">
        <v>0</v>
      </c>
      <c r="Z25" s="57" t="n">
        <v>25</v>
      </c>
      <c r="AA25" s="57" t="n">
        <v>25</v>
      </c>
      <c r="AB25" s="57" t="n">
        <v>0</v>
      </c>
      <c r="AC25" s="57" t="n">
        <v>0</v>
      </c>
      <c r="AD25" s="57" t="n">
        <v>8.5</v>
      </c>
      <c r="AE25" s="57" t="n">
        <v>16.5</v>
      </c>
      <c r="AF25" s="57" t="n">
        <v>0</v>
      </c>
      <c r="AG25" s="57" t="n">
        <v>0</v>
      </c>
      <c r="AH25" s="57" t="s">
        <v>239</v>
      </c>
      <c r="AI25" s="57" t="s">
        <v>591</v>
      </c>
      <c r="AJ25" s="57" t="n">
        <v>0</v>
      </c>
      <c r="AK25" s="57" t="s">
        <v>289</v>
      </c>
      <c r="AL25" s="57" t="s">
        <v>347</v>
      </c>
      <c r="AM25" s="57" t="n">
        <v>1</v>
      </c>
      <c r="AN25" s="57" t="s">
        <v>575</v>
      </c>
      <c r="AO25" s="57" t="str">
        <f aca="false">IF(C25="County",IF(AL25="Rest of county","Remainder of County","Settlements"),IF(D25="City Centre","City Centre","Rest of City"))</f>
        <v>Rest of City</v>
      </c>
      <c r="AP25" s="57" t="str">
        <f aca="false">IF(LEFT(B25,13)="Council audit","Audit",IF(LEFT(B25,8)="Planning","Consent","Zoned"))</f>
        <v>Audit</v>
      </c>
      <c r="AQ25" s="57" t="n">
        <f aca="false">IF(N(K25)&gt;0,I25*Y25/K25,0)</f>
        <v>0</v>
      </c>
    </row>
    <row r="26" customFormat="false" ht="15" hidden="false" customHeight="false" outlineLevel="0" collapsed="false">
      <c r="A26" s="57" t="s">
        <v>612</v>
      </c>
      <c r="B26" s="57" t="s">
        <v>215</v>
      </c>
      <c r="C26" s="57" t="s">
        <v>216</v>
      </c>
      <c r="D26" s="57" t="s">
        <v>289</v>
      </c>
      <c r="E26" s="57" t="s">
        <v>605</v>
      </c>
      <c r="F26" s="57" t="s">
        <v>570</v>
      </c>
      <c r="G26" s="57" t="s">
        <v>585</v>
      </c>
      <c r="H26" s="57" t="s">
        <v>613</v>
      </c>
      <c r="I26" s="57" t="n">
        <v>1.061</v>
      </c>
      <c r="J26" s="57" t="n">
        <v>1.061</v>
      </c>
      <c r="K26" s="57" t="n">
        <v>37</v>
      </c>
      <c r="L26" s="57" t="s">
        <v>573</v>
      </c>
      <c r="M26" s="57"/>
      <c r="N26" s="57"/>
      <c r="O26" s="57"/>
      <c r="P26" s="57"/>
      <c r="Q26" s="57" t="s">
        <v>574</v>
      </c>
      <c r="R26" s="57" t="n">
        <v>0</v>
      </c>
      <c r="S26" s="57" t="n">
        <v>26</v>
      </c>
      <c r="T26" s="57" t="n">
        <v>0</v>
      </c>
      <c r="U26" s="57" t="n">
        <v>0</v>
      </c>
      <c r="V26" s="57" t="n">
        <v>0</v>
      </c>
      <c r="W26" s="57" t="n">
        <v>0</v>
      </c>
      <c r="X26" s="57" t="n">
        <v>26</v>
      </c>
      <c r="Y26" s="57" t="n">
        <v>11</v>
      </c>
      <c r="Z26" s="57" t="n">
        <v>37</v>
      </c>
      <c r="AA26" s="57" t="n">
        <v>37</v>
      </c>
      <c r="AB26" s="57" t="n">
        <v>6.1</v>
      </c>
      <c r="AC26" s="57" t="n">
        <v>19.9</v>
      </c>
      <c r="AD26" s="57" t="n">
        <v>0</v>
      </c>
      <c r="AE26" s="57" t="n">
        <v>0</v>
      </c>
      <c r="AF26" s="57" t="n">
        <v>0</v>
      </c>
      <c r="AG26" s="57" t="n">
        <v>0</v>
      </c>
      <c r="AH26" s="57" t="s">
        <v>239</v>
      </c>
      <c r="AI26" s="57"/>
      <c r="AJ26" s="57" t="n">
        <v>0</v>
      </c>
      <c r="AK26" s="57" t="s">
        <v>289</v>
      </c>
      <c r="AL26" s="57" t="s">
        <v>347</v>
      </c>
      <c r="AM26" s="57" t="n">
        <v>1</v>
      </c>
      <c r="AN26" s="57" t="s">
        <v>575</v>
      </c>
      <c r="AO26" s="57" t="str">
        <f aca="false">IF(C26="County",IF(AL26="Rest of county","Remainder of County","Settlements"),IF(D26="City Centre","City Centre","Rest of City"))</f>
        <v>Rest of City</v>
      </c>
      <c r="AP26" s="57" t="str">
        <f aca="false">IF(LEFT(B26,13)="Council audit","Audit",IF(LEFT(B26,8)="Planning","Consent","Zoned"))</f>
        <v>Audit</v>
      </c>
      <c r="AQ26" s="57" t="n">
        <f aca="false">IF(N(K26)&gt;0,I26*Y26/K26,0)</f>
        <v>0.315432432432432</v>
      </c>
    </row>
    <row r="27" customFormat="false" ht="15" hidden="false" customHeight="false" outlineLevel="0" collapsed="false">
      <c r="A27" s="57" t="s">
        <v>614</v>
      </c>
      <c r="B27" s="57" t="s">
        <v>215</v>
      </c>
      <c r="C27" s="57" t="s">
        <v>216</v>
      </c>
      <c r="D27" s="57" t="s">
        <v>289</v>
      </c>
      <c r="E27" s="57" t="s">
        <v>605</v>
      </c>
      <c r="F27" s="57" t="s">
        <v>570</v>
      </c>
      <c r="G27" s="57" t="s">
        <v>585</v>
      </c>
      <c r="H27" s="57" t="s">
        <v>615</v>
      </c>
      <c r="I27" s="57" t="n">
        <v>4.273</v>
      </c>
      <c r="J27" s="57" t="n">
        <v>4.272</v>
      </c>
      <c r="K27" s="57" t="n">
        <v>178</v>
      </c>
      <c r="L27" s="57" t="s">
        <v>573</v>
      </c>
      <c r="M27" s="57"/>
      <c r="N27" s="57"/>
      <c r="O27" s="57"/>
      <c r="P27" s="57"/>
      <c r="Q27" s="57" t="s">
        <v>586</v>
      </c>
      <c r="R27" s="57" t="n">
        <v>0</v>
      </c>
      <c r="S27" s="57" t="n">
        <v>0</v>
      </c>
      <c r="T27" s="57" t="n">
        <v>0</v>
      </c>
      <c r="U27" s="57" t="n">
        <v>0</v>
      </c>
      <c r="V27" s="57" t="n">
        <v>0</v>
      </c>
      <c r="W27" s="57" t="n">
        <v>0</v>
      </c>
      <c r="X27" s="57" t="n">
        <v>0</v>
      </c>
      <c r="Y27" s="57" t="n">
        <v>178</v>
      </c>
      <c r="Z27" s="57" t="n">
        <v>178</v>
      </c>
      <c r="AA27" s="57" t="n">
        <v>178</v>
      </c>
      <c r="AB27" s="57" t="n">
        <v>0</v>
      </c>
      <c r="AC27" s="57" t="n">
        <v>0</v>
      </c>
      <c r="AD27" s="57" t="n">
        <v>0</v>
      </c>
      <c r="AE27" s="57" t="n">
        <v>0</v>
      </c>
      <c r="AF27" s="57" t="n">
        <v>0</v>
      </c>
      <c r="AG27" s="57" t="n">
        <v>0</v>
      </c>
      <c r="AH27" s="57" t="s">
        <v>240</v>
      </c>
      <c r="AI27" s="57"/>
      <c r="AJ27" s="57" t="n">
        <v>0</v>
      </c>
      <c r="AK27" s="57" t="s">
        <v>289</v>
      </c>
      <c r="AL27" s="57" t="s">
        <v>347</v>
      </c>
      <c r="AM27" s="57" t="n">
        <v>1</v>
      </c>
      <c r="AN27" s="57" t="s">
        <v>575</v>
      </c>
      <c r="AO27" s="57" t="str">
        <f aca="false">IF(C27="County",IF(AL27="Rest of county","Remainder of County","Settlements"),IF(D27="City Centre","City Centre","Rest of City"))</f>
        <v>Rest of City</v>
      </c>
      <c r="AP27" s="57" t="str">
        <f aca="false">IF(LEFT(B27,13)="Council audit","Audit",IF(LEFT(B27,8)="Planning","Consent","Zoned"))</f>
        <v>Audit</v>
      </c>
      <c r="AQ27" s="57" t="n">
        <f aca="false">IF(N(K27)&gt;0,I27*Y27/K27,0)</f>
        <v>4.273</v>
      </c>
    </row>
    <row r="28" customFormat="false" ht="15" hidden="false" customHeight="false" outlineLevel="0" collapsed="false">
      <c r="A28" s="57" t="s">
        <v>616</v>
      </c>
      <c r="B28" s="57" t="s">
        <v>215</v>
      </c>
      <c r="C28" s="57" t="s">
        <v>216</v>
      </c>
      <c r="D28" s="57" t="s">
        <v>289</v>
      </c>
      <c r="E28" s="57" t="s">
        <v>605</v>
      </c>
      <c r="F28" s="57" t="s">
        <v>570</v>
      </c>
      <c r="G28" s="57" t="s">
        <v>585</v>
      </c>
      <c r="H28" s="57" t="s">
        <v>572</v>
      </c>
      <c r="I28" s="57" t="n">
        <v>2.57</v>
      </c>
      <c r="J28" s="57" t="n">
        <v>2.569</v>
      </c>
      <c r="K28" s="57" t="n">
        <v>90</v>
      </c>
      <c r="L28" s="57" t="s">
        <v>573</v>
      </c>
      <c r="M28" s="57"/>
      <c r="N28" s="57"/>
      <c r="O28" s="57"/>
      <c r="P28" s="57"/>
      <c r="Q28" s="57" t="s">
        <v>586</v>
      </c>
      <c r="R28" s="57" t="n">
        <v>0</v>
      </c>
      <c r="S28" s="57" t="n">
        <v>0</v>
      </c>
      <c r="T28" s="57" t="n">
        <v>0</v>
      </c>
      <c r="U28" s="57" t="n">
        <v>0</v>
      </c>
      <c r="V28" s="57" t="n">
        <v>0</v>
      </c>
      <c r="W28" s="57" t="n">
        <v>0</v>
      </c>
      <c r="X28" s="57" t="n">
        <v>0</v>
      </c>
      <c r="Y28" s="57" t="n">
        <v>90</v>
      </c>
      <c r="Z28" s="57" t="n">
        <v>90</v>
      </c>
      <c r="AA28" s="57" t="n">
        <v>90</v>
      </c>
      <c r="AB28" s="57" t="n">
        <v>0</v>
      </c>
      <c r="AC28" s="57" t="n">
        <v>0</v>
      </c>
      <c r="AD28" s="57" t="n">
        <v>0</v>
      </c>
      <c r="AE28" s="57" t="n">
        <v>0</v>
      </c>
      <c r="AF28" s="57" t="n">
        <v>0</v>
      </c>
      <c r="AG28" s="57" t="n">
        <v>0</v>
      </c>
      <c r="AH28" s="57" t="s">
        <v>240</v>
      </c>
      <c r="AI28" s="57"/>
      <c r="AJ28" s="57" t="n">
        <v>0</v>
      </c>
      <c r="AK28" s="57" t="s">
        <v>289</v>
      </c>
      <c r="AL28" s="57" t="s">
        <v>347</v>
      </c>
      <c r="AM28" s="57" t="n">
        <v>1</v>
      </c>
      <c r="AN28" s="57" t="s">
        <v>575</v>
      </c>
      <c r="AO28" s="57" t="str">
        <f aca="false">IF(C28="County",IF(AL28="Rest of county","Remainder of County","Settlements"),IF(D28="City Centre","City Centre","Rest of City"))</f>
        <v>Rest of City</v>
      </c>
      <c r="AP28" s="57" t="str">
        <f aca="false">IF(LEFT(B28,13)="Council audit","Audit",IF(LEFT(B28,8)="Planning","Consent","Zoned"))</f>
        <v>Audit</v>
      </c>
      <c r="AQ28" s="57" t="n">
        <f aca="false">IF(N(K28)&gt;0,I28*Y28/K28,0)</f>
        <v>2.57</v>
      </c>
    </row>
    <row r="29" customFormat="false" ht="15" hidden="false" customHeight="false" outlineLevel="0" collapsed="false">
      <c r="A29" s="57" t="s">
        <v>617</v>
      </c>
      <c r="B29" s="57" t="s">
        <v>215</v>
      </c>
      <c r="C29" s="57" t="s">
        <v>216</v>
      </c>
      <c r="D29" s="57" t="s">
        <v>289</v>
      </c>
      <c r="E29" s="57" t="s">
        <v>605</v>
      </c>
      <c r="F29" s="57" t="s">
        <v>570</v>
      </c>
      <c r="G29" s="57" t="s">
        <v>585</v>
      </c>
      <c r="H29" s="57" t="s">
        <v>572</v>
      </c>
      <c r="I29" s="57" t="n">
        <v>1.33</v>
      </c>
      <c r="J29" s="57" t="n">
        <v>1.33</v>
      </c>
      <c r="K29" s="57" t="n">
        <v>47</v>
      </c>
      <c r="L29" s="57" t="s">
        <v>573</v>
      </c>
      <c r="M29" s="57"/>
      <c r="N29" s="57"/>
      <c r="O29" s="57"/>
      <c r="P29" s="57"/>
      <c r="Q29" s="57" t="s">
        <v>574</v>
      </c>
      <c r="R29" s="57" t="n">
        <v>0</v>
      </c>
      <c r="S29" s="57" t="n">
        <v>0</v>
      </c>
      <c r="T29" s="57" t="n">
        <v>0</v>
      </c>
      <c r="U29" s="57" t="n">
        <v>0</v>
      </c>
      <c r="V29" s="57" t="n">
        <v>0</v>
      </c>
      <c r="W29" s="57" t="n">
        <v>0</v>
      </c>
      <c r="X29" s="57" t="n">
        <v>0</v>
      </c>
      <c r="Y29" s="57" t="n">
        <v>47</v>
      </c>
      <c r="Z29" s="57" t="n">
        <v>47</v>
      </c>
      <c r="AA29" s="57" t="n">
        <v>47</v>
      </c>
      <c r="AB29" s="57" t="n">
        <v>0</v>
      </c>
      <c r="AC29" s="57" t="n">
        <v>0</v>
      </c>
      <c r="AD29" s="57" t="n">
        <v>0</v>
      </c>
      <c r="AE29" s="57" t="n">
        <v>0</v>
      </c>
      <c r="AF29" s="57" t="n">
        <v>0</v>
      </c>
      <c r="AG29" s="57" t="n">
        <v>0</v>
      </c>
      <c r="AH29" s="57" t="s">
        <v>240</v>
      </c>
      <c r="AI29" s="57"/>
      <c r="AJ29" s="57" t="n">
        <v>0</v>
      </c>
      <c r="AK29" s="57" t="s">
        <v>289</v>
      </c>
      <c r="AL29" s="57" t="s">
        <v>347</v>
      </c>
      <c r="AM29" s="57" t="n">
        <v>1</v>
      </c>
      <c r="AN29" s="57" t="s">
        <v>575</v>
      </c>
      <c r="AO29" s="57" t="str">
        <f aca="false">IF(C29="County",IF(AL29="Rest of county","Remainder of County","Settlements"),IF(D29="City Centre","City Centre","Rest of City"))</f>
        <v>Rest of City</v>
      </c>
      <c r="AP29" s="57" t="str">
        <f aca="false">IF(LEFT(B29,13)="Council audit","Audit",IF(LEFT(B29,8)="Planning","Consent","Zoned"))</f>
        <v>Audit</v>
      </c>
      <c r="AQ29" s="57" t="n">
        <f aca="false">IF(N(K29)&gt;0,I29*Y29/K29,0)</f>
        <v>1.33</v>
      </c>
    </row>
    <row r="30" customFormat="false" ht="15" hidden="false" customHeight="false" outlineLevel="0" collapsed="false">
      <c r="A30" s="57" t="s">
        <v>618</v>
      </c>
      <c r="B30" s="57" t="s">
        <v>215</v>
      </c>
      <c r="C30" s="57" t="s">
        <v>216</v>
      </c>
      <c r="D30" s="57" t="s">
        <v>291</v>
      </c>
      <c r="E30" s="57" t="s">
        <v>605</v>
      </c>
      <c r="F30" s="57" t="s">
        <v>599</v>
      </c>
      <c r="G30" s="57" t="s">
        <v>577</v>
      </c>
      <c r="H30" s="57" t="s">
        <v>600</v>
      </c>
      <c r="I30" s="57" t="n">
        <v>0.132</v>
      </c>
      <c r="J30" s="57" t="n">
        <v>0.132</v>
      </c>
      <c r="K30" s="57" t="n">
        <v>13</v>
      </c>
      <c r="L30" s="57" t="s">
        <v>573</v>
      </c>
      <c r="M30" s="57"/>
      <c r="N30" s="57"/>
      <c r="O30" s="57"/>
      <c r="P30" s="57"/>
      <c r="Q30" s="57" t="s">
        <v>586</v>
      </c>
      <c r="R30" s="57" t="n">
        <v>0</v>
      </c>
      <c r="S30" s="57" t="n">
        <v>0</v>
      </c>
      <c r="T30" s="57" t="n">
        <v>0</v>
      </c>
      <c r="U30" s="57" t="n">
        <v>0</v>
      </c>
      <c r="V30" s="57" t="n">
        <v>0</v>
      </c>
      <c r="W30" s="57" t="n">
        <v>0</v>
      </c>
      <c r="X30" s="57" t="n">
        <v>0</v>
      </c>
      <c r="Y30" s="57" t="n">
        <v>13</v>
      </c>
      <c r="Z30" s="57" t="n">
        <v>13</v>
      </c>
      <c r="AA30" s="57" t="n">
        <v>13</v>
      </c>
      <c r="AB30" s="57" t="n">
        <v>0</v>
      </c>
      <c r="AC30" s="57" t="n">
        <v>0</v>
      </c>
      <c r="AD30" s="57" t="n">
        <v>0</v>
      </c>
      <c r="AE30" s="57" t="n">
        <v>0</v>
      </c>
      <c r="AF30" s="57" t="n">
        <v>0</v>
      </c>
      <c r="AG30" s="57" t="n">
        <v>0</v>
      </c>
      <c r="AH30" s="57" t="s">
        <v>240</v>
      </c>
      <c r="AI30" s="57"/>
      <c r="AJ30" s="57" t="n">
        <v>0</v>
      </c>
      <c r="AK30" s="57" t="s">
        <v>291</v>
      </c>
      <c r="AL30" s="57" t="s">
        <v>347</v>
      </c>
      <c r="AM30" s="57" t="n">
        <v>1</v>
      </c>
      <c r="AN30" s="57" t="s">
        <v>575</v>
      </c>
      <c r="AO30" s="57" t="str">
        <f aca="false">IF(C30="County",IF(AL30="Rest of county","Remainder of County","Settlements"),IF(D30="City Centre","City Centre","Rest of City"))</f>
        <v>Rest of City</v>
      </c>
      <c r="AP30" s="57" t="str">
        <f aca="false">IF(LEFT(B30,13)="Council audit","Audit",IF(LEFT(B30,8)="Planning","Consent","Zoned"))</f>
        <v>Audit</v>
      </c>
      <c r="AQ30" s="57" t="n">
        <f aca="false">IF(N(K30)&gt;0,I30*Y30/K30,0)</f>
        <v>0.132</v>
      </c>
    </row>
    <row r="31" customFormat="false" ht="15" hidden="false" customHeight="false" outlineLevel="0" collapsed="false">
      <c r="A31" s="57" t="s">
        <v>619</v>
      </c>
      <c r="B31" s="57" t="s">
        <v>215</v>
      </c>
      <c r="C31" s="57" t="s">
        <v>216</v>
      </c>
      <c r="D31" s="57" t="s">
        <v>291</v>
      </c>
      <c r="E31" s="57" t="s">
        <v>605</v>
      </c>
      <c r="F31" s="57" t="s">
        <v>599</v>
      </c>
      <c r="G31" s="57" t="s">
        <v>577</v>
      </c>
      <c r="H31" s="57" t="s">
        <v>600</v>
      </c>
      <c r="I31" s="57" t="n">
        <v>0.106</v>
      </c>
      <c r="J31" s="57" t="n">
        <v>0.107</v>
      </c>
      <c r="K31" s="57" t="n">
        <v>11</v>
      </c>
      <c r="L31" s="57" t="s">
        <v>573</v>
      </c>
      <c r="M31" s="57"/>
      <c r="N31" s="57"/>
      <c r="O31" s="57"/>
      <c r="P31" s="57"/>
      <c r="Q31" s="57" t="s">
        <v>586</v>
      </c>
      <c r="R31" s="57" t="n">
        <v>0</v>
      </c>
      <c r="S31" s="57" t="n">
        <v>0</v>
      </c>
      <c r="T31" s="57" t="n">
        <v>0</v>
      </c>
      <c r="U31" s="57" t="n">
        <v>0</v>
      </c>
      <c r="V31" s="57" t="n">
        <v>0</v>
      </c>
      <c r="W31" s="57" t="n">
        <v>30</v>
      </c>
      <c r="X31" s="57" t="n">
        <v>0</v>
      </c>
      <c r="Y31" s="57" t="n">
        <v>11</v>
      </c>
      <c r="Z31" s="57" t="n">
        <v>11</v>
      </c>
      <c r="AA31" s="57" t="n">
        <v>11</v>
      </c>
      <c r="AB31" s="57" t="n">
        <v>0</v>
      </c>
      <c r="AC31" s="57" t="n">
        <v>0</v>
      </c>
      <c r="AD31" s="57" t="n">
        <v>0</v>
      </c>
      <c r="AE31" s="57" t="n">
        <v>0</v>
      </c>
      <c r="AF31" s="57" t="n">
        <v>0</v>
      </c>
      <c r="AG31" s="57" t="n">
        <v>0</v>
      </c>
      <c r="AH31" s="57" t="s">
        <v>240</v>
      </c>
      <c r="AI31" s="57"/>
      <c r="AJ31" s="57" t="n">
        <v>0</v>
      </c>
      <c r="AK31" s="57" t="s">
        <v>291</v>
      </c>
      <c r="AL31" s="57" t="s">
        <v>347</v>
      </c>
      <c r="AM31" s="57" t="n">
        <v>1</v>
      </c>
      <c r="AN31" s="57" t="s">
        <v>575</v>
      </c>
      <c r="AO31" s="57" t="str">
        <f aca="false">IF(C31="County",IF(AL31="Rest of county","Remainder of County","Settlements"),IF(D31="City Centre","City Centre","Rest of City"))</f>
        <v>Rest of City</v>
      </c>
      <c r="AP31" s="57" t="str">
        <f aca="false">IF(LEFT(B31,13)="Council audit","Audit",IF(LEFT(B31,8)="Planning","Consent","Zoned"))</f>
        <v>Audit</v>
      </c>
      <c r="AQ31" s="57" t="n">
        <f aca="false">IF(N(K31)&gt;0,I31*Y31/K31,0)</f>
        <v>0.106</v>
      </c>
    </row>
    <row r="32" customFormat="false" ht="15" hidden="false" customHeight="false" outlineLevel="0" collapsed="false">
      <c r="A32" s="57" t="s">
        <v>620</v>
      </c>
      <c r="B32" s="57" t="s">
        <v>215</v>
      </c>
      <c r="C32" s="57" t="s">
        <v>216</v>
      </c>
      <c r="D32" s="57" t="s">
        <v>288</v>
      </c>
      <c r="E32" s="57" t="s">
        <v>621</v>
      </c>
      <c r="F32" s="57" t="s">
        <v>570</v>
      </c>
      <c r="G32" s="57" t="s">
        <v>577</v>
      </c>
      <c r="H32" s="57" t="s">
        <v>578</v>
      </c>
      <c r="I32" s="57" t="n">
        <v>4.191</v>
      </c>
      <c r="J32" s="57" t="n">
        <v>4.19</v>
      </c>
      <c r="K32" s="57" t="n">
        <v>188</v>
      </c>
      <c r="L32" s="57" t="s">
        <v>573</v>
      </c>
      <c r="M32" s="57"/>
      <c r="N32" s="57"/>
      <c r="O32" s="57"/>
      <c r="P32" s="57"/>
      <c r="Q32" s="57" t="s">
        <v>586</v>
      </c>
      <c r="R32" s="57" t="n">
        <v>0</v>
      </c>
      <c r="S32" s="57" t="n">
        <v>0</v>
      </c>
      <c r="T32" s="57" t="n">
        <v>0</v>
      </c>
      <c r="U32" s="57" t="n">
        <v>0</v>
      </c>
      <c r="V32" s="57" t="n">
        <v>0</v>
      </c>
      <c r="W32" s="57" t="n">
        <v>0</v>
      </c>
      <c r="X32" s="57" t="n">
        <v>0</v>
      </c>
      <c r="Y32" s="57" t="n">
        <v>188</v>
      </c>
      <c r="Z32" s="57" t="n">
        <v>188</v>
      </c>
      <c r="AA32" s="57" t="n">
        <v>188</v>
      </c>
      <c r="AB32" s="57" t="n">
        <v>0</v>
      </c>
      <c r="AC32" s="57" t="n">
        <v>0</v>
      </c>
      <c r="AD32" s="57" t="n">
        <v>0</v>
      </c>
      <c r="AE32" s="57" t="n">
        <v>0</v>
      </c>
      <c r="AF32" s="57" t="n">
        <v>0</v>
      </c>
      <c r="AG32" s="57" t="n">
        <v>0</v>
      </c>
      <c r="AH32" s="57" t="s">
        <v>240</v>
      </c>
      <c r="AI32" s="57"/>
      <c r="AJ32" s="57" t="n">
        <v>0</v>
      </c>
      <c r="AK32" s="57" t="s">
        <v>288</v>
      </c>
      <c r="AL32" s="57" t="s">
        <v>347</v>
      </c>
      <c r="AM32" s="57" t="n">
        <v>1</v>
      </c>
      <c r="AN32" s="57" t="s">
        <v>575</v>
      </c>
      <c r="AO32" s="57" t="str">
        <f aca="false">IF(C32="County",IF(AL32="Rest of county","Remainder of County","Settlements"),IF(D32="City Centre","City Centre","Rest of City"))</f>
        <v>Rest of City</v>
      </c>
      <c r="AP32" s="57" t="str">
        <f aca="false">IF(LEFT(B32,13)="Council audit","Audit",IF(LEFT(B32,8)="Planning","Consent","Zoned"))</f>
        <v>Audit</v>
      </c>
      <c r="AQ32" s="57" t="n">
        <f aca="false">IF(N(K32)&gt;0,I32*Y32/K32,0)</f>
        <v>4.191</v>
      </c>
    </row>
    <row r="33" customFormat="false" ht="15" hidden="false" customHeight="false" outlineLevel="0" collapsed="false">
      <c r="A33" s="57" t="s">
        <v>622</v>
      </c>
      <c r="B33" s="57" t="s">
        <v>215</v>
      </c>
      <c r="C33" s="57" t="s">
        <v>216</v>
      </c>
      <c r="D33" s="57" t="s">
        <v>288</v>
      </c>
      <c r="E33" s="57" t="s">
        <v>621</v>
      </c>
      <c r="F33" s="57" t="s">
        <v>570</v>
      </c>
      <c r="G33" s="57" t="s">
        <v>585</v>
      </c>
      <c r="H33" s="57" t="s">
        <v>578</v>
      </c>
      <c r="I33" s="57" t="n">
        <v>0.452</v>
      </c>
      <c r="J33" s="57" t="n">
        <v>0.452</v>
      </c>
      <c r="K33" s="57" t="n">
        <v>20</v>
      </c>
      <c r="L33" s="57" t="s">
        <v>573</v>
      </c>
      <c r="M33" s="57"/>
      <c r="N33" s="57"/>
      <c r="O33" s="57"/>
      <c r="P33" s="57"/>
      <c r="Q33" s="57" t="s">
        <v>586</v>
      </c>
      <c r="R33" s="57" t="n">
        <v>0</v>
      </c>
      <c r="S33" s="57" t="n">
        <v>0</v>
      </c>
      <c r="T33" s="57" t="n">
        <v>0</v>
      </c>
      <c r="U33" s="57" t="n">
        <v>0</v>
      </c>
      <c r="V33" s="57" t="n">
        <v>0</v>
      </c>
      <c r="W33" s="57" t="n">
        <v>0</v>
      </c>
      <c r="X33" s="57" t="n">
        <v>0</v>
      </c>
      <c r="Y33" s="57" t="n">
        <v>20</v>
      </c>
      <c r="Z33" s="57" t="n">
        <v>20</v>
      </c>
      <c r="AA33" s="57" t="n">
        <v>20</v>
      </c>
      <c r="AB33" s="57" t="n">
        <v>0</v>
      </c>
      <c r="AC33" s="57" t="n">
        <v>0</v>
      </c>
      <c r="AD33" s="57" t="n">
        <v>0</v>
      </c>
      <c r="AE33" s="57" t="n">
        <v>0</v>
      </c>
      <c r="AF33" s="57" t="n">
        <v>0</v>
      </c>
      <c r="AG33" s="57" t="n">
        <v>0</v>
      </c>
      <c r="AH33" s="57" t="s">
        <v>240</v>
      </c>
      <c r="AI33" s="57"/>
      <c r="AJ33" s="57" t="n">
        <v>0</v>
      </c>
      <c r="AK33" s="57" t="s">
        <v>288</v>
      </c>
      <c r="AL33" s="57" t="s">
        <v>347</v>
      </c>
      <c r="AM33" s="57" t="n">
        <v>1</v>
      </c>
      <c r="AN33" s="57" t="s">
        <v>575</v>
      </c>
      <c r="AO33" s="57" t="str">
        <f aca="false">IF(C33="County",IF(AL33="Rest of county","Remainder of County","Settlements"),IF(D33="City Centre","City Centre","Rest of City"))</f>
        <v>Rest of City</v>
      </c>
      <c r="AP33" s="57" t="str">
        <f aca="false">IF(LEFT(B33,13)="Council audit","Audit",IF(LEFT(B33,8)="Planning","Consent","Zoned"))</f>
        <v>Audit</v>
      </c>
      <c r="AQ33" s="57" t="n">
        <f aca="false">IF(N(K33)&gt;0,I33*Y33/K33,0)</f>
        <v>0.452</v>
      </c>
    </row>
    <row r="34" customFormat="false" ht="15" hidden="false" customHeight="false" outlineLevel="0" collapsed="false">
      <c r="A34" s="57" t="s">
        <v>623</v>
      </c>
      <c r="B34" s="57" t="s">
        <v>215</v>
      </c>
      <c r="C34" s="57" t="s">
        <v>216</v>
      </c>
      <c r="D34" s="57" t="s">
        <v>288</v>
      </c>
      <c r="E34" s="57" t="s">
        <v>621</v>
      </c>
      <c r="F34" s="57" t="s">
        <v>570</v>
      </c>
      <c r="G34" s="57" t="s">
        <v>585</v>
      </c>
      <c r="H34" s="57" t="s">
        <v>578</v>
      </c>
      <c r="I34" s="57" t="n">
        <v>0.912</v>
      </c>
      <c r="J34" s="57" t="n">
        <v>0.912</v>
      </c>
      <c r="K34" s="57" t="n">
        <v>41</v>
      </c>
      <c r="L34" s="57" t="s">
        <v>573</v>
      </c>
      <c r="M34" s="57"/>
      <c r="N34" s="57"/>
      <c r="O34" s="57"/>
      <c r="P34" s="57"/>
      <c r="Q34" s="57" t="s">
        <v>586</v>
      </c>
      <c r="R34" s="57" t="n">
        <v>0</v>
      </c>
      <c r="S34" s="57" t="n">
        <v>0</v>
      </c>
      <c r="T34" s="57" t="n">
        <v>0</v>
      </c>
      <c r="U34" s="57" t="n">
        <v>0</v>
      </c>
      <c r="V34" s="57" t="n">
        <v>0</v>
      </c>
      <c r="W34" s="57" t="n">
        <v>0</v>
      </c>
      <c r="X34" s="57" t="n">
        <v>0</v>
      </c>
      <c r="Y34" s="57" t="n">
        <v>41</v>
      </c>
      <c r="Z34" s="57" t="n">
        <v>41</v>
      </c>
      <c r="AA34" s="57" t="n">
        <v>41</v>
      </c>
      <c r="AB34" s="57" t="n">
        <v>0</v>
      </c>
      <c r="AC34" s="57" t="n">
        <v>0</v>
      </c>
      <c r="AD34" s="57" t="n">
        <v>0</v>
      </c>
      <c r="AE34" s="57" t="n">
        <v>0</v>
      </c>
      <c r="AF34" s="57" t="n">
        <v>0</v>
      </c>
      <c r="AG34" s="57" t="n">
        <v>0</v>
      </c>
      <c r="AH34" s="57" t="s">
        <v>240</v>
      </c>
      <c r="AI34" s="57"/>
      <c r="AJ34" s="57" t="n">
        <v>0</v>
      </c>
      <c r="AK34" s="57" t="s">
        <v>288</v>
      </c>
      <c r="AL34" s="57" t="s">
        <v>347</v>
      </c>
      <c r="AM34" s="57" t="n">
        <v>1</v>
      </c>
      <c r="AN34" s="57" t="s">
        <v>575</v>
      </c>
      <c r="AO34" s="57" t="str">
        <f aca="false">IF(C34="County",IF(AL34="Rest of county","Remainder of County","Settlements"),IF(D34="City Centre","City Centre","Rest of City"))</f>
        <v>Rest of City</v>
      </c>
      <c r="AP34" s="57" t="str">
        <f aca="false">IF(LEFT(B34,13)="Council audit","Audit",IF(LEFT(B34,8)="Planning","Consent","Zoned"))</f>
        <v>Audit</v>
      </c>
      <c r="AQ34" s="57" t="n">
        <f aca="false">IF(N(K34)&gt;0,I34*Y34/K34,0)</f>
        <v>0.912</v>
      </c>
    </row>
    <row r="35" customFormat="false" ht="15" hidden="false" customHeight="false" outlineLevel="0" collapsed="false">
      <c r="A35" s="57" t="s">
        <v>624</v>
      </c>
      <c r="B35" s="57" t="s">
        <v>215</v>
      </c>
      <c r="C35" s="57" t="s">
        <v>216</v>
      </c>
      <c r="D35" s="57" t="s">
        <v>288</v>
      </c>
      <c r="E35" s="57" t="s">
        <v>621</v>
      </c>
      <c r="F35" s="57" t="s">
        <v>570</v>
      </c>
      <c r="G35" s="57" t="s">
        <v>585</v>
      </c>
      <c r="H35" s="57" t="s">
        <v>578</v>
      </c>
      <c r="I35" s="57" t="n">
        <v>0.373</v>
      </c>
      <c r="J35" s="57" t="n">
        <v>0.374</v>
      </c>
      <c r="K35" s="57" t="n">
        <v>17</v>
      </c>
      <c r="L35" s="57" t="s">
        <v>573</v>
      </c>
      <c r="M35" s="57"/>
      <c r="N35" s="57"/>
      <c r="O35" s="57"/>
      <c r="P35" s="57"/>
      <c r="Q35" s="57" t="s">
        <v>586</v>
      </c>
      <c r="R35" s="57" t="n">
        <v>0</v>
      </c>
      <c r="S35" s="57" t="n">
        <v>0</v>
      </c>
      <c r="T35" s="57" t="n">
        <v>0</v>
      </c>
      <c r="U35" s="57" t="n">
        <v>0</v>
      </c>
      <c r="V35" s="57" t="n">
        <v>0</v>
      </c>
      <c r="W35" s="57" t="n">
        <v>0</v>
      </c>
      <c r="X35" s="57" t="n">
        <v>0</v>
      </c>
      <c r="Y35" s="57" t="n">
        <v>17</v>
      </c>
      <c r="Z35" s="57" t="n">
        <v>17</v>
      </c>
      <c r="AA35" s="57" t="n">
        <v>17</v>
      </c>
      <c r="AB35" s="57" t="n">
        <v>0</v>
      </c>
      <c r="AC35" s="57" t="n">
        <v>0</v>
      </c>
      <c r="AD35" s="57" t="n">
        <v>0</v>
      </c>
      <c r="AE35" s="57" t="n">
        <v>0</v>
      </c>
      <c r="AF35" s="57" t="n">
        <v>0</v>
      </c>
      <c r="AG35" s="57" t="n">
        <v>0</v>
      </c>
      <c r="AH35" s="57" t="s">
        <v>240</v>
      </c>
      <c r="AI35" s="57"/>
      <c r="AJ35" s="57" t="n">
        <v>0</v>
      </c>
      <c r="AK35" s="57" t="s">
        <v>288</v>
      </c>
      <c r="AL35" s="57" t="s">
        <v>347</v>
      </c>
      <c r="AM35" s="57" t="n">
        <v>1</v>
      </c>
      <c r="AN35" s="57" t="s">
        <v>575</v>
      </c>
      <c r="AO35" s="57" t="str">
        <f aca="false">IF(C35="County",IF(AL35="Rest of county","Remainder of County","Settlements"),IF(D35="City Centre","City Centre","Rest of City"))</f>
        <v>Rest of City</v>
      </c>
      <c r="AP35" s="57" t="str">
        <f aca="false">IF(LEFT(B35,13)="Council audit","Audit",IF(LEFT(B35,8)="Planning","Consent","Zoned"))</f>
        <v>Audit</v>
      </c>
      <c r="AQ35" s="57" t="n">
        <f aca="false">IF(N(K35)&gt;0,I35*Y35/K35,0)</f>
        <v>0.373</v>
      </c>
    </row>
    <row r="36" customFormat="false" ht="15" hidden="false" customHeight="false" outlineLevel="0" collapsed="false">
      <c r="A36" s="57" t="s">
        <v>625</v>
      </c>
      <c r="B36" s="57" t="s">
        <v>215</v>
      </c>
      <c r="C36" s="57" t="s">
        <v>216</v>
      </c>
      <c r="D36" s="57" t="s">
        <v>288</v>
      </c>
      <c r="E36" s="57" t="s">
        <v>621</v>
      </c>
      <c r="F36" s="57" t="s">
        <v>570</v>
      </c>
      <c r="G36" s="57" t="s">
        <v>585</v>
      </c>
      <c r="H36" s="57" t="s">
        <v>578</v>
      </c>
      <c r="I36" s="57" t="n">
        <v>0.243</v>
      </c>
      <c r="J36" s="57" t="n">
        <v>0.922</v>
      </c>
      <c r="K36" s="57" t="n">
        <v>11</v>
      </c>
      <c r="L36" s="57" t="s">
        <v>573</v>
      </c>
      <c r="M36" s="57"/>
      <c r="N36" s="57"/>
      <c r="O36" s="57"/>
      <c r="P36" s="57"/>
      <c r="Q36" s="57" t="s">
        <v>594</v>
      </c>
      <c r="R36" s="57" t="n">
        <v>0</v>
      </c>
      <c r="S36" s="57" t="n">
        <v>0</v>
      </c>
      <c r="T36" s="57" t="n">
        <v>25</v>
      </c>
      <c r="U36" s="57" t="n">
        <v>0</v>
      </c>
      <c r="V36" s="57" t="n">
        <v>0</v>
      </c>
      <c r="W36" s="57" t="n">
        <v>0</v>
      </c>
      <c r="X36" s="57" t="n">
        <v>25</v>
      </c>
      <c r="Y36" s="57" t="n">
        <v>0</v>
      </c>
      <c r="Z36" s="57" t="n">
        <v>25</v>
      </c>
      <c r="AA36" s="57" t="n">
        <v>25</v>
      </c>
      <c r="AB36" s="57" t="n">
        <v>0</v>
      </c>
      <c r="AC36" s="57" t="n">
        <v>0</v>
      </c>
      <c r="AD36" s="57" t="n">
        <v>20.8</v>
      </c>
      <c r="AE36" s="57" t="n">
        <v>4.2</v>
      </c>
      <c r="AF36" s="57" t="n">
        <v>0</v>
      </c>
      <c r="AG36" s="57" t="n">
        <v>0</v>
      </c>
      <c r="AH36" s="57" t="s">
        <v>239</v>
      </c>
      <c r="AI36" s="57" t="s">
        <v>591</v>
      </c>
      <c r="AJ36" s="57" t="n">
        <v>20</v>
      </c>
      <c r="AK36" s="57" t="s">
        <v>288</v>
      </c>
      <c r="AL36" s="57" t="s">
        <v>347</v>
      </c>
      <c r="AM36" s="57" t="n">
        <v>1</v>
      </c>
      <c r="AN36" s="57" t="s">
        <v>575</v>
      </c>
      <c r="AO36" s="57" t="str">
        <f aca="false">IF(C36="County",IF(AL36="Rest of county","Remainder of County","Settlements"),IF(D36="City Centre","City Centre","Rest of City"))</f>
        <v>Rest of City</v>
      </c>
      <c r="AP36" s="57" t="str">
        <f aca="false">IF(LEFT(B36,13)="Council audit","Audit",IF(LEFT(B36,8)="Planning","Consent","Zoned"))</f>
        <v>Audit</v>
      </c>
      <c r="AQ36" s="57" t="n">
        <f aca="false">IF(N(K36)&gt;0,I36*Y36/K36,0)</f>
        <v>0</v>
      </c>
    </row>
    <row r="37" customFormat="false" ht="15" hidden="false" customHeight="false" outlineLevel="0" collapsed="false">
      <c r="A37" s="57" t="s">
        <v>626</v>
      </c>
      <c r="B37" s="57" t="s">
        <v>215</v>
      </c>
      <c r="C37" s="57" t="s">
        <v>216</v>
      </c>
      <c r="D37" s="57" t="s">
        <v>288</v>
      </c>
      <c r="E37" s="57" t="s">
        <v>621</v>
      </c>
      <c r="F37" s="57" t="s">
        <v>570</v>
      </c>
      <c r="G37" s="57" t="s">
        <v>571</v>
      </c>
      <c r="H37" s="57" t="s">
        <v>578</v>
      </c>
      <c r="I37" s="57" t="n">
        <v>0.704</v>
      </c>
      <c r="J37" s="57" t="n">
        <v>0.704</v>
      </c>
      <c r="K37" s="57" t="n">
        <v>31</v>
      </c>
      <c r="L37" s="57" t="s">
        <v>573</v>
      </c>
      <c r="M37" s="57"/>
      <c r="N37" s="57"/>
      <c r="O37" s="57"/>
      <c r="P37" s="57"/>
      <c r="Q37" s="57" t="s">
        <v>574</v>
      </c>
      <c r="R37" s="57" t="n">
        <v>0</v>
      </c>
      <c r="S37" s="57" t="n">
        <v>0</v>
      </c>
      <c r="T37" s="57" t="n">
        <v>0</v>
      </c>
      <c r="U37" s="57" t="n">
        <v>0</v>
      </c>
      <c r="V37" s="57" t="n">
        <v>4</v>
      </c>
      <c r="W37" s="57" t="n">
        <v>0</v>
      </c>
      <c r="X37" s="57" t="n">
        <v>0</v>
      </c>
      <c r="Y37" s="57" t="n">
        <v>31</v>
      </c>
      <c r="Z37" s="57" t="n">
        <v>31</v>
      </c>
      <c r="AA37" s="57" t="n">
        <v>31</v>
      </c>
      <c r="AB37" s="57" t="n">
        <v>0</v>
      </c>
      <c r="AC37" s="57" t="n">
        <v>0</v>
      </c>
      <c r="AD37" s="57" t="n">
        <v>0</v>
      </c>
      <c r="AE37" s="57" t="n">
        <v>0</v>
      </c>
      <c r="AF37" s="57" t="n">
        <v>0</v>
      </c>
      <c r="AG37" s="57" t="n">
        <v>0</v>
      </c>
      <c r="AH37" s="57" t="s">
        <v>240</v>
      </c>
      <c r="AI37" s="57"/>
      <c r="AJ37" s="57" t="n">
        <v>0</v>
      </c>
      <c r="AK37" s="57" t="s">
        <v>288</v>
      </c>
      <c r="AL37" s="57" t="s">
        <v>347</v>
      </c>
      <c r="AM37" s="57" t="n">
        <v>1</v>
      </c>
      <c r="AN37" s="57" t="s">
        <v>575</v>
      </c>
      <c r="AO37" s="57" t="str">
        <f aca="false">IF(C37="County",IF(AL37="Rest of county","Remainder of County","Settlements"),IF(D37="City Centre","City Centre","Rest of City"))</f>
        <v>Rest of City</v>
      </c>
      <c r="AP37" s="57" t="str">
        <f aca="false">IF(LEFT(B37,13)="Council audit","Audit",IF(LEFT(B37,8)="Planning","Consent","Zoned"))</f>
        <v>Audit</v>
      </c>
      <c r="AQ37" s="57" t="n">
        <f aca="false">IF(N(K37)&gt;0,I37*Y37/K37,0)</f>
        <v>0.704</v>
      </c>
    </row>
    <row r="38" customFormat="false" ht="15" hidden="false" customHeight="false" outlineLevel="0" collapsed="false">
      <c r="A38" s="57" t="s">
        <v>627</v>
      </c>
      <c r="B38" s="57" t="s">
        <v>215</v>
      </c>
      <c r="C38" s="57" t="s">
        <v>216</v>
      </c>
      <c r="D38" s="57" t="s">
        <v>288</v>
      </c>
      <c r="E38" s="57" t="s">
        <v>621</v>
      </c>
      <c r="F38" s="57" t="s">
        <v>584</v>
      </c>
      <c r="G38" s="57" t="s">
        <v>585</v>
      </c>
      <c r="H38" s="57" t="s">
        <v>578</v>
      </c>
      <c r="I38" s="57" t="n">
        <v>0.272</v>
      </c>
      <c r="J38" s="57" t="n">
        <v>0.273</v>
      </c>
      <c r="K38" s="57" t="n">
        <v>12</v>
      </c>
      <c r="L38" s="57" t="s">
        <v>573</v>
      </c>
      <c r="M38" s="57"/>
      <c r="N38" s="57"/>
      <c r="O38" s="57"/>
      <c r="P38" s="57"/>
      <c r="Q38" s="57" t="s">
        <v>586</v>
      </c>
      <c r="R38" s="57" t="n">
        <v>0</v>
      </c>
      <c r="S38" s="57" t="n">
        <v>0</v>
      </c>
      <c r="T38" s="57" t="n">
        <v>0</v>
      </c>
      <c r="U38" s="57" t="n">
        <v>0</v>
      </c>
      <c r="V38" s="57" t="n">
        <v>0</v>
      </c>
      <c r="W38" s="57" t="n">
        <v>0</v>
      </c>
      <c r="X38" s="57" t="n">
        <v>0</v>
      </c>
      <c r="Y38" s="57" t="n">
        <v>12</v>
      </c>
      <c r="Z38" s="57" t="n">
        <v>12</v>
      </c>
      <c r="AA38" s="57" t="n">
        <v>12</v>
      </c>
      <c r="AB38" s="57" t="n">
        <v>0</v>
      </c>
      <c r="AC38" s="57" t="n">
        <v>0</v>
      </c>
      <c r="AD38" s="57" t="n">
        <v>0</v>
      </c>
      <c r="AE38" s="57" t="n">
        <v>0</v>
      </c>
      <c r="AF38" s="57" t="n">
        <v>0</v>
      </c>
      <c r="AG38" s="57" t="n">
        <v>0</v>
      </c>
      <c r="AH38" s="57" t="s">
        <v>240</v>
      </c>
      <c r="AI38" s="57"/>
      <c r="AJ38" s="57" t="n">
        <v>0</v>
      </c>
      <c r="AK38" s="57" t="s">
        <v>288</v>
      </c>
      <c r="AL38" s="57" t="s">
        <v>347</v>
      </c>
      <c r="AM38" s="57" t="n">
        <v>1</v>
      </c>
      <c r="AN38" s="57" t="s">
        <v>575</v>
      </c>
      <c r="AO38" s="57" t="str">
        <f aca="false">IF(C38="County",IF(AL38="Rest of county","Remainder of County","Settlements"),IF(D38="City Centre","City Centre","Rest of City"))</f>
        <v>Rest of City</v>
      </c>
      <c r="AP38" s="57" t="str">
        <f aca="false">IF(LEFT(B38,13)="Council audit","Audit",IF(LEFT(B38,8)="Planning","Consent","Zoned"))</f>
        <v>Audit</v>
      </c>
      <c r="AQ38" s="57" t="n">
        <f aca="false">IF(N(K38)&gt;0,I38*Y38/K38,0)</f>
        <v>0.272</v>
      </c>
    </row>
    <row r="39" customFormat="false" ht="15" hidden="false" customHeight="false" outlineLevel="0" collapsed="false">
      <c r="A39" s="57" t="s">
        <v>628</v>
      </c>
      <c r="B39" s="57" t="s">
        <v>215</v>
      </c>
      <c r="C39" s="57" t="s">
        <v>216</v>
      </c>
      <c r="D39" s="57" t="s">
        <v>288</v>
      </c>
      <c r="E39" s="57" t="s">
        <v>621</v>
      </c>
      <c r="F39" s="57" t="s">
        <v>570</v>
      </c>
      <c r="G39" s="57" t="s">
        <v>585</v>
      </c>
      <c r="H39" s="57" t="s">
        <v>578</v>
      </c>
      <c r="I39" s="57" t="n">
        <v>0.548</v>
      </c>
      <c r="J39" s="57" t="n">
        <v>0.548</v>
      </c>
      <c r="K39" s="57" t="n">
        <v>26</v>
      </c>
      <c r="L39" s="57" t="s">
        <v>573</v>
      </c>
      <c r="M39" s="57"/>
      <c r="N39" s="57"/>
      <c r="O39" s="57"/>
      <c r="P39" s="57"/>
      <c r="Q39" s="57" t="s">
        <v>574</v>
      </c>
      <c r="R39" s="57" t="n">
        <v>0</v>
      </c>
      <c r="S39" s="57" t="n">
        <v>26</v>
      </c>
      <c r="T39" s="57" t="n">
        <v>0</v>
      </c>
      <c r="U39" s="57" t="n">
        <v>0</v>
      </c>
      <c r="V39" s="57" t="n">
        <v>0</v>
      </c>
      <c r="W39" s="57" t="n">
        <v>0</v>
      </c>
      <c r="X39" s="57" t="n">
        <v>26</v>
      </c>
      <c r="Y39" s="57" t="n">
        <v>0</v>
      </c>
      <c r="Z39" s="57" t="n">
        <v>26</v>
      </c>
      <c r="AA39" s="57" t="n">
        <v>26</v>
      </c>
      <c r="AB39" s="57" t="n">
        <v>0</v>
      </c>
      <c r="AC39" s="57" t="n">
        <v>26</v>
      </c>
      <c r="AD39" s="57" t="n">
        <v>0</v>
      </c>
      <c r="AE39" s="57" t="n">
        <v>0</v>
      </c>
      <c r="AF39" s="57" t="n">
        <v>0</v>
      </c>
      <c r="AG39" s="57" t="n">
        <v>0</v>
      </c>
      <c r="AH39" s="57" t="s">
        <v>239</v>
      </c>
      <c r="AI39" s="57"/>
      <c r="AJ39" s="57" t="n">
        <v>0</v>
      </c>
      <c r="AK39" s="57" t="s">
        <v>288</v>
      </c>
      <c r="AL39" s="57" t="s">
        <v>347</v>
      </c>
      <c r="AM39" s="57" t="n">
        <v>1</v>
      </c>
      <c r="AN39" s="57" t="s">
        <v>575</v>
      </c>
      <c r="AO39" s="57" t="str">
        <f aca="false">IF(C39="County",IF(AL39="Rest of county","Remainder of County","Settlements"),IF(D39="City Centre","City Centre","Rest of City"))</f>
        <v>Rest of City</v>
      </c>
      <c r="AP39" s="57" t="str">
        <f aca="false">IF(LEFT(B39,13)="Council audit","Audit",IF(LEFT(B39,8)="Planning","Consent","Zoned"))</f>
        <v>Audit</v>
      </c>
      <c r="AQ39" s="57" t="n">
        <f aca="false">IF(N(K39)&gt;0,I39*Y39/K39,0)</f>
        <v>0</v>
      </c>
    </row>
    <row r="40" customFormat="false" ht="15" hidden="false" customHeight="false" outlineLevel="0" collapsed="false">
      <c r="A40" s="57" t="s">
        <v>629</v>
      </c>
      <c r="B40" s="57" t="s">
        <v>215</v>
      </c>
      <c r="C40" s="57" t="s">
        <v>216</v>
      </c>
      <c r="D40" s="57" t="s">
        <v>285</v>
      </c>
      <c r="E40" s="57" t="s">
        <v>630</v>
      </c>
      <c r="F40" s="57" t="s">
        <v>570</v>
      </c>
      <c r="G40" s="57" t="s">
        <v>585</v>
      </c>
      <c r="H40" s="57" t="s">
        <v>578</v>
      </c>
      <c r="I40" s="57" t="n">
        <v>2.401</v>
      </c>
      <c r="J40" s="57" t="n">
        <v>2.401</v>
      </c>
      <c r="K40" s="57" t="n">
        <v>108</v>
      </c>
      <c r="L40" s="57" t="s">
        <v>573</v>
      </c>
      <c r="M40" s="57"/>
      <c r="N40" s="57"/>
      <c r="O40" s="57"/>
      <c r="P40" s="57"/>
      <c r="Q40" s="57" t="s">
        <v>574</v>
      </c>
      <c r="R40" s="57" t="n">
        <v>0</v>
      </c>
      <c r="S40" s="57" t="n">
        <v>0</v>
      </c>
      <c r="T40" s="57" t="n">
        <v>196</v>
      </c>
      <c r="U40" s="57" t="n">
        <v>0</v>
      </c>
      <c r="V40" s="57" t="n">
        <v>0</v>
      </c>
      <c r="W40" s="57" t="n">
        <v>0</v>
      </c>
      <c r="X40" s="57" t="n">
        <v>196</v>
      </c>
      <c r="Y40" s="57" t="n">
        <v>0</v>
      </c>
      <c r="Z40" s="57" t="n">
        <v>196</v>
      </c>
      <c r="AA40" s="57" t="n">
        <v>196</v>
      </c>
      <c r="AB40" s="57" t="n">
        <v>0</v>
      </c>
      <c r="AC40" s="57" t="n">
        <v>0</v>
      </c>
      <c r="AD40" s="57" t="n">
        <v>0</v>
      </c>
      <c r="AE40" s="57" t="n">
        <v>196</v>
      </c>
      <c r="AF40" s="57" t="n">
        <v>0</v>
      </c>
      <c r="AG40" s="57" t="n">
        <v>0</v>
      </c>
      <c r="AH40" s="57" t="s">
        <v>239</v>
      </c>
      <c r="AI40" s="57" t="s">
        <v>591</v>
      </c>
      <c r="AJ40" s="57" t="n">
        <v>0</v>
      </c>
      <c r="AK40" s="57" t="s">
        <v>285</v>
      </c>
      <c r="AL40" s="57" t="s">
        <v>347</v>
      </c>
      <c r="AM40" s="57" t="n">
        <v>1</v>
      </c>
      <c r="AN40" s="57" t="s">
        <v>575</v>
      </c>
      <c r="AO40" s="57" t="str">
        <f aca="false">IF(C40="County",IF(AL40="Rest of county","Remainder of County","Settlements"),IF(D40="City Centre","City Centre","Rest of City"))</f>
        <v>Rest of City</v>
      </c>
      <c r="AP40" s="57" t="str">
        <f aca="false">IF(LEFT(B40,13)="Council audit","Audit",IF(LEFT(B40,8)="Planning","Consent","Zoned"))</f>
        <v>Audit</v>
      </c>
      <c r="AQ40" s="57" t="n">
        <f aca="false">IF(N(K40)&gt;0,I40*Y40/K40,0)</f>
        <v>0</v>
      </c>
    </row>
    <row r="41" customFormat="false" ht="15" hidden="false" customHeight="false" outlineLevel="0" collapsed="false">
      <c r="A41" s="57" t="s">
        <v>631</v>
      </c>
      <c r="B41" s="57" t="s">
        <v>215</v>
      </c>
      <c r="C41" s="57" t="s">
        <v>216</v>
      </c>
      <c r="D41" s="57" t="s">
        <v>285</v>
      </c>
      <c r="E41" s="57" t="s">
        <v>630</v>
      </c>
      <c r="F41" s="57" t="s">
        <v>570</v>
      </c>
      <c r="G41" s="57" t="s">
        <v>585</v>
      </c>
      <c r="H41" s="57" t="s">
        <v>578</v>
      </c>
      <c r="I41" s="57" t="n">
        <v>1.435</v>
      </c>
      <c r="J41" s="57" t="n">
        <v>1.435</v>
      </c>
      <c r="K41" s="57" t="n">
        <v>65</v>
      </c>
      <c r="L41" s="57" t="s">
        <v>573</v>
      </c>
      <c r="M41" s="57"/>
      <c r="N41" s="57"/>
      <c r="O41" s="57"/>
      <c r="P41" s="57"/>
      <c r="Q41" s="57" t="s">
        <v>586</v>
      </c>
      <c r="R41" s="57" t="n">
        <v>0</v>
      </c>
      <c r="S41" s="57" t="n">
        <v>0</v>
      </c>
      <c r="T41" s="57" t="n">
        <v>0</v>
      </c>
      <c r="U41" s="57" t="n">
        <v>0</v>
      </c>
      <c r="V41" s="57" t="n">
        <v>0</v>
      </c>
      <c r="W41" s="57" t="n">
        <v>0</v>
      </c>
      <c r="X41" s="57" t="n">
        <v>0</v>
      </c>
      <c r="Y41" s="57" t="n">
        <v>65</v>
      </c>
      <c r="Z41" s="57" t="n">
        <v>65</v>
      </c>
      <c r="AA41" s="57" t="n">
        <v>65</v>
      </c>
      <c r="AB41" s="57" t="n">
        <v>0</v>
      </c>
      <c r="AC41" s="57" t="n">
        <v>0</v>
      </c>
      <c r="AD41" s="57" t="n">
        <v>0</v>
      </c>
      <c r="AE41" s="57" t="n">
        <v>0</v>
      </c>
      <c r="AF41" s="57" t="n">
        <v>0</v>
      </c>
      <c r="AG41" s="57" t="n">
        <v>0</v>
      </c>
      <c r="AH41" s="57" t="s">
        <v>240</v>
      </c>
      <c r="AI41" s="57"/>
      <c r="AJ41" s="57" t="n">
        <v>0</v>
      </c>
      <c r="AK41" s="57" t="s">
        <v>285</v>
      </c>
      <c r="AL41" s="57" t="s">
        <v>347</v>
      </c>
      <c r="AM41" s="57" t="n">
        <v>1</v>
      </c>
      <c r="AN41" s="57" t="s">
        <v>575</v>
      </c>
      <c r="AO41" s="57" t="str">
        <f aca="false">IF(C41="County",IF(AL41="Rest of county","Remainder of County","Settlements"),IF(D41="City Centre","City Centre","Rest of City"))</f>
        <v>Rest of City</v>
      </c>
      <c r="AP41" s="57" t="str">
        <f aca="false">IF(LEFT(B41,13)="Council audit","Audit",IF(LEFT(B41,8)="Planning","Consent","Zoned"))</f>
        <v>Audit</v>
      </c>
      <c r="AQ41" s="57" t="n">
        <f aca="false">IF(N(K41)&gt;0,I41*Y41/K41,0)</f>
        <v>1.435</v>
      </c>
    </row>
    <row r="42" customFormat="false" ht="15" hidden="false" customHeight="false" outlineLevel="0" collapsed="false">
      <c r="A42" s="57" t="s">
        <v>632</v>
      </c>
      <c r="B42" s="57" t="s">
        <v>215</v>
      </c>
      <c r="C42" s="57" t="s">
        <v>216</v>
      </c>
      <c r="D42" s="57" t="s">
        <v>285</v>
      </c>
      <c r="E42" s="57" t="s">
        <v>630</v>
      </c>
      <c r="F42" s="57" t="s">
        <v>570</v>
      </c>
      <c r="G42" s="57" t="s">
        <v>585</v>
      </c>
      <c r="H42" s="57" t="s">
        <v>572</v>
      </c>
      <c r="I42" s="57" t="n">
        <v>3.528</v>
      </c>
      <c r="J42" s="57" t="n">
        <v>4.642</v>
      </c>
      <c r="K42" s="57" t="n">
        <v>123</v>
      </c>
      <c r="L42" s="57" t="s">
        <v>573</v>
      </c>
      <c r="M42" s="57"/>
      <c r="N42" s="57"/>
      <c r="O42" s="57"/>
      <c r="P42" s="57"/>
      <c r="Q42" s="57" t="s">
        <v>594</v>
      </c>
      <c r="R42" s="57" t="n">
        <v>0</v>
      </c>
      <c r="S42" s="57" t="n">
        <v>32</v>
      </c>
      <c r="T42" s="57" t="n">
        <v>114</v>
      </c>
      <c r="U42" s="57" t="n">
        <v>0</v>
      </c>
      <c r="V42" s="57" t="n">
        <v>0</v>
      </c>
      <c r="W42" s="57" t="n">
        <v>0</v>
      </c>
      <c r="X42" s="57" t="n">
        <v>146</v>
      </c>
      <c r="Y42" s="57" t="n">
        <v>0</v>
      </c>
      <c r="Z42" s="57" t="n">
        <v>146</v>
      </c>
      <c r="AA42" s="57" t="n">
        <v>146</v>
      </c>
      <c r="AB42" s="57" t="n">
        <v>7.5</v>
      </c>
      <c r="AC42" s="57" t="n">
        <v>24.5</v>
      </c>
      <c r="AD42" s="57" t="n">
        <v>0</v>
      </c>
      <c r="AE42" s="57" t="n">
        <v>89.3</v>
      </c>
      <c r="AF42" s="57" t="n">
        <v>24.7</v>
      </c>
      <c r="AG42" s="57" t="n">
        <v>0</v>
      </c>
      <c r="AH42" s="57" t="s">
        <v>239</v>
      </c>
      <c r="AI42" s="57" t="s">
        <v>591</v>
      </c>
      <c r="AJ42" s="57" t="n">
        <v>19</v>
      </c>
      <c r="AK42" s="57" t="s">
        <v>285</v>
      </c>
      <c r="AL42" s="57" t="s">
        <v>347</v>
      </c>
      <c r="AM42" s="57" t="n">
        <v>1</v>
      </c>
      <c r="AN42" s="57" t="s">
        <v>575</v>
      </c>
      <c r="AO42" s="57" t="str">
        <f aca="false">IF(C42="County",IF(AL42="Rest of county","Remainder of County","Settlements"),IF(D42="City Centre","City Centre","Rest of City"))</f>
        <v>Rest of City</v>
      </c>
      <c r="AP42" s="57" t="str">
        <f aca="false">IF(LEFT(B42,13)="Council audit","Audit",IF(LEFT(B42,8)="Planning","Consent","Zoned"))</f>
        <v>Audit</v>
      </c>
      <c r="AQ42" s="57" t="n">
        <f aca="false">IF(N(K42)&gt;0,I42*Y42/K42,0)</f>
        <v>0</v>
      </c>
    </row>
    <row r="43" customFormat="false" ht="15" hidden="false" customHeight="false" outlineLevel="0" collapsed="false">
      <c r="A43" s="57" t="s">
        <v>326</v>
      </c>
      <c r="B43" s="57" t="s">
        <v>215</v>
      </c>
      <c r="C43" s="57" t="s">
        <v>216</v>
      </c>
      <c r="D43" s="57" t="s">
        <v>285</v>
      </c>
      <c r="E43" s="57" t="s">
        <v>630</v>
      </c>
      <c r="F43" s="57" t="s">
        <v>570</v>
      </c>
      <c r="G43" s="57" t="s">
        <v>585</v>
      </c>
      <c r="H43" s="57" t="s">
        <v>633</v>
      </c>
      <c r="I43" s="57" t="n">
        <v>12.36</v>
      </c>
      <c r="J43" s="57" t="n">
        <v>12.356</v>
      </c>
      <c r="K43" s="57" t="n">
        <v>508</v>
      </c>
      <c r="L43" s="57" t="s">
        <v>573</v>
      </c>
      <c r="M43" s="57"/>
      <c r="N43" s="57"/>
      <c r="O43" s="57"/>
      <c r="P43" s="57"/>
      <c r="Q43" s="57" t="s">
        <v>586</v>
      </c>
      <c r="R43" s="57" t="n">
        <v>0</v>
      </c>
      <c r="S43" s="57" t="n">
        <v>0</v>
      </c>
      <c r="T43" s="57" t="n">
        <v>523</v>
      </c>
      <c r="U43" s="57" t="n">
        <v>0</v>
      </c>
      <c r="V43" s="57" t="n">
        <v>0</v>
      </c>
      <c r="W43" s="57" t="n">
        <v>0</v>
      </c>
      <c r="X43" s="57" t="n">
        <v>523</v>
      </c>
      <c r="Y43" s="57" t="n">
        <v>0</v>
      </c>
      <c r="Z43" s="57" t="n">
        <v>523</v>
      </c>
      <c r="AA43" s="57" t="n">
        <v>523</v>
      </c>
      <c r="AB43" s="57" t="n">
        <v>0</v>
      </c>
      <c r="AC43" s="57" t="n">
        <v>0</v>
      </c>
      <c r="AD43" s="57" t="n">
        <v>0</v>
      </c>
      <c r="AE43" s="57" t="n">
        <v>53.2</v>
      </c>
      <c r="AF43" s="57" t="n">
        <v>55.6</v>
      </c>
      <c r="AG43" s="57" t="n">
        <v>414.2</v>
      </c>
      <c r="AH43" s="57" t="s">
        <v>239</v>
      </c>
      <c r="AI43" s="57"/>
      <c r="AJ43" s="57" t="n">
        <v>0</v>
      </c>
      <c r="AK43" s="57" t="s">
        <v>285</v>
      </c>
      <c r="AL43" s="57" t="s">
        <v>347</v>
      </c>
      <c r="AM43" s="57" t="n">
        <v>1</v>
      </c>
      <c r="AN43" s="57" t="s">
        <v>575</v>
      </c>
      <c r="AO43" s="57" t="str">
        <f aca="false">IF(C43="County",IF(AL43="Rest of county","Remainder of County","Settlements"),IF(D43="City Centre","City Centre","Rest of City"))</f>
        <v>Rest of City</v>
      </c>
      <c r="AP43" s="57" t="str">
        <f aca="false">IF(LEFT(B43,13)="Council audit","Audit",IF(LEFT(B43,8)="Planning","Consent","Zoned"))</f>
        <v>Audit</v>
      </c>
      <c r="AQ43" s="57" t="n">
        <f aca="false">IF(N(K43)&gt;0,I43*Y43/K43,0)</f>
        <v>0</v>
      </c>
    </row>
    <row r="44" customFormat="false" ht="15" hidden="false" customHeight="false" outlineLevel="0" collapsed="false">
      <c r="A44" s="57" t="s">
        <v>634</v>
      </c>
      <c r="B44" s="57" t="s">
        <v>215</v>
      </c>
      <c r="C44" s="57" t="s">
        <v>216</v>
      </c>
      <c r="D44" s="57" t="s">
        <v>285</v>
      </c>
      <c r="E44" s="57" t="s">
        <v>630</v>
      </c>
      <c r="F44" s="57" t="s">
        <v>570</v>
      </c>
      <c r="G44" s="57" t="s">
        <v>585</v>
      </c>
      <c r="H44" s="57" t="s">
        <v>578</v>
      </c>
      <c r="I44" s="57" t="n">
        <v>1.133</v>
      </c>
      <c r="J44" s="57" t="n">
        <v>1.133</v>
      </c>
      <c r="K44" s="57" t="n">
        <v>51</v>
      </c>
      <c r="L44" s="57" t="s">
        <v>573</v>
      </c>
      <c r="M44" s="57"/>
      <c r="N44" s="57"/>
      <c r="O44" s="57"/>
      <c r="P44" s="57"/>
      <c r="Q44" s="57" t="s">
        <v>586</v>
      </c>
      <c r="R44" s="57" t="n">
        <v>0</v>
      </c>
      <c r="S44" s="57" t="n">
        <v>0</v>
      </c>
      <c r="T44" s="57" t="n">
        <v>0</v>
      </c>
      <c r="U44" s="57" t="n">
        <v>0</v>
      </c>
      <c r="V44" s="57" t="n">
        <v>0</v>
      </c>
      <c r="W44" s="57" t="n">
        <v>0</v>
      </c>
      <c r="X44" s="57" t="n">
        <v>0</v>
      </c>
      <c r="Y44" s="57" t="n">
        <v>51</v>
      </c>
      <c r="Z44" s="57" t="n">
        <v>51</v>
      </c>
      <c r="AA44" s="57" t="n">
        <v>51</v>
      </c>
      <c r="AB44" s="57" t="n">
        <v>0</v>
      </c>
      <c r="AC44" s="57" t="n">
        <v>0</v>
      </c>
      <c r="AD44" s="57" t="n">
        <v>0</v>
      </c>
      <c r="AE44" s="57" t="n">
        <v>0</v>
      </c>
      <c r="AF44" s="57" t="n">
        <v>0</v>
      </c>
      <c r="AG44" s="57" t="n">
        <v>0</v>
      </c>
      <c r="AH44" s="57" t="s">
        <v>240</v>
      </c>
      <c r="AI44" s="57"/>
      <c r="AJ44" s="57" t="n">
        <v>0</v>
      </c>
      <c r="AK44" s="57" t="s">
        <v>285</v>
      </c>
      <c r="AL44" s="57" t="s">
        <v>347</v>
      </c>
      <c r="AM44" s="57" t="n">
        <v>1</v>
      </c>
      <c r="AN44" s="57" t="s">
        <v>575</v>
      </c>
      <c r="AO44" s="57" t="str">
        <f aca="false">IF(C44="County",IF(AL44="Rest of county","Remainder of County","Settlements"),IF(D44="City Centre","City Centre","Rest of City"))</f>
        <v>Rest of City</v>
      </c>
      <c r="AP44" s="57" t="str">
        <f aca="false">IF(LEFT(B44,13)="Council audit","Audit",IF(LEFT(B44,8)="Planning","Consent","Zoned"))</f>
        <v>Audit</v>
      </c>
      <c r="AQ44" s="57" t="n">
        <f aca="false">IF(N(K44)&gt;0,I44*Y44/K44,0)</f>
        <v>1.133</v>
      </c>
    </row>
    <row r="45" customFormat="false" ht="15" hidden="false" customHeight="false" outlineLevel="0" collapsed="false">
      <c r="A45" s="57" t="s">
        <v>635</v>
      </c>
      <c r="B45" s="57" t="s">
        <v>215</v>
      </c>
      <c r="C45" s="57" t="s">
        <v>216</v>
      </c>
      <c r="D45" s="57" t="s">
        <v>285</v>
      </c>
      <c r="E45" s="57" t="s">
        <v>630</v>
      </c>
      <c r="F45" s="57" t="s">
        <v>570</v>
      </c>
      <c r="G45" s="57" t="s">
        <v>585</v>
      </c>
      <c r="H45" s="57" t="s">
        <v>578</v>
      </c>
      <c r="I45" s="57" t="n">
        <v>2.467</v>
      </c>
      <c r="J45" s="57" t="n">
        <v>2.467</v>
      </c>
      <c r="K45" s="57" t="n">
        <v>137</v>
      </c>
      <c r="L45" s="57" t="s">
        <v>573</v>
      </c>
      <c r="M45" s="57"/>
      <c r="N45" s="57"/>
      <c r="O45" s="57"/>
      <c r="P45" s="57"/>
      <c r="Q45" s="57" t="s">
        <v>574</v>
      </c>
      <c r="R45" s="57" t="n">
        <v>0</v>
      </c>
      <c r="S45" s="57" t="n">
        <v>0</v>
      </c>
      <c r="T45" s="57" t="n">
        <v>0</v>
      </c>
      <c r="U45" s="57" t="n">
        <v>0</v>
      </c>
      <c r="V45" s="57" t="n">
        <v>137</v>
      </c>
      <c r="W45" s="57" t="n">
        <v>0</v>
      </c>
      <c r="X45" s="57" t="n">
        <v>0</v>
      </c>
      <c r="Y45" s="57" t="n">
        <v>137</v>
      </c>
      <c r="Z45" s="57" t="n">
        <v>137</v>
      </c>
      <c r="AA45" s="57" t="n">
        <v>137</v>
      </c>
      <c r="AB45" s="57" t="n">
        <v>0</v>
      </c>
      <c r="AC45" s="57" t="n">
        <v>0</v>
      </c>
      <c r="AD45" s="57" t="n">
        <v>0</v>
      </c>
      <c r="AE45" s="57" t="n">
        <v>0</v>
      </c>
      <c r="AF45" s="57" t="n">
        <v>0</v>
      </c>
      <c r="AG45" s="57" t="n">
        <v>0</v>
      </c>
      <c r="AH45" s="57" t="s">
        <v>240</v>
      </c>
      <c r="AI45" s="57"/>
      <c r="AJ45" s="57" t="n">
        <v>0</v>
      </c>
      <c r="AK45" s="57" t="s">
        <v>285</v>
      </c>
      <c r="AL45" s="57" t="s">
        <v>347</v>
      </c>
      <c r="AM45" s="57" t="n">
        <v>1</v>
      </c>
      <c r="AN45" s="57" t="s">
        <v>575</v>
      </c>
      <c r="AO45" s="57" t="str">
        <f aca="false">IF(C45="County",IF(AL45="Rest of county","Remainder of County","Settlements"),IF(D45="City Centre","City Centre","Rest of City"))</f>
        <v>Rest of City</v>
      </c>
      <c r="AP45" s="57" t="str">
        <f aca="false">IF(LEFT(B45,13)="Council audit","Audit",IF(LEFT(B45,8)="Planning","Consent","Zoned"))</f>
        <v>Audit</v>
      </c>
      <c r="AQ45" s="57" t="n">
        <f aca="false">IF(N(K45)&gt;0,I45*Y45/K45,0)</f>
        <v>2.467</v>
      </c>
    </row>
    <row r="46" customFormat="false" ht="15" hidden="false" customHeight="false" outlineLevel="0" collapsed="false">
      <c r="A46" s="57" t="s">
        <v>636</v>
      </c>
      <c r="B46" s="57" t="s">
        <v>215</v>
      </c>
      <c r="C46" s="57" t="s">
        <v>216</v>
      </c>
      <c r="D46" s="57" t="s">
        <v>285</v>
      </c>
      <c r="E46" s="57" t="s">
        <v>630</v>
      </c>
      <c r="F46" s="57" t="s">
        <v>584</v>
      </c>
      <c r="G46" s="57" t="s">
        <v>585</v>
      </c>
      <c r="H46" s="57" t="s">
        <v>578</v>
      </c>
      <c r="I46" s="57" t="n">
        <v>1.582</v>
      </c>
      <c r="J46" s="57" t="n">
        <v>1.582</v>
      </c>
      <c r="K46" s="57" t="n">
        <v>71</v>
      </c>
      <c r="L46" s="57" t="s">
        <v>573</v>
      </c>
      <c r="M46" s="57"/>
      <c r="N46" s="57"/>
      <c r="O46" s="57"/>
      <c r="P46" s="57"/>
      <c r="Q46" s="57" t="s">
        <v>586</v>
      </c>
      <c r="R46" s="57" t="n">
        <v>0</v>
      </c>
      <c r="S46" s="57" t="n">
        <v>0</v>
      </c>
      <c r="T46" s="57" t="n">
        <v>76</v>
      </c>
      <c r="U46" s="57" t="n">
        <v>0</v>
      </c>
      <c r="V46" s="57" t="n">
        <v>0</v>
      </c>
      <c r="W46" s="57" t="n">
        <v>0</v>
      </c>
      <c r="X46" s="57" t="n">
        <v>76</v>
      </c>
      <c r="Y46" s="57" t="n">
        <v>0</v>
      </c>
      <c r="Z46" s="57" t="n">
        <v>76</v>
      </c>
      <c r="AA46" s="57" t="n">
        <v>76</v>
      </c>
      <c r="AB46" s="57" t="n">
        <v>0</v>
      </c>
      <c r="AC46" s="57" t="n">
        <v>0</v>
      </c>
      <c r="AD46" s="57" t="n">
        <v>20.9</v>
      </c>
      <c r="AE46" s="57" t="n">
        <v>55.1</v>
      </c>
      <c r="AF46" s="57" t="n">
        <v>0</v>
      </c>
      <c r="AG46" s="57" t="n">
        <v>0</v>
      </c>
      <c r="AH46" s="57" t="s">
        <v>239</v>
      </c>
      <c r="AI46" s="57"/>
      <c r="AJ46" s="57" t="n">
        <v>0</v>
      </c>
      <c r="AK46" s="57" t="s">
        <v>285</v>
      </c>
      <c r="AL46" s="57" t="s">
        <v>347</v>
      </c>
      <c r="AM46" s="57" t="n">
        <v>1</v>
      </c>
      <c r="AN46" s="57" t="s">
        <v>575</v>
      </c>
      <c r="AO46" s="57" t="str">
        <f aca="false">IF(C46="County",IF(AL46="Rest of county","Remainder of County","Settlements"),IF(D46="City Centre","City Centre","Rest of City"))</f>
        <v>Rest of City</v>
      </c>
      <c r="AP46" s="57" t="str">
        <f aca="false">IF(LEFT(B46,13)="Council audit","Audit",IF(LEFT(B46,8)="Planning","Consent","Zoned"))</f>
        <v>Audit</v>
      </c>
      <c r="AQ46" s="57" t="n">
        <f aca="false">IF(N(K46)&gt;0,I46*Y46/K46,0)</f>
        <v>0</v>
      </c>
    </row>
    <row r="47" customFormat="false" ht="15" hidden="false" customHeight="false" outlineLevel="0" collapsed="false">
      <c r="A47" s="57" t="s">
        <v>637</v>
      </c>
      <c r="B47" s="57" t="s">
        <v>215</v>
      </c>
      <c r="C47" s="57" t="s">
        <v>216</v>
      </c>
      <c r="D47" s="57" t="s">
        <v>285</v>
      </c>
      <c r="E47" s="57" t="s">
        <v>630</v>
      </c>
      <c r="F47" s="57" t="s">
        <v>570</v>
      </c>
      <c r="G47" s="57" t="s">
        <v>577</v>
      </c>
      <c r="H47" s="57" t="s">
        <v>578</v>
      </c>
      <c r="I47" s="57" t="n">
        <v>0.467</v>
      </c>
      <c r="J47" s="57" t="n">
        <v>0.468</v>
      </c>
      <c r="K47" s="57" t="n">
        <v>21</v>
      </c>
      <c r="L47" s="57" t="s">
        <v>573</v>
      </c>
      <c r="M47" s="57"/>
      <c r="N47" s="57"/>
      <c r="O47" s="57"/>
      <c r="P47" s="57"/>
      <c r="Q47" s="57" t="s">
        <v>586</v>
      </c>
      <c r="R47" s="57" t="n">
        <v>0</v>
      </c>
      <c r="S47" s="57" t="n">
        <v>0</v>
      </c>
      <c r="T47" s="57" t="n">
        <v>0</v>
      </c>
      <c r="U47" s="57" t="n">
        <v>0</v>
      </c>
      <c r="V47" s="57" t="n">
        <v>0</v>
      </c>
      <c r="W47" s="57" t="n">
        <v>0</v>
      </c>
      <c r="X47" s="57" t="n">
        <v>0</v>
      </c>
      <c r="Y47" s="57" t="n">
        <v>21</v>
      </c>
      <c r="Z47" s="57" t="n">
        <v>21</v>
      </c>
      <c r="AA47" s="57" t="n">
        <v>21</v>
      </c>
      <c r="AB47" s="57" t="n">
        <v>0</v>
      </c>
      <c r="AC47" s="57" t="n">
        <v>0</v>
      </c>
      <c r="AD47" s="57" t="n">
        <v>0</v>
      </c>
      <c r="AE47" s="57" t="n">
        <v>0</v>
      </c>
      <c r="AF47" s="57" t="n">
        <v>0</v>
      </c>
      <c r="AG47" s="57" t="n">
        <v>0</v>
      </c>
      <c r="AH47" s="57" t="s">
        <v>240</v>
      </c>
      <c r="AI47" s="57"/>
      <c r="AJ47" s="57" t="n">
        <v>0</v>
      </c>
      <c r="AK47" s="57" t="s">
        <v>285</v>
      </c>
      <c r="AL47" s="57" t="s">
        <v>347</v>
      </c>
      <c r="AM47" s="57" t="n">
        <v>1</v>
      </c>
      <c r="AN47" s="57" t="s">
        <v>575</v>
      </c>
      <c r="AO47" s="57" t="str">
        <f aca="false">IF(C47="County",IF(AL47="Rest of county","Remainder of County","Settlements"),IF(D47="City Centre","City Centre","Rest of City"))</f>
        <v>Rest of City</v>
      </c>
      <c r="AP47" s="57" t="str">
        <f aca="false">IF(LEFT(B47,13)="Council audit","Audit",IF(LEFT(B47,8)="Planning","Consent","Zoned"))</f>
        <v>Audit</v>
      </c>
      <c r="AQ47" s="57" t="n">
        <f aca="false">IF(N(K47)&gt;0,I47*Y47/K47,0)</f>
        <v>0.467</v>
      </c>
    </row>
    <row r="48" customFormat="false" ht="15" hidden="false" customHeight="false" outlineLevel="0" collapsed="false">
      <c r="A48" s="57" t="s">
        <v>638</v>
      </c>
      <c r="B48" s="57" t="s">
        <v>215</v>
      </c>
      <c r="C48" s="57" t="s">
        <v>216</v>
      </c>
      <c r="D48" s="57" t="s">
        <v>285</v>
      </c>
      <c r="E48" s="57" t="s">
        <v>630</v>
      </c>
      <c r="F48" s="57" t="s">
        <v>570</v>
      </c>
      <c r="G48" s="57" t="s">
        <v>585</v>
      </c>
      <c r="H48" s="57" t="s">
        <v>578</v>
      </c>
      <c r="I48" s="57" t="n">
        <v>1.181</v>
      </c>
      <c r="J48" s="57" t="n">
        <v>1.181</v>
      </c>
      <c r="K48" s="57" t="n">
        <v>53</v>
      </c>
      <c r="L48" s="57" t="s">
        <v>573</v>
      </c>
      <c r="M48" s="57"/>
      <c r="N48" s="57"/>
      <c r="O48" s="57"/>
      <c r="P48" s="57"/>
      <c r="Q48" s="57" t="s">
        <v>586</v>
      </c>
      <c r="R48" s="57" t="n">
        <v>0</v>
      </c>
      <c r="S48" s="57" t="n">
        <v>0</v>
      </c>
      <c r="T48" s="57" t="n">
        <v>0</v>
      </c>
      <c r="U48" s="57" t="n">
        <v>0</v>
      </c>
      <c r="V48" s="57" t="n">
        <v>0</v>
      </c>
      <c r="W48" s="57" t="n">
        <v>0</v>
      </c>
      <c r="X48" s="57" t="n">
        <v>0</v>
      </c>
      <c r="Y48" s="57" t="n">
        <v>53</v>
      </c>
      <c r="Z48" s="57" t="n">
        <v>53</v>
      </c>
      <c r="AA48" s="57" t="n">
        <v>53</v>
      </c>
      <c r="AB48" s="57" t="n">
        <v>0</v>
      </c>
      <c r="AC48" s="57" t="n">
        <v>0</v>
      </c>
      <c r="AD48" s="57" t="n">
        <v>0</v>
      </c>
      <c r="AE48" s="57" t="n">
        <v>0</v>
      </c>
      <c r="AF48" s="57" t="n">
        <v>0</v>
      </c>
      <c r="AG48" s="57" t="n">
        <v>0</v>
      </c>
      <c r="AH48" s="57" t="s">
        <v>240</v>
      </c>
      <c r="AI48" s="57"/>
      <c r="AJ48" s="57" t="n">
        <v>0</v>
      </c>
      <c r="AK48" s="57" t="s">
        <v>285</v>
      </c>
      <c r="AL48" s="57" t="s">
        <v>347</v>
      </c>
      <c r="AM48" s="57" t="n">
        <v>1</v>
      </c>
      <c r="AN48" s="57" t="s">
        <v>575</v>
      </c>
      <c r="AO48" s="57" t="str">
        <f aca="false">IF(C48="County",IF(AL48="Rest of county","Remainder of County","Settlements"),IF(D48="City Centre","City Centre","Rest of City"))</f>
        <v>Rest of City</v>
      </c>
      <c r="AP48" s="57" t="str">
        <f aca="false">IF(LEFT(B48,13)="Council audit","Audit",IF(LEFT(B48,8)="Planning","Consent","Zoned"))</f>
        <v>Audit</v>
      </c>
      <c r="AQ48" s="57" t="n">
        <f aca="false">IF(N(K48)&gt;0,I48*Y48/K48,0)</f>
        <v>1.181</v>
      </c>
    </row>
    <row r="49" customFormat="false" ht="15" hidden="false" customHeight="false" outlineLevel="0" collapsed="false">
      <c r="A49" s="57" t="s">
        <v>639</v>
      </c>
      <c r="B49" s="57" t="s">
        <v>215</v>
      </c>
      <c r="C49" s="57" t="s">
        <v>216</v>
      </c>
      <c r="D49" s="57" t="s">
        <v>285</v>
      </c>
      <c r="E49" s="57" t="s">
        <v>630</v>
      </c>
      <c r="F49" s="57" t="s">
        <v>570</v>
      </c>
      <c r="G49" s="57" t="s">
        <v>585</v>
      </c>
      <c r="H49" s="57" t="s">
        <v>572</v>
      </c>
      <c r="I49" s="57" t="n">
        <v>0.191</v>
      </c>
      <c r="J49" s="57" t="n">
        <v>0.192</v>
      </c>
      <c r="K49" s="57" t="n">
        <v>7</v>
      </c>
      <c r="L49" s="57" t="s">
        <v>573</v>
      </c>
      <c r="M49" s="57"/>
      <c r="N49" s="57"/>
      <c r="O49" s="57"/>
      <c r="P49" s="57"/>
      <c r="Q49" s="57" t="s">
        <v>586</v>
      </c>
      <c r="R49" s="57" t="n">
        <v>0</v>
      </c>
      <c r="S49" s="57" t="n">
        <v>0</v>
      </c>
      <c r="T49" s="57" t="n">
        <v>0</v>
      </c>
      <c r="U49" s="57" t="n">
        <v>0</v>
      </c>
      <c r="V49" s="57" t="n">
        <v>0</v>
      </c>
      <c r="W49" s="57" t="n">
        <v>0</v>
      </c>
      <c r="X49" s="57" t="n">
        <v>0</v>
      </c>
      <c r="Y49" s="57" t="n">
        <v>7</v>
      </c>
      <c r="Z49" s="57" t="n">
        <v>7</v>
      </c>
      <c r="AA49" s="57" t="n">
        <v>7</v>
      </c>
      <c r="AB49" s="57" t="n">
        <v>0</v>
      </c>
      <c r="AC49" s="57" t="n">
        <v>0</v>
      </c>
      <c r="AD49" s="57" t="n">
        <v>0</v>
      </c>
      <c r="AE49" s="57" t="n">
        <v>0</v>
      </c>
      <c r="AF49" s="57" t="n">
        <v>0</v>
      </c>
      <c r="AG49" s="57" t="n">
        <v>0</v>
      </c>
      <c r="AH49" s="57" t="s">
        <v>240</v>
      </c>
      <c r="AI49" s="57"/>
      <c r="AJ49" s="57" t="n">
        <v>0</v>
      </c>
      <c r="AK49" s="57" t="s">
        <v>285</v>
      </c>
      <c r="AL49" s="57" t="s">
        <v>347</v>
      </c>
      <c r="AM49" s="57" t="n">
        <v>1</v>
      </c>
      <c r="AN49" s="57" t="s">
        <v>575</v>
      </c>
      <c r="AO49" s="57" t="str">
        <f aca="false">IF(C49="County",IF(AL49="Rest of county","Remainder of County","Settlements"),IF(D49="City Centre","City Centre","Rest of City"))</f>
        <v>Rest of City</v>
      </c>
      <c r="AP49" s="57" t="str">
        <f aca="false">IF(LEFT(B49,13)="Council audit","Audit",IF(LEFT(B49,8)="Planning","Consent","Zoned"))</f>
        <v>Audit</v>
      </c>
      <c r="AQ49" s="57" t="n">
        <f aca="false">IF(N(K49)&gt;0,I49*Y49/K49,0)</f>
        <v>0.191</v>
      </c>
    </row>
    <row r="50" customFormat="false" ht="15" hidden="false" customHeight="false" outlineLevel="0" collapsed="false">
      <c r="A50" s="57" t="s">
        <v>640</v>
      </c>
      <c r="B50" s="57" t="s">
        <v>215</v>
      </c>
      <c r="C50" s="57" t="s">
        <v>216</v>
      </c>
      <c r="D50" s="57" t="s">
        <v>285</v>
      </c>
      <c r="E50" s="57" t="s">
        <v>630</v>
      </c>
      <c r="F50" s="57" t="s">
        <v>570</v>
      </c>
      <c r="G50" s="57" t="s">
        <v>585</v>
      </c>
      <c r="H50" s="57" t="s">
        <v>572</v>
      </c>
      <c r="I50" s="57" t="n">
        <v>2.056</v>
      </c>
      <c r="J50" s="57" t="n">
        <v>2.056</v>
      </c>
      <c r="K50" s="57" t="n">
        <v>72</v>
      </c>
      <c r="L50" s="57" t="s">
        <v>573</v>
      </c>
      <c r="M50" s="57"/>
      <c r="N50" s="57"/>
      <c r="O50" s="57"/>
      <c r="P50" s="57"/>
      <c r="Q50" s="57" t="s">
        <v>586</v>
      </c>
      <c r="R50" s="57" t="n">
        <v>0</v>
      </c>
      <c r="S50" s="57" t="n">
        <v>0</v>
      </c>
      <c r="T50" s="57" t="n">
        <v>0</v>
      </c>
      <c r="U50" s="57" t="n">
        <v>0</v>
      </c>
      <c r="V50" s="57" t="n">
        <v>0</v>
      </c>
      <c r="W50" s="57" t="n">
        <v>0</v>
      </c>
      <c r="X50" s="57" t="n">
        <v>0</v>
      </c>
      <c r="Y50" s="57" t="n">
        <v>72</v>
      </c>
      <c r="Z50" s="57" t="n">
        <v>72</v>
      </c>
      <c r="AA50" s="57" t="n">
        <v>72</v>
      </c>
      <c r="AB50" s="57" t="n">
        <v>0</v>
      </c>
      <c r="AC50" s="57" t="n">
        <v>0</v>
      </c>
      <c r="AD50" s="57" t="n">
        <v>0</v>
      </c>
      <c r="AE50" s="57" t="n">
        <v>0</v>
      </c>
      <c r="AF50" s="57" t="n">
        <v>0</v>
      </c>
      <c r="AG50" s="57" t="n">
        <v>0</v>
      </c>
      <c r="AH50" s="57" t="s">
        <v>240</v>
      </c>
      <c r="AI50" s="57"/>
      <c r="AJ50" s="57" t="n">
        <v>0</v>
      </c>
      <c r="AK50" s="57" t="s">
        <v>285</v>
      </c>
      <c r="AL50" s="57" t="s">
        <v>347</v>
      </c>
      <c r="AM50" s="57" t="n">
        <v>1</v>
      </c>
      <c r="AN50" s="57" t="s">
        <v>575</v>
      </c>
      <c r="AO50" s="57" t="str">
        <f aca="false">IF(C50="County",IF(AL50="Rest of county","Remainder of County","Settlements"),IF(D50="City Centre","City Centre","Rest of City"))</f>
        <v>Rest of City</v>
      </c>
      <c r="AP50" s="57" t="str">
        <f aca="false">IF(LEFT(B50,13)="Council audit","Audit",IF(LEFT(B50,8)="Planning","Consent","Zoned"))</f>
        <v>Audit</v>
      </c>
      <c r="AQ50" s="57" t="n">
        <f aca="false">IF(N(K50)&gt;0,I50*Y50/K50,0)</f>
        <v>2.056</v>
      </c>
    </row>
    <row r="51" customFormat="false" ht="15" hidden="false" customHeight="false" outlineLevel="0" collapsed="false">
      <c r="A51" s="57" t="s">
        <v>335</v>
      </c>
      <c r="B51" s="57" t="s">
        <v>215</v>
      </c>
      <c r="C51" s="57" t="s">
        <v>216</v>
      </c>
      <c r="D51" s="57" t="s">
        <v>285</v>
      </c>
      <c r="E51" s="57" t="s">
        <v>630</v>
      </c>
      <c r="F51" s="57" t="s">
        <v>570</v>
      </c>
      <c r="G51" s="57" t="s">
        <v>571</v>
      </c>
      <c r="H51" s="57" t="s">
        <v>641</v>
      </c>
      <c r="I51" s="57" t="n">
        <v>8.746</v>
      </c>
      <c r="J51" s="57" t="n">
        <v>8.743</v>
      </c>
      <c r="K51" s="57" t="n">
        <v>310</v>
      </c>
      <c r="L51" s="57" t="s">
        <v>573</v>
      </c>
      <c r="M51" s="57"/>
      <c r="N51" s="57"/>
      <c r="O51" s="57"/>
      <c r="P51" s="57"/>
      <c r="Q51" s="57" t="s">
        <v>586</v>
      </c>
      <c r="R51" s="57" t="n">
        <v>0</v>
      </c>
      <c r="S51" s="57" t="n">
        <v>0</v>
      </c>
      <c r="T51" s="57" t="n">
        <v>0</v>
      </c>
      <c r="U51" s="57" t="n">
        <v>0</v>
      </c>
      <c r="V51" s="57" t="n">
        <v>0</v>
      </c>
      <c r="W51" s="57" t="n">
        <v>0</v>
      </c>
      <c r="X51" s="57" t="n">
        <v>0</v>
      </c>
      <c r="Y51" s="57" t="n">
        <v>310</v>
      </c>
      <c r="Z51" s="57" t="n">
        <v>310</v>
      </c>
      <c r="AA51" s="57" t="n">
        <v>310</v>
      </c>
      <c r="AB51" s="57" t="n">
        <v>0</v>
      </c>
      <c r="AC51" s="57" t="n">
        <v>0</v>
      </c>
      <c r="AD51" s="57" t="n">
        <v>0</v>
      </c>
      <c r="AE51" s="57" t="n">
        <v>0</v>
      </c>
      <c r="AF51" s="57" t="n">
        <v>0</v>
      </c>
      <c r="AG51" s="57" t="n">
        <v>0</v>
      </c>
      <c r="AH51" s="57" t="s">
        <v>240</v>
      </c>
      <c r="AI51" s="57"/>
      <c r="AJ51" s="57" t="n">
        <v>0</v>
      </c>
      <c r="AK51" s="57" t="s">
        <v>285</v>
      </c>
      <c r="AL51" s="57" t="s">
        <v>347</v>
      </c>
      <c r="AM51" s="57" t="n">
        <v>1</v>
      </c>
      <c r="AN51" s="57" t="s">
        <v>575</v>
      </c>
      <c r="AO51" s="57" t="str">
        <f aca="false">IF(C51="County",IF(AL51="Rest of county","Remainder of County","Settlements"),IF(D51="City Centre","City Centre","Rest of City"))</f>
        <v>Rest of City</v>
      </c>
      <c r="AP51" s="57" t="str">
        <f aca="false">IF(LEFT(B51,13)="Council audit","Audit",IF(LEFT(B51,8)="Planning","Consent","Zoned"))</f>
        <v>Audit</v>
      </c>
      <c r="AQ51" s="57" t="n">
        <f aca="false">IF(N(K51)&gt;0,I51*Y51/K51,0)</f>
        <v>8.746</v>
      </c>
    </row>
    <row r="52" customFormat="false" ht="15" hidden="false" customHeight="false" outlineLevel="0" collapsed="false">
      <c r="A52" s="57" t="s">
        <v>333</v>
      </c>
      <c r="B52" s="57" t="s">
        <v>215</v>
      </c>
      <c r="C52" s="57" t="s">
        <v>216</v>
      </c>
      <c r="D52" s="57" t="s">
        <v>285</v>
      </c>
      <c r="E52" s="57" t="s">
        <v>630</v>
      </c>
      <c r="F52" s="57" t="s">
        <v>570</v>
      </c>
      <c r="G52" s="57" t="s">
        <v>571</v>
      </c>
      <c r="H52" s="57" t="s">
        <v>642</v>
      </c>
      <c r="I52" s="57" t="n">
        <v>8.56</v>
      </c>
      <c r="J52" s="57" t="n">
        <v>8.556</v>
      </c>
      <c r="K52" s="57" t="n">
        <v>375</v>
      </c>
      <c r="L52" s="57" t="s">
        <v>573</v>
      </c>
      <c r="M52" s="57"/>
      <c r="N52" s="57"/>
      <c r="O52" s="57"/>
      <c r="P52" s="57"/>
      <c r="Q52" s="57" t="s">
        <v>586</v>
      </c>
      <c r="R52" s="57" t="n">
        <v>0</v>
      </c>
      <c r="S52" s="57" t="n">
        <v>0</v>
      </c>
      <c r="T52" s="57" t="n">
        <v>0</v>
      </c>
      <c r="U52" s="57" t="n">
        <v>0</v>
      </c>
      <c r="V52" s="57" t="n">
        <v>0</v>
      </c>
      <c r="W52" s="57" t="n">
        <v>0</v>
      </c>
      <c r="X52" s="57" t="n">
        <v>0</v>
      </c>
      <c r="Y52" s="57" t="n">
        <v>375</v>
      </c>
      <c r="Z52" s="57" t="n">
        <v>375</v>
      </c>
      <c r="AA52" s="57" t="n">
        <v>375</v>
      </c>
      <c r="AB52" s="57" t="n">
        <v>0</v>
      </c>
      <c r="AC52" s="57" t="n">
        <v>0</v>
      </c>
      <c r="AD52" s="57" t="n">
        <v>0</v>
      </c>
      <c r="AE52" s="57" t="n">
        <v>0</v>
      </c>
      <c r="AF52" s="57" t="n">
        <v>0</v>
      </c>
      <c r="AG52" s="57" t="n">
        <v>0</v>
      </c>
      <c r="AH52" s="57" t="s">
        <v>240</v>
      </c>
      <c r="AI52" s="57"/>
      <c r="AJ52" s="57" t="n">
        <v>0</v>
      </c>
      <c r="AK52" s="57" t="s">
        <v>285</v>
      </c>
      <c r="AL52" s="57" t="s">
        <v>347</v>
      </c>
      <c r="AM52" s="57" t="n">
        <v>1</v>
      </c>
      <c r="AN52" s="57" t="s">
        <v>575</v>
      </c>
      <c r="AO52" s="57" t="str">
        <f aca="false">IF(C52="County",IF(AL52="Rest of county","Remainder of County","Settlements"),IF(D52="City Centre","City Centre","Rest of City"))</f>
        <v>Rest of City</v>
      </c>
      <c r="AP52" s="57" t="str">
        <f aca="false">IF(LEFT(B52,13)="Council audit","Audit",IF(LEFT(B52,8)="Planning","Consent","Zoned"))</f>
        <v>Audit</v>
      </c>
      <c r="AQ52" s="57" t="n">
        <f aca="false">IF(N(K52)&gt;0,I52*Y52/K52,0)</f>
        <v>8.56</v>
      </c>
    </row>
    <row r="53" customFormat="false" ht="15" hidden="false" customHeight="false" outlineLevel="0" collapsed="false">
      <c r="A53" s="57" t="s">
        <v>328</v>
      </c>
      <c r="B53" s="57" t="s">
        <v>215</v>
      </c>
      <c r="C53" s="57" t="s">
        <v>216</v>
      </c>
      <c r="D53" s="57" t="s">
        <v>285</v>
      </c>
      <c r="E53" s="57" t="s">
        <v>630</v>
      </c>
      <c r="F53" s="57" t="s">
        <v>570</v>
      </c>
      <c r="G53" s="57" t="s">
        <v>585</v>
      </c>
      <c r="H53" s="57" t="s">
        <v>643</v>
      </c>
      <c r="I53" s="57" t="n">
        <v>3.167</v>
      </c>
      <c r="J53" s="57" t="n">
        <v>3.167</v>
      </c>
      <c r="K53" s="57" t="n">
        <v>141</v>
      </c>
      <c r="L53" s="57" t="s">
        <v>573</v>
      </c>
      <c r="M53" s="57"/>
      <c r="N53" s="57"/>
      <c r="O53" s="57"/>
      <c r="P53" s="57"/>
      <c r="Q53" s="57" t="s">
        <v>586</v>
      </c>
      <c r="R53" s="57" t="n">
        <v>0</v>
      </c>
      <c r="S53" s="57" t="n">
        <v>0</v>
      </c>
      <c r="T53" s="57" t="n">
        <v>465</v>
      </c>
      <c r="U53" s="57" t="n">
        <v>0</v>
      </c>
      <c r="V53" s="57" t="n">
        <v>0</v>
      </c>
      <c r="W53" s="57" t="n">
        <v>0</v>
      </c>
      <c r="X53" s="57" t="n">
        <v>465</v>
      </c>
      <c r="Y53" s="57" t="n">
        <v>0</v>
      </c>
      <c r="Z53" s="57" t="n">
        <v>465</v>
      </c>
      <c r="AA53" s="57" t="n">
        <v>465</v>
      </c>
      <c r="AB53" s="57" t="n">
        <v>0</v>
      </c>
      <c r="AC53" s="57" t="n">
        <v>0</v>
      </c>
      <c r="AD53" s="57" t="n">
        <v>0</v>
      </c>
      <c r="AE53" s="57" t="n">
        <v>40.8</v>
      </c>
      <c r="AF53" s="57" t="n">
        <v>56.4</v>
      </c>
      <c r="AG53" s="57" t="n">
        <v>367.8</v>
      </c>
      <c r="AH53" s="57" t="s">
        <v>239</v>
      </c>
      <c r="AI53" s="57" t="s">
        <v>591</v>
      </c>
      <c r="AJ53" s="57" t="n">
        <v>0</v>
      </c>
      <c r="AK53" s="57" t="s">
        <v>285</v>
      </c>
      <c r="AL53" s="57" t="s">
        <v>347</v>
      </c>
      <c r="AM53" s="57" t="n">
        <v>1</v>
      </c>
      <c r="AN53" s="57" t="s">
        <v>575</v>
      </c>
      <c r="AO53" s="57" t="str">
        <f aca="false">IF(C53="County",IF(AL53="Rest of county","Remainder of County","Settlements"),IF(D53="City Centre","City Centre","Rest of City"))</f>
        <v>Rest of City</v>
      </c>
      <c r="AP53" s="57" t="str">
        <f aca="false">IF(LEFT(B53,13)="Council audit","Audit",IF(LEFT(B53,8)="Planning","Consent","Zoned"))</f>
        <v>Audit</v>
      </c>
      <c r="AQ53" s="57" t="n">
        <f aca="false">IF(N(K53)&gt;0,I53*Y53/K53,0)</f>
        <v>0</v>
      </c>
    </row>
    <row r="54" customFormat="false" ht="15" hidden="false" customHeight="false" outlineLevel="0" collapsed="false">
      <c r="A54" s="57" t="s">
        <v>644</v>
      </c>
      <c r="B54" s="57" t="s">
        <v>215</v>
      </c>
      <c r="C54" s="57" t="s">
        <v>216</v>
      </c>
      <c r="D54" s="57" t="s">
        <v>285</v>
      </c>
      <c r="E54" s="57" t="s">
        <v>630</v>
      </c>
      <c r="F54" s="57" t="s">
        <v>589</v>
      </c>
      <c r="G54" s="57" t="s">
        <v>571</v>
      </c>
      <c r="H54" s="57" t="s">
        <v>578</v>
      </c>
      <c r="I54" s="57" t="n">
        <v>4.8</v>
      </c>
      <c r="J54" s="57" t="n">
        <v>16.047</v>
      </c>
      <c r="K54" s="57" t="n">
        <v>216</v>
      </c>
      <c r="L54" s="57" t="s">
        <v>573</v>
      </c>
      <c r="M54" s="57"/>
      <c r="N54" s="57"/>
      <c r="O54" s="57"/>
      <c r="P54" s="57"/>
      <c r="Q54" s="57" t="s">
        <v>574</v>
      </c>
      <c r="R54" s="57" t="n">
        <v>0</v>
      </c>
      <c r="S54" s="57" t="n">
        <v>48</v>
      </c>
      <c r="T54" s="57" t="n">
        <v>212</v>
      </c>
      <c r="U54" s="57" t="n">
        <v>0</v>
      </c>
      <c r="V54" s="57" t="n">
        <v>0</v>
      </c>
      <c r="W54" s="57" t="n">
        <v>0</v>
      </c>
      <c r="X54" s="57" t="n">
        <v>260</v>
      </c>
      <c r="Y54" s="57" t="n">
        <v>0</v>
      </c>
      <c r="Z54" s="57" t="n">
        <v>260</v>
      </c>
      <c r="AA54" s="57" t="n">
        <v>260</v>
      </c>
      <c r="AB54" s="57" t="n">
        <v>11.2</v>
      </c>
      <c r="AC54" s="57" t="n">
        <v>36.8</v>
      </c>
      <c r="AD54" s="57" t="n">
        <v>0</v>
      </c>
      <c r="AE54" s="57" t="n">
        <v>36.4</v>
      </c>
      <c r="AF54" s="57" t="n">
        <v>65.9</v>
      </c>
      <c r="AG54" s="57" t="n">
        <v>109.7</v>
      </c>
      <c r="AH54" s="57" t="s">
        <v>239</v>
      </c>
      <c r="AI54" s="57" t="s">
        <v>591</v>
      </c>
      <c r="AJ54" s="57" t="n">
        <v>0</v>
      </c>
      <c r="AK54" s="57" t="s">
        <v>285</v>
      </c>
      <c r="AL54" s="57" t="s">
        <v>347</v>
      </c>
      <c r="AM54" s="57" t="n">
        <v>1</v>
      </c>
      <c r="AN54" s="57" t="s">
        <v>575</v>
      </c>
      <c r="AO54" s="57" t="str">
        <f aca="false">IF(C54="County",IF(AL54="Rest of county","Remainder of County","Settlements"),IF(D54="City Centre","City Centre","Rest of City"))</f>
        <v>Rest of City</v>
      </c>
      <c r="AP54" s="57" t="str">
        <f aca="false">IF(LEFT(B54,13)="Council audit","Audit",IF(LEFT(B54,8)="Planning","Consent","Zoned"))</f>
        <v>Audit</v>
      </c>
      <c r="AQ54" s="57" t="n">
        <f aca="false">IF(N(K54)&gt;0,I54*Y54/K54,0)</f>
        <v>0</v>
      </c>
    </row>
    <row r="55" customFormat="false" ht="15" hidden="false" customHeight="false" outlineLevel="0" collapsed="false">
      <c r="A55" s="57" t="s">
        <v>645</v>
      </c>
      <c r="B55" s="57" t="s">
        <v>215</v>
      </c>
      <c r="C55" s="57" t="s">
        <v>216</v>
      </c>
      <c r="D55" s="57" t="s">
        <v>287</v>
      </c>
      <c r="E55" s="57" t="s">
        <v>621</v>
      </c>
      <c r="F55" s="57" t="s">
        <v>570</v>
      </c>
      <c r="G55" s="57" t="s">
        <v>585</v>
      </c>
      <c r="H55" s="57" t="s">
        <v>572</v>
      </c>
      <c r="I55" s="57" t="n">
        <v>0.543</v>
      </c>
      <c r="J55" s="57" t="n">
        <v>0.544</v>
      </c>
      <c r="K55" s="57" t="n">
        <v>19</v>
      </c>
      <c r="L55" s="57" t="s">
        <v>573</v>
      </c>
      <c r="M55" s="57"/>
      <c r="N55" s="57"/>
      <c r="O55" s="57"/>
      <c r="P55" s="57"/>
      <c r="Q55" s="57" t="s">
        <v>586</v>
      </c>
      <c r="R55" s="57" t="n">
        <v>0</v>
      </c>
      <c r="S55" s="57" t="n">
        <v>31</v>
      </c>
      <c r="T55" s="57" t="n">
        <v>0</v>
      </c>
      <c r="U55" s="57" t="n">
        <v>0</v>
      </c>
      <c r="V55" s="57" t="n">
        <v>0</v>
      </c>
      <c r="W55" s="57" t="n">
        <v>0</v>
      </c>
      <c r="X55" s="57" t="n">
        <v>31</v>
      </c>
      <c r="Y55" s="57" t="n">
        <v>0</v>
      </c>
      <c r="Z55" s="57" t="n">
        <v>31</v>
      </c>
      <c r="AA55" s="57" t="n">
        <v>31</v>
      </c>
      <c r="AB55" s="57" t="n">
        <v>0</v>
      </c>
      <c r="AC55" s="57" t="n">
        <v>28.5</v>
      </c>
      <c r="AD55" s="57" t="n">
        <v>2.5</v>
      </c>
      <c r="AE55" s="57" t="n">
        <v>0</v>
      </c>
      <c r="AF55" s="57" t="n">
        <v>0</v>
      </c>
      <c r="AG55" s="57" t="n">
        <v>0</v>
      </c>
      <c r="AH55" s="57" t="s">
        <v>239</v>
      </c>
      <c r="AI55" s="57" t="s">
        <v>591</v>
      </c>
      <c r="AJ55" s="57" t="n">
        <v>0</v>
      </c>
      <c r="AK55" s="57" t="s">
        <v>287</v>
      </c>
      <c r="AL55" s="57" t="s">
        <v>347</v>
      </c>
      <c r="AM55" s="57" t="n">
        <v>0.51</v>
      </c>
      <c r="AN55" s="57" t="s">
        <v>575</v>
      </c>
      <c r="AO55" s="57" t="str">
        <f aca="false">IF(C55="County",IF(AL55="Rest of county","Remainder of County","Settlements"),IF(D55="City Centre","City Centre","Rest of City"))</f>
        <v>Rest of City</v>
      </c>
      <c r="AP55" s="57" t="str">
        <f aca="false">IF(LEFT(B55,13)="Council audit","Audit",IF(LEFT(B55,8)="Planning","Consent","Zoned"))</f>
        <v>Audit</v>
      </c>
      <c r="AQ55" s="57" t="n">
        <f aca="false">IF(N(K55)&gt;0,I55*Y55/K55,0)</f>
        <v>0</v>
      </c>
    </row>
    <row r="56" customFormat="false" ht="15" hidden="false" customHeight="false" outlineLevel="0" collapsed="false">
      <c r="A56" s="57" t="s">
        <v>646</v>
      </c>
      <c r="B56" s="57" t="s">
        <v>215</v>
      </c>
      <c r="C56" s="57" t="s">
        <v>216</v>
      </c>
      <c r="D56" s="57" t="s">
        <v>288</v>
      </c>
      <c r="E56" s="57" t="s">
        <v>621</v>
      </c>
      <c r="F56" s="57" t="s">
        <v>570</v>
      </c>
      <c r="G56" s="57" t="s">
        <v>585</v>
      </c>
      <c r="H56" s="57" t="s">
        <v>647</v>
      </c>
      <c r="I56" s="57" t="n">
        <v>0.227</v>
      </c>
      <c r="J56" s="57" t="n">
        <v>0.228</v>
      </c>
      <c r="K56" s="57" t="n">
        <v>7</v>
      </c>
      <c r="L56" s="57" t="s">
        <v>573</v>
      </c>
      <c r="M56" s="57"/>
      <c r="N56" s="57"/>
      <c r="O56" s="57"/>
      <c r="P56" s="57"/>
      <c r="Q56" s="57" t="s">
        <v>574</v>
      </c>
      <c r="R56" s="57" t="n">
        <v>0</v>
      </c>
      <c r="S56" s="57" t="n">
        <v>0</v>
      </c>
      <c r="T56" s="57" t="n">
        <v>0</v>
      </c>
      <c r="U56" s="57" t="n">
        <v>0</v>
      </c>
      <c r="V56" s="57" t="n">
        <v>0</v>
      </c>
      <c r="W56" s="57" t="n">
        <v>0</v>
      </c>
      <c r="X56" s="57" t="n">
        <v>0</v>
      </c>
      <c r="Y56" s="57" t="n">
        <v>7</v>
      </c>
      <c r="Z56" s="57" t="n">
        <v>7</v>
      </c>
      <c r="AA56" s="57" t="n">
        <v>7</v>
      </c>
      <c r="AB56" s="57" t="n">
        <v>0</v>
      </c>
      <c r="AC56" s="57" t="n">
        <v>0</v>
      </c>
      <c r="AD56" s="57" t="n">
        <v>0</v>
      </c>
      <c r="AE56" s="57" t="n">
        <v>0</v>
      </c>
      <c r="AF56" s="57" t="n">
        <v>0</v>
      </c>
      <c r="AG56" s="57" t="n">
        <v>0</v>
      </c>
      <c r="AH56" s="57" t="s">
        <v>240</v>
      </c>
      <c r="AI56" s="57"/>
      <c r="AJ56" s="57" t="n">
        <v>0</v>
      </c>
      <c r="AK56" s="57" t="s">
        <v>288</v>
      </c>
      <c r="AL56" s="57" t="s">
        <v>347</v>
      </c>
      <c r="AM56" s="57" t="n">
        <v>1</v>
      </c>
      <c r="AN56" s="57" t="s">
        <v>575</v>
      </c>
      <c r="AO56" s="57" t="str">
        <f aca="false">IF(C56="County",IF(AL56="Rest of county","Remainder of County","Settlements"),IF(D56="City Centre","City Centre","Rest of City"))</f>
        <v>Rest of City</v>
      </c>
      <c r="AP56" s="57" t="str">
        <f aca="false">IF(LEFT(B56,13)="Council audit","Audit",IF(LEFT(B56,8)="Planning","Consent","Zoned"))</f>
        <v>Audit</v>
      </c>
      <c r="AQ56" s="57" t="n">
        <f aca="false">IF(N(K56)&gt;0,I56*Y56/K56,0)</f>
        <v>0.227</v>
      </c>
    </row>
    <row r="57" customFormat="false" ht="15" hidden="false" customHeight="false" outlineLevel="0" collapsed="false">
      <c r="A57" s="57" t="s">
        <v>331</v>
      </c>
      <c r="B57" s="57" t="s">
        <v>215</v>
      </c>
      <c r="C57" s="57" t="s">
        <v>216</v>
      </c>
      <c r="D57" s="57" t="s">
        <v>287</v>
      </c>
      <c r="E57" s="57" t="s">
        <v>621</v>
      </c>
      <c r="F57" s="57" t="s">
        <v>589</v>
      </c>
      <c r="G57" s="57" t="s">
        <v>577</v>
      </c>
      <c r="H57" s="57" t="s">
        <v>578</v>
      </c>
      <c r="I57" s="57" t="n">
        <v>3.169</v>
      </c>
      <c r="J57" s="57" t="n">
        <v>6.601</v>
      </c>
      <c r="K57" s="57" t="n">
        <v>245</v>
      </c>
      <c r="L57" s="57" t="s">
        <v>573</v>
      </c>
      <c r="M57" s="57"/>
      <c r="N57" s="57"/>
      <c r="O57" s="57"/>
      <c r="P57" s="57"/>
      <c r="Q57" s="57" t="s">
        <v>586</v>
      </c>
      <c r="R57" s="57" t="n">
        <v>0</v>
      </c>
      <c r="S57" s="57" t="n">
        <v>0</v>
      </c>
      <c r="T57" s="57" t="n">
        <v>403</v>
      </c>
      <c r="U57" s="57" t="n">
        <v>0</v>
      </c>
      <c r="V57" s="57" t="n">
        <v>0</v>
      </c>
      <c r="W57" s="57" t="n">
        <v>0</v>
      </c>
      <c r="X57" s="57" t="n">
        <v>403</v>
      </c>
      <c r="Y57" s="57" t="n">
        <v>0</v>
      </c>
      <c r="Z57" s="57" t="n">
        <v>403</v>
      </c>
      <c r="AA57" s="57" t="n">
        <v>403</v>
      </c>
      <c r="AB57" s="57" t="n">
        <v>0</v>
      </c>
      <c r="AC57" s="57" t="n">
        <v>0</v>
      </c>
      <c r="AD57" s="57" t="n">
        <v>0</v>
      </c>
      <c r="AE57" s="57" t="n">
        <v>41.6</v>
      </c>
      <c r="AF57" s="57" t="n">
        <v>57.4</v>
      </c>
      <c r="AG57" s="57" t="n">
        <v>304</v>
      </c>
      <c r="AH57" s="57" t="s">
        <v>239</v>
      </c>
      <c r="AI57" s="57" t="s">
        <v>591</v>
      </c>
      <c r="AJ57" s="57" t="n">
        <v>0</v>
      </c>
      <c r="AK57" s="57" t="s">
        <v>287</v>
      </c>
      <c r="AL57" s="57" t="s">
        <v>347</v>
      </c>
      <c r="AM57" s="57" t="n">
        <v>0.81</v>
      </c>
      <c r="AN57" s="57" t="s">
        <v>575</v>
      </c>
      <c r="AO57" s="57" t="str">
        <f aca="false">IF(C57="County",IF(AL57="Rest of county","Remainder of County","Settlements"),IF(D57="City Centre","City Centre","Rest of City"))</f>
        <v>Rest of City</v>
      </c>
      <c r="AP57" s="57" t="str">
        <f aca="false">IF(LEFT(B57,13)="Council audit","Audit",IF(LEFT(B57,8)="Planning","Consent","Zoned"))</f>
        <v>Audit</v>
      </c>
      <c r="AQ57" s="57" t="n">
        <f aca="false">IF(N(K57)&gt;0,I57*Y57/K57,0)</f>
        <v>0</v>
      </c>
    </row>
    <row r="58" customFormat="false" ht="15" hidden="false" customHeight="false" outlineLevel="0" collapsed="false">
      <c r="A58" s="57" t="s">
        <v>648</v>
      </c>
      <c r="B58" s="57" t="s">
        <v>215</v>
      </c>
      <c r="C58" s="57" t="s">
        <v>216</v>
      </c>
      <c r="D58" s="57" t="s">
        <v>288</v>
      </c>
      <c r="E58" s="57" t="s">
        <v>621</v>
      </c>
      <c r="F58" s="57" t="s">
        <v>570</v>
      </c>
      <c r="G58" s="57" t="s">
        <v>585</v>
      </c>
      <c r="H58" s="57" t="s">
        <v>578</v>
      </c>
      <c r="I58" s="57" t="n">
        <v>0.727</v>
      </c>
      <c r="J58" s="57" t="n">
        <v>0.728</v>
      </c>
      <c r="K58" s="57" t="n">
        <v>33</v>
      </c>
      <c r="L58" s="57" t="s">
        <v>573</v>
      </c>
      <c r="M58" s="57"/>
      <c r="N58" s="57"/>
      <c r="O58" s="57"/>
      <c r="P58" s="57"/>
      <c r="Q58" s="57" t="s">
        <v>586</v>
      </c>
      <c r="R58" s="57" t="n">
        <v>0</v>
      </c>
      <c r="S58" s="57" t="n">
        <v>0</v>
      </c>
      <c r="T58" s="57" t="n">
        <v>0</v>
      </c>
      <c r="U58" s="57" t="n">
        <v>0</v>
      </c>
      <c r="V58" s="57" t="n">
        <v>0</v>
      </c>
      <c r="W58" s="57" t="n">
        <v>0</v>
      </c>
      <c r="X58" s="57" t="n">
        <v>0</v>
      </c>
      <c r="Y58" s="57" t="n">
        <v>33</v>
      </c>
      <c r="Z58" s="57" t="n">
        <v>33</v>
      </c>
      <c r="AA58" s="57" t="n">
        <v>33</v>
      </c>
      <c r="AB58" s="57" t="n">
        <v>0</v>
      </c>
      <c r="AC58" s="57" t="n">
        <v>0</v>
      </c>
      <c r="AD58" s="57" t="n">
        <v>0</v>
      </c>
      <c r="AE58" s="57" t="n">
        <v>0</v>
      </c>
      <c r="AF58" s="57" t="n">
        <v>0</v>
      </c>
      <c r="AG58" s="57" t="n">
        <v>0</v>
      </c>
      <c r="AH58" s="57" t="s">
        <v>240</v>
      </c>
      <c r="AI58" s="57"/>
      <c r="AJ58" s="57" t="n">
        <v>0</v>
      </c>
      <c r="AK58" s="57" t="s">
        <v>288</v>
      </c>
      <c r="AL58" s="57" t="s">
        <v>347</v>
      </c>
      <c r="AM58" s="57" t="n">
        <v>1</v>
      </c>
      <c r="AN58" s="57" t="s">
        <v>575</v>
      </c>
      <c r="AO58" s="57" t="str">
        <f aca="false">IF(C58="County",IF(AL58="Rest of county","Remainder of County","Settlements"),IF(D58="City Centre","City Centre","Rest of City"))</f>
        <v>Rest of City</v>
      </c>
      <c r="AP58" s="57" t="str">
        <f aca="false">IF(LEFT(B58,13)="Council audit","Audit",IF(LEFT(B58,8)="Planning","Consent","Zoned"))</f>
        <v>Audit</v>
      </c>
      <c r="AQ58" s="57" t="n">
        <f aca="false">IF(N(K58)&gt;0,I58*Y58/K58,0)</f>
        <v>0.727</v>
      </c>
    </row>
    <row r="59" customFormat="false" ht="15" hidden="false" customHeight="false" outlineLevel="0" collapsed="false">
      <c r="A59" s="57" t="s">
        <v>649</v>
      </c>
      <c r="B59" s="57" t="s">
        <v>215</v>
      </c>
      <c r="C59" s="57" t="s">
        <v>216</v>
      </c>
      <c r="D59" s="57" t="s">
        <v>288</v>
      </c>
      <c r="E59" s="57" t="s">
        <v>621</v>
      </c>
      <c r="F59" s="57" t="s">
        <v>570</v>
      </c>
      <c r="G59" s="57" t="s">
        <v>585</v>
      </c>
      <c r="H59" s="57" t="s">
        <v>578</v>
      </c>
      <c r="I59" s="57" t="n">
        <v>0.919</v>
      </c>
      <c r="J59" s="57" t="n">
        <v>0.919</v>
      </c>
      <c r="K59" s="57" t="n">
        <v>41</v>
      </c>
      <c r="L59" s="57" t="s">
        <v>573</v>
      </c>
      <c r="M59" s="57"/>
      <c r="N59" s="57"/>
      <c r="O59" s="57"/>
      <c r="P59" s="57"/>
      <c r="Q59" s="57" t="s">
        <v>586</v>
      </c>
      <c r="R59" s="57" t="n">
        <v>0</v>
      </c>
      <c r="S59" s="57" t="n">
        <v>0</v>
      </c>
      <c r="T59" s="57" t="n">
        <v>0</v>
      </c>
      <c r="U59" s="57" t="n">
        <v>0</v>
      </c>
      <c r="V59" s="57" t="n">
        <v>0</v>
      </c>
      <c r="W59" s="57" t="n">
        <v>0</v>
      </c>
      <c r="X59" s="57" t="n">
        <v>0</v>
      </c>
      <c r="Y59" s="57" t="n">
        <v>41</v>
      </c>
      <c r="Z59" s="57" t="n">
        <v>41</v>
      </c>
      <c r="AA59" s="57" t="n">
        <v>41</v>
      </c>
      <c r="AB59" s="57" t="n">
        <v>0</v>
      </c>
      <c r="AC59" s="57" t="n">
        <v>0</v>
      </c>
      <c r="AD59" s="57" t="n">
        <v>0</v>
      </c>
      <c r="AE59" s="57" t="n">
        <v>0</v>
      </c>
      <c r="AF59" s="57" t="n">
        <v>0</v>
      </c>
      <c r="AG59" s="57" t="n">
        <v>0</v>
      </c>
      <c r="AH59" s="57" t="s">
        <v>240</v>
      </c>
      <c r="AI59" s="57"/>
      <c r="AJ59" s="57" t="n">
        <v>0</v>
      </c>
      <c r="AK59" s="57" t="s">
        <v>288</v>
      </c>
      <c r="AL59" s="57" t="s">
        <v>347</v>
      </c>
      <c r="AM59" s="57" t="n">
        <v>1</v>
      </c>
      <c r="AN59" s="57" t="s">
        <v>575</v>
      </c>
      <c r="AO59" s="57" t="str">
        <f aca="false">IF(C59="County",IF(AL59="Rest of county","Remainder of County","Settlements"),IF(D59="City Centre","City Centre","Rest of City"))</f>
        <v>Rest of City</v>
      </c>
      <c r="AP59" s="57" t="str">
        <f aca="false">IF(LEFT(B59,13)="Council audit","Audit",IF(LEFT(B59,8)="Planning","Consent","Zoned"))</f>
        <v>Audit</v>
      </c>
      <c r="AQ59" s="57" t="n">
        <f aca="false">IF(N(K59)&gt;0,I59*Y59/K59,0)</f>
        <v>0.919</v>
      </c>
    </row>
    <row r="60" customFormat="false" ht="15" hidden="false" customHeight="false" outlineLevel="0" collapsed="false">
      <c r="A60" s="57" t="s">
        <v>650</v>
      </c>
      <c r="B60" s="57" t="s">
        <v>215</v>
      </c>
      <c r="C60" s="57" t="s">
        <v>216</v>
      </c>
      <c r="D60" s="57" t="s">
        <v>288</v>
      </c>
      <c r="E60" s="57" t="s">
        <v>621</v>
      </c>
      <c r="F60" s="57" t="s">
        <v>570</v>
      </c>
      <c r="G60" s="57" t="s">
        <v>585</v>
      </c>
      <c r="H60" s="57" t="s">
        <v>578</v>
      </c>
      <c r="I60" s="57" t="n">
        <v>2.384</v>
      </c>
      <c r="J60" s="57" t="n">
        <v>2.383</v>
      </c>
      <c r="K60" s="57" t="n">
        <v>107</v>
      </c>
      <c r="L60" s="57" t="s">
        <v>573</v>
      </c>
      <c r="M60" s="57"/>
      <c r="N60" s="57"/>
      <c r="O60" s="57"/>
      <c r="P60" s="57"/>
      <c r="Q60" s="57" t="s">
        <v>586</v>
      </c>
      <c r="R60" s="57" t="n">
        <v>0</v>
      </c>
      <c r="S60" s="57" t="n">
        <v>0</v>
      </c>
      <c r="T60" s="57" t="n">
        <v>55</v>
      </c>
      <c r="U60" s="57" t="n">
        <v>0</v>
      </c>
      <c r="V60" s="57" t="n">
        <v>0</v>
      </c>
      <c r="W60" s="57" t="n">
        <v>0</v>
      </c>
      <c r="X60" s="57" t="n">
        <v>55</v>
      </c>
      <c r="Y60" s="57" t="n">
        <v>52</v>
      </c>
      <c r="Z60" s="57" t="n">
        <v>107</v>
      </c>
      <c r="AA60" s="57" t="n">
        <v>107</v>
      </c>
      <c r="AB60" s="57" t="n">
        <v>0</v>
      </c>
      <c r="AC60" s="57" t="n">
        <v>0</v>
      </c>
      <c r="AD60" s="57" t="n">
        <v>42.9</v>
      </c>
      <c r="AE60" s="57" t="n">
        <v>12.1</v>
      </c>
      <c r="AF60" s="57" t="n">
        <v>0</v>
      </c>
      <c r="AG60" s="57" t="n">
        <v>0</v>
      </c>
      <c r="AH60" s="57" t="s">
        <v>239</v>
      </c>
      <c r="AI60" s="57"/>
      <c r="AJ60" s="57" t="n">
        <v>0</v>
      </c>
      <c r="AK60" s="57" t="s">
        <v>288</v>
      </c>
      <c r="AL60" s="57" t="s">
        <v>347</v>
      </c>
      <c r="AM60" s="57" t="n">
        <v>1</v>
      </c>
      <c r="AN60" s="57" t="s">
        <v>575</v>
      </c>
      <c r="AO60" s="57" t="str">
        <f aca="false">IF(C60="County",IF(AL60="Rest of county","Remainder of County","Settlements"),IF(D60="City Centre","City Centre","Rest of City"))</f>
        <v>Rest of City</v>
      </c>
      <c r="AP60" s="57" t="str">
        <f aca="false">IF(LEFT(B60,13)="Council audit","Audit",IF(LEFT(B60,8)="Planning","Consent","Zoned"))</f>
        <v>Audit</v>
      </c>
      <c r="AQ60" s="57" t="n">
        <f aca="false">IF(N(K60)&gt;0,I60*Y60/K60,0)</f>
        <v>1.15857943925234</v>
      </c>
    </row>
    <row r="61" customFormat="false" ht="15" hidden="false" customHeight="false" outlineLevel="0" collapsed="false">
      <c r="A61" s="57" t="s">
        <v>651</v>
      </c>
      <c r="B61" s="57" t="s">
        <v>215</v>
      </c>
      <c r="C61" s="57" t="s">
        <v>216</v>
      </c>
      <c r="D61" s="57" t="s">
        <v>288</v>
      </c>
      <c r="E61" s="57" t="s">
        <v>621</v>
      </c>
      <c r="F61" s="57" t="s">
        <v>584</v>
      </c>
      <c r="G61" s="57" t="s">
        <v>577</v>
      </c>
      <c r="H61" s="57" t="s">
        <v>578</v>
      </c>
      <c r="I61" s="57" t="n">
        <v>0.077</v>
      </c>
      <c r="J61" s="57" t="n">
        <v>0.077</v>
      </c>
      <c r="K61" s="57" t="n">
        <v>3</v>
      </c>
      <c r="L61" s="57" t="s">
        <v>573</v>
      </c>
      <c r="M61" s="57"/>
      <c r="N61" s="57"/>
      <c r="O61" s="57"/>
      <c r="P61" s="57"/>
      <c r="Q61" s="57" t="s">
        <v>586</v>
      </c>
      <c r="R61" s="57" t="n">
        <v>0</v>
      </c>
      <c r="S61" s="57" t="n">
        <v>0</v>
      </c>
      <c r="T61" s="57" t="n">
        <v>0</v>
      </c>
      <c r="U61" s="57" t="n">
        <v>0</v>
      </c>
      <c r="V61" s="57" t="n">
        <v>0</v>
      </c>
      <c r="W61" s="57" t="n">
        <v>0</v>
      </c>
      <c r="X61" s="57" t="n">
        <v>0</v>
      </c>
      <c r="Y61" s="57" t="n">
        <v>3</v>
      </c>
      <c r="Z61" s="57" t="n">
        <v>3</v>
      </c>
      <c r="AA61" s="57" t="n">
        <v>3</v>
      </c>
      <c r="AB61" s="57" t="n">
        <v>0</v>
      </c>
      <c r="AC61" s="57" t="n">
        <v>0</v>
      </c>
      <c r="AD61" s="57" t="n">
        <v>0</v>
      </c>
      <c r="AE61" s="57" t="n">
        <v>0</v>
      </c>
      <c r="AF61" s="57" t="n">
        <v>0</v>
      </c>
      <c r="AG61" s="57" t="n">
        <v>0</v>
      </c>
      <c r="AH61" s="57" t="s">
        <v>240</v>
      </c>
      <c r="AI61" s="57"/>
      <c r="AJ61" s="57" t="n">
        <v>0</v>
      </c>
      <c r="AK61" s="57" t="s">
        <v>288</v>
      </c>
      <c r="AL61" s="57" t="s">
        <v>347</v>
      </c>
      <c r="AM61" s="57" t="n">
        <v>1</v>
      </c>
      <c r="AN61" s="57" t="s">
        <v>575</v>
      </c>
      <c r="AO61" s="57" t="str">
        <f aca="false">IF(C61="County",IF(AL61="Rest of county","Remainder of County","Settlements"),IF(D61="City Centre","City Centre","Rest of City"))</f>
        <v>Rest of City</v>
      </c>
      <c r="AP61" s="57" t="str">
        <f aca="false">IF(LEFT(B61,13)="Council audit","Audit",IF(LEFT(B61,8)="Planning","Consent","Zoned"))</f>
        <v>Audit</v>
      </c>
      <c r="AQ61" s="57" t="n">
        <f aca="false">IF(N(K61)&gt;0,I61*Y61/K61,0)</f>
        <v>0.077</v>
      </c>
    </row>
    <row r="62" customFormat="false" ht="15" hidden="false" customHeight="false" outlineLevel="0" collapsed="false">
      <c r="A62" s="57" t="s">
        <v>652</v>
      </c>
      <c r="B62" s="57" t="s">
        <v>215</v>
      </c>
      <c r="C62" s="57" t="s">
        <v>216</v>
      </c>
      <c r="D62" s="57" t="s">
        <v>288</v>
      </c>
      <c r="E62" s="57" t="s">
        <v>621</v>
      </c>
      <c r="F62" s="57" t="s">
        <v>570</v>
      </c>
      <c r="G62" s="57" t="s">
        <v>577</v>
      </c>
      <c r="H62" s="57" t="s">
        <v>578</v>
      </c>
      <c r="I62" s="57" t="n">
        <v>0.156</v>
      </c>
      <c r="J62" s="57" t="n">
        <v>0.156</v>
      </c>
      <c r="K62" s="57" t="n">
        <v>32</v>
      </c>
      <c r="L62" s="57" t="s">
        <v>573</v>
      </c>
      <c r="M62" s="57"/>
      <c r="N62" s="57"/>
      <c r="O62" s="57"/>
      <c r="P62" s="57"/>
      <c r="Q62" s="57" t="s">
        <v>574</v>
      </c>
      <c r="R62" s="57" t="n">
        <v>0</v>
      </c>
      <c r="S62" s="57" t="n">
        <v>20</v>
      </c>
      <c r="T62" s="57" t="n">
        <v>0</v>
      </c>
      <c r="U62" s="57" t="n">
        <v>0</v>
      </c>
      <c r="V62" s="57" t="n">
        <v>0</v>
      </c>
      <c r="W62" s="57" t="n">
        <v>0</v>
      </c>
      <c r="X62" s="57" t="n">
        <v>20</v>
      </c>
      <c r="Y62" s="57" t="n">
        <v>12</v>
      </c>
      <c r="Z62" s="57" t="n">
        <v>32</v>
      </c>
      <c r="AA62" s="57" t="n">
        <v>32</v>
      </c>
      <c r="AB62" s="57" t="n">
        <v>4.7</v>
      </c>
      <c r="AC62" s="57" t="n">
        <v>15.3</v>
      </c>
      <c r="AD62" s="57" t="n">
        <v>0</v>
      </c>
      <c r="AE62" s="57" t="n">
        <v>0</v>
      </c>
      <c r="AF62" s="57" t="n">
        <v>0</v>
      </c>
      <c r="AG62" s="57" t="n">
        <v>0</v>
      </c>
      <c r="AH62" s="57" t="s">
        <v>239</v>
      </c>
      <c r="AI62" s="57"/>
      <c r="AJ62" s="57" t="n">
        <v>0</v>
      </c>
      <c r="AK62" s="57" t="s">
        <v>288</v>
      </c>
      <c r="AL62" s="57" t="s">
        <v>347</v>
      </c>
      <c r="AM62" s="57" t="n">
        <v>1</v>
      </c>
      <c r="AN62" s="57" t="s">
        <v>575</v>
      </c>
      <c r="AO62" s="57" t="str">
        <f aca="false">IF(C62="County",IF(AL62="Rest of county","Remainder of County","Settlements"),IF(D62="City Centre","City Centre","Rest of City"))</f>
        <v>Rest of City</v>
      </c>
      <c r="AP62" s="57" t="str">
        <f aca="false">IF(LEFT(B62,13)="Council audit","Audit",IF(LEFT(B62,8)="Planning","Consent","Zoned"))</f>
        <v>Audit</v>
      </c>
      <c r="AQ62" s="57" t="n">
        <f aca="false">IF(N(K62)&gt;0,I62*Y62/K62,0)</f>
        <v>0.0585</v>
      </c>
    </row>
    <row r="63" customFormat="false" ht="15" hidden="false" customHeight="false" outlineLevel="0" collapsed="false">
      <c r="A63" s="57" t="s">
        <v>653</v>
      </c>
      <c r="B63" s="57" t="s">
        <v>215</v>
      </c>
      <c r="C63" s="57" t="s">
        <v>216</v>
      </c>
      <c r="D63" s="57" t="s">
        <v>288</v>
      </c>
      <c r="E63" s="57" t="s">
        <v>621</v>
      </c>
      <c r="F63" s="57" t="s">
        <v>599</v>
      </c>
      <c r="G63" s="57" t="s">
        <v>577</v>
      </c>
      <c r="H63" s="57" t="s">
        <v>600</v>
      </c>
      <c r="I63" s="57" t="n">
        <v>0</v>
      </c>
      <c r="J63" s="57" t="n">
        <v>0.166</v>
      </c>
      <c r="K63" s="57" t="n">
        <v>0</v>
      </c>
      <c r="L63" s="57" t="s">
        <v>573</v>
      </c>
      <c r="M63" s="57"/>
      <c r="N63" s="57"/>
      <c r="O63" s="57"/>
      <c r="P63" s="57"/>
      <c r="Q63" s="57" t="s">
        <v>586</v>
      </c>
      <c r="R63" s="57" t="n">
        <v>0</v>
      </c>
      <c r="S63" s="57" t="n">
        <v>0</v>
      </c>
      <c r="T63" s="57" t="n">
        <v>0</v>
      </c>
      <c r="U63" s="57" t="n">
        <v>0</v>
      </c>
      <c r="V63" s="57" t="n">
        <v>0</v>
      </c>
      <c r="W63" s="57" t="n">
        <v>0</v>
      </c>
      <c r="X63" s="57" t="n">
        <v>0</v>
      </c>
      <c r="Y63" s="57" t="n">
        <v>0</v>
      </c>
      <c r="Z63" s="57" t="n">
        <v>0</v>
      </c>
      <c r="AA63" s="57" t="n">
        <v>0</v>
      </c>
      <c r="AB63" s="57" t="n">
        <v>0</v>
      </c>
      <c r="AC63" s="57" t="n">
        <v>0</v>
      </c>
      <c r="AD63" s="57" t="n">
        <v>0</v>
      </c>
      <c r="AE63" s="57" t="n">
        <v>0</v>
      </c>
      <c r="AF63" s="57" t="n">
        <v>0</v>
      </c>
      <c r="AG63" s="57" t="n">
        <v>0</v>
      </c>
      <c r="AH63" s="57" t="s">
        <v>240</v>
      </c>
      <c r="AI63" s="57"/>
      <c r="AJ63" s="57" t="n">
        <v>0</v>
      </c>
      <c r="AK63" s="57" t="s">
        <v>288</v>
      </c>
      <c r="AL63" s="57" t="s">
        <v>347</v>
      </c>
      <c r="AM63" s="57" t="n">
        <v>1</v>
      </c>
      <c r="AN63" s="57" t="s">
        <v>575</v>
      </c>
      <c r="AO63" s="57" t="str">
        <f aca="false">IF(C63="County",IF(AL63="Rest of county","Remainder of County","Settlements"),IF(D63="City Centre","City Centre","Rest of City"))</f>
        <v>Rest of City</v>
      </c>
      <c r="AP63" s="57" t="str">
        <f aca="false">IF(LEFT(B63,13)="Council audit","Audit",IF(LEFT(B63,8)="Planning","Consent","Zoned"))</f>
        <v>Audit</v>
      </c>
      <c r="AQ63" s="57" t="n">
        <f aca="false">IF(N(K63)&gt;0,I63*Y63/K63,0)</f>
        <v>0</v>
      </c>
    </row>
    <row r="64" customFormat="false" ht="15" hidden="false" customHeight="false" outlineLevel="0" collapsed="false">
      <c r="A64" s="57" t="s">
        <v>654</v>
      </c>
      <c r="B64" s="57" t="s">
        <v>215</v>
      </c>
      <c r="C64" s="57" t="s">
        <v>216</v>
      </c>
      <c r="D64" s="57" t="s">
        <v>288</v>
      </c>
      <c r="E64" s="57" t="s">
        <v>621</v>
      </c>
      <c r="F64" s="57" t="s">
        <v>599</v>
      </c>
      <c r="G64" s="57" t="s">
        <v>577</v>
      </c>
      <c r="H64" s="57" t="s">
        <v>600</v>
      </c>
      <c r="I64" s="57" t="n">
        <v>0.124</v>
      </c>
      <c r="J64" s="57" t="n">
        <v>0.125</v>
      </c>
      <c r="K64" s="57" t="n">
        <v>14</v>
      </c>
      <c r="L64" s="57" t="s">
        <v>573</v>
      </c>
      <c r="M64" s="57"/>
      <c r="N64" s="57"/>
      <c r="O64" s="57"/>
      <c r="P64" s="57"/>
      <c r="Q64" s="57" t="s">
        <v>574</v>
      </c>
      <c r="R64" s="57" t="n">
        <v>0</v>
      </c>
      <c r="S64" s="57" t="n">
        <v>0</v>
      </c>
      <c r="T64" s="57" t="n">
        <v>44</v>
      </c>
      <c r="U64" s="57" t="n">
        <v>0</v>
      </c>
      <c r="V64" s="57" t="n">
        <v>0</v>
      </c>
      <c r="W64" s="57" t="n">
        <v>0</v>
      </c>
      <c r="X64" s="57" t="n">
        <v>44</v>
      </c>
      <c r="Y64" s="57" t="n">
        <v>0</v>
      </c>
      <c r="Z64" s="57" t="n">
        <v>44</v>
      </c>
      <c r="AA64" s="57" t="n">
        <v>44</v>
      </c>
      <c r="AB64" s="57" t="n">
        <v>0</v>
      </c>
      <c r="AC64" s="57" t="n">
        <v>1.4</v>
      </c>
      <c r="AD64" s="57" t="n">
        <v>36.8</v>
      </c>
      <c r="AE64" s="57" t="n">
        <v>5.8</v>
      </c>
      <c r="AF64" s="57" t="n">
        <v>0</v>
      </c>
      <c r="AG64" s="57" t="n">
        <v>0</v>
      </c>
      <c r="AH64" s="57" t="s">
        <v>239</v>
      </c>
      <c r="AI64" s="57" t="s">
        <v>591</v>
      </c>
      <c r="AJ64" s="57" t="n">
        <v>0</v>
      </c>
      <c r="AK64" s="57" t="s">
        <v>288</v>
      </c>
      <c r="AL64" s="57" t="s">
        <v>347</v>
      </c>
      <c r="AM64" s="57" t="n">
        <v>1</v>
      </c>
      <c r="AN64" s="57" t="s">
        <v>575</v>
      </c>
      <c r="AO64" s="57" t="str">
        <f aca="false">IF(C64="County",IF(AL64="Rest of county","Remainder of County","Settlements"),IF(D64="City Centre","City Centre","Rest of City"))</f>
        <v>Rest of City</v>
      </c>
      <c r="AP64" s="57" t="str">
        <f aca="false">IF(LEFT(B64,13)="Council audit","Audit",IF(LEFT(B64,8)="Planning","Consent","Zoned"))</f>
        <v>Audit</v>
      </c>
      <c r="AQ64" s="57" t="n">
        <f aca="false">IF(N(K64)&gt;0,I64*Y64/K64,0)</f>
        <v>0</v>
      </c>
    </row>
    <row r="65" customFormat="false" ht="15" hidden="false" customHeight="false" outlineLevel="0" collapsed="false">
      <c r="A65" s="57" t="s">
        <v>655</v>
      </c>
      <c r="B65" s="57" t="s">
        <v>215</v>
      </c>
      <c r="C65" s="57" t="s">
        <v>216</v>
      </c>
      <c r="D65" s="57" t="s">
        <v>288</v>
      </c>
      <c r="E65" s="57" t="s">
        <v>621</v>
      </c>
      <c r="F65" s="57" t="s">
        <v>599</v>
      </c>
      <c r="G65" s="57" t="s">
        <v>577</v>
      </c>
      <c r="H65" s="57" t="s">
        <v>600</v>
      </c>
      <c r="I65" s="57" t="n">
        <v>0.043</v>
      </c>
      <c r="J65" s="57" t="n">
        <v>0.043</v>
      </c>
      <c r="K65" s="57" t="n">
        <v>20</v>
      </c>
      <c r="L65" s="57" t="s">
        <v>573</v>
      </c>
      <c r="M65" s="57"/>
      <c r="N65" s="57"/>
      <c r="O65" s="57"/>
      <c r="P65" s="57"/>
      <c r="Q65" s="57" t="s">
        <v>574</v>
      </c>
      <c r="R65" s="57" t="n">
        <v>0</v>
      </c>
      <c r="S65" s="57" t="n">
        <v>30</v>
      </c>
      <c r="T65" s="57" t="n">
        <v>0</v>
      </c>
      <c r="U65" s="57" t="n">
        <v>0</v>
      </c>
      <c r="V65" s="57" t="n">
        <v>0</v>
      </c>
      <c r="W65" s="57" t="n">
        <v>0</v>
      </c>
      <c r="X65" s="57" t="n">
        <v>30</v>
      </c>
      <c r="Y65" s="57" t="n">
        <v>0</v>
      </c>
      <c r="Z65" s="57" t="n">
        <v>30</v>
      </c>
      <c r="AA65" s="57" t="n">
        <v>30</v>
      </c>
      <c r="AB65" s="57" t="n">
        <v>7</v>
      </c>
      <c r="AC65" s="57" t="n">
        <v>23</v>
      </c>
      <c r="AD65" s="57" t="n">
        <v>0</v>
      </c>
      <c r="AE65" s="57" t="n">
        <v>0</v>
      </c>
      <c r="AF65" s="57" t="n">
        <v>0</v>
      </c>
      <c r="AG65" s="57" t="n">
        <v>0</v>
      </c>
      <c r="AH65" s="57" t="s">
        <v>239</v>
      </c>
      <c r="AI65" s="57" t="s">
        <v>591</v>
      </c>
      <c r="AJ65" s="57" t="n">
        <v>0</v>
      </c>
      <c r="AK65" s="57" t="s">
        <v>288</v>
      </c>
      <c r="AL65" s="57" t="s">
        <v>347</v>
      </c>
      <c r="AM65" s="57" t="n">
        <v>1</v>
      </c>
      <c r="AN65" s="57" t="s">
        <v>575</v>
      </c>
      <c r="AO65" s="57" t="str">
        <f aca="false">IF(C65="County",IF(AL65="Rest of county","Remainder of County","Settlements"),IF(D65="City Centre","City Centre","Rest of City"))</f>
        <v>Rest of City</v>
      </c>
      <c r="AP65" s="57" t="str">
        <f aca="false">IF(LEFT(B65,13)="Council audit","Audit",IF(LEFT(B65,8)="Planning","Consent","Zoned"))</f>
        <v>Audit</v>
      </c>
      <c r="AQ65" s="57" t="n">
        <f aca="false">IF(N(K65)&gt;0,I65*Y65/K65,0)</f>
        <v>0</v>
      </c>
    </row>
    <row r="66" customFormat="false" ht="15" hidden="false" customHeight="false" outlineLevel="0" collapsed="false">
      <c r="A66" s="57" t="s">
        <v>656</v>
      </c>
      <c r="B66" s="57" t="s">
        <v>215</v>
      </c>
      <c r="C66" s="57" t="s">
        <v>216</v>
      </c>
      <c r="D66" s="57" t="s">
        <v>258</v>
      </c>
      <c r="E66" s="57" t="s">
        <v>258</v>
      </c>
      <c r="F66" s="57" t="s">
        <v>599</v>
      </c>
      <c r="G66" s="57" t="s">
        <v>577</v>
      </c>
      <c r="H66" s="57" t="s">
        <v>600</v>
      </c>
      <c r="I66" s="57" t="n">
        <v>0.676</v>
      </c>
      <c r="J66" s="57" t="n">
        <v>0.676</v>
      </c>
      <c r="K66" s="57" t="n">
        <v>68</v>
      </c>
      <c r="L66" s="57" t="s">
        <v>573</v>
      </c>
      <c r="M66" s="57"/>
      <c r="N66" s="57"/>
      <c r="O66" s="57"/>
      <c r="P66" s="57"/>
      <c r="Q66" s="57" t="s">
        <v>586</v>
      </c>
      <c r="R66" s="57" t="n">
        <v>0</v>
      </c>
      <c r="S66" s="57" t="n">
        <v>0</v>
      </c>
      <c r="T66" s="57" t="n">
        <v>0</v>
      </c>
      <c r="U66" s="57" t="n">
        <v>0</v>
      </c>
      <c r="V66" s="57" t="n">
        <v>0</v>
      </c>
      <c r="W66" s="57" t="n">
        <v>0</v>
      </c>
      <c r="X66" s="57" t="n">
        <v>0</v>
      </c>
      <c r="Y66" s="57" t="n">
        <v>68</v>
      </c>
      <c r="Z66" s="57" t="n">
        <v>68</v>
      </c>
      <c r="AA66" s="57" t="n">
        <v>68</v>
      </c>
      <c r="AB66" s="57" t="n">
        <v>0</v>
      </c>
      <c r="AC66" s="57" t="n">
        <v>0</v>
      </c>
      <c r="AD66" s="57" t="n">
        <v>0</v>
      </c>
      <c r="AE66" s="57" t="n">
        <v>0</v>
      </c>
      <c r="AF66" s="57" t="n">
        <v>0</v>
      </c>
      <c r="AG66" s="57" t="n">
        <v>0</v>
      </c>
      <c r="AH66" s="57" t="s">
        <v>240</v>
      </c>
      <c r="AI66" s="57"/>
      <c r="AJ66" s="57" t="n">
        <v>0</v>
      </c>
      <c r="AK66" s="57" t="s">
        <v>258</v>
      </c>
      <c r="AL66" s="57" t="s">
        <v>347</v>
      </c>
      <c r="AM66" s="57" t="n">
        <v>1</v>
      </c>
      <c r="AN66" s="57" t="s">
        <v>575</v>
      </c>
      <c r="AO66" s="57" t="str">
        <f aca="false">IF(C66="County",IF(AL66="Rest of county","Remainder of County","Settlements"),IF(D66="City Centre","City Centre","Rest of City"))</f>
        <v>City Centre</v>
      </c>
      <c r="AP66" s="57" t="str">
        <f aca="false">IF(LEFT(B66,13)="Council audit","Audit",IF(LEFT(B66,8)="Planning","Consent","Zoned"))</f>
        <v>Audit</v>
      </c>
      <c r="AQ66" s="57" t="n">
        <f aca="false">IF(N(K66)&gt;0,I66*Y66/K66,0)</f>
        <v>0.676</v>
      </c>
    </row>
    <row r="67" customFormat="false" ht="15" hidden="false" customHeight="false" outlineLevel="0" collapsed="false">
      <c r="A67" s="57" t="s">
        <v>657</v>
      </c>
      <c r="B67" s="57" t="s">
        <v>215</v>
      </c>
      <c r="C67" s="57" t="s">
        <v>216</v>
      </c>
      <c r="D67" s="57" t="s">
        <v>258</v>
      </c>
      <c r="E67" s="57" t="s">
        <v>258</v>
      </c>
      <c r="F67" s="57" t="s">
        <v>599</v>
      </c>
      <c r="G67" s="57" t="s">
        <v>577</v>
      </c>
      <c r="H67" s="57" t="s">
        <v>600</v>
      </c>
      <c r="I67" s="57" t="n">
        <v>0.136</v>
      </c>
      <c r="J67" s="57" t="n">
        <v>0.137</v>
      </c>
      <c r="K67" s="57" t="n">
        <v>14</v>
      </c>
      <c r="L67" s="57" t="s">
        <v>573</v>
      </c>
      <c r="M67" s="57"/>
      <c r="N67" s="57"/>
      <c r="O67" s="57"/>
      <c r="P67" s="57"/>
      <c r="Q67" s="57" t="s">
        <v>586</v>
      </c>
      <c r="R67" s="57" t="n">
        <v>0</v>
      </c>
      <c r="S67" s="57" t="n">
        <v>0</v>
      </c>
      <c r="T67" s="57" t="n">
        <v>0</v>
      </c>
      <c r="U67" s="57" t="n">
        <v>0</v>
      </c>
      <c r="V67" s="57" t="n">
        <v>0</v>
      </c>
      <c r="W67" s="57" t="n">
        <v>0</v>
      </c>
      <c r="X67" s="57" t="n">
        <v>0</v>
      </c>
      <c r="Y67" s="57" t="n">
        <v>14</v>
      </c>
      <c r="Z67" s="57" t="n">
        <v>14</v>
      </c>
      <c r="AA67" s="57" t="n">
        <v>14</v>
      </c>
      <c r="AB67" s="57" t="n">
        <v>0</v>
      </c>
      <c r="AC67" s="57" t="n">
        <v>0</v>
      </c>
      <c r="AD67" s="57" t="n">
        <v>0</v>
      </c>
      <c r="AE67" s="57" t="n">
        <v>0</v>
      </c>
      <c r="AF67" s="57" t="n">
        <v>0</v>
      </c>
      <c r="AG67" s="57" t="n">
        <v>0</v>
      </c>
      <c r="AH67" s="57" t="s">
        <v>240</v>
      </c>
      <c r="AI67" s="57"/>
      <c r="AJ67" s="57" t="n">
        <v>0</v>
      </c>
      <c r="AK67" s="57" t="s">
        <v>258</v>
      </c>
      <c r="AL67" s="57" t="s">
        <v>347</v>
      </c>
      <c r="AM67" s="57" t="n">
        <v>1</v>
      </c>
      <c r="AN67" s="57" t="s">
        <v>575</v>
      </c>
      <c r="AO67" s="57" t="str">
        <f aca="false">IF(C67="County",IF(AL67="Rest of county","Remainder of County","Settlements"),IF(D67="City Centre","City Centre","Rest of City"))</f>
        <v>City Centre</v>
      </c>
      <c r="AP67" s="57" t="str">
        <f aca="false">IF(LEFT(B67,13)="Council audit","Audit",IF(LEFT(B67,8)="Planning","Consent","Zoned"))</f>
        <v>Audit</v>
      </c>
      <c r="AQ67" s="57" t="n">
        <f aca="false">IF(N(K67)&gt;0,I67*Y67/K67,0)</f>
        <v>0.136</v>
      </c>
    </row>
    <row r="68" customFormat="false" ht="15" hidden="false" customHeight="false" outlineLevel="0" collapsed="false">
      <c r="A68" s="57" t="s">
        <v>658</v>
      </c>
      <c r="B68" s="57" t="s">
        <v>215</v>
      </c>
      <c r="C68" s="57" t="s">
        <v>216</v>
      </c>
      <c r="D68" s="57" t="s">
        <v>258</v>
      </c>
      <c r="E68" s="57" t="s">
        <v>258</v>
      </c>
      <c r="F68" s="57" t="s">
        <v>258</v>
      </c>
      <c r="G68" s="57" t="s">
        <v>577</v>
      </c>
      <c r="H68" s="57" t="s">
        <v>600</v>
      </c>
      <c r="I68" s="57" t="n">
        <v>0.348</v>
      </c>
      <c r="J68" s="57" t="n">
        <v>0.349</v>
      </c>
      <c r="K68" s="57" t="n">
        <v>35</v>
      </c>
      <c r="L68" s="57" t="s">
        <v>573</v>
      </c>
      <c r="M68" s="57"/>
      <c r="N68" s="57"/>
      <c r="O68" s="57"/>
      <c r="P68" s="57"/>
      <c r="Q68" s="57" t="s">
        <v>586</v>
      </c>
      <c r="R68" s="57" t="n">
        <v>0</v>
      </c>
      <c r="S68" s="57" t="n">
        <v>0</v>
      </c>
      <c r="T68" s="57" t="n">
        <v>0</v>
      </c>
      <c r="U68" s="57" t="n">
        <v>0</v>
      </c>
      <c r="V68" s="57" t="n">
        <v>0</v>
      </c>
      <c r="W68" s="57" t="n">
        <v>0</v>
      </c>
      <c r="X68" s="57" t="n">
        <v>0</v>
      </c>
      <c r="Y68" s="57" t="n">
        <v>35</v>
      </c>
      <c r="Z68" s="57" t="n">
        <v>35</v>
      </c>
      <c r="AA68" s="57" t="n">
        <v>35</v>
      </c>
      <c r="AB68" s="57" t="n">
        <v>0</v>
      </c>
      <c r="AC68" s="57" t="n">
        <v>0</v>
      </c>
      <c r="AD68" s="57" t="n">
        <v>0</v>
      </c>
      <c r="AE68" s="57" t="n">
        <v>0</v>
      </c>
      <c r="AF68" s="57" t="n">
        <v>0</v>
      </c>
      <c r="AG68" s="57" t="n">
        <v>0</v>
      </c>
      <c r="AH68" s="57" t="s">
        <v>240</v>
      </c>
      <c r="AI68" s="57"/>
      <c r="AJ68" s="57" t="n">
        <v>0</v>
      </c>
      <c r="AK68" s="57" t="s">
        <v>258</v>
      </c>
      <c r="AL68" s="57" t="s">
        <v>347</v>
      </c>
      <c r="AM68" s="57" t="n">
        <v>1</v>
      </c>
      <c r="AN68" s="57" t="s">
        <v>575</v>
      </c>
      <c r="AO68" s="57" t="str">
        <f aca="false">IF(C68="County",IF(AL68="Rest of county","Remainder of County","Settlements"),IF(D68="City Centre","City Centre","Rest of City"))</f>
        <v>City Centre</v>
      </c>
      <c r="AP68" s="57" t="str">
        <f aca="false">IF(LEFT(B68,13)="Council audit","Audit",IF(LEFT(B68,8)="Planning","Consent","Zoned"))</f>
        <v>Audit</v>
      </c>
      <c r="AQ68" s="57" t="n">
        <f aca="false">IF(N(K68)&gt;0,I68*Y68/K68,0)</f>
        <v>0.348</v>
      </c>
    </row>
    <row r="69" customFormat="false" ht="15" hidden="false" customHeight="false" outlineLevel="0" collapsed="false">
      <c r="A69" s="57" t="s">
        <v>659</v>
      </c>
      <c r="B69" s="57" t="s">
        <v>215</v>
      </c>
      <c r="C69" s="57" t="s">
        <v>216</v>
      </c>
      <c r="D69" s="57" t="s">
        <v>258</v>
      </c>
      <c r="E69" s="57" t="s">
        <v>258</v>
      </c>
      <c r="F69" s="57" t="s">
        <v>599</v>
      </c>
      <c r="G69" s="57" t="s">
        <v>585</v>
      </c>
      <c r="H69" s="57" t="s">
        <v>600</v>
      </c>
      <c r="I69" s="57" t="n">
        <v>0</v>
      </c>
      <c r="J69" s="57" t="n">
        <v>0.09</v>
      </c>
      <c r="K69" s="57" t="n">
        <v>0</v>
      </c>
      <c r="L69" s="57" t="s">
        <v>573</v>
      </c>
      <c r="M69" s="57"/>
      <c r="N69" s="57"/>
      <c r="O69" s="57"/>
      <c r="P69" s="57"/>
      <c r="Q69" s="57" t="s">
        <v>586</v>
      </c>
      <c r="R69" s="57" t="n">
        <v>0</v>
      </c>
      <c r="S69" s="57" t="n">
        <v>0</v>
      </c>
      <c r="T69" s="57" t="n">
        <v>0</v>
      </c>
      <c r="U69" s="57" t="n">
        <v>0</v>
      </c>
      <c r="V69" s="57" t="n">
        <v>0</v>
      </c>
      <c r="W69" s="57" t="n">
        <v>0</v>
      </c>
      <c r="X69" s="57" t="n">
        <v>0</v>
      </c>
      <c r="Y69" s="57" t="n">
        <v>0</v>
      </c>
      <c r="Z69" s="57" t="n">
        <v>0</v>
      </c>
      <c r="AA69" s="57" t="n">
        <v>0</v>
      </c>
      <c r="AB69" s="57" t="n">
        <v>0</v>
      </c>
      <c r="AC69" s="57" t="n">
        <v>0</v>
      </c>
      <c r="AD69" s="57" t="n">
        <v>0</v>
      </c>
      <c r="AE69" s="57" t="n">
        <v>0</v>
      </c>
      <c r="AF69" s="57" t="n">
        <v>0</v>
      </c>
      <c r="AG69" s="57" t="n">
        <v>0</v>
      </c>
      <c r="AH69" s="57" t="s">
        <v>240</v>
      </c>
      <c r="AI69" s="57"/>
      <c r="AJ69" s="57" t="n">
        <v>0</v>
      </c>
      <c r="AK69" s="57" t="s">
        <v>258</v>
      </c>
      <c r="AL69" s="57" t="s">
        <v>347</v>
      </c>
      <c r="AM69" s="57" t="n">
        <v>1</v>
      </c>
      <c r="AN69" s="57" t="s">
        <v>575</v>
      </c>
      <c r="AO69" s="57" t="str">
        <f aca="false">IF(C69="County",IF(AL69="Rest of county","Remainder of County","Settlements"),IF(D69="City Centre","City Centre","Rest of City"))</f>
        <v>City Centre</v>
      </c>
      <c r="AP69" s="57" t="str">
        <f aca="false">IF(LEFT(B69,13)="Council audit","Audit",IF(LEFT(B69,8)="Planning","Consent","Zoned"))</f>
        <v>Audit</v>
      </c>
      <c r="AQ69" s="57" t="n">
        <f aca="false">IF(N(K69)&gt;0,I69*Y69/K69,0)</f>
        <v>0</v>
      </c>
    </row>
    <row r="70" customFormat="false" ht="15" hidden="false" customHeight="false" outlineLevel="0" collapsed="false">
      <c r="A70" s="57" t="s">
        <v>660</v>
      </c>
      <c r="B70" s="57" t="s">
        <v>215</v>
      </c>
      <c r="C70" s="57" t="s">
        <v>216</v>
      </c>
      <c r="D70" s="57" t="s">
        <v>258</v>
      </c>
      <c r="E70" s="57" t="s">
        <v>661</v>
      </c>
      <c r="F70" s="57" t="s">
        <v>599</v>
      </c>
      <c r="G70" s="57" t="s">
        <v>577</v>
      </c>
      <c r="H70" s="57" t="s">
        <v>600</v>
      </c>
      <c r="I70" s="57" t="n">
        <v>1.38</v>
      </c>
      <c r="J70" s="57" t="n">
        <v>1.38</v>
      </c>
      <c r="K70" s="57" t="n">
        <v>285</v>
      </c>
      <c r="L70" s="57" t="s">
        <v>573</v>
      </c>
      <c r="M70" s="57"/>
      <c r="N70" s="57"/>
      <c r="O70" s="57"/>
      <c r="P70" s="57"/>
      <c r="Q70" s="57" t="s">
        <v>586</v>
      </c>
      <c r="R70" s="57" t="n">
        <v>0</v>
      </c>
      <c r="S70" s="57" t="n">
        <v>0</v>
      </c>
      <c r="T70" s="57" t="n">
        <v>285</v>
      </c>
      <c r="U70" s="57" t="n">
        <v>0</v>
      </c>
      <c r="V70" s="57" t="n">
        <v>0</v>
      </c>
      <c r="W70" s="57" t="n">
        <v>0</v>
      </c>
      <c r="X70" s="57" t="n">
        <v>285</v>
      </c>
      <c r="Y70" s="57" t="n">
        <v>0</v>
      </c>
      <c r="Z70" s="57" t="n">
        <v>285</v>
      </c>
      <c r="AA70" s="57" t="n">
        <v>285</v>
      </c>
      <c r="AB70" s="57" t="n">
        <v>0</v>
      </c>
      <c r="AC70" s="57" t="n">
        <v>0</v>
      </c>
      <c r="AD70" s="57" t="n">
        <v>10.1</v>
      </c>
      <c r="AE70" s="57" t="n">
        <v>61</v>
      </c>
      <c r="AF70" s="57" t="n">
        <v>61</v>
      </c>
      <c r="AG70" s="57" t="n">
        <v>152.9</v>
      </c>
      <c r="AH70" s="57" t="s">
        <v>239</v>
      </c>
      <c r="AI70" s="57"/>
      <c r="AJ70" s="57" t="n">
        <v>0</v>
      </c>
      <c r="AK70" s="57" t="s">
        <v>258</v>
      </c>
      <c r="AL70" s="57" t="s">
        <v>347</v>
      </c>
      <c r="AM70" s="57" t="n">
        <v>1</v>
      </c>
      <c r="AN70" s="57" t="s">
        <v>575</v>
      </c>
      <c r="AO70" s="57" t="str">
        <f aca="false">IF(C70="County",IF(AL70="Rest of county","Remainder of County","Settlements"),IF(D70="City Centre","City Centre","Rest of City"))</f>
        <v>City Centre</v>
      </c>
      <c r="AP70" s="57" t="str">
        <f aca="false">IF(LEFT(B70,13)="Council audit","Audit",IF(LEFT(B70,8)="Planning","Consent","Zoned"))</f>
        <v>Audit</v>
      </c>
      <c r="AQ70" s="57" t="n">
        <f aca="false">IF(N(K70)&gt;0,I70*Y70/K70,0)</f>
        <v>0</v>
      </c>
    </row>
    <row r="71" customFormat="false" ht="15" hidden="false" customHeight="false" outlineLevel="0" collapsed="false">
      <c r="A71" s="57" t="s">
        <v>662</v>
      </c>
      <c r="B71" s="57" t="s">
        <v>215</v>
      </c>
      <c r="C71" s="57" t="s">
        <v>216</v>
      </c>
      <c r="D71" s="57" t="s">
        <v>258</v>
      </c>
      <c r="E71" s="57" t="s">
        <v>258</v>
      </c>
      <c r="F71" s="57" t="s">
        <v>599</v>
      </c>
      <c r="G71" s="57" t="s">
        <v>585</v>
      </c>
      <c r="H71" s="57" t="s">
        <v>600</v>
      </c>
      <c r="I71" s="57" t="n">
        <v>0</v>
      </c>
      <c r="J71" s="57" t="n">
        <v>0.079</v>
      </c>
      <c r="K71" s="57" t="n">
        <v>0</v>
      </c>
      <c r="L71" s="57" t="s">
        <v>573</v>
      </c>
      <c r="M71" s="57"/>
      <c r="N71" s="57"/>
      <c r="O71" s="57"/>
      <c r="P71" s="57"/>
      <c r="Q71" s="57" t="s">
        <v>586</v>
      </c>
      <c r="R71" s="57" t="n">
        <v>0</v>
      </c>
      <c r="S71" s="57" t="n">
        <v>0</v>
      </c>
      <c r="T71" s="57" t="n">
        <v>0</v>
      </c>
      <c r="U71" s="57" t="n">
        <v>0</v>
      </c>
      <c r="V71" s="57" t="n">
        <v>0</v>
      </c>
      <c r="W71" s="57" t="n">
        <v>0</v>
      </c>
      <c r="X71" s="57" t="n">
        <v>0</v>
      </c>
      <c r="Y71" s="57" t="n">
        <v>0</v>
      </c>
      <c r="Z71" s="57" t="n">
        <v>0</v>
      </c>
      <c r="AA71" s="57" t="n">
        <v>0</v>
      </c>
      <c r="AB71" s="57" t="n">
        <v>0</v>
      </c>
      <c r="AC71" s="57" t="n">
        <v>0</v>
      </c>
      <c r="AD71" s="57" t="n">
        <v>0</v>
      </c>
      <c r="AE71" s="57" t="n">
        <v>0</v>
      </c>
      <c r="AF71" s="57" t="n">
        <v>0</v>
      </c>
      <c r="AG71" s="57" t="n">
        <v>0</v>
      </c>
      <c r="AH71" s="57" t="s">
        <v>240</v>
      </c>
      <c r="AI71" s="57"/>
      <c r="AJ71" s="57" t="n">
        <v>0</v>
      </c>
      <c r="AK71" s="57" t="s">
        <v>258</v>
      </c>
      <c r="AL71" s="57" t="s">
        <v>347</v>
      </c>
      <c r="AM71" s="57" t="n">
        <v>1</v>
      </c>
      <c r="AN71" s="57" t="s">
        <v>575</v>
      </c>
      <c r="AO71" s="57" t="str">
        <f aca="false">IF(C71="County",IF(AL71="Rest of county","Remainder of County","Settlements"),IF(D71="City Centre","City Centre","Rest of City"))</f>
        <v>City Centre</v>
      </c>
      <c r="AP71" s="57" t="str">
        <f aca="false">IF(LEFT(B71,13)="Council audit","Audit",IF(LEFT(B71,8)="Planning","Consent","Zoned"))</f>
        <v>Audit</v>
      </c>
      <c r="AQ71" s="57" t="n">
        <f aca="false">IF(N(K71)&gt;0,I71*Y71/K71,0)</f>
        <v>0</v>
      </c>
    </row>
    <row r="72" customFormat="false" ht="15" hidden="false" customHeight="false" outlineLevel="0" collapsed="false">
      <c r="A72" s="57" t="s">
        <v>663</v>
      </c>
      <c r="B72" s="57" t="s">
        <v>215</v>
      </c>
      <c r="C72" s="57" t="s">
        <v>216</v>
      </c>
      <c r="D72" s="57" t="s">
        <v>258</v>
      </c>
      <c r="E72" s="57" t="s">
        <v>258</v>
      </c>
      <c r="F72" s="57" t="s">
        <v>599</v>
      </c>
      <c r="G72" s="57" t="s">
        <v>585</v>
      </c>
      <c r="H72" s="57" t="s">
        <v>600</v>
      </c>
      <c r="I72" s="57" t="n">
        <v>0</v>
      </c>
      <c r="J72" s="57" t="n">
        <v>0.057</v>
      </c>
      <c r="K72" s="57" t="n">
        <v>0</v>
      </c>
      <c r="L72" s="57" t="s">
        <v>573</v>
      </c>
      <c r="M72" s="57"/>
      <c r="N72" s="57"/>
      <c r="O72" s="57"/>
      <c r="P72" s="57"/>
      <c r="Q72" s="57" t="s">
        <v>586</v>
      </c>
      <c r="R72" s="57" t="n">
        <v>0</v>
      </c>
      <c r="S72" s="57" t="n">
        <v>0</v>
      </c>
      <c r="T72" s="57" t="n">
        <v>0</v>
      </c>
      <c r="U72" s="57" t="n">
        <v>0</v>
      </c>
      <c r="V72" s="57" t="n">
        <v>0</v>
      </c>
      <c r="W72" s="57" t="n">
        <v>0</v>
      </c>
      <c r="X72" s="57" t="n">
        <v>0</v>
      </c>
      <c r="Y72" s="57" t="n">
        <v>0</v>
      </c>
      <c r="Z72" s="57" t="n">
        <v>0</v>
      </c>
      <c r="AA72" s="57" t="n">
        <v>0</v>
      </c>
      <c r="AB72" s="57" t="n">
        <v>0</v>
      </c>
      <c r="AC72" s="57" t="n">
        <v>0</v>
      </c>
      <c r="AD72" s="57" t="n">
        <v>0</v>
      </c>
      <c r="AE72" s="57" t="n">
        <v>0</v>
      </c>
      <c r="AF72" s="57" t="n">
        <v>0</v>
      </c>
      <c r="AG72" s="57" t="n">
        <v>0</v>
      </c>
      <c r="AH72" s="57" t="s">
        <v>240</v>
      </c>
      <c r="AI72" s="57"/>
      <c r="AJ72" s="57" t="n">
        <v>0</v>
      </c>
      <c r="AK72" s="57" t="s">
        <v>258</v>
      </c>
      <c r="AL72" s="57" t="s">
        <v>347</v>
      </c>
      <c r="AM72" s="57" t="n">
        <v>1</v>
      </c>
      <c r="AN72" s="57" t="s">
        <v>575</v>
      </c>
      <c r="AO72" s="57" t="str">
        <f aca="false">IF(C72="County",IF(AL72="Rest of county","Remainder of County","Settlements"),IF(D72="City Centre","City Centre","Rest of City"))</f>
        <v>City Centre</v>
      </c>
      <c r="AP72" s="57" t="str">
        <f aca="false">IF(LEFT(B72,13)="Council audit","Audit",IF(LEFT(B72,8)="Planning","Consent","Zoned"))</f>
        <v>Audit</v>
      </c>
      <c r="AQ72" s="57" t="n">
        <f aca="false">IF(N(K72)&gt;0,I72*Y72/K72,0)</f>
        <v>0</v>
      </c>
    </row>
    <row r="73" customFormat="false" ht="15" hidden="false" customHeight="false" outlineLevel="0" collapsed="false">
      <c r="A73" s="57" t="s">
        <v>664</v>
      </c>
      <c r="B73" s="57" t="s">
        <v>215</v>
      </c>
      <c r="C73" s="57" t="s">
        <v>216</v>
      </c>
      <c r="D73" s="57" t="s">
        <v>258</v>
      </c>
      <c r="E73" s="57" t="s">
        <v>258</v>
      </c>
      <c r="F73" s="57" t="s">
        <v>599</v>
      </c>
      <c r="G73" s="57" t="s">
        <v>585</v>
      </c>
      <c r="H73" s="57" t="s">
        <v>600</v>
      </c>
      <c r="I73" s="57" t="n">
        <v>0</v>
      </c>
      <c r="J73" s="57" t="n">
        <v>0.104</v>
      </c>
      <c r="K73" s="57" t="n">
        <v>0</v>
      </c>
      <c r="L73" s="57" t="s">
        <v>573</v>
      </c>
      <c r="M73" s="57"/>
      <c r="N73" s="57"/>
      <c r="O73" s="57"/>
      <c r="P73" s="57"/>
      <c r="Q73" s="57" t="s">
        <v>586</v>
      </c>
      <c r="R73" s="57" t="n">
        <v>0</v>
      </c>
      <c r="S73" s="57" t="n">
        <v>0</v>
      </c>
      <c r="T73" s="57" t="n">
        <v>0</v>
      </c>
      <c r="U73" s="57" t="n">
        <v>0</v>
      </c>
      <c r="V73" s="57" t="n">
        <v>0</v>
      </c>
      <c r="W73" s="57" t="n">
        <v>0</v>
      </c>
      <c r="X73" s="57" t="n">
        <v>0</v>
      </c>
      <c r="Y73" s="57" t="n">
        <v>0</v>
      </c>
      <c r="Z73" s="57" t="n">
        <v>0</v>
      </c>
      <c r="AA73" s="57" t="n">
        <v>0</v>
      </c>
      <c r="AB73" s="57" t="n">
        <v>0</v>
      </c>
      <c r="AC73" s="57" t="n">
        <v>0</v>
      </c>
      <c r="AD73" s="57" t="n">
        <v>0</v>
      </c>
      <c r="AE73" s="57" t="n">
        <v>0</v>
      </c>
      <c r="AF73" s="57" t="n">
        <v>0</v>
      </c>
      <c r="AG73" s="57" t="n">
        <v>0</v>
      </c>
      <c r="AH73" s="57" t="s">
        <v>240</v>
      </c>
      <c r="AI73" s="57"/>
      <c r="AJ73" s="57" t="n">
        <v>0</v>
      </c>
      <c r="AK73" s="57" t="s">
        <v>258</v>
      </c>
      <c r="AL73" s="57" t="s">
        <v>347</v>
      </c>
      <c r="AM73" s="57" t="n">
        <v>1</v>
      </c>
      <c r="AN73" s="57" t="s">
        <v>575</v>
      </c>
      <c r="AO73" s="57" t="str">
        <f aca="false">IF(C73="County",IF(AL73="Rest of county","Remainder of County","Settlements"),IF(D73="City Centre","City Centre","Rest of City"))</f>
        <v>City Centre</v>
      </c>
      <c r="AP73" s="57" t="str">
        <f aca="false">IF(LEFT(B73,13)="Council audit","Audit",IF(LEFT(B73,8)="Planning","Consent","Zoned"))</f>
        <v>Audit</v>
      </c>
      <c r="AQ73" s="57" t="n">
        <f aca="false">IF(N(K73)&gt;0,I73*Y73/K73,0)</f>
        <v>0</v>
      </c>
    </row>
    <row r="74" customFormat="false" ht="15" hidden="false" customHeight="false" outlineLevel="0" collapsed="false">
      <c r="A74" s="57" t="s">
        <v>665</v>
      </c>
      <c r="B74" s="57" t="s">
        <v>215</v>
      </c>
      <c r="C74" s="57" t="s">
        <v>216</v>
      </c>
      <c r="D74" s="57" t="s">
        <v>258</v>
      </c>
      <c r="E74" s="57" t="s">
        <v>258</v>
      </c>
      <c r="F74" s="57" t="s">
        <v>599</v>
      </c>
      <c r="G74" s="57" t="s">
        <v>585</v>
      </c>
      <c r="H74" s="57" t="s">
        <v>600</v>
      </c>
      <c r="I74" s="57" t="n">
        <v>0</v>
      </c>
      <c r="J74" s="57" t="n">
        <v>0.061</v>
      </c>
      <c r="K74" s="57" t="n">
        <v>0</v>
      </c>
      <c r="L74" s="57" t="s">
        <v>573</v>
      </c>
      <c r="M74" s="57"/>
      <c r="N74" s="57"/>
      <c r="O74" s="57"/>
      <c r="P74" s="57"/>
      <c r="Q74" s="57" t="s">
        <v>586</v>
      </c>
      <c r="R74" s="57" t="n">
        <v>0</v>
      </c>
      <c r="S74" s="57" t="n">
        <v>0</v>
      </c>
      <c r="T74" s="57" t="n">
        <v>0</v>
      </c>
      <c r="U74" s="57" t="n">
        <v>0</v>
      </c>
      <c r="V74" s="57" t="n">
        <v>0</v>
      </c>
      <c r="W74" s="57" t="n">
        <v>0</v>
      </c>
      <c r="X74" s="57" t="n">
        <v>0</v>
      </c>
      <c r="Y74" s="57" t="n">
        <v>0</v>
      </c>
      <c r="Z74" s="57" t="n">
        <v>0</v>
      </c>
      <c r="AA74" s="57" t="n">
        <v>0</v>
      </c>
      <c r="AB74" s="57" t="n">
        <v>0</v>
      </c>
      <c r="AC74" s="57" t="n">
        <v>0</v>
      </c>
      <c r="AD74" s="57" t="n">
        <v>0</v>
      </c>
      <c r="AE74" s="57" t="n">
        <v>0</v>
      </c>
      <c r="AF74" s="57" t="n">
        <v>0</v>
      </c>
      <c r="AG74" s="57" t="n">
        <v>0</v>
      </c>
      <c r="AH74" s="57" t="s">
        <v>240</v>
      </c>
      <c r="AI74" s="57"/>
      <c r="AJ74" s="57" t="n">
        <v>0</v>
      </c>
      <c r="AK74" s="57" t="s">
        <v>258</v>
      </c>
      <c r="AL74" s="57" t="s">
        <v>347</v>
      </c>
      <c r="AM74" s="57" t="n">
        <v>1</v>
      </c>
      <c r="AN74" s="57" t="s">
        <v>575</v>
      </c>
      <c r="AO74" s="57" t="str">
        <f aca="false">IF(C74="County",IF(AL74="Rest of county","Remainder of County","Settlements"),IF(D74="City Centre","City Centre","Rest of City"))</f>
        <v>City Centre</v>
      </c>
      <c r="AP74" s="57" t="str">
        <f aca="false">IF(LEFT(B74,13)="Council audit","Audit",IF(LEFT(B74,8)="Planning","Consent","Zoned"))</f>
        <v>Audit</v>
      </c>
      <c r="AQ74" s="57" t="n">
        <f aca="false">IF(N(K74)&gt;0,I74*Y74/K74,0)</f>
        <v>0</v>
      </c>
    </row>
    <row r="75" customFormat="false" ht="15" hidden="false" customHeight="false" outlineLevel="0" collapsed="false">
      <c r="A75" s="57" t="s">
        <v>666</v>
      </c>
      <c r="B75" s="57" t="s">
        <v>215</v>
      </c>
      <c r="C75" s="57" t="s">
        <v>216</v>
      </c>
      <c r="D75" s="57" t="s">
        <v>258</v>
      </c>
      <c r="E75" s="57" t="s">
        <v>258</v>
      </c>
      <c r="F75" s="57" t="s">
        <v>599</v>
      </c>
      <c r="G75" s="57" t="s">
        <v>585</v>
      </c>
      <c r="H75" s="57" t="s">
        <v>600</v>
      </c>
      <c r="I75" s="57" t="n">
        <v>0</v>
      </c>
      <c r="J75" s="57" t="n">
        <v>0.065</v>
      </c>
      <c r="K75" s="57" t="n">
        <v>0</v>
      </c>
      <c r="L75" s="57" t="s">
        <v>573</v>
      </c>
      <c r="M75" s="57"/>
      <c r="N75" s="57"/>
      <c r="O75" s="57"/>
      <c r="P75" s="57"/>
      <c r="Q75" s="57" t="s">
        <v>586</v>
      </c>
      <c r="R75" s="57" t="n">
        <v>0</v>
      </c>
      <c r="S75" s="57" t="n">
        <v>0</v>
      </c>
      <c r="T75" s="57" t="n">
        <v>0</v>
      </c>
      <c r="U75" s="57" t="n">
        <v>0</v>
      </c>
      <c r="V75" s="57" t="n">
        <v>0</v>
      </c>
      <c r="W75" s="57" t="n">
        <v>0</v>
      </c>
      <c r="X75" s="57" t="n">
        <v>0</v>
      </c>
      <c r="Y75" s="57" t="n">
        <v>0</v>
      </c>
      <c r="Z75" s="57" t="n">
        <v>0</v>
      </c>
      <c r="AA75" s="57" t="n">
        <v>0</v>
      </c>
      <c r="AB75" s="57" t="n">
        <v>0</v>
      </c>
      <c r="AC75" s="57" t="n">
        <v>0</v>
      </c>
      <c r="AD75" s="57" t="n">
        <v>0</v>
      </c>
      <c r="AE75" s="57" t="n">
        <v>0</v>
      </c>
      <c r="AF75" s="57" t="n">
        <v>0</v>
      </c>
      <c r="AG75" s="57" t="n">
        <v>0</v>
      </c>
      <c r="AH75" s="57" t="s">
        <v>240</v>
      </c>
      <c r="AI75" s="57"/>
      <c r="AJ75" s="57" t="n">
        <v>0</v>
      </c>
      <c r="AK75" s="57" t="s">
        <v>258</v>
      </c>
      <c r="AL75" s="57" t="s">
        <v>347</v>
      </c>
      <c r="AM75" s="57" t="n">
        <v>1</v>
      </c>
      <c r="AN75" s="57" t="s">
        <v>575</v>
      </c>
      <c r="AO75" s="57" t="str">
        <f aca="false">IF(C75="County",IF(AL75="Rest of county","Remainder of County","Settlements"),IF(D75="City Centre","City Centre","Rest of City"))</f>
        <v>City Centre</v>
      </c>
      <c r="AP75" s="57" t="str">
        <f aca="false">IF(LEFT(B75,13)="Council audit","Audit",IF(LEFT(B75,8)="Planning","Consent","Zoned"))</f>
        <v>Audit</v>
      </c>
      <c r="AQ75" s="57" t="n">
        <f aca="false">IF(N(K75)&gt;0,I75*Y75/K75,0)</f>
        <v>0</v>
      </c>
    </row>
    <row r="76" customFormat="false" ht="15" hidden="false" customHeight="false" outlineLevel="0" collapsed="false">
      <c r="A76" s="57" t="s">
        <v>667</v>
      </c>
      <c r="B76" s="57" t="s">
        <v>215</v>
      </c>
      <c r="C76" s="57" t="s">
        <v>216</v>
      </c>
      <c r="D76" s="57" t="s">
        <v>258</v>
      </c>
      <c r="E76" s="57" t="s">
        <v>258</v>
      </c>
      <c r="F76" s="57" t="s">
        <v>599</v>
      </c>
      <c r="G76" s="57" t="s">
        <v>577</v>
      </c>
      <c r="H76" s="57" t="s">
        <v>600</v>
      </c>
      <c r="I76" s="57" t="n">
        <v>0.157</v>
      </c>
      <c r="J76" s="57" t="n">
        <v>0.158</v>
      </c>
      <c r="K76" s="57" t="n">
        <v>16</v>
      </c>
      <c r="L76" s="57" t="s">
        <v>573</v>
      </c>
      <c r="M76" s="57"/>
      <c r="N76" s="57"/>
      <c r="O76" s="57"/>
      <c r="P76" s="57"/>
      <c r="Q76" s="57"/>
      <c r="R76" s="57" t="n">
        <v>0</v>
      </c>
      <c r="S76" s="57" t="n">
        <v>0</v>
      </c>
      <c r="T76" s="57" t="n">
        <v>0</v>
      </c>
      <c r="U76" s="57" t="n">
        <v>0</v>
      </c>
      <c r="V76" s="57" t="n">
        <v>8</v>
      </c>
      <c r="W76" s="57" t="n">
        <v>0</v>
      </c>
      <c r="X76" s="57" t="n">
        <v>0</v>
      </c>
      <c r="Y76" s="57" t="n">
        <v>16</v>
      </c>
      <c r="Z76" s="57" t="n">
        <v>16</v>
      </c>
      <c r="AA76" s="57" t="n">
        <v>16</v>
      </c>
      <c r="AB76" s="57" t="n">
        <v>0</v>
      </c>
      <c r="AC76" s="57" t="n">
        <v>0</v>
      </c>
      <c r="AD76" s="57" t="n">
        <v>0</v>
      </c>
      <c r="AE76" s="57" t="n">
        <v>0</v>
      </c>
      <c r="AF76" s="57" t="n">
        <v>0</v>
      </c>
      <c r="AG76" s="57" t="n">
        <v>0</v>
      </c>
      <c r="AH76" s="57" t="s">
        <v>240</v>
      </c>
      <c r="AI76" s="57"/>
      <c r="AJ76" s="57" t="n">
        <v>0</v>
      </c>
      <c r="AK76" s="57" t="s">
        <v>258</v>
      </c>
      <c r="AL76" s="57" t="s">
        <v>347</v>
      </c>
      <c r="AM76" s="57" t="n">
        <v>1</v>
      </c>
      <c r="AN76" s="57" t="s">
        <v>575</v>
      </c>
      <c r="AO76" s="57" t="str">
        <f aca="false">IF(C76="County",IF(AL76="Rest of county","Remainder of County","Settlements"),IF(D76="City Centre","City Centre","Rest of City"))</f>
        <v>City Centre</v>
      </c>
      <c r="AP76" s="57" t="str">
        <f aca="false">IF(LEFT(B76,13)="Council audit","Audit",IF(LEFT(B76,8)="Planning","Consent","Zoned"))</f>
        <v>Audit</v>
      </c>
      <c r="AQ76" s="57" t="n">
        <f aca="false">IF(N(K76)&gt;0,I76*Y76/K76,0)</f>
        <v>0.157</v>
      </c>
    </row>
    <row r="77" customFormat="false" ht="15" hidden="false" customHeight="false" outlineLevel="0" collapsed="false">
      <c r="A77" s="57" t="s">
        <v>668</v>
      </c>
      <c r="B77" s="57" t="s">
        <v>215</v>
      </c>
      <c r="C77" s="57" t="s">
        <v>216</v>
      </c>
      <c r="D77" s="57" t="s">
        <v>258</v>
      </c>
      <c r="E77" s="57" t="s">
        <v>258</v>
      </c>
      <c r="F77" s="57" t="s">
        <v>599</v>
      </c>
      <c r="G77" s="57" t="s">
        <v>585</v>
      </c>
      <c r="H77" s="57" t="s">
        <v>600</v>
      </c>
      <c r="I77" s="57" t="n">
        <v>0</v>
      </c>
      <c r="J77" s="57" t="n">
        <v>0.13</v>
      </c>
      <c r="K77" s="57" t="n">
        <v>0</v>
      </c>
      <c r="L77" s="57" t="s">
        <v>573</v>
      </c>
      <c r="M77" s="57"/>
      <c r="N77" s="57"/>
      <c r="O77" s="57"/>
      <c r="P77" s="57"/>
      <c r="Q77" s="57" t="s">
        <v>586</v>
      </c>
      <c r="R77" s="57" t="n">
        <v>0</v>
      </c>
      <c r="S77" s="57" t="n">
        <v>0</v>
      </c>
      <c r="T77" s="57" t="n">
        <v>0</v>
      </c>
      <c r="U77" s="57" t="n">
        <v>0</v>
      </c>
      <c r="V77" s="57" t="n">
        <v>0</v>
      </c>
      <c r="W77" s="57" t="n">
        <v>0</v>
      </c>
      <c r="X77" s="57" t="n">
        <v>0</v>
      </c>
      <c r="Y77" s="57" t="n">
        <v>0</v>
      </c>
      <c r="Z77" s="57" t="n">
        <v>0</v>
      </c>
      <c r="AA77" s="57" t="n">
        <v>0</v>
      </c>
      <c r="AB77" s="57" t="n">
        <v>0</v>
      </c>
      <c r="AC77" s="57" t="n">
        <v>0</v>
      </c>
      <c r="AD77" s="57" t="n">
        <v>0</v>
      </c>
      <c r="AE77" s="57" t="n">
        <v>0</v>
      </c>
      <c r="AF77" s="57" t="n">
        <v>0</v>
      </c>
      <c r="AG77" s="57" t="n">
        <v>0</v>
      </c>
      <c r="AH77" s="57" t="s">
        <v>240</v>
      </c>
      <c r="AI77" s="57"/>
      <c r="AJ77" s="57" t="n">
        <v>0</v>
      </c>
      <c r="AK77" s="57" t="s">
        <v>258</v>
      </c>
      <c r="AL77" s="57" t="s">
        <v>347</v>
      </c>
      <c r="AM77" s="57" t="n">
        <v>1</v>
      </c>
      <c r="AN77" s="57" t="s">
        <v>575</v>
      </c>
      <c r="AO77" s="57" t="str">
        <f aca="false">IF(C77="County",IF(AL77="Rest of county","Remainder of County","Settlements"),IF(D77="City Centre","City Centre","Rest of City"))</f>
        <v>City Centre</v>
      </c>
      <c r="AP77" s="57" t="str">
        <f aca="false">IF(LEFT(B77,13)="Council audit","Audit",IF(LEFT(B77,8)="Planning","Consent","Zoned"))</f>
        <v>Audit</v>
      </c>
      <c r="AQ77" s="57" t="n">
        <f aca="false">IF(N(K77)&gt;0,I77*Y77/K77,0)</f>
        <v>0</v>
      </c>
    </row>
    <row r="78" customFormat="false" ht="15" hidden="false" customHeight="false" outlineLevel="0" collapsed="false">
      <c r="A78" s="57" t="s">
        <v>669</v>
      </c>
      <c r="B78" s="57" t="s">
        <v>215</v>
      </c>
      <c r="C78" s="57" t="s">
        <v>216</v>
      </c>
      <c r="D78" s="57" t="s">
        <v>258</v>
      </c>
      <c r="E78" s="57" t="s">
        <v>258</v>
      </c>
      <c r="F78" s="57" t="s">
        <v>599</v>
      </c>
      <c r="G78" s="57" t="s">
        <v>585</v>
      </c>
      <c r="H78" s="57" t="s">
        <v>600</v>
      </c>
      <c r="I78" s="57" t="n">
        <v>0</v>
      </c>
      <c r="J78" s="57" t="n">
        <v>0.075</v>
      </c>
      <c r="K78" s="57" t="n">
        <v>0</v>
      </c>
      <c r="L78" s="57" t="s">
        <v>573</v>
      </c>
      <c r="M78" s="57"/>
      <c r="N78" s="57"/>
      <c r="O78" s="57"/>
      <c r="P78" s="57"/>
      <c r="Q78" s="57" t="s">
        <v>586</v>
      </c>
      <c r="R78" s="57" t="n">
        <v>0</v>
      </c>
      <c r="S78" s="57" t="n">
        <v>0</v>
      </c>
      <c r="T78" s="57" t="n">
        <v>0</v>
      </c>
      <c r="U78" s="57" t="n">
        <v>0</v>
      </c>
      <c r="V78" s="57" t="n">
        <v>0</v>
      </c>
      <c r="W78" s="57" t="n">
        <v>0</v>
      </c>
      <c r="X78" s="57" t="n">
        <v>0</v>
      </c>
      <c r="Y78" s="57" t="n">
        <v>0</v>
      </c>
      <c r="Z78" s="57" t="n">
        <v>0</v>
      </c>
      <c r="AA78" s="57" t="n">
        <v>0</v>
      </c>
      <c r="AB78" s="57" t="n">
        <v>0</v>
      </c>
      <c r="AC78" s="57" t="n">
        <v>0</v>
      </c>
      <c r="AD78" s="57" t="n">
        <v>0</v>
      </c>
      <c r="AE78" s="57" t="n">
        <v>0</v>
      </c>
      <c r="AF78" s="57" t="n">
        <v>0</v>
      </c>
      <c r="AG78" s="57" t="n">
        <v>0</v>
      </c>
      <c r="AH78" s="57" t="s">
        <v>240</v>
      </c>
      <c r="AI78" s="57"/>
      <c r="AJ78" s="57" t="n">
        <v>0</v>
      </c>
      <c r="AK78" s="57" t="s">
        <v>258</v>
      </c>
      <c r="AL78" s="57" t="s">
        <v>347</v>
      </c>
      <c r="AM78" s="57" t="n">
        <v>1</v>
      </c>
      <c r="AN78" s="57" t="s">
        <v>575</v>
      </c>
      <c r="AO78" s="57" t="str">
        <f aca="false">IF(C78="County",IF(AL78="Rest of county","Remainder of County","Settlements"),IF(D78="City Centre","City Centre","Rest of City"))</f>
        <v>City Centre</v>
      </c>
      <c r="AP78" s="57" t="str">
        <f aca="false">IF(LEFT(B78,13)="Council audit","Audit",IF(LEFT(B78,8)="Planning","Consent","Zoned"))</f>
        <v>Audit</v>
      </c>
      <c r="AQ78" s="57" t="n">
        <f aca="false">IF(N(K78)&gt;0,I78*Y78/K78,0)</f>
        <v>0</v>
      </c>
    </row>
    <row r="79" customFormat="false" ht="15" hidden="false" customHeight="false" outlineLevel="0" collapsed="false">
      <c r="A79" s="57" t="s">
        <v>670</v>
      </c>
      <c r="B79" s="57" t="s">
        <v>215</v>
      </c>
      <c r="C79" s="57" t="s">
        <v>216</v>
      </c>
      <c r="D79" s="57" t="s">
        <v>258</v>
      </c>
      <c r="E79" s="57" t="s">
        <v>258</v>
      </c>
      <c r="F79" s="57" t="s">
        <v>599</v>
      </c>
      <c r="G79" s="57" t="s">
        <v>585</v>
      </c>
      <c r="H79" s="57" t="s">
        <v>600</v>
      </c>
      <c r="I79" s="57" t="n">
        <v>0</v>
      </c>
      <c r="J79" s="57" t="n">
        <v>0.211</v>
      </c>
      <c r="K79" s="57" t="n">
        <v>0</v>
      </c>
      <c r="L79" s="57" t="s">
        <v>573</v>
      </c>
      <c r="M79" s="57"/>
      <c r="N79" s="57"/>
      <c r="O79" s="57"/>
      <c r="P79" s="57"/>
      <c r="Q79" s="57" t="s">
        <v>586</v>
      </c>
      <c r="R79" s="57" t="n">
        <v>0</v>
      </c>
      <c r="S79" s="57" t="n">
        <v>0</v>
      </c>
      <c r="T79" s="57" t="n">
        <v>0</v>
      </c>
      <c r="U79" s="57" t="n">
        <v>0</v>
      </c>
      <c r="V79" s="57" t="n">
        <v>0</v>
      </c>
      <c r="W79" s="57" t="n">
        <v>0</v>
      </c>
      <c r="X79" s="57" t="n">
        <v>0</v>
      </c>
      <c r="Y79" s="57" t="n">
        <v>0</v>
      </c>
      <c r="Z79" s="57" t="n">
        <v>0</v>
      </c>
      <c r="AA79" s="57" t="n">
        <v>0</v>
      </c>
      <c r="AB79" s="57" t="n">
        <v>0</v>
      </c>
      <c r="AC79" s="57" t="n">
        <v>0</v>
      </c>
      <c r="AD79" s="57" t="n">
        <v>0</v>
      </c>
      <c r="AE79" s="57" t="n">
        <v>0</v>
      </c>
      <c r="AF79" s="57" t="n">
        <v>0</v>
      </c>
      <c r="AG79" s="57" t="n">
        <v>0</v>
      </c>
      <c r="AH79" s="57" t="s">
        <v>240</v>
      </c>
      <c r="AI79" s="57"/>
      <c r="AJ79" s="57" t="n">
        <v>0</v>
      </c>
      <c r="AK79" s="57" t="s">
        <v>258</v>
      </c>
      <c r="AL79" s="57" t="s">
        <v>347</v>
      </c>
      <c r="AM79" s="57" t="n">
        <v>1</v>
      </c>
      <c r="AN79" s="57" t="s">
        <v>575</v>
      </c>
      <c r="AO79" s="57" t="str">
        <f aca="false">IF(C79="County",IF(AL79="Rest of county","Remainder of County","Settlements"),IF(D79="City Centre","City Centre","Rest of City"))</f>
        <v>City Centre</v>
      </c>
      <c r="AP79" s="57" t="str">
        <f aca="false">IF(LEFT(B79,13)="Council audit","Audit",IF(LEFT(B79,8)="Planning","Consent","Zoned"))</f>
        <v>Audit</v>
      </c>
      <c r="AQ79" s="57" t="n">
        <f aca="false">IF(N(K79)&gt;0,I79*Y79/K79,0)</f>
        <v>0</v>
      </c>
    </row>
    <row r="80" customFormat="false" ht="15" hidden="false" customHeight="false" outlineLevel="0" collapsed="false">
      <c r="A80" s="57" t="s">
        <v>671</v>
      </c>
      <c r="B80" s="57" t="s">
        <v>215</v>
      </c>
      <c r="C80" s="57" t="s">
        <v>216</v>
      </c>
      <c r="D80" s="57" t="s">
        <v>258</v>
      </c>
      <c r="E80" s="57" t="s">
        <v>258</v>
      </c>
      <c r="F80" s="57" t="s">
        <v>584</v>
      </c>
      <c r="G80" s="57" t="s">
        <v>577</v>
      </c>
      <c r="H80" s="57" t="s">
        <v>578</v>
      </c>
      <c r="I80" s="57" t="n">
        <v>0.14</v>
      </c>
      <c r="J80" s="57" t="n">
        <v>0.141</v>
      </c>
      <c r="K80" s="57" t="n">
        <v>36</v>
      </c>
      <c r="L80" s="57" t="s">
        <v>573</v>
      </c>
      <c r="M80" s="57"/>
      <c r="N80" s="57"/>
      <c r="O80" s="57"/>
      <c r="P80" s="57"/>
      <c r="Q80" s="57" t="s">
        <v>574</v>
      </c>
      <c r="R80" s="57" t="n">
        <v>0</v>
      </c>
      <c r="S80" s="57" t="n">
        <v>36</v>
      </c>
      <c r="T80" s="57" t="n">
        <v>0</v>
      </c>
      <c r="U80" s="57" t="n">
        <v>0</v>
      </c>
      <c r="V80" s="57" t="n">
        <v>0</v>
      </c>
      <c r="W80" s="57" t="n">
        <v>0</v>
      </c>
      <c r="X80" s="57" t="n">
        <v>36</v>
      </c>
      <c r="Y80" s="57" t="n">
        <v>0</v>
      </c>
      <c r="Z80" s="57" t="n">
        <v>36</v>
      </c>
      <c r="AA80" s="57" t="n">
        <v>36</v>
      </c>
      <c r="AB80" s="57" t="n">
        <v>8.4</v>
      </c>
      <c r="AC80" s="57" t="n">
        <v>27.6</v>
      </c>
      <c r="AD80" s="57" t="n">
        <v>0</v>
      </c>
      <c r="AE80" s="57" t="n">
        <v>0</v>
      </c>
      <c r="AF80" s="57" t="n">
        <v>0</v>
      </c>
      <c r="AG80" s="57" t="n">
        <v>0</v>
      </c>
      <c r="AH80" s="57" t="s">
        <v>239</v>
      </c>
      <c r="AI80" s="57"/>
      <c r="AJ80" s="57" t="n">
        <v>0</v>
      </c>
      <c r="AK80" s="57" t="s">
        <v>258</v>
      </c>
      <c r="AL80" s="57" t="s">
        <v>347</v>
      </c>
      <c r="AM80" s="57" t="n">
        <v>1</v>
      </c>
      <c r="AN80" s="57" t="s">
        <v>575</v>
      </c>
      <c r="AO80" s="57" t="str">
        <f aca="false">IF(C80="County",IF(AL80="Rest of county","Remainder of County","Settlements"),IF(D80="City Centre","City Centre","Rest of City"))</f>
        <v>City Centre</v>
      </c>
      <c r="AP80" s="57" t="str">
        <f aca="false">IF(LEFT(B80,13)="Council audit","Audit",IF(LEFT(B80,8)="Planning","Consent","Zoned"))</f>
        <v>Audit</v>
      </c>
      <c r="AQ80" s="57" t="n">
        <f aca="false">IF(N(K80)&gt;0,I80*Y80/K80,0)</f>
        <v>0</v>
      </c>
    </row>
    <row r="81" customFormat="false" ht="15" hidden="false" customHeight="false" outlineLevel="0" collapsed="false">
      <c r="A81" s="57" t="s">
        <v>324</v>
      </c>
      <c r="B81" s="57" t="s">
        <v>215</v>
      </c>
      <c r="C81" s="57" t="s">
        <v>216</v>
      </c>
      <c r="D81" s="57" t="s">
        <v>258</v>
      </c>
      <c r="E81" s="57" t="s">
        <v>258</v>
      </c>
      <c r="F81" s="57" t="s">
        <v>599</v>
      </c>
      <c r="G81" s="57" t="s">
        <v>577</v>
      </c>
      <c r="H81" s="57" t="s">
        <v>600</v>
      </c>
      <c r="I81" s="57" t="n">
        <v>68.48</v>
      </c>
      <c r="J81" s="57" t="n">
        <v>68.509</v>
      </c>
      <c r="K81" s="57" t="n">
        <v>2500</v>
      </c>
      <c r="L81" s="57" t="s">
        <v>573</v>
      </c>
      <c r="M81" s="57"/>
      <c r="N81" s="57"/>
      <c r="O81" s="57"/>
      <c r="P81" s="57"/>
      <c r="Q81" s="57" t="s">
        <v>586</v>
      </c>
      <c r="R81" s="57" t="n">
        <v>11</v>
      </c>
      <c r="S81" s="57" t="n">
        <v>0</v>
      </c>
      <c r="T81" s="57" t="n">
        <v>0</v>
      </c>
      <c r="U81" s="57" t="n">
        <v>0</v>
      </c>
      <c r="V81" s="57" t="n">
        <v>0</v>
      </c>
      <c r="W81" s="57" t="n">
        <v>4</v>
      </c>
      <c r="X81" s="57" t="n">
        <v>11</v>
      </c>
      <c r="Y81" s="57" t="n">
        <v>2489</v>
      </c>
      <c r="Z81" s="57" t="n">
        <v>2500</v>
      </c>
      <c r="AA81" s="57" t="n">
        <v>2489</v>
      </c>
      <c r="AB81" s="57" t="n">
        <v>0</v>
      </c>
      <c r="AC81" s="57" t="n">
        <v>0</v>
      </c>
      <c r="AD81" s="57" t="n">
        <v>0</v>
      </c>
      <c r="AE81" s="57" t="n">
        <v>0</v>
      </c>
      <c r="AF81" s="57" t="n">
        <v>0</v>
      </c>
      <c r="AG81" s="57" t="n">
        <v>0</v>
      </c>
      <c r="AH81" s="57" t="s">
        <v>238</v>
      </c>
      <c r="AI81" s="57"/>
      <c r="AJ81" s="57" t="n">
        <v>19</v>
      </c>
      <c r="AK81" s="57" t="s">
        <v>258</v>
      </c>
      <c r="AL81" s="57" t="s">
        <v>347</v>
      </c>
      <c r="AM81" s="57" t="n">
        <v>0.62</v>
      </c>
      <c r="AN81" s="57" t="s">
        <v>575</v>
      </c>
      <c r="AO81" s="57" t="str">
        <f aca="false">IF(C81="County",IF(AL81="Rest of county","Remainder of County","Settlements"),IF(D81="City Centre","City Centre","Rest of City"))</f>
        <v>City Centre</v>
      </c>
      <c r="AP81" s="57" t="str">
        <f aca="false">IF(LEFT(B81,13)="Council audit","Audit",IF(LEFT(B81,8)="Planning","Consent","Zoned"))</f>
        <v>Audit</v>
      </c>
      <c r="AQ81" s="57" t="n">
        <f aca="false">IF(N(K81)&gt;0,I81*Y81/K81,0)</f>
        <v>68.178688</v>
      </c>
    </row>
    <row r="82" customFormat="false" ht="15" hidden="false" customHeight="false" outlineLevel="0" collapsed="false">
      <c r="A82" s="57" t="s">
        <v>672</v>
      </c>
      <c r="B82" s="57" t="s">
        <v>215</v>
      </c>
      <c r="C82" s="57" t="s">
        <v>216</v>
      </c>
      <c r="D82" s="57" t="s">
        <v>258</v>
      </c>
      <c r="E82" s="57" t="s">
        <v>258</v>
      </c>
      <c r="F82" s="57" t="s">
        <v>570</v>
      </c>
      <c r="G82" s="57" t="s">
        <v>585</v>
      </c>
      <c r="H82" s="57" t="s">
        <v>578</v>
      </c>
      <c r="I82" s="57" t="n">
        <v>0.297</v>
      </c>
      <c r="J82" s="57" t="n">
        <v>0.297</v>
      </c>
      <c r="K82" s="57" t="n">
        <v>13</v>
      </c>
      <c r="L82" s="57" t="s">
        <v>573</v>
      </c>
      <c r="M82" s="57"/>
      <c r="N82" s="57"/>
      <c r="O82" s="57"/>
      <c r="P82" s="57"/>
      <c r="Q82" s="57" t="s">
        <v>586</v>
      </c>
      <c r="R82" s="57" t="n">
        <v>0</v>
      </c>
      <c r="S82" s="57" t="n">
        <v>0</v>
      </c>
      <c r="T82" s="57" t="n">
        <v>0</v>
      </c>
      <c r="U82" s="57" t="n">
        <v>0</v>
      </c>
      <c r="V82" s="57" t="n">
        <v>0</v>
      </c>
      <c r="W82" s="57" t="n">
        <v>0</v>
      </c>
      <c r="X82" s="57" t="n">
        <v>0</v>
      </c>
      <c r="Y82" s="57" t="n">
        <v>13</v>
      </c>
      <c r="Z82" s="57" t="n">
        <v>13</v>
      </c>
      <c r="AA82" s="57" t="n">
        <v>13</v>
      </c>
      <c r="AB82" s="57" t="n">
        <v>0</v>
      </c>
      <c r="AC82" s="57" t="n">
        <v>0</v>
      </c>
      <c r="AD82" s="57" t="n">
        <v>0</v>
      </c>
      <c r="AE82" s="57" t="n">
        <v>0</v>
      </c>
      <c r="AF82" s="57" t="n">
        <v>0</v>
      </c>
      <c r="AG82" s="57" t="n">
        <v>0</v>
      </c>
      <c r="AH82" s="57" t="s">
        <v>240</v>
      </c>
      <c r="AI82" s="57"/>
      <c r="AJ82" s="57" t="n">
        <v>0</v>
      </c>
      <c r="AK82" s="57" t="s">
        <v>258</v>
      </c>
      <c r="AL82" s="57" t="s">
        <v>347</v>
      </c>
      <c r="AM82" s="57" t="n">
        <v>1</v>
      </c>
      <c r="AN82" s="57" t="s">
        <v>575</v>
      </c>
      <c r="AO82" s="57" t="str">
        <f aca="false">IF(C82="County",IF(AL82="Rest of county","Remainder of County","Settlements"),IF(D82="City Centre","City Centre","Rest of City"))</f>
        <v>City Centre</v>
      </c>
      <c r="AP82" s="57" t="str">
        <f aca="false">IF(LEFT(B82,13)="Council audit","Audit",IF(LEFT(B82,8)="Planning","Consent","Zoned"))</f>
        <v>Audit</v>
      </c>
      <c r="AQ82" s="57" t="n">
        <f aca="false">IF(N(K82)&gt;0,I82*Y82/K82,0)</f>
        <v>0.297</v>
      </c>
    </row>
    <row r="83" customFormat="false" ht="15" hidden="false" customHeight="false" outlineLevel="0" collapsed="false">
      <c r="A83" s="57" t="s">
        <v>673</v>
      </c>
      <c r="B83" s="57" t="s">
        <v>215</v>
      </c>
      <c r="C83" s="57" t="s">
        <v>216</v>
      </c>
      <c r="D83" s="57" t="s">
        <v>288</v>
      </c>
      <c r="E83" s="57" t="s">
        <v>621</v>
      </c>
      <c r="F83" s="57" t="s">
        <v>570</v>
      </c>
      <c r="G83" s="57" t="s">
        <v>585</v>
      </c>
      <c r="H83" s="57" t="s">
        <v>578</v>
      </c>
      <c r="I83" s="57" t="n">
        <v>0.26</v>
      </c>
      <c r="J83" s="57" t="n">
        <v>0.261</v>
      </c>
      <c r="K83" s="57" t="n">
        <v>12</v>
      </c>
      <c r="L83" s="57" t="s">
        <v>573</v>
      </c>
      <c r="M83" s="57"/>
      <c r="N83" s="57"/>
      <c r="O83" s="57"/>
      <c r="P83" s="57"/>
      <c r="Q83" s="57" t="s">
        <v>586</v>
      </c>
      <c r="R83" s="57" t="n">
        <v>0</v>
      </c>
      <c r="S83" s="57" t="n">
        <v>0</v>
      </c>
      <c r="T83" s="57" t="n">
        <v>0</v>
      </c>
      <c r="U83" s="57" t="n">
        <v>0</v>
      </c>
      <c r="V83" s="57" t="n">
        <v>0</v>
      </c>
      <c r="W83" s="57" t="n">
        <v>0</v>
      </c>
      <c r="X83" s="57" t="n">
        <v>0</v>
      </c>
      <c r="Y83" s="57" t="n">
        <v>12</v>
      </c>
      <c r="Z83" s="57" t="n">
        <v>12</v>
      </c>
      <c r="AA83" s="57" t="n">
        <v>12</v>
      </c>
      <c r="AB83" s="57" t="n">
        <v>0</v>
      </c>
      <c r="AC83" s="57" t="n">
        <v>0</v>
      </c>
      <c r="AD83" s="57" t="n">
        <v>0</v>
      </c>
      <c r="AE83" s="57" t="n">
        <v>0</v>
      </c>
      <c r="AF83" s="57" t="n">
        <v>0</v>
      </c>
      <c r="AG83" s="57" t="n">
        <v>0</v>
      </c>
      <c r="AH83" s="57" t="s">
        <v>240</v>
      </c>
      <c r="AI83" s="57"/>
      <c r="AJ83" s="57" t="n">
        <v>0</v>
      </c>
      <c r="AK83" s="57" t="s">
        <v>288</v>
      </c>
      <c r="AL83" s="57" t="s">
        <v>347</v>
      </c>
      <c r="AM83" s="57" t="n">
        <v>1</v>
      </c>
      <c r="AN83" s="57" t="s">
        <v>575</v>
      </c>
      <c r="AO83" s="57" t="str">
        <f aca="false">IF(C83="County",IF(AL83="Rest of county","Remainder of County","Settlements"),IF(D83="City Centre","City Centre","Rest of City"))</f>
        <v>Rest of City</v>
      </c>
      <c r="AP83" s="57" t="str">
        <f aca="false">IF(LEFT(B83,13)="Council audit","Audit",IF(LEFT(B83,8)="Planning","Consent","Zoned"))</f>
        <v>Audit</v>
      </c>
      <c r="AQ83" s="57" t="n">
        <f aca="false">IF(N(K83)&gt;0,I83*Y83/K83,0)</f>
        <v>0.26</v>
      </c>
    </row>
    <row r="84" customFormat="false" ht="15" hidden="false" customHeight="false" outlineLevel="0" collapsed="false">
      <c r="A84" s="57" t="s">
        <v>674</v>
      </c>
      <c r="B84" s="57" t="s">
        <v>215</v>
      </c>
      <c r="C84" s="57" t="s">
        <v>216</v>
      </c>
      <c r="D84" s="57" t="s">
        <v>287</v>
      </c>
      <c r="E84" s="57" t="s">
        <v>258</v>
      </c>
      <c r="F84" s="57" t="s">
        <v>570</v>
      </c>
      <c r="G84" s="57" t="s">
        <v>585</v>
      </c>
      <c r="H84" s="57" t="s">
        <v>578</v>
      </c>
      <c r="I84" s="57" t="n">
        <v>0.126</v>
      </c>
      <c r="J84" s="57" t="n">
        <v>0.127</v>
      </c>
      <c r="K84" s="57" t="n">
        <v>6</v>
      </c>
      <c r="L84" s="57" t="s">
        <v>573</v>
      </c>
      <c r="M84" s="57"/>
      <c r="N84" s="57"/>
      <c r="O84" s="57"/>
      <c r="P84" s="57"/>
      <c r="Q84" s="57" t="s">
        <v>586</v>
      </c>
      <c r="R84" s="57" t="n">
        <v>0</v>
      </c>
      <c r="S84" s="57" t="n">
        <v>0</v>
      </c>
      <c r="T84" s="57" t="n">
        <v>0</v>
      </c>
      <c r="U84" s="57" t="n">
        <v>0</v>
      </c>
      <c r="V84" s="57" t="n">
        <v>0</v>
      </c>
      <c r="W84" s="57" t="n">
        <v>0</v>
      </c>
      <c r="X84" s="57" t="n">
        <v>0</v>
      </c>
      <c r="Y84" s="57" t="n">
        <v>6</v>
      </c>
      <c r="Z84" s="57" t="n">
        <v>6</v>
      </c>
      <c r="AA84" s="57" t="n">
        <v>6</v>
      </c>
      <c r="AB84" s="57" t="n">
        <v>0</v>
      </c>
      <c r="AC84" s="57" t="n">
        <v>0</v>
      </c>
      <c r="AD84" s="57" t="n">
        <v>0</v>
      </c>
      <c r="AE84" s="57" t="n">
        <v>0</v>
      </c>
      <c r="AF84" s="57" t="n">
        <v>0</v>
      </c>
      <c r="AG84" s="57" t="n">
        <v>0</v>
      </c>
      <c r="AH84" s="57" t="s">
        <v>240</v>
      </c>
      <c r="AI84" s="57"/>
      <c r="AJ84" s="57" t="n">
        <v>0</v>
      </c>
      <c r="AK84" s="57" t="s">
        <v>287</v>
      </c>
      <c r="AL84" s="57" t="s">
        <v>347</v>
      </c>
      <c r="AM84" s="57" t="n">
        <v>1</v>
      </c>
      <c r="AN84" s="57" t="s">
        <v>575</v>
      </c>
      <c r="AO84" s="57" t="str">
        <f aca="false">IF(C84="County",IF(AL84="Rest of county","Remainder of County","Settlements"),IF(D84="City Centre","City Centre","Rest of City"))</f>
        <v>Rest of City</v>
      </c>
      <c r="AP84" s="57" t="str">
        <f aca="false">IF(LEFT(B84,13)="Council audit","Audit",IF(LEFT(B84,8)="Planning","Consent","Zoned"))</f>
        <v>Audit</v>
      </c>
      <c r="AQ84" s="57" t="n">
        <f aca="false">IF(N(K84)&gt;0,I84*Y84/K84,0)</f>
        <v>0.126</v>
      </c>
    </row>
    <row r="85" customFormat="false" ht="15" hidden="false" customHeight="false" outlineLevel="0" collapsed="false">
      <c r="A85" s="57" t="s">
        <v>675</v>
      </c>
      <c r="B85" s="57" t="s">
        <v>215</v>
      </c>
      <c r="C85" s="57" t="s">
        <v>216</v>
      </c>
      <c r="D85" s="57" t="s">
        <v>287</v>
      </c>
      <c r="E85" s="57" t="s">
        <v>258</v>
      </c>
      <c r="F85" s="57" t="s">
        <v>570</v>
      </c>
      <c r="G85" s="57" t="s">
        <v>585</v>
      </c>
      <c r="H85" s="57" t="s">
        <v>578</v>
      </c>
      <c r="I85" s="57" t="n">
        <v>0.703</v>
      </c>
      <c r="J85" s="57" t="n">
        <v>0.703</v>
      </c>
      <c r="K85" s="57" t="n">
        <v>32</v>
      </c>
      <c r="L85" s="57" t="s">
        <v>573</v>
      </c>
      <c r="M85" s="57"/>
      <c r="N85" s="57"/>
      <c r="O85" s="57"/>
      <c r="P85" s="57"/>
      <c r="Q85" s="57" t="s">
        <v>586</v>
      </c>
      <c r="R85" s="57" t="n">
        <v>0</v>
      </c>
      <c r="S85" s="57" t="n">
        <v>0</v>
      </c>
      <c r="T85" s="57" t="n">
        <v>0</v>
      </c>
      <c r="U85" s="57" t="n">
        <v>0</v>
      </c>
      <c r="V85" s="57" t="n">
        <v>0</v>
      </c>
      <c r="W85" s="57" t="n">
        <v>0</v>
      </c>
      <c r="X85" s="57" t="n">
        <v>0</v>
      </c>
      <c r="Y85" s="57" t="n">
        <v>32</v>
      </c>
      <c r="Z85" s="57" t="n">
        <v>32</v>
      </c>
      <c r="AA85" s="57" t="n">
        <v>32</v>
      </c>
      <c r="AB85" s="57" t="n">
        <v>0</v>
      </c>
      <c r="AC85" s="57" t="n">
        <v>0</v>
      </c>
      <c r="AD85" s="57" t="n">
        <v>0</v>
      </c>
      <c r="AE85" s="57" t="n">
        <v>0</v>
      </c>
      <c r="AF85" s="57" t="n">
        <v>0</v>
      </c>
      <c r="AG85" s="57" t="n">
        <v>0</v>
      </c>
      <c r="AH85" s="57" t="s">
        <v>240</v>
      </c>
      <c r="AI85" s="57"/>
      <c r="AJ85" s="57" t="n">
        <v>0</v>
      </c>
      <c r="AK85" s="57" t="s">
        <v>287</v>
      </c>
      <c r="AL85" s="57" t="s">
        <v>347</v>
      </c>
      <c r="AM85" s="57" t="n">
        <v>1</v>
      </c>
      <c r="AN85" s="57" t="s">
        <v>575</v>
      </c>
      <c r="AO85" s="57" t="str">
        <f aca="false">IF(C85="County",IF(AL85="Rest of county","Remainder of County","Settlements"),IF(D85="City Centre","City Centre","Rest of City"))</f>
        <v>Rest of City</v>
      </c>
      <c r="AP85" s="57" t="str">
        <f aca="false">IF(LEFT(B85,13)="Council audit","Audit",IF(LEFT(B85,8)="Planning","Consent","Zoned"))</f>
        <v>Audit</v>
      </c>
      <c r="AQ85" s="57" t="n">
        <f aca="false">IF(N(K85)&gt;0,I85*Y85/K85,0)</f>
        <v>0.703</v>
      </c>
    </row>
    <row r="86" customFormat="false" ht="15" hidden="false" customHeight="false" outlineLevel="0" collapsed="false">
      <c r="A86" s="57" t="s">
        <v>676</v>
      </c>
      <c r="B86" s="57" t="s">
        <v>215</v>
      </c>
      <c r="C86" s="57" t="s">
        <v>216</v>
      </c>
      <c r="D86" s="57" t="s">
        <v>287</v>
      </c>
      <c r="E86" s="57"/>
      <c r="F86" s="57" t="s">
        <v>584</v>
      </c>
      <c r="G86" s="57" t="s">
        <v>585</v>
      </c>
      <c r="H86" s="57" t="s">
        <v>578</v>
      </c>
      <c r="I86" s="57" t="n">
        <v>0.207</v>
      </c>
      <c r="J86" s="57" t="n">
        <v>0.207</v>
      </c>
      <c r="K86" s="57" t="n">
        <v>9</v>
      </c>
      <c r="L86" s="57" t="s">
        <v>573</v>
      </c>
      <c r="M86" s="57"/>
      <c r="N86" s="57"/>
      <c r="O86" s="57"/>
      <c r="P86" s="57"/>
      <c r="Q86" s="57" t="s">
        <v>586</v>
      </c>
      <c r="R86" s="57" t="n">
        <v>0</v>
      </c>
      <c r="S86" s="57" t="n">
        <v>0</v>
      </c>
      <c r="T86" s="57" t="n">
        <v>10</v>
      </c>
      <c r="U86" s="57" t="n">
        <v>0</v>
      </c>
      <c r="V86" s="57" t="n">
        <v>0</v>
      </c>
      <c r="W86" s="57" t="n">
        <v>0</v>
      </c>
      <c r="X86" s="57" t="n">
        <v>10</v>
      </c>
      <c r="Y86" s="57" t="n">
        <v>0</v>
      </c>
      <c r="Z86" s="57" t="n">
        <v>10</v>
      </c>
      <c r="AA86" s="57" t="n">
        <v>10</v>
      </c>
      <c r="AB86" s="57" t="n">
        <v>0</v>
      </c>
      <c r="AC86" s="57" t="n">
        <v>0</v>
      </c>
      <c r="AD86" s="57" t="n">
        <v>8.4</v>
      </c>
      <c r="AE86" s="57" t="n">
        <v>1.6</v>
      </c>
      <c r="AF86" s="57" t="n">
        <v>0</v>
      </c>
      <c r="AG86" s="57" t="n">
        <v>0</v>
      </c>
      <c r="AH86" s="57" t="s">
        <v>239</v>
      </c>
      <c r="AI86" s="57" t="s">
        <v>591</v>
      </c>
      <c r="AJ86" s="57" t="n">
        <v>0</v>
      </c>
      <c r="AK86" s="57" t="s">
        <v>287</v>
      </c>
      <c r="AL86" s="57" t="s">
        <v>347</v>
      </c>
      <c r="AM86" s="57" t="n">
        <v>1</v>
      </c>
      <c r="AN86" s="57" t="s">
        <v>575</v>
      </c>
      <c r="AO86" s="57" t="str">
        <f aca="false">IF(C86="County",IF(AL86="Rest of county","Remainder of County","Settlements"),IF(D86="City Centre","City Centre","Rest of City"))</f>
        <v>Rest of City</v>
      </c>
      <c r="AP86" s="57" t="str">
        <f aca="false">IF(LEFT(B86,13)="Council audit","Audit",IF(LEFT(B86,8)="Planning","Consent","Zoned"))</f>
        <v>Audit</v>
      </c>
      <c r="AQ86" s="57" t="n">
        <f aca="false">IF(N(K86)&gt;0,I86*Y86/K86,0)</f>
        <v>0</v>
      </c>
    </row>
    <row r="87" customFormat="false" ht="15" hidden="false" customHeight="false" outlineLevel="0" collapsed="false">
      <c r="A87" s="57" t="s">
        <v>677</v>
      </c>
      <c r="B87" s="57" t="s">
        <v>215</v>
      </c>
      <c r="C87" s="57" t="s">
        <v>216</v>
      </c>
      <c r="D87" s="57" t="s">
        <v>287</v>
      </c>
      <c r="E87" s="57" t="s">
        <v>621</v>
      </c>
      <c r="F87" s="57" t="s">
        <v>581</v>
      </c>
      <c r="G87" s="57" t="s">
        <v>585</v>
      </c>
      <c r="H87" s="57" t="s">
        <v>572</v>
      </c>
      <c r="I87" s="57" t="n">
        <v>0.165</v>
      </c>
      <c r="J87" s="57" t="n">
        <v>0.661</v>
      </c>
      <c r="K87" s="57" t="n">
        <v>6</v>
      </c>
      <c r="L87" s="57" t="s">
        <v>573</v>
      </c>
      <c r="M87" s="57"/>
      <c r="N87" s="57"/>
      <c r="O87" s="57"/>
      <c r="P87" s="57"/>
      <c r="Q87" s="57" t="s">
        <v>574</v>
      </c>
      <c r="R87" s="57" t="n">
        <v>0</v>
      </c>
      <c r="S87" s="57" t="n">
        <v>0</v>
      </c>
      <c r="T87" s="57" t="n">
        <v>0</v>
      </c>
      <c r="U87" s="57" t="n">
        <v>0</v>
      </c>
      <c r="V87" s="57" t="n">
        <v>0</v>
      </c>
      <c r="W87" s="57" t="n">
        <v>0</v>
      </c>
      <c r="X87" s="57" t="n">
        <v>0</v>
      </c>
      <c r="Y87" s="57" t="n">
        <v>6</v>
      </c>
      <c r="Z87" s="57" t="n">
        <v>6</v>
      </c>
      <c r="AA87" s="57" t="n">
        <v>6</v>
      </c>
      <c r="AB87" s="57" t="n">
        <v>0</v>
      </c>
      <c r="AC87" s="57" t="n">
        <v>0</v>
      </c>
      <c r="AD87" s="57" t="n">
        <v>0</v>
      </c>
      <c r="AE87" s="57" t="n">
        <v>0</v>
      </c>
      <c r="AF87" s="57" t="n">
        <v>0</v>
      </c>
      <c r="AG87" s="57" t="n">
        <v>0</v>
      </c>
      <c r="AH87" s="57" t="s">
        <v>240</v>
      </c>
      <c r="AI87" s="57"/>
      <c r="AJ87" s="57" t="n">
        <v>0</v>
      </c>
      <c r="AK87" s="57" t="s">
        <v>287</v>
      </c>
      <c r="AL87" s="57" t="s">
        <v>347</v>
      </c>
      <c r="AM87" s="57" t="n">
        <v>1</v>
      </c>
      <c r="AN87" s="57" t="s">
        <v>575</v>
      </c>
      <c r="AO87" s="57" t="str">
        <f aca="false">IF(C87="County",IF(AL87="Rest of county","Remainder of County","Settlements"),IF(D87="City Centre","City Centre","Rest of City"))</f>
        <v>Rest of City</v>
      </c>
      <c r="AP87" s="57" t="str">
        <f aca="false">IF(LEFT(B87,13)="Council audit","Audit",IF(LEFT(B87,8)="Planning","Consent","Zoned"))</f>
        <v>Audit</v>
      </c>
      <c r="AQ87" s="57" t="n">
        <f aca="false">IF(N(K87)&gt;0,I87*Y87/K87,0)</f>
        <v>0.165</v>
      </c>
    </row>
    <row r="88" customFormat="false" ht="15" hidden="false" customHeight="false" outlineLevel="0" collapsed="false">
      <c r="A88" s="57" t="s">
        <v>678</v>
      </c>
      <c r="B88" s="57" t="s">
        <v>215</v>
      </c>
      <c r="C88" s="57" t="s">
        <v>216</v>
      </c>
      <c r="D88" s="57" t="s">
        <v>287</v>
      </c>
      <c r="E88" s="57" t="s">
        <v>679</v>
      </c>
      <c r="F88" s="57" t="s">
        <v>584</v>
      </c>
      <c r="G88" s="57" t="s">
        <v>585</v>
      </c>
      <c r="H88" s="57" t="s">
        <v>578</v>
      </c>
      <c r="I88" s="57" t="n">
        <v>0.952</v>
      </c>
      <c r="J88" s="57" t="n">
        <v>0.952</v>
      </c>
      <c r="K88" s="57" t="n">
        <v>43</v>
      </c>
      <c r="L88" s="57" t="s">
        <v>573</v>
      </c>
      <c r="M88" s="57"/>
      <c r="N88" s="57"/>
      <c r="O88" s="57"/>
      <c r="P88" s="57"/>
      <c r="Q88" s="57" t="s">
        <v>586</v>
      </c>
      <c r="R88" s="57" t="n">
        <v>0</v>
      </c>
      <c r="S88" s="57" t="n">
        <v>0</v>
      </c>
      <c r="T88" s="57" t="n">
        <v>0</v>
      </c>
      <c r="U88" s="57" t="n">
        <v>0</v>
      </c>
      <c r="V88" s="57" t="n">
        <v>0</v>
      </c>
      <c r="W88" s="57" t="n">
        <v>0</v>
      </c>
      <c r="X88" s="57" t="n">
        <v>0</v>
      </c>
      <c r="Y88" s="57" t="n">
        <v>43</v>
      </c>
      <c r="Z88" s="57" t="n">
        <v>43</v>
      </c>
      <c r="AA88" s="57" t="n">
        <v>43</v>
      </c>
      <c r="AB88" s="57" t="n">
        <v>0</v>
      </c>
      <c r="AC88" s="57" t="n">
        <v>0</v>
      </c>
      <c r="AD88" s="57" t="n">
        <v>0</v>
      </c>
      <c r="AE88" s="57" t="n">
        <v>0</v>
      </c>
      <c r="AF88" s="57" t="n">
        <v>0</v>
      </c>
      <c r="AG88" s="57" t="n">
        <v>0</v>
      </c>
      <c r="AH88" s="57" t="s">
        <v>240</v>
      </c>
      <c r="AI88" s="57"/>
      <c r="AJ88" s="57" t="n">
        <v>1</v>
      </c>
      <c r="AK88" s="57" t="s">
        <v>287</v>
      </c>
      <c r="AL88" s="57" t="s">
        <v>347</v>
      </c>
      <c r="AM88" s="57" t="n">
        <v>1</v>
      </c>
      <c r="AN88" s="57" t="s">
        <v>575</v>
      </c>
      <c r="AO88" s="57" t="str">
        <f aca="false">IF(C88="County",IF(AL88="Rest of county","Remainder of County","Settlements"),IF(D88="City Centre","City Centre","Rest of City"))</f>
        <v>Rest of City</v>
      </c>
      <c r="AP88" s="57" t="str">
        <f aca="false">IF(LEFT(B88,13)="Council audit","Audit",IF(LEFT(B88,8)="Planning","Consent","Zoned"))</f>
        <v>Audit</v>
      </c>
      <c r="AQ88" s="57" t="n">
        <f aca="false">IF(N(K88)&gt;0,I88*Y88/K88,0)</f>
        <v>0.952</v>
      </c>
    </row>
    <row r="89" customFormat="false" ht="15" hidden="false" customHeight="false" outlineLevel="0" collapsed="false">
      <c r="A89" s="57" t="s">
        <v>680</v>
      </c>
      <c r="B89" s="57" t="s">
        <v>215</v>
      </c>
      <c r="C89" s="57" t="s">
        <v>216</v>
      </c>
      <c r="D89" s="57" t="s">
        <v>287</v>
      </c>
      <c r="E89" s="57" t="s">
        <v>679</v>
      </c>
      <c r="F89" s="57" t="s">
        <v>584</v>
      </c>
      <c r="G89" s="57" t="s">
        <v>585</v>
      </c>
      <c r="H89" s="57" t="s">
        <v>578</v>
      </c>
      <c r="I89" s="57" t="n">
        <v>0.133</v>
      </c>
      <c r="J89" s="57" t="n">
        <v>0.133</v>
      </c>
      <c r="K89" s="57" t="n">
        <v>6</v>
      </c>
      <c r="L89" s="57" t="s">
        <v>573</v>
      </c>
      <c r="M89" s="57"/>
      <c r="N89" s="57"/>
      <c r="O89" s="57"/>
      <c r="P89" s="57"/>
      <c r="Q89" s="57" t="s">
        <v>586</v>
      </c>
      <c r="R89" s="57" t="n">
        <v>0</v>
      </c>
      <c r="S89" s="57" t="n">
        <v>0</v>
      </c>
      <c r="T89" s="57" t="n">
        <v>0</v>
      </c>
      <c r="U89" s="57" t="n">
        <v>0</v>
      </c>
      <c r="V89" s="57" t="n">
        <v>0</v>
      </c>
      <c r="W89" s="57" t="n">
        <v>0</v>
      </c>
      <c r="X89" s="57" t="n">
        <v>0</v>
      </c>
      <c r="Y89" s="57" t="n">
        <v>6</v>
      </c>
      <c r="Z89" s="57" t="n">
        <v>6</v>
      </c>
      <c r="AA89" s="57" t="n">
        <v>6</v>
      </c>
      <c r="AB89" s="57" t="n">
        <v>0</v>
      </c>
      <c r="AC89" s="57" t="n">
        <v>0</v>
      </c>
      <c r="AD89" s="57" t="n">
        <v>0</v>
      </c>
      <c r="AE89" s="57" t="n">
        <v>0</v>
      </c>
      <c r="AF89" s="57" t="n">
        <v>0</v>
      </c>
      <c r="AG89" s="57" t="n">
        <v>0</v>
      </c>
      <c r="AH89" s="57" t="s">
        <v>240</v>
      </c>
      <c r="AI89" s="57"/>
      <c r="AJ89" s="57" t="n">
        <v>0</v>
      </c>
      <c r="AK89" s="57" t="s">
        <v>287</v>
      </c>
      <c r="AL89" s="57" t="s">
        <v>347</v>
      </c>
      <c r="AM89" s="57" t="n">
        <v>1</v>
      </c>
      <c r="AN89" s="57" t="s">
        <v>575</v>
      </c>
      <c r="AO89" s="57" t="str">
        <f aca="false">IF(C89="County",IF(AL89="Rest of county","Remainder of County","Settlements"),IF(D89="City Centre","City Centre","Rest of City"))</f>
        <v>Rest of City</v>
      </c>
      <c r="AP89" s="57" t="str">
        <f aca="false">IF(LEFT(B89,13)="Council audit","Audit",IF(LEFT(B89,8)="Planning","Consent","Zoned"))</f>
        <v>Audit</v>
      </c>
      <c r="AQ89" s="57" t="n">
        <f aca="false">IF(N(K89)&gt;0,I89*Y89/K89,0)</f>
        <v>0.133</v>
      </c>
    </row>
    <row r="90" customFormat="false" ht="15" hidden="false" customHeight="false" outlineLevel="0" collapsed="false">
      <c r="A90" s="57" t="s">
        <v>681</v>
      </c>
      <c r="B90" s="57" t="s">
        <v>215</v>
      </c>
      <c r="C90" s="57" t="s">
        <v>216</v>
      </c>
      <c r="D90" s="57" t="s">
        <v>287</v>
      </c>
      <c r="E90" s="57" t="s">
        <v>679</v>
      </c>
      <c r="F90" s="57" t="s">
        <v>584</v>
      </c>
      <c r="G90" s="57" t="s">
        <v>585</v>
      </c>
      <c r="H90" s="57" t="s">
        <v>578</v>
      </c>
      <c r="I90" s="57" t="n">
        <v>0.181</v>
      </c>
      <c r="J90" s="57" t="n">
        <v>0.182</v>
      </c>
      <c r="K90" s="57" t="n">
        <v>8</v>
      </c>
      <c r="L90" s="57" t="s">
        <v>573</v>
      </c>
      <c r="M90" s="57"/>
      <c r="N90" s="57"/>
      <c r="O90" s="57"/>
      <c r="P90" s="57"/>
      <c r="Q90" s="57" t="s">
        <v>586</v>
      </c>
      <c r="R90" s="57" t="n">
        <v>0</v>
      </c>
      <c r="S90" s="57" t="n">
        <v>0</v>
      </c>
      <c r="T90" s="57" t="n">
        <v>0</v>
      </c>
      <c r="U90" s="57" t="n">
        <v>0</v>
      </c>
      <c r="V90" s="57" t="n">
        <v>0</v>
      </c>
      <c r="W90" s="57" t="n">
        <v>0</v>
      </c>
      <c r="X90" s="57" t="n">
        <v>0</v>
      </c>
      <c r="Y90" s="57" t="n">
        <v>8</v>
      </c>
      <c r="Z90" s="57" t="n">
        <v>8</v>
      </c>
      <c r="AA90" s="57" t="n">
        <v>8</v>
      </c>
      <c r="AB90" s="57" t="n">
        <v>0</v>
      </c>
      <c r="AC90" s="57" t="n">
        <v>0</v>
      </c>
      <c r="AD90" s="57" t="n">
        <v>0</v>
      </c>
      <c r="AE90" s="57" t="n">
        <v>0</v>
      </c>
      <c r="AF90" s="57" t="n">
        <v>0</v>
      </c>
      <c r="AG90" s="57" t="n">
        <v>0</v>
      </c>
      <c r="AH90" s="57" t="s">
        <v>240</v>
      </c>
      <c r="AI90" s="57"/>
      <c r="AJ90" s="57" t="n">
        <v>0</v>
      </c>
      <c r="AK90" s="57" t="s">
        <v>287</v>
      </c>
      <c r="AL90" s="57" t="s">
        <v>347</v>
      </c>
      <c r="AM90" s="57" t="n">
        <v>1</v>
      </c>
      <c r="AN90" s="57" t="s">
        <v>575</v>
      </c>
      <c r="AO90" s="57" t="str">
        <f aca="false">IF(C90="County",IF(AL90="Rest of county","Remainder of County","Settlements"),IF(D90="City Centre","City Centre","Rest of City"))</f>
        <v>Rest of City</v>
      </c>
      <c r="AP90" s="57" t="str">
        <f aca="false">IF(LEFT(B90,13)="Council audit","Audit",IF(LEFT(B90,8)="Planning","Consent","Zoned"))</f>
        <v>Audit</v>
      </c>
      <c r="AQ90" s="57" t="n">
        <f aca="false">IF(N(K90)&gt;0,I90*Y90/K90,0)</f>
        <v>0.181</v>
      </c>
    </row>
    <row r="91" customFormat="false" ht="15" hidden="false" customHeight="false" outlineLevel="0" collapsed="false">
      <c r="A91" s="57" t="s">
        <v>682</v>
      </c>
      <c r="B91" s="57" t="s">
        <v>215</v>
      </c>
      <c r="C91" s="57" t="s">
        <v>216</v>
      </c>
      <c r="D91" s="57" t="s">
        <v>287</v>
      </c>
      <c r="E91" s="57" t="s">
        <v>679</v>
      </c>
      <c r="F91" s="57" t="s">
        <v>584</v>
      </c>
      <c r="G91" s="57" t="s">
        <v>585</v>
      </c>
      <c r="H91" s="57" t="s">
        <v>578</v>
      </c>
      <c r="I91" s="57" t="n">
        <v>0.506</v>
      </c>
      <c r="J91" s="57" t="n">
        <v>0.506</v>
      </c>
      <c r="K91" s="57" t="n">
        <v>23</v>
      </c>
      <c r="L91" s="57" t="s">
        <v>573</v>
      </c>
      <c r="M91" s="57"/>
      <c r="N91" s="57"/>
      <c r="O91" s="57"/>
      <c r="P91" s="57"/>
      <c r="Q91" s="57" t="s">
        <v>586</v>
      </c>
      <c r="R91" s="57" t="n">
        <v>0</v>
      </c>
      <c r="S91" s="57" t="n">
        <v>0</v>
      </c>
      <c r="T91" s="57" t="n">
        <v>0</v>
      </c>
      <c r="U91" s="57" t="n">
        <v>0</v>
      </c>
      <c r="V91" s="57" t="n">
        <v>0</v>
      </c>
      <c r="W91" s="57" t="n">
        <v>0</v>
      </c>
      <c r="X91" s="57" t="n">
        <v>0</v>
      </c>
      <c r="Y91" s="57" t="n">
        <v>23</v>
      </c>
      <c r="Z91" s="57" t="n">
        <v>23</v>
      </c>
      <c r="AA91" s="57" t="n">
        <v>23</v>
      </c>
      <c r="AB91" s="57" t="n">
        <v>0</v>
      </c>
      <c r="AC91" s="57" t="n">
        <v>0</v>
      </c>
      <c r="AD91" s="57" t="n">
        <v>0</v>
      </c>
      <c r="AE91" s="57" t="n">
        <v>0</v>
      </c>
      <c r="AF91" s="57" t="n">
        <v>0</v>
      </c>
      <c r="AG91" s="57" t="n">
        <v>0</v>
      </c>
      <c r="AH91" s="57" t="s">
        <v>240</v>
      </c>
      <c r="AI91" s="57"/>
      <c r="AJ91" s="57" t="n">
        <v>0</v>
      </c>
      <c r="AK91" s="57" t="s">
        <v>287</v>
      </c>
      <c r="AL91" s="57" t="s">
        <v>347</v>
      </c>
      <c r="AM91" s="57" t="n">
        <v>1</v>
      </c>
      <c r="AN91" s="57" t="s">
        <v>575</v>
      </c>
      <c r="AO91" s="57" t="str">
        <f aca="false">IF(C91="County",IF(AL91="Rest of county","Remainder of County","Settlements"),IF(D91="City Centre","City Centre","Rest of City"))</f>
        <v>Rest of City</v>
      </c>
      <c r="AP91" s="57" t="str">
        <f aca="false">IF(LEFT(B91,13)="Council audit","Audit",IF(LEFT(B91,8)="Planning","Consent","Zoned"))</f>
        <v>Audit</v>
      </c>
      <c r="AQ91" s="57" t="n">
        <f aca="false">IF(N(K91)&gt;0,I91*Y91/K91,0)</f>
        <v>0.506</v>
      </c>
    </row>
    <row r="92" customFormat="false" ht="15" hidden="false" customHeight="false" outlineLevel="0" collapsed="false">
      <c r="A92" s="57" t="s">
        <v>683</v>
      </c>
      <c r="B92" s="57" t="s">
        <v>215</v>
      </c>
      <c r="C92" s="57" t="s">
        <v>216</v>
      </c>
      <c r="D92" s="57" t="s">
        <v>287</v>
      </c>
      <c r="E92" s="57" t="s">
        <v>679</v>
      </c>
      <c r="F92" s="57" t="s">
        <v>584</v>
      </c>
      <c r="G92" s="57" t="s">
        <v>585</v>
      </c>
      <c r="H92" s="57" t="s">
        <v>578</v>
      </c>
      <c r="I92" s="57" t="n">
        <v>1.074</v>
      </c>
      <c r="J92" s="57" t="n">
        <v>1.075</v>
      </c>
      <c r="K92" s="57" t="n">
        <v>48</v>
      </c>
      <c r="L92" s="57" t="s">
        <v>573</v>
      </c>
      <c r="M92" s="57"/>
      <c r="N92" s="57"/>
      <c r="O92" s="57"/>
      <c r="P92" s="57"/>
      <c r="Q92" s="57" t="s">
        <v>586</v>
      </c>
      <c r="R92" s="57" t="n">
        <v>0</v>
      </c>
      <c r="S92" s="57" t="n">
        <v>0</v>
      </c>
      <c r="T92" s="57" t="n">
        <v>0</v>
      </c>
      <c r="U92" s="57" t="n">
        <v>0</v>
      </c>
      <c r="V92" s="57" t="n">
        <v>0</v>
      </c>
      <c r="W92" s="57" t="n">
        <v>0</v>
      </c>
      <c r="X92" s="57" t="n">
        <v>0</v>
      </c>
      <c r="Y92" s="57" t="n">
        <v>48</v>
      </c>
      <c r="Z92" s="57" t="n">
        <v>48</v>
      </c>
      <c r="AA92" s="57" t="n">
        <v>48</v>
      </c>
      <c r="AB92" s="57" t="n">
        <v>0</v>
      </c>
      <c r="AC92" s="57" t="n">
        <v>0</v>
      </c>
      <c r="AD92" s="57" t="n">
        <v>0</v>
      </c>
      <c r="AE92" s="57" t="n">
        <v>0</v>
      </c>
      <c r="AF92" s="57" t="n">
        <v>0</v>
      </c>
      <c r="AG92" s="57" t="n">
        <v>0</v>
      </c>
      <c r="AH92" s="57" t="s">
        <v>240</v>
      </c>
      <c r="AI92" s="57"/>
      <c r="AJ92" s="57" t="n">
        <v>0</v>
      </c>
      <c r="AK92" s="57" t="s">
        <v>287</v>
      </c>
      <c r="AL92" s="57" t="s">
        <v>347</v>
      </c>
      <c r="AM92" s="57" t="n">
        <v>1</v>
      </c>
      <c r="AN92" s="57" t="s">
        <v>575</v>
      </c>
      <c r="AO92" s="57" t="str">
        <f aca="false">IF(C92="County",IF(AL92="Rest of county","Remainder of County","Settlements"),IF(D92="City Centre","City Centre","Rest of City"))</f>
        <v>Rest of City</v>
      </c>
      <c r="AP92" s="57" t="str">
        <f aca="false">IF(LEFT(B92,13)="Council audit","Audit",IF(LEFT(B92,8)="Planning","Consent","Zoned"))</f>
        <v>Audit</v>
      </c>
      <c r="AQ92" s="57" t="n">
        <f aca="false">IF(N(K92)&gt;0,I92*Y92/K92,0)</f>
        <v>1.074</v>
      </c>
    </row>
    <row r="93" customFormat="false" ht="15" hidden="false" customHeight="false" outlineLevel="0" collapsed="false">
      <c r="A93" s="57" t="s">
        <v>684</v>
      </c>
      <c r="B93" s="57" t="s">
        <v>215</v>
      </c>
      <c r="C93" s="57" t="s">
        <v>216</v>
      </c>
      <c r="D93" s="57" t="s">
        <v>287</v>
      </c>
      <c r="E93" s="57" t="s">
        <v>679</v>
      </c>
      <c r="F93" s="57" t="s">
        <v>584</v>
      </c>
      <c r="G93" s="57" t="s">
        <v>585</v>
      </c>
      <c r="H93" s="57" t="s">
        <v>578</v>
      </c>
      <c r="I93" s="57" t="n">
        <v>0.755</v>
      </c>
      <c r="J93" s="57" t="n">
        <v>0.756</v>
      </c>
      <c r="K93" s="57" t="n">
        <v>34</v>
      </c>
      <c r="L93" s="57" t="s">
        <v>573</v>
      </c>
      <c r="M93" s="57"/>
      <c r="N93" s="57"/>
      <c r="O93" s="57"/>
      <c r="P93" s="57"/>
      <c r="Q93" s="57" t="s">
        <v>586</v>
      </c>
      <c r="R93" s="57" t="n">
        <v>0</v>
      </c>
      <c r="S93" s="57" t="n">
        <v>0</v>
      </c>
      <c r="T93" s="57" t="n">
        <v>0</v>
      </c>
      <c r="U93" s="57" t="n">
        <v>0</v>
      </c>
      <c r="V93" s="57" t="n">
        <v>0</v>
      </c>
      <c r="W93" s="57" t="n">
        <v>0</v>
      </c>
      <c r="X93" s="57" t="n">
        <v>0</v>
      </c>
      <c r="Y93" s="57" t="n">
        <v>34</v>
      </c>
      <c r="Z93" s="57" t="n">
        <v>34</v>
      </c>
      <c r="AA93" s="57" t="n">
        <v>34</v>
      </c>
      <c r="AB93" s="57" t="n">
        <v>0</v>
      </c>
      <c r="AC93" s="57" t="n">
        <v>0</v>
      </c>
      <c r="AD93" s="57" t="n">
        <v>0</v>
      </c>
      <c r="AE93" s="57" t="n">
        <v>0</v>
      </c>
      <c r="AF93" s="57" t="n">
        <v>0</v>
      </c>
      <c r="AG93" s="57" t="n">
        <v>0</v>
      </c>
      <c r="AH93" s="57" t="s">
        <v>240</v>
      </c>
      <c r="AI93" s="57"/>
      <c r="AJ93" s="57" t="n">
        <v>0</v>
      </c>
      <c r="AK93" s="57" t="s">
        <v>287</v>
      </c>
      <c r="AL93" s="57" t="s">
        <v>347</v>
      </c>
      <c r="AM93" s="57" t="n">
        <v>1</v>
      </c>
      <c r="AN93" s="57" t="s">
        <v>575</v>
      </c>
      <c r="AO93" s="57" t="str">
        <f aca="false">IF(C93="County",IF(AL93="Rest of county","Remainder of County","Settlements"),IF(D93="City Centre","City Centre","Rest of City"))</f>
        <v>Rest of City</v>
      </c>
      <c r="AP93" s="57" t="str">
        <f aca="false">IF(LEFT(B93,13)="Council audit","Audit",IF(LEFT(B93,8)="Planning","Consent","Zoned"))</f>
        <v>Audit</v>
      </c>
      <c r="AQ93" s="57" t="n">
        <f aca="false">IF(N(K93)&gt;0,I93*Y93/K93,0)</f>
        <v>0.755</v>
      </c>
    </row>
    <row r="94" customFormat="false" ht="15" hidden="false" customHeight="false" outlineLevel="0" collapsed="false">
      <c r="A94" s="57" t="s">
        <v>685</v>
      </c>
      <c r="B94" s="57" t="s">
        <v>215</v>
      </c>
      <c r="C94" s="57" t="s">
        <v>216</v>
      </c>
      <c r="D94" s="57" t="s">
        <v>287</v>
      </c>
      <c r="E94" s="57" t="s">
        <v>679</v>
      </c>
      <c r="F94" s="57" t="s">
        <v>584</v>
      </c>
      <c r="G94" s="57" t="s">
        <v>585</v>
      </c>
      <c r="H94" s="57" t="s">
        <v>578</v>
      </c>
      <c r="I94" s="57" t="n">
        <v>0.563</v>
      </c>
      <c r="J94" s="57" t="n">
        <v>0.563</v>
      </c>
      <c r="K94" s="57" t="n">
        <v>25</v>
      </c>
      <c r="L94" s="57" t="s">
        <v>573</v>
      </c>
      <c r="M94" s="57"/>
      <c r="N94" s="57"/>
      <c r="O94" s="57"/>
      <c r="P94" s="57"/>
      <c r="Q94" s="57" t="s">
        <v>586</v>
      </c>
      <c r="R94" s="57" t="n">
        <v>0</v>
      </c>
      <c r="S94" s="57" t="n">
        <v>0</v>
      </c>
      <c r="T94" s="57" t="n">
        <v>0</v>
      </c>
      <c r="U94" s="57" t="n">
        <v>0</v>
      </c>
      <c r="V94" s="57" t="n">
        <v>0</v>
      </c>
      <c r="W94" s="57" t="n">
        <v>0</v>
      </c>
      <c r="X94" s="57" t="n">
        <v>0</v>
      </c>
      <c r="Y94" s="57" t="n">
        <v>25</v>
      </c>
      <c r="Z94" s="57" t="n">
        <v>25</v>
      </c>
      <c r="AA94" s="57" t="n">
        <v>25</v>
      </c>
      <c r="AB94" s="57" t="n">
        <v>0</v>
      </c>
      <c r="AC94" s="57" t="n">
        <v>0</v>
      </c>
      <c r="AD94" s="57" t="n">
        <v>0</v>
      </c>
      <c r="AE94" s="57" t="n">
        <v>0</v>
      </c>
      <c r="AF94" s="57" t="n">
        <v>0</v>
      </c>
      <c r="AG94" s="57" t="n">
        <v>0</v>
      </c>
      <c r="AH94" s="57" t="s">
        <v>240</v>
      </c>
      <c r="AI94" s="57"/>
      <c r="AJ94" s="57" t="n">
        <v>0</v>
      </c>
      <c r="AK94" s="57" t="s">
        <v>287</v>
      </c>
      <c r="AL94" s="57" t="s">
        <v>347</v>
      </c>
      <c r="AM94" s="57" t="n">
        <v>1</v>
      </c>
      <c r="AN94" s="57" t="s">
        <v>575</v>
      </c>
      <c r="AO94" s="57" t="str">
        <f aca="false">IF(C94="County",IF(AL94="Rest of county","Remainder of County","Settlements"),IF(D94="City Centre","City Centre","Rest of City"))</f>
        <v>Rest of City</v>
      </c>
      <c r="AP94" s="57" t="str">
        <f aca="false">IF(LEFT(B94,13)="Council audit","Audit",IF(LEFT(B94,8)="Planning","Consent","Zoned"))</f>
        <v>Audit</v>
      </c>
      <c r="AQ94" s="57" t="n">
        <f aca="false">IF(N(K94)&gt;0,I94*Y94/K94,0)</f>
        <v>0.563</v>
      </c>
    </row>
    <row r="95" customFormat="false" ht="15" hidden="false" customHeight="false" outlineLevel="0" collapsed="false">
      <c r="A95" s="57" t="s">
        <v>686</v>
      </c>
      <c r="B95" s="57" t="s">
        <v>215</v>
      </c>
      <c r="C95" s="57" t="s">
        <v>216</v>
      </c>
      <c r="D95" s="57" t="s">
        <v>287</v>
      </c>
      <c r="E95" s="57" t="s">
        <v>679</v>
      </c>
      <c r="F95" s="57" t="s">
        <v>570</v>
      </c>
      <c r="G95" s="57" t="s">
        <v>577</v>
      </c>
      <c r="H95" s="57" t="s">
        <v>687</v>
      </c>
      <c r="I95" s="57" t="n">
        <v>0.467</v>
      </c>
      <c r="J95" s="57" t="n">
        <v>0.468</v>
      </c>
      <c r="K95" s="57" t="n">
        <v>21</v>
      </c>
      <c r="L95" s="57" t="s">
        <v>573</v>
      </c>
      <c r="M95" s="57"/>
      <c r="N95" s="57"/>
      <c r="O95" s="57"/>
      <c r="P95" s="57"/>
      <c r="Q95" s="57" t="s">
        <v>586</v>
      </c>
      <c r="R95" s="57" t="n">
        <v>0</v>
      </c>
      <c r="S95" s="57" t="n">
        <v>0</v>
      </c>
      <c r="T95" s="57" t="n">
        <v>0</v>
      </c>
      <c r="U95" s="57" t="n">
        <v>0</v>
      </c>
      <c r="V95" s="57" t="n">
        <v>0</v>
      </c>
      <c r="W95" s="57" t="n">
        <v>0</v>
      </c>
      <c r="X95" s="57" t="n">
        <v>0</v>
      </c>
      <c r="Y95" s="57" t="n">
        <v>21</v>
      </c>
      <c r="Z95" s="57" t="n">
        <v>21</v>
      </c>
      <c r="AA95" s="57" t="n">
        <v>21</v>
      </c>
      <c r="AB95" s="57" t="n">
        <v>0</v>
      </c>
      <c r="AC95" s="57" t="n">
        <v>0</v>
      </c>
      <c r="AD95" s="57" t="n">
        <v>0</v>
      </c>
      <c r="AE95" s="57" t="n">
        <v>0</v>
      </c>
      <c r="AF95" s="57" t="n">
        <v>0</v>
      </c>
      <c r="AG95" s="57" t="n">
        <v>0</v>
      </c>
      <c r="AH95" s="57" t="s">
        <v>240</v>
      </c>
      <c r="AI95" s="57"/>
      <c r="AJ95" s="57" t="n">
        <v>0</v>
      </c>
      <c r="AK95" s="57" t="s">
        <v>287</v>
      </c>
      <c r="AL95" s="57" t="s">
        <v>347</v>
      </c>
      <c r="AM95" s="57" t="n">
        <v>1</v>
      </c>
      <c r="AN95" s="57" t="s">
        <v>575</v>
      </c>
      <c r="AO95" s="57" t="str">
        <f aca="false">IF(C95="County",IF(AL95="Rest of county","Remainder of County","Settlements"),IF(D95="City Centre","City Centre","Rest of City"))</f>
        <v>Rest of City</v>
      </c>
      <c r="AP95" s="57" t="str">
        <f aca="false">IF(LEFT(B95,13)="Council audit","Audit",IF(LEFT(B95,8)="Planning","Consent","Zoned"))</f>
        <v>Audit</v>
      </c>
      <c r="AQ95" s="57" t="n">
        <f aca="false">IF(N(K95)&gt;0,I95*Y95/K95,0)</f>
        <v>0.467</v>
      </c>
    </row>
    <row r="96" customFormat="false" ht="15" hidden="false" customHeight="false" outlineLevel="0" collapsed="false">
      <c r="A96" s="57" t="s">
        <v>688</v>
      </c>
      <c r="B96" s="57" t="s">
        <v>215</v>
      </c>
      <c r="C96" s="57" t="s">
        <v>216</v>
      </c>
      <c r="D96" s="57" t="s">
        <v>287</v>
      </c>
      <c r="E96" s="57" t="s">
        <v>679</v>
      </c>
      <c r="F96" s="57" t="s">
        <v>584</v>
      </c>
      <c r="G96" s="57" t="s">
        <v>585</v>
      </c>
      <c r="H96" s="57" t="s">
        <v>578</v>
      </c>
      <c r="I96" s="57" t="n">
        <v>0.139</v>
      </c>
      <c r="J96" s="57" t="n">
        <v>0.139</v>
      </c>
      <c r="K96" s="57" t="n">
        <v>27</v>
      </c>
      <c r="L96" s="57" t="s">
        <v>573</v>
      </c>
      <c r="M96" s="57"/>
      <c r="N96" s="57"/>
      <c r="O96" s="57"/>
      <c r="P96" s="57"/>
      <c r="Q96" s="57" t="s">
        <v>574</v>
      </c>
      <c r="R96" s="57" t="n">
        <v>0</v>
      </c>
      <c r="S96" s="57" t="n">
        <v>0</v>
      </c>
      <c r="T96" s="57" t="n">
        <v>0</v>
      </c>
      <c r="U96" s="57" t="n">
        <v>0</v>
      </c>
      <c r="V96" s="57" t="n">
        <v>0</v>
      </c>
      <c r="W96" s="57" t="n">
        <v>0</v>
      </c>
      <c r="X96" s="57" t="n">
        <v>0</v>
      </c>
      <c r="Y96" s="57" t="n">
        <v>27</v>
      </c>
      <c r="Z96" s="57" t="n">
        <v>27</v>
      </c>
      <c r="AA96" s="57" t="n">
        <v>27</v>
      </c>
      <c r="AB96" s="57" t="n">
        <v>0</v>
      </c>
      <c r="AC96" s="57" t="n">
        <v>0</v>
      </c>
      <c r="AD96" s="57" t="n">
        <v>0</v>
      </c>
      <c r="AE96" s="57" t="n">
        <v>0</v>
      </c>
      <c r="AF96" s="57" t="n">
        <v>0</v>
      </c>
      <c r="AG96" s="57" t="n">
        <v>0</v>
      </c>
      <c r="AH96" s="57" t="s">
        <v>240</v>
      </c>
      <c r="AI96" s="57"/>
      <c r="AJ96" s="57" t="n">
        <v>0</v>
      </c>
      <c r="AK96" s="57" t="s">
        <v>287</v>
      </c>
      <c r="AL96" s="57" t="s">
        <v>347</v>
      </c>
      <c r="AM96" s="57" t="n">
        <v>1</v>
      </c>
      <c r="AN96" s="57" t="s">
        <v>575</v>
      </c>
      <c r="AO96" s="57" t="str">
        <f aca="false">IF(C96="County",IF(AL96="Rest of county","Remainder of County","Settlements"),IF(D96="City Centre","City Centre","Rest of City"))</f>
        <v>Rest of City</v>
      </c>
      <c r="AP96" s="57" t="str">
        <f aca="false">IF(LEFT(B96,13)="Council audit","Audit",IF(LEFT(B96,8)="Planning","Consent","Zoned"))</f>
        <v>Audit</v>
      </c>
      <c r="AQ96" s="57" t="n">
        <f aca="false">IF(N(K96)&gt;0,I96*Y96/K96,0)</f>
        <v>0.139</v>
      </c>
    </row>
    <row r="97" customFormat="false" ht="15" hidden="false" customHeight="false" outlineLevel="0" collapsed="false">
      <c r="A97" s="57" t="s">
        <v>689</v>
      </c>
      <c r="B97" s="57" t="s">
        <v>215</v>
      </c>
      <c r="C97" s="57" t="s">
        <v>216</v>
      </c>
      <c r="D97" s="57" t="s">
        <v>287</v>
      </c>
      <c r="E97" s="57" t="s">
        <v>679</v>
      </c>
      <c r="F97" s="57" t="s">
        <v>584</v>
      </c>
      <c r="G97" s="57" t="s">
        <v>585</v>
      </c>
      <c r="H97" s="57" t="s">
        <v>578</v>
      </c>
      <c r="I97" s="57" t="n">
        <v>1.413</v>
      </c>
      <c r="J97" s="57" t="n">
        <v>1.413</v>
      </c>
      <c r="K97" s="57" t="n">
        <v>64</v>
      </c>
      <c r="L97" s="57" t="s">
        <v>573</v>
      </c>
      <c r="M97" s="57"/>
      <c r="N97" s="57"/>
      <c r="O97" s="57"/>
      <c r="P97" s="57"/>
      <c r="Q97" s="57" t="s">
        <v>586</v>
      </c>
      <c r="R97" s="57" t="n">
        <v>0</v>
      </c>
      <c r="S97" s="57" t="n">
        <v>0</v>
      </c>
      <c r="T97" s="57" t="n">
        <v>0</v>
      </c>
      <c r="U97" s="57" t="n">
        <v>0</v>
      </c>
      <c r="V97" s="57" t="n">
        <v>0</v>
      </c>
      <c r="W97" s="57" t="n">
        <v>0</v>
      </c>
      <c r="X97" s="57" t="n">
        <v>0</v>
      </c>
      <c r="Y97" s="57" t="n">
        <v>64</v>
      </c>
      <c r="Z97" s="57" t="n">
        <v>64</v>
      </c>
      <c r="AA97" s="57" t="n">
        <v>64</v>
      </c>
      <c r="AB97" s="57" t="n">
        <v>0</v>
      </c>
      <c r="AC97" s="57" t="n">
        <v>0</v>
      </c>
      <c r="AD97" s="57" t="n">
        <v>0</v>
      </c>
      <c r="AE97" s="57" t="n">
        <v>0</v>
      </c>
      <c r="AF97" s="57" t="n">
        <v>0</v>
      </c>
      <c r="AG97" s="57" t="n">
        <v>0</v>
      </c>
      <c r="AH97" s="57" t="s">
        <v>240</v>
      </c>
      <c r="AI97" s="57"/>
      <c r="AJ97" s="57" t="n">
        <v>0</v>
      </c>
      <c r="AK97" s="57" t="s">
        <v>287</v>
      </c>
      <c r="AL97" s="57" t="s">
        <v>347</v>
      </c>
      <c r="AM97" s="57" t="n">
        <v>1</v>
      </c>
      <c r="AN97" s="57" t="s">
        <v>575</v>
      </c>
      <c r="AO97" s="57" t="str">
        <f aca="false">IF(C97="County",IF(AL97="Rest of county","Remainder of County","Settlements"),IF(D97="City Centre","City Centre","Rest of City"))</f>
        <v>Rest of City</v>
      </c>
      <c r="AP97" s="57" t="str">
        <f aca="false">IF(LEFT(B97,13)="Council audit","Audit",IF(LEFT(B97,8)="Planning","Consent","Zoned"))</f>
        <v>Audit</v>
      </c>
      <c r="AQ97" s="57" t="n">
        <f aca="false">IF(N(K97)&gt;0,I97*Y97/K97,0)</f>
        <v>1.413</v>
      </c>
    </row>
    <row r="98" customFormat="false" ht="15" hidden="false" customHeight="false" outlineLevel="0" collapsed="false">
      <c r="A98" s="57" t="s">
        <v>690</v>
      </c>
      <c r="B98" s="57" t="s">
        <v>215</v>
      </c>
      <c r="C98" s="57" t="s">
        <v>216</v>
      </c>
      <c r="D98" s="57" t="s">
        <v>287</v>
      </c>
      <c r="E98" s="57" t="s">
        <v>679</v>
      </c>
      <c r="F98" s="57" t="s">
        <v>584</v>
      </c>
      <c r="G98" s="57" t="s">
        <v>585</v>
      </c>
      <c r="H98" s="57" t="s">
        <v>578</v>
      </c>
      <c r="I98" s="57" t="n">
        <v>0.508</v>
      </c>
      <c r="J98" s="57" t="n">
        <v>0.508</v>
      </c>
      <c r="K98" s="57" t="n">
        <v>23</v>
      </c>
      <c r="L98" s="57" t="s">
        <v>573</v>
      </c>
      <c r="M98" s="57"/>
      <c r="N98" s="57"/>
      <c r="O98" s="57"/>
      <c r="P98" s="57"/>
      <c r="Q98" s="57" t="s">
        <v>586</v>
      </c>
      <c r="R98" s="57" t="n">
        <v>0</v>
      </c>
      <c r="S98" s="57" t="n">
        <v>0</v>
      </c>
      <c r="T98" s="57" t="n">
        <v>0</v>
      </c>
      <c r="U98" s="57" t="n">
        <v>0</v>
      </c>
      <c r="V98" s="57" t="n">
        <v>0</v>
      </c>
      <c r="W98" s="57" t="n">
        <v>0</v>
      </c>
      <c r="X98" s="57" t="n">
        <v>0</v>
      </c>
      <c r="Y98" s="57" t="n">
        <v>23</v>
      </c>
      <c r="Z98" s="57" t="n">
        <v>23</v>
      </c>
      <c r="AA98" s="57" t="n">
        <v>23</v>
      </c>
      <c r="AB98" s="57" t="n">
        <v>0</v>
      </c>
      <c r="AC98" s="57" t="n">
        <v>0</v>
      </c>
      <c r="AD98" s="57" t="n">
        <v>0</v>
      </c>
      <c r="AE98" s="57" t="n">
        <v>0</v>
      </c>
      <c r="AF98" s="57" t="n">
        <v>0</v>
      </c>
      <c r="AG98" s="57" t="n">
        <v>0</v>
      </c>
      <c r="AH98" s="57" t="s">
        <v>240</v>
      </c>
      <c r="AI98" s="57"/>
      <c r="AJ98" s="57" t="n">
        <v>0</v>
      </c>
      <c r="AK98" s="57" t="s">
        <v>287</v>
      </c>
      <c r="AL98" s="57" t="s">
        <v>347</v>
      </c>
      <c r="AM98" s="57" t="n">
        <v>1</v>
      </c>
      <c r="AN98" s="57" t="s">
        <v>575</v>
      </c>
      <c r="AO98" s="57" t="str">
        <f aca="false">IF(C98="County",IF(AL98="Rest of county","Remainder of County","Settlements"),IF(D98="City Centre","City Centre","Rest of City"))</f>
        <v>Rest of City</v>
      </c>
      <c r="AP98" s="57" t="str">
        <f aca="false">IF(LEFT(B98,13)="Council audit","Audit",IF(LEFT(B98,8)="Planning","Consent","Zoned"))</f>
        <v>Audit</v>
      </c>
      <c r="AQ98" s="57" t="n">
        <f aca="false">IF(N(K98)&gt;0,I98*Y98/K98,0)</f>
        <v>0.508</v>
      </c>
    </row>
    <row r="99" customFormat="false" ht="15" hidden="false" customHeight="false" outlineLevel="0" collapsed="false">
      <c r="A99" s="57" t="s">
        <v>691</v>
      </c>
      <c r="B99" s="57" t="s">
        <v>215</v>
      </c>
      <c r="C99" s="57" t="s">
        <v>216</v>
      </c>
      <c r="D99" s="57" t="s">
        <v>287</v>
      </c>
      <c r="E99" s="57" t="s">
        <v>679</v>
      </c>
      <c r="F99" s="57" t="s">
        <v>570</v>
      </c>
      <c r="G99" s="57" t="s">
        <v>585</v>
      </c>
      <c r="H99" s="57" t="s">
        <v>578</v>
      </c>
      <c r="I99" s="57" t="n">
        <v>4.753</v>
      </c>
      <c r="J99" s="57" t="n">
        <v>4.751</v>
      </c>
      <c r="K99" s="57" t="n">
        <v>214</v>
      </c>
      <c r="L99" s="57" t="s">
        <v>573</v>
      </c>
      <c r="M99" s="57"/>
      <c r="N99" s="57"/>
      <c r="O99" s="57"/>
      <c r="P99" s="57"/>
      <c r="Q99" s="57" t="s">
        <v>586</v>
      </c>
      <c r="R99" s="57" t="n">
        <v>0</v>
      </c>
      <c r="S99" s="57" t="n">
        <v>0</v>
      </c>
      <c r="T99" s="57" t="n">
        <v>0</v>
      </c>
      <c r="U99" s="57" t="n">
        <v>0</v>
      </c>
      <c r="V99" s="57" t="n">
        <v>0</v>
      </c>
      <c r="W99" s="57" t="n">
        <v>57</v>
      </c>
      <c r="X99" s="57" t="n">
        <v>0</v>
      </c>
      <c r="Y99" s="57" t="n">
        <v>214</v>
      </c>
      <c r="Z99" s="57" t="n">
        <v>214</v>
      </c>
      <c r="AA99" s="57" t="n">
        <v>214</v>
      </c>
      <c r="AB99" s="57" t="n">
        <v>0</v>
      </c>
      <c r="AC99" s="57" t="n">
        <v>0</v>
      </c>
      <c r="AD99" s="57" t="n">
        <v>0</v>
      </c>
      <c r="AE99" s="57" t="n">
        <v>0</v>
      </c>
      <c r="AF99" s="57" t="n">
        <v>0</v>
      </c>
      <c r="AG99" s="57" t="n">
        <v>0</v>
      </c>
      <c r="AH99" s="57" t="s">
        <v>240</v>
      </c>
      <c r="AI99" s="57"/>
      <c r="AJ99" s="57" t="n">
        <v>0</v>
      </c>
      <c r="AK99" s="57" t="s">
        <v>287</v>
      </c>
      <c r="AL99" s="57" t="s">
        <v>347</v>
      </c>
      <c r="AM99" s="57" t="n">
        <v>1</v>
      </c>
      <c r="AN99" s="57" t="s">
        <v>575</v>
      </c>
      <c r="AO99" s="57" t="str">
        <f aca="false">IF(C99="County",IF(AL99="Rest of county","Remainder of County","Settlements"),IF(D99="City Centre","City Centre","Rest of City"))</f>
        <v>Rest of City</v>
      </c>
      <c r="AP99" s="57" t="str">
        <f aca="false">IF(LEFT(B99,13)="Council audit","Audit",IF(LEFT(B99,8)="Planning","Consent","Zoned"))</f>
        <v>Audit</v>
      </c>
      <c r="AQ99" s="57" t="n">
        <f aca="false">IF(N(K99)&gt;0,I99*Y99/K99,0)</f>
        <v>4.753</v>
      </c>
    </row>
    <row r="100" customFormat="false" ht="15" hidden="false" customHeight="false" outlineLevel="0" collapsed="false">
      <c r="A100" s="57" t="s">
        <v>692</v>
      </c>
      <c r="B100" s="57" t="s">
        <v>215</v>
      </c>
      <c r="C100" s="57" t="s">
        <v>216</v>
      </c>
      <c r="D100" s="57" t="s">
        <v>290</v>
      </c>
      <c r="E100" s="57" t="s">
        <v>258</v>
      </c>
      <c r="F100" s="57" t="s">
        <v>570</v>
      </c>
      <c r="G100" s="57" t="s">
        <v>577</v>
      </c>
      <c r="H100" s="57" t="s">
        <v>578</v>
      </c>
      <c r="I100" s="57" t="n">
        <v>2.208</v>
      </c>
      <c r="J100" s="57" t="n">
        <v>2.208</v>
      </c>
      <c r="K100" s="57" t="n">
        <v>99</v>
      </c>
      <c r="L100" s="57" t="s">
        <v>573</v>
      </c>
      <c r="M100" s="57"/>
      <c r="N100" s="57"/>
      <c r="O100" s="57"/>
      <c r="P100" s="57"/>
      <c r="Q100" s="57" t="s">
        <v>586</v>
      </c>
      <c r="R100" s="57" t="n">
        <v>0</v>
      </c>
      <c r="S100" s="57" t="n">
        <v>0</v>
      </c>
      <c r="T100" s="57" t="n">
        <v>0</v>
      </c>
      <c r="U100" s="57" t="n">
        <v>0</v>
      </c>
      <c r="V100" s="57" t="n">
        <v>0</v>
      </c>
      <c r="W100" s="57" t="n">
        <v>0</v>
      </c>
      <c r="X100" s="57" t="n">
        <v>0</v>
      </c>
      <c r="Y100" s="57" t="n">
        <v>99</v>
      </c>
      <c r="Z100" s="57" t="n">
        <v>99</v>
      </c>
      <c r="AA100" s="57" t="n">
        <v>99</v>
      </c>
      <c r="AB100" s="57" t="n">
        <v>0</v>
      </c>
      <c r="AC100" s="57" t="n">
        <v>0</v>
      </c>
      <c r="AD100" s="57" t="n">
        <v>0</v>
      </c>
      <c r="AE100" s="57" t="n">
        <v>0</v>
      </c>
      <c r="AF100" s="57" t="n">
        <v>0</v>
      </c>
      <c r="AG100" s="57" t="n">
        <v>0</v>
      </c>
      <c r="AH100" s="57" t="s">
        <v>240</v>
      </c>
      <c r="AI100" s="57"/>
      <c r="AJ100" s="57" t="n">
        <v>0</v>
      </c>
      <c r="AK100" s="57" t="s">
        <v>290</v>
      </c>
      <c r="AL100" s="57" t="s">
        <v>347</v>
      </c>
      <c r="AM100" s="57" t="n">
        <v>1</v>
      </c>
      <c r="AN100" s="57" t="s">
        <v>575</v>
      </c>
      <c r="AO100" s="57" t="str">
        <f aca="false">IF(C100="County",IF(AL100="Rest of county","Remainder of County","Settlements"),IF(D100="City Centre","City Centre","Rest of City"))</f>
        <v>Rest of City</v>
      </c>
      <c r="AP100" s="57" t="str">
        <f aca="false">IF(LEFT(B100,13)="Council audit","Audit",IF(LEFT(B100,8)="Planning","Consent","Zoned"))</f>
        <v>Audit</v>
      </c>
      <c r="AQ100" s="57" t="n">
        <f aca="false">IF(N(K100)&gt;0,I100*Y100/K100,0)</f>
        <v>2.208</v>
      </c>
    </row>
    <row r="101" customFormat="false" ht="15" hidden="false" customHeight="false" outlineLevel="0" collapsed="false">
      <c r="A101" s="57" t="s">
        <v>693</v>
      </c>
      <c r="B101" s="57" t="s">
        <v>215</v>
      </c>
      <c r="C101" s="57" t="s">
        <v>216</v>
      </c>
      <c r="D101" s="57" t="s">
        <v>290</v>
      </c>
      <c r="E101" s="57" t="s">
        <v>258</v>
      </c>
      <c r="F101" s="57" t="s">
        <v>584</v>
      </c>
      <c r="G101" s="57" t="s">
        <v>585</v>
      </c>
      <c r="H101" s="57" t="s">
        <v>578</v>
      </c>
      <c r="I101" s="57" t="n">
        <v>0.144</v>
      </c>
      <c r="J101" s="57" t="n">
        <v>0.144</v>
      </c>
      <c r="K101" s="57" t="n">
        <v>6</v>
      </c>
      <c r="L101" s="57" t="s">
        <v>573</v>
      </c>
      <c r="M101" s="57"/>
      <c r="N101" s="57"/>
      <c r="O101" s="57"/>
      <c r="P101" s="57"/>
      <c r="Q101" s="57" t="s">
        <v>586</v>
      </c>
      <c r="R101" s="57" t="n">
        <v>0</v>
      </c>
      <c r="S101" s="57" t="n">
        <v>0</v>
      </c>
      <c r="T101" s="57" t="n">
        <v>0</v>
      </c>
      <c r="U101" s="57" t="n">
        <v>0</v>
      </c>
      <c r="V101" s="57" t="n">
        <v>0</v>
      </c>
      <c r="W101" s="57" t="n">
        <v>0</v>
      </c>
      <c r="X101" s="57" t="n">
        <v>0</v>
      </c>
      <c r="Y101" s="57" t="n">
        <v>6</v>
      </c>
      <c r="Z101" s="57" t="n">
        <v>6</v>
      </c>
      <c r="AA101" s="57" t="n">
        <v>6</v>
      </c>
      <c r="AB101" s="57" t="n">
        <v>0</v>
      </c>
      <c r="AC101" s="57" t="n">
        <v>0</v>
      </c>
      <c r="AD101" s="57" t="n">
        <v>0</v>
      </c>
      <c r="AE101" s="57" t="n">
        <v>0</v>
      </c>
      <c r="AF101" s="57" t="n">
        <v>0</v>
      </c>
      <c r="AG101" s="57" t="n">
        <v>0</v>
      </c>
      <c r="AH101" s="57" t="s">
        <v>240</v>
      </c>
      <c r="AI101" s="57"/>
      <c r="AJ101" s="57" t="n">
        <v>0</v>
      </c>
      <c r="AK101" s="57" t="s">
        <v>290</v>
      </c>
      <c r="AL101" s="57" t="s">
        <v>347</v>
      </c>
      <c r="AM101" s="57" t="n">
        <v>1</v>
      </c>
      <c r="AN101" s="57" t="s">
        <v>575</v>
      </c>
      <c r="AO101" s="57" t="str">
        <f aca="false">IF(C101="County",IF(AL101="Rest of county","Remainder of County","Settlements"),IF(D101="City Centre","City Centre","Rest of City"))</f>
        <v>Rest of City</v>
      </c>
      <c r="AP101" s="57" t="str">
        <f aca="false">IF(LEFT(B101,13)="Council audit","Audit",IF(LEFT(B101,8)="Planning","Consent","Zoned"))</f>
        <v>Audit</v>
      </c>
      <c r="AQ101" s="57" t="n">
        <f aca="false">IF(N(K101)&gt;0,I101*Y101/K101,0)</f>
        <v>0.144</v>
      </c>
    </row>
    <row r="102" customFormat="false" ht="15" hidden="false" customHeight="false" outlineLevel="0" collapsed="false">
      <c r="A102" s="57" t="s">
        <v>694</v>
      </c>
      <c r="B102" s="57" t="s">
        <v>215</v>
      </c>
      <c r="C102" s="57" t="s">
        <v>216</v>
      </c>
      <c r="D102" s="57" t="s">
        <v>290</v>
      </c>
      <c r="E102" s="57" t="s">
        <v>258</v>
      </c>
      <c r="F102" s="57" t="s">
        <v>570</v>
      </c>
      <c r="G102" s="57" t="s">
        <v>585</v>
      </c>
      <c r="H102" s="57" t="s">
        <v>578</v>
      </c>
      <c r="I102" s="57" t="n">
        <v>0.252</v>
      </c>
      <c r="J102" s="57" t="n">
        <v>0.252</v>
      </c>
      <c r="K102" s="57" t="n">
        <v>11</v>
      </c>
      <c r="L102" s="57" t="s">
        <v>573</v>
      </c>
      <c r="M102" s="57"/>
      <c r="N102" s="57"/>
      <c r="O102" s="57"/>
      <c r="P102" s="57"/>
      <c r="Q102" s="57" t="s">
        <v>586</v>
      </c>
      <c r="R102" s="57" t="n">
        <v>0</v>
      </c>
      <c r="S102" s="57" t="n">
        <v>0</v>
      </c>
      <c r="T102" s="57" t="n">
        <v>0</v>
      </c>
      <c r="U102" s="57" t="n">
        <v>0</v>
      </c>
      <c r="V102" s="57" t="n">
        <v>0</v>
      </c>
      <c r="W102" s="57" t="n">
        <v>0</v>
      </c>
      <c r="X102" s="57" t="n">
        <v>0</v>
      </c>
      <c r="Y102" s="57" t="n">
        <v>11</v>
      </c>
      <c r="Z102" s="57" t="n">
        <v>11</v>
      </c>
      <c r="AA102" s="57" t="n">
        <v>11</v>
      </c>
      <c r="AB102" s="57" t="n">
        <v>0</v>
      </c>
      <c r="AC102" s="57" t="n">
        <v>0</v>
      </c>
      <c r="AD102" s="57" t="n">
        <v>0</v>
      </c>
      <c r="AE102" s="57" t="n">
        <v>0</v>
      </c>
      <c r="AF102" s="57" t="n">
        <v>0</v>
      </c>
      <c r="AG102" s="57" t="n">
        <v>0</v>
      </c>
      <c r="AH102" s="57" t="s">
        <v>240</v>
      </c>
      <c r="AI102" s="57"/>
      <c r="AJ102" s="57" t="n">
        <v>0</v>
      </c>
      <c r="AK102" s="57" t="s">
        <v>290</v>
      </c>
      <c r="AL102" s="57" t="s">
        <v>347</v>
      </c>
      <c r="AM102" s="57" t="n">
        <v>1</v>
      </c>
      <c r="AN102" s="57" t="s">
        <v>575</v>
      </c>
      <c r="AO102" s="57" t="str">
        <f aca="false">IF(C102="County",IF(AL102="Rest of county","Remainder of County","Settlements"),IF(D102="City Centre","City Centre","Rest of City"))</f>
        <v>Rest of City</v>
      </c>
      <c r="AP102" s="57" t="str">
        <f aca="false">IF(LEFT(B102,13)="Council audit","Audit",IF(LEFT(B102,8)="Planning","Consent","Zoned"))</f>
        <v>Audit</v>
      </c>
      <c r="AQ102" s="57" t="n">
        <f aca="false">IF(N(K102)&gt;0,I102*Y102/K102,0)</f>
        <v>0.252</v>
      </c>
    </row>
    <row r="103" customFormat="false" ht="15" hidden="false" customHeight="false" outlineLevel="0" collapsed="false">
      <c r="A103" s="57" t="s">
        <v>695</v>
      </c>
      <c r="B103" s="57" t="s">
        <v>215</v>
      </c>
      <c r="C103" s="57" t="s">
        <v>216</v>
      </c>
      <c r="D103" s="57" t="s">
        <v>290</v>
      </c>
      <c r="E103" s="57" t="s">
        <v>661</v>
      </c>
      <c r="F103" s="57" t="s">
        <v>584</v>
      </c>
      <c r="G103" s="57" t="s">
        <v>577</v>
      </c>
      <c r="H103" s="57" t="s">
        <v>578</v>
      </c>
      <c r="I103" s="57" t="n">
        <v>0.706</v>
      </c>
      <c r="J103" s="57" t="n">
        <v>0.706</v>
      </c>
      <c r="K103" s="57" t="n">
        <v>32</v>
      </c>
      <c r="L103" s="57" t="s">
        <v>573</v>
      </c>
      <c r="M103" s="57"/>
      <c r="N103" s="57"/>
      <c r="O103" s="57"/>
      <c r="P103" s="57"/>
      <c r="Q103" s="57" t="s">
        <v>586</v>
      </c>
      <c r="R103" s="57" t="n">
        <v>0</v>
      </c>
      <c r="S103" s="57" t="n">
        <v>0</v>
      </c>
      <c r="T103" s="57" t="n">
        <v>0</v>
      </c>
      <c r="U103" s="57" t="n">
        <v>0</v>
      </c>
      <c r="V103" s="57" t="n">
        <v>0</v>
      </c>
      <c r="W103" s="57" t="n">
        <v>0</v>
      </c>
      <c r="X103" s="57" t="n">
        <v>0</v>
      </c>
      <c r="Y103" s="57" t="n">
        <v>32</v>
      </c>
      <c r="Z103" s="57" t="n">
        <v>32</v>
      </c>
      <c r="AA103" s="57" t="n">
        <v>32</v>
      </c>
      <c r="AB103" s="57" t="n">
        <v>0</v>
      </c>
      <c r="AC103" s="57" t="n">
        <v>0</v>
      </c>
      <c r="AD103" s="57" t="n">
        <v>0</v>
      </c>
      <c r="AE103" s="57" t="n">
        <v>0</v>
      </c>
      <c r="AF103" s="57" t="n">
        <v>0</v>
      </c>
      <c r="AG103" s="57" t="n">
        <v>0</v>
      </c>
      <c r="AH103" s="57" t="s">
        <v>240</v>
      </c>
      <c r="AI103" s="57"/>
      <c r="AJ103" s="57" t="n">
        <v>0</v>
      </c>
      <c r="AK103" s="57" t="s">
        <v>290</v>
      </c>
      <c r="AL103" s="57" t="s">
        <v>347</v>
      </c>
      <c r="AM103" s="57" t="n">
        <v>1</v>
      </c>
      <c r="AN103" s="57" t="s">
        <v>575</v>
      </c>
      <c r="AO103" s="57" t="str">
        <f aca="false">IF(C103="County",IF(AL103="Rest of county","Remainder of County","Settlements"),IF(D103="City Centre","City Centre","Rest of City"))</f>
        <v>Rest of City</v>
      </c>
      <c r="AP103" s="57" t="str">
        <f aca="false">IF(LEFT(B103,13)="Council audit","Audit",IF(LEFT(B103,8)="Planning","Consent","Zoned"))</f>
        <v>Audit</v>
      </c>
      <c r="AQ103" s="57" t="n">
        <f aca="false">IF(N(K103)&gt;0,I103*Y103/K103,0)</f>
        <v>0.706</v>
      </c>
    </row>
    <row r="104" customFormat="false" ht="15" hidden="false" customHeight="false" outlineLevel="0" collapsed="false">
      <c r="A104" s="57" t="s">
        <v>334</v>
      </c>
      <c r="B104" s="57" t="s">
        <v>215</v>
      </c>
      <c r="C104" s="57" t="s">
        <v>216</v>
      </c>
      <c r="D104" s="57" t="s">
        <v>290</v>
      </c>
      <c r="E104" s="57" t="s">
        <v>661</v>
      </c>
      <c r="F104" s="57" t="s">
        <v>570</v>
      </c>
      <c r="G104" s="57" t="s">
        <v>585</v>
      </c>
      <c r="H104" s="57" t="s">
        <v>696</v>
      </c>
      <c r="I104" s="57" t="n">
        <v>1.22</v>
      </c>
      <c r="J104" s="57" t="n">
        <v>9.479</v>
      </c>
      <c r="K104" s="57" t="n">
        <v>55</v>
      </c>
      <c r="L104" s="57" t="s">
        <v>573</v>
      </c>
      <c r="M104" s="57"/>
      <c r="N104" s="57"/>
      <c r="O104" s="57"/>
      <c r="P104" s="57"/>
      <c r="Q104" s="57" t="s">
        <v>594</v>
      </c>
      <c r="R104" s="57" t="n">
        <v>0</v>
      </c>
      <c r="S104" s="57" t="n">
        <v>371</v>
      </c>
      <c r="T104" s="57" t="n">
        <v>0</v>
      </c>
      <c r="U104" s="57" t="n">
        <v>0</v>
      </c>
      <c r="V104" s="57" t="n">
        <v>0</v>
      </c>
      <c r="W104" s="57" t="n">
        <v>0</v>
      </c>
      <c r="X104" s="57" t="n">
        <v>371</v>
      </c>
      <c r="Y104" s="57" t="n">
        <v>0</v>
      </c>
      <c r="Z104" s="57" t="n">
        <v>371</v>
      </c>
      <c r="AA104" s="57" t="n">
        <v>371</v>
      </c>
      <c r="AB104" s="57" t="n">
        <v>20.6</v>
      </c>
      <c r="AC104" s="57" t="n">
        <v>88.5</v>
      </c>
      <c r="AD104" s="57" t="n">
        <v>88.5</v>
      </c>
      <c r="AE104" s="57" t="n">
        <v>88.5</v>
      </c>
      <c r="AF104" s="57" t="n">
        <v>84.9</v>
      </c>
      <c r="AG104" s="57" t="n">
        <v>0</v>
      </c>
      <c r="AH104" s="57" t="s">
        <v>239</v>
      </c>
      <c r="AI104" s="57" t="s">
        <v>591</v>
      </c>
      <c r="AJ104" s="57" t="n">
        <v>310</v>
      </c>
      <c r="AK104" s="57" t="s">
        <v>290</v>
      </c>
      <c r="AL104" s="57" t="s">
        <v>347</v>
      </c>
      <c r="AM104" s="57" t="n">
        <v>1</v>
      </c>
      <c r="AN104" s="57" t="s">
        <v>575</v>
      </c>
      <c r="AO104" s="57" t="str">
        <f aca="false">IF(C104="County",IF(AL104="Rest of county","Remainder of County","Settlements"),IF(D104="City Centre","City Centre","Rest of City"))</f>
        <v>Rest of City</v>
      </c>
      <c r="AP104" s="57" t="str">
        <f aca="false">IF(LEFT(B104,13)="Council audit","Audit",IF(LEFT(B104,8)="Planning","Consent","Zoned"))</f>
        <v>Audit</v>
      </c>
      <c r="AQ104" s="57" t="n">
        <f aca="false">IF(N(K104)&gt;0,I104*Y104/K104,0)</f>
        <v>0</v>
      </c>
    </row>
    <row r="105" customFormat="false" ht="15" hidden="false" customHeight="false" outlineLevel="0" collapsed="false">
      <c r="A105" s="57" t="s">
        <v>697</v>
      </c>
      <c r="B105" s="57" t="s">
        <v>215</v>
      </c>
      <c r="C105" s="57" t="s">
        <v>216</v>
      </c>
      <c r="D105" s="57" t="s">
        <v>286</v>
      </c>
      <c r="E105" s="57" t="s">
        <v>286</v>
      </c>
      <c r="F105" s="57" t="s">
        <v>584</v>
      </c>
      <c r="G105" s="57" t="s">
        <v>585</v>
      </c>
      <c r="H105" s="57" t="s">
        <v>698</v>
      </c>
      <c r="I105" s="57" t="n">
        <v>0.606</v>
      </c>
      <c r="J105" s="57" t="n">
        <v>0.607</v>
      </c>
      <c r="K105" s="57" t="n">
        <v>23</v>
      </c>
      <c r="L105" s="57" t="s">
        <v>573</v>
      </c>
      <c r="M105" s="57"/>
      <c r="N105" s="57"/>
      <c r="O105" s="57"/>
      <c r="P105" s="57"/>
      <c r="Q105" s="57" t="s">
        <v>586</v>
      </c>
      <c r="R105" s="57" t="n">
        <v>0</v>
      </c>
      <c r="S105" s="57" t="n">
        <v>0</v>
      </c>
      <c r="T105" s="57" t="n">
        <v>0</v>
      </c>
      <c r="U105" s="57" t="n">
        <v>0</v>
      </c>
      <c r="V105" s="57" t="n">
        <v>0</v>
      </c>
      <c r="W105" s="57" t="n">
        <v>0</v>
      </c>
      <c r="X105" s="57" t="n">
        <v>0</v>
      </c>
      <c r="Y105" s="57" t="n">
        <v>23</v>
      </c>
      <c r="Z105" s="57" t="n">
        <v>23</v>
      </c>
      <c r="AA105" s="57" t="n">
        <v>23</v>
      </c>
      <c r="AB105" s="57" t="n">
        <v>0</v>
      </c>
      <c r="AC105" s="57" t="n">
        <v>0</v>
      </c>
      <c r="AD105" s="57" t="n">
        <v>0</v>
      </c>
      <c r="AE105" s="57" t="n">
        <v>0</v>
      </c>
      <c r="AF105" s="57" t="n">
        <v>0</v>
      </c>
      <c r="AG105" s="57" t="n">
        <v>0</v>
      </c>
      <c r="AH105" s="57" t="s">
        <v>240</v>
      </c>
      <c r="AI105" s="57"/>
      <c r="AJ105" s="57" t="n">
        <v>0</v>
      </c>
      <c r="AK105" s="57" t="s">
        <v>286</v>
      </c>
      <c r="AL105" s="57" t="s">
        <v>347</v>
      </c>
      <c r="AM105" s="57" t="n">
        <v>1</v>
      </c>
      <c r="AN105" s="57" t="s">
        <v>575</v>
      </c>
      <c r="AO105" s="57" t="str">
        <f aca="false">IF(C105="County",IF(AL105="Rest of county","Remainder of County","Settlements"),IF(D105="City Centre","City Centre","Rest of City"))</f>
        <v>Rest of City</v>
      </c>
      <c r="AP105" s="57" t="str">
        <f aca="false">IF(LEFT(B105,13)="Council audit","Audit",IF(LEFT(B105,8)="Planning","Consent","Zoned"))</f>
        <v>Audit</v>
      </c>
      <c r="AQ105" s="57" t="n">
        <f aca="false">IF(N(K105)&gt;0,I105*Y105/K105,0)</f>
        <v>0.606</v>
      </c>
    </row>
    <row r="106" customFormat="false" ht="15" hidden="false" customHeight="false" outlineLevel="0" collapsed="false">
      <c r="A106" s="57" t="s">
        <v>699</v>
      </c>
      <c r="B106" s="57" t="s">
        <v>215</v>
      </c>
      <c r="C106" s="57" t="s">
        <v>216</v>
      </c>
      <c r="D106" s="57" t="s">
        <v>286</v>
      </c>
      <c r="E106" s="57" t="s">
        <v>286</v>
      </c>
      <c r="F106" s="57" t="s">
        <v>584</v>
      </c>
      <c r="G106" s="57" t="s">
        <v>585</v>
      </c>
      <c r="H106" s="57" t="s">
        <v>572</v>
      </c>
      <c r="I106" s="57" t="n">
        <v>0.182</v>
      </c>
      <c r="J106" s="57" t="n">
        <v>0.183</v>
      </c>
      <c r="K106" s="57" t="n">
        <v>6</v>
      </c>
      <c r="L106" s="57" t="s">
        <v>573</v>
      </c>
      <c r="M106" s="57"/>
      <c r="N106" s="57"/>
      <c r="O106" s="57"/>
      <c r="P106" s="57"/>
      <c r="Q106" s="57" t="s">
        <v>586</v>
      </c>
      <c r="R106" s="57" t="n">
        <v>0</v>
      </c>
      <c r="S106" s="57" t="n">
        <v>0</v>
      </c>
      <c r="T106" s="57" t="n">
        <v>0</v>
      </c>
      <c r="U106" s="57" t="n">
        <v>0</v>
      </c>
      <c r="V106" s="57" t="n">
        <v>0</v>
      </c>
      <c r="W106" s="57" t="n">
        <v>0</v>
      </c>
      <c r="X106" s="57" t="n">
        <v>0</v>
      </c>
      <c r="Y106" s="57" t="n">
        <v>6</v>
      </c>
      <c r="Z106" s="57" t="n">
        <v>6</v>
      </c>
      <c r="AA106" s="57" t="n">
        <v>6</v>
      </c>
      <c r="AB106" s="57" t="n">
        <v>0</v>
      </c>
      <c r="AC106" s="57" t="n">
        <v>0</v>
      </c>
      <c r="AD106" s="57" t="n">
        <v>0</v>
      </c>
      <c r="AE106" s="57" t="n">
        <v>0</v>
      </c>
      <c r="AF106" s="57" t="n">
        <v>0</v>
      </c>
      <c r="AG106" s="57" t="n">
        <v>0</v>
      </c>
      <c r="AH106" s="57" t="s">
        <v>240</v>
      </c>
      <c r="AI106" s="57"/>
      <c r="AJ106" s="57" t="n">
        <v>0</v>
      </c>
      <c r="AK106" s="57" t="s">
        <v>286</v>
      </c>
      <c r="AL106" s="57" t="s">
        <v>347</v>
      </c>
      <c r="AM106" s="57" t="n">
        <v>1</v>
      </c>
      <c r="AN106" s="57" t="s">
        <v>575</v>
      </c>
      <c r="AO106" s="57" t="str">
        <f aca="false">IF(C106="County",IF(AL106="Rest of county","Remainder of County","Settlements"),IF(D106="City Centre","City Centre","Rest of City"))</f>
        <v>Rest of City</v>
      </c>
      <c r="AP106" s="57" t="str">
        <f aca="false">IF(LEFT(B106,13)="Council audit","Audit",IF(LEFT(B106,8)="Planning","Consent","Zoned"))</f>
        <v>Audit</v>
      </c>
      <c r="AQ106" s="57" t="n">
        <f aca="false">IF(N(K106)&gt;0,I106*Y106/K106,0)</f>
        <v>0.182</v>
      </c>
    </row>
    <row r="107" customFormat="false" ht="15" hidden="false" customHeight="false" outlineLevel="0" collapsed="false">
      <c r="A107" s="57" t="s">
        <v>332</v>
      </c>
      <c r="B107" s="57" t="s">
        <v>215</v>
      </c>
      <c r="C107" s="57" t="s">
        <v>216</v>
      </c>
      <c r="D107" s="57" t="s">
        <v>286</v>
      </c>
      <c r="E107" s="57" t="s">
        <v>286</v>
      </c>
      <c r="F107" s="57" t="s">
        <v>570</v>
      </c>
      <c r="G107" s="57" t="s">
        <v>571</v>
      </c>
      <c r="H107" s="57" t="s">
        <v>572</v>
      </c>
      <c r="I107" s="57" t="n">
        <v>8.559</v>
      </c>
      <c r="J107" s="57" t="n">
        <v>8.556</v>
      </c>
      <c r="K107" s="57" t="n">
        <v>384</v>
      </c>
      <c r="L107" s="57" t="s">
        <v>573</v>
      </c>
      <c r="M107" s="57"/>
      <c r="N107" s="57"/>
      <c r="O107" s="57"/>
      <c r="P107" s="57"/>
      <c r="Q107" s="57" t="s">
        <v>574</v>
      </c>
      <c r="R107" s="57" t="n">
        <v>0</v>
      </c>
      <c r="S107" s="57" t="n">
        <v>384</v>
      </c>
      <c r="T107" s="57" t="n">
        <v>0</v>
      </c>
      <c r="U107" s="57" t="n">
        <v>0</v>
      </c>
      <c r="V107" s="57" t="n">
        <v>0</v>
      </c>
      <c r="W107" s="57" t="n">
        <v>0</v>
      </c>
      <c r="X107" s="57" t="n">
        <v>384</v>
      </c>
      <c r="Y107" s="57" t="n">
        <v>0</v>
      </c>
      <c r="Z107" s="57" t="n">
        <v>384</v>
      </c>
      <c r="AA107" s="57" t="n">
        <v>384</v>
      </c>
      <c r="AB107" s="57" t="n">
        <v>17.2</v>
      </c>
      <c r="AC107" s="57" t="n">
        <v>74.1</v>
      </c>
      <c r="AD107" s="57" t="n">
        <v>74.1</v>
      </c>
      <c r="AE107" s="57" t="n">
        <v>74.1</v>
      </c>
      <c r="AF107" s="57" t="n">
        <v>74.1</v>
      </c>
      <c r="AG107" s="57" t="n">
        <v>70.4</v>
      </c>
      <c r="AH107" s="57" t="s">
        <v>239</v>
      </c>
      <c r="AI107" s="57"/>
      <c r="AJ107" s="57" t="n">
        <v>0</v>
      </c>
      <c r="AK107" s="57" t="s">
        <v>286</v>
      </c>
      <c r="AL107" s="57" t="s">
        <v>347</v>
      </c>
      <c r="AM107" s="57" t="n">
        <v>1</v>
      </c>
      <c r="AN107" s="57" t="s">
        <v>575</v>
      </c>
      <c r="AO107" s="57" t="str">
        <f aca="false">IF(C107="County",IF(AL107="Rest of county","Remainder of County","Settlements"),IF(D107="City Centre","City Centre","Rest of City"))</f>
        <v>Rest of City</v>
      </c>
      <c r="AP107" s="57" t="str">
        <f aca="false">IF(LEFT(B107,13)="Council audit","Audit",IF(LEFT(B107,8)="Planning","Consent","Zoned"))</f>
        <v>Audit</v>
      </c>
      <c r="AQ107" s="57" t="n">
        <f aca="false">IF(N(K107)&gt;0,I107*Y107/K107,0)</f>
        <v>0</v>
      </c>
    </row>
    <row r="108" customFormat="false" ht="15" hidden="false" customHeight="false" outlineLevel="0" collapsed="false">
      <c r="A108" s="57" t="s">
        <v>700</v>
      </c>
      <c r="B108" s="57" t="s">
        <v>215</v>
      </c>
      <c r="C108" s="57" t="s">
        <v>216</v>
      </c>
      <c r="D108" s="57" t="s">
        <v>286</v>
      </c>
      <c r="E108" s="57" t="s">
        <v>286</v>
      </c>
      <c r="F108" s="57" t="s">
        <v>570</v>
      </c>
      <c r="G108" s="57" t="s">
        <v>585</v>
      </c>
      <c r="H108" s="57" t="s">
        <v>572</v>
      </c>
      <c r="I108" s="57" t="n">
        <v>2.42</v>
      </c>
      <c r="J108" s="57" t="n">
        <v>2.42</v>
      </c>
      <c r="K108" s="57" t="n">
        <v>85</v>
      </c>
      <c r="L108" s="57" t="s">
        <v>573</v>
      </c>
      <c r="M108" s="57"/>
      <c r="N108" s="57"/>
      <c r="O108" s="57"/>
      <c r="P108" s="57"/>
      <c r="Q108" s="57" t="s">
        <v>586</v>
      </c>
      <c r="R108" s="57" t="n">
        <v>0</v>
      </c>
      <c r="S108" s="57" t="n">
        <v>0</v>
      </c>
      <c r="T108" s="57" t="n">
        <v>0</v>
      </c>
      <c r="U108" s="57" t="n">
        <v>0</v>
      </c>
      <c r="V108" s="57" t="n">
        <v>0</v>
      </c>
      <c r="W108" s="57" t="n">
        <v>0</v>
      </c>
      <c r="X108" s="57" t="n">
        <v>0</v>
      </c>
      <c r="Y108" s="57" t="n">
        <v>85</v>
      </c>
      <c r="Z108" s="57" t="n">
        <v>85</v>
      </c>
      <c r="AA108" s="57" t="n">
        <v>85</v>
      </c>
      <c r="AB108" s="57" t="n">
        <v>0</v>
      </c>
      <c r="AC108" s="57" t="n">
        <v>0</v>
      </c>
      <c r="AD108" s="57" t="n">
        <v>0</v>
      </c>
      <c r="AE108" s="57" t="n">
        <v>0</v>
      </c>
      <c r="AF108" s="57" t="n">
        <v>0</v>
      </c>
      <c r="AG108" s="57" t="n">
        <v>0</v>
      </c>
      <c r="AH108" s="57" t="s">
        <v>240</v>
      </c>
      <c r="AI108" s="57"/>
      <c r="AJ108" s="57" t="n">
        <v>0</v>
      </c>
      <c r="AK108" s="57" t="s">
        <v>286</v>
      </c>
      <c r="AL108" s="57" t="s">
        <v>347</v>
      </c>
      <c r="AM108" s="57" t="n">
        <v>1</v>
      </c>
      <c r="AN108" s="57" t="s">
        <v>575</v>
      </c>
      <c r="AO108" s="57" t="str">
        <f aca="false">IF(C108="County",IF(AL108="Rest of county","Remainder of County","Settlements"),IF(D108="City Centre","City Centre","Rest of City"))</f>
        <v>Rest of City</v>
      </c>
      <c r="AP108" s="57" t="str">
        <f aca="false">IF(LEFT(B108,13)="Council audit","Audit",IF(LEFT(B108,8)="Planning","Consent","Zoned"))</f>
        <v>Audit</v>
      </c>
      <c r="AQ108" s="57" t="n">
        <f aca="false">IF(N(K108)&gt;0,I108*Y108/K108,0)</f>
        <v>2.42</v>
      </c>
    </row>
    <row r="109" customFormat="false" ht="15" hidden="false" customHeight="false" outlineLevel="0" collapsed="false">
      <c r="A109" s="57" t="s">
        <v>701</v>
      </c>
      <c r="B109" s="57" t="s">
        <v>215</v>
      </c>
      <c r="C109" s="57" t="s">
        <v>216</v>
      </c>
      <c r="D109" s="57" t="s">
        <v>286</v>
      </c>
      <c r="E109" s="57" t="s">
        <v>286</v>
      </c>
      <c r="F109" s="57" t="s">
        <v>570</v>
      </c>
      <c r="G109" s="57" t="s">
        <v>577</v>
      </c>
      <c r="H109" s="57" t="s">
        <v>572</v>
      </c>
      <c r="I109" s="57" t="n">
        <v>0.285</v>
      </c>
      <c r="J109" s="57" t="n">
        <v>0.285</v>
      </c>
      <c r="K109" s="57" t="n">
        <v>10</v>
      </c>
      <c r="L109" s="57" t="s">
        <v>573</v>
      </c>
      <c r="M109" s="57"/>
      <c r="N109" s="57"/>
      <c r="O109" s="57"/>
      <c r="P109" s="57"/>
      <c r="Q109" s="57" t="s">
        <v>586</v>
      </c>
      <c r="R109" s="57" t="n">
        <v>0</v>
      </c>
      <c r="S109" s="57" t="n">
        <v>0</v>
      </c>
      <c r="T109" s="57" t="n">
        <v>0</v>
      </c>
      <c r="U109" s="57" t="n">
        <v>0</v>
      </c>
      <c r="V109" s="57" t="n">
        <v>0</v>
      </c>
      <c r="W109" s="57" t="n">
        <v>0</v>
      </c>
      <c r="X109" s="57" t="n">
        <v>0</v>
      </c>
      <c r="Y109" s="57" t="n">
        <v>10</v>
      </c>
      <c r="Z109" s="57" t="n">
        <v>10</v>
      </c>
      <c r="AA109" s="57" t="n">
        <v>10</v>
      </c>
      <c r="AB109" s="57" t="n">
        <v>0</v>
      </c>
      <c r="AC109" s="57" t="n">
        <v>0</v>
      </c>
      <c r="AD109" s="57" t="n">
        <v>0</v>
      </c>
      <c r="AE109" s="57" t="n">
        <v>0</v>
      </c>
      <c r="AF109" s="57" t="n">
        <v>0</v>
      </c>
      <c r="AG109" s="57" t="n">
        <v>0</v>
      </c>
      <c r="AH109" s="57" t="s">
        <v>240</v>
      </c>
      <c r="AI109" s="57"/>
      <c r="AJ109" s="57" t="n">
        <v>0</v>
      </c>
      <c r="AK109" s="57" t="s">
        <v>286</v>
      </c>
      <c r="AL109" s="57" t="s">
        <v>347</v>
      </c>
      <c r="AM109" s="57" t="n">
        <v>1</v>
      </c>
      <c r="AN109" s="57" t="s">
        <v>575</v>
      </c>
      <c r="AO109" s="57" t="str">
        <f aca="false">IF(C109="County",IF(AL109="Rest of county","Remainder of County","Settlements"),IF(D109="City Centre","City Centre","Rest of City"))</f>
        <v>Rest of City</v>
      </c>
      <c r="AP109" s="57" t="str">
        <f aca="false">IF(LEFT(B109,13)="Council audit","Audit",IF(LEFT(B109,8)="Planning","Consent","Zoned"))</f>
        <v>Audit</v>
      </c>
      <c r="AQ109" s="57" t="n">
        <f aca="false">IF(N(K109)&gt;0,I109*Y109/K109,0)</f>
        <v>0.285</v>
      </c>
    </row>
    <row r="110" customFormat="false" ht="15" hidden="false" customHeight="false" outlineLevel="0" collapsed="false">
      <c r="A110" s="57" t="s">
        <v>702</v>
      </c>
      <c r="B110" s="57" t="s">
        <v>215</v>
      </c>
      <c r="C110" s="57" t="s">
        <v>216</v>
      </c>
      <c r="D110" s="57" t="s">
        <v>286</v>
      </c>
      <c r="E110" s="57" t="s">
        <v>286</v>
      </c>
      <c r="F110" s="57" t="s">
        <v>570</v>
      </c>
      <c r="G110" s="57" t="s">
        <v>571</v>
      </c>
      <c r="H110" s="57" t="s">
        <v>572</v>
      </c>
      <c r="I110" s="57" t="n">
        <v>0.516</v>
      </c>
      <c r="J110" s="57" t="n">
        <v>0.517</v>
      </c>
      <c r="K110" s="57" t="n">
        <v>18</v>
      </c>
      <c r="L110" s="57" t="s">
        <v>573</v>
      </c>
      <c r="M110" s="57"/>
      <c r="N110" s="57"/>
      <c r="O110" s="57"/>
      <c r="P110" s="57"/>
      <c r="Q110" s="57" t="s">
        <v>586</v>
      </c>
      <c r="R110" s="57" t="n">
        <v>0</v>
      </c>
      <c r="S110" s="57" t="n">
        <v>0</v>
      </c>
      <c r="T110" s="57" t="n">
        <v>0</v>
      </c>
      <c r="U110" s="57" t="n">
        <v>0</v>
      </c>
      <c r="V110" s="57" t="n">
        <v>0</v>
      </c>
      <c r="W110" s="57" t="n">
        <v>0</v>
      </c>
      <c r="X110" s="57" t="n">
        <v>0</v>
      </c>
      <c r="Y110" s="57" t="n">
        <v>18</v>
      </c>
      <c r="Z110" s="57" t="n">
        <v>18</v>
      </c>
      <c r="AA110" s="57" t="n">
        <v>18</v>
      </c>
      <c r="AB110" s="57" t="n">
        <v>0</v>
      </c>
      <c r="AC110" s="57" t="n">
        <v>0</v>
      </c>
      <c r="AD110" s="57" t="n">
        <v>0</v>
      </c>
      <c r="AE110" s="57" t="n">
        <v>0</v>
      </c>
      <c r="AF110" s="57" t="n">
        <v>0</v>
      </c>
      <c r="AG110" s="57" t="n">
        <v>0</v>
      </c>
      <c r="AH110" s="57" t="s">
        <v>240</v>
      </c>
      <c r="AI110" s="57"/>
      <c r="AJ110" s="57" t="n">
        <v>0</v>
      </c>
      <c r="AK110" s="57" t="s">
        <v>286</v>
      </c>
      <c r="AL110" s="57" t="s">
        <v>347</v>
      </c>
      <c r="AM110" s="57" t="n">
        <v>1</v>
      </c>
      <c r="AN110" s="57" t="s">
        <v>575</v>
      </c>
      <c r="AO110" s="57" t="str">
        <f aca="false">IF(C110="County",IF(AL110="Rest of county","Remainder of County","Settlements"),IF(D110="City Centre","City Centre","Rest of City"))</f>
        <v>Rest of City</v>
      </c>
      <c r="AP110" s="57" t="str">
        <f aca="false">IF(LEFT(B110,13)="Council audit","Audit",IF(LEFT(B110,8)="Planning","Consent","Zoned"))</f>
        <v>Audit</v>
      </c>
      <c r="AQ110" s="57" t="n">
        <f aca="false">IF(N(K110)&gt;0,I110*Y110/K110,0)</f>
        <v>0.516</v>
      </c>
    </row>
    <row r="111" customFormat="false" ht="15" hidden="false" customHeight="false" outlineLevel="0" collapsed="false">
      <c r="A111" s="57" t="s">
        <v>703</v>
      </c>
      <c r="B111" s="57" t="s">
        <v>215</v>
      </c>
      <c r="C111" s="57" t="s">
        <v>216</v>
      </c>
      <c r="D111" s="57" t="s">
        <v>286</v>
      </c>
      <c r="E111" s="57" t="s">
        <v>286</v>
      </c>
      <c r="F111" s="57" t="s">
        <v>570</v>
      </c>
      <c r="G111" s="57" t="s">
        <v>585</v>
      </c>
      <c r="H111" s="57" t="s">
        <v>572</v>
      </c>
      <c r="I111" s="57" t="n">
        <v>4.121</v>
      </c>
      <c r="J111" s="57" t="n">
        <v>4.12</v>
      </c>
      <c r="K111" s="57" t="n">
        <v>144</v>
      </c>
      <c r="L111" s="57" t="s">
        <v>573</v>
      </c>
      <c r="M111" s="57"/>
      <c r="N111" s="57"/>
      <c r="O111" s="57"/>
      <c r="P111" s="57"/>
      <c r="Q111" s="57" t="s">
        <v>586</v>
      </c>
      <c r="R111" s="57" t="n">
        <v>0</v>
      </c>
      <c r="S111" s="57" t="n">
        <v>0</v>
      </c>
      <c r="T111" s="57" t="n">
        <v>0</v>
      </c>
      <c r="U111" s="57" t="n">
        <v>0</v>
      </c>
      <c r="V111" s="57" t="n">
        <v>0</v>
      </c>
      <c r="W111" s="57" t="n">
        <v>0</v>
      </c>
      <c r="X111" s="57" t="n">
        <v>0</v>
      </c>
      <c r="Y111" s="57" t="n">
        <v>144</v>
      </c>
      <c r="Z111" s="57" t="n">
        <v>144</v>
      </c>
      <c r="AA111" s="57" t="n">
        <v>144</v>
      </c>
      <c r="AB111" s="57" t="n">
        <v>0</v>
      </c>
      <c r="AC111" s="57" t="n">
        <v>0</v>
      </c>
      <c r="AD111" s="57" t="n">
        <v>0</v>
      </c>
      <c r="AE111" s="57" t="n">
        <v>0</v>
      </c>
      <c r="AF111" s="57" t="n">
        <v>0</v>
      </c>
      <c r="AG111" s="57" t="n">
        <v>0</v>
      </c>
      <c r="AH111" s="57" t="s">
        <v>240</v>
      </c>
      <c r="AI111" s="57"/>
      <c r="AJ111" s="57" t="n">
        <v>0</v>
      </c>
      <c r="AK111" s="57" t="s">
        <v>286</v>
      </c>
      <c r="AL111" s="57" t="s">
        <v>347</v>
      </c>
      <c r="AM111" s="57" t="n">
        <v>1</v>
      </c>
      <c r="AN111" s="57" t="s">
        <v>575</v>
      </c>
      <c r="AO111" s="57" t="str">
        <f aca="false">IF(C111="County",IF(AL111="Rest of county","Remainder of County","Settlements"),IF(D111="City Centre","City Centre","Rest of City"))</f>
        <v>Rest of City</v>
      </c>
      <c r="AP111" s="57" t="str">
        <f aca="false">IF(LEFT(B111,13)="Council audit","Audit",IF(LEFT(B111,8)="Planning","Consent","Zoned"))</f>
        <v>Audit</v>
      </c>
      <c r="AQ111" s="57" t="n">
        <f aca="false">IF(N(K111)&gt;0,I111*Y111/K111,0)</f>
        <v>4.121</v>
      </c>
    </row>
    <row r="112" customFormat="false" ht="15" hidden="false" customHeight="false" outlineLevel="0" collapsed="false">
      <c r="A112" s="57" t="s">
        <v>704</v>
      </c>
      <c r="B112" s="57" t="s">
        <v>215</v>
      </c>
      <c r="C112" s="57" t="s">
        <v>216</v>
      </c>
      <c r="D112" s="57" t="s">
        <v>286</v>
      </c>
      <c r="E112" s="57" t="s">
        <v>286</v>
      </c>
      <c r="F112" s="57" t="s">
        <v>570</v>
      </c>
      <c r="G112" s="57" t="s">
        <v>585</v>
      </c>
      <c r="H112" s="57" t="s">
        <v>572</v>
      </c>
      <c r="I112" s="57" t="n">
        <v>4.38</v>
      </c>
      <c r="J112" s="57" t="n">
        <v>4.441</v>
      </c>
      <c r="K112" s="57" t="n">
        <v>153</v>
      </c>
      <c r="L112" s="57" t="s">
        <v>573</v>
      </c>
      <c r="M112" s="57"/>
      <c r="N112" s="57"/>
      <c r="O112" s="57"/>
      <c r="P112" s="57"/>
      <c r="Q112" s="57" t="s">
        <v>574</v>
      </c>
      <c r="R112" s="57" t="n">
        <v>0</v>
      </c>
      <c r="S112" s="57" t="n">
        <v>0</v>
      </c>
      <c r="T112" s="57" t="n">
        <v>139</v>
      </c>
      <c r="U112" s="57" t="n">
        <v>0</v>
      </c>
      <c r="V112" s="57" t="n">
        <v>0</v>
      </c>
      <c r="W112" s="57" t="n">
        <v>0</v>
      </c>
      <c r="X112" s="57" t="n">
        <v>139</v>
      </c>
      <c r="Y112" s="57" t="n">
        <v>14</v>
      </c>
      <c r="Z112" s="57" t="n">
        <v>153</v>
      </c>
      <c r="AA112" s="57" t="n">
        <v>153</v>
      </c>
      <c r="AB112" s="57" t="n">
        <v>0</v>
      </c>
      <c r="AC112" s="57" t="n">
        <v>0</v>
      </c>
      <c r="AD112" s="57" t="n">
        <v>43.2</v>
      </c>
      <c r="AE112" s="57" t="n">
        <v>78.7</v>
      </c>
      <c r="AF112" s="57" t="n">
        <v>17</v>
      </c>
      <c r="AG112" s="57" t="n">
        <v>0.1</v>
      </c>
      <c r="AH112" s="57" t="s">
        <v>239</v>
      </c>
      <c r="AI112" s="57"/>
      <c r="AJ112" s="57" t="n">
        <v>0</v>
      </c>
      <c r="AK112" s="57" t="s">
        <v>286</v>
      </c>
      <c r="AL112" s="57" t="s">
        <v>347</v>
      </c>
      <c r="AM112" s="57" t="n">
        <v>1</v>
      </c>
      <c r="AN112" s="57" t="s">
        <v>575</v>
      </c>
      <c r="AO112" s="57" t="str">
        <f aca="false">IF(C112="County",IF(AL112="Rest of county","Remainder of County","Settlements"),IF(D112="City Centre","City Centre","Rest of City"))</f>
        <v>Rest of City</v>
      </c>
      <c r="AP112" s="57" t="str">
        <f aca="false">IF(LEFT(B112,13)="Council audit","Audit",IF(LEFT(B112,8)="Planning","Consent","Zoned"))</f>
        <v>Audit</v>
      </c>
      <c r="AQ112" s="57" t="n">
        <f aca="false">IF(N(K112)&gt;0,I112*Y112/K112,0)</f>
        <v>0.40078431372549</v>
      </c>
    </row>
    <row r="113" customFormat="false" ht="15" hidden="false" customHeight="false" outlineLevel="0" collapsed="false">
      <c r="A113" s="57" t="s">
        <v>325</v>
      </c>
      <c r="B113" s="57" t="s">
        <v>215</v>
      </c>
      <c r="C113" s="57" t="s">
        <v>216</v>
      </c>
      <c r="D113" s="57" t="s">
        <v>286</v>
      </c>
      <c r="E113" s="57" t="s">
        <v>286</v>
      </c>
      <c r="F113" s="57" t="s">
        <v>570</v>
      </c>
      <c r="G113" s="57" t="s">
        <v>571</v>
      </c>
      <c r="H113" s="57" t="s">
        <v>572</v>
      </c>
      <c r="I113" s="57" t="n">
        <v>31.95</v>
      </c>
      <c r="J113" s="57" t="n">
        <v>32.358</v>
      </c>
      <c r="K113" s="57" t="n">
        <v>1747</v>
      </c>
      <c r="L113" s="57" t="s">
        <v>573</v>
      </c>
      <c r="M113" s="57"/>
      <c r="N113" s="57"/>
      <c r="O113" s="57"/>
      <c r="P113" s="57"/>
      <c r="Q113" s="57" t="s">
        <v>586</v>
      </c>
      <c r="R113" s="57" t="n">
        <v>0</v>
      </c>
      <c r="S113" s="57" t="n">
        <v>0</v>
      </c>
      <c r="T113" s="57" t="n">
        <v>351</v>
      </c>
      <c r="U113" s="57" t="n">
        <v>0</v>
      </c>
      <c r="V113" s="57" t="n">
        <v>0</v>
      </c>
      <c r="W113" s="57" t="n">
        <v>0</v>
      </c>
      <c r="X113" s="57" t="n">
        <v>351</v>
      </c>
      <c r="Y113" s="57" t="n">
        <v>1396</v>
      </c>
      <c r="Z113" s="57" t="n">
        <v>1747</v>
      </c>
      <c r="AA113" s="57" t="n">
        <v>1747</v>
      </c>
      <c r="AB113" s="57" t="n">
        <v>0</v>
      </c>
      <c r="AC113" s="57" t="n">
        <v>0</v>
      </c>
      <c r="AD113" s="57" t="n">
        <v>0</v>
      </c>
      <c r="AE113" s="57" t="n">
        <v>90.1</v>
      </c>
      <c r="AF113" s="57" t="n">
        <v>140.9</v>
      </c>
      <c r="AG113" s="57" t="n">
        <v>120</v>
      </c>
      <c r="AH113" s="57" t="s">
        <v>239</v>
      </c>
      <c r="AI113" s="57"/>
      <c r="AJ113" s="57" t="n">
        <v>0</v>
      </c>
      <c r="AK113" s="57" t="s">
        <v>286</v>
      </c>
      <c r="AL113" s="57" t="s">
        <v>347</v>
      </c>
      <c r="AM113" s="57" t="n">
        <v>1</v>
      </c>
      <c r="AN113" s="57" t="s">
        <v>575</v>
      </c>
      <c r="AO113" s="57" t="str">
        <f aca="false">IF(C113="County",IF(AL113="Rest of county","Remainder of County","Settlements"),IF(D113="City Centre","City Centre","Rest of City"))</f>
        <v>Rest of City</v>
      </c>
      <c r="AP113" s="57" t="str">
        <f aca="false">IF(LEFT(B113,13)="Council audit","Audit",IF(LEFT(B113,8)="Planning","Consent","Zoned"))</f>
        <v>Audit</v>
      </c>
      <c r="AQ113" s="57" t="n">
        <f aca="false">IF(N(K113)&gt;0,I113*Y113/K113,0)</f>
        <v>25.5307384087006</v>
      </c>
    </row>
    <row r="114" customFormat="false" ht="15" hidden="false" customHeight="false" outlineLevel="0" collapsed="false">
      <c r="A114" s="57" t="s">
        <v>705</v>
      </c>
      <c r="B114" s="57" t="s">
        <v>215</v>
      </c>
      <c r="C114" s="57" t="s">
        <v>216</v>
      </c>
      <c r="D114" s="57" t="s">
        <v>286</v>
      </c>
      <c r="E114" s="57" t="s">
        <v>286</v>
      </c>
      <c r="F114" s="57" t="s">
        <v>570</v>
      </c>
      <c r="G114" s="57" t="s">
        <v>571</v>
      </c>
      <c r="H114" s="57" t="s">
        <v>572</v>
      </c>
      <c r="I114" s="57" t="n">
        <v>1.326</v>
      </c>
      <c r="J114" s="57" t="n">
        <v>1.326</v>
      </c>
      <c r="K114" s="57" t="n">
        <v>46</v>
      </c>
      <c r="L114" s="57" t="s">
        <v>573</v>
      </c>
      <c r="M114" s="57"/>
      <c r="N114" s="57"/>
      <c r="O114" s="57"/>
      <c r="P114" s="57"/>
      <c r="Q114" s="57" t="s">
        <v>586</v>
      </c>
      <c r="R114" s="57" t="n">
        <v>0</v>
      </c>
      <c r="S114" s="57" t="n">
        <v>0</v>
      </c>
      <c r="T114" s="57" t="n">
        <v>0</v>
      </c>
      <c r="U114" s="57" t="n">
        <v>0</v>
      </c>
      <c r="V114" s="57" t="n">
        <v>0</v>
      </c>
      <c r="W114" s="57" t="n">
        <v>0</v>
      </c>
      <c r="X114" s="57" t="n">
        <v>0</v>
      </c>
      <c r="Y114" s="57" t="n">
        <v>46</v>
      </c>
      <c r="Z114" s="57" t="n">
        <v>46</v>
      </c>
      <c r="AA114" s="57" t="n">
        <v>46</v>
      </c>
      <c r="AB114" s="57" t="n">
        <v>0</v>
      </c>
      <c r="AC114" s="57" t="n">
        <v>0</v>
      </c>
      <c r="AD114" s="57" t="n">
        <v>0</v>
      </c>
      <c r="AE114" s="57" t="n">
        <v>0</v>
      </c>
      <c r="AF114" s="57" t="n">
        <v>0</v>
      </c>
      <c r="AG114" s="57" t="n">
        <v>0</v>
      </c>
      <c r="AH114" s="57" t="s">
        <v>240</v>
      </c>
      <c r="AI114" s="57"/>
      <c r="AJ114" s="57" t="n">
        <v>0</v>
      </c>
      <c r="AK114" s="57" t="s">
        <v>286</v>
      </c>
      <c r="AL114" s="57" t="s">
        <v>347</v>
      </c>
      <c r="AM114" s="57" t="n">
        <v>1</v>
      </c>
      <c r="AN114" s="57" t="s">
        <v>575</v>
      </c>
      <c r="AO114" s="57" t="str">
        <f aca="false">IF(C114="County",IF(AL114="Rest of county","Remainder of County","Settlements"),IF(D114="City Centre","City Centre","Rest of City"))</f>
        <v>Rest of City</v>
      </c>
      <c r="AP114" s="57" t="str">
        <f aca="false">IF(LEFT(B114,13)="Council audit","Audit",IF(LEFT(B114,8)="Planning","Consent","Zoned"))</f>
        <v>Audit</v>
      </c>
      <c r="AQ114" s="57" t="n">
        <f aca="false">IF(N(K114)&gt;0,I114*Y114/K114,0)</f>
        <v>1.326</v>
      </c>
    </row>
    <row r="115" customFormat="false" ht="15" hidden="false" customHeight="false" outlineLevel="0" collapsed="false">
      <c r="A115" s="57" t="s">
        <v>706</v>
      </c>
      <c r="B115" s="57" t="s">
        <v>215</v>
      </c>
      <c r="C115" s="57" t="s">
        <v>216</v>
      </c>
      <c r="D115" s="57" t="s">
        <v>286</v>
      </c>
      <c r="E115" s="57" t="s">
        <v>286</v>
      </c>
      <c r="F115" s="57" t="s">
        <v>570</v>
      </c>
      <c r="G115" s="57" t="s">
        <v>571</v>
      </c>
      <c r="H115" s="57" t="s">
        <v>572</v>
      </c>
      <c r="I115" s="57" t="n">
        <v>0.632</v>
      </c>
      <c r="J115" s="57" t="n">
        <v>0.632</v>
      </c>
      <c r="K115" s="57" t="n">
        <v>22</v>
      </c>
      <c r="L115" s="57" t="s">
        <v>573</v>
      </c>
      <c r="M115" s="57"/>
      <c r="N115" s="57"/>
      <c r="O115" s="57"/>
      <c r="P115" s="57"/>
      <c r="Q115" s="57" t="s">
        <v>586</v>
      </c>
      <c r="R115" s="57" t="n">
        <v>0</v>
      </c>
      <c r="S115" s="57" t="n">
        <v>0</v>
      </c>
      <c r="T115" s="57" t="n">
        <v>0</v>
      </c>
      <c r="U115" s="57" t="n">
        <v>0</v>
      </c>
      <c r="V115" s="57" t="n">
        <v>0</v>
      </c>
      <c r="W115" s="57" t="n">
        <v>0</v>
      </c>
      <c r="X115" s="57" t="n">
        <v>0</v>
      </c>
      <c r="Y115" s="57" t="n">
        <v>22</v>
      </c>
      <c r="Z115" s="57" t="n">
        <v>22</v>
      </c>
      <c r="AA115" s="57" t="n">
        <v>22</v>
      </c>
      <c r="AB115" s="57" t="n">
        <v>0</v>
      </c>
      <c r="AC115" s="57" t="n">
        <v>0</v>
      </c>
      <c r="AD115" s="57" t="n">
        <v>0</v>
      </c>
      <c r="AE115" s="57" t="n">
        <v>0</v>
      </c>
      <c r="AF115" s="57" t="n">
        <v>0</v>
      </c>
      <c r="AG115" s="57" t="n">
        <v>0</v>
      </c>
      <c r="AH115" s="57" t="s">
        <v>240</v>
      </c>
      <c r="AI115" s="57"/>
      <c r="AJ115" s="57" t="n">
        <v>0</v>
      </c>
      <c r="AK115" s="57" t="s">
        <v>286</v>
      </c>
      <c r="AL115" s="57" t="s">
        <v>347</v>
      </c>
      <c r="AM115" s="57" t="n">
        <v>1</v>
      </c>
      <c r="AN115" s="57" t="s">
        <v>575</v>
      </c>
      <c r="AO115" s="57" t="str">
        <f aca="false">IF(C115="County",IF(AL115="Rest of county","Remainder of County","Settlements"),IF(D115="City Centre","City Centre","Rest of City"))</f>
        <v>Rest of City</v>
      </c>
      <c r="AP115" s="57" t="str">
        <f aca="false">IF(LEFT(B115,13)="Council audit","Audit",IF(LEFT(B115,8)="Planning","Consent","Zoned"))</f>
        <v>Audit</v>
      </c>
      <c r="AQ115" s="57" t="n">
        <f aca="false">IF(N(K115)&gt;0,I115*Y115/K115,0)</f>
        <v>0.632</v>
      </c>
    </row>
    <row r="116" customFormat="false" ht="15" hidden="false" customHeight="false" outlineLevel="0" collapsed="false">
      <c r="A116" s="57" t="s">
        <v>707</v>
      </c>
      <c r="B116" s="57" t="s">
        <v>215</v>
      </c>
      <c r="C116" s="57" t="s">
        <v>216</v>
      </c>
      <c r="D116" s="57" t="s">
        <v>286</v>
      </c>
      <c r="E116" s="57" t="s">
        <v>286</v>
      </c>
      <c r="F116" s="57" t="s">
        <v>581</v>
      </c>
      <c r="G116" s="57" t="s">
        <v>585</v>
      </c>
      <c r="H116" s="57" t="s">
        <v>572</v>
      </c>
      <c r="I116" s="57" t="n">
        <v>0.26</v>
      </c>
      <c r="J116" s="57" t="n">
        <v>1.038</v>
      </c>
      <c r="K116" s="57" t="n">
        <v>9</v>
      </c>
      <c r="L116" s="57" t="s">
        <v>573</v>
      </c>
      <c r="M116" s="57"/>
      <c r="N116" s="57"/>
      <c r="O116" s="57"/>
      <c r="P116" s="57"/>
      <c r="Q116" s="57" t="s">
        <v>574</v>
      </c>
      <c r="R116" s="57" t="n">
        <v>0</v>
      </c>
      <c r="S116" s="57" t="n">
        <v>0</v>
      </c>
      <c r="T116" s="57" t="n">
        <v>0</v>
      </c>
      <c r="U116" s="57" t="n">
        <v>0</v>
      </c>
      <c r="V116" s="57" t="n">
        <v>0</v>
      </c>
      <c r="W116" s="57" t="n">
        <v>0</v>
      </c>
      <c r="X116" s="57" t="n">
        <v>0</v>
      </c>
      <c r="Y116" s="57" t="n">
        <v>9</v>
      </c>
      <c r="Z116" s="57" t="n">
        <v>9</v>
      </c>
      <c r="AA116" s="57" t="n">
        <v>9</v>
      </c>
      <c r="AB116" s="57" t="n">
        <v>0</v>
      </c>
      <c r="AC116" s="57" t="n">
        <v>0</v>
      </c>
      <c r="AD116" s="57" t="n">
        <v>0</v>
      </c>
      <c r="AE116" s="57" t="n">
        <v>0</v>
      </c>
      <c r="AF116" s="57" t="n">
        <v>0</v>
      </c>
      <c r="AG116" s="57" t="n">
        <v>0</v>
      </c>
      <c r="AH116" s="57" t="s">
        <v>240</v>
      </c>
      <c r="AI116" s="57"/>
      <c r="AJ116" s="57" t="n">
        <v>0</v>
      </c>
      <c r="AK116" s="57" t="s">
        <v>286</v>
      </c>
      <c r="AL116" s="57" t="s">
        <v>347</v>
      </c>
      <c r="AM116" s="57" t="n">
        <v>1</v>
      </c>
      <c r="AN116" s="57" t="s">
        <v>575</v>
      </c>
      <c r="AO116" s="57" t="str">
        <f aca="false">IF(C116="County",IF(AL116="Rest of county","Remainder of County","Settlements"),IF(D116="City Centre","City Centre","Rest of City"))</f>
        <v>Rest of City</v>
      </c>
      <c r="AP116" s="57" t="str">
        <f aca="false">IF(LEFT(B116,13)="Council audit","Audit",IF(LEFT(B116,8)="Planning","Consent","Zoned"))</f>
        <v>Audit</v>
      </c>
      <c r="AQ116" s="57" t="n">
        <f aca="false">IF(N(K116)&gt;0,I116*Y116/K116,0)</f>
        <v>0.26</v>
      </c>
    </row>
    <row r="117" customFormat="false" ht="15" hidden="false" customHeight="false" outlineLevel="0" collapsed="false">
      <c r="A117" s="57" t="s">
        <v>708</v>
      </c>
      <c r="B117" s="57" t="s">
        <v>215</v>
      </c>
      <c r="C117" s="57" t="s">
        <v>216</v>
      </c>
      <c r="D117" s="57" t="s">
        <v>286</v>
      </c>
      <c r="E117" s="57" t="s">
        <v>286</v>
      </c>
      <c r="F117" s="57" t="s">
        <v>570</v>
      </c>
      <c r="G117" s="57" t="s">
        <v>571</v>
      </c>
      <c r="H117" s="57" t="s">
        <v>572</v>
      </c>
      <c r="I117" s="57" t="n">
        <v>5.065</v>
      </c>
      <c r="J117" s="57" t="n">
        <v>5.063</v>
      </c>
      <c r="K117" s="57" t="n">
        <v>253</v>
      </c>
      <c r="L117" s="57" t="s">
        <v>573</v>
      </c>
      <c r="M117" s="57"/>
      <c r="N117" s="57"/>
      <c r="O117" s="57"/>
      <c r="P117" s="57"/>
      <c r="Q117" s="57" t="s">
        <v>574</v>
      </c>
      <c r="R117" s="57" t="n">
        <v>0</v>
      </c>
      <c r="S117" s="57" t="n">
        <v>0</v>
      </c>
      <c r="T117" s="57" t="n">
        <v>0</v>
      </c>
      <c r="U117" s="57" t="n">
        <v>0</v>
      </c>
      <c r="V117" s="57" t="n">
        <v>0</v>
      </c>
      <c r="W117" s="57" t="n">
        <v>0</v>
      </c>
      <c r="X117" s="57" t="n">
        <v>0</v>
      </c>
      <c r="Y117" s="57" t="n">
        <v>253</v>
      </c>
      <c r="Z117" s="57" t="n">
        <v>253</v>
      </c>
      <c r="AA117" s="57" t="n">
        <v>253</v>
      </c>
      <c r="AB117" s="57" t="n">
        <v>0</v>
      </c>
      <c r="AC117" s="57" t="n">
        <v>0</v>
      </c>
      <c r="AD117" s="57" t="n">
        <v>0</v>
      </c>
      <c r="AE117" s="57" t="n">
        <v>0</v>
      </c>
      <c r="AF117" s="57" t="n">
        <v>0</v>
      </c>
      <c r="AG117" s="57" t="n">
        <v>0</v>
      </c>
      <c r="AH117" s="57" t="s">
        <v>240</v>
      </c>
      <c r="AI117" s="57"/>
      <c r="AJ117" s="57" t="n">
        <v>0</v>
      </c>
      <c r="AK117" s="57" t="s">
        <v>286</v>
      </c>
      <c r="AL117" s="57" t="s">
        <v>347</v>
      </c>
      <c r="AM117" s="57" t="n">
        <v>1</v>
      </c>
      <c r="AN117" s="57" t="s">
        <v>575</v>
      </c>
      <c r="AO117" s="57" t="str">
        <f aca="false">IF(C117="County",IF(AL117="Rest of county","Remainder of County","Settlements"),IF(D117="City Centre","City Centre","Rest of City"))</f>
        <v>Rest of City</v>
      </c>
      <c r="AP117" s="57" t="str">
        <f aca="false">IF(LEFT(B117,13)="Council audit","Audit",IF(LEFT(B117,8)="Planning","Consent","Zoned"))</f>
        <v>Audit</v>
      </c>
      <c r="AQ117" s="57" t="n">
        <f aca="false">IF(N(K117)&gt;0,I117*Y117/K117,0)</f>
        <v>5.065</v>
      </c>
    </row>
    <row r="118" customFormat="false" ht="15" hidden="false" customHeight="false" outlineLevel="0" collapsed="false">
      <c r="A118" s="57" t="s">
        <v>709</v>
      </c>
      <c r="B118" s="57" t="s">
        <v>215</v>
      </c>
      <c r="C118" s="57" t="s">
        <v>216</v>
      </c>
      <c r="D118" s="57" t="s">
        <v>286</v>
      </c>
      <c r="E118" s="57" t="s">
        <v>286</v>
      </c>
      <c r="F118" s="57" t="s">
        <v>584</v>
      </c>
      <c r="G118" s="57" t="s">
        <v>585</v>
      </c>
      <c r="H118" s="57" t="s">
        <v>572</v>
      </c>
      <c r="I118" s="57" t="n">
        <v>0.939</v>
      </c>
      <c r="J118" s="57" t="n">
        <v>0.939</v>
      </c>
      <c r="K118" s="57" t="n">
        <v>33</v>
      </c>
      <c r="L118" s="57" t="s">
        <v>573</v>
      </c>
      <c r="M118" s="57"/>
      <c r="N118" s="57"/>
      <c r="O118" s="57"/>
      <c r="P118" s="57"/>
      <c r="Q118" s="57" t="s">
        <v>574</v>
      </c>
      <c r="R118" s="57" t="n">
        <v>0</v>
      </c>
      <c r="S118" s="57" t="n">
        <v>250</v>
      </c>
      <c r="T118" s="57" t="n">
        <v>0</v>
      </c>
      <c r="U118" s="57" t="n">
        <v>0</v>
      </c>
      <c r="V118" s="57" t="n">
        <v>0</v>
      </c>
      <c r="W118" s="57" t="n">
        <v>0</v>
      </c>
      <c r="X118" s="57" t="n">
        <v>250</v>
      </c>
      <c r="Y118" s="57" t="n">
        <v>0</v>
      </c>
      <c r="Z118" s="57" t="n">
        <v>250</v>
      </c>
      <c r="AA118" s="57" t="n">
        <v>250</v>
      </c>
      <c r="AB118" s="57" t="n">
        <v>0</v>
      </c>
      <c r="AC118" s="57" t="n">
        <v>26.9</v>
      </c>
      <c r="AD118" s="57" t="n">
        <v>62.9</v>
      </c>
      <c r="AE118" s="57" t="n">
        <v>62.9</v>
      </c>
      <c r="AF118" s="57" t="n">
        <v>62.9</v>
      </c>
      <c r="AG118" s="57" t="n">
        <v>34.4</v>
      </c>
      <c r="AH118" s="57" t="s">
        <v>239</v>
      </c>
      <c r="AI118" s="57" t="s">
        <v>591</v>
      </c>
      <c r="AJ118" s="57" t="n">
        <v>0</v>
      </c>
      <c r="AK118" s="57" t="s">
        <v>286</v>
      </c>
      <c r="AL118" s="57" t="s">
        <v>347</v>
      </c>
      <c r="AM118" s="57" t="n">
        <v>1</v>
      </c>
      <c r="AN118" s="57" t="s">
        <v>575</v>
      </c>
      <c r="AO118" s="57" t="str">
        <f aca="false">IF(C118="County",IF(AL118="Rest of county","Remainder of County","Settlements"),IF(D118="City Centre","City Centre","Rest of City"))</f>
        <v>Rest of City</v>
      </c>
      <c r="AP118" s="57" t="str">
        <f aca="false">IF(LEFT(B118,13)="Council audit","Audit",IF(LEFT(B118,8)="Planning","Consent","Zoned"))</f>
        <v>Audit</v>
      </c>
      <c r="AQ118" s="57" t="n">
        <f aca="false">IF(N(K118)&gt;0,I118*Y118/K118,0)</f>
        <v>0</v>
      </c>
    </row>
    <row r="119" customFormat="false" ht="15" hidden="false" customHeight="false" outlineLevel="0" collapsed="false">
      <c r="A119" s="57" t="s">
        <v>329</v>
      </c>
      <c r="B119" s="57" t="s">
        <v>215</v>
      </c>
      <c r="C119" s="57" t="s">
        <v>216</v>
      </c>
      <c r="D119" s="57" t="s">
        <v>286</v>
      </c>
      <c r="E119" s="57" t="s">
        <v>286</v>
      </c>
      <c r="F119" s="57" t="s">
        <v>570</v>
      </c>
      <c r="G119" s="57" t="s">
        <v>571</v>
      </c>
      <c r="H119" s="57" t="s">
        <v>710</v>
      </c>
      <c r="I119" s="57" t="n">
        <v>10.98</v>
      </c>
      <c r="J119" s="57" t="n">
        <v>11.051</v>
      </c>
      <c r="K119" s="57" t="n">
        <v>462</v>
      </c>
      <c r="L119" s="57" t="s">
        <v>573</v>
      </c>
      <c r="M119" s="57"/>
      <c r="N119" s="57"/>
      <c r="O119" s="57"/>
      <c r="P119" s="57"/>
      <c r="Q119" s="57" t="s">
        <v>594</v>
      </c>
      <c r="R119" s="57" t="n">
        <v>0</v>
      </c>
      <c r="S119" s="57" t="n">
        <v>0</v>
      </c>
      <c r="T119" s="57" t="n">
        <v>0</v>
      </c>
      <c r="U119" s="57" t="n">
        <v>0</v>
      </c>
      <c r="V119" s="57" t="n">
        <v>0</v>
      </c>
      <c r="W119" s="57" t="n">
        <v>0</v>
      </c>
      <c r="X119" s="57" t="n">
        <v>0</v>
      </c>
      <c r="Y119" s="57" t="n">
        <v>462</v>
      </c>
      <c r="Z119" s="57" t="n">
        <v>462</v>
      </c>
      <c r="AA119" s="57" t="n">
        <v>462</v>
      </c>
      <c r="AB119" s="57" t="n">
        <v>0</v>
      </c>
      <c r="AC119" s="57" t="n">
        <v>0</v>
      </c>
      <c r="AD119" s="57" t="n">
        <v>0</v>
      </c>
      <c r="AE119" s="57" t="n">
        <v>0</v>
      </c>
      <c r="AF119" s="57" t="n">
        <v>0</v>
      </c>
      <c r="AG119" s="57" t="n">
        <v>0</v>
      </c>
      <c r="AH119" s="57" t="s">
        <v>240</v>
      </c>
      <c r="AI119" s="57"/>
      <c r="AJ119" s="57" t="n">
        <v>0</v>
      </c>
      <c r="AK119" s="57" t="s">
        <v>286</v>
      </c>
      <c r="AL119" s="57" t="s">
        <v>347</v>
      </c>
      <c r="AM119" s="57" t="n">
        <v>1</v>
      </c>
      <c r="AN119" s="57" t="s">
        <v>575</v>
      </c>
      <c r="AO119" s="57" t="str">
        <f aca="false">IF(C119="County",IF(AL119="Rest of county","Remainder of County","Settlements"),IF(D119="City Centre","City Centre","Rest of City"))</f>
        <v>Rest of City</v>
      </c>
      <c r="AP119" s="57" t="str">
        <f aca="false">IF(LEFT(B119,13)="Council audit","Audit",IF(LEFT(B119,8)="Planning","Consent","Zoned"))</f>
        <v>Audit</v>
      </c>
      <c r="AQ119" s="57" t="n">
        <f aca="false">IF(N(K119)&gt;0,I119*Y119/K119,0)</f>
        <v>10.98</v>
      </c>
    </row>
    <row r="120" customFormat="false" ht="15" hidden="false" customHeight="false" outlineLevel="0" collapsed="false">
      <c r="A120" s="57" t="s">
        <v>711</v>
      </c>
      <c r="B120" s="57" t="s">
        <v>215</v>
      </c>
      <c r="C120" s="57" t="s">
        <v>216</v>
      </c>
      <c r="D120" s="57" t="s">
        <v>286</v>
      </c>
      <c r="E120" s="57" t="s">
        <v>286</v>
      </c>
      <c r="F120" s="57" t="s">
        <v>570</v>
      </c>
      <c r="G120" s="57" t="s">
        <v>571</v>
      </c>
      <c r="H120" s="57" t="s">
        <v>712</v>
      </c>
      <c r="I120" s="57" t="n">
        <v>4.12</v>
      </c>
      <c r="J120" s="57" t="n">
        <v>4.119</v>
      </c>
      <c r="K120" s="57" t="n">
        <v>152</v>
      </c>
      <c r="L120" s="57" t="s">
        <v>573</v>
      </c>
      <c r="M120" s="57"/>
      <c r="N120" s="57"/>
      <c r="O120" s="57"/>
      <c r="P120" s="57"/>
      <c r="Q120" s="57" t="s">
        <v>586</v>
      </c>
      <c r="R120" s="57" t="n">
        <v>0</v>
      </c>
      <c r="S120" s="57" t="n">
        <v>0</v>
      </c>
      <c r="T120" s="57" t="n">
        <v>0</v>
      </c>
      <c r="U120" s="57" t="n">
        <v>0</v>
      </c>
      <c r="V120" s="57" t="n">
        <v>0</v>
      </c>
      <c r="W120" s="57" t="n">
        <v>0</v>
      </c>
      <c r="X120" s="57" t="n">
        <v>0</v>
      </c>
      <c r="Y120" s="57" t="n">
        <v>152</v>
      </c>
      <c r="Z120" s="57" t="n">
        <v>152</v>
      </c>
      <c r="AA120" s="57" t="n">
        <v>152</v>
      </c>
      <c r="AB120" s="57" t="n">
        <v>0</v>
      </c>
      <c r="AC120" s="57" t="n">
        <v>0</v>
      </c>
      <c r="AD120" s="57" t="n">
        <v>0</v>
      </c>
      <c r="AE120" s="57" t="n">
        <v>0</v>
      </c>
      <c r="AF120" s="57" t="n">
        <v>0</v>
      </c>
      <c r="AG120" s="57" t="n">
        <v>0</v>
      </c>
      <c r="AH120" s="57" t="s">
        <v>240</v>
      </c>
      <c r="AI120" s="57"/>
      <c r="AJ120" s="57" t="n">
        <v>0</v>
      </c>
      <c r="AK120" s="57" t="s">
        <v>286</v>
      </c>
      <c r="AL120" s="57" t="s">
        <v>347</v>
      </c>
      <c r="AM120" s="57" t="n">
        <v>1</v>
      </c>
      <c r="AN120" s="57" t="s">
        <v>575</v>
      </c>
      <c r="AO120" s="57" t="str">
        <f aca="false">IF(C120="County",IF(AL120="Rest of county","Remainder of County","Settlements"),IF(D120="City Centre","City Centre","Rest of City"))</f>
        <v>Rest of City</v>
      </c>
      <c r="AP120" s="57" t="str">
        <f aca="false">IF(LEFT(B120,13)="Council audit","Audit",IF(LEFT(B120,8)="Planning","Consent","Zoned"))</f>
        <v>Audit</v>
      </c>
      <c r="AQ120" s="57" t="n">
        <f aca="false">IF(N(K120)&gt;0,I120*Y120/K120,0)</f>
        <v>4.12</v>
      </c>
    </row>
    <row r="121" customFormat="false" ht="15" hidden="false" customHeight="false" outlineLevel="0" collapsed="false">
      <c r="A121" s="57" t="s">
        <v>713</v>
      </c>
      <c r="B121" s="57" t="s">
        <v>215</v>
      </c>
      <c r="C121" s="57" t="s">
        <v>216</v>
      </c>
      <c r="D121" s="57" t="s">
        <v>286</v>
      </c>
      <c r="E121" s="57" t="s">
        <v>286</v>
      </c>
      <c r="F121" s="57" t="s">
        <v>570</v>
      </c>
      <c r="G121" s="57" t="s">
        <v>571</v>
      </c>
      <c r="H121" s="57" t="s">
        <v>572</v>
      </c>
      <c r="I121" s="57" t="n">
        <v>1.081</v>
      </c>
      <c r="J121" s="57" t="n">
        <v>1.161</v>
      </c>
      <c r="K121" s="57" t="n">
        <v>37</v>
      </c>
      <c r="L121" s="57" t="s">
        <v>573</v>
      </c>
      <c r="M121" s="57"/>
      <c r="N121" s="57"/>
      <c r="O121" s="57"/>
      <c r="P121" s="57"/>
      <c r="Q121" s="57" t="s">
        <v>594</v>
      </c>
      <c r="R121" s="57" t="n">
        <v>0</v>
      </c>
      <c r="S121" s="57" t="n">
        <v>0</v>
      </c>
      <c r="T121" s="57" t="n">
        <v>0</v>
      </c>
      <c r="U121" s="57" t="n">
        <v>0</v>
      </c>
      <c r="V121" s="57" t="n">
        <v>0</v>
      </c>
      <c r="W121" s="57" t="n">
        <v>0</v>
      </c>
      <c r="X121" s="57" t="n">
        <v>0</v>
      </c>
      <c r="Y121" s="57" t="n">
        <v>37</v>
      </c>
      <c r="Z121" s="57" t="n">
        <v>37</v>
      </c>
      <c r="AA121" s="57" t="n">
        <v>37</v>
      </c>
      <c r="AB121" s="57" t="n">
        <v>0</v>
      </c>
      <c r="AC121" s="57" t="n">
        <v>0</v>
      </c>
      <c r="AD121" s="57" t="n">
        <v>0</v>
      </c>
      <c r="AE121" s="57" t="n">
        <v>0</v>
      </c>
      <c r="AF121" s="57" t="n">
        <v>0</v>
      </c>
      <c r="AG121" s="57" t="n">
        <v>0</v>
      </c>
      <c r="AH121" s="57" t="s">
        <v>240</v>
      </c>
      <c r="AI121" s="57"/>
      <c r="AJ121" s="57" t="n">
        <v>0</v>
      </c>
      <c r="AK121" s="57" t="s">
        <v>286</v>
      </c>
      <c r="AL121" s="57" t="s">
        <v>347</v>
      </c>
      <c r="AM121" s="57" t="n">
        <v>1</v>
      </c>
      <c r="AN121" s="57" t="s">
        <v>575</v>
      </c>
      <c r="AO121" s="57" t="str">
        <f aca="false">IF(C121="County",IF(AL121="Rest of county","Remainder of County","Settlements"),IF(D121="City Centre","City Centre","Rest of City"))</f>
        <v>Rest of City</v>
      </c>
      <c r="AP121" s="57" t="str">
        <f aca="false">IF(LEFT(B121,13)="Council audit","Audit",IF(LEFT(B121,8)="Planning","Consent","Zoned"))</f>
        <v>Audit</v>
      </c>
      <c r="AQ121" s="57" t="n">
        <f aca="false">IF(N(K121)&gt;0,I121*Y121/K121,0)</f>
        <v>1.081</v>
      </c>
    </row>
    <row r="122" customFormat="false" ht="15" hidden="false" customHeight="false" outlineLevel="0" collapsed="false">
      <c r="A122" s="57" t="s">
        <v>714</v>
      </c>
      <c r="B122" s="57" t="s">
        <v>215</v>
      </c>
      <c r="C122" s="57" t="s">
        <v>216</v>
      </c>
      <c r="D122" s="57" t="s">
        <v>286</v>
      </c>
      <c r="E122" s="57" t="s">
        <v>286</v>
      </c>
      <c r="F122" s="57" t="s">
        <v>584</v>
      </c>
      <c r="G122" s="57" t="s">
        <v>585</v>
      </c>
      <c r="H122" s="57" t="s">
        <v>578</v>
      </c>
      <c r="I122" s="57" t="n">
        <v>0.743</v>
      </c>
      <c r="J122" s="57" t="n">
        <v>0.743</v>
      </c>
      <c r="K122" s="57" t="n">
        <v>33</v>
      </c>
      <c r="L122" s="57" t="s">
        <v>573</v>
      </c>
      <c r="M122" s="57"/>
      <c r="N122" s="57"/>
      <c r="O122" s="57"/>
      <c r="P122" s="57"/>
      <c r="Q122" s="57" t="s">
        <v>586</v>
      </c>
      <c r="R122" s="57" t="n">
        <v>0</v>
      </c>
      <c r="S122" s="57" t="n">
        <v>0</v>
      </c>
      <c r="T122" s="57" t="n">
        <v>0</v>
      </c>
      <c r="U122" s="57" t="n">
        <v>0</v>
      </c>
      <c r="V122" s="57" t="n">
        <v>0</v>
      </c>
      <c r="W122" s="57" t="n">
        <v>0</v>
      </c>
      <c r="X122" s="57" t="n">
        <v>0</v>
      </c>
      <c r="Y122" s="57" t="n">
        <v>33</v>
      </c>
      <c r="Z122" s="57" t="n">
        <v>33</v>
      </c>
      <c r="AA122" s="57" t="n">
        <v>33</v>
      </c>
      <c r="AB122" s="57" t="n">
        <v>0</v>
      </c>
      <c r="AC122" s="57" t="n">
        <v>0</v>
      </c>
      <c r="AD122" s="57" t="n">
        <v>0</v>
      </c>
      <c r="AE122" s="57" t="n">
        <v>0</v>
      </c>
      <c r="AF122" s="57" t="n">
        <v>0</v>
      </c>
      <c r="AG122" s="57" t="n">
        <v>0</v>
      </c>
      <c r="AH122" s="57" t="s">
        <v>240</v>
      </c>
      <c r="AI122" s="57"/>
      <c r="AJ122" s="57" t="n">
        <v>0</v>
      </c>
      <c r="AK122" s="57" t="s">
        <v>286</v>
      </c>
      <c r="AL122" s="57" t="s">
        <v>347</v>
      </c>
      <c r="AM122" s="57" t="n">
        <v>1</v>
      </c>
      <c r="AN122" s="57" t="s">
        <v>575</v>
      </c>
      <c r="AO122" s="57" t="str">
        <f aca="false">IF(C122="County",IF(AL122="Rest of county","Remainder of County","Settlements"),IF(D122="City Centre","City Centre","Rest of City"))</f>
        <v>Rest of City</v>
      </c>
      <c r="AP122" s="57" t="str">
        <f aca="false">IF(LEFT(B122,13)="Council audit","Audit",IF(LEFT(B122,8)="Planning","Consent","Zoned"))</f>
        <v>Audit</v>
      </c>
      <c r="AQ122" s="57" t="n">
        <f aca="false">IF(N(K122)&gt;0,I122*Y122/K122,0)</f>
        <v>0.743</v>
      </c>
    </row>
    <row r="123" customFormat="false" ht="15" hidden="false" customHeight="false" outlineLevel="0" collapsed="false">
      <c r="A123" s="57" t="s">
        <v>715</v>
      </c>
      <c r="B123" s="57" t="s">
        <v>215</v>
      </c>
      <c r="C123" s="57" t="s">
        <v>216</v>
      </c>
      <c r="D123" s="57" t="s">
        <v>286</v>
      </c>
      <c r="E123" s="57" t="s">
        <v>286</v>
      </c>
      <c r="F123" s="57" t="s">
        <v>570</v>
      </c>
      <c r="G123" s="57" t="s">
        <v>585</v>
      </c>
      <c r="H123" s="57" t="s">
        <v>578</v>
      </c>
      <c r="I123" s="57" t="n">
        <v>0.34</v>
      </c>
      <c r="J123" s="57" t="n">
        <v>0.341</v>
      </c>
      <c r="K123" s="57" t="n">
        <v>15</v>
      </c>
      <c r="L123" s="57" t="s">
        <v>573</v>
      </c>
      <c r="M123" s="57"/>
      <c r="N123" s="57"/>
      <c r="O123" s="57"/>
      <c r="P123" s="57"/>
      <c r="Q123" s="57" t="s">
        <v>586</v>
      </c>
      <c r="R123" s="57" t="n">
        <v>0</v>
      </c>
      <c r="S123" s="57" t="n">
        <v>0</v>
      </c>
      <c r="T123" s="57" t="n">
        <v>0</v>
      </c>
      <c r="U123" s="57" t="n">
        <v>0</v>
      </c>
      <c r="V123" s="57" t="n">
        <v>0</v>
      </c>
      <c r="W123" s="57" t="n">
        <v>0</v>
      </c>
      <c r="X123" s="57" t="n">
        <v>0</v>
      </c>
      <c r="Y123" s="57" t="n">
        <v>15</v>
      </c>
      <c r="Z123" s="57" t="n">
        <v>15</v>
      </c>
      <c r="AA123" s="57" t="n">
        <v>15</v>
      </c>
      <c r="AB123" s="57" t="n">
        <v>0</v>
      </c>
      <c r="AC123" s="57" t="n">
        <v>0</v>
      </c>
      <c r="AD123" s="57" t="n">
        <v>0</v>
      </c>
      <c r="AE123" s="57" t="n">
        <v>0</v>
      </c>
      <c r="AF123" s="57" t="n">
        <v>0</v>
      </c>
      <c r="AG123" s="57" t="n">
        <v>0</v>
      </c>
      <c r="AH123" s="57" t="s">
        <v>240</v>
      </c>
      <c r="AI123" s="57"/>
      <c r="AJ123" s="57" t="n">
        <v>0</v>
      </c>
      <c r="AK123" s="57" t="s">
        <v>286</v>
      </c>
      <c r="AL123" s="57" t="s">
        <v>347</v>
      </c>
      <c r="AM123" s="57" t="n">
        <v>1</v>
      </c>
      <c r="AN123" s="57" t="s">
        <v>575</v>
      </c>
      <c r="AO123" s="57" t="str">
        <f aca="false">IF(C123="County",IF(AL123="Rest of county","Remainder of County","Settlements"),IF(D123="City Centre","City Centre","Rest of City"))</f>
        <v>Rest of City</v>
      </c>
      <c r="AP123" s="57" t="str">
        <f aca="false">IF(LEFT(B123,13)="Council audit","Audit",IF(LEFT(B123,8)="Planning","Consent","Zoned"))</f>
        <v>Audit</v>
      </c>
      <c r="AQ123" s="57" t="n">
        <f aca="false">IF(N(K123)&gt;0,I123*Y123/K123,0)</f>
        <v>0.34</v>
      </c>
    </row>
    <row r="124" customFormat="false" ht="15" hidden="false" customHeight="false" outlineLevel="0" collapsed="false">
      <c r="A124" s="57" t="s">
        <v>716</v>
      </c>
      <c r="B124" s="57" t="s">
        <v>215</v>
      </c>
      <c r="C124" s="57" t="s">
        <v>216</v>
      </c>
      <c r="D124" s="57" t="s">
        <v>286</v>
      </c>
      <c r="E124" s="57" t="s">
        <v>286</v>
      </c>
      <c r="F124" s="57" t="s">
        <v>584</v>
      </c>
      <c r="G124" s="57" t="s">
        <v>585</v>
      </c>
      <c r="H124" s="57" t="s">
        <v>578</v>
      </c>
      <c r="I124" s="57" t="n">
        <v>0.584</v>
      </c>
      <c r="J124" s="57" t="n">
        <v>0.584</v>
      </c>
      <c r="K124" s="57" t="n">
        <v>26</v>
      </c>
      <c r="L124" s="57" t="s">
        <v>573</v>
      </c>
      <c r="M124" s="57"/>
      <c r="N124" s="57"/>
      <c r="O124" s="57"/>
      <c r="P124" s="57"/>
      <c r="Q124" s="57" t="s">
        <v>586</v>
      </c>
      <c r="R124" s="57" t="n">
        <v>0</v>
      </c>
      <c r="S124" s="57" t="n">
        <v>0</v>
      </c>
      <c r="T124" s="57" t="n">
        <v>0</v>
      </c>
      <c r="U124" s="57" t="n">
        <v>0</v>
      </c>
      <c r="V124" s="57" t="n">
        <v>0</v>
      </c>
      <c r="W124" s="57" t="n">
        <v>0</v>
      </c>
      <c r="X124" s="57" t="n">
        <v>0</v>
      </c>
      <c r="Y124" s="57" t="n">
        <v>26</v>
      </c>
      <c r="Z124" s="57" t="n">
        <v>26</v>
      </c>
      <c r="AA124" s="57" t="n">
        <v>26</v>
      </c>
      <c r="AB124" s="57" t="n">
        <v>0</v>
      </c>
      <c r="AC124" s="57" t="n">
        <v>0</v>
      </c>
      <c r="AD124" s="57" t="n">
        <v>0</v>
      </c>
      <c r="AE124" s="57" t="n">
        <v>0</v>
      </c>
      <c r="AF124" s="57" t="n">
        <v>0</v>
      </c>
      <c r="AG124" s="57" t="n">
        <v>0</v>
      </c>
      <c r="AH124" s="57" t="s">
        <v>240</v>
      </c>
      <c r="AI124" s="57"/>
      <c r="AJ124" s="57" t="n">
        <v>0</v>
      </c>
      <c r="AK124" s="57" t="s">
        <v>286</v>
      </c>
      <c r="AL124" s="57" t="s">
        <v>347</v>
      </c>
      <c r="AM124" s="57" t="n">
        <v>1</v>
      </c>
      <c r="AN124" s="57" t="s">
        <v>575</v>
      </c>
      <c r="AO124" s="57" t="str">
        <f aca="false">IF(C124="County",IF(AL124="Rest of county","Remainder of County","Settlements"),IF(D124="City Centre","City Centre","Rest of City"))</f>
        <v>Rest of City</v>
      </c>
      <c r="AP124" s="57" t="str">
        <f aca="false">IF(LEFT(B124,13)="Council audit","Audit",IF(LEFT(B124,8)="Planning","Consent","Zoned"))</f>
        <v>Audit</v>
      </c>
      <c r="AQ124" s="57" t="n">
        <f aca="false">IF(N(K124)&gt;0,I124*Y124/K124,0)</f>
        <v>0.584</v>
      </c>
    </row>
    <row r="125" customFormat="false" ht="15" hidden="false" customHeight="false" outlineLevel="0" collapsed="false">
      <c r="A125" s="57" t="s">
        <v>717</v>
      </c>
      <c r="B125" s="57" t="s">
        <v>215</v>
      </c>
      <c r="C125" s="57" t="s">
        <v>216</v>
      </c>
      <c r="D125" s="57" t="s">
        <v>287</v>
      </c>
      <c r="E125" s="57" t="s">
        <v>621</v>
      </c>
      <c r="F125" s="57" t="s">
        <v>570</v>
      </c>
      <c r="G125" s="57" t="s">
        <v>585</v>
      </c>
      <c r="H125" s="57" t="s">
        <v>578</v>
      </c>
      <c r="I125" s="57" t="n">
        <v>0.938</v>
      </c>
      <c r="J125" s="57" t="n">
        <v>0.938</v>
      </c>
      <c r="K125" s="57" t="n">
        <v>42</v>
      </c>
      <c r="L125" s="57" t="s">
        <v>573</v>
      </c>
      <c r="M125" s="57"/>
      <c r="N125" s="57"/>
      <c r="O125" s="57"/>
      <c r="P125" s="57"/>
      <c r="Q125" s="57" t="s">
        <v>586</v>
      </c>
      <c r="R125" s="57" t="n">
        <v>0</v>
      </c>
      <c r="S125" s="57" t="n">
        <v>0</v>
      </c>
      <c r="T125" s="57" t="n">
        <v>0</v>
      </c>
      <c r="U125" s="57" t="n">
        <v>0</v>
      </c>
      <c r="V125" s="57" t="n">
        <v>0</v>
      </c>
      <c r="W125" s="57" t="n">
        <v>0</v>
      </c>
      <c r="X125" s="57" t="n">
        <v>0</v>
      </c>
      <c r="Y125" s="57" t="n">
        <v>42</v>
      </c>
      <c r="Z125" s="57" t="n">
        <v>42</v>
      </c>
      <c r="AA125" s="57" t="n">
        <v>42</v>
      </c>
      <c r="AB125" s="57" t="n">
        <v>0</v>
      </c>
      <c r="AC125" s="57" t="n">
        <v>0</v>
      </c>
      <c r="AD125" s="57" t="n">
        <v>0</v>
      </c>
      <c r="AE125" s="57" t="n">
        <v>0</v>
      </c>
      <c r="AF125" s="57" t="n">
        <v>0</v>
      </c>
      <c r="AG125" s="57" t="n">
        <v>0</v>
      </c>
      <c r="AH125" s="57" t="s">
        <v>240</v>
      </c>
      <c r="AI125" s="57"/>
      <c r="AJ125" s="57" t="n">
        <v>0</v>
      </c>
      <c r="AK125" s="57" t="s">
        <v>287</v>
      </c>
      <c r="AL125" s="57" t="s">
        <v>347</v>
      </c>
      <c r="AM125" s="57" t="n">
        <v>0.67</v>
      </c>
      <c r="AN125" s="57" t="s">
        <v>575</v>
      </c>
      <c r="AO125" s="57" t="str">
        <f aca="false">IF(C125="County",IF(AL125="Rest of county","Remainder of County","Settlements"),IF(D125="City Centre","City Centre","Rest of City"))</f>
        <v>Rest of City</v>
      </c>
      <c r="AP125" s="57" t="str">
        <f aca="false">IF(LEFT(B125,13)="Council audit","Audit",IF(LEFT(B125,8)="Planning","Consent","Zoned"))</f>
        <v>Audit</v>
      </c>
      <c r="AQ125" s="57" t="n">
        <f aca="false">IF(N(K125)&gt;0,I125*Y125/K125,0)</f>
        <v>0.938</v>
      </c>
    </row>
    <row r="126" customFormat="false" ht="15" hidden="false" customHeight="false" outlineLevel="0" collapsed="false">
      <c r="A126" s="57" t="s">
        <v>718</v>
      </c>
      <c r="B126" s="57" t="s">
        <v>215</v>
      </c>
      <c r="C126" s="57" t="s">
        <v>216</v>
      </c>
      <c r="D126" s="57" t="s">
        <v>285</v>
      </c>
      <c r="E126" s="57" t="s">
        <v>630</v>
      </c>
      <c r="F126" s="57" t="s">
        <v>570</v>
      </c>
      <c r="G126" s="57" t="s">
        <v>571</v>
      </c>
      <c r="H126" s="57" t="s">
        <v>719</v>
      </c>
      <c r="I126" s="57" t="n">
        <v>2.734</v>
      </c>
      <c r="J126" s="57" t="n">
        <v>2.733</v>
      </c>
      <c r="K126" s="57" t="n">
        <v>97</v>
      </c>
      <c r="L126" s="57" t="s">
        <v>573</v>
      </c>
      <c r="M126" s="57"/>
      <c r="N126" s="57"/>
      <c r="O126" s="57"/>
      <c r="P126" s="57"/>
      <c r="Q126" s="57" t="s">
        <v>586</v>
      </c>
      <c r="R126" s="57" t="n">
        <v>0</v>
      </c>
      <c r="S126" s="57" t="n">
        <v>0</v>
      </c>
      <c r="T126" s="57" t="n">
        <v>0</v>
      </c>
      <c r="U126" s="57" t="n">
        <v>0</v>
      </c>
      <c r="V126" s="57" t="n">
        <v>0</v>
      </c>
      <c r="W126" s="57" t="n">
        <v>0</v>
      </c>
      <c r="X126" s="57" t="n">
        <v>0</v>
      </c>
      <c r="Y126" s="57" t="n">
        <v>97</v>
      </c>
      <c r="Z126" s="57" t="n">
        <v>97</v>
      </c>
      <c r="AA126" s="57" t="n">
        <v>97</v>
      </c>
      <c r="AB126" s="57" t="n">
        <v>0</v>
      </c>
      <c r="AC126" s="57" t="n">
        <v>0</v>
      </c>
      <c r="AD126" s="57" t="n">
        <v>0</v>
      </c>
      <c r="AE126" s="57" t="n">
        <v>0</v>
      </c>
      <c r="AF126" s="57" t="n">
        <v>0</v>
      </c>
      <c r="AG126" s="57" t="n">
        <v>0</v>
      </c>
      <c r="AH126" s="57" t="s">
        <v>240</v>
      </c>
      <c r="AI126" s="57"/>
      <c r="AJ126" s="57" t="n">
        <v>0</v>
      </c>
      <c r="AK126" s="57" t="s">
        <v>285</v>
      </c>
      <c r="AL126" s="57" t="s">
        <v>347</v>
      </c>
      <c r="AM126" s="57" t="n">
        <v>1</v>
      </c>
      <c r="AN126" s="57" t="s">
        <v>575</v>
      </c>
      <c r="AO126" s="57" t="str">
        <f aca="false">IF(C126="County",IF(AL126="Rest of county","Remainder of County","Settlements"),IF(D126="City Centre","City Centre","Rest of City"))</f>
        <v>Rest of City</v>
      </c>
      <c r="AP126" s="57" t="str">
        <f aca="false">IF(LEFT(B126,13)="Council audit","Audit",IF(LEFT(B126,8)="Planning","Consent","Zoned"))</f>
        <v>Audit</v>
      </c>
      <c r="AQ126" s="57" t="n">
        <f aca="false">IF(N(K126)&gt;0,I126*Y126/K126,0)</f>
        <v>2.734</v>
      </c>
    </row>
    <row r="127" customFormat="false" ht="15" hidden="false" customHeight="false" outlineLevel="0" collapsed="false">
      <c r="A127" s="57" t="s">
        <v>720</v>
      </c>
      <c r="B127" s="57" t="s">
        <v>215</v>
      </c>
      <c r="C127" s="57" t="s">
        <v>216</v>
      </c>
      <c r="D127" s="57" t="s">
        <v>286</v>
      </c>
      <c r="E127" s="57" t="s">
        <v>286</v>
      </c>
      <c r="F127" s="57" t="s">
        <v>570</v>
      </c>
      <c r="G127" s="57" t="s">
        <v>571</v>
      </c>
      <c r="H127" s="57" t="s">
        <v>572</v>
      </c>
      <c r="I127" s="57" t="n">
        <v>1.168</v>
      </c>
      <c r="J127" s="57" t="n">
        <v>1.278</v>
      </c>
      <c r="K127" s="57" t="n">
        <v>41</v>
      </c>
      <c r="L127" s="57" t="s">
        <v>573</v>
      </c>
      <c r="M127" s="57"/>
      <c r="N127" s="57"/>
      <c r="O127" s="57"/>
      <c r="P127" s="57"/>
      <c r="Q127" s="57" t="s">
        <v>586</v>
      </c>
      <c r="R127" s="57" t="n">
        <v>0</v>
      </c>
      <c r="S127" s="57" t="n">
        <v>0</v>
      </c>
      <c r="T127" s="57" t="n">
        <v>0</v>
      </c>
      <c r="U127" s="57" t="n">
        <v>0</v>
      </c>
      <c r="V127" s="57" t="n">
        <v>0</v>
      </c>
      <c r="W127" s="57" t="n">
        <v>0</v>
      </c>
      <c r="X127" s="57" t="n">
        <v>0</v>
      </c>
      <c r="Y127" s="57" t="n">
        <v>41</v>
      </c>
      <c r="Z127" s="57" t="n">
        <v>41</v>
      </c>
      <c r="AA127" s="57" t="n">
        <v>41</v>
      </c>
      <c r="AB127" s="57" t="n">
        <v>0</v>
      </c>
      <c r="AC127" s="57" t="n">
        <v>0</v>
      </c>
      <c r="AD127" s="57" t="n">
        <v>0</v>
      </c>
      <c r="AE127" s="57" t="n">
        <v>0</v>
      </c>
      <c r="AF127" s="57" t="n">
        <v>0</v>
      </c>
      <c r="AG127" s="57" t="n">
        <v>0</v>
      </c>
      <c r="AH127" s="57" t="s">
        <v>240</v>
      </c>
      <c r="AI127" s="57"/>
      <c r="AJ127" s="57" t="n">
        <v>0</v>
      </c>
      <c r="AK127" s="57" t="s">
        <v>286</v>
      </c>
      <c r="AL127" s="57" t="s">
        <v>347</v>
      </c>
      <c r="AM127" s="57" t="n">
        <v>1</v>
      </c>
      <c r="AN127" s="57" t="s">
        <v>575</v>
      </c>
      <c r="AO127" s="57" t="str">
        <f aca="false">IF(C127="County",IF(AL127="Rest of county","Remainder of County","Settlements"),IF(D127="City Centre","City Centre","Rest of City"))</f>
        <v>Rest of City</v>
      </c>
      <c r="AP127" s="57" t="str">
        <f aca="false">IF(LEFT(B127,13)="Council audit","Audit",IF(LEFT(B127,8)="Planning","Consent","Zoned"))</f>
        <v>Audit</v>
      </c>
      <c r="AQ127" s="57" t="n">
        <f aca="false">IF(N(K127)&gt;0,I127*Y127/K127,0)</f>
        <v>1.168</v>
      </c>
    </row>
    <row r="128" customFormat="false" ht="15" hidden="false" customHeight="false" outlineLevel="0" collapsed="false">
      <c r="A128" s="57" t="s">
        <v>721</v>
      </c>
      <c r="B128" s="57" t="s">
        <v>215</v>
      </c>
      <c r="C128" s="57" t="s">
        <v>216</v>
      </c>
      <c r="D128" s="57" t="s">
        <v>258</v>
      </c>
      <c r="E128" s="57"/>
      <c r="F128" s="57"/>
      <c r="G128" s="57"/>
      <c r="H128" s="57"/>
      <c r="I128" s="57" t="n">
        <v>1.391</v>
      </c>
      <c r="J128" s="57" t="n">
        <v>1.39</v>
      </c>
      <c r="K128" s="57" t="n">
        <v>139</v>
      </c>
      <c r="L128" s="57" t="s">
        <v>573</v>
      </c>
      <c r="M128" s="57"/>
      <c r="N128" s="57"/>
      <c r="O128" s="57"/>
      <c r="P128" s="57"/>
      <c r="Q128" s="57"/>
      <c r="R128" s="57" t="n">
        <v>0</v>
      </c>
      <c r="S128" s="57" t="n">
        <v>0</v>
      </c>
      <c r="T128" s="57" t="n">
        <v>0</v>
      </c>
      <c r="U128" s="57" t="n">
        <v>0</v>
      </c>
      <c r="V128" s="57" t="n">
        <v>0</v>
      </c>
      <c r="W128" s="57" t="n">
        <v>0</v>
      </c>
      <c r="X128" s="57" t="n">
        <v>0</v>
      </c>
      <c r="Y128" s="57" t="n">
        <v>139</v>
      </c>
      <c r="Z128" s="57" t="n">
        <v>139</v>
      </c>
      <c r="AA128" s="57" t="n">
        <v>139</v>
      </c>
      <c r="AB128" s="57" t="n">
        <v>0</v>
      </c>
      <c r="AC128" s="57" t="n">
        <v>0</v>
      </c>
      <c r="AD128" s="57" t="n">
        <v>0</v>
      </c>
      <c r="AE128" s="57" t="n">
        <v>0</v>
      </c>
      <c r="AF128" s="57" t="n">
        <v>0</v>
      </c>
      <c r="AG128" s="57" t="n">
        <v>0</v>
      </c>
      <c r="AH128" s="57" t="s">
        <v>240</v>
      </c>
      <c r="AI128" s="57"/>
      <c r="AJ128" s="57" t="n">
        <v>0</v>
      </c>
      <c r="AK128" s="57" t="s">
        <v>258</v>
      </c>
      <c r="AL128" s="57" t="s">
        <v>347</v>
      </c>
      <c r="AM128" s="57" t="n">
        <v>1</v>
      </c>
      <c r="AN128" s="57" t="s">
        <v>575</v>
      </c>
      <c r="AO128" s="57" t="str">
        <f aca="false">IF(C128="County",IF(AL128="Rest of county","Remainder of County","Settlements"),IF(D128="City Centre","City Centre","Rest of City"))</f>
        <v>City Centre</v>
      </c>
      <c r="AP128" s="57" t="str">
        <f aca="false">IF(LEFT(B128,13)="Council audit","Audit",IF(LEFT(B128,8)="Planning","Consent","Zoned"))</f>
        <v>Audit</v>
      </c>
      <c r="AQ128" s="57" t="n">
        <f aca="false">IF(N(K128)&gt;0,I128*Y128/K128,0)</f>
        <v>1.391</v>
      </c>
    </row>
    <row r="129" customFormat="false" ht="15" hidden="false" customHeight="false" outlineLevel="0" collapsed="false">
      <c r="A129" s="57" t="s">
        <v>722</v>
      </c>
      <c r="B129" s="57" t="s">
        <v>215</v>
      </c>
      <c r="C129" s="57" t="s">
        <v>216</v>
      </c>
      <c r="D129" s="57" t="s">
        <v>258</v>
      </c>
      <c r="E129" s="57"/>
      <c r="F129" s="57"/>
      <c r="G129" s="57"/>
      <c r="H129" s="57"/>
      <c r="I129" s="57" t="n">
        <v>0.567</v>
      </c>
      <c r="J129" s="57" t="n">
        <v>0.567</v>
      </c>
      <c r="K129" s="57" t="n">
        <v>20</v>
      </c>
      <c r="L129" s="57" t="s">
        <v>573</v>
      </c>
      <c r="M129" s="57"/>
      <c r="N129" s="57"/>
      <c r="O129" s="57"/>
      <c r="P129" s="57"/>
      <c r="Q129" s="57"/>
      <c r="R129" s="57" t="n">
        <v>0</v>
      </c>
      <c r="S129" s="57" t="n">
        <v>0</v>
      </c>
      <c r="T129" s="57" t="n">
        <v>0</v>
      </c>
      <c r="U129" s="57" t="n">
        <v>0</v>
      </c>
      <c r="V129" s="57" t="n">
        <v>0</v>
      </c>
      <c r="W129" s="57" t="n">
        <v>0</v>
      </c>
      <c r="X129" s="57" t="n">
        <v>0</v>
      </c>
      <c r="Y129" s="57" t="n">
        <v>20</v>
      </c>
      <c r="Z129" s="57" t="n">
        <v>20</v>
      </c>
      <c r="AA129" s="57" t="n">
        <v>20</v>
      </c>
      <c r="AB129" s="57" t="n">
        <v>0</v>
      </c>
      <c r="AC129" s="57" t="n">
        <v>0</v>
      </c>
      <c r="AD129" s="57" t="n">
        <v>0</v>
      </c>
      <c r="AE129" s="57" t="n">
        <v>0</v>
      </c>
      <c r="AF129" s="57" t="n">
        <v>0</v>
      </c>
      <c r="AG129" s="57" t="n">
        <v>0</v>
      </c>
      <c r="AH129" s="57" t="s">
        <v>240</v>
      </c>
      <c r="AI129" s="57"/>
      <c r="AJ129" s="57" t="n">
        <v>0</v>
      </c>
      <c r="AK129" s="57" t="s">
        <v>258</v>
      </c>
      <c r="AL129" s="57" t="s">
        <v>347</v>
      </c>
      <c r="AM129" s="57" t="n">
        <v>1</v>
      </c>
      <c r="AN129" s="57" t="s">
        <v>575</v>
      </c>
      <c r="AO129" s="57" t="str">
        <f aca="false">IF(C129="County",IF(AL129="Rest of county","Remainder of County","Settlements"),IF(D129="City Centre","City Centre","Rest of City"))</f>
        <v>City Centre</v>
      </c>
      <c r="AP129" s="57" t="str">
        <f aca="false">IF(LEFT(B129,13)="Council audit","Audit",IF(LEFT(B129,8)="Planning","Consent","Zoned"))</f>
        <v>Audit</v>
      </c>
      <c r="AQ129" s="57" t="n">
        <f aca="false">IF(N(K129)&gt;0,I129*Y129/K129,0)</f>
        <v>0.567</v>
      </c>
    </row>
    <row r="130" customFormat="false" ht="15" hidden="false" customHeight="false" outlineLevel="0" collapsed="false">
      <c r="A130" s="57" t="s">
        <v>723</v>
      </c>
      <c r="B130" s="57" t="s">
        <v>215</v>
      </c>
      <c r="C130" s="57" t="s">
        <v>216</v>
      </c>
      <c r="D130" s="57" t="s">
        <v>284</v>
      </c>
      <c r="E130" s="57"/>
      <c r="F130" s="57"/>
      <c r="G130" s="57"/>
      <c r="H130" s="57"/>
      <c r="I130" s="57" t="n">
        <v>5.112</v>
      </c>
      <c r="J130" s="57" t="n">
        <v>5.11</v>
      </c>
      <c r="K130" s="57" t="n">
        <v>179</v>
      </c>
      <c r="L130" s="57" t="s">
        <v>573</v>
      </c>
      <c r="M130" s="57"/>
      <c r="N130" s="57"/>
      <c r="O130" s="57"/>
      <c r="P130" s="57"/>
      <c r="Q130" s="57"/>
      <c r="R130" s="57" t="n">
        <v>0</v>
      </c>
      <c r="S130" s="57" t="n">
        <v>0</v>
      </c>
      <c r="T130" s="57" t="n">
        <v>0</v>
      </c>
      <c r="U130" s="57" t="n">
        <v>0</v>
      </c>
      <c r="V130" s="57" t="n">
        <v>0</v>
      </c>
      <c r="W130" s="57" t="n">
        <v>0</v>
      </c>
      <c r="X130" s="57" t="n">
        <v>0</v>
      </c>
      <c r="Y130" s="57" t="n">
        <v>179</v>
      </c>
      <c r="Z130" s="57" t="n">
        <v>179</v>
      </c>
      <c r="AA130" s="57" t="n">
        <v>179</v>
      </c>
      <c r="AB130" s="57" t="n">
        <v>0</v>
      </c>
      <c r="AC130" s="57" t="n">
        <v>0</v>
      </c>
      <c r="AD130" s="57" t="n">
        <v>0</v>
      </c>
      <c r="AE130" s="57" t="n">
        <v>0</v>
      </c>
      <c r="AF130" s="57" t="n">
        <v>0</v>
      </c>
      <c r="AG130" s="57" t="n">
        <v>0</v>
      </c>
      <c r="AH130" s="57" t="s">
        <v>240</v>
      </c>
      <c r="AI130" s="57"/>
      <c r="AJ130" s="57" t="n">
        <v>0</v>
      </c>
      <c r="AK130" s="57" t="s">
        <v>284</v>
      </c>
      <c r="AL130" s="57" t="s">
        <v>347</v>
      </c>
      <c r="AM130" s="57" t="n">
        <v>1</v>
      </c>
      <c r="AN130" s="57" t="s">
        <v>575</v>
      </c>
      <c r="AO130" s="57" t="str">
        <f aca="false">IF(C130="County",IF(AL130="Rest of county","Remainder of County","Settlements"),IF(D130="City Centre","City Centre","Rest of City"))</f>
        <v>Rest of City</v>
      </c>
      <c r="AP130" s="57" t="str">
        <f aca="false">IF(LEFT(B130,13)="Council audit","Audit",IF(LEFT(B130,8)="Planning","Consent","Zoned"))</f>
        <v>Audit</v>
      </c>
      <c r="AQ130" s="57" t="n">
        <f aca="false">IF(N(K130)&gt;0,I130*Y130/K130,0)</f>
        <v>5.112</v>
      </c>
    </row>
    <row r="131" customFormat="false" ht="15" hidden="false" customHeight="false" outlineLevel="0" collapsed="false">
      <c r="A131" s="57" t="s">
        <v>724</v>
      </c>
      <c r="B131" s="57" t="s">
        <v>215</v>
      </c>
      <c r="C131" s="57" t="s">
        <v>216</v>
      </c>
      <c r="D131" s="57" t="s">
        <v>291</v>
      </c>
      <c r="E131" s="57"/>
      <c r="F131" s="57"/>
      <c r="G131" s="57"/>
      <c r="H131" s="57"/>
      <c r="I131" s="57" t="n">
        <v>0.042</v>
      </c>
      <c r="J131" s="57" t="n">
        <v>0.042</v>
      </c>
      <c r="K131" s="57" t="n">
        <v>1</v>
      </c>
      <c r="L131" s="57" t="s">
        <v>573</v>
      </c>
      <c r="M131" s="57"/>
      <c r="N131" s="57"/>
      <c r="O131" s="57"/>
      <c r="P131" s="57"/>
      <c r="Q131" s="57"/>
      <c r="R131" s="57" t="n">
        <v>0</v>
      </c>
      <c r="S131" s="57" t="n">
        <v>0</v>
      </c>
      <c r="T131" s="57" t="n">
        <v>0</v>
      </c>
      <c r="U131" s="57" t="n">
        <v>0</v>
      </c>
      <c r="V131" s="57" t="n">
        <v>0</v>
      </c>
      <c r="W131" s="57" t="n">
        <v>0</v>
      </c>
      <c r="X131" s="57" t="n">
        <v>0</v>
      </c>
      <c r="Y131" s="57" t="n">
        <v>1</v>
      </c>
      <c r="Z131" s="57" t="n">
        <v>1</v>
      </c>
      <c r="AA131" s="57" t="n">
        <v>1</v>
      </c>
      <c r="AB131" s="57" t="n">
        <v>0</v>
      </c>
      <c r="AC131" s="57" t="n">
        <v>0</v>
      </c>
      <c r="AD131" s="57" t="n">
        <v>0</v>
      </c>
      <c r="AE131" s="57" t="n">
        <v>0</v>
      </c>
      <c r="AF131" s="57" t="n">
        <v>0</v>
      </c>
      <c r="AG131" s="57" t="n">
        <v>0</v>
      </c>
      <c r="AH131" s="57" t="s">
        <v>240</v>
      </c>
      <c r="AI131" s="57"/>
      <c r="AJ131" s="57" t="n">
        <v>0</v>
      </c>
      <c r="AK131" s="57" t="s">
        <v>291</v>
      </c>
      <c r="AL131" s="57" t="s">
        <v>347</v>
      </c>
      <c r="AM131" s="57" t="n">
        <v>1</v>
      </c>
      <c r="AN131" s="57" t="s">
        <v>575</v>
      </c>
      <c r="AO131" s="57" t="str">
        <f aca="false">IF(C131="County",IF(AL131="Rest of county","Remainder of County","Settlements"),IF(D131="City Centre","City Centre","Rest of City"))</f>
        <v>Rest of City</v>
      </c>
      <c r="AP131" s="57" t="str">
        <f aca="false">IF(LEFT(B131,13)="Council audit","Audit",IF(LEFT(B131,8)="Planning","Consent","Zoned"))</f>
        <v>Audit</v>
      </c>
      <c r="AQ131" s="57" t="n">
        <f aca="false">IF(N(K131)&gt;0,I131*Y131/K131,0)</f>
        <v>0.042</v>
      </c>
    </row>
    <row r="132" customFormat="false" ht="15" hidden="false" customHeight="false" outlineLevel="0" collapsed="false">
      <c r="A132" s="57" t="s">
        <v>725</v>
      </c>
      <c r="B132" s="57" t="s">
        <v>215</v>
      </c>
      <c r="C132" s="57" t="s">
        <v>216</v>
      </c>
      <c r="D132" s="57" t="s">
        <v>288</v>
      </c>
      <c r="E132" s="57"/>
      <c r="F132" s="57"/>
      <c r="G132" s="57"/>
      <c r="H132" s="57"/>
      <c r="I132" s="57" t="n">
        <v>0.424</v>
      </c>
      <c r="J132" s="57" t="n">
        <v>0.423</v>
      </c>
      <c r="K132" s="57" t="n">
        <v>0</v>
      </c>
      <c r="L132" s="57" t="s">
        <v>573</v>
      </c>
      <c r="M132" s="57"/>
      <c r="N132" s="57"/>
      <c r="O132" s="57"/>
      <c r="P132" s="57"/>
      <c r="Q132" s="57"/>
      <c r="R132" s="57" t="n">
        <v>0</v>
      </c>
      <c r="S132" s="57" t="n">
        <v>0</v>
      </c>
      <c r="T132" s="57" t="n">
        <v>0</v>
      </c>
      <c r="U132" s="57" t="n">
        <v>0</v>
      </c>
      <c r="V132" s="57" t="n">
        <v>0</v>
      </c>
      <c r="W132" s="57" t="n">
        <v>0</v>
      </c>
      <c r="X132" s="57" t="n">
        <v>0</v>
      </c>
      <c r="Y132" s="57" t="n">
        <v>0</v>
      </c>
      <c r="Z132" s="57" t="n">
        <v>0</v>
      </c>
      <c r="AA132" s="57" t="n">
        <v>0</v>
      </c>
      <c r="AB132" s="57" t="n">
        <v>0</v>
      </c>
      <c r="AC132" s="57" t="n">
        <v>0</v>
      </c>
      <c r="AD132" s="57" t="n">
        <v>0</v>
      </c>
      <c r="AE132" s="57" t="n">
        <v>0</v>
      </c>
      <c r="AF132" s="57" t="n">
        <v>0</v>
      </c>
      <c r="AG132" s="57" t="n">
        <v>0</v>
      </c>
      <c r="AH132" s="57" t="s">
        <v>240</v>
      </c>
      <c r="AI132" s="57"/>
      <c r="AJ132" s="57" t="n">
        <v>0</v>
      </c>
      <c r="AK132" s="57" t="s">
        <v>288</v>
      </c>
      <c r="AL132" s="57" t="s">
        <v>347</v>
      </c>
      <c r="AM132" s="57" t="n">
        <v>1</v>
      </c>
      <c r="AN132" s="57" t="s">
        <v>575</v>
      </c>
      <c r="AO132" s="57" t="str">
        <f aca="false">IF(C132="County",IF(AL132="Rest of county","Remainder of County","Settlements"),IF(D132="City Centre","City Centre","Rest of City"))</f>
        <v>Rest of City</v>
      </c>
      <c r="AP132" s="57" t="str">
        <f aca="false">IF(LEFT(B132,13)="Council audit","Audit",IF(LEFT(B132,8)="Planning","Consent","Zoned"))</f>
        <v>Audit</v>
      </c>
      <c r="AQ132" s="57" t="n">
        <f aca="false">IF(N(K132)&gt;0,I132*Y132/K132,0)</f>
        <v>0</v>
      </c>
    </row>
    <row r="133" customFormat="false" ht="15" hidden="false" customHeight="false" outlineLevel="0" collapsed="false">
      <c r="A133" s="57" t="s">
        <v>726</v>
      </c>
      <c r="B133" s="57" t="s">
        <v>217</v>
      </c>
      <c r="C133" s="57" t="s">
        <v>216</v>
      </c>
      <c r="D133" s="57" t="s">
        <v>284</v>
      </c>
      <c r="E133" s="57" t="s">
        <v>569</v>
      </c>
      <c r="F133" s="57" t="s">
        <v>570</v>
      </c>
      <c r="G133" s="57" t="s">
        <v>571</v>
      </c>
      <c r="H133" s="57" t="s">
        <v>572</v>
      </c>
      <c r="I133" s="57" t="n">
        <v>2.193</v>
      </c>
      <c r="J133" s="57" t="n">
        <v>2.394</v>
      </c>
      <c r="K133" s="57" t="n">
        <v>77</v>
      </c>
      <c r="L133" s="57" t="s">
        <v>573</v>
      </c>
      <c r="M133" s="57"/>
      <c r="N133" s="57"/>
      <c r="O133" s="57"/>
      <c r="P133" s="57"/>
      <c r="Q133" s="57" t="s">
        <v>586</v>
      </c>
      <c r="R133" s="57" t="n">
        <v>0</v>
      </c>
      <c r="S133" s="57" t="n">
        <v>0</v>
      </c>
      <c r="T133" s="57" t="n">
        <v>0</v>
      </c>
      <c r="U133" s="57" t="n">
        <v>0</v>
      </c>
      <c r="V133" s="57" t="n">
        <v>0</v>
      </c>
      <c r="W133" s="57" t="n">
        <v>0</v>
      </c>
      <c r="X133" s="57" t="n">
        <v>0</v>
      </c>
      <c r="Y133" s="57" t="n">
        <v>77</v>
      </c>
      <c r="Z133" s="57" t="n">
        <v>77</v>
      </c>
      <c r="AA133" s="57" t="n">
        <v>77</v>
      </c>
      <c r="AB133" s="57" t="n">
        <v>0</v>
      </c>
      <c r="AC133" s="57" t="n">
        <v>0</v>
      </c>
      <c r="AD133" s="57" t="n">
        <v>0</v>
      </c>
      <c r="AE133" s="57" t="n">
        <v>0</v>
      </c>
      <c r="AF133" s="57" t="n">
        <v>0</v>
      </c>
      <c r="AG133" s="57" t="n">
        <v>0</v>
      </c>
      <c r="AH133" s="57" t="s">
        <v>240</v>
      </c>
      <c r="AI133" s="57"/>
      <c r="AJ133" s="57" t="n">
        <v>5</v>
      </c>
      <c r="AK133" s="57" t="s">
        <v>284</v>
      </c>
      <c r="AL133" s="57" t="s">
        <v>347</v>
      </c>
      <c r="AM133" s="57" t="n">
        <v>1</v>
      </c>
      <c r="AN133" s="57" t="s">
        <v>575</v>
      </c>
      <c r="AO133" s="57" t="str">
        <f aca="false">IF(C133="County",IF(AL133="Rest of county","Remainder of County","Settlements"),IF(D133="City Centre","City Centre","Rest of City"))</f>
        <v>Rest of City</v>
      </c>
      <c r="AP133" s="57" t="str">
        <f aca="false">IF(LEFT(B133,13)="Council audit","Audit",IF(LEFT(B133,8)="Planning","Consent","Zoned"))</f>
        <v>Audit</v>
      </c>
      <c r="AQ133" s="57" t="n">
        <f aca="false">IF(N(K133)&gt;0,I133*Y133/K133,0)</f>
        <v>2.193</v>
      </c>
    </row>
    <row r="134" customFormat="false" ht="15" hidden="false" customHeight="false" outlineLevel="0" collapsed="false">
      <c r="A134" s="57" t="s">
        <v>727</v>
      </c>
      <c r="B134" s="57" t="s">
        <v>217</v>
      </c>
      <c r="C134" s="57" t="s">
        <v>216</v>
      </c>
      <c r="D134" s="57" t="s">
        <v>287</v>
      </c>
      <c r="E134" s="57" t="s">
        <v>258</v>
      </c>
      <c r="F134" s="57" t="s">
        <v>570</v>
      </c>
      <c r="G134" s="57" t="s">
        <v>585</v>
      </c>
      <c r="H134" s="57" t="s">
        <v>578</v>
      </c>
      <c r="I134" s="57" t="n">
        <v>1.346</v>
      </c>
      <c r="J134" s="57" t="n">
        <v>1.346</v>
      </c>
      <c r="K134" s="57" t="n">
        <v>61</v>
      </c>
      <c r="L134" s="57" t="s">
        <v>573</v>
      </c>
      <c r="M134" s="57"/>
      <c r="N134" s="57"/>
      <c r="O134" s="57"/>
      <c r="P134" s="57"/>
      <c r="Q134" s="57" t="s">
        <v>586</v>
      </c>
      <c r="R134" s="57" t="n">
        <v>0</v>
      </c>
      <c r="S134" s="57" t="n">
        <v>0</v>
      </c>
      <c r="T134" s="57" t="n">
        <v>0</v>
      </c>
      <c r="U134" s="57" t="n">
        <v>0</v>
      </c>
      <c r="V134" s="57" t="n">
        <v>0</v>
      </c>
      <c r="W134" s="57" t="n">
        <v>0</v>
      </c>
      <c r="X134" s="57" t="n">
        <v>0</v>
      </c>
      <c r="Y134" s="57" t="n">
        <v>61</v>
      </c>
      <c r="Z134" s="57" t="n">
        <v>61</v>
      </c>
      <c r="AA134" s="57" t="n">
        <v>61</v>
      </c>
      <c r="AB134" s="57" t="n">
        <v>0</v>
      </c>
      <c r="AC134" s="57" t="n">
        <v>0</v>
      </c>
      <c r="AD134" s="57" t="n">
        <v>0</v>
      </c>
      <c r="AE134" s="57" t="n">
        <v>0</v>
      </c>
      <c r="AF134" s="57" t="n">
        <v>0</v>
      </c>
      <c r="AG134" s="57" t="n">
        <v>0</v>
      </c>
      <c r="AH134" s="57" t="s">
        <v>240</v>
      </c>
      <c r="AI134" s="57"/>
      <c r="AJ134" s="57" t="n">
        <v>0</v>
      </c>
      <c r="AK134" s="57" t="s">
        <v>287</v>
      </c>
      <c r="AL134" s="57" t="s">
        <v>347</v>
      </c>
      <c r="AM134" s="57" t="n">
        <v>0.99</v>
      </c>
      <c r="AN134" s="57" t="s">
        <v>575</v>
      </c>
      <c r="AO134" s="57" t="str">
        <f aca="false">IF(C134="County",IF(AL134="Rest of county","Remainder of County","Settlements"),IF(D134="City Centre","City Centre","Rest of City"))</f>
        <v>Rest of City</v>
      </c>
      <c r="AP134" s="57" t="str">
        <f aca="false">IF(LEFT(B134,13)="Council audit","Audit",IF(LEFT(B134,8)="Planning","Consent","Zoned"))</f>
        <v>Audit</v>
      </c>
      <c r="AQ134" s="57" t="n">
        <f aca="false">IF(N(K134)&gt;0,I134*Y134/K134,0)</f>
        <v>1.346</v>
      </c>
    </row>
    <row r="135" customFormat="false" ht="15" hidden="false" customHeight="false" outlineLevel="0" collapsed="false">
      <c r="A135" s="57" t="s">
        <v>728</v>
      </c>
      <c r="B135" s="57" t="s">
        <v>217</v>
      </c>
      <c r="C135" s="57" t="s">
        <v>216</v>
      </c>
      <c r="D135" s="57" t="s">
        <v>291</v>
      </c>
      <c r="E135" s="57" t="s">
        <v>605</v>
      </c>
      <c r="F135" s="57" t="s">
        <v>570</v>
      </c>
      <c r="G135" s="57" t="s">
        <v>585</v>
      </c>
      <c r="H135" s="57" t="s">
        <v>578</v>
      </c>
      <c r="I135" s="57" t="n">
        <v>0.454</v>
      </c>
      <c r="J135" s="57" t="n">
        <v>0.455</v>
      </c>
      <c r="K135" s="57" t="n">
        <v>27</v>
      </c>
      <c r="L135" s="57" t="s">
        <v>573</v>
      </c>
      <c r="M135" s="57"/>
      <c r="N135" s="57"/>
      <c r="O135" s="57"/>
      <c r="P135" s="57"/>
      <c r="Q135" s="57" t="s">
        <v>574</v>
      </c>
      <c r="R135" s="57" t="n">
        <v>0</v>
      </c>
      <c r="S135" s="57" t="n">
        <v>0</v>
      </c>
      <c r="T135" s="57" t="n">
        <v>27</v>
      </c>
      <c r="U135" s="57" t="n">
        <v>0</v>
      </c>
      <c r="V135" s="57" t="n">
        <v>0</v>
      </c>
      <c r="W135" s="57" t="n">
        <v>0</v>
      </c>
      <c r="X135" s="57" t="n">
        <v>27</v>
      </c>
      <c r="Y135" s="57" t="n">
        <v>0</v>
      </c>
      <c r="Z135" s="57" t="n">
        <v>27</v>
      </c>
      <c r="AA135" s="57" t="n">
        <v>27</v>
      </c>
      <c r="AB135" s="57" t="n">
        <v>0</v>
      </c>
      <c r="AC135" s="57" t="n">
        <v>0</v>
      </c>
      <c r="AD135" s="57" t="n">
        <v>20.5</v>
      </c>
      <c r="AE135" s="57" t="n">
        <v>6.5</v>
      </c>
      <c r="AF135" s="57" t="n">
        <v>0</v>
      </c>
      <c r="AG135" s="57" t="n">
        <v>0</v>
      </c>
      <c r="AH135" s="57" t="s">
        <v>239</v>
      </c>
      <c r="AI135" s="57"/>
      <c r="AJ135" s="57" t="n">
        <v>0</v>
      </c>
      <c r="AK135" s="57" t="s">
        <v>291</v>
      </c>
      <c r="AL135" s="57" t="s">
        <v>347</v>
      </c>
      <c r="AM135" s="57" t="n">
        <v>1</v>
      </c>
      <c r="AN135" s="57" t="s">
        <v>575</v>
      </c>
      <c r="AO135" s="57" t="str">
        <f aca="false">IF(C135="County",IF(AL135="Rest of county","Remainder of County","Settlements"),IF(D135="City Centre","City Centre","Rest of City"))</f>
        <v>Rest of City</v>
      </c>
      <c r="AP135" s="57" t="str">
        <f aca="false">IF(LEFT(B135,13)="Council audit","Audit",IF(LEFT(B135,8)="Planning","Consent","Zoned"))</f>
        <v>Audit</v>
      </c>
      <c r="AQ135" s="57" t="n">
        <f aca="false">IF(N(K135)&gt;0,I135*Y135/K135,0)</f>
        <v>0</v>
      </c>
    </row>
    <row r="136" customFormat="false" ht="15" hidden="false" customHeight="false" outlineLevel="0" collapsed="false">
      <c r="A136" s="57" t="s">
        <v>729</v>
      </c>
      <c r="B136" s="57" t="s">
        <v>218</v>
      </c>
      <c r="C136" s="57" t="s">
        <v>216</v>
      </c>
      <c r="D136" s="57" t="s">
        <v>285</v>
      </c>
      <c r="E136" s="57" t="s">
        <v>730</v>
      </c>
      <c r="F136" s="57"/>
      <c r="G136" s="57"/>
      <c r="H136" s="57"/>
      <c r="I136" s="57" t="n">
        <v>8.757</v>
      </c>
      <c r="J136" s="57" t="n">
        <v>8.757</v>
      </c>
      <c r="K136" s="57"/>
      <c r="L136" s="57" t="s">
        <v>731</v>
      </c>
      <c r="M136" s="57"/>
      <c r="N136" s="57"/>
      <c r="O136" s="57"/>
      <c r="P136" s="57"/>
      <c r="Q136" s="57"/>
      <c r="R136" s="57" t="n">
        <v>197</v>
      </c>
      <c r="S136" s="57" t="n">
        <v>188</v>
      </c>
      <c r="T136" s="57" t="n">
        <v>0</v>
      </c>
      <c r="U136" s="57" t="n">
        <v>0</v>
      </c>
      <c r="V136" s="57" t="n">
        <v>0</v>
      </c>
      <c r="W136" s="57" t="n">
        <v>0</v>
      </c>
      <c r="X136" s="57" t="n">
        <v>385</v>
      </c>
      <c r="Y136" s="57" t="n">
        <v>0</v>
      </c>
      <c r="Z136" s="57" t="n">
        <v>385</v>
      </c>
      <c r="AA136" s="57" t="n">
        <v>188</v>
      </c>
      <c r="AB136" s="57" t="n">
        <v>43.8</v>
      </c>
      <c r="AC136" s="57" t="n">
        <v>144.2</v>
      </c>
      <c r="AD136" s="57" t="n">
        <v>0</v>
      </c>
      <c r="AE136" s="57" t="n">
        <v>0</v>
      </c>
      <c r="AF136" s="57" t="n">
        <v>0</v>
      </c>
      <c r="AG136" s="57" t="n">
        <v>0</v>
      </c>
      <c r="AH136" s="57" t="s">
        <v>238</v>
      </c>
      <c r="AI136" s="57"/>
      <c r="AJ136" s="57" t="n">
        <v>219</v>
      </c>
      <c r="AK136" s="57" t="s">
        <v>285</v>
      </c>
      <c r="AL136" s="57" t="s">
        <v>347</v>
      </c>
      <c r="AM136" s="57" t="n">
        <v>1</v>
      </c>
      <c r="AN136" s="57" t="s">
        <v>575</v>
      </c>
      <c r="AO136" s="57" t="str">
        <f aca="false">IF(C136="County",IF(AL136="Rest of county","Remainder of County","Settlements"),IF(D136="City Centre","City Centre","Rest of City"))</f>
        <v>Rest of City</v>
      </c>
      <c r="AP136" s="57" t="str">
        <f aca="false">IF(LEFT(B136,13)="Council audit","Audit",IF(LEFT(B136,8)="Planning","Consent","Zoned"))</f>
        <v>Consent</v>
      </c>
      <c r="AQ136" s="57" t="n">
        <f aca="false">IF(N(K136)&gt;0,I136*Y136/K136,0)</f>
        <v>0</v>
      </c>
    </row>
    <row r="137" customFormat="false" ht="15" hidden="false" customHeight="false" outlineLevel="0" collapsed="false">
      <c r="A137" s="57" t="s">
        <v>732</v>
      </c>
      <c r="B137" s="57" t="s">
        <v>218</v>
      </c>
      <c r="C137" s="57" t="s">
        <v>216</v>
      </c>
      <c r="D137" s="57" t="s">
        <v>285</v>
      </c>
      <c r="E137" s="57" t="s">
        <v>733</v>
      </c>
      <c r="F137" s="57"/>
      <c r="G137" s="57"/>
      <c r="H137" s="57"/>
      <c r="I137" s="57" t="n">
        <v>18.97</v>
      </c>
      <c r="J137" s="57" t="n">
        <v>18.97</v>
      </c>
      <c r="K137" s="57"/>
      <c r="L137" s="57" t="s">
        <v>731</v>
      </c>
      <c r="M137" s="57"/>
      <c r="N137" s="57"/>
      <c r="O137" s="57"/>
      <c r="P137" s="57"/>
      <c r="Q137" s="57"/>
      <c r="R137" s="57" t="n">
        <v>298</v>
      </c>
      <c r="S137" s="57" t="n">
        <v>0</v>
      </c>
      <c r="T137" s="57" t="n">
        <v>0</v>
      </c>
      <c r="U137" s="57" t="n">
        <v>0</v>
      </c>
      <c r="V137" s="57" t="n">
        <v>0</v>
      </c>
      <c r="W137" s="57" t="n">
        <v>0</v>
      </c>
      <c r="X137" s="57" t="n">
        <v>298</v>
      </c>
      <c r="Y137" s="57" t="n">
        <v>0</v>
      </c>
      <c r="Z137" s="57" t="n">
        <v>298</v>
      </c>
      <c r="AA137" s="57" t="n">
        <v>0</v>
      </c>
      <c r="AB137" s="57" t="n">
        <v>0</v>
      </c>
      <c r="AC137" s="57" t="n">
        <v>0</v>
      </c>
      <c r="AD137" s="57" t="n">
        <v>0</v>
      </c>
      <c r="AE137" s="57" t="n">
        <v>0</v>
      </c>
      <c r="AF137" s="57" t="n">
        <v>0</v>
      </c>
      <c r="AG137" s="57" t="n">
        <v>0</v>
      </c>
      <c r="AH137" s="57" t="s">
        <v>237</v>
      </c>
      <c r="AI137" s="57"/>
      <c r="AJ137" s="57" t="n">
        <v>339</v>
      </c>
      <c r="AK137" s="57" t="s">
        <v>285</v>
      </c>
      <c r="AL137" s="57" t="s">
        <v>347</v>
      </c>
      <c r="AM137" s="57" t="n">
        <v>1</v>
      </c>
      <c r="AN137" s="57" t="s">
        <v>575</v>
      </c>
      <c r="AO137" s="57" t="str">
        <f aca="false">IF(C137="County",IF(AL137="Rest of county","Remainder of County","Settlements"),IF(D137="City Centre","City Centre","Rest of City"))</f>
        <v>Rest of City</v>
      </c>
      <c r="AP137" s="57" t="str">
        <f aca="false">IF(LEFT(B137,13)="Council audit","Audit",IF(LEFT(B137,8)="Planning","Consent","Zoned"))</f>
        <v>Consent</v>
      </c>
      <c r="AQ137" s="57" t="n">
        <f aca="false">IF(N(K137)&gt;0,I137*Y137/K137,0)</f>
        <v>0</v>
      </c>
    </row>
    <row r="138" customFormat="false" ht="15" hidden="false" customHeight="false" outlineLevel="0" collapsed="false">
      <c r="A138" s="57" t="s">
        <v>734</v>
      </c>
      <c r="B138" s="57" t="s">
        <v>218</v>
      </c>
      <c r="C138" s="57" t="s">
        <v>216</v>
      </c>
      <c r="D138" s="57" t="s">
        <v>286</v>
      </c>
      <c r="E138" s="57" t="s">
        <v>735</v>
      </c>
      <c r="F138" s="57"/>
      <c r="G138" s="57"/>
      <c r="H138" s="57"/>
      <c r="I138" s="57" t="n">
        <v>5.246</v>
      </c>
      <c r="J138" s="57" t="n">
        <v>5.246</v>
      </c>
      <c r="K138" s="57"/>
      <c r="L138" s="57" t="s">
        <v>731</v>
      </c>
      <c r="M138" s="57"/>
      <c r="N138" s="57"/>
      <c r="O138" s="57"/>
      <c r="P138" s="57"/>
      <c r="Q138" s="57"/>
      <c r="R138" s="57" t="n">
        <v>0</v>
      </c>
      <c r="S138" s="57" t="n">
        <v>192</v>
      </c>
      <c r="T138" s="57" t="n">
        <v>0</v>
      </c>
      <c r="U138" s="57" t="n">
        <v>0</v>
      </c>
      <c r="V138" s="57" t="n">
        <v>0</v>
      </c>
      <c r="W138" s="57" t="n">
        <v>0</v>
      </c>
      <c r="X138" s="57" t="n">
        <v>192</v>
      </c>
      <c r="Y138" s="57" t="n">
        <v>0</v>
      </c>
      <c r="Z138" s="57" t="n">
        <v>192</v>
      </c>
      <c r="AA138" s="57" t="n">
        <v>192</v>
      </c>
      <c r="AB138" s="57" t="n">
        <v>22.4</v>
      </c>
      <c r="AC138" s="57" t="n">
        <v>112.5</v>
      </c>
      <c r="AD138" s="57" t="n">
        <v>52.8</v>
      </c>
      <c r="AE138" s="57" t="n">
        <v>4.3</v>
      </c>
      <c r="AF138" s="57" t="n">
        <v>0</v>
      </c>
      <c r="AG138" s="57" t="n">
        <v>0</v>
      </c>
      <c r="AH138" s="57" t="s">
        <v>239</v>
      </c>
      <c r="AI138" s="57"/>
      <c r="AJ138" s="57" t="n">
        <v>94</v>
      </c>
      <c r="AK138" s="57" t="s">
        <v>286</v>
      </c>
      <c r="AL138" s="57" t="s">
        <v>347</v>
      </c>
      <c r="AM138" s="57" t="n">
        <v>1</v>
      </c>
      <c r="AN138" s="57" t="s">
        <v>575</v>
      </c>
      <c r="AO138" s="57" t="str">
        <f aca="false">IF(C138="County",IF(AL138="Rest of county","Remainder of County","Settlements"),IF(D138="City Centre","City Centre","Rest of City"))</f>
        <v>Rest of City</v>
      </c>
      <c r="AP138" s="57" t="str">
        <f aca="false">IF(LEFT(B138,13)="Council audit","Audit",IF(LEFT(B138,8)="Planning","Consent","Zoned"))</f>
        <v>Consent</v>
      </c>
      <c r="AQ138" s="57" t="n">
        <f aca="false">IF(N(K138)&gt;0,I138*Y138/K138,0)</f>
        <v>0</v>
      </c>
    </row>
    <row r="139" customFormat="false" ht="15" hidden="false" customHeight="false" outlineLevel="0" collapsed="false">
      <c r="A139" s="57" t="s">
        <v>736</v>
      </c>
      <c r="B139" s="57" t="s">
        <v>218</v>
      </c>
      <c r="C139" s="57" t="s">
        <v>216</v>
      </c>
      <c r="D139" s="57" t="s">
        <v>287</v>
      </c>
      <c r="E139" s="57" t="s">
        <v>737</v>
      </c>
      <c r="F139" s="57"/>
      <c r="G139" s="57"/>
      <c r="H139" s="57"/>
      <c r="I139" s="57" t="n">
        <v>4.882</v>
      </c>
      <c r="J139" s="57" t="n">
        <v>4.882</v>
      </c>
      <c r="K139" s="57"/>
      <c r="L139" s="57" t="s">
        <v>731</v>
      </c>
      <c r="M139" s="57"/>
      <c r="N139" s="57"/>
      <c r="O139" s="57"/>
      <c r="P139" s="57"/>
      <c r="Q139" s="57"/>
      <c r="R139" s="57" t="n">
        <v>170</v>
      </c>
      <c r="S139" s="57" t="n">
        <v>0</v>
      </c>
      <c r="T139" s="57" t="n">
        <v>0</v>
      </c>
      <c r="U139" s="57" t="n">
        <v>0</v>
      </c>
      <c r="V139" s="57" t="n">
        <v>0</v>
      </c>
      <c r="W139" s="57" t="n">
        <v>0</v>
      </c>
      <c r="X139" s="57" t="n">
        <v>170</v>
      </c>
      <c r="Y139" s="57" t="n">
        <v>0</v>
      </c>
      <c r="Z139" s="57" t="n">
        <v>170</v>
      </c>
      <c r="AA139" s="57" t="n">
        <v>0</v>
      </c>
      <c r="AB139" s="57" t="n">
        <v>0</v>
      </c>
      <c r="AC139" s="57" t="n">
        <v>0</v>
      </c>
      <c r="AD139" s="57" t="n">
        <v>0</v>
      </c>
      <c r="AE139" s="57" t="n">
        <v>0</v>
      </c>
      <c r="AF139" s="57" t="n">
        <v>0</v>
      </c>
      <c r="AG139" s="57" t="n">
        <v>0</v>
      </c>
      <c r="AH139" s="57" t="s">
        <v>237</v>
      </c>
      <c r="AI139" s="57"/>
      <c r="AJ139" s="57" t="n">
        <v>134</v>
      </c>
      <c r="AK139" s="57" t="s">
        <v>287</v>
      </c>
      <c r="AL139" s="57" t="s">
        <v>347</v>
      </c>
      <c r="AM139" s="57" t="n">
        <v>1</v>
      </c>
      <c r="AN139" s="57" t="s">
        <v>575</v>
      </c>
      <c r="AO139" s="57" t="str">
        <f aca="false">IF(C139="County",IF(AL139="Rest of county","Remainder of County","Settlements"),IF(D139="City Centre","City Centre","Rest of City"))</f>
        <v>Rest of City</v>
      </c>
      <c r="AP139" s="57" t="str">
        <f aca="false">IF(LEFT(B139,13)="Council audit","Audit",IF(LEFT(B139,8)="Planning","Consent","Zoned"))</f>
        <v>Consent</v>
      </c>
      <c r="AQ139" s="57" t="n">
        <f aca="false">IF(N(K139)&gt;0,I139*Y139/K139,0)</f>
        <v>0</v>
      </c>
    </row>
    <row r="140" customFormat="false" ht="15" hidden="false" customHeight="false" outlineLevel="0" collapsed="false">
      <c r="A140" s="57" t="s">
        <v>738</v>
      </c>
      <c r="B140" s="57" t="s">
        <v>218</v>
      </c>
      <c r="C140" s="57" t="s">
        <v>220</v>
      </c>
      <c r="D140" s="57" t="s">
        <v>739</v>
      </c>
      <c r="E140" s="57" t="s">
        <v>740</v>
      </c>
      <c r="F140" s="57"/>
      <c r="G140" s="57"/>
      <c r="H140" s="57"/>
      <c r="I140" s="57" t="n">
        <v>5.882</v>
      </c>
      <c r="J140" s="57" t="n">
        <v>5.882</v>
      </c>
      <c r="K140" s="57"/>
      <c r="L140" s="57" t="s">
        <v>731</v>
      </c>
      <c r="M140" s="57"/>
      <c r="N140" s="57"/>
      <c r="O140" s="57"/>
      <c r="P140" s="57"/>
      <c r="Q140" s="57"/>
      <c r="R140" s="57" t="n">
        <v>0</v>
      </c>
      <c r="S140" s="57" t="n">
        <v>0</v>
      </c>
      <c r="T140" s="57" t="n">
        <v>63</v>
      </c>
      <c r="U140" s="57" t="n">
        <v>40</v>
      </c>
      <c r="V140" s="57" t="n">
        <v>49</v>
      </c>
      <c r="W140" s="57" t="n">
        <v>0</v>
      </c>
      <c r="X140" s="57" t="n">
        <v>103</v>
      </c>
      <c r="Y140" s="57" t="n">
        <v>0</v>
      </c>
      <c r="Z140" s="57" t="n">
        <v>103</v>
      </c>
      <c r="AA140" s="57" t="n">
        <v>103</v>
      </c>
      <c r="AB140" s="57" t="n">
        <v>0</v>
      </c>
      <c r="AC140" s="57" t="n">
        <v>0</v>
      </c>
      <c r="AD140" s="57" t="n">
        <v>24.1</v>
      </c>
      <c r="AE140" s="57" t="n">
        <v>38.9</v>
      </c>
      <c r="AF140" s="57" t="n">
        <v>0</v>
      </c>
      <c r="AG140" s="57" t="n">
        <v>0</v>
      </c>
      <c r="AH140" s="57" t="s">
        <v>239</v>
      </c>
      <c r="AI140" s="57"/>
      <c r="AJ140" s="57" t="n">
        <v>0</v>
      </c>
      <c r="AK140" s="57" t="s">
        <v>364</v>
      </c>
      <c r="AL140" s="57" t="s">
        <v>356</v>
      </c>
      <c r="AM140" s="57" t="n">
        <v>0.05</v>
      </c>
      <c r="AN140" s="57" t="s">
        <v>575</v>
      </c>
      <c r="AO140" s="57" t="str">
        <f aca="false">IF(C140="County",IF(AL140="Rest of county","Remainder of County","Settlements"),IF(D140="City Centre","City Centre","Rest of City"))</f>
        <v>Settlements</v>
      </c>
      <c r="AP140" s="57" t="str">
        <f aca="false">IF(LEFT(B140,13)="Council audit","Audit",IF(LEFT(B140,8)="Planning","Consent","Zoned"))</f>
        <v>Consent</v>
      </c>
      <c r="AQ140" s="57" t="n">
        <f aca="false">IF(N(K140)&gt;0,I140*Y140/K140,0)</f>
        <v>0</v>
      </c>
    </row>
    <row r="141" customFormat="false" ht="15" hidden="false" customHeight="false" outlineLevel="0" collapsed="false">
      <c r="A141" s="57" t="s">
        <v>741</v>
      </c>
      <c r="B141" s="57" t="s">
        <v>218</v>
      </c>
      <c r="C141" s="57" t="s">
        <v>220</v>
      </c>
      <c r="D141" s="57" t="s">
        <v>739</v>
      </c>
      <c r="E141" s="57" t="s">
        <v>742</v>
      </c>
      <c r="F141" s="57"/>
      <c r="G141" s="57"/>
      <c r="H141" s="57"/>
      <c r="I141" s="57" t="n">
        <v>5.006</v>
      </c>
      <c r="J141" s="57" t="n">
        <v>5.006</v>
      </c>
      <c r="K141" s="57"/>
      <c r="L141" s="57" t="s">
        <v>731</v>
      </c>
      <c r="M141" s="57"/>
      <c r="N141" s="57"/>
      <c r="O141" s="57"/>
      <c r="P141" s="57"/>
      <c r="Q141" s="57"/>
      <c r="R141" s="57" t="n">
        <v>0</v>
      </c>
      <c r="S141" s="57" t="n">
        <v>0</v>
      </c>
      <c r="T141" s="57" t="n">
        <v>127</v>
      </c>
      <c r="U141" s="57" t="n">
        <v>0</v>
      </c>
      <c r="V141" s="57" t="n">
        <v>0</v>
      </c>
      <c r="W141" s="57" t="n">
        <v>0</v>
      </c>
      <c r="X141" s="57" t="n">
        <v>127</v>
      </c>
      <c r="Y141" s="57" t="n">
        <v>0</v>
      </c>
      <c r="Z141" s="57" t="n">
        <v>127</v>
      </c>
      <c r="AA141" s="57" t="n">
        <v>127</v>
      </c>
      <c r="AB141" s="57" t="n">
        <v>0</v>
      </c>
      <c r="AC141" s="57" t="n">
        <v>0</v>
      </c>
      <c r="AD141" s="57" t="n">
        <v>46.4</v>
      </c>
      <c r="AE141" s="57" t="n">
        <v>58.6</v>
      </c>
      <c r="AF141" s="57" t="n">
        <v>22</v>
      </c>
      <c r="AG141" s="57" t="n">
        <v>0</v>
      </c>
      <c r="AH141" s="57" t="s">
        <v>239</v>
      </c>
      <c r="AI141" s="57"/>
      <c r="AJ141" s="57" t="n">
        <v>0</v>
      </c>
      <c r="AK141" s="57" t="s">
        <v>355</v>
      </c>
      <c r="AL141" s="57" t="s">
        <v>356</v>
      </c>
      <c r="AM141" s="57" t="n">
        <v>0</v>
      </c>
      <c r="AN141" s="57" t="s">
        <v>743</v>
      </c>
      <c r="AO141" s="57" t="str">
        <f aca="false">IF(C141="County",IF(AL141="Rest of county","Remainder of County","Settlements"),IF(D141="City Centre","City Centre","Rest of City"))</f>
        <v>Settlements</v>
      </c>
      <c r="AP141" s="57" t="str">
        <f aca="false">IF(LEFT(B141,13)="Council audit","Audit",IF(LEFT(B141,8)="Planning","Consent","Zoned"))</f>
        <v>Consent</v>
      </c>
      <c r="AQ141" s="57" t="n">
        <f aca="false">IF(N(K141)&gt;0,I141*Y141/K141,0)</f>
        <v>0</v>
      </c>
    </row>
    <row r="142" customFormat="false" ht="15" hidden="false" customHeight="false" outlineLevel="0" collapsed="false">
      <c r="A142" s="57" t="s">
        <v>744</v>
      </c>
      <c r="B142" s="57" t="s">
        <v>218</v>
      </c>
      <c r="C142" s="57" t="s">
        <v>216</v>
      </c>
      <c r="D142" s="57" t="s">
        <v>285</v>
      </c>
      <c r="E142" s="57" t="s">
        <v>745</v>
      </c>
      <c r="F142" s="57"/>
      <c r="G142" s="57"/>
      <c r="H142" s="57"/>
      <c r="I142" s="57" t="n">
        <v>3.468</v>
      </c>
      <c r="J142" s="57" t="n">
        <v>3.468</v>
      </c>
      <c r="K142" s="57"/>
      <c r="L142" s="57" t="s">
        <v>731</v>
      </c>
      <c r="M142" s="57"/>
      <c r="N142" s="57"/>
      <c r="O142" s="57"/>
      <c r="P142" s="57"/>
      <c r="Q142" s="57"/>
      <c r="R142" s="57" t="n">
        <v>0</v>
      </c>
      <c r="S142" s="57" t="n">
        <v>122</v>
      </c>
      <c r="T142" s="57" t="n">
        <v>0</v>
      </c>
      <c r="U142" s="57" t="n">
        <v>0</v>
      </c>
      <c r="V142" s="57" t="n">
        <v>0</v>
      </c>
      <c r="W142" s="57" t="n">
        <v>0</v>
      </c>
      <c r="X142" s="57" t="n">
        <v>122</v>
      </c>
      <c r="Y142" s="57" t="n">
        <v>0</v>
      </c>
      <c r="Z142" s="57" t="n">
        <v>122</v>
      </c>
      <c r="AA142" s="57" t="n">
        <v>122</v>
      </c>
      <c r="AB142" s="57" t="n">
        <v>28.5</v>
      </c>
      <c r="AC142" s="57" t="n">
        <v>93.5</v>
      </c>
      <c r="AD142" s="57" t="n">
        <v>0</v>
      </c>
      <c r="AE142" s="57" t="n">
        <v>0</v>
      </c>
      <c r="AF142" s="57" t="n">
        <v>0</v>
      </c>
      <c r="AG142" s="57" t="n">
        <v>0</v>
      </c>
      <c r="AH142" s="57" t="s">
        <v>239</v>
      </c>
      <c r="AI142" s="57"/>
      <c r="AJ142" s="57" t="n">
        <v>86</v>
      </c>
      <c r="AK142" s="57" t="s">
        <v>285</v>
      </c>
      <c r="AL142" s="57" t="s">
        <v>347</v>
      </c>
      <c r="AM142" s="57" t="n">
        <v>1</v>
      </c>
      <c r="AN142" s="57" t="s">
        <v>575</v>
      </c>
      <c r="AO142" s="57" t="str">
        <f aca="false">IF(C142="County",IF(AL142="Rest of county","Remainder of County","Settlements"),IF(D142="City Centre","City Centre","Rest of City"))</f>
        <v>Rest of City</v>
      </c>
      <c r="AP142" s="57" t="str">
        <f aca="false">IF(LEFT(B142,13)="Council audit","Audit",IF(LEFT(B142,8)="Planning","Consent","Zoned"))</f>
        <v>Consent</v>
      </c>
      <c r="AQ142" s="57" t="n">
        <f aca="false">IF(N(K142)&gt;0,I142*Y142/K142,0)</f>
        <v>0</v>
      </c>
    </row>
    <row r="143" customFormat="false" ht="15" hidden="false" customHeight="false" outlineLevel="0" collapsed="false">
      <c r="A143" s="57" t="s">
        <v>746</v>
      </c>
      <c r="B143" s="57" t="s">
        <v>218</v>
      </c>
      <c r="C143" s="57" t="s">
        <v>216</v>
      </c>
      <c r="D143" s="57" t="s">
        <v>285</v>
      </c>
      <c r="E143" s="57" t="s">
        <v>747</v>
      </c>
      <c r="F143" s="57"/>
      <c r="G143" s="57"/>
      <c r="H143" s="57"/>
      <c r="I143" s="57" t="n">
        <v>3.097</v>
      </c>
      <c r="J143" s="57" t="n">
        <v>3.097</v>
      </c>
      <c r="K143" s="57"/>
      <c r="L143" s="57" t="s">
        <v>731</v>
      </c>
      <c r="M143" s="57"/>
      <c r="N143" s="57"/>
      <c r="O143" s="57"/>
      <c r="P143" s="57"/>
      <c r="Q143" s="57"/>
      <c r="R143" s="57" t="n">
        <v>0</v>
      </c>
      <c r="S143" s="57" t="n">
        <v>122</v>
      </c>
      <c r="T143" s="57" t="n">
        <v>0</v>
      </c>
      <c r="U143" s="57" t="n">
        <v>0</v>
      </c>
      <c r="V143" s="57" t="n">
        <v>0</v>
      </c>
      <c r="W143" s="57" t="n">
        <v>0</v>
      </c>
      <c r="X143" s="57" t="n">
        <v>122</v>
      </c>
      <c r="Y143" s="57" t="n">
        <v>0</v>
      </c>
      <c r="Z143" s="57" t="n">
        <v>122</v>
      </c>
      <c r="AA143" s="57" t="n">
        <v>122</v>
      </c>
      <c r="AB143" s="57" t="n">
        <v>28.4</v>
      </c>
      <c r="AC143" s="57" t="n">
        <v>93.6</v>
      </c>
      <c r="AD143" s="57" t="n">
        <v>0</v>
      </c>
      <c r="AE143" s="57" t="n">
        <v>0</v>
      </c>
      <c r="AF143" s="57" t="n">
        <v>0</v>
      </c>
      <c r="AG143" s="57" t="n">
        <v>0</v>
      </c>
      <c r="AH143" s="57" t="s">
        <v>239</v>
      </c>
      <c r="AI143" s="57"/>
      <c r="AJ143" s="57" t="n">
        <v>56</v>
      </c>
      <c r="AK143" s="57" t="s">
        <v>285</v>
      </c>
      <c r="AL143" s="57" t="s">
        <v>347</v>
      </c>
      <c r="AM143" s="57" t="n">
        <v>1</v>
      </c>
      <c r="AN143" s="57" t="s">
        <v>575</v>
      </c>
      <c r="AO143" s="57" t="str">
        <f aca="false">IF(C143="County",IF(AL143="Rest of county","Remainder of County","Settlements"),IF(D143="City Centre","City Centre","Rest of City"))</f>
        <v>Rest of City</v>
      </c>
      <c r="AP143" s="57" t="str">
        <f aca="false">IF(LEFT(B143,13)="Council audit","Audit",IF(LEFT(B143,8)="Planning","Consent","Zoned"))</f>
        <v>Consent</v>
      </c>
      <c r="AQ143" s="57" t="n">
        <f aca="false">IF(N(K143)&gt;0,I143*Y143/K143,0)</f>
        <v>0</v>
      </c>
    </row>
    <row r="144" customFormat="false" ht="15" hidden="false" customHeight="false" outlineLevel="0" collapsed="false">
      <c r="A144" s="57" t="s">
        <v>748</v>
      </c>
      <c r="B144" s="57" t="s">
        <v>218</v>
      </c>
      <c r="C144" s="57" t="s">
        <v>220</v>
      </c>
      <c r="D144" s="57" t="s">
        <v>739</v>
      </c>
      <c r="E144" s="57" t="s">
        <v>749</v>
      </c>
      <c r="F144" s="57"/>
      <c r="G144" s="57"/>
      <c r="H144" s="57"/>
      <c r="I144" s="57" t="n">
        <v>2.789</v>
      </c>
      <c r="J144" s="57" t="n">
        <v>2.789</v>
      </c>
      <c r="K144" s="57"/>
      <c r="L144" s="57" t="s">
        <v>731</v>
      </c>
      <c r="M144" s="57"/>
      <c r="N144" s="57"/>
      <c r="O144" s="57"/>
      <c r="P144" s="57"/>
      <c r="Q144" s="57"/>
      <c r="R144" s="57" t="n">
        <v>0</v>
      </c>
      <c r="S144" s="57" t="n">
        <v>0</v>
      </c>
      <c r="T144" s="57" t="n">
        <v>68</v>
      </c>
      <c r="U144" s="57" t="n">
        <v>0</v>
      </c>
      <c r="V144" s="57" t="n">
        <v>0</v>
      </c>
      <c r="W144" s="57" t="n">
        <v>48</v>
      </c>
      <c r="X144" s="57" t="n">
        <v>68</v>
      </c>
      <c r="Y144" s="57" t="n">
        <v>0</v>
      </c>
      <c r="Z144" s="57" t="n">
        <v>68</v>
      </c>
      <c r="AA144" s="57" t="n">
        <v>68</v>
      </c>
      <c r="AB144" s="57" t="n">
        <v>0</v>
      </c>
      <c r="AC144" s="57" t="n">
        <v>0</v>
      </c>
      <c r="AD144" s="57" t="n">
        <v>53</v>
      </c>
      <c r="AE144" s="57" t="n">
        <v>15</v>
      </c>
      <c r="AF144" s="57" t="n">
        <v>0</v>
      </c>
      <c r="AG144" s="57" t="n">
        <v>0</v>
      </c>
      <c r="AH144" s="57" t="s">
        <v>239</v>
      </c>
      <c r="AI144" s="57"/>
      <c r="AJ144" s="57" t="n">
        <v>0</v>
      </c>
      <c r="AK144" s="57" t="s">
        <v>350</v>
      </c>
      <c r="AL144" s="57" t="s">
        <v>349</v>
      </c>
      <c r="AM144" s="57" t="n">
        <v>0</v>
      </c>
      <c r="AN144" s="57" t="s">
        <v>743</v>
      </c>
      <c r="AO144" s="57" t="str">
        <f aca="false">IF(C144="County",IF(AL144="Rest of county","Remainder of County","Settlements"),IF(D144="City Centre","City Centre","Rest of City"))</f>
        <v>Settlements</v>
      </c>
      <c r="AP144" s="57" t="str">
        <f aca="false">IF(LEFT(B144,13)="Council audit","Audit",IF(LEFT(B144,8)="Planning","Consent","Zoned"))</f>
        <v>Consent</v>
      </c>
      <c r="AQ144" s="57" t="n">
        <f aca="false">IF(N(K144)&gt;0,I144*Y144/K144,0)</f>
        <v>0</v>
      </c>
    </row>
    <row r="145" customFormat="false" ht="15" hidden="false" customHeight="false" outlineLevel="0" collapsed="false">
      <c r="A145" s="57" t="s">
        <v>750</v>
      </c>
      <c r="B145" s="57" t="s">
        <v>218</v>
      </c>
      <c r="C145" s="57" t="s">
        <v>220</v>
      </c>
      <c r="D145" s="57" t="s">
        <v>739</v>
      </c>
      <c r="E145" s="57" t="s">
        <v>751</v>
      </c>
      <c r="F145" s="57"/>
      <c r="G145" s="57"/>
      <c r="H145" s="57"/>
      <c r="I145" s="57" t="n">
        <v>4.427</v>
      </c>
      <c r="J145" s="57" t="n">
        <v>4.427</v>
      </c>
      <c r="K145" s="57"/>
      <c r="L145" s="57" t="s">
        <v>731</v>
      </c>
      <c r="M145" s="57"/>
      <c r="N145" s="57"/>
      <c r="O145" s="57"/>
      <c r="P145" s="57"/>
      <c r="Q145" s="57"/>
      <c r="R145" s="57" t="n">
        <v>54</v>
      </c>
      <c r="S145" s="57" t="n">
        <v>58</v>
      </c>
      <c r="T145" s="57" t="n">
        <v>0</v>
      </c>
      <c r="U145" s="57" t="n">
        <v>0</v>
      </c>
      <c r="V145" s="57" t="n">
        <v>0</v>
      </c>
      <c r="W145" s="57" t="n">
        <v>0</v>
      </c>
      <c r="X145" s="57" t="n">
        <v>112</v>
      </c>
      <c r="Y145" s="57" t="n">
        <v>0</v>
      </c>
      <c r="Z145" s="57" t="n">
        <v>112</v>
      </c>
      <c r="AA145" s="57" t="n">
        <v>58</v>
      </c>
      <c r="AB145" s="57" t="n">
        <v>13.5</v>
      </c>
      <c r="AC145" s="57" t="n">
        <v>44.5</v>
      </c>
      <c r="AD145" s="57" t="n">
        <v>0</v>
      </c>
      <c r="AE145" s="57" t="n">
        <v>0</v>
      </c>
      <c r="AF145" s="57" t="n">
        <v>0</v>
      </c>
      <c r="AG145" s="57" t="n">
        <v>0</v>
      </c>
      <c r="AH145" s="57" t="s">
        <v>238</v>
      </c>
      <c r="AI145" s="57"/>
      <c r="AJ145" s="57" t="n">
        <v>85</v>
      </c>
      <c r="AK145" s="57" t="s">
        <v>364</v>
      </c>
      <c r="AL145" s="57" t="s">
        <v>356</v>
      </c>
      <c r="AM145" s="57" t="n">
        <v>1</v>
      </c>
      <c r="AN145" s="57" t="s">
        <v>575</v>
      </c>
      <c r="AO145" s="57" t="str">
        <f aca="false">IF(C145="County",IF(AL145="Rest of county","Remainder of County","Settlements"),IF(D145="City Centre","City Centre","Rest of City"))</f>
        <v>Settlements</v>
      </c>
      <c r="AP145" s="57" t="str">
        <f aca="false">IF(LEFT(B145,13)="Council audit","Audit",IF(LEFT(B145,8)="Planning","Consent","Zoned"))</f>
        <v>Consent</v>
      </c>
      <c r="AQ145" s="57" t="n">
        <f aca="false">IF(N(K145)&gt;0,I145*Y145/K145,0)</f>
        <v>0</v>
      </c>
    </row>
    <row r="146" customFormat="false" ht="15" hidden="false" customHeight="false" outlineLevel="0" collapsed="false">
      <c r="A146" s="57" t="s">
        <v>752</v>
      </c>
      <c r="B146" s="57" t="s">
        <v>218</v>
      </c>
      <c r="C146" s="57" t="s">
        <v>216</v>
      </c>
      <c r="D146" s="57" t="s">
        <v>286</v>
      </c>
      <c r="E146" s="57" t="s">
        <v>753</v>
      </c>
      <c r="F146" s="57"/>
      <c r="G146" s="57"/>
      <c r="H146" s="57"/>
      <c r="I146" s="57" t="n">
        <v>0.935</v>
      </c>
      <c r="J146" s="57" t="n">
        <v>0.935</v>
      </c>
      <c r="K146" s="57"/>
      <c r="L146" s="57" t="s">
        <v>731</v>
      </c>
      <c r="M146" s="57"/>
      <c r="N146" s="57"/>
      <c r="O146" s="57"/>
      <c r="P146" s="57"/>
      <c r="Q146" s="57"/>
      <c r="R146" s="57" t="n">
        <v>0</v>
      </c>
      <c r="S146" s="57" t="n">
        <v>0</v>
      </c>
      <c r="T146" s="57" t="n">
        <v>104</v>
      </c>
      <c r="U146" s="57" t="n">
        <v>0</v>
      </c>
      <c r="V146" s="57" t="n">
        <v>0</v>
      </c>
      <c r="W146" s="57" t="n">
        <v>0</v>
      </c>
      <c r="X146" s="57" t="n">
        <v>104</v>
      </c>
      <c r="Y146" s="57" t="n">
        <v>0</v>
      </c>
      <c r="Z146" s="57" t="n">
        <v>104</v>
      </c>
      <c r="AA146" s="57" t="n">
        <v>104</v>
      </c>
      <c r="AB146" s="57" t="n">
        <v>0</v>
      </c>
      <c r="AC146" s="57" t="n">
        <v>0</v>
      </c>
      <c r="AD146" s="57" t="n">
        <v>70</v>
      </c>
      <c r="AE146" s="57" t="n">
        <v>34</v>
      </c>
      <c r="AF146" s="57" t="n">
        <v>0</v>
      </c>
      <c r="AG146" s="57" t="n">
        <v>0</v>
      </c>
      <c r="AH146" s="57" t="s">
        <v>239</v>
      </c>
      <c r="AI146" s="57"/>
      <c r="AJ146" s="57" t="n">
        <v>0</v>
      </c>
      <c r="AK146" s="57" t="s">
        <v>286</v>
      </c>
      <c r="AL146" s="57" t="s">
        <v>347</v>
      </c>
      <c r="AM146" s="57" t="n">
        <v>1</v>
      </c>
      <c r="AN146" s="57" t="s">
        <v>575</v>
      </c>
      <c r="AO146" s="57" t="str">
        <f aca="false">IF(C146="County",IF(AL146="Rest of county","Remainder of County","Settlements"),IF(D146="City Centre","City Centre","Rest of City"))</f>
        <v>Rest of City</v>
      </c>
      <c r="AP146" s="57" t="str">
        <f aca="false">IF(LEFT(B146,13)="Council audit","Audit",IF(LEFT(B146,8)="Planning","Consent","Zoned"))</f>
        <v>Consent</v>
      </c>
      <c r="AQ146" s="57" t="n">
        <f aca="false">IF(N(K146)&gt;0,I146*Y146/K146,0)</f>
        <v>0</v>
      </c>
    </row>
    <row r="147" customFormat="false" ht="15" hidden="false" customHeight="false" outlineLevel="0" collapsed="false">
      <c r="A147" s="57" t="s">
        <v>754</v>
      </c>
      <c r="B147" s="57" t="s">
        <v>218</v>
      </c>
      <c r="C147" s="57" t="s">
        <v>216</v>
      </c>
      <c r="D147" s="57" t="s">
        <v>286</v>
      </c>
      <c r="E147" s="57" t="s">
        <v>755</v>
      </c>
      <c r="F147" s="57"/>
      <c r="G147" s="57"/>
      <c r="H147" s="57"/>
      <c r="I147" s="57" t="n">
        <v>2.869</v>
      </c>
      <c r="J147" s="57" t="n">
        <v>2.869</v>
      </c>
      <c r="K147" s="57"/>
      <c r="L147" s="57" t="s">
        <v>731</v>
      </c>
      <c r="M147" s="57"/>
      <c r="N147" s="57"/>
      <c r="O147" s="57"/>
      <c r="P147" s="57"/>
      <c r="Q147" s="57"/>
      <c r="R147" s="57" t="n">
        <v>0</v>
      </c>
      <c r="S147" s="57" t="n">
        <v>101</v>
      </c>
      <c r="T147" s="57" t="n">
        <v>0</v>
      </c>
      <c r="U147" s="57" t="n">
        <v>0</v>
      </c>
      <c r="V147" s="57" t="n">
        <v>0</v>
      </c>
      <c r="W147" s="57" t="n">
        <v>0</v>
      </c>
      <c r="X147" s="57" t="n">
        <v>101</v>
      </c>
      <c r="Y147" s="57" t="n">
        <v>0</v>
      </c>
      <c r="Z147" s="57" t="n">
        <v>101</v>
      </c>
      <c r="AA147" s="57" t="n">
        <v>101</v>
      </c>
      <c r="AB147" s="57" t="n">
        <v>23.5</v>
      </c>
      <c r="AC147" s="57" t="n">
        <v>77.5</v>
      </c>
      <c r="AD147" s="57" t="n">
        <v>0</v>
      </c>
      <c r="AE147" s="57" t="n">
        <v>0</v>
      </c>
      <c r="AF147" s="57" t="n">
        <v>0</v>
      </c>
      <c r="AG147" s="57" t="n">
        <v>0</v>
      </c>
      <c r="AH147" s="57" t="s">
        <v>239</v>
      </c>
      <c r="AI147" s="57"/>
      <c r="AJ147" s="57" t="n">
        <v>113</v>
      </c>
      <c r="AK147" s="57" t="s">
        <v>286</v>
      </c>
      <c r="AL147" s="57" t="s">
        <v>347</v>
      </c>
      <c r="AM147" s="57" t="n">
        <v>1</v>
      </c>
      <c r="AN147" s="57" t="s">
        <v>575</v>
      </c>
      <c r="AO147" s="57" t="str">
        <f aca="false">IF(C147="County",IF(AL147="Rest of county","Remainder of County","Settlements"),IF(D147="City Centre","City Centre","Rest of City"))</f>
        <v>Rest of City</v>
      </c>
      <c r="AP147" s="57" t="str">
        <f aca="false">IF(LEFT(B147,13)="Council audit","Audit",IF(LEFT(B147,8)="Planning","Consent","Zoned"))</f>
        <v>Consent</v>
      </c>
      <c r="AQ147" s="57" t="n">
        <f aca="false">IF(N(K147)&gt;0,I147*Y147/K147,0)</f>
        <v>0</v>
      </c>
    </row>
    <row r="148" customFormat="false" ht="15" hidden="false" customHeight="false" outlineLevel="0" collapsed="false">
      <c r="A148" s="57" t="s">
        <v>756</v>
      </c>
      <c r="B148" s="57" t="s">
        <v>218</v>
      </c>
      <c r="C148" s="57" t="s">
        <v>216</v>
      </c>
      <c r="D148" s="57" t="s">
        <v>285</v>
      </c>
      <c r="E148" s="57" t="s">
        <v>757</v>
      </c>
      <c r="F148" s="57"/>
      <c r="G148" s="57"/>
      <c r="H148" s="57"/>
      <c r="I148" s="57" t="n">
        <v>3.249</v>
      </c>
      <c r="J148" s="57" t="n">
        <v>3.249</v>
      </c>
      <c r="K148" s="57"/>
      <c r="L148" s="57" t="s">
        <v>731</v>
      </c>
      <c r="M148" s="57"/>
      <c r="N148" s="57"/>
      <c r="O148" s="57"/>
      <c r="P148" s="57"/>
      <c r="Q148" s="57"/>
      <c r="R148" s="57" t="n">
        <v>38</v>
      </c>
      <c r="S148" s="57" t="n">
        <v>62</v>
      </c>
      <c r="T148" s="57" t="n">
        <v>0</v>
      </c>
      <c r="U148" s="57" t="n">
        <v>0</v>
      </c>
      <c r="V148" s="57" t="n">
        <v>0</v>
      </c>
      <c r="W148" s="57" t="n">
        <v>0</v>
      </c>
      <c r="X148" s="57" t="n">
        <v>100</v>
      </c>
      <c r="Y148" s="57" t="n">
        <v>0</v>
      </c>
      <c r="Z148" s="57" t="n">
        <v>100</v>
      </c>
      <c r="AA148" s="57" t="n">
        <v>62</v>
      </c>
      <c r="AB148" s="57" t="n">
        <v>14.4</v>
      </c>
      <c r="AC148" s="57" t="n">
        <v>47.6</v>
      </c>
      <c r="AD148" s="57" t="n">
        <v>0</v>
      </c>
      <c r="AE148" s="57" t="n">
        <v>0</v>
      </c>
      <c r="AF148" s="57" t="n">
        <v>0</v>
      </c>
      <c r="AG148" s="57" t="n">
        <v>0</v>
      </c>
      <c r="AH148" s="57" t="s">
        <v>238</v>
      </c>
      <c r="AI148" s="57"/>
      <c r="AJ148" s="57" t="n">
        <v>101</v>
      </c>
      <c r="AK148" s="57" t="s">
        <v>285</v>
      </c>
      <c r="AL148" s="57" t="s">
        <v>347</v>
      </c>
      <c r="AM148" s="57" t="n">
        <v>1</v>
      </c>
      <c r="AN148" s="57" t="s">
        <v>575</v>
      </c>
      <c r="AO148" s="57" t="str">
        <f aca="false">IF(C148="County",IF(AL148="Rest of county","Remainder of County","Settlements"),IF(D148="City Centre","City Centre","Rest of City"))</f>
        <v>Rest of City</v>
      </c>
      <c r="AP148" s="57" t="str">
        <f aca="false">IF(LEFT(B148,13)="Council audit","Audit",IF(LEFT(B148,8)="Planning","Consent","Zoned"))</f>
        <v>Consent</v>
      </c>
      <c r="AQ148" s="57" t="n">
        <f aca="false">IF(N(K148)&gt;0,I148*Y148/K148,0)</f>
        <v>0</v>
      </c>
    </row>
    <row r="149" customFormat="false" ht="15" hidden="false" customHeight="false" outlineLevel="0" collapsed="false">
      <c r="A149" s="57" t="s">
        <v>758</v>
      </c>
      <c r="B149" s="57" t="s">
        <v>218</v>
      </c>
      <c r="C149" s="57" t="s">
        <v>216</v>
      </c>
      <c r="D149" s="57" t="s">
        <v>258</v>
      </c>
      <c r="E149" s="57" t="s">
        <v>759</v>
      </c>
      <c r="F149" s="57"/>
      <c r="G149" s="57"/>
      <c r="H149" s="57"/>
      <c r="I149" s="57" t="n">
        <v>0.206</v>
      </c>
      <c r="J149" s="57" t="n">
        <v>0.206</v>
      </c>
      <c r="K149" s="57"/>
      <c r="L149" s="57" t="s">
        <v>731</v>
      </c>
      <c r="M149" s="57"/>
      <c r="N149" s="57"/>
      <c r="O149" s="57"/>
      <c r="P149" s="57"/>
      <c r="Q149" s="57"/>
      <c r="R149" s="57" t="n">
        <v>0</v>
      </c>
      <c r="S149" s="57" t="n">
        <v>0</v>
      </c>
      <c r="T149" s="57" t="n">
        <v>76</v>
      </c>
      <c r="U149" s="57" t="n">
        <v>0</v>
      </c>
      <c r="V149" s="57" t="n">
        <v>24</v>
      </c>
      <c r="W149" s="57" t="n">
        <v>0</v>
      </c>
      <c r="X149" s="57" t="n">
        <v>76</v>
      </c>
      <c r="Y149" s="57" t="n">
        <v>0</v>
      </c>
      <c r="Z149" s="57" t="n">
        <v>76</v>
      </c>
      <c r="AA149" s="57" t="n">
        <v>76</v>
      </c>
      <c r="AB149" s="57" t="n">
        <v>0</v>
      </c>
      <c r="AC149" s="57" t="n">
        <v>0</v>
      </c>
      <c r="AD149" s="57" t="n">
        <v>26.3</v>
      </c>
      <c r="AE149" s="57" t="n">
        <v>49.7</v>
      </c>
      <c r="AF149" s="57" t="n">
        <v>0</v>
      </c>
      <c r="AG149" s="57" t="n">
        <v>0</v>
      </c>
      <c r="AH149" s="57" t="s">
        <v>239</v>
      </c>
      <c r="AI149" s="57"/>
      <c r="AJ149" s="57" t="n">
        <v>0</v>
      </c>
      <c r="AK149" s="57" t="s">
        <v>258</v>
      </c>
      <c r="AL149" s="57" t="s">
        <v>347</v>
      </c>
      <c r="AM149" s="57" t="n">
        <v>1</v>
      </c>
      <c r="AN149" s="57" t="s">
        <v>575</v>
      </c>
      <c r="AO149" s="57" t="str">
        <f aca="false">IF(C149="County",IF(AL149="Rest of county","Remainder of County","Settlements"),IF(D149="City Centre","City Centre","Rest of City"))</f>
        <v>City Centre</v>
      </c>
      <c r="AP149" s="57" t="str">
        <f aca="false">IF(LEFT(B149,13)="Council audit","Audit",IF(LEFT(B149,8)="Planning","Consent","Zoned"))</f>
        <v>Consent</v>
      </c>
      <c r="AQ149" s="57" t="n">
        <f aca="false">IF(N(K149)&gt;0,I149*Y149/K149,0)</f>
        <v>0</v>
      </c>
    </row>
    <row r="150" customFormat="false" ht="15" hidden="false" customHeight="false" outlineLevel="0" collapsed="false">
      <c r="A150" s="57" t="s">
        <v>760</v>
      </c>
      <c r="B150" s="57" t="s">
        <v>218</v>
      </c>
      <c r="C150" s="57" t="s">
        <v>216</v>
      </c>
      <c r="D150" s="57" t="s">
        <v>286</v>
      </c>
      <c r="E150" s="57" t="s">
        <v>761</v>
      </c>
      <c r="F150" s="57"/>
      <c r="G150" s="57"/>
      <c r="H150" s="57"/>
      <c r="I150" s="57" t="n">
        <v>2.48</v>
      </c>
      <c r="J150" s="57" t="n">
        <v>2.48</v>
      </c>
      <c r="K150" s="57"/>
      <c r="L150" s="57" t="s">
        <v>731</v>
      </c>
      <c r="M150" s="57"/>
      <c r="N150" s="57"/>
      <c r="O150" s="57"/>
      <c r="P150" s="57"/>
      <c r="Q150" s="57"/>
      <c r="R150" s="57" t="n">
        <v>0</v>
      </c>
      <c r="S150" s="57" t="n">
        <v>99</v>
      </c>
      <c r="T150" s="57" t="n">
        <v>0</v>
      </c>
      <c r="U150" s="57" t="n">
        <v>0</v>
      </c>
      <c r="V150" s="57" t="n">
        <v>0</v>
      </c>
      <c r="W150" s="57" t="n">
        <v>0</v>
      </c>
      <c r="X150" s="57" t="n">
        <v>99</v>
      </c>
      <c r="Y150" s="57" t="n">
        <v>0</v>
      </c>
      <c r="Z150" s="57" t="n">
        <v>99</v>
      </c>
      <c r="AA150" s="57" t="n">
        <v>99</v>
      </c>
      <c r="AB150" s="57" t="n">
        <v>23.1</v>
      </c>
      <c r="AC150" s="57" t="n">
        <v>75.9</v>
      </c>
      <c r="AD150" s="57" t="n">
        <v>0</v>
      </c>
      <c r="AE150" s="57" t="n">
        <v>0</v>
      </c>
      <c r="AF150" s="57" t="n">
        <v>0</v>
      </c>
      <c r="AG150" s="57" t="n">
        <v>0</v>
      </c>
      <c r="AH150" s="57" t="s">
        <v>239</v>
      </c>
      <c r="AI150" s="57"/>
      <c r="AJ150" s="57" t="n">
        <v>39</v>
      </c>
      <c r="AK150" s="57" t="s">
        <v>286</v>
      </c>
      <c r="AL150" s="57" t="s">
        <v>347</v>
      </c>
      <c r="AM150" s="57" t="n">
        <v>1</v>
      </c>
      <c r="AN150" s="57" t="s">
        <v>575</v>
      </c>
      <c r="AO150" s="57" t="str">
        <f aca="false">IF(C150="County",IF(AL150="Rest of county","Remainder of County","Settlements"),IF(D150="City Centre","City Centre","Rest of City"))</f>
        <v>Rest of City</v>
      </c>
      <c r="AP150" s="57" t="str">
        <f aca="false">IF(LEFT(B150,13)="Council audit","Audit",IF(LEFT(B150,8)="Planning","Consent","Zoned"))</f>
        <v>Consent</v>
      </c>
      <c r="AQ150" s="57" t="n">
        <f aca="false">IF(N(K150)&gt;0,I150*Y150/K150,0)</f>
        <v>0</v>
      </c>
    </row>
    <row r="151" customFormat="false" ht="15" hidden="false" customHeight="false" outlineLevel="0" collapsed="false">
      <c r="A151" s="57" t="s">
        <v>762</v>
      </c>
      <c r="B151" s="57" t="s">
        <v>218</v>
      </c>
      <c r="C151" s="57" t="s">
        <v>220</v>
      </c>
      <c r="D151" s="57" t="s">
        <v>739</v>
      </c>
      <c r="E151" s="57" t="s">
        <v>763</v>
      </c>
      <c r="F151" s="57"/>
      <c r="G151" s="57"/>
      <c r="H151" s="57"/>
      <c r="I151" s="57" t="n">
        <v>2.819</v>
      </c>
      <c r="J151" s="57" t="n">
        <v>2.819</v>
      </c>
      <c r="K151" s="57"/>
      <c r="L151" s="57" t="s">
        <v>731</v>
      </c>
      <c r="M151" s="57"/>
      <c r="N151" s="57"/>
      <c r="O151" s="57"/>
      <c r="P151" s="57"/>
      <c r="Q151" s="57"/>
      <c r="R151" s="57" t="n">
        <v>0</v>
      </c>
      <c r="S151" s="57" t="n">
        <v>93</v>
      </c>
      <c r="T151" s="57" t="n">
        <v>0</v>
      </c>
      <c r="U151" s="57" t="n">
        <v>0</v>
      </c>
      <c r="V151" s="57" t="n">
        <v>0</v>
      </c>
      <c r="W151" s="57" t="n">
        <v>0</v>
      </c>
      <c r="X151" s="57" t="n">
        <v>93</v>
      </c>
      <c r="Y151" s="57" t="n">
        <v>0</v>
      </c>
      <c r="Z151" s="57" t="n">
        <v>93</v>
      </c>
      <c r="AA151" s="57" t="n">
        <v>93</v>
      </c>
      <c r="AB151" s="57" t="n">
        <v>21.7</v>
      </c>
      <c r="AC151" s="57" t="n">
        <v>71.3</v>
      </c>
      <c r="AD151" s="57" t="n">
        <v>0</v>
      </c>
      <c r="AE151" s="57" t="n">
        <v>0</v>
      </c>
      <c r="AF151" s="57" t="n">
        <v>0</v>
      </c>
      <c r="AG151" s="57" t="n">
        <v>0</v>
      </c>
      <c r="AH151" s="57" t="s">
        <v>239</v>
      </c>
      <c r="AI151" s="57"/>
      <c r="AJ151" s="57" t="n">
        <v>37</v>
      </c>
      <c r="AK151" s="57" t="s">
        <v>348</v>
      </c>
      <c r="AL151" s="57" t="s">
        <v>349</v>
      </c>
      <c r="AM151" s="57" t="n">
        <v>1</v>
      </c>
      <c r="AN151" s="57" t="s">
        <v>575</v>
      </c>
      <c r="AO151" s="57" t="str">
        <f aca="false">IF(C151="County",IF(AL151="Rest of county","Remainder of County","Settlements"),IF(D151="City Centre","City Centre","Rest of City"))</f>
        <v>Settlements</v>
      </c>
      <c r="AP151" s="57" t="str">
        <f aca="false">IF(LEFT(B151,13)="Council audit","Audit",IF(LEFT(B151,8)="Planning","Consent","Zoned"))</f>
        <v>Consent</v>
      </c>
      <c r="AQ151" s="57" t="n">
        <f aca="false">IF(N(K151)&gt;0,I151*Y151/K151,0)</f>
        <v>0</v>
      </c>
    </row>
    <row r="152" customFormat="false" ht="15" hidden="false" customHeight="false" outlineLevel="0" collapsed="false">
      <c r="A152" s="57" t="s">
        <v>764</v>
      </c>
      <c r="B152" s="57" t="s">
        <v>218</v>
      </c>
      <c r="C152" s="57" t="s">
        <v>216</v>
      </c>
      <c r="D152" s="57" t="s">
        <v>284</v>
      </c>
      <c r="E152" s="57" t="s">
        <v>765</v>
      </c>
      <c r="F152" s="57"/>
      <c r="G152" s="57"/>
      <c r="H152" s="57"/>
      <c r="I152" s="57" t="n">
        <v>2.484</v>
      </c>
      <c r="J152" s="57" t="n">
        <v>2.484</v>
      </c>
      <c r="K152" s="57"/>
      <c r="L152" s="57" t="s">
        <v>731</v>
      </c>
      <c r="M152" s="57"/>
      <c r="N152" s="57"/>
      <c r="O152" s="57"/>
      <c r="P152" s="57"/>
      <c r="Q152" s="57"/>
      <c r="R152" s="57" t="n">
        <v>0</v>
      </c>
      <c r="S152" s="57" t="n">
        <v>92</v>
      </c>
      <c r="T152" s="57" t="n">
        <v>0</v>
      </c>
      <c r="U152" s="57" t="n">
        <v>0</v>
      </c>
      <c r="V152" s="57" t="n">
        <v>0</v>
      </c>
      <c r="W152" s="57" t="n">
        <v>0</v>
      </c>
      <c r="X152" s="57" t="n">
        <v>92</v>
      </c>
      <c r="Y152" s="57" t="n">
        <v>0</v>
      </c>
      <c r="Z152" s="57" t="n">
        <v>92</v>
      </c>
      <c r="AA152" s="57" t="n">
        <v>92</v>
      </c>
      <c r="AB152" s="57" t="n">
        <v>21.4</v>
      </c>
      <c r="AC152" s="57" t="n">
        <v>70.6</v>
      </c>
      <c r="AD152" s="57" t="n">
        <v>0</v>
      </c>
      <c r="AE152" s="57" t="n">
        <v>0</v>
      </c>
      <c r="AF152" s="57" t="n">
        <v>0</v>
      </c>
      <c r="AG152" s="57" t="n">
        <v>0</v>
      </c>
      <c r="AH152" s="57" t="s">
        <v>239</v>
      </c>
      <c r="AI152" s="57"/>
      <c r="AJ152" s="57" t="n">
        <v>92</v>
      </c>
      <c r="AK152" s="57" t="s">
        <v>284</v>
      </c>
      <c r="AL152" s="57" t="s">
        <v>347</v>
      </c>
      <c r="AM152" s="57" t="n">
        <v>1</v>
      </c>
      <c r="AN152" s="57" t="s">
        <v>575</v>
      </c>
      <c r="AO152" s="57" t="str">
        <f aca="false">IF(C152="County",IF(AL152="Rest of county","Remainder of County","Settlements"),IF(D152="City Centre","City Centre","Rest of City"))</f>
        <v>Rest of City</v>
      </c>
      <c r="AP152" s="57" t="str">
        <f aca="false">IF(LEFT(B152,13)="Council audit","Audit",IF(LEFT(B152,8)="Planning","Consent","Zoned"))</f>
        <v>Consent</v>
      </c>
      <c r="AQ152" s="57" t="n">
        <f aca="false">IF(N(K152)&gt;0,I152*Y152/K152,0)</f>
        <v>0</v>
      </c>
    </row>
    <row r="153" customFormat="false" ht="15" hidden="false" customHeight="false" outlineLevel="0" collapsed="false">
      <c r="A153" s="57" t="s">
        <v>766</v>
      </c>
      <c r="B153" s="57" t="s">
        <v>218</v>
      </c>
      <c r="C153" s="57" t="s">
        <v>220</v>
      </c>
      <c r="D153" s="57" t="s">
        <v>739</v>
      </c>
      <c r="E153" s="57" t="s">
        <v>767</v>
      </c>
      <c r="F153" s="57"/>
      <c r="G153" s="57"/>
      <c r="H153" s="57"/>
      <c r="I153" s="57" t="n">
        <v>5.848</v>
      </c>
      <c r="J153" s="57" t="n">
        <v>5.848</v>
      </c>
      <c r="K153" s="57"/>
      <c r="L153" s="57" t="s">
        <v>731</v>
      </c>
      <c r="M153" s="57"/>
      <c r="N153" s="57"/>
      <c r="O153" s="57"/>
      <c r="P153" s="57"/>
      <c r="Q153" s="57"/>
      <c r="R153" s="57" t="n">
        <v>0</v>
      </c>
      <c r="S153" s="57" t="n">
        <v>90</v>
      </c>
      <c r="T153" s="57" t="n">
        <v>0</v>
      </c>
      <c r="U153" s="57" t="n">
        <v>0</v>
      </c>
      <c r="V153" s="57" t="n">
        <v>0</v>
      </c>
      <c r="W153" s="57" t="n">
        <v>0</v>
      </c>
      <c r="X153" s="57" t="n">
        <v>90</v>
      </c>
      <c r="Y153" s="57" t="n">
        <v>0</v>
      </c>
      <c r="Z153" s="57" t="n">
        <v>90</v>
      </c>
      <c r="AA153" s="57" t="n">
        <v>90</v>
      </c>
      <c r="AB153" s="57" t="n">
        <v>8.4</v>
      </c>
      <c r="AC153" s="57" t="n">
        <v>47.7</v>
      </c>
      <c r="AD153" s="57" t="n">
        <v>33.9</v>
      </c>
      <c r="AE153" s="57" t="n">
        <v>0</v>
      </c>
      <c r="AF153" s="57" t="n">
        <v>0</v>
      </c>
      <c r="AG153" s="57" t="n">
        <v>0</v>
      </c>
      <c r="AH153" s="57" t="s">
        <v>239</v>
      </c>
      <c r="AI153" s="57"/>
      <c r="AJ153" s="57" t="n">
        <v>0</v>
      </c>
      <c r="AK153" s="57" t="s">
        <v>364</v>
      </c>
      <c r="AL153" s="57" t="s">
        <v>356</v>
      </c>
      <c r="AM153" s="57" t="n">
        <v>0</v>
      </c>
      <c r="AN153" s="57" t="s">
        <v>743</v>
      </c>
      <c r="AO153" s="57" t="str">
        <f aca="false">IF(C153="County",IF(AL153="Rest of county","Remainder of County","Settlements"),IF(D153="City Centre","City Centre","Rest of City"))</f>
        <v>Settlements</v>
      </c>
      <c r="AP153" s="57" t="str">
        <f aca="false">IF(LEFT(B153,13)="Council audit","Audit",IF(LEFT(B153,8)="Planning","Consent","Zoned"))</f>
        <v>Consent</v>
      </c>
      <c r="AQ153" s="57" t="n">
        <f aca="false">IF(N(K153)&gt;0,I153*Y153/K153,0)</f>
        <v>0</v>
      </c>
    </row>
    <row r="154" customFormat="false" ht="15" hidden="false" customHeight="false" outlineLevel="0" collapsed="false">
      <c r="A154" s="57" t="s">
        <v>768</v>
      </c>
      <c r="B154" s="57" t="s">
        <v>218</v>
      </c>
      <c r="C154" s="57" t="s">
        <v>220</v>
      </c>
      <c r="D154" s="57" t="s">
        <v>739</v>
      </c>
      <c r="E154" s="57" t="s">
        <v>769</v>
      </c>
      <c r="F154" s="57"/>
      <c r="G154" s="57"/>
      <c r="H154" s="57"/>
      <c r="I154" s="57" t="n">
        <v>3.59</v>
      </c>
      <c r="J154" s="57" t="n">
        <v>3.59</v>
      </c>
      <c r="K154" s="57"/>
      <c r="L154" s="57" t="s">
        <v>731</v>
      </c>
      <c r="M154" s="57"/>
      <c r="N154" s="57"/>
      <c r="O154" s="57"/>
      <c r="P154" s="57"/>
      <c r="Q154" s="57"/>
      <c r="R154" s="57" t="n">
        <v>0</v>
      </c>
      <c r="S154" s="57" t="n">
        <v>0</v>
      </c>
      <c r="T154" s="57" t="n">
        <v>74</v>
      </c>
      <c r="U154" s="57" t="n">
        <v>0</v>
      </c>
      <c r="V154" s="57" t="n">
        <v>0</v>
      </c>
      <c r="W154" s="57" t="n">
        <v>0</v>
      </c>
      <c r="X154" s="57" t="n">
        <v>74</v>
      </c>
      <c r="Y154" s="57" t="n">
        <v>0</v>
      </c>
      <c r="Z154" s="57" t="n">
        <v>74</v>
      </c>
      <c r="AA154" s="57" t="n">
        <v>74</v>
      </c>
      <c r="AB154" s="57" t="n">
        <v>0</v>
      </c>
      <c r="AC154" s="57" t="n">
        <v>0</v>
      </c>
      <c r="AD154" s="57" t="n">
        <v>28.4</v>
      </c>
      <c r="AE154" s="57" t="n">
        <v>45.6</v>
      </c>
      <c r="AF154" s="57" t="n">
        <v>0</v>
      </c>
      <c r="AG154" s="57" t="n">
        <v>0</v>
      </c>
      <c r="AH154" s="57" t="s">
        <v>239</v>
      </c>
      <c r="AI154" s="57"/>
      <c r="AJ154" s="57" t="n">
        <v>0</v>
      </c>
      <c r="AK154" s="57" t="s">
        <v>358</v>
      </c>
      <c r="AL154" s="57" t="s">
        <v>356</v>
      </c>
      <c r="AM154" s="57" t="n">
        <v>0.29</v>
      </c>
      <c r="AN154" s="57" t="s">
        <v>575</v>
      </c>
      <c r="AO154" s="57" t="str">
        <f aca="false">IF(C154="County",IF(AL154="Rest of county","Remainder of County","Settlements"),IF(D154="City Centre","City Centre","Rest of City"))</f>
        <v>Settlements</v>
      </c>
      <c r="AP154" s="57" t="str">
        <f aca="false">IF(LEFT(B154,13)="Council audit","Audit",IF(LEFT(B154,8)="Planning","Consent","Zoned"))</f>
        <v>Consent</v>
      </c>
      <c r="AQ154" s="57" t="n">
        <f aca="false">IF(N(K154)&gt;0,I154*Y154/K154,0)</f>
        <v>0</v>
      </c>
    </row>
    <row r="155" customFormat="false" ht="15" hidden="false" customHeight="false" outlineLevel="0" collapsed="false">
      <c r="A155" s="57" t="s">
        <v>770</v>
      </c>
      <c r="B155" s="57" t="s">
        <v>218</v>
      </c>
      <c r="C155" s="57" t="s">
        <v>220</v>
      </c>
      <c r="D155" s="57" t="s">
        <v>739</v>
      </c>
      <c r="E155" s="57" t="s">
        <v>771</v>
      </c>
      <c r="F155" s="57"/>
      <c r="G155" s="57"/>
      <c r="H155" s="57"/>
      <c r="I155" s="57" t="n">
        <v>5.284</v>
      </c>
      <c r="J155" s="57" t="n">
        <v>5.284</v>
      </c>
      <c r="K155" s="57"/>
      <c r="L155" s="57" t="s">
        <v>731</v>
      </c>
      <c r="M155" s="57"/>
      <c r="N155" s="57"/>
      <c r="O155" s="57"/>
      <c r="P155" s="57"/>
      <c r="Q155" s="57"/>
      <c r="R155" s="57" t="n">
        <v>0</v>
      </c>
      <c r="S155" s="57" t="n">
        <v>74</v>
      </c>
      <c r="T155" s="57" t="n">
        <v>0</v>
      </c>
      <c r="U155" s="57" t="n">
        <v>0</v>
      </c>
      <c r="V155" s="57" t="n">
        <v>0</v>
      </c>
      <c r="W155" s="57" t="n">
        <v>0</v>
      </c>
      <c r="X155" s="57" t="n">
        <v>74</v>
      </c>
      <c r="Y155" s="57" t="n">
        <v>0</v>
      </c>
      <c r="Z155" s="57" t="n">
        <v>74</v>
      </c>
      <c r="AA155" s="57" t="n">
        <v>74</v>
      </c>
      <c r="AB155" s="57" t="n">
        <v>17.2</v>
      </c>
      <c r="AC155" s="57" t="n">
        <v>56.8</v>
      </c>
      <c r="AD155" s="57" t="n">
        <v>0</v>
      </c>
      <c r="AE155" s="57" t="n">
        <v>0</v>
      </c>
      <c r="AF155" s="57" t="n">
        <v>0</v>
      </c>
      <c r="AG155" s="57" t="n">
        <v>0</v>
      </c>
      <c r="AH155" s="57" t="s">
        <v>239</v>
      </c>
      <c r="AI155" s="57"/>
      <c r="AJ155" s="57" t="n">
        <v>28</v>
      </c>
      <c r="AK155" s="57" t="s">
        <v>353</v>
      </c>
      <c r="AL155" s="57" t="s">
        <v>349</v>
      </c>
      <c r="AM155" s="57" t="n">
        <v>0</v>
      </c>
      <c r="AN155" s="57" t="s">
        <v>743</v>
      </c>
      <c r="AO155" s="57" t="str">
        <f aca="false">IF(C155="County",IF(AL155="Rest of county","Remainder of County","Settlements"),IF(D155="City Centre","City Centre","Rest of City"))</f>
        <v>Settlements</v>
      </c>
      <c r="AP155" s="57" t="str">
        <f aca="false">IF(LEFT(B155,13)="Council audit","Audit",IF(LEFT(B155,8)="Planning","Consent","Zoned"))</f>
        <v>Consent</v>
      </c>
      <c r="AQ155" s="57" t="n">
        <f aca="false">IF(N(K155)&gt;0,I155*Y155/K155,0)</f>
        <v>0</v>
      </c>
    </row>
    <row r="156" customFormat="false" ht="15" hidden="false" customHeight="false" outlineLevel="0" collapsed="false">
      <c r="A156" s="57" t="s">
        <v>772</v>
      </c>
      <c r="B156" s="57" t="s">
        <v>218</v>
      </c>
      <c r="C156" s="57" t="s">
        <v>216</v>
      </c>
      <c r="D156" s="57" t="s">
        <v>258</v>
      </c>
      <c r="E156" s="57" t="s">
        <v>773</v>
      </c>
      <c r="F156" s="57"/>
      <c r="G156" s="57"/>
      <c r="H156" s="57"/>
      <c r="I156" s="57" t="n">
        <v>0.074</v>
      </c>
      <c r="J156" s="57" t="n">
        <v>0.074</v>
      </c>
      <c r="K156" s="57"/>
      <c r="L156" s="57" t="s">
        <v>731</v>
      </c>
      <c r="M156" s="57"/>
      <c r="N156" s="57"/>
      <c r="O156" s="57"/>
      <c r="P156" s="57"/>
      <c r="Q156" s="57"/>
      <c r="R156" s="57" t="n">
        <v>0</v>
      </c>
      <c r="S156" s="57" t="n">
        <v>0</v>
      </c>
      <c r="T156" s="57" t="n">
        <v>74</v>
      </c>
      <c r="U156" s="57" t="n">
        <v>0</v>
      </c>
      <c r="V156" s="57" t="n">
        <v>0</v>
      </c>
      <c r="W156" s="57" t="n">
        <v>0</v>
      </c>
      <c r="X156" s="57" t="n">
        <v>74</v>
      </c>
      <c r="Y156" s="57" t="n">
        <v>0</v>
      </c>
      <c r="Z156" s="57" t="n">
        <v>74</v>
      </c>
      <c r="AA156" s="57" t="n">
        <v>74</v>
      </c>
      <c r="AB156" s="57" t="n">
        <v>0</v>
      </c>
      <c r="AC156" s="57" t="n">
        <v>0</v>
      </c>
      <c r="AD156" s="57" t="n">
        <v>54.4</v>
      </c>
      <c r="AE156" s="57" t="n">
        <v>19.6</v>
      </c>
      <c r="AF156" s="57" t="n">
        <v>0</v>
      </c>
      <c r="AG156" s="57" t="n">
        <v>0</v>
      </c>
      <c r="AH156" s="57" t="s">
        <v>239</v>
      </c>
      <c r="AI156" s="57"/>
      <c r="AJ156" s="57" t="n">
        <v>0</v>
      </c>
      <c r="AK156" s="57" t="s">
        <v>258</v>
      </c>
      <c r="AL156" s="57" t="s">
        <v>347</v>
      </c>
      <c r="AM156" s="57" t="n">
        <v>1</v>
      </c>
      <c r="AN156" s="57" t="s">
        <v>575</v>
      </c>
      <c r="AO156" s="57" t="str">
        <f aca="false">IF(C156="County",IF(AL156="Rest of county","Remainder of County","Settlements"),IF(D156="City Centre","City Centre","Rest of City"))</f>
        <v>City Centre</v>
      </c>
      <c r="AP156" s="57" t="str">
        <f aca="false">IF(LEFT(B156,13)="Council audit","Audit",IF(LEFT(B156,8)="Planning","Consent","Zoned"))</f>
        <v>Consent</v>
      </c>
      <c r="AQ156" s="57" t="n">
        <f aca="false">IF(N(K156)&gt;0,I156*Y156/K156,0)</f>
        <v>0</v>
      </c>
    </row>
    <row r="157" customFormat="false" ht="15" hidden="false" customHeight="false" outlineLevel="0" collapsed="false">
      <c r="A157" s="57" t="s">
        <v>774</v>
      </c>
      <c r="B157" s="57" t="s">
        <v>218</v>
      </c>
      <c r="C157" s="57" t="s">
        <v>220</v>
      </c>
      <c r="D157" s="57" t="s">
        <v>739</v>
      </c>
      <c r="E157" s="57" t="s">
        <v>775</v>
      </c>
      <c r="F157" s="57"/>
      <c r="G157" s="57"/>
      <c r="H157" s="57"/>
      <c r="I157" s="57" t="n">
        <v>2.797</v>
      </c>
      <c r="J157" s="57" t="n">
        <v>2.797</v>
      </c>
      <c r="K157" s="57"/>
      <c r="L157" s="57" t="s">
        <v>731</v>
      </c>
      <c r="M157" s="57"/>
      <c r="N157" s="57"/>
      <c r="O157" s="57"/>
      <c r="P157" s="57"/>
      <c r="Q157" s="57"/>
      <c r="R157" s="57" t="n">
        <v>0</v>
      </c>
      <c r="S157" s="57" t="n">
        <v>73</v>
      </c>
      <c r="T157" s="57" t="n">
        <v>0</v>
      </c>
      <c r="U157" s="57" t="n">
        <v>0</v>
      </c>
      <c r="V157" s="57" t="n">
        <v>0</v>
      </c>
      <c r="W157" s="57" t="n">
        <v>0</v>
      </c>
      <c r="X157" s="57" t="n">
        <v>73</v>
      </c>
      <c r="Y157" s="57" t="n">
        <v>0</v>
      </c>
      <c r="Z157" s="57" t="n">
        <v>73</v>
      </c>
      <c r="AA157" s="57" t="n">
        <v>73</v>
      </c>
      <c r="AB157" s="57" t="n">
        <v>17</v>
      </c>
      <c r="AC157" s="57" t="n">
        <v>56</v>
      </c>
      <c r="AD157" s="57" t="n">
        <v>0</v>
      </c>
      <c r="AE157" s="57" t="n">
        <v>0</v>
      </c>
      <c r="AF157" s="57" t="n">
        <v>0</v>
      </c>
      <c r="AG157" s="57" t="n">
        <v>0</v>
      </c>
      <c r="AH157" s="57" t="s">
        <v>239</v>
      </c>
      <c r="AI157" s="57"/>
      <c r="AJ157" s="57" t="n">
        <v>45</v>
      </c>
      <c r="AK157" s="57" t="s">
        <v>348</v>
      </c>
      <c r="AL157" s="57" t="s">
        <v>349</v>
      </c>
      <c r="AM157" s="57" t="n">
        <v>0</v>
      </c>
      <c r="AN157" s="57" t="s">
        <v>743</v>
      </c>
      <c r="AO157" s="57" t="str">
        <f aca="false">IF(C157="County",IF(AL157="Rest of county","Remainder of County","Settlements"),IF(D157="City Centre","City Centre","Rest of City"))</f>
        <v>Settlements</v>
      </c>
      <c r="AP157" s="57" t="str">
        <f aca="false">IF(LEFT(B157,13)="Council audit","Audit",IF(LEFT(B157,8)="Planning","Consent","Zoned"))</f>
        <v>Consent</v>
      </c>
      <c r="AQ157" s="57" t="n">
        <f aca="false">IF(N(K157)&gt;0,I157*Y157/K157,0)</f>
        <v>0</v>
      </c>
    </row>
    <row r="158" customFormat="false" ht="15" hidden="false" customHeight="false" outlineLevel="0" collapsed="false">
      <c r="A158" s="57" t="s">
        <v>776</v>
      </c>
      <c r="B158" s="57" t="s">
        <v>218</v>
      </c>
      <c r="C158" s="57" t="s">
        <v>216</v>
      </c>
      <c r="D158" s="57" t="s">
        <v>286</v>
      </c>
      <c r="E158" s="57" t="s">
        <v>777</v>
      </c>
      <c r="F158" s="57"/>
      <c r="G158" s="57"/>
      <c r="H158" s="57"/>
      <c r="I158" s="57" t="n">
        <v>2.533</v>
      </c>
      <c r="J158" s="57" t="n">
        <v>2.533</v>
      </c>
      <c r="K158" s="57"/>
      <c r="L158" s="57" t="s">
        <v>731</v>
      </c>
      <c r="M158" s="57"/>
      <c r="N158" s="57"/>
      <c r="O158" s="57"/>
      <c r="P158" s="57"/>
      <c r="Q158" s="57"/>
      <c r="R158" s="57" t="n">
        <v>0</v>
      </c>
      <c r="S158" s="57" t="n">
        <v>66</v>
      </c>
      <c r="T158" s="57" t="n">
        <v>0</v>
      </c>
      <c r="U158" s="57" t="n">
        <v>0</v>
      </c>
      <c r="V158" s="57" t="n">
        <v>0</v>
      </c>
      <c r="W158" s="57" t="n">
        <v>0</v>
      </c>
      <c r="X158" s="57" t="n">
        <v>66</v>
      </c>
      <c r="Y158" s="57" t="n">
        <v>0</v>
      </c>
      <c r="Z158" s="57" t="n">
        <v>66</v>
      </c>
      <c r="AA158" s="57" t="n">
        <v>66</v>
      </c>
      <c r="AB158" s="57" t="n">
        <v>15.4</v>
      </c>
      <c r="AC158" s="57" t="n">
        <v>50.6</v>
      </c>
      <c r="AD158" s="57" t="n">
        <v>0</v>
      </c>
      <c r="AE158" s="57" t="n">
        <v>0</v>
      </c>
      <c r="AF158" s="57" t="n">
        <v>0</v>
      </c>
      <c r="AG158" s="57" t="n">
        <v>0</v>
      </c>
      <c r="AH158" s="57" t="s">
        <v>239</v>
      </c>
      <c r="AI158" s="57"/>
      <c r="AJ158" s="57" t="n">
        <v>58</v>
      </c>
      <c r="AK158" s="57" t="s">
        <v>286</v>
      </c>
      <c r="AL158" s="57" t="s">
        <v>347</v>
      </c>
      <c r="AM158" s="57" t="n">
        <v>1</v>
      </c>
      <c r="AN158" s="57" t="s">
        <v>575</v>
      </c>
      <c r="AO158" s="57" t="str">
        <f aca="false">IF(C158="County",IF(AL158="Rest of county","Remainder of County","Settlements"),IF(D158="City Centre","City Centre","Rest of City"))</f>
        <v>Rest of City</v>
      </c>
      <c r="AP158" s="57" t="str">
        <f aca="false">IF(LEFT(B158,13)="Council audit","Audit",IF(LEFT(B158,8)="Planning","Consent","Zoned"))</f>
        <v>Consent</v>
      </c>
      <c r="AQ158" s="57" t="n">
        <f aca="false">IF(N(K158)&gt;0,I158*Y158/K158,0)</f>
        <v>0</v>
      </c>
    </row>
    <row r="159" customFormat="false" ht="15" hidden="false" customHeight="false" outlineLevel="0" collapsed="false">
      <c r="A159" s="57" t="s">
        <v>778</v>
      </c>
      <c r="B159" s="57" t="s">
        <v>218</v>
      </c>
      <c r="C159" s="57" t="s">
        <v>216</v>
      </c>
      <c r="D159" s="57" t="s">
        <v>286</v>
      </c>
      <c r="E159" s="57" t="s">
        <v>779</v>
      </c>
      <c r="F159" s="57"/>
      <c r="G159" s="57"/>
      <c r="H159" s="57"/>
      <c r="I159" s="57" t="n">
        <v>1.44</v>
      </c>
      <c r="J159" s="57" t="n">
        <v>1.44</v>
      </c>
      <c r="K159" s="57"/>
      <c r="L159" s="57" t="s">
        <v>731</v>
      </c>
      <c r="M159" s="57"/>
      <c r="N159" s="57"/>
      <c r="O159" s="57"/>
      <c r="P159" s="57"/>
      <c r="Q159" s="57"/>
      <c r="R159" s="57" t="n">
        <v>66</v>
      </c>
      <c r="S159" s="57" t="n">
        <v>0</v>
      </c>
      <c r="T159" s="57" t="n">
        <v>0</v>
      </c>
      <c r="U159" s="57" t="n">
        <v>0</v>
      </c>
      <c r="V159" s="57" t="n">
        <v>0</v>
      </c>
      <c r="W159" s="57" t="n">
        <v>0</v>
      </c>
      <c r="X159" s="57" t="n">
        <v>66</v>
      </c>
      <c r="Y159" s="57" t="n">
        <v>0</v>
      </c>
      <c r="Z159" s="57" t="n">
        <v>66</v>
      </c>
      <c r="AA159" s="57" t="n">
        <v>0</v>
      </c>
      <c r="AB159" s="57" t="n">
        <v>0</v>
      </c>
      <c r="AC159" s="57" t="n">
        <v>0</v>
      </c>
      <c r="AD159" s="57" t="n">
        <v>0</v>
      </c>
      <c r="AE159" s="57" t="n">
        <v>0</v>
      </c>
      <c r="AF159" s="57" t="n">
        <v>0</v>
      </c>
      <c r="AG159" s="57" t="n">
        <v>0</v>
      </c>
      <c r="AH159" s="57" t="s">
        <v>237</v>
      </c>
      <c r="AI159" s="57"/>
      <c r="AJ159" s="57" t="n">
        <v>66</v>
      </c>
      <c r="AK159" s="57" t="s">
        <v>286</v>
      </c>
      <c r="AL159" s="57" t="s">
        <v>347</v>
      </c>
      <c r="AM159" s="57" t="n">
        <v>1</v>
      </c>
      <c r="AN159" s="57" t="s">
        <v>575</v>
      </c>
      <c r="AO159" s="57" t="str">
        <f aca="false">IF(C159="County",IF(AL159="Rest of county","Remainder of County","Settlements"),IF(D159="City Centre","City Centre","Rest of City"))</f>
        <v>Rest of City</v>
      </c>
      <c r="AP159" s="57" t="str">
        <f aca="false">IF(LEFT(B159,13)="Council audit","Audit",IF(LEFT(B159,8)="Planning","Consent","Zoned"))</f>
        <v>Consent</v>
      </c>
      <c r="AQ159" s="57" t="n">
        <f aca="false">IF(N(K159)&gt;0,I159*Y159/K159,0)</f>
        <v>0</v>
      </c>
    </row>
    <row r="160" customFormat="false" ht="15" hidden="false" customHeight="false" outlineLevel="0" collapsed="false">
      <c r="A160" s="57" t="s">
        <v>780</v>
      </c>
      <c r="B160" s="57" t="s">
        <v>218</v>
      </c>
      <c r="C160" s="57" t="s">
        <v>220</v>
      </c>
      <c r="D160" s="57" t="s">
        <v>739</v>
      </c>
      <c r="E160" s="57" t="s">
        <v>781</v>
      </c>
      <c r="F160" s="57"/>
      <c r="G160" s="57"/>
      <c r="H160" s="57"/>
      <c r="I160" s="57" t="n">
        <v>5.817</v>
      </c>
      <c r="J160" s="57" t="n">
        <v>5.817</v>
      </c>
      <c r="K160" s="57"/>
      <c r="L160" s="57" t="s">
        <v>731</v>
      </c>
      <c r="M160" s="57"/>
      <c r="N160" s="57"/>
      <c r="O160" s="57"/>
      <c r="P160" s="57"/>
      <c r="Q160" s="57"/>
      <c r="R160" s="57" t="n">
        <v>51</v>
      </c>
      <c r="S160" s="57" t="n">
        <v>0</v>
      </c>
      <c r="T160" s="57" t="n">
        <v>14</v>
      </c>
      <c r="U160" s="57" t="n">
        <v>0</v>
      </c>
      <c r="V160" s="57" t="n">
        <v>0</v>
      </c>
      <c r="W160" s="57" t="n">
        <v>0</v>
      </c>
      <c r="X160" s="57" t="n">
        <v>65</v>
      </c>
      <c r="Y160" s="57" t="n">
        <v>0</v>
      </c>
      <c r="Z160" s="57" t="n">
        <v>65</v>
      </c>
      <c r="AA160" s="57" t="n">
        <v>14</v>
      </c>
      <c r="AB160" s="57" t="n">
        <v>0</v>
      </c>
      <c r="AC160" s="57" t="n">
        <v>0</v>
      </c>
      <c r="AD160" s="57" t="n">
        <v>8.2</v>
      </c>
      <c r="AE160" s="57" t="n">
        <v>5.8</v>
      </c>
      <c r="AF160" s="57" t="n">
        <v>0</v>
      </c>
      <c r="AG160" s="57" t="n">
        <v>0</v>
      </c>
      <c r="AH160" s="57" t="s">
        <v>238</v>
      </c>
      <c r="AI160" s="57"/>
      <c r="AJ160" s="57" t="n">
        <v>51</v>
      </c>
      <c r="AK160" s="57" t="s">
        <v>353</v>
      </c>
      <c r="AL160" s="57" t="s">
        <v>349</v>
      </c>
      <c r="AM160" s="57" t="n">
        <v>0.12</v>
      </c>
      <c r="AN160" s="57" t="s">
        <v>575</v>
      </c>
      <c r="AO160" s="57" t="str">
        <f aca="false">IF(C160="County",IF(AL160="Rest of county","Remainder of County","Settlements"),IF(D160="City Centre","City Centre","Rest of City"))</f>
        <v>Settlements</v>
      </c>
      <c r="AP160" s="57" t="str">
        <f aca="false">IF(LEFT(B160,13)="Council audit","Audit",IF(LEFT(B160,8)="Planning","Consent","Zoned"))</f>
        <v>Consent</v>
      </c>
      <c r="AQ160" s="57" t="n">
        <f aca="false">IF(N(K160)&gt;0,I160*Y160/K160,0)</f>
        <v>0</v>
      </c>
    </row>
    <row r="161" customFormat="false" ht="15" hidden="false" customHeight="false" outlineLevel="0" collapsed="false">
      <c r="A161" s="57" t="s">
        <v>782</v>
      </c>
      <c r="B161" s="57" t="s">
        <v>218</v>
      </c>
      <c r="C161" s="57" t="s">
        <v>216</v>
      </c>
      <c r="D161" s="57" t="s">
        <v>285</v>
      </c>
      <c r="E161" s="57" t="s">
        <v>783</v>
      </c>
      <c r="F161" s="57"/>
      <c r="G161" s="57"/>
      <c r="H161" s="57"/>
      <c r="I161" s="57" t="n">
        <v>1.491</v>
      </c>
      <c r="J161" s="57" t="n">
        <v>1.491</v>
      </c>
      <c r="K161" s="57"/>
      <c r="L161" s="57" t="s">
        <v>731</v>
      </c>
      <c r="M161" s="57"/>
      <c r="N161" s="57"/>
      <c r="O161" s="57"/>
      <c r="P161" s="57"/>
      <c r="Q161" s="57"/>
      <c r="R161" s="57" t="n">
        <v>62</v>
      </c>
      <c r="S161" s="57" t="n">
        <v>0</v>
      </c>
      <c r="T161" s="57" t="n">
        <v>0</v>
      </c>
      <c r="U161" s="57" t="n">
        <v>0</v>
      </c>
      <c r="V161" s="57" t="n">
        <v>0</v>
      </c>
      <c r="W161" s="57" t="n">
        <v>0</v>
      </c>
      <c r="X161" s="57" t="n">
        <v>62</v>
      </c>
      <c r="Y161" s="57" t="n">
        <v>0</v>
      </c>
      <c r="Z161" s="57" t="n">
        <v>62</v>
      </c>
      <c r="AA161" s="57" t="n">
        <v>0</v>
      </c>
      <c r="AB161" s="57" t="n">
        <v>0</v>
      </c>
      <c r="AC161" s="57" t="n">
        <v>0</v>
      </c>
      <c r="AD161" s="57" t="n">
        <v>0</v>
      </c>
      <c r="AE161" s="57" t="n">
        <v>0</v>
      </c>
      <c r="AF161" s="57" t="n">
        <v>0</v>
      </c>
      <c r="AG161" s="57" t="n">
        <v>0</v>
      </c>
      <c r="AH161" s="57" t="s">
        <v>237</v>
      </c>
      <c r="AI161" s="57"/>
      <c r="AJ161" s="57" t="n">
        <v>63</v>
      </c>
      <c r="AK161" s="57" t="s">
        <v>285</v>
      </c>
      <c r="AL161" s="57" t="s">
        <v>347</v>
      </c>
      <c r="AM161" s="57" t="n">
        <v>1</v>
      </c>
      <c r="AN161" s="57" t="s">
        <v>575</v>
      </c>
      <c r="AO161" s="57" t="str">
        <f aca="false">IF(C161="County",IF(AL161="Rest of county","Remainder of County","Settlements"),IF(D161="City Centre","City Centre","Rest of City"))</f>
        <v>Rest of City</v>
      </c>
      <c r="AP161" s="57" t="str">
        <f aca="false">IF(LEFT(B161,13)="Council audit","Audit",IF(LEFT(B161,8)="Planning","Consent","Zoned"))</f>
        <v>Consent</v>
      </c>
      <c r="AQ161" s="57" t="n">
        <f aca="false">IF(N(K161)&gt;0,I161*Y161/K161,0)</f>
        <v>0</v>
      </c>
    </row>
    <row r="162" customFormat="false" ht="15" hidden="false" customHeight="false" outlineLevel="0" collapsed="false">
      <c r="A162" s="57" t="s">
        <v>784</v>
      </c>
      <c r="B162" s="57" t="s">
        <v>218</v>
      </c>
      <c r="C162" s="57" t="s">
        <v>216</v>
      </c>
      <c r="D162" s="57" t="s">
        <v>286</v>
      </c>
      <c r="E162" s="57" t="s">
        <v>785</v>
      </c>
      <c r="F162" s="57"/>
      <c r="G162" s="57"/>
      <c r="H162" s="57"/>
      <c r="I162" s="57" t="n">
        <v>5.37</v>
      </c>
      <c r="J162" s="57" t="n">
        <v>5.37</v>
      </c>
      <c r="K162" s="57"/>
      <c r="L162" s="57" t="s">
        <v>731</v>
      </c>
      <c r="M162" s="57"/>
      <c r="N162" s="57"/>
      <c r="O162" s="57"/>
      <c r="P162" s="57"/>
      <c r="Q162" s="57"/>
      <c r="R162" s="57" t="n">
        <v>25</v>
      </c>
      <c r="S162" s="57" t="n">
        <v>29</v>
      </c>
      <c r="T162" s="57" t="n">
        <v>0</v>
      </c>
      <c r="U162" s="57" t="n">
        <v>0</v>
      </c>
      <c r="V162" s="57" t="n">
        <v>0</v>
      </c>
      <c r="W162" s="57" t="n">
        <v>0</v>
      </c>
      <c r="X162" s="57" t="n">
        <v>54</v>
      </c>
      <c r="Y162" s="57" t="n">
        <v>0</v>
      </c>
      <c r="Z162" s="57" t="n">
        <v>54</v>
      </c>
      <c r="AA162" s="57" t="n">
        <v>29</v>
      </c>
      <c r="AB162" s="57" t="n">
        <v>6.8</v>
      </c>
      <c r="AC162" s="57" t="n">
        <v>22.2</v>
      </c>
      <c r="AD162" s="57" t="n">
        <v>0</v>
      </c>
      <c r="AE162" s="57" t="n">
        <v>0</v>
      </c>
      <c r="AF162" s="57" t="n">
        <v>0</v>
      </c>
      <c r="AG162" s="57" t="n">
        <v>0</v>
      </c>
      <c r="AH162" s="57" t="s">
        <v>238</v>
      </c>
      <c r="AI162" s="57"/>
      <c r="AJ162" s="57" t="n">
        <v>38</v>
      </c>
      <c r="AK162" s="57" t="s">
        <v>286</v>
      </c>
      <c r="AL162" s="57" t="s">
        <v>347</v>
      </c>
      <c r="AM162" s="57" t="n">
        <v>1</v>
      </c>
      <c r="AN162" s="57" t="s">
        <v>575</v>
      </c>
      <c r="AO162" s="57" t="str">
        <f aca="false">IF(C162="County",IF(AL162="Rest of county","Remainder of County","Settlements"),IF(D162="City Centre","City Centre","Rest of City"))</f>
        <v>Rest of City</v>
      </c>
      <c r="AP162" s="57" t="str">
        <f aca="false">IF(LEFT(B162,13)="Council audit","Audit",IF(LEFT(B162,8)="Planning","Consent","Zoned"))</f>
        <v>Consent</v>
      </c>
      <c r="AQ162" s="57" t="n">
        <f aca="false">IF(N(K162)&gt;0,I162*Y162/K162,0)</f>
        <v>0</v>
      </c>
    </row>
    <row r="163" customFormat="false" ht="15" hidden="false" customHeight="false" outlineLevel="0" collapsed="false">
      <c r="A163" s="57" t="s">
        <v>786</v>
      </c>
      <c r="B163" s="57" t="s">
        <v>218</v>
      </c>
      <c r="C163" s="57" t="s">
        <v>220</v>
      </c>
      <c r="D163" s="57" t="s">
        <v>739</v>
      </c>
      <c r="E163" s="57" t="s">
        <v>787</v>
      </c>
      <c r="F163" s="57"/>
      <c r="G163" s="57"/>
      <c r="H163" s="57"/>
      <c r="I163" s="57" t="n">
        <v>1.973</v>
      </c>
      <c r="J163" s="57" t="n">
        <v>1.973</v>
      </c>
      <c r="K163" s="57"/>
      <c r="L163" s="57" t="s">
        <v>731</v>
      </c>
      <c r="M163" s="57"/>
      <c r="N163" s="57"/>
      <c r="O163" s="57"/>
      <c r="P163" s="57"/>
      <c r="Q163" s="57"/>
      <c r="R163" s="57" t="n">
        <v>0</v>
      </c>
      <c r="S163" s="57" t="n">
        <v>0</v>
      </c>
      <c r="T163" s="57" t="n">
        <v>0</v>
      </c>
      <c r="U163" s="57" t="n">
        <v>53</v>
      </c>
      <c r="V163" s="57" t="n">
        <v>0</v>
      </c>
      <c r="W163" s="57" t="n">
        <v>0</v>
      </c>
      <c r="X163" s="57" t="n">
        <v>53</v>
      </c>
      <c r="Y163" s="57" t="n">
        <v>0</v>
      </c>
      <c r="Z163" s="57" t="n">
        <v>53</v>
      </c>
      <c r="AA163" s="57" t="n">
        <v>53</v>
      </c>
      <c r="AB163" s="57" t="n">
        <v>0</v>
      </c>
      <c r="AC163" s="57" t="n">
        <v>0</v>
      </c>
      <c r="AD163" s="57" t="n">
        <v>0</v>
      </c>
      <c r="AE163" s="57" t="n">
        <v>0</v>
      </c>
      <c r="AF163" s="57" t="n">
        <v>0</v>
      </c>
      <c r="AG163" s="57" t="n">
        <v>0</v>
      </c>
      <c r="AH163" s="57" t="s">
        <v>239</v>
      </c>
      <c r="AI163" s="57"/>
      <c r="AJ163" s="57" t="n">
        <v>0</v>
      </c>
      <c r="AK163" s="57" t="s">
        <v>348</v>
      </c>
      <c r="AL163" s="57" t="s">
        <v>349</v>
      </c>
      <c r="AM163" s="57" t="n">
        <v>1</v>
      </c>
      <c r="AN163" s="57" t="s">
        <v>575</v>
      </c>
      <c r="AO163" s="57" t="str">
        <f aca="false">IF(C163="County",IF(AL163="Rest of county","Remainder of County","Settlements"),IF(D163="City Centre","City Centre","Rest of City"))</f>
        <v>Settlements</v>
      </c>
      <c r="AP163" s="57" t="str">
        <f aca="false">IF(LEFT(B163,13)="Council audit","Audit",IF(LEFT(B163,8)="Planning","Consent","Zoned"))</f>
        <v>Consent</v>
      </c>
      <c r="AQ163" s="57" t="n">
        <f aca="false">IF(N(K163)&gt;0,I163*Y163/K163,0)</f>
        <v>0</v>
      </c>
    </row>
    <row r="164" customFormat="false" ht="15" hidden="false" customHeight="false" outlineLevel="0" collapsed="false">
      <c r="A164" s="57" t="s">
        <v>788</v>
      </c>
      <c r="B164" s="57" t="s">
        <v>218</v>
      </c>
      <c r="C164" s="57" t="s">
        <v>216</v>
      </c>
      <c r="D164" s="57" t="s">
        <v>287</v>
      </c>
      <c r="E164" s="57" t="s">
        <v>789</v>
      </c>
      <c r="F164" s="57"/>
      <c r="G164" s="57"/>
      <c r="H164" s="57"/>
      <c r="I164" s="57" t="n">
        <v>1.793</v>
      </c>
      <c r="J164" s="57" t="n">
        <v>1.793</v>
      </c>
      <c r="K164" s="57"/>
      <c r="L164" s="57" t="s">
        <v>731</v>
      </c>
      <c r="M164" s="57"/>
      <c r="N164" s="57"/>
      <c r="O164" s="57"/>
      <c r="P164" s="57"/>
      <c r="Q164" s="57"/>
      <c r="R164" s="57" t="n">
        <v>53</v>
      </c>
      <c r="S164" s="57" t="n">
        <v>0</v>
      </c>
      <c r="T164" s="57" t="n">
        <v>0</v>
      </c>
      <c r="U164" s="57" t="n">
        <v>0</v>
      </c>
      <c r="V164" s="57" t="n">
        <v>0</v>
      </c>
      <c r="W164" s="57" t="n">
        <v>0</v>
      </c>
      <c r="X164" s="57" t="n">
        <v>53</v>
      </c>
      <c r="Y164" s="57" t="n">
        <v>0</v>
      </c>
      <c r="Z164" s="57" t="n">
        <v>53</v>
      </c>
      <c r="AA164" s="57" t="n">
        <v>0</v>
      </c>
      <c r="AB164" s="57" t="n">
        <v>0</v>
      </c>
      <c r="AC164" s="57" t="n">
        <v>0</v>
      </c>
      <c r="AD164" s="57" t="n">
        <v>0</v>
      </c>
      <c r="AE164" s="57" t="n">
        <v>0</v>
      </c>
      <c r="AF164" s="57" t="n">
        <v>0</v>
      </c>
      <c r="AG164" s="57" t="n">
        <v>0</v>
      </c>
      <c r="AH164" s="57" t="s">
        <v>237</v>
      </c>
      <c r="AI164" s="57"/>
      <c r="AJ164" s="57" t="n">
        <v>53</v>
      </c>
      <c r="AK164" s="57" t="s">
        <v>287</v>
      </c>
      <c r="AL164" s="57" t="s">
        <v>347</v>
      </c>
      <c r="AM164" s="57" t="n">
        <v>1</v>
      </c>
      <c r="AN164" s="57" t="s">
        <v>575</v>
      </c>
      <c r="AO164" s="57" t="str">
        <f aca="false">IF(C164="County",IF(AL164="Rest of county","Remainder of County","Settlements"),IF(D164="City Centre","City Centre","Rest of City"))</f>
        <v>Rest of City</v>
      </c>
      <c r="AP164" s="57" t="str">
        <f aca="false">IF(LEFT(B164,13)="Council audit","Audit",IF(LEFT(B164,8)="Planning","Consent","Zoned"))</f>
        <v>Consent</v>
      </c>
      <c r="AQ164" s="57" t="n">
        <f aca="false">IF(N(K164)&gt;0,I164*Y164/K164,0)</f>
        <v>0</v>
      </c>
    </row>
    <row r="165" customFormat="false" ht="15" hidden="false" customHeight="false" outlineLevel="0" collapsed="false">
      <c r="A165" s="57" t="s">
        <v>790</v>
      </c>
      <c r="B165" s="57" t="s">
        <v>218</v>
      </c>
      <c r="C165" s="57" t="s">
        <v>220</v>
      </c>
      <c r="D165" s="57" t="s">
        <v>739</v>
      </c>
      <c r="E165" s="57" t="s">
        <v>791</v>
      </c>
      <c r="F165" s="57"/>
      <c r="G165" s="57"/>
      <c r="H165" s="57"/>
      <c r="I165" s="57" t="n">
        <v>2.683</v>
      </c>
      <c r="J165" s="57" t="n">
        <v>2.683</v>
      </c>
      <c r="K165" s="57"/>
      <c r="L165" s="57" t="s">
        <v>731</v>
      </c>
      <c r="M165" s="57"/>
      <c r="N165" s="57"/>
      <c r="O165" s="57"/>
      <c r="P165" s="57"/>
      <c r="Q165" s="57"/>
      <c r="R165" s="57" t="n">
        <v>0</v>
      </c>
      <c r="S165" s="57" t="n">
        <v>52</v>
      </c>
      <c r="T165" s="57" t="n">
        <v>0</v>
      </c>
      <c r="U165" s="57" t="n">
        <v>0</v>
      </c>
      <c r="V165" s="57" t="n">
        <v>0</v>
      </c>
      <c r="W165" s="57" t="n">
        <v>0</v>
      </c>
      <c r="X165" s="57" t="n">
        <v>52</v>
      </c>
      <c r="Y165" s="57" t="n">
        <v>0</v>
      </c>
      <c r="Z165" s="57" t="n">
        <v>52</v>
      </c>
      <c r="AA165" s="57" t="n">
        <v>52</v>
      </c>
      <c r="AB165" s="57" t="n">
        <v>12.1</v>
      </c>
      <c r="AC165" s="57" t="n">
        <v>39.9</v>
      </c>
      <c r="AD165" s="57" t="n">
        <v>0</v>
      </c>
      <c r="AE165" s="57" t="n">
        <v>0</v>
      </c>
      <c r="AF165" s="57" t="n">
        <v>0</v>
      </c>
      <c r="AG165" s="57" t="n">
        <v>0</v>
      </c>
      <c r="AH165" s="57" t="s">
        <v>239</v>
      </c>
      <c r="AI165" s="57"/>
      <c r="AJ165" s="57" t="n">
        <v>14</v>
      </c>
      <c r="AK165" s="57" t="s">
        <v>364</v>
      </c>
      <c r="AL165" s="57" t="s">
        <v>356</v>
      </c>
      <c r="AM165" s="57" t="n">
        <v>0</v>
      </c>
      <c r="AN165" s="57" t="s">
        <v>743</v>
      </c>
      <c r="AO165" s="57" t="str">
        <f aca="false">IF(C165="County",IF(AL165="Rest of county","Remainder of County","Settlements"),IF(D165="City Centre","City Centre","Rest of City"))</f>
        <v>Settlements</v>
      </c>
      <c r="AP165" s="57" t="str">
        <f aca="false">IF(LEFT(B165,13)="Council audit","Audit",IF(LEFT(B165,8)="Planning","Consent","Zoned"))</f>
        <v>Consent</v>
      </c>
      <c r="AQ165" s="57" t="n">
        <f aca="false">IF(N(K165)&gt;0,I165*Y165/K165,0)</f>
        <v>0</v>
      </c>
    </row>
    <row r="166" customFormat="false" ht="15" hidden="false" customHeight="false" outlineLevel="0" collapsed="false">
      <c r="A166" s="57" t="s">
        <v>792</v>
      </c>
      <c r="B166" s="57" t="s">
        <v>218</v>
      </c>
      <c r="C166" s="57" t="s">
        <v>220</v>
      </c>
      <c r="D166" s="57" t="s">
        <v>739</v>
      </c>
      <c r="E166" s="57" t="s">
        <v>793</v>
      </c>
      <c r="F166" s="57"/>
      <c r="G166" s="57"/>
      <c r="H166" s="57"/>
      <c r="I166" s="57" t="n">
        <v>2.047</v>
      </c>
      <c r="J166" s="57" t="n">
        <v>2.047</v>
      </c>
      <c r="K166" s="57"/>
      <c r="L166" s="57" t="s">
        <v>731</v>
      </c>
      <c r="M166" s="57"/>
      <c r="N166" s="57"/>
      <c r="O166" s="57"/>
      <c r="P166" s="57"/>
      <c r="Q166" s="57"/>
      <c r="R166" s="57" t="n">
        <v>0</v>
      </c>
      <c r="S166" s="57" t="n">
        <v>0</v>
      </c>
      <c r="T166" s="57" t="n">
        <v>51</v>
      </c>
      <c r="U166" s="57" t="n">
        <v>0</v>
      </c>
      <c r="V166" s="57" t="n">
        <v>0</v>
      </c>
      <c r="W166" s="57" t="n">
        <v>0</v>
      </c>
      <c r="X166" s="57" t="n">
        <v>51</v>
      </c>
      <c r="Y166" s="57" t="n">
        <v>0</v>
      </c>
      <c r="Z166" s="57" t="n">
        <v>51</v>
      </c>
      <c r="AA166" s="57" t="n">
        <v>51</v>
      </c>
      <c r="AB166" s="57" t="n">
        <v>0</v>
      </c>
      <c r="AC166" s="57" t="n">
        <v>0</v>
      </c>
      <c r="AD166" s="57" t="n">
        <v>39.8</v>
      </c>
      <c r="AE166" s="57" t="n">
        <v>11.2</v>
      </c>
      <c r="AF166" s="57" t="n">
        <v>0</v>
      </c>
      <c r="AG166" s="57" t="n">
        <v>0</v>
      </c>
      <c r="AH166" s="57" t="s">
        <v>239</v>
      </c>
      <c r="AI166" s="57"/>
      <c r="AJ166" s="57" t="n">
        <v>0</v>
      </c>
      <c r="AK166" s="57" t="s">
        <v>360</v>
      </c>
      <c r="AL166" s="57" t="s">
        <v>356</v>
      </c>
      <c r="AM166" s="57" t="n">
        <v>1</v>
      </c>
      <c r="AN166" s="57" t="s">
        <v>575</v>
      </c>
      <c r="AO166" s="57" t="str">
        <f aca="false">IF(C166="County",IF(AL166="Rest of county","Remainder of County","Settlements"),IF(D166="City Centre","City Centre","Rest of City"))</f>
        <v>Settlements</v>
      </c>
      <c r="AP166" s="57" t="str">
        <f aca="false">IF(LEFT(B166,13)="Council audit","Audit",IF(LEFT(B166,8)="Planning","Consent","Zoned"))</f>
        <v>Consent</v>
      </c>
      <c r="AQ166" s="57" t="n">
        <f aca="false">IF(N(K166)&gt;0,I166*Y166/K166,0)</f>
        <v>0</v>
      </c>
    </row>
    <row r="167" customFormat="false" ht="15" hidden="false" customHeight="false" outlineLevel="0" collapsed="false">
      <c r="A167" s="57" t="s">
        <v>794</v>
      </c>
      <c r="B167" s="57" t="s">
        <v>218</v>
      </c>
      <c r="C167" s="57" t="s">
        <v>220</v>
      </c>
      <c r="D167" s="57" t="s">
        <v>739</v>
      </c>
      <c r="E167" s="57" t="s">
        <v>795</v>
      </c>
      <c r="F167" s="57"/>
      <c r="G167" s="57"/>
      <c r="H167" s="57"/>
      <c r="I167" s="57" t="n">
        <v>1.695</v>
      </c>
      <c r="J167" s="57" t="n">
        <v>1.695</v>
      </c>
      <c r="K167" s="57"/>
      <c r="L167" s="57" t="s">
        <v>731</v>
      </c>
      <c r="M167" s="57"/>
      <c r="N167" s="57"/>
      <c r="O167" s="57"/>
      <c r="P167" s="57"/>
      <c r="Q167" s="57"/>
      <c r="R167" s="57" t="n">
        <v>0</v>
      </c>
      <c r="S167" s="57" t="n">
        <v>48</v>
      </c>
      <c r="T167" s="57" t="n">
        <v>0</v>
      </c>
      <c r="U167" s="57" t="n">
        <v>0</v>
      </c>
      <c r="V167" s="57" t="n">
        <v>0</v>
      </c>
      <c r="W167" s="57" t="n">
        <v>0</v>
      </c>
      <c r="X167" s="57" t="n">
        <v>48</v>
      </c>
      <c r="Y167" s="57" t="n">
        <v>0</v>
      </c>
      <c r="Z167" s="57" t="n">
        <v>48</v>
      </c>
      <c r="AA167" s="57" t="n">
        <v>48</v>
      </c>
      <c r="AB167" s="57" t="n">
        <v>0</v>
      </c>
      <c r="AC167" s="57" t="n">
        <v>8.9</v>
      </c>
      <c r="AD167" s="57" t="n">
        <v>25.6</v>
      </c>
      <c r="AE167" s="57" t="n">
        <v>13.5</v>
      </c>
      <c r="AF167" s="57" t="n">
        <v>0</v>
      </c>
      <c r="AG167" s="57" t="n">
        <v>0</v>
      </c>
      <c r="AH167" s="57" t="s">
        <v>239</v>
      </c>
      <c r="AI167" s="57"/>
      <c r="AJ167" s="57" t="n">
        <v>0</v>
      </c>
      <c r="AK167" s="57" t="s">
        <v>364</v>
      </c>
      <c r="AL167" s="57" t="s">
        <v>356</v>
      </c>
      <c r="AM167" s="57" t="n">
        <v>0.16</v>
      </c>
      <c r="AN167" s="57" t="s">
        <v>575</v>
      </c>
      <c r="AO167" s="57" t="str">
        <f aca="false">IF(C167="County",IF(AL167="Rest of county","Remainder of County","Settlements"),IF(D167="City Centre","City Centre","Rest of City"))</f>
        <v>Settlements</v>
      </c>
      <c r="AP167" s="57" t="str">
        <f aca="false">IF(LEFT(B167,13)="Council audit","Audit",IF(LEFT(B167,8)="Planning","Consent","Zoned"))</f>
        <v>Consent</v>
      </c>
      <c r="AQ167" s="57" t="n">
        <f aca="false">IF(N(K167)&gt;0,I167*Y167/K167,0)</f>
        <v>0</v>
      </c>
    </row>
    <row r="168" customFormat="false" ht="15" hidden="false" customHeight="false" outlineLevel="0" collapsed="false">
      <c r="A168" s="57" t="s">
        <v>796</v>
      </c>
      <c r="B168" s="57" t="s">
        <v>218</v>
      </c>
      <c r="C168" s="57" t="s">
        <v>216</v>
      </c>
      <c r="D168" s="57" t="s">
        <v>258</v>
      </c>
      <c r="E168" s="57" t="s">
        <v>797</v>
      </c>
      <c r="F168" s="57"/>
      <c r="G168" s="57"/>
      <c r="H168" s="57"/>
      <c r="I168" s="57" t="n">
        <v>0.126</v>
      </c>
      <c r="J168" s="57" t="n">
        <v>0.126</v>
      </c>
      <c r="K168" s="57"/>
      <c r="L168" s="57" t="s">
        <v>731</v>
      </c>
      <c r="M168" s="57"/>
      <c r="N168" s="57"/>
      <c r="O168" s="57"/>
      <c r="P168" s="57"/>
      <c r="Q168" s="57"/>
      <c r="R168" s="57" t="n">
        <v>0</v>
      </c>
      <c r="S168" s="57" t="n">
        <v>0</v>
      </c>
      <c r="T168" s="57" t="n">
        <v>48</v>
      </c>
      <c r="U168" s="57" t="n">
        <v>0</v>
      </c>
      <c r="V168" s="57" t="n">
        <v>0</v>
      </c>
      <c r="W168" s="57" t="n">
        <v>0</v>
      </c>
      <c r="X168" s="57" t="n">
        <v>48</v>
      </c>
      <c r="Y168" s="57" t="n">
        <v>0</v>
      </c>
      <c r="Z168" s="57" t="n">
        <v>48</v>
      </c>
      <c r="AA168" s="57" t="n">
        <v>48</v>
      </c>
      <c r="AB168" s="57" t="n">
        <v>0</v>
      </c>
      <c r="AC168" s="57" t="n">
        <v>0</v>
      </c>
      <c r="AD168" s="57" t="n">
        <v>20.5</v>
      </c>
      <c r="AE168" s="57" t="n">
        <v>27.5</v>
      </c>
      <c r="AF168" s="57" t="n">
        <v>0</v>
      </c>
      <c r="AG168" s="57" t="n">
        <v>0</v>
      </c>
      <c r="AH168" s="57" t="s">
        <v>239</v>
      </c>
      <c r="AI168" s="57"/>
      <c r="AJ168" s="57" t="n">
        <v>0</v>
      </c>
      <c r="AK168" s="57" t="s">
        <v>258</v>
      </c>
      <c r="AL168" s="57" t="s">
        <v>347</v>
      </c>
      <c r="AM168" s="57" t="n">
        <v>1</v>
      </c>
      <c r="AN168" s="57" t="s">
        <v>575</v>
      </c>
      <c r="AO168" s="57" t="str">
        <f aca="false">IF(C168="County",IF(AL168="Rest of county","Remainder of County","Settlements"),IF(D168="City Centre","City Centre","Rest of City"))</f>
        <v>City Centre</v>
      </c>
      <c r="AP168" s="57" t="str">
        <f aca="false">IF(LEFT(B168,13)="Council audit","Audit",IF(LEFT(B168,8)="Planning","Consent","Zoned"))</f>
        <v>Consent</v>
      </c>
      <c r="AQ168" s="57" t="n">
        <f aca="false">IF(N(K168)&gt;0,I168*Y168/K168,0)</f>
        <v>0</v>
      </c>
    </row>
    <row r="169" customFormat="false" ht="15" hidden="false" customHeight="false" outlineLevel="0" collapsed="false">
      <c r="A169" s="57" t="s">
        <v>798</v>
      </c>
      <c r="B169" s="57" t="s">
        <v>218</v>
      </c>
      <c r="C169" s="57" t="s">
        <v>216</v>
      </c>
      <c r="D169" s="57" t="s">
        <v>287</v>
      </c>
      <c r="E169" s="57" t="s">
        <v>799</v>
      </c>
      <c r="F169" s="57"/>
      <c r="G169" s="57"/>
      <c r="H169" s="57"/>
      <c r="I169" s="57" t="n">
        <v>2.777</v>
      </c>
      <c r="J169" s="57" t="n">
        <v>2.777</v>
      </c>
      <c r="K169" s="57"/>
      <c r="L169" s="57" t="s">
        <v>731</v>
      </c>
      <c r="M169" s="57"/>
      <c r="N169" s="57"/>
      <c r="O169" s="57"/>
      <c r="P169" s="57"/>
      <c r="Q169" s="57"/>
      <c r="R169" s="57" t="n">
        <v>43</v>
      </c>
      <c r="S169" s="57" t="n">
        <v>0</v>
      </c>
      <c r="T169" s="57" t="n">
        <v>0</v>
      </c>
      <c r="U169" s="57" t="n">
        <v>0</v>
      </c>
      <c r="V169" s="57" t="n">
        <v>0</v>
      </c>
      <c r="W169" s="57" t="n">
        <v>0</v>
      </c>
      <c r="X169" s="57" t="n">
        <v>43</v>
      </c>
      <c r="Y169" s="57" t="n">
        <v>0</v>
      </c>
      <c r="Z169" s="57" t="n">
        <v>43</v>
      </c>
      <c r="AA169" s="57" t="n">
        <v>0</v>
      </c>
      <c r="AB169" s="57" t="n">
        <v>0</v>
      </c>
      <c r="AC169" s="57" t="n">
        <v>0</v>
      </c>
      <c r="AD169" s="57" t="n">
        <v>0</v>
      </c>
      <c r="AE169" s="57" t="n">
        <v>0</v>
      </c>
      <c r="AF169" s="57" t="n">
        <v>0</v>
      </c>
      <c r="AG169" s="57" t="n">
        <v>0</v>
      </c>
      <c r="AH169" s="57" t="s">
        <v>237</v>
      </c>
      <c r="AI169" s="57"/>
      <c r="AJ169" s="57" t="n">
        <v>43</v>
      </c>
      <c r="AK169" s="57" t="s">
        <v>287</v>
      </c>
      <c r="AL169" s="57" t="s">
        <v>347</v>
      </c>
      <c r="AM169" s="57" t="n">
        <v>0.99</v>
      </c>
      <c r="AN169" s="57" t="s">
        <v>575</v>
      </c>
      <c r="AO169" s="57" t="str">
        <f aca="false">IF(C169="County",IF(AL169="Rest of county","Remainder of County","Settlements"),IF(D169="City Centre","City Centre","Rest of City"))</f>
        <v>Rest of City</v>
      </c>
      <c r="AP169" s="57" t="str">
        <f aca="false">IF(LEFT(B169,13)="Council audit","Audit",IF(LEFT(B169,8)="Planning","Consent","Zoned"))</f>
        <v>Consent</v>
      </c>
      <c r="AQ169" s="57" t="n">
        <f aca="false">IF(N(K169)&gt;0,I169*Y169/K169,0)</f>
        <v>0</v>
      </c>
    </row>
    <row r="170" customFormat="false" ht="15" hidden="false" customHeight="false" outlineLevel="0" collapsed="false">
      <c r="A170" s="57" t="s">
        <v>800</v>
      </c>
      <c r="B170" s="57" t="s">
        <v>218</v>
      </c>
      <c r="C170" s="57" t="s">
        <v>216</v>
      </c>
      <c r="D170" s="57" t="s">
        <v>284</v>
      </c>
      <c r="E170" s="57" t="s">
        <v>801</v>
      </c>
      <c r="F170" s="57"/>
      <c r="G170" s="57"/>
      <c r="H170" s="57"/>
      <c r="I170" s="57" t="n">
        <v>10.708</v>
      </c>
      <c r="J170" s="57" t="n">
        <v>10.708</v>
      </c>
      <c r="K170" s="57"/>
      <c r="L170" s="57" t="s">
        <v>731</v>
      </c>
      <c r="M170" s="57"/>
      <c r="N170" s="57"/>
      <c r="O170" s="57"/>
      <c r="P170" s="57"/>
      <c r="Q170" s="57"/>
      <c r="R170" s="57" t="n">
        <v>43</v>
      </c>
      <c r="S170" s="57" t="n">
        <v>0</v>
      </c>
      <c r="T170" s="57" t="n">
        <v>0</v>
      </c>
      <c r="U170" s="57" t="n">
        <v>0</v>
      </c>
      <c r="V170" s="57" t="n">
        <v>0</v>
      </c>
      <c r="W170" s="57" t="n">
        <v>0</v>
      </c>
      <c r="X170" s="57" t="n">
        <v>43</v>
      </c>
      <c r="Y170" s="57" t="n">
        <v>0</v>
      </c>
      <c r="Z170" s="57" t="n">
        <v>43</v>
      </c>
      <c r="AA170" s="57" t="n">
        <v>0</v>
      </c>
      <c r="AB170" s="57" t="n">
        <v>0</v>
      </c>
      <c r="AC170" s="57" t="n">
        <v>0</v>
      </c>
      <c r="AD170" s="57" t="n">
        <v>0</v>
      </c>
      <c r="AE170" s="57" t="n">
        <v>0</v>
      </c>
      <c r="AF170" s="57" t="n">
        <v>0</v>
      </c>
      <c r="AG170" s="57" t="n">
        <v>0</v>
      </c>
      <c r="AH170" s="57" t="s">
        <v>237</v>
      </c>
      <c r="AI170" s="57"/>
      <c r="AJ170" s="57" t="n">
        <v>43</v>
      </c>
      <c r="AK170" s="57" t="s">
        <v>284</v>
      </c>
      <c r="AL170" s="57" t="s">
        <v>347</v>
      </c>
      <c r="AM170" s="57" t="n">
        <v>1</v>
      </c>
      <c r="AN170" s="57" t="s">
        <v>575</v>
      </c>
      <c r="AO170" s="57" t="str">
        <f aca="false">IF(C170="County",IF(AL170="Rest of county","Remainder of County","Settlements"),IF(D170="City Centre","City Centre","Rest of City"))</f>
        <v>Rest of City</v>
      </c>
      <c r="AP170" s="57" t="str">
        <f aca="false">IF(LEFT(B170,13)="Council audit","Audit",IF(LEFT(B170,8)="Planning","Consent","Zoned"))</f>
        <v>Consent</v>
      </c>
      <c r="AQ170" s="57" t="n">
        <f aca="false">IF(N(K170)&gt;0,I170*Y170/K170,0)</f>
        <v>0</v>
      </c>
    </row>
    <row r="171" customFormat="false" ht="15" hidden="false" customHeight="false" outlineLevel="0" collapsed="false">
      <c r="A171" s="57" t="s">
        <v>802</v>
      </c>
      <c r="B171" s="57" t="s">
        <v>218</v>
      </c>
      <c r="C171" s="57" t="s">
        <v>220</v>
      </c>
      <c r="D171" s="57" t="s">
        <v>739</v>
      </c>
      <c r="E171" s="57" t="s">
        <v>803</v>
      </c>
      <c r="F171" s="57"/>
      <c r="G171" s="57"/>
      <c r="H171" s="57"/>
      <c r="I171" s="57" t="n">
        <v>1.7</v>
      </c>
      <c r="J171" s="57" t="n">
        <v>1.7</v>
      </c>
      <c r="K171" s="57"/>
      <c r="L171" s="57" t="s">
        <v>731</v>
      </c>
      <c r="M171" s="57"/>
      <c r="N171" s="57"/>
      <c r="O171" s="57"/>
      <c r="P171" s="57"/>
      <c r="Q171" s="57"/>
      <c r="R171" s="57" t="n">
        <v>0</v>
      </c>
      <c r="S171" s="57" t="n">
        <v>42</v>
      </c>
      <c r="T171" s="57" t="n">
        <v>0</v>
      </c>
      <c r="U171" s="57" t="n">
        <v>0</v>
      </c>
      <c r="V171" s="57" t="n">
        <v>0</v>
      </c>
      <c r="W171" s="57" t="n">
        <v>0</v>
      </c>
      <c r="X171" s="57" t="n">
        <v>42</v>
      </c>
      <c r="Y171" s="57" t="n">
        <v>0</v>
      </c>
      <c r="Z171" s="57" t="n">
        <v>42</v>
      </c>
      <c r="AA171" s="57" t="n">
        <v>42</v>
      </c>
      <c r="AB171" s="57" t="n">
        <v>0</v>
      </c>
      <c r="AC171" s="57" t="n">
        <v>32</v>
      </c>
      <c r="AD171" s="57" t="n">
        <v>10</v>
      </c>
      <c r="AE171" s="57" t="n">
        <v>0</v>
      </c>
      <c r="AF171" s="57" t="n">
        <v>0</v>
      </c>
      <c r="AG171" s="57" t="n">
        <v>0</v>
      </c>
      <c r="AH171" s="57" t="s">
        <v>239</v>
      </c>
      <c r="AI171" s="57"/>
      <c r="AJ171" s="57" t="n">
        <v>0</v>
      </c>
      <c r="AK171" s="57" t="s">
        <v>352</v>
      </c>
      <c r="AL171" s="57" t="s">
        <v>349</v>
      </c>
      <c r="AM171" s="57" t="n">
        <v>0.2</v>
      </c>
      <c r="AN171" s="57" t="s">
        <v>575</v>
      </c>
      <c r="AO171" s="57" t="str">
        <f aca="false">IF(C171="County",IF(AL171="Rest of county","Remainder of County","Settlements"),IF(D171="City Centre","City Centre","Rest of City"))</f>
        <v>Settlements</v>
      </c>
      <c r="AP171" s="57" t="str">
        <f aca="false">IF(LEFT(B171,13)="Council audit","Audit",IF(LEFT(B171,8)="Planning","Consent","Zoned"))</f>
        <v>Consent</v>
      </c>
      <c r="AQ171" s="57" t="n">
        <f aca="false">IF(N(K171)&gt;0,I171*Y171/K171,0)</f>
        <v>0</v>
      </c>
    </row>
    <row r="172" customFormat="false" ht="15" hidden="false" customHeight="false" outlineLevel="0" collapsed="false">
      <c r="A172" s="57" t="s">
        <v>804</v>
      </c>
      <c r="B172" s="57" t="s">
        <v>218</v>
      </c>
      <c r="C172" s="57" t="s">
        <v>220</v>
      </c>
      <c r="D172" s="57" t="s">
        <v>739</v>
      </c>
      <c r="E172" s="57" t="s">
        <v>805</v>
      </c>
      <c r="F172" s="57"/>
      <c r="G172" s="57"/>
      <c r="H172" s="57"/>
      <c r="I172" s="57" t="n">
        <v>1.803</v>
      </c>
      <c r="J172" s="57" t="n">
        <v>1.803</v>
      </c>
      <c r="K172" s="57"/>
      <c r="L172" s="57" t="s">
        <v>731</v>
      </c>
      <c r="M172" s="57"/>
      <c r="N172" s="57"/>
      <c r="O172" s="57"/>
      <c r="P172" s="57"/>
      <c r="Q172" s="57"/>
      <c r="R172" s="57" t="n">
        <v>0</v>
      </c>
      <c r="S172" s="57" t="n">
        <v>0</v>
      </c>
      <c r="T172" s="57" t="n">
        <v>41</v>
      </c>
      <c r="U172" s="57" t="n">
        <v>0</v>
      </c>
      <c r="V172" s="57" t="n">
        <v>0</v>
      </c>
      <c r="W172" s="57" t="n">
        <v>0</v>
      </c>
      <c r="X172" s="57" t="n">
        <v>41</v>
      </c>
      <c r="Y172" s="57" t="n">
        <v>0</v>
      </c>
      <c r="Z172" s="57" t="n">
        <v>41</v>
      </c>
      <c r="AA172" s="57" t="n">
        <v>41</v>
      </c>
      <c r="AB172" s="57" t="n">
        <v>0</v>
      </c>
      <c r="AC172" s="57" t="n">
        <v>1.1</v>
      </c>
      <c r="AD172" s="57" t="n">
        <v>39.9</v>
      </c>
      <c r="AE172" s="57" t="n">
        <v>0</v>
      </c>
      <c r="AF172" s="57" t="n">
        <v>0</v>
      </c>
      <c r="AG172" s="57" t="n">
        <v>0</v>
      </c>
      <c r="AH172" s="57" t="s">
        <v>239</v>
      </c>
      <c r="AI172" s="57"/>
      <c r="AJ172" s="57" t="n">
        <v>0</v>
      </c>
      <c r="AK172" s="57" t="s">
        <v>364</v>
      </c>
      <c r="AL172" s="57" t="s">
        <v>356</v>
      </c>
      <c r="AM172" s="57" t="n">
        <v>1</v>
      </c>
      <c r="AN172" s="57" t="s">
        <v>575</v>
      </c>
      <c r="AO172" s="57" t="str">
        <f aca="false">IF(C172="County",IF(AL172="Rest of county","Remainder of County","Settlements"),IF(D172="City Centre","City Centre","Rest of City"))</f>
        <v>Settlements</v>
      </c>
      <c r="AP172" s="57" t="str">
        <f aca="false">IF(LEFT(B172,13)="Council audit","Audit",IF(LEFT(B172,8)="Planning","Consent","Zoned"))</f>
        <v>Consent</v>
      </c>
      <c r="AQ172" s="57" t="n">
        <f aca="false">IF(N(K172)&gt;0,I172*Y172/K172,0)</f>
        <v>0</v>
      </c>
    </row>
    <row r="173" customFormat="false" ht="15" hidden="false" customHeight="false" outlineLevel="0" collapsed="false">
      <c r="A173" s="57" t="s">
        <v>806</v>
      </c>
      <c r="B173" s="57" t="s">
        <v>218</v>
      </c>
      <c r="C173" s="57" t="s">
        <v>216</v>
      </c>
      <c r="D173" s="57" t="s">
        <v>258</v>
      </c>
      <c r="E173" s="57" t="s">
        <v>807</v>
      </c>
      <c r="F173" s="57"/>
      <c r="G173" s="57"/>
      <c r="H173" s="57"/>
      <c r="I173" s="57" t="n">
        <v>0.129</v>
      </c>
      <c r="J173" s="57" t="n">
        <v>0.129</v>
      </c>
      <c r="K173" s="57"/>
      <c r="L173" s="57" t="s">
        <v>731</v>
      </c>
      <c r="M173" s="57"/>
      <c r="N173" s="57"/>
      <c r="O173" s="57"/>
      <c r="P173" s="57"/>
      <c r="Q173" s="57"/>
      <c r="R173" s="57" t="n">
        <v>0</v>
      </c>
      <c r="S173" s="57" t="n">
        <v>0</v>
      </c>
      <c r="T173" s="57" t="n">
        <v>40</v>
      </c>
      <c r="U173" s="57" t="n">
        <v>0</v>
      </c>
      <c r="V173" s="57" t="n">
        <v>0</v>
      </c>
      <c r="W173" s="57" t="n">
        <v>0</v>
      </c>
      <c r="X173" s="57" t="n">
        <v>40</v>
      </c>
      <c r="Y173" s="57" t="n">
        <v>0</v>
      </c>
      <c r="Z173" s="57" t="n">
        <v>40</v>
      </c>
      <c r="AA173" s="57" t="n">
        <v>40</v>
      </c>
      <c r="AB173" s="57" t="n">
        <v>0</v>
      </c>
      <c r="AC173" s="57" t="n">
        <v>0</v>
      </c>
      <c r="AD173" s="57" t="n">
        <v>22</v>
      </c>
      <c r="AE173" s="57" t="n">
        <v>18</v>
      </c>
      <c r="AF173" s="57" t="n">
        <v>0</v>
      </c>
      <c r="AG173" s="57" t="n">
        <v>0</v>
      </c>
      <c r="AH173" s="57" t="s">
        <v>239</v>
      </c>
      <c r="AI173" s="57"/>
      <c r="AJ173" s="57" t="n">
        <v>0</v>
      </c>
      <c r="AK173" s="57" t="s">
        <v>258</v>
      </c>
      <c r="AL173" s="57" t="s">
        <v>347</v>
      </c>
      <c r="AM173" s="57" t="n">
        <v>1</v>
      </c>
      <c r="AN173" s="57" t="s">
        <v>575</v>
      </c>
      <c r="AO173" s="57" t="str">
        <f aca="false">IF(C173="County",IF(AL173="Rest of county","Remainder of County","Settlements"),IF(D173="City Centre","City Centre","Rest of City"))</f>
        <v>City Centre</v>
      </c>
      <c r="AP173" s="57" t="str">
        <f aca="false">IF(LEFT(B173,13)="Council audit","Audit",IF(LEFT(B173,8)="Planning","Consent","Zoned"))</f>
        <v>Consent</v>
      </c>
      <c r="AQ173" s="57" t="n">
        <f aca="false">IF(N(K173)&gt;0,I173*Y173/K173,0)</f>
        <v>0</v>
      </c>
    </row>
    <row r="174" customFormat="false" ht="15" hidden="false" customHeight="false" outlineLevel="0" collapsed="false">
      <c r="A174" s="57" t="s">
        <v>808</v>
      </c>
      <c r="B174" s="57" t="s">
        <v>218</v>
      </c>
      <c r="C174" s="57" t="s">
        <v>216</v>
      </c>
      <c r="D174" s="57" t="s">
        <v>284</v>
      </c>
      <c r="E174" s="57" t="s">
        <v>809</v>
      </c>
      <c r="F174" s="57"/>
      <c r="G174" s="57"/>
      <c r="H174" s="57"/>
      <c r="I174" s="57" t="n">
        <v>0.143</v>
      </c>
      <c r="J174" s="57" t="n">
        <v>0.143</v>
      </c>
      <c r="K174" s="57"/>
      <c r="L174" s="57" t="s">
        <v>731</v>
      </c>
      <c r="M174" s="57"/>
      <c r="N174" s="57"/>
      <c r="O174" s="57"/>
      <c r="P174" s="57"/>
      <c r="Q174" s="57"/>
      <c r="R174" s="57" t="n">
        <v>0</v>
      </c>
      <c r="S174" s="57" t="n">
        <v>38</v>
      </c>
      <c r="T174" s="57" t="n">
        <v>0</v>
      </c>
      <c r="U174" s="57" t="n">
        <v>0</v>
      </c>
      <c r="V174" s="57" t="n">
        <v>0</v>
      </c>
      <c r="W174" s="57" t="n">
        <v>0</v>
      </c>
      <c r="X174" s="57" t="n">
        <v>38</v>
      </c>
      <c r="Y174" s="57" t="n">
        <v>0</v>
      </c>
      <c r="Z174" s="57" t="n">
        <v>38</v>
      </c>
      <c r="AA174" s="57" t="n">
        <v>38</v>
      </c>
      <c r="AB174" s="57" t="n">
        <v>8.8</v>
      </c>
      <c r="AC174" s="57" t="n">
        <v>29.2</v>
      </c>
      <c r="AD174" s="57" t="n">
        <v>0</v>
      </c>
      <c r="AE174" s="57" t="n">
        <v>0</v>
      </c>
      <c r="AF174" s="57" t="n">
        <v>0</v>
      </c>
      <c r="AG174" s="57" t="n">
        <v>0</v>
      </c>
      <c r="AH174" s="57" t="s">
        <v>239</v>
      </c>
      <c r="AI174" s="57"/>
      <c r="AJ174" s="57" t="n">
        <v>0</v>
      </c>
      <c r="AK174" s="57" t="s">
        <v>284</v>
      </c>
      <c r="AL174" s="57" t="s">
        <v>347</v>
      </c>
      <c r="AM174" s="57" t="n">
        <v>1</v>
      </c>
      <c r="AN174" s="57" t="s">
        <v>575</v>
      </c>
      <c r="AO174" s="57" t="str">
        <f aca="false">IF(C174="County",IF(AL174="Rest of county","Remainder of County","Settlements"),IF(D174="City Centre","City Centre","Rest of City"))</f>
        <v>Rest of City</v>
      </c>
      <c r="AP174" s="57" t="str">
        <f aca="false">IF(LEFT(B174,13)="Council audit","Audit",IF(LEFT(B174,8)="Planning","Consent","Zoned"))</f>
        <v>Consent</v>
      </c>
      <c r="AQ174" s="57" t="n">
        <f aca="false">IF(N(K174)&gt;0,I174*Y174/K174,0)</f>
        <v>0</v>
      </c>
    </row>
    <row r="175" customFormat="false" ht="15" hidden="false" customHeight="false" outlineLevel="0" collapsed="false">
      <c r="A175" s="57" t="s">
        <v>810</v>
      </c>
      <c r="B175" s="57" t="s">
        <v>218</v>
      </c>
      <c r="C175" s="57" t="s">
        <v>220</v>
      </c>
      <c r="D175" s="57" t="s">
        <v>739</v>
      </c>
      <c r="E175" s="57" t="s">
        <v>811</v>
      </c>
      <c r="F175" s="57"/>
      <c r="G175" s="57"/>
      <c r="H175" s="57"/>
      <c r="I175" s="57" t="n">
        <v>0.581</v>
      </c>
      <c r="J175" s="57" t="n">
        <v>0.581</v>
      </c>
      <c r="K175" s="57"/>
      <c r="L175" s="57" t="s">
        <v>731</v>
      </c>
      <c r="M175" s="57"/>
      <c r="N175" s="57"/>
      <c r="O175" s="57"/>
      <c r="P175" s="57"/>
      <c r="Q175" s="57"/>
      <c r="R175" s="57" t="n">
        <v>0</v>
      </c>
      <c r="S175" s="57" t="n">
        <v>18</v>
      </c>
      <c r="T175" s="57" t="n">
        <v>18</v>
      </c>
      <c r="U175" s="57" t="n">
        <v>0</v>
      </c>
      <c r="V175" s="57" t="n">
        <v>0</v>
      </c>
      <c r="W175" s="57" t="n">
        <v>0</v>
      </c>
      <c r="X175" s="57" t="n">
        <v>36</v>
      </c>
      <c r="Y175" s="57" t="n">
        <v>0</v>
      </c>
      <c r="Z175" s="57" t="n">
        <v>36</v>
      </c>
      <c r="AA175" s="57" t="n">
        <v>36</v>
      </c>
      <c r="AB175" s="57" t="n">
        <v>4.2</v>
      </c>
      <c r="AC175" s="57" t="n">
        <v>13.8</v>
      </c>
      <c r="AD175" s="57" t="n">
        <v>7.5</v>
      </c>
      <c r="AE175" s="57" t="n">
        <v>10.5</v>
      </c>
      <c r="AF175" s="57" t="n">
        <v>0</v>
      </c>
      <c r="AG175" s="57" t="n">
        <v>0</v>
      </c>
      <c r="AH175" s="57" t="s">
        <v>239</v>
      </c>
      <c r="AI175" s="57"/>
      <c r="AJ175" s="57" t="n">
        <v>11</v>
      </c>
      <c r="AK175" s="57" t="s">
        <v>365</v>
      </c>
      <c r="AL175" s="57" t="s">
        <v>365</v>
      </c>
      <c r="AM175" s="57"/>
      <c r="AN175" s="57" t="s">
        <v>365</v>
      </c>
      <c r="AO175" s="57" t="str">
        <f aca="false">IF(C175="County",IF(AL175="Rest of county","Remainder of County","Settlements"),IF(D175="City Centre","City Centre","Rest of City"))</f>
        <v>Remainder of County</v>
      </c>
      <c r="AP175" s="57" t="str">
        <f aca="false">IF(LEFT(B175,13)="Council audit","Audit",IF(LEFT(B175,8)="Planning","Consent","Zoned"))</f>
        <v>Consent</v>
      </c>
      <c r="AQ175" s="57" t="n">
        <f aca="false">IF(N(K175)&gt;0,I175*Y175/K175,0)</f>
        <v>0</v>
      </c>
    </row>
    <row r="176" customFormat="false" ht="15" hidden="false" customHeight="false" outlineLevel="0" collapsed="false">
      <c r="A176" s="57" t="s">
        <v>812</v>
      </c>
      <c r="B176" s="57" t="s">
        <v>218</v>
      </c>
      <c r="C176" s="57" t="s">
        <v>216</v>
      </c>
      <c r="D176" s="57" t="s">
        <v>258</v>
      </c>
      <c r="E176" s="57" t="s">
        <v>813</v>
      </c>
      <c r="F176" s="57"/>
      <c r="G176" s="57"/>
      <c r="H176" s="57"/>
      <c r="I176" s="57" t="n">
        <v>0.409</v>
      </c>
      <c r="J176" s="57" t="n">
        <v>0.409</v>
      </c>
      <c r="K176" s="57"/>
      <c r="L176" s="57" t="s">
        <v>731</v>
      </c>
      <c r="M176" s="57"/>
      <c r="N176" s="57"/>
      <c r="O176" s="57"/>
      <c r="P176" s="57"/>
      <c r="Q176" s="57"/>
      <c r="R176" s="57" t="n">
        <v>35</v>
      </c>
      <c r="S176" s="57" t="n">
        <v>0</v>
      </c>
      <c r="T176" s="57" t="n">
        <v>0</v>
      </c>
      <c r="U176" s="57" t="n">
        <v>0</v>
      </c>
      <c r="V176" s="57" t="n">
        <v>0</v>
      </c>
      <c r="W176" s="57" t="n">
        <v>0</v>
      </c>
      <c r="X176" s="57" t="n">
        <v>35</v>
      </c>
      <c r="Y176" s="57" t="n">
        <v>0</v>
      </c>
      <c r="Z176" s="57" t="n">
        <v>35</v>
      </c>
      <c r="AA176" s="57" t="n">
        <v>0</v>
      </c>
      <c r="AB176" s="57" t="n">
        <v>0</v>
      </c>
      <c r="AC176" s="57" t="n">
        <v>0</v>
      </c>
      <c r="AD176" s="57" t="n">
        <v>0</v>
      </c>
      <c r="AE176" s="57" t="n">
        <v>0</v>
      </c>
      <c r="AF176" s="57" t="n">
        <v>0</v>
      </c>
      <c r="AG176" s="57" t="n">
        <v>0</v>
      </c>
      <c r="AH176" s="57" t="s">
        <v>237</v>
      </c>
      <c r="AI176" s="57"/>
      <c r="AJ176" s="57" t="n">
        <v>0</v>
      </c>
      <c r="AK176" s="57" t="s">
        <v>258</v>
      </c>
      <c r="AL176" s="57" t="s">
        <v>347</v>
      </c>
      <c r="AM176" s="57" t="n">
        <v>1</v>
      </c>
      <c r="AN176" s="57" t="s">
        <v>575</v>
      </c>
      <c r="AO176" s="57" t="str">
        <f aca="false">IF(C176="County",IF(AL176="Rest of county","Remainder of County","Settlements"),IF(D176="City Centre","City Centre","Rest of City"))</f>
        <v>City Centre</v>
      </c>
      <c r="AP176" s="57" t="str">
        <f aca="false">IF(LEFT(B176,13)="Council audit","Audit",IF(LEFT(B176,8)="Planning","Consent","Zoned"))</f>
        <v>Consent</v>
      </c>
      <c r="AQ176" s="57" t="n">
        <f aca="false">IF(N(K176)&gt;0,I176*Y176/K176,0)</f>
        <v>0</v>
      </c>
    </row>
    <row r="177" customFormat="false" ht="15" hidden="false" customHeight="false" outlineLevel="0" collapsed="false">
      <c r="A177" s="57" t="s">
        <v>814</v>
      </c>
      <c r="B177" s="57" t="s">
        <v>218</v>
      </c>
      <c r="C177" s="57" t="s">
        <v>220</v>
      </c>
      <c r="D177" s="57" t="s">
        <v>739</v>
      </c>
      <c r="E177" s="57" t="s">
        <v>815</v>
      </c>
      <c r="F177" s="57"/>
      <c r="G177" s="57"/>
      <c r="H177" s="57"/>
      <c r="I177" s="57" t="n">
        <v>1.417</v>
      </c>
      <c r="J177" s="57" t="n">
        <v>1.417</v>
      </c>
      <c r="K177" s="57"/>
      <c r="L177" s="57" t="s">
        <v>731</v>
      </c>
      <c r="M177" s="57"/>
      <c r="N177" s="57"/>
      <c r="O177" s="57"/>
      <c r="P177" s="57"/>
      <c r="Q177" s="57"/>
      <c r="R177" s="57" t="n">
        <v>0</v>
      </c>
      <c r="S177" s="57" t="n">
        <v>0</v>
      </c>
      <c r="T177" s="57" t="n">
        <v>0</v>
      </c>
      <c r="U177" s="57" t="n">
        <v>32</v>
      </c>
      <c r="V177" s="57" t="n">
        <v>0</v>
      </c>
      <c r="W177" s="57" t="n">
        <v>0</v>
      </c>
      <c r="X177" s="57" t="n">
        <v>32</v>
      </c>
      <c r="Y177" s="57" t="n">
        <v>0</v>
      </c>
      <c r="Z177" s="57" t="n">
        <v>32</v>
      </c>
      <c r="AA177" s="57" t="n">
        <v>32</v>
      </c>
      <c r="AB177" s="57" t="n">
        <v>0</v>
      </c>
      <c r="AC177" s="57" t="n">
        <v>0</v>
      </c>
      <c r="AD177" s="57" t="n">
        <v>0</v>
      </c>
      <c r="AE177" s="57" t="n">
        <v>0</v>
      </c>
      <c r="AF177" s="57" t="n">
        <v>0</v>
      </c>
      <c r="AG177" s="57" t="n">
        <v>0</v>
      </c>
      <c r="AH177" s="57" t="s">
        <v>239</v>
      </c>
      <c r="AI177" s="57"/>
      <c r="AJ177" s="57" t="n">
        <v>0</v>
      </c>
      <c r="AK177" s="57" t="s">
        <v>363</v>
      </c>
      <c r="AL177" s="57" t="s">
        <v>356</v>
      </c>
      <c r="AM177" s="57" t="n">
        <v>1</v>
      </c>
      <c r="AN177" s="57" t="s">
        <v>575</v>
      </c>
      <c r="AO177" s="57" t="str">
        <f aca="false">IF(C177="County",IF(AL177="Rest of county","Remainder of County","Settlements"),IF(D177="City Centre","City Centre","Rest of City"))</f>
        <v>Settlements</v>
      </c>
      <c r="AP177" s="57" t="str">
        <f aca="false">IF(LEFT(B177,13)="Council audit","Audit",IF(LEFT(B177,8)="Planning","Consent","Zoned"))</f>
        <v>Consent</v>
      </c>
      <c r="AQ177" s="57" t="n">
        <f aca="false">IF(N(K177)&gt;0,I177*Y177/K177,0)</f>
        <v>0</v>
      </c>
    </row>
    <row r="178" customFormat="false" ht="15" hidden="false" customHeight="false" outlineLevel="0" collapsed="false">
      <c r="A178" s="57" t="s">
        <v>816</v>
      </c>
      <c r="B178" s="57" t="s">
        <v>218</v>
      </c>
      <c r="C178" s="57" t="s">
        <v>220</v>
      </c>
      <c r="D178" s="57" t="s">
        <v>739</v>
      </c>
      <c r="E178" s="57" t="s">
        <v>817</v>
      </c>
      <c r="F178" s="57"/>
      <c r="G178" s="57"/>
      <c r="H178" s="57"/>
      <c r="I178" s="57" t="n">
        <v>1.663</v>
      </c>
      <c r="J178" s="57" t="n">
        <v>1.663</v>
      </c>
      <c r="K178" s="57"/>
      <c r="L178" s="57" t="s">
        <v>731</v>
      </c>
      <c r="M178" s="57"/>
      <c r="N178" s="57"/>
      <c r="O178" s="57"/>
      <c r="P178" s="57"/>
      <c r="Q178" s="57"/>
      <c r="R178" s="57" t="n">
        <v>0</v>
      </c>
      <c r="S178" s="57" t="n">
        <v>0</v>
      </c>
      <c r="T178" s="57" t="n">
        <v>32</v>
      </c>
      <c r="U178" s="57" t="n">
        <v>0</v>
      </c>
      <c r="V178" s="57" t="n">
        <v>0</v>
      </c>
      <c r="W178" s="57" t="n">
        <v>0</v>
      </c>
      <c r="X178" s="57" t="n">
        <v>32</v>
      </c>
      <c r="Y178" s="57" t="n">
        <v>0</v>
      </c>
      <c r="Z178" s="57" t="n">
        <v>32</v>
      </c>
      <c r="AA178" s="57" t="n">
        <v>32</v>
      </c>
      <c r="AB178" s="57" t="n">
        <v>0</v>
      </c>
      <c r="AC178" s="57" t="n">
        <v>0</v>
      </c>
      <c r="AD178" s="57" t="n">
        <v>23.6</v>
      </c>
      <c r="AE178" s="57" t="n">
        <v>8.4</v>
      </c>
      <c r="AF178" s="57" t="n">
        <v>0</v>
      </c>
      <c r="AG178" s="57" t="n">
        <v>0</v>
      </c>
      <c r="AH178" s="57" t="s">
        <v>239</v>
      </c>
      <c r="AI178" s="57"/>
      <c r="AJ178" s="57" t="n">
        <v>0</v>
      </c>
      <c r="AK178" s="57" t="s">
        <v>360</v>
      </c>
      <c r="AL178" s="57" t="s">
        <v>356</v>
      </c>
      <c r="AM178" s="57" t="n">
        <v>1</v>
      </c>
      <c r="AN178" s="57" t="s">
        <v>575</v>
      </c>
      <c r="AO178" s="57" t="str">
        <f aca="false">IF(C178="County",IF(AL178="Rest of county","Remainder of County","Settlements"),IF(D178="City Centre","City Centre","Rest of City"))</f>
        <v>Settlements</v>
      </c>
      <c r="AP178" s="57" t="str">
        <f aca="false">IF(LEFT(B178,13)="Council audit","Audit",IF(LEFT(B178,8)="Planning","Consent","Zoned"))</f>
        <v>Consent</v>
      </c>
      <c r="AQ178" s="57" t="n">
        <f aca="false">IF(N(K178)&gt;0,I178*Y178/K178,0)</f>
        <v>0</v>
      </c>
    </row>
    <row r="179" customFormat="false" ht="15" hidden="false" customHeight="false" outlineLevel="0" collapsed="false">
      <c r="A179" s="57" t="s">
        <v>818</v>
      </c>
      <c r="B179" s="57" t="s">
        <v>218</v>
      </c>
      <c r="C179" s="57" t="s">
        <v>220</v>
      </c>
      <c r="D179" s="57" t="s">
        <v>739</v>
      </c>
      <c r="E179" s="57" t="s">
        <v>819</v>
      </c>
      <c r="F179" s="57"/>
      <c r="G179" s="57"/>
      <c r="H179" s="57"/>
      <c r="I179" s="57" t="n">
        <v>1.19</v>
      </c>
      <c r="J179" s="57" t="n">
        <v>1.19</v>
      </c>
      <c r="K179" s="57"/>
      <c r="L179" s="57" t="s">
        <v>731</v>
      </c>
      <c r="M179" s="57"/>
      <c r="N179" s="57"/>
      <c r="O179" s="57"/>
      <c r="P179" s="57"/>
      <c r="Q179" s="57"/>
      <c r="R179" s="57" t="n">
        <v>0</v>
      </c>
      <c r="S179" s="57" t="n">
        <v>0</v>
      </c>
      <c r="T179" s="57" t="n">
        <v>31</v>
      </c>
      <c r="U179" s="57" t="n">
        <v>0</v>
      </c>
      <c r="V179" s="57" t="n">
        <v>0</v>
      </c>
      <c r="W179" s="57" t="n">
        <v>0</v>
      </c>
      <c r="X179" s="57" t="n">
        <v>31</v>
      </c>
      <c r="Y179" s="57" t="n">
        <v>0</v>
      </c>
      <c r="Z179" s="57" t="n">
        <v>31</v>
      </c>
      <c r="AA179" s="57" t="n">
        <v>31</v>
      </c>
      <c r="AB179" s="57" t="n">
        <v>0</v>
      </c>
      <c r="AC179" s="57" t="n">
        <v>0</v>
      </c>
      <c r="AD179" s="57" t="n">
        <v>23.6</v>
      </c>
      <c r="AE179" s="57" t="n">
        <v>7.4</v>
      </c>
      <c r="AF179" s="57" t="n">
        <v>0</v>
      </c>
      <c r="AG179" s="57" t="n">
        <v>0</v>
      </c>
      <c r="AH179" s="57" t="s">
        <v>239</v>
      </c>
      <c r="AI179" s="57"/>
      <c r="AJ179" s="57" t="n">
        <v>0</v>
      </c>
      <c r="AK179" s="57" t="s">
        <v>348</v>
      </c>
      <c r="AL179" s="57" t="s">
        <v>349</v>
      </c>
      <c r="AM179" s="57" t="n">
        <v>1</v>
      </c>
      <c r="AN179" s="57" t="s">
        <v>575</v>
      </c>
      <c r="AO179" s="57" t="str">
        <f aca="false">IF(C179="County",IF(AL179="Rest of county","Remainder of County","Settlements"),IF(D179="City Centre","City Centre","Rest of City"))</f>
        <v>Settlements</v>
      </c>
      <c r="AP179" s="57" t="str">
        <f aca="false">IF(LEFT(B179,13)="Council audit","Audit",IF(LEFT(B179,8)="Planning","Consent","Zoned"))</f>
        <v>Consent</v>
      </c>
      <c r="AQ179" s="57" t="n">
        <f aca="false">IF(N(K179)&gt;0,I179*Y179/K179,0)</f>
        <v>0</v>
      </c>
    </row>
    <row r="180" customFormat="false" ht="15" hidden="false" customHeight="false" outlineLevel="0" collapsed="false">
      <c r="A180" s="57" t="s">
        <v>820</v>
      </c>
      <c r="B180" s="57" t="s">
        <v>218</v>
      </c>
      <c r="C180" s="57" t="s">
        <v>220</v>
      </c>
      <c r="D180" s="57" t="s">
        <v>739</v>
      </c>
      <c r="E180" s="57" t="s">
        <v>821</v>
      </c>
      <c r="F180" s="57"/>
      <c r="G180" s="57"/>
      <c r="H180" s="57"/>
      <c r="I180" s="57" t="n">
        <v>2.18</v>
      </c>
      <c r="J180" s="57" t="n">
        <v>2.18</v>
      </c>
      <c r="K180" s="57"/>
      <c r="L180" s="57" t="s">
        <v>731</v>
      </c>
      <c r="M180" s="57"/>
      <c r="N180" s="57"/>
      <c r="O180" s="57"/>
      <c r="P180" s="57"/>
      <c r="Q180" s="57"/>
      <c r="R180" s="57" t="n">
        <v>0</v>
      </c>
      <c r="S180" s="57" t="n">
        <v>0</v>
      </c>
      <c r="T180" s="57" t="n">
        <v>31</v>
      </c>
      <c r="U180" s="57" t="n">
        <v>0</v>
      </c>
      <c r="V180" s="57" t="n">
        <v>0</v>
      </c>
      <c r="W180" s="57" t="n">
        <v>0</v>
      </c>
      <c r="X180" s="57" t="n">
        <v>31</v>
      </c>
      <c r="Y180" s="57" t="n">
        <v>0</v>
      </c>
      <c r="Z180" s="57" t="n">
        <v>31</v>
      </c>
      <c r="AA180" s="57" t="n">
        <v>31</v>
      </c>
      <c r="AB180" s="57" t="n">
        <v>0</v>
      </c>
      <c r="AC180" s="57" t="n">
        <v>0</v>
      </c>
      <c r="AD180" s="57" t="n">
        <v>23.6</v>
      </c>
      <c r="AE180" s="57" t="n">
        <v>7.4</v>
      </c>
      <c r="AF180" s="57" t="n">
        <v>0</v>
      </c>
      <c r="AG180" s="57" t="n">
        <v>0</v>
      </c>
      <c r="AH180" s="57" t="s">
        <v>239</v>
      </c>
      <c r="AI180" s="57"/>
      <c r="AJ180" s="57" t="n">
        <v>0</v>
      </c>
      <c r="AK180" s="57" t="s">
        <v>355</v>
      </c>
      <c r="AL180" s="57" t="s">
        <v>356</v>
      </c>
      <c r="AM180" s="57" t="n">
        <v>0.43</v>
      </c>
      <c r="AN180" s="57" t="s">
        <v>575</v>
      </c>
      <c r="AO180" s="57" t="str">
        <f aca="false">IF(C180="County",IF(AL180="Rest of county","Remainder of County","Settlements"),IF(D180="City Centre","City Centre","Rest of City"))</f>
        <v>Settlements</v>
      </c>
      <c r="AP180" s="57" t="str">
        <f aca="false">IF(LEFT(B180,13)="Council audit","Audit",IF(LEFT(B180,8)="Planning","Consent","Zoned"))</f>
        <v>Consent</v>
      </c>
      <c r="AQ180" s="57" t="n">
        <f aca="false">IF(N(K180)&gt;0,I180*Y180/K180,0)</f>
        <v>0</v>
      </c>
    </row>
    <row r="181" customFormat="false" ht="15" hidden="false" customHeight="false" outlineLevel="0" collapsed="false">
      <c r="A181" s="57" t="s">
        <v>822</v>
      </c>
      <c r="B181" s="57" t="s">
        <v>218</v>
      </c>
      <c r="C181" s="57" t="s">
        <v>220</v>
      </c>
      <c r="D181" s="57" t="s">
        <v>739</v>
      </c>
      <c r="E181" s="57" t="s">
        <v>823</v>
      </c>
      <c r="F181" s="57"/>
      <c r="G181" s="57"/>
      <c r="H181" s="57"/>
      <c r="I181" s="57" t="n">
        <v>3.075</v>
      </c>
      <c r="J181" s="57" t="n">
        <v>3.075</v>
      </c>
      <c r="K181" s="57"/>
      <c r="L181" s="57" t="s">
        <v>731</v>
      </c>
      <c r="M181" s="57"/>
      <c r="N181" s="57"/>
      <c r="O181" s="57"/>
      <c r="P181" s="57"/>
      <c r="Q181" s="57"/>
      <c r="R181" s="57" t="n">
        <v>0</v>
      </c>
      <c r="S181" s="57" t="n">
        <v>30</v>
      </c>
      <c r="T181" s="57" t="n">
        <v>0</v>
      </c>
      <c r="U181" s="57" t="n">
        <v>0</v>
      </c>
      <c r="V181" s="57" t="n">
        <v>0</v>
      </c>
      <c r="W181" s="57" t="n">
        <v>0</v>
      </c>
      <c r="X181" s="57" t="n">
        <v>30</v>
      </c>
      <c r="Y181" s="57" t="n">
        <v>0</v>
      </c>
      <c r="Z181" s="57" t="n">
        <v>30</v>
      </c>
      <c r="AA181" s="57" t="n">
        <v>30</v>
      </c>
      <c r="AB181" s="57" t="n">
        <v>7</v>
      </c>
      <c r="AC181" s="57" t="n">
        <v>23</v>
      </c>
      <c r="AD181" s="57" t="n">
        <v>0</v>
      </c>
      <c r="AE181" s="57" t="n">
        <v>0</v>
      </c>
      <c r="AF181" s="57" t="n">
        <v>0</v>
      </c>
      <c r="AG181" s="57" t="n">
        <v>0</v>
      </c>
      <c r="AH181" s="57" t="s">
        <v>239</v>
      </c>
      <c r="AI181" s="57"/>
      <c r="AJ181" s="57" t="n">
        <v>0</v>
      </c>
      <c r="AK181" s="57" t="s">
        <v>365</v>
      </c>
      <c r="AL181" s="57" t="s">
        <v>365</v>
      </c>
      <c r="AM181" s="57"/>
      <c r="AN181" s="57" t="s">
        <v>365</v>
      </c>
      <c r="AO181" s="57" t="str">
        <f aca="false">IF(C181="County",IF(AL181="Rest of county","Remainder of County","Settlements"),IF(D181="City Centre","City Centre","Rest of City"))</f>
        <v>Remainder of County</v>
      </c>
      <c r="AP181" s="57" t="str">
        <f aca="false">IF(LEFT(B181,13)="Council audit","Audit",IF(LEFT(B181,8)="Planning","Consent","Zoned"))</f>
        <v>Consent</v>
      </c>
      <c r="AQ181" s="57" t="n">
        <f aca="false">IF(N(K181)&gt;0,I181*Y181/K181,0)</f>
        <v>0</v>
      </c>
    </row>
    <row r="182" customFormat="false" ht="15" hidden="false" customHeight="false" outlineLevel="0" collapsed="false">
      <c r="A182" s="57" t="s">
        <v>824</v>
      </c>
      <c r="B182" s="57" t="s">
        <v>218</v>
      </c>
      <c r="C182" s="57" t="s">
        <v>216</v>
      </c>
      <c r="D182" s="57" t="s">
        <v>286</v>
      </c>
      <c r="E182" s="57" t="s">
        <v>825</v>
      </c>
      <c r="F182" s="57"/>
      <c r="G182" s="57"/>
      <c r="H182" s="57"/>
      <c r="I182" s="57" t="n">
        <v>0.228</v>
      </c>
      <c r="J182" s="57" t="n">
        <v>0.228</v>
      </c>
      <c r="K182" s="57"/>
      <c r="L182" s="57" t="s">
        <v>731</v>
      </c>
      <c r="M182" s="57"/>
      <c r="N182" s="57"/>
      <c r="O182" s="57"/>
      <c r="P182" s="57"/>
      <c r="Q182" s="57"/>
      <c r="R182" s="57" t="n">
        <v>0</v>
      </c>
      <c r="S182" s="57" t="n">
        <v>0</v>
      </c>
      <c r="T182" s="57" t="n">
        <v>30</v>
      </c>
      <c r="U182" s="57" t="n">
        <v>0</v>
      </c>
      <c r="V182" s="57" t="n">
        <v>0</v>
      </c>
      <c r="W182" s="57" t="n">
        <v>0</v>
      </c>
      <c r="X182" s="57" t="n">
        <v>30</v>
      </c>
      <c r="Y182" s="57" t="n">
        <v>0</v>
      </c>
      <c r="Z182" s="57" t="n">
        <v>30</v>
      </c>
      <c r="AA182" s="57" t="n">
        <v>30</v>
      </c>
      <c r="AB182" s="57" t="n">
        <v>0</v>
      </c>
      <c r="AC182" s="57" t="n">
        <v>0</v>
      </c>
      <c r="AD182" s="57" t="n">
        <v>22.8</v>
      </c>
      <c r="AE182" s="57" t="n">
        <v>7.2</v>
      </c>
      <c r="AF182" s="57" t="n">
        <v>0</v>
      </c>
      <c r="AG182" s="57" t="n">
        <v>0</v>
      </c>
      <c r="AH182" s="57" t="s">
        <v>239</v>
      </c>
      <c r="AI182" s="57"/>
      <c r="AJ182" s="57" t="n">
        <v>0</v>
      </c>
      <c r="AK182" s="57" t="s">
        <v>286</v>
      </c>
      <c r="AL182" s="57" t="s">
        <v>347</v>
      </c>
      <c r="AM182" s="57" t="n">
        <v>1</v>
      </c>
      <c r="AN182" s="57" t="s">
        <v>575</v>
      </c>
      <c r="AO182" s="57" t="str">
        <f aca="false">IF(C182="County",IF(AL182="Rest of county","Remainder of County","Settlements"),IF(D182="City Centre","City Centre","Rest of City"))</f>
        <v>Rest of City</v>
      </c>
      <c r="AP182" s="57" t="str">
        <f aca="false">IF(LEFT(B182,13)="Council audit","Audit",IF(LEFT(B182,8)="Planning","Consent","Zoned"))</f>
        <v>Consent</v>
      </c>
      <c r="AQ182" s="57" t="n">
        <f aca="false">IF(N(K182)&gt;0,I182*Y182/K182,0)</f>
        <v>0</v>
      </c>
    </row>
    <row r="183" customFormat="false" ht="15" hidden="false" customHeight="false" outlineLevel="0" collapsed="false">
      <c r="A183" s="57" t="s">
        <v>826</v>
      </c>
      <c r="B183" s="57" t="s">
        <v>218</v>
      </c>
      <c r="C183" s="57" t="s">
        <v>220</v>
      </c>
      <c r="D183" s="57" t="s">
        <v>739</v>
      </c>
      <c r="E183" s="57" t="s">
        <v>827</v>
      </c>
      <c r="F183" s="57"/>
      <c r="G183" s="57"/>
      <c r="H183" s="57"/>
      <c r="I183" s="57" t="n">
        <v>0.485</v>
      </c>
      <c r="J183" s="57" t="n">
        <v>0.485</v>
      </c>
      <c r="K183" s="57"/>
      <c r="L183" s="57" t="s">
        <v>731</v>
      </c>
      <c r="M183" s="57"/>
      <c r="N183" s="57"/>
      <c r="O183" s="57"/>
      <c r="P183" s="57"/>
      <c r="Q183" s="57"/>
      <c r="R183" s="57" t="n">
        <v>0</v>
      </c>
      <c r="S183" s="57" t="n">
        <v>0</v>
      </c>
      <c r="T183" s="57" t="n">
        <v>0</v>
      </c>
      <c r="U183" s="57" t="n">
        <v>0</v>
      </c>
      <c r="V183" s="57" t="n">
        <v>0</v>
      </c>
      <c r="W183" s="57" t="n">
        <v>30</v>
      </c>
      <c r="X183" s="57" t="n">
        <v>0</v>
      </c>
      <c r="Y183" s="57" t="n">
        <v>0</v>
      </c>
      <c r="Z183" s="57" t="n">
        <v>0</v>
      </c>
      <c r="AA183" s="57" t="n">
        <v>0</v>
      </c>
      <c r="AB183" s="57" t="n">
        <v>0</v>
      </c>
      <c r="AC183" s="57" t="n">
        <v>0</v>
      </c>
      <c r="AD183" s="57" t="n">
        <v>0</v>
      </c>
      <c r="AE183" s="57" t="n">
        <v>0</v>
      </c>
      <c r="AF183" s="57" t="n">
        <v>0</v>
      </c>
      <c r="AG183" s="57" t="n">
        <v>0</v>
      </c>
      <c r="AH183" s="57" t="s">
        <v>240</v>
      </c>
      <c r="AI183" s="57"/>
      <c r="AJ183" s="57" t="n">
        <v>0</v>
      </c>
      <c r="AK183" s="57" t="s">
        <v>348</v>
      </c>
      <c r="AL183" s="57" t="s">
        <v>349</v>
      </c>
      <c r="AM183" s="57" t="n">
        <v>1</v>
      </c>
      <c r="AN183" s="57" t="s">
        <v>575</v>
      </c>
      <c r="AO183" s="57" t="str">
        <f aca="false">IF(C183="County",IF(AL183="Rest of county","Remainder of County","Settlements"),IF(D183="City Centre","City Centre","Rest of City"))</f>
        <v>Settlements</v>
      </c>
      <c r="AP183" s="57" t="str">
        <f aca="false">IF(LEFT(B183,13)="Council audit","Audit",IF(LEFT(B183,8)="Planning","Consent","Zoned"))</f>
        <v>Consent</v>
      </c>
      <c r="AQ183" s="57" t="n">
        <f aca="false">IF(N(K183)&gt;0,I183*Y183/K183,0)</f>
        <v>0</v>
      </c>
    </row>
    <row r="184" customFormat="false" ht="15" hidden="false" customHeight="false" outlineLevel="0" collapsed="false">
      <c r="A184" s="57" t="s">
        <v>828</v>
      </c>
      <c r="B184" s="57" t="s">
        <v>218</v>
      </c>
      <c r="C184" s="57" t="s">
        <v>216</v>
      </c>
      <c r="D184" s="57" t="s">
        <v>258</v>
      </c>
      <c r="E184" s="57" t="s">
        <v>829</v>
      </c>
      <c r="F184" s="57"/>
      <c r="G184" s="57"/>
      <c r="H184" s="57"/>
      <c r="I184" s="57" t="n">
        <v>0.077</v>
      </c>
      <c r="J184" s="57" t="n">
        <v>0.077</v>
      </c>
      <c r="K184" s="57"/>
      <c r="L184" s="57" t="s">
        <v>731</v>
      </c>
      <c r="M184" s="57"/>
      <c r="N184" s="57"/>
      <c r="O184" s="57"/>
      <c r="P184" s="57"/>
      <c r="Q184" s="57"/>
      <c r="R184" s="57" t="n">
        <v>0</v>
      </c>
      <c r="S184" s="57" t="n">
        <v>0</v>
      </c>
      <c r="T184" s="57" t="n">
        <v>29</v>
      </c>
      <c r="U184" s="57" t="n">
        <v>0</v>
      </c>
      <c r="V184" s="57" t="n">
        <v>0</v>
      </c>
      <c r="W184" s="57" t="n">
        <v>0</v>
      </c>
      <c r="X184" s="57" t="n">
        <v>29</v>
      </c>
      <c r="Y184" s="57" t="n">
        <v>0</v>
      </c>
      <c r="Z184" s="57" t="n">
        <v>29</v>
      </c>
      <c r="AA184" s="57" t="n">
        <v>29</v>
      </c>
      <c r="AB184" s="57" t="n">
        <v>0</v>
      </c>
      <c r="AC184" s="57" t="n">
        <v>0</v>
      </c>
      <c r="AD184" s="57" t="n">
        <v>22</v>
      </c>
      <c r="AE184" s="57" t="n">
        <v>7</v>
      </c>
      <c r="AF184" s="57" t="n">
        <v>0</v>
      </c>
      <c r="AG184" s="57" t="n">
        <v>0</v>
      </c>
      <c r="AH184" s="57" t="s">
        <v>239</v>
      </c>
      <c r="AI184" s="57"/>
      <c r="AJ184" s="57" t="n">
        <v>0</v>
      </c>
      <c r="AK184" s="57" t="s">
        <v>258</v>
      </c>
      <c r="AL184" s="57" t="s">
        <v>347</v>
      </c>
      <c r="AM184" s="57" t="n">
        <v>1</v>
      </c>
      <c r="AN184" s="57" t="s">
        <v>575</v>
      </c>
      <c r="AO184" s="57" t="str">
        <f aca="false">IF(C184="County",IF(AL184="Rest of county","Remainder of County","Settlements"),IF(D184="City Centre","City Centre","Rest of City"))</f>
        <v>City Centre</v>
      </c>
      <c r="AP184" s="57" t="str">
        <f aca="false">IF(LEFT(B184,13)="Council audit","Audit",IF(LEFT(B184,8)="Planning","Consent","Zoned"))</f>
        <v>Consent</v>
      </c>
      <c r="AQ184" s="57" t="n">
        <f aca="false">IF(N(K184)&gt;0,I184*Y184/K184,0)</f>
        <v>0</v>
      </c>
    </row>
    <row r="185" customFormat="false" ht="15" hidden="false" customHeight="false" outlineLevel="0" collapsed="false">
      <c r="A185" s="57" t="s">
        <v>830</v>
      </c>
      <c r="B185" s="57" t="s">
        <v>218</v>
      </c>
      <c r="C185" s="57" t="s">
        <v>216</v>
      </c>
      <c r="D185" s="57" t="s">
        <v>284</v>
      </c>
      <c r="E185" s="57" t="s">
        <v>831</v>
      </c>
      <c r="F185" s="57"/>
      <c r="G185" s="57"/>
      <c r="H185" s="57"/>
      <c r="I185" s="57" t="n">
        <v>0.508</v>
      </c>
      <c r="J185" s="57" t="n">
        <v>0.508</v>
      </c>
      <c r="K185" s="57"/>
      <c r="L185" s="57" t="s">
        <v>731</v>
      </c>
      <c r="M185" s="57"/>
      <c r="N185" s="57"/>
      <c r="O185" s="57"/>
      <c r="P185" s="57"/>
      <c r="Q185" s="57"/>
      <c r="R185" s="57" t="n">
        <v>0</v>
      </c>
      <c r="S185" s="57" t="n">
        <v>28</v>
      </c>
      <c r="T185" s="57" t="n">
        <v>0</v>
      </c>
      <c r="U185" s="57" t="n">
        <v>0</v>
      </c>
      <c r="V185" s="57" t="n">
        <v>0</v>
      </c>
      <c r="W185" s="57" t="n">
        <v>0</v>
      </c>
      <c r="X185" s="57" t="n">
        <v>28</v>
      </c>
      <c r="Y185" s="57" t="n">
        <v>0</v>
      </c>
      <c r="Z185" s="57" t="n">
        <v>28</v>
      </c>
      <c r="AA185" s="57" t="n">
        <v>28</v>
      </c>
      <c r="AB185" s="57" t="n">
        <v>3.9</v>
      </c>
      <c r="AC185" s="57" t="n">
        <v>24.1</v>
      </c>
      <c r="AD185" s="57" t="n">
        <v>0</v>
      </c>
      <c r="AE185" s="57" t="n">
        <v>0</v>
      </c>
      <c r="AF185" s="57" t="n">
        <v>0</v>
      </c>
      <c r="AG185" s="57" t="n">
        <v>0</v>
      </c>
      <c r="AH185" s="57" t="s">
        <v>239</v>
      </c>
      <c r="AI185" s="57"/>
      <c r="AJ185" s="57" t="n">
        <v>0</v>
      </c>
      <c r="AK185" s="57" t="s">
        <v>284</v>
      </c>
      <c r="AL185" s="57" t="s">
        <v>347</v>
      </c>
      <c r="AM185" s="57" t="n">
        <v>1</v>
      </c>
      <c r="AN185" s="57" t="s">
        <v>575</v>
      </c>
      <c r="AO185" s="57" t="str">
        <f aca="false">IF(C185="County",IF(AL185="Rest of county","Remainder of County","Settlements"),IF(D185="City Centre","City Centre","Rest of City"))</f>
        <v>Rest of City</v>
      </c>
      <c r="AP185" s="57" t="str">
        <f aca="false">IF(LEFT(B185,13)="Council audit","Audit",IF(LEFT(B185,8)="Planning","Consent","Zoned"))</f>
        <v>Consent</v>
      </c>
      <c r="AQ185" s="57" t="n">
        <f aca="false">IF(N(K185)&gt;0,I185*Y185/K185,0)</f>
        <v>0</v>
      </c>
    </row>
    <row r="186" customFormat="false" ht="15" hidden="false" customHeight="false" outlineLevel="0" collapsed="false">
      <c r="A186" s="57" t="s">
        <v>832</v>
      </c>
      <c r="B186" s="57" t="s">
        <v>218</v>
      </c>
      <c r="C186" s="57" t="s">
        <v>220</v>
      </c>
      <c r="D186" s="57" t="s">
        <v>739</v>
      </c>
      <c r="E186" s="57" t="s">
        <v>833</v>
      </c>
      <c r="F186" s="57"/>
      <c r="G186" s="57"/>
      <c r="H186" s="57"/>
      <c r="I186" s="57" t="n">
        <v>1.245</v>
      </c>
      <c r="J186" s="57" t="n">
        <v>1.245</v>
      </c>
      <c r="K186" s="57"/>
      <c r="L186" s="57" t="s">
        <v>731</v>
      </c>
      <c r="M186" s="57"/>
      <c r="N186" s="57"/>
      <c r="O186" s="57"/>
      <c r="P186" s="57"/>
      <c r="Q186" s="57"/>
      <c r="R186" s="57" t="n">
        <v>0</v>
      </c>
      <c r="S186" s="57" t="n">
        <v>28</v>
      </c>
      <c r="T186" s="57" t="n">
        <v>0</v>
      </c>
      <c r="U186" s="57" t="n">
        <v>0</v>
      </c>
      <c r="V186" s="57" t="n">
        <v>0</v>
      </c>
      <c r="W186" s="57" t="n">
        <v>0</v>
      </c>
      <c r="X186" s="57" t="n">
        <v>28</v>
      </c>
      <c r="Y186" s="57" t="n">
        <v>0</v>
      </c>
      <c r="Z186" s="57" t="n">
        <v>28</v>
      </c>
      <c r="AA186" s="57" t="n">
        <v>28</v>
      </c>
      <c r="AB186" s="57" t="n">
        <v>1.2</v>
      </c>
      <c r="AC186" s="57" t="n">
        <v>26.8</v>
      </c>
      <c r="AD186" s="57" t="n">
        <v>0</v>
      </c>
      <c r="AE186" s="57" t="n">
        <v>0</v>
      </c>
      <c r="AF186" s="57" t="n">
        <v>0</v>
      </c>
      <c r="AG186" s="57" t="n">
        <v>0</v>
      </c>
      <c r="AH186" s="57" t="s">
        <v>239</v>
      </c>
      <c r="AI186" s="57"/>
      <c r="AJ186" s="57" t="n">
        <v>0</v>
      </c>
      <c r="AK186" s="57" t="s">
        <v>352</v>
      </c>
      <c r="AL186" s="57" t="s">
        <v>349</v>
      </c>
      <c r="AM186" s="57" t="n">
        <v>0.1</v>
      </c>
      <c r="AN186" s="57" t="s">
        <v>575</v>
      </c>
      <c r="AO186" s="57" t="str">
        <f aca="false">IF(C186="County",IF(AL186="Rest of county","Remainder of County","Settlements"),IF(D186="City Centre","City Centre","Rest of City"))</f>
        <v>Settlements</v>
      </c>
      <c r="AP186" s="57" t="str">
        <f aca="false">IF(LEFT(B186,13)="Council audit","Audit",IF(LEFT(B186,8)="Planning","Consent","Zoned"))</f>
        <v>Consent</v>
      </c>
      <c r="AQ186" s="57" t="n">
        <f aca="false">IF(N(K186)&gt;0,I186*Y186/K186,0)</f>
        <v>0</v>
      </c>
    </row>
    <row r="187" customFormat="false" ht="15" hidden="false" customHeight="false" outlineLevel="0" collapsed="false">
      <c r="A187" s="57" t="s">
        <v>834</v>
      </c>
      <c r="B187" s="57" t="s">
        <v>218</v>
      </c>
      <c r="C187" s="57" t="s">
        <v>220</v>
      </c>
      <c r="D187" s="57" t="s">
        <v>739</v>
      </c>
      <c r="E187" s="57" t="s">
        <v>835</v>
      </c>
      <c r="F187" s="57"/>
      <c r="G187" s="57"/>
      <c r="H187" s="57"/>
      <c r="I187" s="57" t="n">
        <v>15.516</v>
      </c>
      <c r="J187" s="57" t="n">
        <v>15.516</v>
      </c>
      <c r="K187" s="57"/>
      <c r="L187" s="57" t="s">
        <v>731</v>
      </c>
      <c r="M187" s="57"/>
      <c r="N187" s="57"/>
      <c r="O187" s="57"/>
      <c r="P187" s="57"/>
      <c r="Q187" s="57"/>
      <c r="R187" s="57" t="n">
        <v>0</v>
      </c>
      <c r="S187" s="57" t="n">
        <v>0</v>
      </c>
      <c r="T187" s="57" t="n">
        <v>28</v>
      </c>
      <c r="U187" s="57" t="n">
        <v>0</v>
      </c>
      <c r="V187" s="57" t="n">
        <v>0</v>
      </c>
      <c r="W187" s="57" t="n">
        <v>0</v>
      </c>
      <c r="X187" s="57" t="n">
        <v>28</v>
      </c>
      <c r="Y187" s="57" t="n">
        <v>0</v>
      </c>
      <c r="Z187" s="57" t="n">
        <v>28</v>
      </c>
      <c r="AA187" s="57" t="n">
        <v>28</v>
      </c>
      <c r="AB187" s="57" t="n">
        <v>0</v>
      </c>
      <c r="AC187" s="57" t="n">
        <v>0</v>
      </c>
      <c r="AD187" s="57" t="n">
        <v>0</v>
      </c>
      <c r="AE187" s="57" t="n">
        <v>27.8</v>
      </c>
      <c r="AF187" s="57" t="n">
        <v>0.2</v>
      </c>
      <c r="AG187" s="57" t="n">
        <v>0</v>
      </c>
      <c r="AH187" s="57" t="s">
        <v>239</v>
      </c>
      <c r="AI187" s="57"/>
      <c r="AJ187" s="57" t="n">
        <v>0</v>
      </c>
      <c r="AK187" s="57" t="s">
        <v>355</v>
      </c>
      <c r="AL187" s="57" t="s">
        <v>356</v>
      </c>
      <c r="AM187" s="57" t="n">
        <v>0</v>
      </c>
      <c r="AN187" s="57" t="s">
        <v>836</v>
      </c>
      <c r="AO187" s="57" t="str">
        <f aca="false">IF(C187="County",IF(AL187="Rest of county","Remainder of County","Settlements"),IF(D187="City Centre","City Centre","Rest of City"))</f>
        <v>Settlements</v>
      </c>
      <c r="AP187" s="57" t="str">
        <f aca="false">IF(LEFT(B187,13)="Council audit","Audit",IF(LEFT(B187,8)="Planning","Consent","Zoned"))</f>
        <v>Consent</v>
      </c>
      <c r="AQ187" s="57" t="n">
        <f aca="false">IF(N(K187)&gt;0,I187*Y187/K187,0)</f>
        <v>0</v>
      </c>
    </row>
    <row r="188" customFormat="false" ht="15" hidden="false" customHeight="false" outlineLevel="0" collapsed="false">
      <c r="A188" s="57" t="s">
        <v>837</v>
      </c>
      <c r="B188" s="57" t="s">
        <v>218</v>
      </c>
      <c r="C188" s="57" t="s">
        <v>216</v>
      </c>
      <c r="D188" s="57" t="s">
        <v>284</v>
      </c>
      <c r="E188" s="57" t="s">
        <v>838</v>
      </c>
      <c r="F188" s="57"/>
      <c r="G188" s="57"/>
      <c r="H188" s="57"/>
      <c r="I188" s="57" t="n">
        <v>1.237</v>
      </c>
      <c r="J188" s="57" t="n">
        <v>1.237</v>
      </c>
      <c r="K188" s="57"/>
      <c r="L188" s="57" t="s">
        <v>731</v>
      </c>
      <c r="M188" s="57"/>
      <c r="N188" s="57"/>
      <c r="O188" s="57"/>
      <c r="P188" s="57"/>
      <c r="Q188" s="57"/>
      <c r="R188" s="57" t="n">
        <v>27</v>
      </c>
      <c r="S188" s="57" t="n">
        <v>0</v>
      </c>
      <c r="T188" s="57" t="n">
        <v>0</v>
      </c>
      <c r="U188" s="57" t="n">
        <v>0</v>
      </c>
      <c r="V188" s="57" t="n">
        <v>0</v>
      </c>
      <c r="W188" s="57" t="n">
        <v>0</v>
      </c>
      <c r="X188" s="57" t="n">
        <v>27</v>
      </c>
      <c r="Y188" s="57" t="n">
        <v>0</v>
      </c>
      <c r="Z188" s="57" t="n">
        <v>27</v>
      </c>
      <c r="AA188" s="57" t="n">
        <v>0</v>
      </c>
      <c r="AB188" s="57" t="n">
        <v>0</v>
      </c>
      <c r="AC188" s="57" t="n">
        <v>0</v>
      </c>
      <c r="AD188" s="57" t="n">
        <v>0</v>
      </c>
      <c r="AE188" s="57" t="n">
        <v>0</v>
      </c>
      <c r="AF188" s="57" t="n">
        <v>0</v>
      </c>
      <c r="AG188" s="57" t="n">
        <v>0</v>
      </c>
      <c r="AH188" s="57" t="s">
        <v>237</v>
      </c>
      <c r="AI188" s="57"/>
      <c r="AJ188" s="57" t="n">
        <v>27</v>
      </c>
      <c r="AK188" s="57" t="s">
        <v>284</v>
      </c>
      <c r="AL188" s="57" t="s">
        <v>347</v>
      </c>
      <c r="AM188" s="57" t="n">
        <v>1</v>
      </c>
      <c r="AN188" s="57" t="s">
        <v>575</v>
      </c>
      <c r="AO188" s="57" t="str">
        <f aca="false">IF(C188="County",IF(AL188="Rest of county","Remainder of County","Settlements"),IF(D188="City Centre","City Centre","Rest of City"))</f>
        <v>Rest of City</v>
      </c>
      <c r="AP188" s="57" t="str">
        <f aca="false">IF(LEFT(B188,13)="Council audit","Audit",IF(LEFT(B188,8)="Planning","Consent","Zoned"))</f>
        <v>Consent</v>
      </c>
      <c r="AQ188" s="57" t="n">
        <f aca="false">IF(N(K188)&gt;0,I188*Y188/K188,0)</f>
        <v>0</v>
      </c>
    </row>
    <row r="189" customFormat="false" ht="15" hidden="false" customHeight="false" outlineLevel="0" collapsed="false">
      <c r="A189" s="57" t="s">
        <v>839</v>
      </c>
      <c r="B189" s="57" t="s">
        <v>218</v>
      </c>
      <c r="C189" s="57" t="s">
        <v>220</v>
      </c>
      <c r="D189" s="57" t="s">
        <v>739</v>
      </c>
      <c r="E189" s="57" t="s">
        <v>840</v>
      </c>
      <c r="F189" s="57"/>
      <c r="G189" s="57"/>
      <c r="H189" s="57"/>
      <c r="I189" s="57" t="n">
        <v>2.666</v>
      </c>
      <c r="J189" s="57" t="n">
        <v>2.666</v>
      </c>
      <c r="K189" s="57"/>
      <c r="L189" s="57" t="s">
        <v>731</v>
      </c>
      <c r="M189" s="57"/>
      <c r="N189" s="57"/>
      <c r="O189" s="57"/>
      <c r="P189" s="57"/>
      <c r="Q189" s="57"/>
      <c r="R189" s="57" t="n">
        <v>0</v>
      </c>
      <c r="S189" s="57" t="n">
        <v>0</v>
      </c>
      <c r="T189" s="57" t="n">
        <v>27</v>
      </c>
      <c r="U189" s="57" t="n">
        <v>0</v>
      </c>
      <c r="V189" s="57" t="n">
        <v>0</v>
      </c>
      <c r="W189" s="57" t="n">
        <v>0</v>
      </c>
      <c r="X189" s="57" t="n">
        <v>27</v>
      </c>
      <c r="Y189" s="57" t="n">
        <v>0</v>
      </c>
      <c r="Z189" s="57" t="n">
        <v>27</v>
      </c>
      <c r="AA189" s="57" t="n">
        <v>27</v>
      </c>
      <c r="AB189" s="57" t="n">
        <v>0</v>
      </c>
      <c r="AC189" s="57" t="n">
        <v>0</v>
      </c>
      <c r="AD189" s="57" t="n">
        <v>11.4</v>
      </c>
      <c r="AE189" s="57" t="n">
        <v>15.6</v>
      </c>
      <c r="AF189" s="57" t="n">
        <v>0</v>
      </c>
      <c r="AG189" s="57" t="n">
        <v>0</v>
      </c>
      <c r="AH189" s="57" t="s">
        <v>239</v>
      </c>
      <c r="AI189" s="57"/>
      <c r="AJ189" s="57" t="n">
        <v>0</v>
      </c>
      <c r="AK189" s="57" t="s">
        <v>365</v>
      </c>
      <c r="AL189" s="57" t="s">
        <v>365</v>
      </c>
      <c r="AM189" s="57"/>
      <c r="AN189" s="57" t="s">
        <v>365</v>
      </c>
      <c r="AO189" s="57" t="str">
        <f aca="false">IF(C189="County",IF(AL189="Rest of county","Remainder of County","Settlements"),IF(D189="City Centre","City Centre","Rest of City"))</f>
        <v>Remainder of County</v>
      </c>
      <c r="AP189" s="57" t="str">
        <f aca="false">IF(LEFT(B189,13)="Council audit","Audit",IF(LEFT(B189,8)="Planning","Consent","Zoned"))</f>
        <v>Consent</v>
      </c>
      <c r="AQ189" s="57" t="n">
        <f aca="false">IF(N(K189)&gt;0,I189*Y189/K189,0)</f>
        <v>0</v>
      </c>
    </row>
    <row r="190" customFormat="false" ht="15" hidden="false" customHeight="false" outlineLevel="0" collapsed="false">
      <c r="A190" s="57" t="s">
        <v>841</v>
      </c>
      <c r="B190" s="57" t="s">
        <v>218</v>
      </c>
      <c r="C190" s="57" t="s">
        <v>216</v>
      </c>
      <c r="D190" s="57" t="s">
        <v>288</v>
      </c>
      <c r="E190" s="57" t="s">
        <v>842</v>
      </c>
      <c r="F190" s="57"/>
      <c r="G190" s="57"/>
      <c r="H190" s="57"/>
      <c r="I190" s="57" t="n">
        <v>1.005</v>
      </c>
      <c r="J190" s="57" t="n">
        <v>1.005</v>
      </c>
      <c r="K190" s="57"/>
      <c r="L190" s="57" t="s">
        <v>731</v>
      </c>
      <c r="M190" s="57"/>
      <c r="N190" s="57"/>
      <c r="O190" s="57"/>
      <c r="P190" s="57"/>
      <c r="Q190" s="57"/>
      <c r="R190" s="57" t="n">
        <v>0</v>
      </c>
      <c r="S190" s="57" t="n">
        <v>26</v>
      </c>
      <c r="T190" s="57" t="n">
        <v>0</v>
      </c>
      <c r="U190" s="57" t="n">
        <v>0</v>
      </c>
      <c r="V190" s="57" t="n">
        <v>0</v>
      </c>
      <c r="W190" s="57" t="n">
        <v>0</v>
      </c>
      <c r="X190" s="57" t="n">
        <v>26</v>
      </c>
      <c r="Y190" s="57" t="n">
        <v>0</v>
      </c>
      <c r="Z190" s="57" t="n">
        <v>26</v>
      </c>
      <c r="AA190" s="57" t="n">
        <v>26</v>
      </c>
      <c r="AB190" s="57" t="n">
        <v>6.1</v>
      </c>
      <c r="AC190" s="57" t="n">
        <v>19.9</v>
      </c>
      <c r="AD190" s="57" t="n">
        <v>0</v>
      </c>
      <c r="AE190" s="57" t="n">
        <v>0</v>
      </c>
      <c r="AF190" s="57" t="n">
        <v>0</v>
      </c>
      <c r="AG190" s="57" t="n">
        <v>0</v>
      </c>
      <c r="AH190" s="57" t="s">
        <v>239</v>
      </c>
      <c r="AI190" s="57"/>
      <c r="AJ190" s="57" t="n">
        <v>23</v>
      </c>
      <c r="AK190" s="57" t="s">
        <v>288</v>
      </c>
      <c r="AL190" s="57" t="s">
        <v>347</v>
      </c>
      <c r="AM190" s="57" t="n">
        <v>1</v>
      </c>
      <c r="AN190" s="57" t="s">
        <v>575</v>
      </c>
      <c r="AO190" s="57" t="str">
        <f aca="false">IF(C190="County",IF(AL190="Rest of county","Remainder of County","Settlements"),IF(D190="City Centre","City Centre","Rest of City"))</f>
        <v>Rest of City</v>
      </c>
      <c r="AP190" s="57" t="str">
        <f aca="false">IF(LEFT(B190,13)="Council audit","Audit",IF(LEFT(B190,8)="Planning","Consent","Zoned"))</f>
        <v>Consent</v>
      </c>
      <c r="AQ190" s="57" t="n">
        <f aca="false">IF(N(K190)&gt;0,I190*Y190/K190,0)</f>
        <v>0</v>
      </c>
    </row>
    <row r="191" customFormat="false" ht="15" hidden="false" customHeight="false" outlineLevel="0" collapsed="false">
      <c r="A191" s="57" t="s">
        <v>843</v>
      </c>
      <c r="B191" s="57" t="s">
        <v>218</v>
      </c>
      <c r="C191" s="57" t="s">
        <v>216</v>
      </c>
      <c r="D191" s="57" t="s">
        <v>258</v>
      </c>
      <c r="E191" s="57" t="s">
        <v>844</v>
      </c>
      <c r="F191" s="57"/>
      <c r="G191" s="57"/>
      <c r="H191" s="57"/>
      <c r="I191" s="57" t="n">
        <v>0.089</v>
      </c>
      <c r="J191" s="57" t="n">
        <v>0.089</v>
      </c>
      <c r="K191" s="57"/>
      <c r="L191" s="57" t="s">
        <v>731</v>
      </c>
      <c r="M191" s="57"/>
      <c r="N191" s="57"/>
      <c r="O191" s="57"/>
      <c r="P191" s="57"/>
      <c r="Q191" s="57"/>
      <c r="R191" s="57" t="n">
        <v>0</v>
      </c>
      <c r="S191" s="57" t="n">
        <v>0</v>
      </c>
      <c r="T191" s="57" t="n">
        <v>25</v>
      </c>
      <c r="U191" s="57" t="n">
        <v>0</v>
      </c>
      <c r="V191" s="57" t="n">
        <v>0</v>
      </c>
      <c r="W191" s="57" t="n">
        <v>0</v>
      </c>
      <c r="X191" s="57" t="n">
        <v>25</v>
      </c>
      <c r="Y191" s="57" t="n">
        <v>0</v>
      </c>
      <c r="Z191" s="57" t="n">
        <v>25</v>
      </c>
      <c r="AA191" s="57" t="n">
        <v>25</v>
      </c>
      <c r="AB191" s="57" t="n">
        <v>0</v>
      </c>
      <c r="AC191" s="57" t="n">
        <v>0</v>
      </c>
      <c r="AD191" s="57" t="n">
        <v>25</v>
      </c>
      <c r="AE191" s="57" t="n">
        <v>0</v>
      </c>
      <c r="AF191" s="57" t="n">
        <v>0</v>
      </c>
      <c r="AG191" s="57" t="n">
        <v>0</v>
      </c>
      <c r="AH191" s="57" t="s">
        <v>239</v>
      </c>
      <c r="AI191" s="57"/>
      <c r="AJ191" s="57" t="n">
        <v>0</v>
      </c>
      <c r="AK191" s="57" t="s">
        <v>258</v>
      </c>
      <c r="AL191" s="57" t="s">
        <v>347</v>
      </c>
      <c r="AM191" s="57" t="n">
        <v>1</v>
      </c>
      <c r="AN191" s="57" t="s">
        <v>575</v>
      </c>
      <c r="AO191" s="57" t="str">
        <f aca="false">IF(C191="County",IF(AL191="Rest of county","Remainder of County","Settlements"),IF(D191="City Centre","City Centre","Rest of City"))</f>
        <v>City Centre</v>
      </c>
      <c r="AP191" s="57" t="str">
        <f aca="false">IF(LEFT(B191,13)="Council audit","Audit",IF(LEFT(B191,8)="Planning","Consent","Zoned"))</f>
        <v>Consent</v>
      </c>
      <c r="AQ191" s="57" t="n">
        <f aca="false">IF(N(K191)&gt;0,I191*Y191/K191,0)</f>
        <v>0</v>
      </c>
    </row>
    <row r="192" customFormat="false" ht="15" hidden="false" customHeight="false" outlineLevel="0" collapsed="false">
      <c r="A192" s="57" t="s">
        <v>845</v>
      </c>
      <c r="B192" s="57" t="s">
        <v>218</v>
      </c>
      <c r="C192" s="57" t="s">
        <v>220</v>
      </c>
      <c r="D192" s="57" t="s">
        <v>739</v>
      </c>
      <c r="E192" s="57" t="s">
        <v>846</v>
      </c>
      <c r="F192" s="57"/>
      <c r="G192" s="57"/>
      <c r="H192" s="57"/>
      <c r="I192" s="57" t="n">
        <v>1.491</v>
      </c>
      <c r="J192" s="57" t="n">
        <v>1.491</v>
      </c>
      <c r="K192" s="57"/>
      <c r="L192" s="57" t="s">
        <v>731</v>
      </c>
      <c r="M192" s="57"/>
      <c r="N192" s="57"/>
      <c r="O192" s="57"/>
      <c r="P192" s="57"/>
      <c r="Q192" s="57"/>
      <c r="R192" s="57" t="n">
        <v>0</v>
      </c>
      <c r="S192" s="57" t="n">
        <v>0</v>
      </c>
      <c r="T192" s="57" t="n">
        <v>25</v>
      </c>
      <c r="U192" s="57" t="n">
        <v>0</v>
      </c>
      <c r="V192" s="57" t="n">
        <v>0</v>
      </c>
      <c r="W192" s="57" t="n">
        <v>0</v>
      </c>
      <c r="X192" s="57" t="n">
        <v>25</v>
      </c>
      <c r="Y192" s="57" t="n">
        <v>0</v>
      </c>
      <c r="Z192" s="57" t="n">
        <v>25</v>
      </c>
      <c r="AA192" s="57" t="n">
        <v>25</v>
      </c>
      <c r="AB192" s="57" t="n">
        <v>0</v>
      </c>
      <c r="AC192" s="57" t="n">
        <v>0</v>
      </c>
      <c r="AD192" s="57" t="n">
        <v>19</v>
      </c>
      <c r="AE192" s="57" t="n">
        <v>6</v>
      </c>
      <c r="AF192" s="57" t="n">
        <v>0</v>
      </c>
      <c r="AG192" s="57" t="n">
        <v>0</v>
      </c>
      <c r="AH192" s="57" t="s">
        <v>239</v>
      </c>
      <c r="AI192" s="57"/>
      <c r="AJ192" s="57" t="n">
        <v>0</v>
      </c>
      <c r="AK192" s="57" t="s">
        <v>355</v>
      </c>
      <c r="AL192" s="57" t="s">
        <v>356</v>
      </c>
      <c r="AM192" s="57" t="n">
        <v>0</v>
      </c>
      <c r="AN192" s="57" t="s">
        <v>743</v>
      </c>
      <c r="AO192" s="57" t="str">
        <f aca="false">IF(C192="County",IF(AL192="Rest of county","Remainder of County","Settlements"),IF(D192="City Centre","City Centre","Rest of City"))</f>
        <v>Settlements</v>
      </c>
      <c r="AP192" s="57" t="str">
        <f aca="false">IF(LEFT(B192,13)="Council audit","Audit",IF(LEFT(B192,8)="Planning","Consent","Zoned"))</f>
        <v>Consent</v>
      </c>
      <c r="AQ192" s="57" t="n">
        <f aca="false">IF(N(K192)&gt;0,I192*Y192/K192,0)</f>
        <v>0</v>
      </c>
    </row>
    <row r="193" customFormat="false" ht="15" hidden="false" customHeight="false" outlineLevel="0" collapsed="false">
      <c r="A193" s="57" t="s">
        <v>847</v>
      </c>
      <c r="B193" s="57" t="s">
        <v>218</v>
      </c>
      <c r="C193" s="57" t="s">
        <v>216</v>
      </c>
      <c r="D193" s="57" t="s">
        <v>289</v>
      </c>
      <c r="E193" s="57" t="s">
        <v>848</v>
      </c>
      <c r="F193" s="57"/>
      <c r="G193" s="57"/>
      <c r="H193" s="57"/>
      <c r="I193" s="57" t="n">
        <v>1.352</v>
      </c>
      <c r="J193" s="57" t="n">
        <v>1.352</v>
      </c>
      <c r="K193" s="57"/>
      <c r="L193" s="57" t="s">
        <v>731</v>
      </c>
      <c r="M193" s="57"/>
      <c r="N193" s="57"/>
      <c r="O193" s="57"/>
      <c r="P193" s="57"/>
      <c r="Q193" s="57"/>
      <c r="R193" s="57" t="n">
        <v>24</v>
      </c>
      <c r="S193" s="57" t="n">
        <v>0</v>
      </c>
      <c r="T193" s="57" t="n">
        <v>0</v>
      </c>
      <c r="U193" s="57" t="n">
        <v>0</v>
      </c>
      <c r="V193" s="57" t="n">
        <v>0</v>
      </c>
      <c r="W193" s="57" t="n">
        <v>0</v>
      </c>
      <c r="X193" s="57" t="n">
        <v>24</v>
      </c>
      <c r="Y193" s="57" t="n">
        <v>0</v>
      </c>
      <c r="Z193" s="57" t="n">
        <v>24</v>
      </c>
      <c r="AA193" s="57" t="n">
        <v>0</v>
      </c>
      <c r="AB193" s="57" t="n">
        <v>0</v>
      </c>
      <c r="AC193" s="57" t="n">
        <v>0</v>
      </c>
      <c r="AD193" s="57" t="n">
        <v>0</v>
      </c>
      <c r="AE193" s="57" t="n">
        <v>0</v>
      </c>
      <c r="AF193" s="57" t="n">
        <v>0</v>
      </c>
      <c r="AG193" s="57" t="n">
        <v>0</v>
      </c>
      <c r="AH193" s="57" t="s">
        <v>237</v>
      </c>
      <c r="AI193" s="57"/>
      <c r="AJ193" s="57" t="n">
        <v>15</v>
      </c>
      <c r="AK193" s="57" t="s">
        <v>289</v>
      </c>
      <c r="AL193" s="57" t="s">
        <v>347</v>
      </c>
      <c r="AM193" s="57" t="n">
        <v>1</v>
      </c>
      <c r="AN193" s="57" t="s">
        <v>575</v>
      </c>
      <c r="AO193" s="57" t="str">
        <f aca="false">IF(C193="County",IF(AL193="Rest of county","Remainder of County","Settlements"),IF(D193="City Centre","City Centre","Rest of City"))</f>
        <v>Rest of City</v>
      </c>
      <c r="AP193" s="57" t="str">
        <f aca="false">IF(LEFT(B193,13)="Council audit","Audit",IF(LEFT(B193,8)="Planning","Consent","Zoned"))</f>
        <v>Consent</v>
      </c>
      <c r="AQ193" s="57" t="n">
        <f aca="false">IF(N(K193)&gt;0,I193*Y193/K193,0)</f>
        <v>0</v>
      </c>
    </row>
    <row r="194" customFormat="false" ht="15" hidden="false" customHeight="false" outlineLevel="0" collapsed="false">
      <c r="A194" s="57" t="s">
        <v>849</v>
      </c>
      <c r="B194" s="57" t="s">
        <v>218</v>
      </c>
      <c r="C194" s="57" t="s">
        <v>220</v>
      </c>
      <c r="D194" s="57" t="s">
        <v>739</v>
      </c>
      <c r="E194" s="57" t="s">
        <v>850</v>
      </c>
      <c r="F194" s="57"/>
      <c r="G194" s="57"/>
      <c r="H194" s="57"/>
      <c r="I194" s="57" t="n">
        <v>0.196</v>
      </c>
      <c r="J194" s="57" t="n">
        <v>0.196</v>
      </c>
      <c r="K194" s="57"/>
      <c r="L194" s="57" t="s">
        <v>731</v>
      </c>
      <c r="M194" s="57"/>
      <c r="N194" s="57"/>
      <c r="O194" s="57"/>
      <c r="P194" s="57"/>
      <c r="Q194" s="57"/>
      <c r="R194" s="57" t="n">
        <v>0</v>
      </c>
      <c r="S194" s="57" t="n">
        <v>0</v>
      </c>
      <c r="T194" s="57" t="n">
        <v>24</v>
      </c>
      <c r="U194" s="57" t="n">
        <v>0</v>
      </c>
      <c r="V194" s="57" t="n">
        <v>0</v>
      </c>
      <c r="W194" s="57" t="n">
        <v>0</v>
      </c>
      <c r="X194" s="57" t="n">
        <v>24</v>
      </c>
      <c r="Y194" s="57" t="n">
        <v>0</v>
      </c>
      <c r="Z194" s="57" t="n">
        <v>24</v>
      </c>
      <c r="AA194" s="57" t="n">
        <v>24</v>
      </c>
      <c r="AB194" s="57" t="n">
        <v>0</v>
      </c>
      <c r="AC194" s="57" t="n">
        <v>0</v>
      </c>
      <c r="AD194" s="57" t="n">
        <v>6.2</v>
      </c>
      <c r="AE194" s="57" t="n">
        <v>12.8</v>
      </c>
      <c r="AF194" s="57" t="n">
        <v>5</v>
      </c>
      <c r="AG194" s="57" t="n">
        <v>0</v>
      </c>
      <c r="AH194" s="57" t="s">
        <v>239</v>
      </c>
      <c r="AI194" s="57"/>
      <c r="AJ194" s="57" t="n">
        <v>0</v>
      </c>
      <c r="AK194" s="57" t="s">
        <v>364</v>
      </c>
      <c r="AL194" s="57" t="s">
        <v>356</v>
      </c>
      <c r="AM194" s="57" t="n">
        <v>1</v>
      </c>
      <c r="AN194" s="57" t="s">
        <v>575</v>
      </c>
      <c r="AO194" s="57" t="str">
        <f aca="false">IF(C194="County",IF(AL194="Rest of county","Remainder of County","Settlements"),IF(D194="City Centre","City Centre","Rest of City"))</f>
        <v>Settlements</v>
      </c>
      <c r="AP194" s="57" t="str">
        <f aca="false">IF(LEFT(B194,13)="Council audit","Audit",IF(LEFT(B194,8)="Planning","Consent","Zoned"))</f>
        <v>Consent</v>
      </c>
      <c r="AQ194" s="57" t="n">
        <f aca="false">IF(N(K194)&gt;0,I194*Y194/K194,0)</f>
        <v>0</v>
      </c>
    </row>
    <row r="195" customFormat="false" ht="15" hidden="false" customHeight="false" outlineLevel="0" collapsed="false">
      <c r="A195" s="57" t="s">
        <v>851</v>
      </c>
      <c r="B195" s="57" t="s">
        <v>218</v>
      </c>
      <c r="C195" s="57" t="s">
        <v>216</v>
      </c>
      <c r="D195" s="57" t="s">
        <v>258</v>
      </c>
      <c r="E195" s="57" t="s">
        <v>852</v>
      </c>
      <c r="F195" s="57"/>
      <c r="G195" s="57"/>
      <c r="H195" s="57"/>
      <c r="I195" s="57" t="n">
        <v>0.079</v>
      </c>
      <c r="J195" s="57" t="n">
        <v>0.079</v>
      </c>
      <c r="K195" s="57"/>
      <c r="L195" s="57" t="s">
        <v>731</v>
      </c>
      <c r="M195" s="57"/>
      <c r="N195" s="57"/>
      <c r="O195" s="57"/>
      <c r="P195" s="57"/>
      <c r="Q195" s="57"/>
      <c r="R195" s="57" t="n">
        <v>0</v>
      </c>
      <c r="S195" s="57" t="n">
        <v>0</v>
      </c>
      <c r="T195" s="57" t="n">
        <v>24</v>
      </c>
      <c r="U195" s="57" t="n">
        <v>0</v>
      </c>
      <c r="V195" s="57" t="n">
        <v>0</v>
      </c>
      <c r="W195" s="57" t="n">
        <v>0</v>
      </c>
      <c r="X195" s="57" t="n">
        <v>24</v>
      </c>
      <c r="Y195" s="57" t="n">
        <v>0</v>
      </c>
      <c r="Z195" s="57" t="n">
        <v>24</v>
      </c>
      <c r="AA195" s="57" t="n">
        <v>24</v>
      </c>
      <c r="AB195" s="57" t="n">
        <v>0</v>
      </c>
      <c r="AC195" s="57" t="n">
        <v>0</v>
      </c>
      <c r="AD195" s="57" t="n">
        <v>6.2</v>
      </c>
      <c r="AE195" s="57" t="n">
        <v>12.8</v>
      </c>
      <c r="AF195" s="57" t="n">
        <v>5</v>
      </c>
      <c r="AG195" s="57" t="n">
        <v>0</v>
      </c>
      <c r="AH195" s="57" t="s">
        <v>239</v>
      </c>
      <c r="AI195" s="57"/>
      <c r="AJ195" s="57" t="n">
        <v>0</v>
      </c>
      <c r="AK195" s="57" t="s">
        <v>258</v>
      </c>
      <c r="AL195" s="57" t="s">
        <v>347</v>
      </c>
      <c r="AM195" s="57" t="n">
        <v>1</v>
      </c>
      <c r="AN195" s="57" t="s">
        <v>575</v>
      </c>
      <c r="AO195" s="57" t="str">
        <f aca="false">IF(C195="County",IF(AL195="Rest of county","Remainder of County","Settlements"),IF(D195="City Centre","City Centre","Rest of City"))</f>
        <v>City Centre</v>
      </c>
      <c r="AP195" s="57" t="str">
        <f aca="false">IF(LEFT(B195,13)="Council audit","Audit",IF(LEFT(B195,8)="Planning","Consent","Zoned"))</f>
        <v>Consent</v>
      </c>
      <c r="AQ195" s="57" t="n">
        <f aca="false">IF(N(K195)&gt;0,I195*Y195/K195,0)</f>
        <v>0</v>
      </c>
    </row>
    <row r="196" customFormat="false" ht="15" hidden="false" customHeight="false" outlineLevel="0" collapsed="false">
      <c r="A196" s="57" t="s">
        <v>853</v>
      </c>
      <c r="B196" s="57" t="s">
        <v>218</v>
      </c>
      <c r="C196" s="57" t="s">
        <v>216</v>
      </c>
      <c r="D196" s="57" t="s">
        <v>286</v>
      </c>
      <c r="E196" s="57" t="s">
        <v>854</v>
      </c>
      <c r="F196" s="57"/>
      <c r="G196" s="57"/>
      <c r="H196" s="57"/>
      <c r="I196" s="57" t="n">
        <v>0.272</v>
      </c>
      <c r="J196" s="57" t="n">
        <v>0.272</v>
      </c>
      <c r="K196" s="57"/>
      <c r="L196" s="57" t="s">
        <v>731</v>
      </c>
      <c r="M196" s="57"/>
      <c r="N196" s="57"/>
      <c r="O196" s="57"/>
      <c r="P196" s="57"/>
      <c r="Q196" s="57"/>
      <c r="R196" s="57" t="n">
        <v>0</v>
      </c>
      <c r="S196" s="57" t="n">
        <v>0</v>
      </c>
      <c r="T196" s="57" t="n">
        <v>24</v>
      </c>
      <c r="U196" s="57" t="n">
        <v>0</v>
      </c>
      <c r="V196" s="57" t="n">
        <v>0</v>
      </c>
      <c r="W196" s="57" t="n">
        <v>0</v>
      </c>
      <c r="X196" s="57" t="n">
        <v>24</v>
      </c>
      <c r="Y196" s="57" t="n">
        <v>0</v>
      </c>
      <c r="Z196" s="57" t="n">
        <v>24</v>
      </c>
      <c r="AA196" s="57" t="n">
        <v>24</v>
      </c>
      <c r="AB196" s="57" t="n">
        <v>0</v>
      </c>
      <c r="AC196" s="57" t="n">
        <v>0</v>
      </c>
      <c r="AD196" s="57" t="n">
        <v>4.2</v>
      </c>
      <c r="AE196" s="57" t="n">
        <v>12.8</v>
      </c>
      <c r="AF196" s="57" t="n">
        <v>7</v>
      </c>
      <c r="AG196" s="57" t="n">
        <v>0</v>
      </c>
      <c r="AH196" s="57" t="s">
        <v>239</v>
      </c>
      <c r="AI196" s="57"/>
      <c r="AJ196" s="57" t="n">
        <v>1</v>
      </c>
      <c r="AK196" s="57" t="s">
        <v>286</v>
      </c>
      <c r="AL196" s="57" t="s">
        <v>347</v>
      </c>
      <c r="AM196" s="57" t="n">
        <v>1</v>
      </c>
      <c r="AN196" s="57" t="s">
        <v>575</v>
      </c>
      <c r="AO196" s="57" t="str">
        <f aca="false">IF(C196="County",IF(AL196="Rest of county","Remainder of County","Settlements"),IF(D196="City Centre","City Centre","Rest of City"))</f>
        <v>Rest of City</v>
      </c>
      <c r="AP196" s="57" t="str">
        <f aca="false">IF(LEFT(B196,13)="Council audit","Audit",IF(LEFT(B196,8)="Planning","Consent","Zoned"))</f>
        <v>Consent</v>
      </c>
      <c r="AQ196" s="57" t="n">
        <f aca="false">IF(N(K196)&gt;0,I196*Y196/K196,0)</f>
        <v>0</v>
      </c>
    </row>
    <row r="197" customFormat="false" ht="15" hidden="false" customHeight="false" outlineLevel="0" collapsed="false">
      <c r="A197" s="57" t="s">
        <v>855</v>
      </c>
      <c r="B197" s="57" t="s">
        <v>218</v>
      </c>
      <c r="C197" s="57" t="s">
        <v>216</v>
      </c>
      <c r="D197" s="57" t="s">
        <v>258</v>
      </c>
      <c r="E197" s="57" t="s">
        <v>856</v>
      </c>
      <c r="F197" s="57"/>
      <c r="G197" s="57"/>
      <c r="H197" s="57"/>
      <c r="I197" s="57" t="n">
        <v>0.081</v>
      </c>
      <c r="J197" s="57" t="n">
        <v>0.081</v>
      </c>
      <c r="K197" s="57"/>
      <c r="L197" s="57" t="s">
        <v>731</v>
      </c>
      <c r="M197" s="57"/>
      <c r="N197" s="57"/>
      <c r="O197" s="57"/>
      <c r="P197" s="57"/>
      <c r="Q197" s="57"/>
      <c r="R197" s="57" t="n">
        <v>0</v>
      </c>
      <c r="S197" s="57" t="n">
        <v>24</v>
      </c>
      <c r="T197" s="57" t="n">
        <v>0</v>
      </c>
      <c r="U197" s="57" t="n">
        <v>0</v>
      </c>
      <c r="V197" s="57" t="n">
        <v>0</v>
      </c>
      <c r="W197" s="57" t="n">
        <v>0</v>
      </c>
      <c r="X197" s="57" t="n">
        <v>24</v>
      </c>
      <c r="Y197" s="57" t="n">
        <v>0</v>
      </c>
      <c r="Z197" s="57" t="n">
        <v>24</v>
      </c>
      <c r="AA197" s="57" t="n">
        <v>24</v>
      </c>
      <c r="AB197" s="57" t="n">
        <v>1.1</v>
      </c>
      <c r="AC197" s="57" t="n">
        <v>12.8</v>
      </c>
      <c r="AD197" s="57" t="n">
        <v>10.1</v>
      </c>
      <c r="AE197" s="57" t="n">
        <v>0</v>
      </c>
      <c r="AF197" s="57" t="n">
        <v>0</v>
      </c>
      <c r="AG197" s="57" t="n">
        <v>0</v>
      </c>
      <c r="AH197" s="57" t="s">
        <v>239</v>
      </c>
      <c r="AI197" s="57"/>
      <c r="AJ197" s="57" t="n">
        <v>0</v>
      </c>
      <c r="AK197" s="57" t="s">
        <v>258</v>
      </c>
      <c r="AL197" s="57" t="s">
        <v>347</v>
      </c>
      <c r="AM197" s="57" t="n">
        <v>1</v>
      </c>
      <c r="AN197" s="57" t="s">
        <v>575</v>
      </c>
      <c r="AO197" s="57" t="str">
        <f aca="false">IF(C197="County",IF(AL197="Rest of county","Remainder of County","Settlements"),IF(D197="City Centre","City Centre","Rest of City"))</f>
        <v>City Centre</v>
      </c>
      <c r="AP197" s="57" t="str">
        <f aca="false">IF(LEFT(B197,13)="Council audit","Audit",IF(LEFT(B197,8)="Planning","Consent","Zoned"))</f>
        <v>Consent</v>
      </c>
      <c r="AQ197" s="57" t="n">
        <f aca="false">IF(N(K197)&gt;0,I197*Y197/K197,0)</f>
        <v>0</v>
      </c>
    </row>
    <row r="198" customFormat="false" ht="15" hidden="false" customHeight="false" outlineLevel="0" collapsed="false">
      <c r="A198" s="57" t="s">
        <v>857</v>
      </c>
      <c r="B198" s="57" t="s">
        <v>218</v>
      </c>
      <c r="C198" s="57" t="s">
        <v>216</v>
      </c>
      <c r="D198" s="57" t="s">
        <v>291</v>
      </c>
      <c r="E198" s="57" t="s">
        <v>858</v>
      </c>
      <c r="F198" s="57"/>
      <c r="G198" s="57"/>
      <c r="H198" s="57"/>
      <c r="I198" s="57" t="n">
        <v>0.172</v>
      </c>
      <c r="J198" s="57" t="n">
        <v>0.172</v>
      </c>
      <c r="K198" s="57"/>
      <c r="L198" s="57" t="s">
        <v>731</v>
      </c>
      <c r="M198" s="57"/>
      <c r="N198" s="57"/>
      <c r="O198" s="57"/>
      <c r="P198" s="57"/>
      <c r="Q198" s="57"/>
      <c r="R198" s="57" t="n">
        <v>0</v>
      </c>
      <c r="S198" s="57" t="n">
        <v>0</v>
      </c>
      <c r="T198" s="57" t="n">
        <v>23</v>
      </c>
      <c r="U198" s="57" t="n">
        <v>0</v>
      </c>
      <c r="V198" s="57" t="n">
        <v>0</v>
      </c>
      <c r="W198" s="57" t="n">
        <v>0</v>
      </c>
      <c r="X198" s="57" t="n">
        <v>23</v>
      </c>
      <c r="Y198" s="57" t="n">
        <v>0</v>
      </c>
      <c r="Z198" s="57" t="n">
        <v>23</v>
      </c>
      <c r="AA198" s="57" t="n">
        <v>23</v>
      </c>
      <c r="AB198" s="57" t="n">
        <v>0</v>
      </c>
      <c r="AC198" s="57" t="n">
        <v>0</v>
      </c>
      <c r="AD198" s="57" t="n">
        <v>9.6</v>
      </c>
      <c r="AE198" s="57" t="n">
        <v>13.1</v>
      </c>
      <c r="AF198" s="57" t="n">
        <v>0.3</v>
      </c>
      <c r="AG198" s="57" t="n">
        <v>0</v>
      </c>
      <c r="AH198" s="57" t="s">
        <v>239</v>
      </c>
      <c r="AI198" s="57"/>
      <c r="AJ198" s="57" t="n">
        <v>0</v>
      </c>
      <c r="AK198" s="57" t="s">
        <v>291</v>
      </c>
      <c r="AL198" s="57" t="s">
        <v>347</v>
      </c>
      <c r="AM198" s="57" t="n">
        <v>1</v>
      </c>
      <c r="AN198" s="57" t="s">
        <v>575</v>
      </c>
      <c r="AO198" s="57" t="str">
        <f aca="false">IF(C198="County",IF(AL198="Rest of county","Remainder of County","Settlements"),IF(D198="City Centre","City Centre","Rest of City"))</f>
        <v>Rest of City</v>
      </c>
      <c r="AP198" s="57" t="str">
        <f aca="false">IF(LEFT(B198,13)="Council audit","Audit",IF(LEFT(B198,8)="Planning","Consent","Zoned"))</f>
        <v>Consent</v>
      </c>
      <c r="AQ198" s="57" t="n">
        <f aca="false">IF(N(K198)&gt;0,I198*Y198/K198,0)</f>
        <v>0</v>
      </c>
    </row>
    <row r="199" customFormat="false" ht="15" hidden="false" customHeight="false" outlineLevel="0" collapsed="false">
      <c r="A199" s="57" t="s">
        <v>859</v>
      </c>
      <c r="B199" s="57" t="s">
        <v>218</v>
      </c>
      <c r="C199" s="57" t="s">
        <v>220</v>
      </c>
      <c r="D199" s="57" t="s">
        <v>739</v>
      </c>
      <c r="E199" s="57" t="s">
        <v>860</v>
      </c>
      <c r="F199" s="57"/>
      <c r="G199" s="57"/>
      <c r="H199" s="57"/>
      <c r="I199" s="57" t="n">
        <v>1.012</v>
      </c>
      <c r="J199" s="57" t="n">
        <v>1.012</v>
      </c>
      <c r="K199" s="57"/>
      <c r="L199" s="57" t="s">
        <v>731</v>
      </c>
      <c r="M199" s="57"/>
      <c r="N199" s="57"/>
      <c r="O199" s="57"/>
      <c r="P199" s="57"/>
      <c r="Q199" s="57"/>
      <c r="R199" s="57" t="n">
        <v>0</v>
      </c>
      <c r="S199" s="57" t="n">
        <v>22</v>
      </c>
      <c r="T199" s="57" t="n">
        <v>0</v>
      </c>
      <c r="U199" s="57" t="n">
        <v>0</v>
      </c>
      <c r="V199" s="57" t="n">
        <v>0</v>
      </c>
      <c r="W199" s="57" t="n">
        <v>0</v>
      </c>
      <c r="X199" s="57" t="n">
        <v>22</v>
      </c>
      <c r="Y199" s="57" t="n">
        <v>0</v>
      </c>
      <c r="Z199" s="57" t="n">
        <v>22</v>
      </c>
      <c r="AA199" s="57" t="n">
        <v>22</v>
      </c>
      <c r="AB199" s="57" t="n">
        <v>3.1</v>
      </c>
      <c r="AC199" s="57" t="n">
        <v>13.5</v>
      </c>
      <c r="AD199" s="57" t="n">
        <v>5.4</v>
      </c>
      <c r="AE199" s="57" t="n">
        <v>0</v>
      </c>
      <c r="AF199" s="57" t="n">
        <v>0</v>
      </c>
      <c r="AG199" s="57" t="n">
        <v>0</v>
      </c>
      <c r="AH199" s="57" t="s">
        <v>239</v>
      </c>
      <c r="AI199" s="57"/>
      <c r="AJ199" s="57" t="n">
        <v>15</v>
      </c>
      <c r="AK199" s="57" t="s">
        <v>359</v>
      </c>
      <c r="AL199" s="57" t="s">
        <v>356</v>
      </c>
      <c r="AM199" s="57" t="n">
        <v>1</v>
      </c>
      <c r="AN199" s="57" t="s">
        <v>575</v>
      </c>
      <c r="AO199" s="57" t="str">
        <f aca="false">IF(C199="County",IF(AL199="Rest of county","Remainder of County","Settlements"),IF(D199="City Centre","City Centre","Rest of City"))</f>
        <v>Settlements</v>
      </c>
      <c r="AP199" s="57" t="str">
        <f aca="false">IF(LEFT(B199,13)="Council audit","Audit",IF(LEFT(B199,8)="Planning","Consent","Zoned"))</f>
        <v>Consent</v>
      </c>
      <c r="AQ199" s="57" t="n">
        <f aca="false">IF(N(K199)&gt;0,I199*Y199/K199,0)</f>
        <v>0</v>
      </c>
    </row>
    <row r="200" customFormat="false" ht="15" hidden="false" customHeight="false" outlineLevel="0" collapsed="false">
      <c r="A200" s="57" t="s">
        <v>861</v>
      </c>
      <c r="B200" s="57" t="s">
        <v>218</v>
      </c>
      <c r="C200" s="57" t="s">
        <v>216</v>
      </c>
      <c r="D200" s="57" t="s">
        <v>258</v>
      </c>
      <c r="E200" s="57" t="s">
        <v>862</v>
      </c>
      <c r="F200" s="57"/>
      <c r="G200" s="57"/>
      <c r="H200" s="57"/>
      <c r="I200" s="57" t="n">
        <v>0.058</v>
      </c>
      <c r="J200" s="57" t="n">
        <v>0.058</v>
      </c>
      <c r="K200" s="57"/>
      <c r="L200" s="57" t="s">
        <v>731</v>
      </c>
      <c r="M200" s="57"/>
      <c r="N200" s="57"/>
      <c r="O200" s="57"/>
      <c r="P200" s="57"/>
      <c r="Q200" s="57"/>
      <c r="R200" s="57" t="n">
        <v>0</v>
      </c>
      <c r="S200" s="57" t="n">
        <v>0</v>
      </c>
      <c r="T200" s="57" t="n">
        <v>22</v>
      </c>
      <c r="U200" s="57" t="n">
        <v>0</v>
      </c>
      <c r="V200" s="57" t="n">
        <v>0</v>
      </c>
      <c r="W200" s="57" t="n">
        <v>0</v>
      </c>
      <c r="X200" s="57" t="n">
        <v>22</v>
      </c>
      <c r="Y200" s="57" t="n">
        <v>0</v>
      </c>
      <c r="Z200" s="57" t="n">
        <v>22</v>
      </c>
      <c r="AA200" s="57" t="n">
        <v>22</v>
      </c>
      <c r="AB200" s="57" t="n">
        <v>0</v>
      </c>
      <c r="AC200" s="57" t="n">
        <v>0</v>
      </c>
      <c r="AD200" s="57" t="n">
        <v>2.4</v>
      </c>
      <c r="AE200" s="57" t="n">
        <v>13.5</v>
      </c>
      <c r="AF200" s="57" t="n">
        <v>6.2</v>
      </c>
      <c r="AG200" s="57" t="n">
        <v>-0.1</v>
      </c>
      <c r="AH200" s="57" t="s">
        <v>239</v>
      </c>
      <c r="AI200" s="57"/>
      <c r="AJ200" s="57" t="n">
        <v>0</v>
      </c>
      <c r="AK200" s="57" t="s">
        <v>258</v>
      </c>
      <c r="AL200" s="57" t="s">
        <v>347</v>
      </c>
      <c r="AM200" s="57" t="n">
        <v>1</v>
      </c>
      <c r="AN200" s="57" t="s">
        <v>575</v>
      </c>
      <c r="AO200" s="57" t="str">
        <f aca="false">IF(C200="County",IF(AL200="Rest of county","Remainder of County","Settlements"),IF(D200="City Centre","City Centre","Rest of City"))</f>
        <v>City Centre</v>
      </c>
      <c r="AP200" s="57" t="str">
        <f aca="false">IF(LEFT(B200,13)="Council audit","Audit",IF(LEFT(B200,8)="Planning","Consent","Zoned"))</f>
        <v>Consent</v>
      </c>
      <c r="AQ200" s="57" t="n">
        <f aca="false">IF(N(K200)&gt;0,I200*Y200/K200,0)</f>
        <v>0</v>
      </c>
    </row>
    <row r="201" customFormat="false" ht="15" hidden="false" customHeight="false" outlineLevel="0" collapsed="false">
      <c r="A201" s="57" t="s">
        <v>863</v>
      </c>
      <c r="B201" s="57" t="s">
        <v>218</v>
      </c>
      <c r="C201" s="57" t="s">
        <v>216</v>
      </c>
      <c r="D201" s="57" t="s">
        <v>284</v>
      </c>
      <c r="E201" s="57" t="s">
        <v>864</v>
      </c>
      <c r="F201" s="57"/>
      <c r="G201" s="57"/>
      <c r="H201" s="57"/>
      <c r="I201" s="57" t="n">
        <v>0.453</v>
      </c>
      <c r="J201" s="57" t="n">
        <v>0.453</v>
      </c>
      <c r="K201" s="57"/>
      <c r="L201" s="57" t="s">
        <v>731</v>
      </c>
      <c r="M201" s="57"/>
      <c r="N201" s="57"/>
      <c r="O201" s="57"/>
      <c r="P201" s="57"/>
      <c r="Q201" s="57"/>
      <c r="R201" s="57" t="n">
        <v>0</v>
      </c>
      <c r="S201" s="57" t="n">
        <v>0</v>
      </c>
      <c r="T201" s="57" t="n">
        <v>0</v>
      </c>
      <c r="U201" s="57" t="n">
        <v>0</v>
      </c>
      <c r="V201" s="57" t="n">
        <v>0</v>
      </c>
      <c r="W201" s="57" t="n">
        <v>22</v>
      </c>
      <c r="X201" s="57" t="n">
        <v>0</v>
      </c>
      <c r="Y201" s="57" t="n">
        <v>0</v>
      </c>
      <c r="Z201" s="57" t="n">
        <v>0</v>
      </c>
      <c r="AA201" s="57" t="n">
        <v>0</v>
      </c>
      <c r="AB201" s="57" t="n">
        <v>0</v>
      </c>
      <c r="AC201" s="57" t="n">
        <v>0</v>
      </c>
      <c r="AD201" s="57" t="n">
        <v>0</v>
      </c>
      <c r="AE201" s="57" t="n">
        <v>0</v>
      </c>
      <c r="AF201" s="57" t="n">
        <v>0</v>
      </c>
      <c r="AG201" s="57" t="n">
        <v>0</v>
      </c>
      <c r="AH201" s="57" t="s">
        <v>240</v>
      </c>
      <c r="AI201" s="57"/>
      <c r="AJ201" s="57" t="n">
        <v>0</v>
      </c>
      <c r="AK201" s="57" t="s">
        <v>284</v>
      </c>
      <c r="AL201" s="57" t="s">
        <v>347</v>
      </c>
      <c r="AM201" s="57" t="n">
        <v>1</v>
      </c>
      <c r="AN201" s="57" t="s">
        <v>575</v>
      </c>
      <c r="AO201" s="57" t="str">
        <f aca="false">IF(C201="County",IF(AL201="Rest of county","Remainder of County","Settlements"),IF(D201="City Centre","City Centre","Rest of City"))</f>
        <v>Rest of City</v>
      </c>
      <c r="AP201" s="57" t="str">
        <f aca="false">IF(LEFT(B201,13)="Council audit","Audit",IF(LEFT(B201,8)="Planning","Consent","Zoned"))</f>
        <v>Consent</v>
      </c>
      <c r="AQ201" s="57" t="n">
        <f aca="false">IF(N(K201)&gt;0,I201*Y201/K201,0)</f>
        <v>0</v>
      </c>
    </row>
    <row r="202" customFormat="false" ht="15" hidden="false" customHeight="false" outlineLevel="0" collapsed="false">
      <c r="A202" s="57" t="s">
        <v>865</v>
      </c>
      <c r="B202" s="57" t="s">
        <v>218</v>
      </c>
      <c r="C202" s="57" t="s">
        <v>216</v>
      </c>
      <c r="D202" s="57" t="s">
        <v>258</v>
      </c>
      <c r="E202" s="57" t="s">
        <v>866</v>
      </c>
      <c r="F202" s="57"/>
      <c r="G202" s="57"/>
      <c r="H202" s="57"/>
      <c r="I202" s="57" t="n">
        <v>0.032</v>
      </c>
      <c r="J202" s="57" t="n">
        <v>0.032</v>
      </c>
      <c r="K202" s="57"/>
      <c r="L202" s="57" t="s">
        <v>731</v>
      </c>
      <c r="M202" s="57"/>
      <c r="N202" s="57"/>
      <c r="O202" s="57"/>
      <c r="P202" s="57"/>
      <c r="Q202" s="57"/>
      <c r="R202" s="57" t="n">
        <v>0</v>
      </c>
      <c r="S202" s="57" t="n">
        <v>0</v>
      </c>
      <c r="T202" s="57" t="n">
        <v>21</v>
      </c>
      <c r="U202" s="57" t="n">
        <v>0</v>
      </c>
      <c r="V202" s="57" t="n">
        <v>0</v>
      </c>
      <c r="W202" s="57" t="n">
        <v>0</v>
      </c>
      <c r="X202" s="57" t="n">
        <v>21</v>
      </c>
      <c r="Y202" s="57" t="n">
        <v>0</v>
      </c>
      <c r="Z202" s="57" t="n">
        <v>21</v>
      </c>
      <c r="AA202" s="57" t="n">
        <v>21</v>
      </c>
      <c r="AB202" s="57" t="n">
        <v>0</v>
      </c>
      <c r="AC202" s="57" t="n">
        <v>0</v>
      </c>
      <c r="AD202" s="57" t="n">
        <v>6.7</v>
      </c>
      <c r="AE202" s="57" t="n">
        <v>13.9</v>
      </c>
      <c r="AF202" s="57" t="n">
        <v>0.5</v>
      </c>
      <c r="AG202" s="57" t="n">
        <v>-0.1</v>
      </c>
      <c r="AH202" s="57" t="s">
        <v>239</v>
      </c>
      <c r="AI202" s="57"/>
      <c r="AJ202" s="57" t="n">
        <v>0</v>
      </c>
      <c r="AK202" s="57" t="s">
        <v>258</v>
      </c>
      <c r="AL202" s="57" t="s">
        <v>347</v>
      </c>
      <c r="AM202" s="57" t="n">
        <v>1</v>
      </c>
      <c r="AN202" s="57" t="s">
        <v>575</v>
      </c>
      <c r="AO202" s="57" t="str">
        <f aca="false">IF(C202="County",IF(AL202="Rest of county","Remainder of County","Settlements"),IF(D202="City Centre","City Centre","Rest of City"))</f>
        <v>City Centre</v>
      </c>
      <c r="AP202" s="57" t="str">
        <f aca="false">IF(LEFT(B202,13)="Council audit","Audit",IF(LEFT(B202,8)="Planning","Consent","Zoned"))</f>
        <v>Consent</v>
      </c>
      <c r="AQ202" s="57" t="n">
        <f aca="false">IF(N(K202)&gt;0,I202*Y202/K202,0)</f>
        <v>0</v>
      </c>
    </row>
    <row r="203" customFormat="false" ht="15" hidden="false" customHeight="false" outlineLevel="0" collapsed="false">
      <c r="A203" s="57" t="s">
        <v>867</v>
      </c>
      <c r="B203" s="57" t="s">
        <v>218</v>
      </c>
      <c r="C203" s="57" t="s">
        <v>216</v>
      </c>
      <c r="D203" s="57" t="s">
        <v>290</v>
      </c>
      <c r="E203" s="57" t="s">
        <v>868</v>
      </c>
      <c r="F203" s="57"/>
      <c r="G203" s="57"/>
      <c r="H203" s="57"/>
      <c r="I203" s="57" t="n">
        <v>0.225</v>
      </c>
      <c r="J203" s="57" t="n">
        <v>0.225</v>
      </c>
      <c r="K203" s="57"/>
      <c r="L203" s="57" t="s">
        <v>731</v>
      </c>
      <c r="M203" s="57"/>
      <c r="N203" s="57"/>
      <c r="O203" s="57"/>
      <c r="P203" s="57"/>
      <c r="Q203" s="57"/>
      <c r="R203" s="57" t="n">
        <v>0</v>
      </c>
      <c r="S203" s="57" t="n">
        <v>21</v>
      </c>
      <c r="T203" s="57" t="n">
        <v>0</v>
      </c>
      <c r="U203" s="57" t="n">
        <v>0</v>
      </c>
      <c r="V203" s="57" t="n">
        <v>0</v>
      </c>
      <c r="W203" s="57" t="n">
        <v>0</v>
      </c>
      <c r="X203" s="57" t="n">
        <v>21</v>
      </c>
      <c r="Y203" s="57" t="n">
        <v>0</v>
      </c>
      <c r="Z203" s="57" t="n">
        <v>21</v>
      </c>
      <c r="AA203" s="57" t="n">
        <v>21</v>
      </c>
      <c r="AB203" s="57" t="n">
        <v>2.7</v>
      </c>
      <c r="AC203" s="57" t="n">
        <v>13.9</v>
      </c>
      <c r="AD203" s="57" t="n">
        <v>4.5</v>
      </c>
      <c r="AE203" s="57" t="n">
        <v>0</v>
      </c>
      <c r="AF203" s="57" t="n">
        <v>0</v>
      </c>
      <c r="AG203" s="57" t="n">
        <v>-0.1</v>
      </c>
      <c r="AH203" s="57" t="s">
        <v>239</v>
      </c>
      <c r="AI203" s="57"/>
      <c r="AJ203" s="57" t="n">
        <v>0</v>
      </c>
      <c r="AK203" s="57" t="s">
        <v>290</v>
      </c>
      <c r="AL203" s="57" t="s">
        <v>347</v>
      </c>
      <c r="AM203" s="57" t="n">
        <v>1</v>
      </c>
      <c r="AN203" s="57" t="s">
        <v>575</v>
      </c>
      <c r="AO203" s="57" t="str">
        <f aca="false">IF(C203="County",IF(AL203="Rest of county","Remainder of County","Settlements"),IF(D203="City Centre","City Centre","Rest of City"))</f>
        <v>Rest of City</v>
      </c>
      <c r="AP203" s="57" t="str">
        <f aca="false">IF(LEFT(B203,13)="Council audit","Audit",IF(LEFT(B203,8)="Planning","Consent","Zoned"))</f>
        <v>Consent</v>
      </c>
      <c r="AQ203" s="57" t="n">
        <f aca="false">IF(N(K203)&gt;0,I203*Y203/K203,0)</f>
        <v>0</v>
      </c>
    </row>
    <row r="204" customFormat="false" ht="15" hidden="false" customHeight="false" outlineLevel="0" collapsed="false">
      <c r="A204" s="57" t="s">
        <v>869</v>
      </c>
      <c r="B204" s="57" t="s">
        <v>218</v>
      </c>
      <c r="C204" s="57" t="s">
        <v>220</v>
      </c>
      <c r="D204" s="57" t="s">
        <v>739</v>
      </c>
      <c r="E204" s="57" t="s">
        <v>870</v>
      </c>
      <c r="F204" s="57"/>
      <c r="G204" s="57"/>
      <c r="H204" s="57"/>
      <c r="I204" s="57" t="n">
        <v>1.529</v>
      </c>
      <c r="J204" s="57" t="n">
        <v>1.529</v>
      </c>
      <c r="K204" s="57"/>
      <c r="L204" s="57" t="s">
        <v>731</v>
      </c>
      <c r="M204" s="57"/>
      <c r="N204" s="57"/>
      <c r="O204" s="57"/>
      <c r="P204" s="57"/>
      <c r="Q204" s="57"/>
      <c r="R204" s="57" t="n">
        <v>0</v>
      </c>
      <c r="S204" s="57" t="n">
        <v>0</v>
      </c>
      <c r="T204" s="57" t="n">
        <v>0</v>
      </c>
      <c r="U204" s="57" t="n">
        <v>0</v>
      </c>
      <c r="V204" s="57" t="n">
        <v>21</v>
      </c>
      <c r="W204" s="57" t="n">
        <v>0</v>
      </c>
      <c r="X204" s="57" t="n">
        <v>0</v>
      </c>
      <c r="Y204" s="57" t="n">
        <v>0</v>
      </c>
      <c r="Z204" s="57" t="n">
        <v>0</v>
      </c>
      <c r="AA204" s="57" t="n">
        <v>0</v>
      </c>
      <c r="AB204" s="57" t="n">
        <v>0</v>
      </c>
      <c r="AC204" s="57" t="n">
        <v>0</v>
      </c>
      <c r="AD204" s="57" t="n">
        <v>0</v>
      </c>
      <c r="AE204" s="57" t="n">
        <v>0</v>
      </c>
      <c r="AF204" s="57" t="n">
        <v>0</v>
      </c>
      <c r="AG204" s="57" t="n">
        <v>0</v>
      </c>
      <c r="AH204" s="57" t="s">
        <v>240</v>
      </c>
      <c r="AI204" s="57"/>
      <c r="AJ204" s="57" t="n">
        <v>0</v>
      </c>
      <c r="AK204" s="57" t="s">
        <v>365</v>
      </c>
      <c r="AL204" s="57" t="s">
        <v>365</v>
      </c>
      <c r="AM204" s="57"/>
      <c r="AN204" s="57" t="s">
        <v>365</v>
      </c>
      <c r="AO204" s="57" t="str">
        <f aca="false">IF(C204="County",IF(AL204="Rest of county","Remainder of County","Settlements"),IF(D204="City Centre","City Centre","Rest of City"))</f>
        <v>Remainder of County</v>
      </c>
      <c r="AP204" s="57" t="str">
        <f aca="false">IF(LEFT(B204,13)="Council audit","Audit",IF(LEFT(B204,8)="Planning","Consent","Zoned"))</f>
        <v>Consent</v>
      </c>
      <c r="AQ204" s="57" t="n">
        <f aca="false">IF(N(K204)&gt;0,I204*Y204/K204,0)</f>
        <v>0</v>
      </c>
    </row>
    <row r="205" customFormat="false" ht="15" hidden="false" customHeight="false" outlineLevel="0" collapsed="false">
      <c r="A205" s="57" t="s">
        <v>871</v>
      </c>
      <c r="B205" s="57" t="s">
        <v>218</v>
      </c>
      <c r="C205" s="57" t="s">
        <v>216</v>
      </c>
      <c r="D205" s="57" t="s">
        <v>286</v>
      </c>
      <c r="E205" s="57" t="s">
        <v>872</v>
      </c>
      <c r="F205" s="57"/>
      <c r="G205" s="57"/>
      <c r="H205" s="57"/>
      <c r="I205" s="57" t="n">
        <v>0.875</v>
      </c>
      <c r="J205" s="57" t="n">
        <v>0.875</v>
      </c>
      <c r="K205" s="57"/>
      <c r="L205" s="57" t="s">
        <v>731</v>
      </c>
      <c r="M205" s="57"/>
      <c r="N205" s="57"/>
      <c r="O205" s="57"/>
      <c r="P205" s="57"/>
      <c r="Q205" s="57"/>
      <c r="R205" s="57" t="n">
        <v>0</v>
      </c>
      <c r="S205" s="57" t="n">
        <v>0</v>
      </c>
      <c r="T205" s="57" t="n">
        <v>21</v>
      </c>
      <c r="U205" s="57" t="n">
        <v>0</v>
      </c>
      <c r="V205" s="57" t="n">
        <v>0</v>
      </c>
      <c r="W205" s="57" t="n">
        <v>0</v>
      </c>
      <c r="X205" s="57" t="n">
        <v>21</v>
      </c>
      <c r="Y205" s="57" t="n">
        <v>0</v>
      </c>
      <c r="Z205" s="57" t="n">
        <v>21</v>
      </c>
      <c r="AA205" s="57" t="n">
        <v>21</v>
      </c>
      <c r="AB205" s="57" t="n">
        <v>0</v>
      </c>
      <c r="AC205" s="57" t="n">
        <v>0</v>
      </c>
      <c r="AD205" s="57" t="n">
        <v>6.7</v>
      </c>
      <c r="AE205" s="57" t="n">
        <v>13.9</v>
      </c>
      <c r="AF205" s="57" t="n">
        <v>0.5</v>
      </c>
      <c r="AG205" s="57" t="n">
        <v>-0.1</v>
      </c>
      <c r="AH205" s="57" t="s">
        <v>239</v>
      </c>
      <c r="AI205" s="57"/>
      <c r="AJ205" s="57" t="n">
        <v>0</v>
      </c>
      <c r="AK205" s="57" t="s">
        <v>286</v>
      </c>
      <c r="AL205" s="57" t="s">
        <v>347</v>
      </c>
      <c r="AM205" s="57" t="n">
        <v>1</v>
      </c>
      <c r="AN205" s="57" t="s">
        <v>575</v>
      </c>
      <c r="AO205" s="57" t="str">
        <f aca="false">IF(C205="County",IF(AL205="Rest of county","Remainder of County","Settlements"),IF(D205="City Centre","City Centre","Rest of City"))</f>
        <v>Rest of City</v>
      </c>
      <c r="AP205" s="57" t="str">
        <f aca="false">IF(LEFT(B205,13)="Council audit","Audit",IF(LEFT(B205,8)="Planning","Consent","Zoned"))</f>
        <v>Consent</v>
      </c>
      <c r="AQ205" s="57" t="n">
        <f aca="false">IF(N(K205)&gt;0,I205*Y205/K205,0)</f>
        <v>0</v>
      </c>
    </row>
    <row r="206" customFormat="false" ht="15" hidden="false" customHeight="false" outlineLevel="0" collapsed="false">
      <c r="A206" s="57" t="s">
        <v>873</v>
      </c>
      <c r="B206" s="57" t="s">
        <v>218</v>
      </c>
      <c r="C206" s="57" t="s">
        <v>220</v>
      </c>
      <c r="D206" s="57" t="s">
        <v>739</v>
      </c>
      <c r="E206" s="57" t="s">
        <v>874</v>
      </c>
      <c r="F206" s="57"/>
      <c r="G206" s="57"/>
      <c r="H206" s="57"/>
      <c r="I206" s="57" t="n">
        <v>1.015</v>
      </c>
      <c r="J206" s="57" t="n">
        <v>1.015</v>
      </c>
      <c r="K206" s="57"/>
      <c r="L206" s="57" t="s">
        <v>731</v>
      </c>
      <c r="M206" s="57"/>
      <c r="N206" s="57"/>
      <c r="O206" s="57"/>
      <c r="P206" s="57"/>
      <c r="Q206" s="57"/>
      <c r="R206" s="57" t="n">
        <v>20</v>
      </c>
      <c r="S206" s="57" t="n">
        <v>0</v>
      </c>
      <c r="T206" s="57" t="n">
        <v>0</v>
      </c>
      <c r="U206" s="57" t="n">
        <v>0</v>
      </c>
      <c r="V206" s="57" t="n">
        <v>0</v>
      </c>
      <c r="W206" s="57" t="n">
        <v>0</v>
      </c>
      <c r="X206" s="57" t="n">
        <v>20</v>
      </c>
      <c r="Y206" s="57" t="n">
        <v>0</v>
      </c>
      <c r="Z206" s="57" t="n">
        <v>20</v>
      </c>
      <c r="AA206" s="57" t="n">
        <v>0</v>
      </c>
      <c r="AB206" s="57" t="n">
        <v>0</v>
      </c>
      <c r="AC206" s="57" t="n">
        <v>0</v>
      </c>
      <c r="AD206" s="57" t="n">
        <v>0</v>
      </c>
      <c r="AE206" s="57" t="n">
        <v>0</v>
      </c>
      <c r="AF206" s="57" t="n">
        <v>0</v>
      </c>
      <c r="AG206" s="57" t="n">
        <v>0</v>
      </c>
      <c r="AH206" s="57" t="s">
        <v>237</v>
      </c>
      <c r="AI206" s="57"/>
      <c r="AJ206" s="57" t="n">
        <v>20</v>
      </c>
      <c r="AK206" s="57" t="s">
        <v>361</v>
      </c>
      <c r="AL206" s="57" t="s">
        <v>356</v>
      </c>
      <c r="AM206" s="57" t="n">
        <v>1</v>
      </c>
      <c r="AN206" s="57" t="s">
        <v>575</v>
      </c>
      <c r="AO206" s="57" t="str">
        <f aca="false">IF(C206="County",IF(AL206="Rest of county","Remainder of County","Settlements"),IF(D206="City Centre","City Centre","Rest of City"))</f>
        <v>Settlements</v>
      </c>
      <c r="AP206" s="57" t="str">
        <f aca="false">IF(LEFT(B206,13)="Council audit","Audit",IF(LEFT(B206,8)="Planning","Consent","Zoned"))</f>
        <v>Consent</v>
      </c>
      <c r="AQ206" s="57" t="n">
        <f aca="false">IF(N(K206)&gt;0,I206*Y206/K206,0)</f>
        <v>0</v>
      </c>
    </row>
    <row r="207" customFormat="false" ht="15" hidden="false" customHeight="false" outlineLevel="0" collapsed="false">
      <c r="A207" s="57" t="s">
        <v>875</v>
      </c>
      <c r="B207" s="57" t="s">
        <v>218</v>
      </c>
      <c r="C207" s="57" t="s">
        <v>216</v>
      </c>
      <c r="D207" s="57" t="s">
        <v>286</v>
      </c>
      <c r="E207" s="57" t="s">
        <v>876</v>
      </c>
      <c r="F207" s="57"/>
      <c r="G207" s="57"/>
      <c r="H207" s="57"/>
      <c r="I207" s="57" t="n">
        <v>0.196</v>
      </c>
      <c r="J207" s="57" t="n">
        <v>0.196</v>
      </c>
      <c r="K207" s="57"/>
      <c r="L207" s="57" t="s">
        <v>731</v>
      </c>
      <c r="M207" s="57"/>
      <c r="N207" s="57"/>
      <c r="O207" s="57"/>
      <c r="P207" s="57"/>
      <c r="Q207" s="57"/>
      <c r="R207" s="57" t="n">
        <v>0</v>
      </c>
      <c r="S207" s="57" t="n">
        <v>0</v>
      </c>
      <c r="T207" s="57" t="n">
        <v>20</v>
      </c>
      <c r="U207" s="57" t="n">
        <v>0</v>
      </c>
      <c r="V207" s="57" t="n">
        <v>0</v>
      </c>
      <c r="W207" s="57" t="n">
        <v>0</v>
      </c>
      <c r="X207" s="57" t="n">
        <v>20</v>
      </c>
      <c r="Y207" s="57" t="n">
        <v>0</v>
      </c>
      <c r="Z207" s="57" t="n">
        <v>20</v>
      </c>
      <c r="AA207" s="57" t="n">
        <v>20</v>
      </c>
      <c r="AB207" s="57" t="n">
        <v>0</v>
      </c>
      <c r="AC207" s="57" t="n">
        <v>0</v>
      </c>
      <c r="AD207" s="57" t="n">
        <v>6.9</v>
      </c>
      <c r="AE207" s="57" t="n">
        <v>13.1</v>
      </c>
      <c r="AF207" s="57" t="n">
        <v>0</v>
      </c>
      <c r="AG207" s="57" t="n">
        <v>0</v>
      </c>
      <c r="AH207" s="57" t="s">
        <v>239</v>
      </c>
      <c r="AI207" s="57"/>
      <c r="AJ207" s="57" t="n">
        <v>0</v>
      </c>
      <c r="AK207" s="57" t="s">
        <v>286</v>
      </c>
      <c r="AL207" s="57" t="s">
        <v>347</v>
      </c>
      <c r="AM207" s="57" t="n">
        <v>1</v>
      </c>
      <c r="AN207" s="57" t="s">
        <v>575</v>
      </c>
      <c r="AO207" s="57" t="str">
        <f aca="false">IF(C207="County",IF(AL207="Rest of county","Remainder of County","Settlements"),IF(D207="City Centre","City Centre","Rest of City"))</f>
        <v>Rest of City</v>
      </c>
      <c r="AP207" s="57" t="str">
        <f aca="false">IF(LEFT(B207,13)="Council audit","Audit",IF(LEFT(B207,8)="Planning","Consent","Zoned"))</f>
        <v>Consent</v>
      </c>
      <c r="AQ207" s="57" t="n">
        <f aca="false">IF(N(K207)&gt;0,I207*Y207/K207,0)</f>
        <v>0</v>
      </c>
    </row>
    <row r="208" customFormat="false" ht="15" hidden="false" customHeight="false" outlineLevel="0" collapsed="false">
      <c r="A208" s="57" t="s">
        <v>877</v>
      </c>
      <c r="B208" s="57" t="s">
        <v>218</v>
      </c>
      <c r="C208" s="57" t="s">
        <v>220</v>
      </c>
      <c r="D208" s="57" t="s">
        <v>739</v>
      </c>
      <c r="E208" s="57" t="s">
        <v>878</v>
      </c>
      <c r="F208" s="57"/>
      <c r="G208" s="57"/>
      <c r="H208" s="57"/>
      <c r="I208" s="57" t="n">
        <v>0.403</v>
      </c>
      <c r="J208" s="57" t="n">
        <v>0.403</v>
      </c>
      <c r="K208" s="57"/>
      <c r="L208" s="57" t="s">
        <v>731</v>
      </c>
      <c r="M208" s="57"/>
      <c r="N208" s="57"/>
      <c r="O208" s="57"/>
      <c r="P208" s="57"/>
      <c r="Q208" s="57"/>
      <c r="R208" s="57" t="n">
        <v>0</v>
      </c>
      <c r="S208" s="57" t="n">
        <v>18</v>
      </c>
      <c r="T208" s="57" t="n">
        <v>0</v>
      </c>
      <c r="U208" s="57" t="n">
        <v>0</v>
      </c>
      <c r="V208" s="57" t="n">
        <v>0</v>
      </c>
      <c r="W208" s="57" t="n">
        <v>0</v>
      </c>
      <c r="X208" s="57" t="n">
        <v>18</v>
      </c>
      <c r="Y208" s="57" t="n">
        <v>0</v>
      </c>
      <c r="Z208" s="57" t="n">
        <v>18</v>
      </c>
      <c r="AA208" s="57" t="n">
        <v>18</v>
      </c>
      <c r="AB208" s="57" t="n">
        <v>3.6</v>
      </c>
      <c r="AC208" s="57" t="n">
        <v>14.4</v>
      </c>
      <c r="AD208" s="57" t="n">
        <v>0</v>
      </c>
      <c r="AE208" s="57" t="n">
        <v>0</v>
      </c>
      <c r="AF208" s="57" t="n">
        <v>0</v>
      </c>
      <c r="AG208" s="57" t="n">
        <v>0</v>
      </c>
      <c r="AH208" s="57" t="s">
        <v>239</v>
      </c>
      <c r="AI208" s="57"/>
      <c r="AJ208" s="57" t="n">
        <v>10</v>
      </c>
      <c r="AK208" s="57" t="s">
        <v>365</v>
      </c>
      <c r="AL208" s="57" t="s">
        <v>365</v>
      </c>
      <c r="AM208" s="57"/>
      <c r="AN208" s="57" t="s">
        <v>365</v>
      </c>
      <c r="AO208" s="57" t="str">
        <f aca="false">IF(C208="County",IF(AL208="Rest of county","Remainder of County","Settlements"),IF(D208="City Centre","City Centre","Rest of City"))</f>
        <v>Remainder of County</v>
      </c>
      <c r="AP208" s="57" t="str">
        <f aca="false">IF(LEFT(B208,13)="Council audit","Audit",IF(LEFT(B208,8)="Planning","Consent","Zoned"))</f>
        <v>Consent</v>
      </c>
      <c r="AQ208" s="57" t="n">
        <f aca="false">IF(N(K208)&gt;0,I208*Y208/K208,0)</f>
        <v>0</v>
      </c>
    </row>
    <row r="209" customFormat="false" ht="15" hidden="false" customHeight="false" outlineLevel="0" collapsed="false">
      <c r="A209" s="57" t="s">
        <v>879</v>
      </c>
      <c r="B209" s="57" t="s">
        <v>218</v>
      </c>
      <c r="C209" s="57" t="s">
        <v>220</v>
      </c>
      <c r="D209" s="57" t="s">
        <v>739</v>
      </c>
      <c r="E209" s="57" t="s">
        <v>880</v>
      </c>
      <c r="F209" s="57"/>
      <c r="G209" s="57"/>
      <c r="H209" s="57"/>
      <c r="I209" s="57" t="n">
        <v>0.196</v>
      </c>
      <c r="J209" s="57" t="n">
        <v>0.196</v>
      </c>
      <c r="K209" s="57"/>
      <c r="L209" s="57" t="s">
        <v>731</v>
      </c>
      <c r="M209" s="57"/>
      <c r="N209" s="57"/>
      <c r="O209" s="57"/>
      <c r="P209" s="57"/>
      <c r="Q209" s="57"/>
      <c r="R209" s="57" t="n">
        <v>0</v>
      </c>
      <c r="S209" s="57" t="n">
        <v>18</v>
      </c>
      <c r="T209" s="57" t="n">
        <v>0</v>
      </c>
      <c r="U209" s="57" t="n">
        <v>0</v>
      </c>
      <c r="V209" s="57" t="n">
        <v>0</v>
      </c>
      <c r="W209" s="57" t="n">
        <v>0</v>
      </c>
      <c r="X209" s="57" t="n">
        <v>18</v>
      </c>
      <c r="Y209" s="57" t="n">
        <v>0</v>
      </c>
      <c r="Z209" s="57" t="n">
        <v>18</v>
      </c>
      <c r="AA209" s="57" t="n">
        <v>18</v>
      </c>
      <c r="AB209" s="57" t="n">
        <v>0</v>
      </c>
      <c r="AC209" s="57" t="n">
        <v>10.2</v>
      </c>
      <c r="AD209" s="57" t="n">
        <v>7.8</v>
      </c>
      <c r="AE209" s="57" t="n">
        <v>0</v>
      </c>
      <c r="AF209" s="57" t="n">
        <v>0</v>
      </c>
      <c r="AG209" s="57" t="n">
        <v>0</v>
      </c>
      <c r="AH209" s="57" t="s">
        <v>239</v>
      </c>
      <c r="AI209" s="57"/>
      <c r="AJ209" s="57" t="n">
        <v>1</v>
      </c>
      <c r="AK209" s="57" t="s">
        <v>358</v>
      </c>
      <c r="AL209" s="57" t="s">
        <v>356</v>
      </c>
      <c r="AM209" s="57" t="n">
        <v>1</v>
      </c>
      <c r="AN209" s="57" t="s">
        <v>575</v>
      </c>
      <c r="AO209" s="57" t="str">
        <f aca="false">IF(C209="County",IF(AL209="Rest of county","Remainder of County","Settlements"),IF(D209="City Centre","City Centre","Rest of City"))</f>
        <v>Settlements</v>
      </c>
      <c r="AP209" s="57" t="str">
        <f aca="false">IF(LEFT(B209,13)="Council audit","Audit",IF(LEFT(B209,8)="Planning","Consent","Zoned"))</f>
        <v>Consent</v>
      </c>
      <c r="AQ209" s="57" t="n">
        <f aca="false">IF(N(K209)&gt;0,I209*Y209/K209,0)</f>
        <v>0</v>
      </c>
    </row>
    <row r="210" customFormat="false" ht="15" hidden="false" customHeight="false" outlineLevel="0" collapsed="false">
      <c r="A210" s="57" t="s">
        <v>881</v>
      </c>
      <c r="B210" s="57" t="s">
        <v>218</v>
      </c>
      <c r="C210" s="57" t="s">
        <v>220</v>
      </c>
      <c r="D210" s="57" t="s">
        <v>739</v>
      </c>
      <c r="E210" s="57" t="s">
        <v>882</v>
      </c>
      <c r="F210" s="57"/>
      <c r="G210" s="57"/>
      <c r="H210" s="57"/>
      <c r="I210" s="57" t="n">
        <v>0.196</v>
      </c>
      <c r="J210" s="57" t="n">
        <v>0.196</v>
      </c>
      <c r="K210" s="57"/>
      <c r="L210" s="57" t="s">
        <v>731</v>
      </c>
      <c r="M210" s="57"/>
      <c r="N210" s="57"/>
      <c r="O210" s="57"/>
      <c r="P210" s="57"/>
      <c r="Q210" s="57"/>
      <c r="R210" s="57" t="n">
        <v>0</v>
      </c>
      <c r="S210" s="57" t="n">
        <v>0</v>
      </c>
      <c r="T210" s="57" t="n">
        <v>0</v>
      </c>
      <c r="U210" s="57" t="n">
        <v>0</v>
      </c>
      <c r="V210" s="57" t="n">
        <v>17</v>
      </c>
      <c r="W210" s="57" t="n">
        <v>0</v>
      </c>
      <c r="X210" s="57" t="n">
        <v>0</v>
      </c>
      <c r="Y210" s="57" t="n">
        <v>0</v>
      </c>
      <c r="Z210" s="57" t="n">
        <v>0</v>
      </c>
      <c r="AA210" s="57" t="n">
        <v>0</v>
      </c>
      <c r="AB210" s="57" t="n">
        <v>0</v>
      </c>
      <c r="AC210" s="57" t="n">
        <v>0</v>
      </c>
      <c r="AD210" s="57" t="n">
        <v>0</v>
      </c>
      <c r="AE210" s="57" t="n">
        <v>0</v>
      </c>
      <c r="AF210" s="57" t="n">
        <v>0</v>
      </c>
      <c r="AG210" s="57" t="n">
        <v>0</v>
      </c>
      <c r="AH210" s="57" t="s">
        <v>240</v>
      </c>
      <c r="AI210" s="57"/>
      <c r="AJ210" s="57" t="n">
        <v>2</v>
      </c>
      <c r="AK210" s="57" t="s">
        <v>365</v>
      </c>
      <c r="AL210" s="57" t="s">
        <v>365</v>
      </c>
      <c r="AM210" s="57"/>
      <c r="AN210" s="57" t="s">
        <v>365</v>
      </c>
      <c r="AO210" s="57" t="str">
        <f aca="false">IF(C210="County",IF(AL210="Rest of county","Remainder of County","Settlements"),IF(D210="City Centre","City Centre","Rest of City"))</f>
        <v>Remainder of County</v>
      </c>
      <c r="AP210" s="57" t="str">
        <f aca="false">IF(LEFT(B210,13)="Council audit","Audit",IF(LEFT(B210,8)="Planning","Consent","Zoned"))</f>
        <v>Consent</v>
      </c>
      <c r="AQ210" s="57" t="n">
        <f aca="false">IF(N(K210)&gt;0,I210*Y210/K210,0)</f>
        <v>0</v>
      </c>
    </row>
    <row r="211" customFormat="false" ht="15" hidden="false" customHeight="false" outlineLevel="0" collapsed="false">
      <c r="A211" s="57" t="s">
        <v>883</v>
      </c>
      <c r="B211" s="57" t="s">
        <v>218</v>
      </c>
      <c r="C211" s="57" t="s">
        <v>216</v>
      </c>
      <c r="D211" s="57" t="s">
        <v>290</v>
      </c>
      <c r="E211" s="57" t="s">
        <v>884</v>
      </c>
      <c r="F211" s="57"/>
      <c r="G211" s="57"/>
      <c r="H211" s="57"/>
      <c r="I211" s="57" t="n">
        <v>0.617</v>
      </c>
      <c r="J211" s="57" t="n">
        <v>0.617</v>
      </c>
      <c r="K211" s="57"/>
      <c r="L211" s="57" t="s">
        <v>731</v>
      </c>
      <c r="M211" s="57"/>
      <c r="N211" s="57"/>
      <c r="O211" s="57"/>
      <c r="P211" s="57"/>
      <c r="Q211" s="57"/>
      <c r="R211" s="57" t="n">
        <v>17</v>
      </c>
      <c r="S211" s="57" t="n">
        <v>0</v>
      </c>
      <c r="T211" s="57" t="n">
        <v>0</v>
      </c>
      <c r="U211" s="57" t="n">
        <v>0</v>
      </c>
      <c r="V211" s="57" t="n">
        <v>0</v>
      </c>
      <c r="W211" s="57" t="n">
        <v>0</v>
      </c>
      <c r="X211" s="57" t="n">
        <v>17</v>
      </c>
      <c r="Y211" s="57" t="n">
        <v>0</v>
      </c>
      <c r="Z211" s="57" t="n">
        <v>17</v>
      </c>
      <c r="AA211" s="57" t="n">
        <v>0</v>
      </c>
      <c r="AB211" s="57" t="n">
        <v>0</v>
      </c>
      <c r="AC211" s="57" t="n">
        <v>0</v>
      </c>
      <c r="AD211" s="57" t="n">
        <v>0</v>
      </c>
      <c r="AE211" s="57" t="n">
        <v>0</v>
      </c>
      <c r="AF211" s="57" t="n">
        <v>0</v>
      </c>
      <c r="AG211" s="57" t="n">
        <v>0</v>
      </c>
      <c r="AH211" s="57" t="s">
        <v>237</v>
      </c>
      <c r="AI211" s="57"/>
      <c r="AJ211" s="57" t="n">
        <v>17</v>
      </c>
      <c r="AK211" s="57" t="s">
        <v>290</v>
      </c>
      <c r="AL211" s="57" t="s">
        <v>347</v>
      </c>
      <c r="AM211" s="57" t="n">
        <v>1</v>
      </c>
      <c r="AN211" s="57" t="s">
        <v>575</v>
      </c>
      <c r="AO211" s="57" t="str">
        <f aca="false">IF(C211="County",IF(AL211="Rest of county","Remainder of County","Settlements"),IF(D211="City Centre","City Centre","Rest of City"))</f>
        <v>Rest of City</v>
      </c>
      <c r="AP211" s="57" t="str">
        <f aca="false">IF(LEFT(B211,13)="Council audit","Audit",IF(LEFT(B211,8)="Planning","Consent","Zoned"))</f>
        <v>Consent</v>
      </c>
      <c r="AQ211" s="57" t="n">
        <f aca="false">IF(N(K211)&gt;0,I211*Y211/K211,0)</f>
        <v>0</v>
      </c>
    </row>
    <row r="212" customFormat="false" ht="15" hidden="false" customHeight="false" outlineLevel="0" collapsed="false">
      <c r="A212" s="57" t="s">
        <v>885</v>
      </c>
      <c r="B212" s="57" t="s">
        <v>218</v>
      </c>
      <c r="C212" s="57" t="s">
        <v>220</v>
      </c>
      <c r="D212" s="57" t="s">
        <v>739</v>
      </c>
      <c r="E212" s="57" t="s">
        <v>886</v>
      </c>
      <c r="F212" s="57"/>
      <c r="G212" s="57"/>
      <c r="H212" s="57"/>
      <c r="I212" s="57" t="n">
        <v>1.004</v>
      </c>
      <c r="J212" s="57" t="n">
        <v>1.004</v>
      </c>
      <c r="K212" s="57"/>
      <c r="L212" s="57" t="s">
        <v>731</v>
      </c>
      <c r="M212" s="57"/>
      <c r="N212" s="57"/>
      <c r="O212" s="57"/>
      <c r="P212" s="57"/>
      <c r="Q212" s="57"/>
      <c r="R212" s="57" t="n">
        <v>17</v>
      </c>
      <c r="S212" s="57" t="n">
        <v>0</v>
      </c>
      <c r="T212" s="57" t="n">
        <v>0</v>
      </c>
      <c r="U212" s="57" t="n">
        <v>0</v>
      </c>
      <c r="V212" s="57" t="n">
        <v>0</v>
      </c>
      <c r="W212" s="57" t="n">
        <v>0</v>
      </c>
      <c r="X212" s="57" t="n">
        <v>17</v>
      </c>
      <c r="Y212" s="57" t="n">
        <v>0</v>
      </c>
      <c r="Z212" s="57" t="n">
        <v>17</v>
      </c>
      <c r="AA212" s="57" t="n">
        <v>0</v>
      </c>
      <c r="AB212" s="57" t="n">
        <v>0</v>
      </c>
      <c r="AC212" s="57" t="n">
        <v>0</v>
      </c>
      <c r="AD212" s="57" t="n">
        <v>0</v>
      </c>
      <c r="AE212" s="57" t="n">
        <v>0</v>
      </c>
      <c r="AF212" s="57" t="n">
        <v>0</v>
      </c>
      <c r="AG212" s="57" t="n">
        <v>0</v>
      </c>
      <c r="AH212" s="57" t="s">
        <v>237</v>
      </c>
      <c r="AI212" s="57"/>
      <c r="AJ212" s="57" t="n">
        <v>17</v>
      </c>
      <c r="AK212" s="57" t="s">
        <v>365</v>
      </c>
      <c r="AL212" s="57" t="s">
        <v>365</v>
      </c>
      <c r="AM212" s="57"/>
      <c r="AN212" s="57" t="s">
        <v>365</v>
      </c>
      <c r="AO212" s="57" t="str">
        <f aca="false">IF(C212="County",IF(AL212="Rest of county","Remainder of County","Settlements"),IF(D212="City Centre","City Centre","Rest of City"))</f>
        <v>Remainder of County</v>
      </c>
      <c r="AP212" s="57" t="str">
        <f aca="false">IF(LEFT(B212,13)="Council audit","Audit",IF(LEFT(B212,8)="Planning","Consent","Zoned"))</f>
        <v>Consent</v>
      </c>
      <c r="AQ212" s="57" t="n">
        <f aca="false">IF(N(K212)&gt;0,I212*Y212/K212,0)</f>
        <v>0</v>
      </c>
    </row>
    <row r="213" customFormat="false" ht="15" hidden="false" customHeight="false" outlineLevel="0" collapsed="false">
      <c r="A213" s="57" t="s">
        <v>887</v>
      </c>
      <c r="B213" s="57" t="s">
        <v>218</v>
      </c>
      <c r="C213" s="57" t="s">
        <v>216</v>
      </c>
      <c r="D213" s="57" t="s">
        <v>258</v>
      </c>
      <c r="E213" s="57" t="s">
        <v>888</v>
      </c>
      <c r="F213" s="57"/>
      <c r="G213" s="57"/>
      <c r="H213" s="57"/>
      <c r="I213" s="57" t="n">
        <v>0.072</v>
      </c>
      <c r="J213" s="57" t="n">
        <v>0.072</v>
      </c>
      <c r="K213" s="57"/>
      <c r="L213" s="57" t="s">
        <v>731</v>
      </c>
      <c r="M213" s="57"/>
      <c r="N213" s="57"/>
      <c r="O213" s="57"/>
      <c r="P213" s="57"/>
      <c r="Q213" s="57"/>
      <c r="R213" s="57" t="n">
        <v>9</v>
      </c>
      <c r="S213" s="57" t="n">
        <v>0</v>
      </c>
      <c r="T213" s="57" t="n">
        <v>0</v>
      </c>
      <c r="U213" s="57" t="n">
        <v>0</v>
      </c>
      <c r="V213" s="57" t="n">
        <v>8</v>
      </c>
      <c r="W213" s="57" t="n">
        <v>0</v>
      </c>
      <c r="X213" s="57" t="n">
        <v>9</v>
      </c>
      <c r="Y213" s="57" t="n">
        <v>0</v>
      </c>
      <c r="Z213" s="57" t="n">
        <v>9</v>
      </c>
      <c r="AA213" s="57" t="n">
        <v>0</v>
      </c>
      <c r="AB213" s="57" t="n">
        <v>0</v>
      </c>
      <c r="AC213" s="57" t="n">
        <v>0</v>
      </c>
      <c r="AD213" s="57" t="n">
        <v>0</v>
      </c>
      <c r="AE213" s="57" t="n">
        <v>0</v>
      </c>
      <c r="AF213" s="57" t="n">
        <v>0</v>
      </c>
      <c r="AG213" s="57" t="n">
        <v>0</v>
      </c>
      <c r="AH213" s="57" t="s">
        <v>237</v>
      </c>
      <c r="AI213" s="57"/>
      <c r="AJ213" s="57" t="n">
        <v>0</v>
      </c>
      <c r="AK213" s="57" t="s">
        <v>258</v>
      </c>
      <c r="AL213" s="57" t="s">
        <v>347</v>
      </c>
      <c r="AM213" s="57" t="n">
        <v>1</v>
      </c>
      <c r="AN213" s="57" t="s">
        <v>575</v>
      </c>
      <c r="AO213" s="57" t="str">
        <f aca="false">IF(C213="County",IF(AL213="Rest of county","Remainder of County","Settlements"),IF(D213="City Centre","City Centre","Rest of City"))</f>
        <v>City Centre</v>
      </c>
      <c r="AP213" s="57" t="str">
        <f aca="false">IF(LEFT(B213,13)="Council audit","Audit",IF(LEFT(B213,8)="Planning","Consent","Zoned"))</f>
        <v>Consent</v>
      </c>
      <c r="AQ213" s="57" t="n">
        <f aca="false">IF(N(K213)&gt;0,I213*Y213/K213,0)</f>
        <v>0</v>
      </c>
    </row>
    <row r="214" customFormat="false" ht="15" hidden="false" customHeight="false" outlineLevel="0" collapsed="false">
      <c r="A214" s="57" t="s">
        <v>889</v>
      </c>
      <c r="B214" s="57" t="s">
        <v>218</v>
      </c>
      <c r="C214" s="57" t="s">
        <v>220</v>
      </c>
      <c r="D214" s="57" t="s">
        <v>739</v>
      </c>
      <c r="E214" s="57" t="s">
        <v>890</v>
      </c>
      <c r="F214" s="57"/>
      <c r="G214" s="57"/>
      <c r="H214" s="57"/>
      <c r="I214" s="57" t="n">
        <v>0.883</v>
      </c>
      <c r="J214" s="57" t="n">
        <v>0.883</v>
      </c>
      <c r="K214" s="57"/>
      <c r="L214" s="57" t="s">
        <v>731</v>
      </c>
      <c r="M214" s="57"/>
      <c r="N214" s="57"/>
      <c r="O214" s="57"/>
      <c r="P214" s="57"/>
      <c r="Q214" s="57"/>
      <c r="R214" s="57" t="n">
        <v>17</v>
      </c>
      <c r="S214" s="57" t="n">
        <v>0</v>
      </c>
      <c r="T214" s="57" t="n">
        <v>0</v>
      </c>
      <c r="U214" s="57" t="n">
        <v>0</v>
      </c>
      <c r="V214" s="57" t="n">
        <v>0</v>
      </c>
      <c r="W214" s="57" t="n">
        <v>0</v>
      </c>
      <c r="X214" s="57" t="n">
        <v>17</v>
      </c>
      <c r="Y214" s="57" t="n">
        <v>0</v>
      </c>
      <c r="Z214" s="57" t="n">
        <v>17</v>
      </c>
      <c r="AA214" s="57" t="n">
        <v>0</v>
      </c>
      <c r="AB214" s="57" t="n">
        <v>0</v>
      </c>
      <c r="AC214" s="57" t="n">
        <v>0</v>
      </c>
      <c r="AD214" s="57" t="n">
        <v>0</v>
      </c>
      <c r="AE214" s="57" t="n">
        <v>0</v>
      </c>
      <c r="AF214" s="57" t="n">
        <v>0</v>
      </c>
      <c r="AG214" s="57" t="n">
        <v>0</v>
      </c>
      <c r="AH214" s="57" t="s">
        <v>237</v>
      </c>
      <c r="AI214" s="57"/>
      <c r="AJ214" s="57" t="n">
        <v>17</v>
      </c>
      <c r="AK214" s="57" t="s">
        <v>359</v>
      </c>
      <c r="AL214" s="57" t="s">
        <v>356</v>
      </c>
      <c r="AM214" s="57" t="n">
        <v>0</v>
      </c>
      <c r="AN214" s="57" t="s">
        <v>743</v>
      </c>
      <c r="AO214" s="57" t="str">
        <f aca="false">IF(C214="County",IF(AL214="Rest of county","Remainder of County","Settlements"),IF(D214="City Centre","City Centre","Rest of City"))</f>
        <v>Settlements</v>
      </c>
      <c r="AP214" s="57" t="str">
        <f aca="false">IF(LEFT(B214,13)="Council audit","Audit",IF(LEFT(B214,8)="Planning","Consent","Zoned"))</f>
        <v>Consent</v>
      </c>
      <c r="AQ214" s="57" t="n">
        <f aca="false">IF(N(K214)&gt;0,I214*Y214/K214,0)</f>
        <v>0</v>
      </c>
    </row>
    <row r="215" customFormat="false" ht="15" hidden="false" customHeight="false" outlineLevel="0" collapsed="false">
      <c r="A215" s="57" t="s">
        <v>891</v>
      </c>
      <c r="B215" s="57" t="s">
        <v>218</v>
      </c>
      <c r="C215" s="57" t="s">
        <v>220</v>
      </c>
      <c r="D215" s="57" t="s">
        <v>739</v>
      </c>
      <c r="E215" s="57" t="s">
        <v>892</v>
      </c>
      <c r="F215" s="57"/>
      <c r="G215" s="57"/>
      <c r="H215" s="57"/>
      <c r="I215" s="57" t="n">
        <v>0.432</v>
      </c>
      <c r="J215" s="57" t="n">
        <v>0.432</v>
      </c>
      <c r="K215" s="57"/>
      <c r="L215" s="57" t="s">
        <v>731</v>
      </c>
      <c r="M215" s="57"/>
      <c r="N215" s="57"/>
      <c r="O215" s="57"/>
      <c r="P215" s="57"/>
      <c r="Q215" s="57"/>
      <c r="R215" s="57" t="n">
        <v>16</v>
      </c>
      <c r="S215" s="57" t="n">
        <v>0</v>
      </c>
      <c r="T215" s="57" t="n">
        <v>0</v>
      </c>
      <c r="U215" s="57" t="n">
        <v>0</v>
      </c>
      <c r="V215" s="57" t="n">
        <v>0</v>
      </c>
      <c r="W215" s="57" t="n">
        <v>0</v>
      </c>
      <c r="X215" s="57" t="n">
        <v>16</v>
      </c>
      <c r="Y215" s="57" t="n">
        <v>0</v>
      </c>
      <c r="Z215" s="57" t="n">
        <v>16</v>
      </c>
      <c r="AA215" s="57" t="n">
        <v>0</v>
      </c>
      <c r="AB215" s="57" t="n">
        <v>0</v>
      </c>
      <c r="AC215" s="57" t="n">
        <v>0</v>
      </c>
      <c r="AD215" s="57" t="n">
        <v>0</v>
      </c>
      <c r="AE215" s="57" t="n">
        <v>0</v>
      </c>
      <c r="AF215" s="57" t="n">
        <v>0</v>
      </c>
      <c r="AG215" s="57" t="n">
        <v>0</v>
      </c>
      <c r="AH215" s="57" t="s">
        <v>237</v>
      </c>
      <c r="AI215" s="57"/>
      <c r="AJ215" s="57" t="n">
        <v>16</v>
      </c>
      <c r="AK215" s="57" t="s">
        <v>360</v>
      </c>
      <c r="AL215" s="57" t="s">
        <v>356</v>
      </c>
      <c r="AM215" s="57" t="n">
        <v>1</v>
      </c>
      <c r="AN215" s="57" t="s">
        <v>575</v>
      </c>
      <c r="AO215" s="57" t="str">
        <f aca="false">IF(C215="County",IF(AL215="Rest of county","Remainder of County","Settlements"),IF(D215="City Centre","City Centre","Rest of City"))</f>
        <v>Settlements</v>
      </c>
      <c r="AP215" s="57" t="str">
        <f aca="false">IF(LEFT(B215,13)="Council audit","Audit",IF(LEFT(B215,8)="Planning","Consent","Zoned"))</f>
        <v>Consent</v>
      </c>
      <c r="AQ215" s="57" t="n">
        <f aca="false">IF(N(K215)&gt;0,I215*Y215/K215,0)</f>
        <v>0</v>
      </c>
    </row>
    <row r="216" customFormat="false" ht="15" hidden="false" customHeight="false" outlineLevel="0" collapsed="false">
      <c r="A216" s="57" t="s">
        <v>893</v>
      </c>
      <c r="B216" s="57" t="s">
        <v>218</v>
      </c>
      <c r="C216" s="57" t="s">
        <v>216</v>
      </c>
      <c r="D216" s="57" t="s">
        <v>258</v>
      </c>
      <c r="E216" s="57" t="s">
        <v>894</v>
      </c>
      <c r="F216" s="57"/>
      <c r="G216" s="57"/>
      <c r="H216" s="57"/>
      <c r="I216" s="57" t="n">
        <v>0.032</v>
      </c>
      <c r="J216" s="57" t="n">
        <v>0.032</v>
      </c>
      <c r="K216" s="57"/>
      <c r="L216" s="57" t="s">
        <v>731</v>
      </c>
      <c r="M216" s="57"/>
      <c r="N216" s="57"/>
      <c r="O216" s="57"/>
      <c r="P216" s="57"/>
      <c r="Q216" s="57"/>
      <c r="R216" s="57" t="n">
        <v>0</v>
      </c>
      <c r="S216" s="57" t="n">
        <v>0</v>
      </c>
      <c r="T216" s="57" t="n">
        <v>16</v>
      </c>
      <c r="U216" s="57" t="n">
        <v>0</v>
      </c>
      <c r="V216" s="57" t="n">
        <v>0</v>
      </c>
      <c r="W216" s="57" t="n">
        <v>0</v>
      </c>
      <c r="X216" s="57" t="n">
        <v>16</v>
      </c>
      <c r="Y216" s="57" t="n">
        <v>0</v>
      </c>
      <c r="Z216" s="57" t="n">
        <v>16</v>
      </c>
      <c r="AA216" s="57" t="n">
        <v>16</v>
      </c>
      <c r="AB216" s="57" t="n">
        <v>0</v>
      </c>
      <c r="AC216" s="57" t="n">
        <v>0</v>
      </c>
      <c r="AD216" s="57" t="n">
        <v>3.1</v>
      </c>
      <c r="AE216" s="57" t="n">
        <v>12.9</v>
      </c>
      <c r="AF216" s="57" t="n">
        <v>0</v>
      </c>
      <c r="AG216" s="57" t="n">
        <v>0</v>
      </c>
      <c r="AH216" s="57" t="s">
        <v>239</v>
      </c>
      <c r="AI216" s="57"/>
      <c r="AJ216" s="57" t="n">
        <v>0</v>
      </c>
      <c r="AK216" s="57" t="s">
        <v>258</v>
      </c>
      <c r="AL216" s="57" t="s">
        <v>347</v>
      </c>
      <c r="AM216" s="57" t="n">
        <v>1</v>
      </c>
      <c r="AN216" s="57" t="s">
        <v>575</v>
      </c>
      <c r="AO216" s="57" t="str">
        <f aca="false">IF(C216="County",IF(AL216="Rest of county","Remainder of County","Settlements"),IF(D216="City Centre","City Centre","Rest of City"))</f>
        <v>City Centre</v>
      </c>
      <c r="AP216" s="57" t="str">
        <f aca="false">IF(LEFT(B216,13)="Council audit","Audit",IF(LEFT(B216,8)="Planning","Consent","Zoned"))</f>
        <v>Consent</v>
      </c>
      <c r="AQ216" s="57" t="n">
        <f aca="false">IF(N(K216)&gt;0,I216*Y216/K216,0)</f>
        <v>0</v>
      </c>
    </row>
    <row r="217" customFormat="false" ht="15" hidden="false" customHeight="false" outlineLevel="0" collapsed="false">
      <c r="A217" s="57" t="s">
        <v>895</v>
      </c>
      <c r="B217" s="57" t="s">
        <v>218</v>
      </c>
      <c r="C217" s="57" t="s">
        <v>220</v>
      </c>
      <c r="D217" s="57" t="s">
        <v>739</v>
      </c>
      <c r="E217" s="57" t="s">
        <v>896</v>
      </c>
      <c r="F217" s="57"/>
      <c r="G217" s="57"/>
      <c r="H217" s="57"/>
      <c r="I217" s="57" t="n">
        <v>0.824</v>
      </c>
      <c r="J217" s="57" t="n">
        <v>0.824</v>
      </c>
      <c r="K217" s="57"/>
      <c r="L217" s="57" t="s">
        <v>731</v>
      </c>
      <c r="M217" s="57"/>
      <c r="N217" s="57"/>
      <c r="O217" s="57"/>
      <c r="P217" s="57"/>
      <c r="Q217" s="57"/>
      <c r="R217" s="57" t="n">
        <v>16</v>
      </c>
      <c r="S217" s="57" t="n">
        <v>0</v>
      </c>
      <c r="T217" s="57" t="n">
        <v>0</v>
      </c>
      <c r="U217" s="57" t="n">
        <v>0</v>
      </c>
      <c r="V217" s="57" t="n">
        <v>0</v>
      </c>
      <c r="W217" s="57" t="n">
        <v>0</v>
      </c>
      <c r="X217" s="57" t="n">
        <v>16</v>
      </c>
      <c r="Y217" s="57" t="n">
        <v>0</v>
      </c>
      <c r="Z217" s="57" t="n">
        <v>16</v>
      </c>
      <c r="AA217" s="57" t="n">
        <v>0</v>
      </c>
      <c r="AB217" s="57" t="n">
        <v>0</v>
      </c>
      <c r="AC217" s="57" t="n">
        <v>0</v>
      </c>
      <c r="AD217" s="57" t="n">
        <v>0</v>
      </c>
      <c r="AE217" s="57" t="n">
        <v>0</v>
      </c>
      <c r="AF217" s="57" t="n">
        <v>0</v>
      </c>
      <c r="AG217" s="57" t="n">
        <v>0</v>
      </c>
      <c r="AH217" s="57" t="s">
        <v>237</v>
      </c>
      <c r="AI217" s="57"/>
      <c r="AJ217" s="57" t="n">
        <v>16</v>
      </c>
      <c r="AK217" s="57" t="s">
        <v>364</v>
      </c>
      <c r="AL217" s="57" t="s">
        <v>356</v>
      </c>
      <c r="AM217" s="57" t="n">
        <v>0.97</v>
      </c>
      <c r="AN217" s="57" t="s">
        <v>575</v>
      </c>
      <c r="AO217" s="57" t="str">
        <f aca="false">IF(C217="County",IF(AL217="Rest of county","Remainder of County","Settlements"),IF(D217="City Centre","City Centre","Rest of City"))</f>
        <v>Settlements</v>
      </c>
      <c r="AP217" s="57" t="str">
        <f aca="false">IF(LEFT(B217,13)="Council audit","Audit",IF(LEFT(B217,8)="Planning","Consent","Zoned"))</f>
        <v>Consent</v>
      </c>
      <c r="AQ217" s="57" t="n">
        <f aca="false">IF(N(K217)&gt;0,I217*Y217/K217,0)</f>
        <v>0</v>
      </c>
    </row>
    <row r="218" customFormat="false" ht="15" hidden="false" customHeight="false" outlineLevel="0" collapsed="false">
      <c r="A218" s="57" t="s">
        <v>897</v>
      </c>
      <c r="B218" s="57" t="s">
        <v>218</v>
      </c>
      <c r="C218" s="57" t="s">
        <v>216</v>
      </c>
      <c r="D218" s="57" t="s">
        <v>258</v>
      </c>
      <c r="E218" s="57" t="s">
        <v>898</v>
      </c>
      <c r="F218" s="57"/>
      <c r="G218" s="57"/>
      <c r="H218" s="57"/>
      <c r="I218" s="57" t="n">
        <v>0.047</v>
      </c>
      <c r="J218" s="57" t="n">
        <v>0.047</v>
      </c>
      <c r="K218" s="57"/>
      <c r="L218" s="57" t="s">
        <v>731</v>
      </c>
      <c r="M218" s="57"/>
      <c r="N218" s="57"/>
      <c r="O218" s="57"/>
      <c r="P218" s="57"/>
      <c r="Q218" s="57"/>
      <c r="R218" s="57" t="n">
        <v>0</v>
      </c>
      <c r="S218" s="57" t="n">
        <v>0</v>
      </c>
      <c r="T218" s="57" t="n">
        <v>0</v>
      </c>
      <c r="U218" s="57" t="n">
        <v>0</v>
      </c>
      <c r="V218" s="57" t="n">
        <v>15</v>
      </c>
      <c r="W218" s="57" t="n">
        <v>0</v>
      </c>
      <c r="X218" s="57" t="n">
        <v>0</v>
      </c>
      <c r="Y218" s="57" t="n">
        <v>0</v>
      </c>
      <c r="Z218" s="57" t="n">
        <v>0</v>
      </c>
      <c r="AA218" s="57" t="n">
        <v>0</v>
      </c>
      <c r="AB218" s="57" t="n">
        <v>0</v>
      </c>
      <c r="AC218" s="57" t="n">
        <v>0</v>
      </c>
      <c r="AD218" s="57" t="n">
        <v>0</v>
      </c>
      <c r="AE218" s="57" t="n">
        <v>0</v>
      </c>
      <c r="AF218" s="57" t="n">
        <v>0</v>
      </c>
      <c r="AG218" s="57" t="n">
        <v>0</v>
      </c>
      <c r="AH218" s="57" t="s">
        <v>240</v>
      </c>
      <c r="AI218" s="57"/>
      <c r="AJ218" s="57" t="n">
        <v>0</v>
      </c>
      <c r="AK218" s="57" t="s">
        <v>258</v>
      </c>
      <c r="AL218" s="57" t="s">
        <v>347</v>
      </c>
      <c r="AM218" s="57" t="n">
        <v>1</v>
      </c>
      <c r="AN218" s="57" t="s">
        <v>575</v>
      </c>
      <c r="AO218" s="57" t="str">
        <f aca="false">IF(C218="County",IF(AL218="Rest of county","Remainder of County","Settlements"),IF(D218="City Centre","City Centre","Rest of City"))</f>
        <v>City Centre</v>
      </c>
      <c r="AP218" s="57" t="str">
        <f aca="false">IF(LEFT(B218,13)="Council audit","Audit",IF(LEFT(B218,8)="Planning","Consent","Zoned"))</f>
        <v>Consent</v>
      </c>
      <c r="AQ218" s="57" t="n">
        <f aca="false">IF(N(K218)&gt;0,I218*Y218/K218,0)</f>
        <v>0</v>
      </c>
    </row>
    <row r="219" customFormat="false" ht="15" hidden="false" customHeight="false" outlineLevel="0" collapsed="false">
      <c r="A219" s="57" t="s">
        <v>899</v>
      </c>
      <c r="B219" s="57" t="s">
        <v>218</v>
      </c>
      <c r="C219" s="57" t="s">
        <v>216</v>
      </c>
      <c r="D219" s="57" t="s">
        <v>288</v>
      </c>
      <c r="E219" s="57" t="s">
        <v>900</v>
      </c>
      <c r="F219" s="57"/>
      <c r="G219" s="57"/>
      <c r="H219" s="57"/>
      <c r="I219" s="57" t="n">
        <v>0.13</v>
      </c>
      <c r="J219" s="57" t="n">
        <v>0.13</v>
      </c>
      <c r="K219" s="57"/>
      <c r="L219" s="57" t="s">
        <v>731</v>
      </c>
      <c r="M219" s="57"/>
      <c r="N219" s="57"/>
      <c r="O219" s="57"/>
      <c r="P219" s="57"/>
      <c r="Q219" s="57"/>
      <c r="R219" s="57" t="n">
        <v>15</v>
      </c>
      <c r="S219" s="57" t="n">
        <v>0</v>
      </c>
      <c r="T219" s="57" t="n">
        <v>0</v>
      </c>
      <c r="U219" s="57" t="n">
        <v>0</v>
      </c>
      <c r="V219" s="57" t="n">
        <v>0</v>
      </c>
      <c r="W219" s="57" t="n">
        <v>0</v>
      </c>
      <c r="X219" s="57" t="n">
        <v>15</v>
      </c>
      <c r="Y219" s="57" t="n">
        <v>0</v>
      </c>
      <c r="Z219" s="57" t="n">
        <v>15</v>
      </c>
      <c r="AA219" s="57" t="n">
        <v>0</v>
      </c>
      <c r="AB219" s="57" t="n">
        <v>0</v>
      </c>
      <c r="AC219" s="57" t="n">
        <v>0</v>
      </c>
      <c r="AD219" s="57" t="n">
        <v>0</v>
      </c>
      <c r="AE219" s="57" t="n">
        <v>0</v>
      </c>
      <c r="AF219" s="57" t="n">
        <v>0</v>
      </c>
      <c r="AG219" s="57" t="n">
        <v>0</v>
      </c>
      <c r="AH219" s="57" t="s">
        <v>237</v>
      </c>
      <c r="AI219" s="57"/>
      <c r="AJ219" s="57" t="n">
        <v>15</v>
      </c>
      <c r="AK219" s="57" t="s">
        <v>288</v>
      </c>
      <c r="AL219" s="57" t="s">
        <v>347</v>
      </c>
      <c r="AM219" s="57" t="n">
        <v>1</v>
      </c>
      <c r="AN219" s="57" t="s">
        <v>575</v>
      </c>
      <c r="AO219" s="57" t="str">
        <f aca="false">IF(C219="County",IF(AL219="Rest of county","Remainder of County","Settlements"),IF(D219="City Centre","City Centre","Rest of City"))</f>
        <v>Rest of City</v>
      </c>
      <c r="AP219" s="57" t="str">
        <f aca="false">IF(LEFT(B219,13)="Council audit","Audit",IF(LEFT(B219,8)="Planning","Consent","Zoned"))</f>
        <v>Consent</v>
      </c>
      <c r="AQ219" s="57" t="n">
        <f aca="false">IF(N(K219)&gt;0,I219*Y219/K219,0)</f>
        <v>0</v>
      </c>
    </row>
    <row r="220" customFormat="false" ht="15" hidden="false" customHeight="false" outlineLevel="0" collapsed="false">
      <c r="A220" s="57" t="s">
        <v>901</v>
      </c>
      <c r="B220" s="57" t="s">
        <v>218</v>
      </c>
      <c r="C220" s="57" t="s">
        <v>216</v>
      </c>
      <c r="D220" s="57" t="s">
        <v>258</v>
      </c>
      <c r="E220" s="57" t="s">
        <v>902</v>
      </c>
      <c r="F220" s="57"/>
      <c r="G220" s="57"/>
      <c r="H220" s="57"/>
      <c r="I220" s="57" t="n">
        <v>0.054</v>
      </c>
      <c r="J220" s="57" t="n">
        <v>0.054</v>
      </c>
      <c r="K220" s="57"/>
      <c r="L220" s="57" t="s">
        <v>731</v>
      </c>
      <c r="M220" s="57"/>
      <c r="N220" s="57"/>
      <c r="O220" s="57"/>
      <c r="P220" s="57"/>
      <c r="Q220" s="57"/>
      <c r="R220" s="57" t="n">
        <v>0</v>
      </c>
      <c r="S220" s="57" t="n">
        <v>0</v>
      </c>
      <c r="T220" s="57" t="n">
        <v>15</v>
      </c>
      <c r="U220" s="57" t="n">
        <v>0</v>
      </c>
      <c r="V220" s="57" t="n">
        <v>0</v>
      </c>
      <c r="W220" s="57" t="n">
        <v>0</v>
      </c>
      <c r="X220" s="57" t="n">
        <v>15</v>
      </c>
      <c r="Y220" s="57" t="n">
        <v>0</v>
      </c>
      <c r="Z220" s="57" t="n">
        <v>15</v>
      </c>
      <c r="AA220" s="57" t="n">
        <v>15</v>
      </c>
      <c r="AB220" s="57" t="n">
        <v>0</v>
      </c>
      <c r="AC220" s="57" t="n">
        <v>0</v>
      </c>
      <c r="AD220" s="57" t="n">
        <v>8.8</v>
      </c>
      <c r="AE220" s="57" t="n">
        <v>6.2</v>
      </c>
      <c r="AF220" s="57" t="n">
        <v>0</v>
      </c>
      <c r="AG220" s="57" t="n">
        <v>0</v>
      </c>
      <c r="AH220" s="57" t="s">
        <v>239</v>
      </c>
      <c r="AI220" s="57"/>
      <c r="AJ220" s="57" t="n">
        <v>0</v>
      </c>
      <c r="AK220" s="57" t="s">
        <v>258</v>
      </c>
      <c r="AL220" s="57" t="s">
        <v>347</v>
      </c>
      <c r="AM220" s="57" t="n">
        <v>1</v>
      </c>
      <c r="AN220" s="57" t="s">
        <v>575</v>
      </c>
      <c r="AO220" s="57" t="str">
        <f aca="false">IF(C220="County",IF(AL220="Rest of county","Remainder of County","Settlements"),IF(D220="City Centre","City Centre","Rest of City"))</f>
        <v>City Centre</v>
      </c>
      <c r="AP220" s="57" t="str">
        <f aca="false">IF(LEFT(B220,13)="Council audit","Audit",IF(LEFT(B220,8)="Planning","Consent","Zoned"))</f>
        <v>Consent</v>
      </c>
      <c r="AQ220" s="57" t="n">
        <f aca="false">IF(N(K220)&gt;0,I220*Y220/K220,0)</f>
        <v>0</v>
      </c>
    </row>
    <row r="221" customFormat="false" ht="15" hidden="false" customHeight="false" outlineLevel="0" collapsed="false">
      <c r="A221" s="57" t="s">
        <v>903</v>
      </c>
      <c r="B221" s="57" t="s">
        <v>218</v>
      </c>
      <c r="C221" s="57" t="s">
        <v>216</v>
      </c>
      <c r="D221" s="57" t="s">
        <v>289</v>
      </c>
      <c r="E221" s="57" t="s">
        <v>904</v>
      </c>
      <c r="F221" s="57"/>
      <c r="G221" s="57"/>
      <c r="H221" s="57"/>
      <c r="I221" s="57" t="n">
        <v>0.764</v>
      </c>
      <c r="J221" s="57" t="n">
        <v>0.764</v>
      </c>
      <c r="K221" s="57"/>
      <c r="L221" s="57" t="s">
        <v>731</v>
      </c>
      <c r="M221" s="57"/>
      <c r="N221" s="57"/>
      <c r="O221" s="57"/>
      <c r="P221" s="57"/>
      <c r="Q221" s="57"/>
      <c r="R221" s="57" t="n">
        <v>0</v>
      </c>
      <c r="S221" s="57" t="n">
        <v>0</v>
      </c>
      <c r="T221" s="57" t="n">
        <v>15</v>
      </c>
      <c r="U221" s="57" t="n">
        <v>0</v>
      </c>
      <c r="V221" s="57" t="n">
        <v>0</v>
      </c>
      <c r="W221" s="57" t="n">
        <v>0</v>
      </c>
      <c r="X221" s="57" t="n">
        <v>15</v>
      </c>
      <c r="Y221" s="57" t="n">
        <v>0</v>
      </c>
      <c r="Z221" s="57" t="n">
        <v>15</v>
      </c>
      <c r="AA221" s="57" t="n">
        <v>15</v>
      </c>
      <c r="AB221" s="57" t="n">
        <v>0</v>
      </c>
      <c r="AC221" s="57" t="n">
        <v>0</v>
      </c>
      <c r="AD221" s="57" t="n">
        <v>15</v>
      </c>
      <c r="AE221" s="57" t="n">
        <v>0</v>
      </c>
      <c r="AF221" s="57" t="n">
        <v>0</v>
      </c>
      <c r="AG221" s="57" t="n">
        <v>0</v>
      </c>
      <c r="AH221" s="57" t="s">
        <v>239</v>
      </c>
      <c r="AI221" s="57"/>
      <c r="AJ221" s="57" t="n">
        <v>0</v>
      </c>
      <c r="AK221" s="57" t="s">
        <v>289</v>
      </c>
      <c r="AL221" s="57" t="s">
        <v>347</v>
      </c>
      <c r="AM221" s="57" t="n">
        <v>1</v>
      </c>
      <c r="AN221" s="57" t="s">
        <v>575</v>
      </c>
      <c r="AO221" s="57" t="str">
        <f aca="false">IF(C221="County",IF(AL221="Rest of county","Remainder of County","Settlements"),IF(D221="City Centre","City Centre","Rest of City"))</f>
        <v>Rest of City</v>
      </c>
      <c r="AP221" s="57" t="str">
        <f aca="false">IF(LEFT(B221,13)="Council audit","Audit",IF(LEFT(B221,8)="Planning","Consent","Zoned"))</f>
        <v>Consent</v>
      </c>
      <c r="AQ221" s="57" t="n">
        <f aca="false">IF(N(K221)&gt;0,I221*Y221/K221,0)</f>
        <v>0</v>
      </c>
    </row>
    <row r="222" customFormat="false" ht="15" hidden="false" customHeight="false" outlineLevel="0" collapsed="false">
      <c r="A222" s="57" t="s">
        <v>905</v>
      </c>
      <c r="B222" s="57" t="s">
        <v>218</v>
      </c>
      <c r="C222" s="57" t="s">
        <v>216</v>
      </c>
      <c r="D222" s="57" t="s">
        <v>258</v>
      </c>
      <c r="E222" s="57" t="s">
        <v>906</v>
      </c>
      <c r="F222" s="57"/>
      <c r="G222" s="57"/>
      <c r="H222" s="57"/>
      <c r="I222" s="57" t="n">
        <v>0.167</v>
      </c>
      <c r="J222" s="57" t="n">
        <v>0.167</v>
      </c>
      <c r="K222" s="57"/>
      <c r="L222" s="57" t="s">
        <v>731</v>
      </c>
      <c r="M222" s="57"/>
      <c r="N222" s="57"/>
      <c r="O222" s="57"/>
      <c r="P222" s="57"/>
      <c r="Q222" s="57"/>
      <c r="R222" s="57" t="n">
        <v>14</v>
      </c>
      <c r="S222" s="57" t="n">
        <v>0</v>
      </c>
      <c r="T222" s="57" t="n">
        <v>0</v>
      </c>
      <c r="U222" s="57" t="n">
        <v>0</v>
      </c>
      <c r="V222" s="57" t="n">
        <v>0</v>
      </c>
      <c r="W222" s="57" t="n">
        <v>0</v>
      </c>
      <c r="X222" s="57" t="n">
        <v>14</v>
      </c>
      <c r="Y222" s="57" t="n">
        <v>0</v>
      </c>
      <c r="Z222" s="57" t="n">
        <v>14</v>
      </c>
      <c r="AA222" s="57" t="n">
        <v>0</v>
      </c>
      <c r="AB222" s="57" t="n">
        <v>0</v>
      </c>
      <c r="AC222" s="57" t="n">
        <v>0</v>
      </c>
      <c r="AD222" s="57" t="n">
        <v>0</v>
      </c>
      <c r="AE222" s="57" t="n">
        <v>0</v>
      </c>
      <c r="AF222" s="57" t="n">
        <v>0</v>
      </c>
      <c r="AG222" s="57" t="n">
        <v>0</v>
      </c>
      <c r="AH222" s="57" t="s">
        <v>237</v>
      </c>
      <c r="AI222" s="57"/>
      <c r="AJ222" s="57" t="n">
        <v>13</v>
      </c>
      <c r="AK222" s="57" t="s">
        <v>258</v>
      </c>
      <c r="AL222" s="57" t="s">
        <v>347</v>
      </c>
      <c r="AM222" s="57" t="n">
        <v>1</v>
      </c>
      <c r="AN222" s="57" t="s">
        <v>575</v>
      </c>
      <c r="AO222" s="57" t="str">
        <f aca="false">IF(C222="County",IF(AL222="Rest of county","Remainder of County","Settlements"),IF(D222="City Centre","City Centre","Rest of City"))</f>
        <v>City Centre</v>
      </c>
      <c r="AP222" s="57" t="str">
        <f aca="false">IF(LEFT(B222,13)="Council audit","Audit",IF(LEFT(B222,8)="Planning","Consent","Zoned"))</f>
        <v>Consent</v>
      </c>
      <c r="AQ222" s="57" t="n">
        <f aca="false">IF(N(K222)&gt;0,I222*Y222/K222,0)</f>
        <v>0</v>
      </c>
    </row>
    <row r="223" customFormat="false" ht="15" hidden="false" customHeight="false" outlineLevel="0" collapsed="false">
      <c r="A223" s="57" t="s">
        <v>907</v>
      </c>
      <c r="B223" s="57" t="s">
        <v>218</v>
      </c>
      <c r="C223" s="57" t="s">
        <v>220</v>
      </c>
      <c r="D223" s="57" t="s">
        <v>739</v>
      </c>
      <c r="E223" s="57" t="s">
        <v>908</v>
      </c>
      <c r="F223" s="57"/>
      <c r="G223" s="57"/>
      <c r="H223" s="57"/>
      <c r="I223" s="57" t="n">
        <v>0.318</v>
      </c>
      <c r="J223" s="57" t="n">
        <v>0.318</v>
      </c>
      <c r="K223" s="57"/>
      <c r="L223" s="57" t="s">
        <v>731</v>
      </c>
      <c r="M223" s="57"/>
      <c r="N223" s="57"/>
      <c r="O223" s="57"/>
      <c r="P223" s="57"/>
      <c r="Q223" s="57"/>
      <c r="R223" s="57" t="n">
        <v>0</v>
      </c>
      <c r="S223" s="57" t="n">
        <v>0</v>
      </c>
      <c r="T223" s="57" t="n">
        <v>14</v>
      </c>
      <c r="U223" s="57" t="n">
        <v>0</v>
      </c>
      <c r="V223" s="57" t="n">
        <v>0</v>
      </c>
      <c r="W223" s="57" t="n">
        <v>0</v>
      </c>
      <c r="X223" s="57" t="n">
        <v>14</v>
      </c>
      <c r="Y223" s="57" t="n">
        <v>0</v>
      </c>
      <c r="Z223" s="57" t="n">
        <v>14</v>
      </c>
      <c r="AA223" s="57" t="n">
        <v>14</v>
      </c>
      <c r="AB223" s="57" t="n">
        <v>0</v>
      </c>
      <c r="AC223" s="57" t="n">
        <v>0</v>
      </c>
      <c r="AD223" s="57" t="n">
        <v>8.2</v>
      </c>
      <c r="AE223" s="57" t="n">
        <v>5.8</v>
      </c>
      <c r="AF223" s="57" t="n">
        <v>0</v>
      </c>
      <c r="AG223" s="57" t="n">
        <v>0</v>
      </c>
      <c r="AH223" s="57" t="s">
        <v>239</v>
      </c>
      <c r="AI223" s="57"/>
      <c r="AJ223" s="57" t="n">
        <v>0</v>
      </c>
      <c r="AK223" s="57" t="s">
        <v>360</v>
      </c>
      <c r="AL223" s="57" t="s">
        <v>356</v>
      </c>
      <c r="AM223" s="57" t="n">
        <v>1</v>
      </c>
      <c r="AN223" s="57" t="s">
        <v>575</v>
      </c>
      <c r="AO223" s="57" t="str">
        <f aca="false">IF(C223="County",IF(AL223="Rest of county","Remainder of County","Settlements"),IF(D223="City Centre","City Centre","Rest of City"))</f>
        <v>Settlements</v>
      </c>
      <c r="AP223" s="57" t="str">
        <f aca="false">IF(LEFT(B223,13)="Council audit","Audit",IF(LEFT(B223,8)="Planning","Consent","Zoned"))</f>
        <v>Consent</v>
      </c>
      <c r="AQ223" s="57" t="n">
        <f aca="false">IF(N(K223)&gt;0,I223*Y223/K223,0)</f>
        <v>0</v>
      </c>
    </row>
    <row r="224" customFormat="false" ht="15" hidden="false" customHeight="false" outlineLevel="0" collapsed="false">
      <c r="A224" s="57" t="s">
        <v>909</v>
      </c>
      <c r="B224" s="57" t="s">
        <v>218</v>
      </c>
      <c r="C224" s="57" t="s">
        <v>220</v>
      </c>
      <c r="D224" s="57" t="s">
        <v>739</v>
      </c>
      <c r="E224" s="57" t="s">
        <v>910</v>
      </c>
      <c r="F224" s="57"/>
      <c r="G224" s="57"/>
      <c r="H224" s="57"/>
      <c r="I224" s="57" t="n">
        <v>0.395</v>
      </c>
      <c r="J224" s="57" t="n">
        <v>0.395</v>
      </c>
      <c r="K224" s="57"/>
      <c r="L224" s="57" t="s">
        <v>731</v>
      </c>
      <c r="M224" s="57"/>
      <c r="N224" s="57"/>
      <c r="O224" s="57"/>
      <c r="P224" s="57"/>
      <c r="Q224" s="57"/>
      <c r="R224" s="57" t="n">
        <v>0</v>
      </c>
      <c r="S224" s="57" t="n">
        <v>14</v>
      </c>
      <c r="T224" s="57" t="n">
        <v>0</v>
      </c>
      <c r="U224" s="57" t="n">
        <v>0</v>
      </c>
      <c r="V224" s="57" t="n">
        <v>0</v>
      </c>
      <c r="W224" s="57" t="n">
        <v>0</v>
      </c>
      <c r="X224" s="57" t="n">
        <v>14</v>
      </c>
      <c r="Y224" s="57" t="n">
        <v>0</v>
      </c>
      <c r="Z224" s="57" t="n">
        <v>14</v>
      </c>
      <c r="AA224" s="57" t="n">
        <v>14</v>
      </c>
      <c r="AB224" s="57" t="n">
        <v>3.3</v>
      </c>
      <c r="AC224" s="57" t="n">
        <v>10.7</v>
      </c>
      <c r="AD224" s="57" t="n">
        <v>0</v>
      </c>
      <c r="AE224" s="57" t="n">
        <v>0</v>
      </c>
      <c r="AF224" s="57" t="n">
        <v>0</v>
      </c>
      <c r="AG224" s="57" t="n">
        <v>0</v>
      </c>
      <c r="AH224" s="57" t="s">
        <v>239</v>
      </c>
      <c r="AI224" s="57"/>
      <c r="AJ224" s="57" t="n">
        <v>10</v>
      </c>
      <c r="AK224" s="57" t="s">
        <v>362</v>
      </c>
      <c r="AL224" s="57" t="s">
        <v>356</v>
      </c>
      <c r="AM224" s="57" t="n">
        <v>0.98</v>
      </c>
      <c r="AN224" s="57" t="s">
        <v>575</v>
      </c>
      <c r="AO224" s="57" t="str">
        <f aca="false">IF(C224="County",IF(AL224="Rest of county","Remainder of County","Settlements"),IF(D224="City Centre","City Centre","Rest of City"))</f>
        <v>Settlements</v>
      </c>
      <c r="AP224" s="57" t="str">
        <f aca="false">IF(LEFT(B224,13)="Council audit","Audit",IF(LEFT(B224,8)="Planning","Consent","Zoned"))</f>
        <v>Consent</v>
      </c>
      <c r="AQ224" s="57" t="n">
        <f aca="false">IF(N(K224)&gt;0,I224*Y224/K224,0)</f>
        <v>0</v>
      </c>
    </row>
    <row r="225" customFormat="false" ht="15" hidden="false" customHeight="false" outlineLevel="0" collapsed="false">
      <c r="A225" s="57" t="s">
        <v>911</v>
      </c>
      <c r="B225" s="57" t="s">
        <v>218</v>
      </c>
      <c r="C225" s="57" t="s">
        <v>216</v>
      </c>
      <c r="D225" s="57" t="s">
        <v>258</v>
      </c>
      <c r="E225" s="57" t="s">
        <v>912</v>
      </c>
      <c r="F225" s="57"/>
      <c r="G225" s="57"/>
      <c r="H225" s="57"/>
      <c r="I225" s="57" t="n">
        <v>0.048</v>
      </c>
      <c r="J225" s="57" t="n">
        <v>0.048</v>
      </c>
      <c r="K225" s="57"/>
      <c r="L225" s="57" t="s">
        <v>731</v>
      </c>
      <c r="M225" s="57"/>
      <c r="N225" s="57"/>
      <c r="O225" s="57"/>
      <c r="P225" s="57"/>
      <c r="Q225" s="57"/>
      <c r="R225" s="57" t="n">
        <v>0</v>
      </c>
      <c r="S225" s="57" t="n">
        <v>0</v>
      </c>
      <c r="T225" s="57" t="n">
        <v>14</v>
      </c>
      <c r="U225" s="57" t="n">
        <v>0</v>
      </c>
      <c r="V225" s="57" t="n">
        <v>0</v>
      </c>
      <c r="W225" s="57" t="n">
        <v>0</v>
      </c>
      <c r="X225" s="57" t="n">
        <v>14</v>
      </c>
      <c r="Y225" s="57" t="n">
        <v>0</v>
      </c>
      <c r="Z225" s="57" t="n">
        <v>14</v>
      </c>
      <c r="AA225" s="57" t="n">
        <v>14</v>
      </c>
      <c r="AB225" s="57" t="n">
        <v>0</v>
      </c>
      <c r="AC225" s="57" t="n">
        <v>0</v>
      </c>
      <c r="AD225" s="57" t="n">
        <v>8.2</v>
      </c>
      <c r="AE225" s="57" t="n">
        <v>5.8</v>
      </c>
      <c r="AF225" s="57" t="n">
        <v>0</v>
      </c>
      <c r="AG225" s="57" t="n">
        <v>0</v>
      </c>
      <c r="AH225" s="57" t="s">
        <v>239</v>
      </c>
      <c r="AI225" s="57"/>
      <c r="AJ225" s="57" t="n">
        <v>0</v>
      </c>
      <c r="AK225" s="57" t="s">
        <v>258</v>
      </c>
      <c r="AL225" s="57" t="s">
        <v>347</v>
      </c>
      <c r="AM225" s="57" t="n">
        <v>1</v>
      </c>
      <c r="AN225" s="57" t="s">
        <v>575</v>
      </c>
      <c r="AO225" s="57" t="str">
        <f aca="false">IF(C225="County",IF(AL225="Rest of county","Remainder of County","Settlements"),IF(D225="City Centre","City Centre","Rest of City"))</f>
        <v>City Centre</v>
      </c>
      <c r="AP225" s="57" t="str">
        <f aca="false">IF(LEFT(B225,13)="Council audit","Audit",IF(LEFT(B225,8)="Planning","Consent","Zoned"))</f>
        <v>Consent</v>
      </c>
      <c r="AQ225" s="57" t="n">
        <f aca="false">IF(N(K225)&gt;0,I225*Y225/K225,0)</f>
        <v>0</v>
      </c>
    </row>
    <row r="226" customFormat="false" ht="15" hidden="false" customHeight="false" outlineLevel="0" collapsed="false">
      <c r="A226" s="57" t="s">
        <v>913</v>
      </c>
      <c r="B226" s="57" t="s">
        <v>218</v>
      </c>
      <c r="C226" s="57" t="s">
        <v>216</v>
      </c>
      <c r="D226" s="57" t="s">
        <v>285</v>
      </c>
      <c r="E226" s="57" t="s">
        <v>914</v>
      </c>
      <c r="F226" s="57"/>
      <c r="G226" s="57"/>
      <c r="H226" s="57"/>
      <c r="I226" s="57" t="n">
        <v>0.81</v>
      </c>
      <c r="J226" s="57" t="n">
        <v>0.81</v>
      </c>
      <c r="K226" s="57"/>
      <c r="L226" s="57" t="s">
        <v>731</v>
      </c>
      <c r="M226" s="57"/>
      <c r="N226" s="57"/>
      <c r="O226" s="57"/>
      <c r="P226" s="57"/>
      <c r="Q226" s="57"/>
      <c r="R226" s="57" t="n">
        <v>0</v>
      </c>
      <c r="S226" s="57" t="n">
        <v>14</v>
      </c>
      <c r="T226" s="57" t="n">
        <v>0</v>
      </c>
      <c r="U226" s="57" t="n">
        <v>0</v>
      </c>
      <c r="V226" s="57" t="n">
        <v>0</v>
      </c>
      <c r="W226" s="57" t="n">
        <v>0</v>
      </c>
      <c r="X226" s="57" t="n">
        <v>14</v>
      </c>
      <c r="Y226" s="57" t="n">
        <v>0</v>
      </c>
      <c r="Z226" s="57" t="n">
        <v>14</v>
      </c>
      <c r="AA226" s="57" t="n">
        <v>14</v>
      </c>
      <c r="AB226" s="57" t="n">
        <v>3.3</v>
      </c>
      <c r="AC226" s="57" t="n">
        <v>10.7</v>
      </c>
      <c r="AD226" s="57" t="n">
        <v>0</v>
      </c>
      <c r="AE226" s="57" t="n">
        <v>0</v>
      </c>
      <c r="AF226" s="57" t="n">
        <v>0</v>
      </c>
      <c r="AG226" s="57" t="n">
        <v>0</v>
      </c>
      <c r="AH226" s="57" t="s">
        <v>239</v>
      </c>
      <c r="AI226" s="57"/>
      <c r="AJ226" s="57" t="n">
        <v>13</v>
      </c>
      <c r="AK226" s="57" t="s">
        <v>285</v>
      </c>
      <c r="AL226" s="57" t="s">
        <v>347</v>
      </c>
      <c r="AM226" s="57" t="n">
        <v>1</v>
      </c>
      <c r="AN226" s="57" t="s">
        <v>575</v>
      </c>
      <c r="AO226" s="57" t="str">
        <f aca="false">IF(C226="County",IF(AL226="Rest of county","Remainder of County","Settlements"),IF(D226="City Centre","City Centre","Rest of City"))</f>
        <v>Rest of City</v>
      </c>
      <c r="AP226" s="57" t="str">
        <f aca="false">IF(LEFT(B226,13)="Council audit","Audit",IF(LEFT(B226,8)="Planning","Consent","Zoned"))</f>
        <v>Consent</v>
      </c>
      <c r="AQ226" s="57" t="n">
        <f aca="false">IF(N(K226)&gt;0,I226*Y226/K226,0)</f>
        <v>0</v>
      </c>
    </row>
    <row r="227" customFormat="false" ht="15" hidden="false" customHeight="false" outlineLevel="0" collapsed="false">
      <c r="A227" s="57" t="s">
        <v>915</v>
      </c>
      <c r="B227" s="57" t="s">
        <v>218</v>
      </c>
      <c r="C227" s="57" t="s">
        <v>220</v>
      </c>
      <c r="D227" s="57" t="s">
        <v>739</v>
      </c>
      <c r="E227" s="57" t="s">
        <v>916</v>
      </c>
      <c r="F227" s="57"/>
      <c r="G227" s="57"/>
      <c r="H227" s="57"/>
      <c r="I227" s="57" t="n">
        <v>0.481</v>
      </c>
      <c r="J227" s="57" t="n">
        <v>0.481</v>
      </c>
      <c r="K227" s="57"/>
      <c r="L227" s="57" t="s">
        <v>731</v>
      </c>
      <c r="M227" s="57"/>
      <c r="N227" s="57"/>
      <c r="O227" s="57"/>
      <c r="P227" s="57"/>
      <c r="Q227" s="57"/>
      <c r="R227" s="57" t="n">
        <v>0</v>
      </c>
      <c r="S227" s="57" t="n">
        <v>0</v>
      </c>
      <c r="T227" s="57" t="n">
        <v>14</v>
      </c>
      <c r="U227" s="57" t="n">
        <v>0</v>
      </c>
      <c r="V227" s="57" t="n">
        <v>0</v>
      </c>
      <c r="W227" s="57" t="n">
        <v>0</v>
      </c>
      <c r="X227" s="57" t="n">
        <v>14</v>
      </c>
      <c r="Y227" s="57" t="n">
        <v>0</v>
      </c>
      <c r="Z227" s="57" t="n">
        <v>14</v>
      </c>
      <c r="AA227" s="57" t="n">
        <v>14</v>
      </c>
      <c r="AB227" s="57" t="n">
        <v>0</v>
      </c>
      <c r="AC227" s="57" t="n">
        <v>0</v>
      </c>
      <c r="AD227" s="57" t="n">
        <v>8.2</v>
      </c>
      <c r="AE227" s="57" t="n">
        <v>5.8</v>
      </c>
      <c r="AF227" s="57" t="n">
        <v>0</v>
      </c>
      <c r="AG227" s="57" t="n">
        <v>0</v>
      </c>
      <c r="AH227" s="57" t="s">
        <v>239</v>
      </c>
      <c r="AI227" s="57"/>
      <c r="AJ227" s="57" t="n">
        <v>0</v>
      </c>
      <c r="AK227" s="57" t="s">
        <v>348</v>
      </c>
      <c r="AL227" s="57" t="s">
        <v>349</v>
      </c>
      <c r="AM227" s="57" t="n">
        <v>1</v>
      </c>
      <c r="AN227" s="57" t="s">
        <v>575</v>
      </c>
      <c r="AO227" s="57" t="str">
        <f aca="false">IF(C227="County",IF(AL227="Rest of county","Remainder of County","Settlements"),IF(D227="City Centre","City Centre","Rest of City"))</f>
        <v>Settlements</v>
      </c>
      <c r="AP227" s="57" t="str">
        <f aca="false">IF(LEFT(B227,13)="Council audit","Audit",IF(LEFT(B227,8)="Planning","Consent","Zoned"))</f>
        <v>Consent</v>
      </c>
      <c r="AQ227" s="57" t="n">
        <f aca="false">IF(N(K227)&gt;0,I227*Y227/K227,0)</f>
        <v>0</v>
      </c>
    </row>
    <row r="228" customFormat="false" ht="15" hidden="false" customHeight="false" outlineLevel="0" collapsed="false">
      <c r="A228" s="57" t="s">
        <v>917</v>
      </c>
      <c r="B228" s="57" t="s">
        <v>218</v>
      </c>
      <c r="C228" s="57" t="s">
        <v>216</v>
      </c>
      <c r="D228" s="57" t="s">
        <v>287</v>
      </c>
      <c r="E228" s="57" t="s">
        <v>918</v>
      </c>
      <c r="F228" s="57"/>
      <c r="G228" s="57"/>
      <c r="H228" s="57"/>
      <c r="I228" s="57" t="n">
        <v>0.196</v>
      </c>
      <c r="J228" s="57" t="n">
        <v>0.196</v>
      </c>
      <c r="K228" s="57"/>
      <c r="L228" s="57" t="s">
        <v>731</v>
      </c>
      <c r="M228" s="57"/>
      <c r="N228" s="57"/>
      <c r="O228" s="57"/>
      <c r="P228" s="57"/>
      <c r="Q228" s="57"/>
      <c r="R228" s="57" t="n">
        <v>14</v>
      </c>
      <c r="S228" s="57" t="n">
        <v>0</v>
      </c>
      <c r="T228" s="57" t="n">
        <v>0</v>
      </c>
      <c r="U228" s="57" t="n">
        <v>0</v>
      </c>
      <c r="V228" s="57" t="n">
        <v>0</v>
      </c>
      <c r="W228" s="57" t="n">
        <v>0</v>
      </c>
      <c r="X228" s="57" t="n">
        <v>14</v>
      </c>
      <c r="Y228" s="57" t="n">
        <v>0</v>
      </c>
      <c r="Z228" s="57" t="n">
        <v>14</v>
      </c>
      <c r="AA228" s="57" t="n">
        <v>0</v>
      </c>
      <c r="AB228" s="57" t="n">
        <v>0</v>
      </c>
      <c r="AC228" s="57" t="n">
        <v>0</v>
      </c>
      <c r="AD228" s="57" t="n">
        <v>0</v>
      </c>
      <c r="AE228" s="57" t="n">
        <v>0</v>
      </c>
      <c r="AF228" s="57" t="n">
        <v>0</v>
      </c>
      <c r="AG228" s="57" t="n">
        <v>0</v>
      </c>
      <c r="AH228" s="57" t="s">
        <v>237</v>
      </c>
      <c r="AI228" s="57"/>
      <c r="AJ228" s="57" t="n">
        <v>3</v>
      </c>
      <c r="AK228" s="57" t="s">
        <v>287</v>
      </c>
      <c r="AL228" s="57" t="s">
        <v>347</v>
      </c>
      <c r="AM228" s="57" t="n">
        <v>1</v>
      </c>
      <c r="AN228" s="57" t="s">
        <v>575</v>
      </c>
      <c r="AO228" s="57" t="str">
        <f aca="false">IF(C228="County",IF(AL228="Rest of county","Remainder of County","Settlements"),IF(D228="City Centre","City Centre","Rest of City"))</f>
        <v>Rest of City</v>
      </c>
      <c r="AP228" s="57" t="str">
        <f aca="false">IF(LEFT(B228,13)="Council audit","Audit",IF(LEFT(B228,8)="Planning","Consent","Zoned"))</f>
        <v>Consent</v>
      </c>
      <c r="AQ228" s="57" t="n">
        <f aca="false">IF(N(K228)&gt;0,I228*Y228/K228,0)</f>
        <v>0</v>
      </c>
    </row>
    <row r="229" customFormat="false" ht="15" hidden="false" customHeight="false" outlineLevel="0" collapsed="false">
      <c r="A229" s="57" t="s">
        <v>919</v>
      </c>
      <c r="B229" s="57" t="s">
        <v>218</v>
      </c>
      <c r="C229" s="57" t="s">
        <v>216</v>
      </c>
      <c r="D229" s="57" t="s">
        <v>258</v>
      </c>
      <c r="E229" s="57" t="s">
        <v>908</v>
      </c>
      <c r="F229" s="57"/>
      <c r="G229" s="57"/>
      <c r="H229" s="57"/>
      <c r="I229" s="57" t="n">
        <v>0.085</v>
      </c>
      <c r="J229" s="57" t="n">
        <v>0.085</v>
      </c>
      <c r="K229" s="57"/>
      <c r="L229" s="57" t="s">
        <v>731</v>
      </c>
      <c r="M229" s="57"/>
      <c r="N229" s="57"/>
      <c r="O229" s="57"/>
      <c r="P229" s="57"/>
      <c r="Q229" s="57"/>
      <c r="R229" s="57" t="n">
        <v>14</v>
      </c>
      <c r="S229" s="57" t="n">
        <v>0</v>
      </c>
      <c r="T229" s="57" t="n">
        <v>0</v>
      </c>
      <c r="U229" s="57" t="n">
        <v>0</v>
      </c>
      <c r="V229" s="57" t="n">
        <v>0</v>
      </c>
      <c r="W229" s="57" t="n">
        <v>0</v>
      </c>
      <c r="X229" s="57" t="n">
        <v>14</v>
      </c>
      <c r="Y229" s="57" t="n">
        <v>0</v>
      </c>
      <c r="Z229" s="57" t="n">
        <v>14</v>
      </c>
      <c r="AA229" s="57" t="n">
        <v>0</v>
      </c>
      <c r="AB229" s="57" t="n">
        <v>0</v>
      </c>
      <c r="AC229" s="57" t="n">
        <v>0</v>
      </c>
      <c r="AD229" s="57" t="n">
        <v>0</v>
      </c>
      <c r="AE229" s="57" t="n">
        <v>0</v>
      </c>
      <c r="AF229" s="57" t="n">
        <v>0</v>
      </c>
      <c r="AG229" s="57" t="n">
        <v>0</v>
      </c>
      <c r="AH229" s="57" t="s">
        <v>237</v>
      </c>
      <c r="AI229" s="57"/>
      <c r="AJ229" s="57" t="n">
        <v>0</v>
      </c>
      <c r="AK229" s="57" t="s">
        <v>258</v>
      </c>
      <c r="AL229" s="57" t="s">
        <v>347</v>
      </c>
      <c r="AM229" s="57" t="n">
        <v>1</v>
      </c>
      <c r="AN229" s="57" t="s">
        <v>575</v>
      </c>
      <c r="AO229" s="57" t="str">
        <f aca="false">IF(C229="County",IF(AL229="Rest of county","Remainder of County","Settlements"),IF(D229="City Centre","City Centre","Rest of City"))</f>
        <v>City Centre</v>
      </c>
      <c r="AP229" s="57" t="str">
        <f aca="false">IF(LEFT(B229,13)="Council audit","Audit",IF(LEFT(B229,8)="Planning","Consent","Zoned"))</f>
        <v>Consent</v>
      </c>
      <c r="AQ229" s="57" t="n">
        <f aca="false">IF(N(K229)&gt;0,I229*Y229/K229,0)</f>
        <v>0</v>
      </c>
    </row>
    <row r="230" customFormat="false" ht="15" hidden="false" customHeight="false" outlineLevel="0" collapsed="false">
      <c r="A230" s="57" t="s">
        <v>920</v>
      </c>
      <c r="B230" s="57" t="s">
        <v>218</v>
      </c>
      <c r="C230" s="57" t="s">
        <v>220</v>
      </c>
      <c r="D230" s="57" t="s">
        <v>739</v>
      </c>
      <c r="E230" s="57" t="s">
        <v>921</v>
      </c>
      <c r="F230" s="57"/>
      <c r="G230" s="57"/>
      <c r="H230" s="57"/>
      <c r="I230" s="57" t="n">
        <v>0.313</v>
      </c>
      <c r="J230" s="57" t="n">
        <v>0.313</v>
      </c>
      <c r="K230" s="57"/>
      <c r="L230" s="57" t="s">
        <v>731</v>
      </c>
      <c r="M230" s="57"/>
      <c r="N230" s="57"/>
      <c r="O230" s="57"/>
      <c r="P230" s="57"/>
      <c r="Q230" s="57"/>
      <c r="R230" s="57" t="n">
        <v>0</v>
      </c>
      <c r="S230" s="57" t="n">
        <v>0</v>
      </c>
      <c r="T230" s="57" t="n">
        <v>14</v>
      </c>
      <c r="U230" s="57" t="n">
        <v>0</v>
      </c>
      <c r="V230" s="57" t="n">
        <v>0</v>
      </c>
      <c r="W230" s="57" t="n">
        <v>0</v>
      </c>
      <c r="X230" s="57" t="n">
        <v>14</v>
      </c>
      <c r="Y230" s="57" t="n">
        <v>0</v>
      </c>
      <c r="Z230" s="57" t="n">
        <v>14</v>
      </c>
      <c r="AA230" s="57" t="n">
        <v>14</v>
      </c>
      <c r="AB230" s="57" t="n">
        <v>0</v>
      </c>
      <c r="AC230" s="57" t="n">
        <v>0</v>
      </c>
      <c r="AD230" s="57" t="n">
        <v>8.2</v>
      </c>
      <c r="AE230" s="57" t="n">
        <v>5.8</v>
      </c>
      <c r="AF230" s="57" t="n">
        <v>0</v>
      </c>
      <c r="AG230" s="57" t="n">
        <v>0</v>
      </c>
      <c r="AH230" s="57" t="s">
        <v>239</v>
      </c>
      <c r="AI230" s="57"/>
      <c r="AJ230" s="57" t="n">
        <v>0</v>
      </c>
      <c r="AK230" s="57" t="s">
        <v>360</v>
      </c>
      <c r="AL230" s="57" t="s">
        <v>356</v>
      </c>
      <c r="AM230" s="57" t="n">
        <v>1</v>
      </c>
      <c r="AN230" s="57" t="s">
        <v>575</v>
      </c>
      <c r="AO230" s="57" t="str">
        <f aca="false">IF(C230="County",IF(AL230="Rest of county","Remainder of County","Settlements"),IF(D230="City Centre","City Centre","Rest of City"))</f>
        <v>Settlements</v>
      </c>
      <c r="AP230" s="57" t="str">
        <f aca="false">IF(LEFT(B230,13)="Council audit","Audit",IF(LEFT(B230,8)="Planning","Consent","Zoned"))</f>
        <v>Consent</v>
      </c>
      <c r="AQ230" s="57" t="n">
        <f aca="false">IF(N(K230)&gt;0,I230*Y230/K230,0)</f>
        <v>0</v>
      </c>
    </row>
    <row r="231" customFormat="false" ht="15" hidden="false" customHeight="false" outlineLevel="0" collapsed="false">
      <c r="A231" s="57" t="s">
        <v>922</v>
      </c>
      <c r="B231" s="57" t="s">
        <v>218</v>
      </c>
      <c r="C231" s="57" t="s">
        <v>220</v>
      </c>
      <c r="D231" s="57" t="s">
        <v>739</v>
      </c>
      <c r="E231" s="57" t="s">
        <v>923</v>
      </c>
      <c r="F231" s="57"/>
      <c r="G231" s="57"/>
      <c r="H231" s="57"/>
      <c r="I231" s="57" t="n">
        <v>0.372</v>
      </c>
      <c r="J231" s="57" t="n">
        <v>0.372</v>
      </c>
      <c r="K231" s="57"/>
      <c r="L231" s="57" t="s">
        <v>731</v>
      </c>
      <c r="M231" s="57"/>
      <c r="N231" s="57"/>
      <c r="O231" s="57"/>
      <c r="P231" s="57"/>
      <c r="Q231" s="57"/>
      <c r="R231" s="57" t="n">
        <v>13</v>
      </c>
      <c r="S231" s="57" t="n">
        <v>0</v>
      </c>
      <c r="T231" s="57" t="n">
        <v>0</v>
      </c>
      <c r="U231" s="57" t="n">
        <v>0</v>
      </c>
      <c r="V231" s="57" t="n">
        <v>0</v>
      </c>
      <c r="W231" s="57" t="n">
        <v>0</v>
      </c>
      <c r="X231" s="57" t="n">
        <v>13</v>
      </c>
      <c r="Y231" s="57" t="n">
        <v>0</v>
      </c>
      <c r="Z231" s="57" t="n">
        <v>13</v>
      </c>
      <c r="AA231" s="57" t="n">
        <v>0</v>
      </c>
      <c r="AB231" s="57" t="n">
        <v>0</v>
      </c>
      <c r="AC231" s="57" t="n">
        <v>0</v>
      </c>
      <c r="AD231" s="57" t="n">
        <v>0</v>
      </c>
      <c r="AE231" s="57" t="n">
        <v>0</v>
      </c>
      <c r="AF231" s="57" t="n">
        <v>0</v>
      </c>
      <c r="AG231" s="57" t="n">
        <v>0</v>
      </c>
      <c r="AH231" s="57" t="s">
        <v>237</v>
      </c>
      <c r="AI231" s="57"/>
      <c r="AJ231" s="57" t="n">
        <v>13</v>
      </c>
      <c r="AK231" s="57" t="s">
        <v>353</v>
      </c>
      <c r="AL231" s="57" t="s">
        <v>349</v>
      </c>
      <c r="AM231" s="57" t="n">
        <v>0.93</v>
      </c>
      <c r="AN231" s="57" t="s">
        <v>575</v>
      </c>
      <c r="AO231" s="57" t="str">
        <f aca="false">IF(C231="County",IF(AL231="Rest of county","Remainder of County","Settlements"),IF(D231="City Centre","City Centre","Rest of City"))</f>
        <v>Settlements</v>
      </c>
      <c r="AP231" s="57" t="str">
        <f aca="false">IF(LEFT(B231,13)="Council audit","Audit",IF(LEFT(B231,8)="Planning","Consent","Zoned"))</f>
        <v>Consent</v>
      </c>
      <c r="AQ231" s="57" t="n">
        <f aca="false">IF(N(K231)&gt;0,I231*Y231/K231,0)</f>
        <v>0</v>
      </c>
    </row>
    <row r="232" customFormat="false" ht="15" hidden="false" customHeight="false" outlineLevel="0" collapsed="false">
      <c r="A232" s="57" t="s">
        <v>924</v>
      </c>
      <c r="B232" s="57" t="s">
        <v>218</v>
      </c>
      <c r="C232" s="57" t="s">
        <v>216</v>
      </c>
      <c r="D232" s="57" t="s">
        <v>258</v>
      </c>
      <c r="E232" s="57" t="s">
        <v>925</v>
      </c>
      <c r="F232" s="57"/>
      <c r="G232" s="57"/>
      <c r="H232" s="57"/>
      <c r="I232" s="57" t="n">
        <v>0.054</v>
      </c>
      <c r="J232" s="57" t="n">
        <v>0.054</v>
      </c>
      <c r="K232" s="57"/>
      <c r="L232" s="57" t="s">
        <v>731</v>
      </c>
      <c r="M232" s="57"/>
      <c r="N232" s="57"/>
      <c r="O232" s="57"/>
      <c r="P232" s="57"/>
      <c r="Q232" s="57"/>
      <c r="R232" s="57" t="n">
        <v>0</v>
      </c>
      <c r="S232" s="57" t="n">
        <v>13</v>
      </c>
      <c r="T232" s="57" t="n">
        <v>0</v>
      </c>
      <c r="U232" s="57" t="n">
        <v>0</v>
      </c>
      <c r="V232" s="57" t="n">
        <v>0</v>
      </c>
      <c r="W232" s="57" t="n">
        <v>0</v>
      </c>
      <c r="X232" s="57" t="n">
        <v>13</v>
      </c>
      <c r="Y232" s="57" t="n">
        <v>0</v>
      </c>
      <c r="Z232" s="57" t="n">
        <v>13</v>
      </c>
      <c r="AA232" s="57" t="n">
        <v>13</v>
      </c>
      <c r="AB232" s="57" t="n">
        <v>0</v>
      </c>
      <c r="AC232" s="57" t="n">
        <v>13</v>
      </c>
      <c r="AD232" s="57" t="n">
        <v>0</v>
      </c>
      <c r="AE232" s="57" t="n">
        <v>0</v>
      </c>
      <c r="AF232" s="57" t="n">
        <v>0</v>
      </c>
      <c r="AG232" s="57" t="n">
        <v>0</v>
      </c>
      <c r="AH232" s="57" t="s">
        <v>239</v>
      </c>
      <c r="AI232" s="57"/>
      <c r="AJ232" s="57" t="n">
        <v>0</v>
      </c>
      <c r="AK232" s="57" t="s">
        <v>258</v>
      </c>
      <c r="AL232" s="57" t="s">
        <v>347</v>
      </c>
      <c r="AM232" s="57" t="n">
        <v>1</v>
      </c>
      <c r="AN232" s="57" t="s">
        <v>575</v>
      </c>
      <c r="AO232" s="57" t="str">
        <f aca="false">IF(C232="County",IF(AL232="Rest of county","Remainder of County","Settlements"),IF(D232="City Centre","City Centre","Rest of City"))</f>
        <v>City Centre</v>
      </c>
      <c r="AP232" s="57" t="str">
        <f aca="false">IF(LEFT(B232,13)="Council audit","Audit",IF(LEFT(B232,8)="Planning","Consent","Zoned"))</f>
        <v>Consent</v>
      </c>
      <c r="AQ232" s="57" t="n">
        <f aca="false">IF(N(K232)&gt;0,I232*Y232/K232,0)</f>
        <v>0</v>
      </c>
    </row>
    <row r="233" customFormat="false" ht="15" hidden="false" customHeight="false" outlineLevel="0" collapsed="false">
      <c r="A233" s="57" t="s">
        <v>926</v>
      </c>
      <c r="B233" s="57" t="s">
        <v>218</v>
      </c>
      <c r="C233" s="57" t="s">
        <v>216</v>
      </c>
      <c r="D233" s="57" t="s">
        <v>258</v>
      </c>
      <c r="E233" s="57" t="s">
        <v>927</v>
      </c>
      <c r="F233" s="57"/>
      <c r="G233" s="57"/>
      <c r="H233" s="57"/>
      <c r="I233" s="57" t="n">
        <v>0.196</v>
      </c>
      <c r="J233" s="57" t="n">
        <v>0.196</v>
      </c>
      <c r="K233" s="57"/>
      <c r="L233" s="57" t="s">
        <v>731</v>
      </c>
      <c r="M233" s="57"/>
      <c r="N233" s="57"/>
      <c r="O233" s="57"/>
      <c r="P233" s="57"/>
      <c r="Q233" s="57"/>
      <c r="R233" s="57" t="n">
        <v>0</v>
      </c>
      <c r="S233" s="57" t="n">
        <v>0</v>
      </c>
      <c r="T233" s="57" t="n">
        <v>0</v>
      </c>
      <c r="U233" s="57" t="n">
        <v>0</v>
      </c>
      <c r="V233" s="57" t="n">
        <v>0</v>
      </c>
      <c r="W233" s="57" t="n">
        <v>13</v>
      </c>
      <c r="X233" s="57" t="n">
        <v>0</v>
      </c>
      <c r="Y233" s="57" t="n">
        <v>0</v>
      </c>
      <c r="Z233" s="57" t="n">
        <v>0</v>
      </c>
      <c r="AA233" s="57" t="n">
        <v>0</v>
      </c>
      <c r="AB233" s="57" t="n">
        <v>0</v>
      </c>
      <c r="AC233" s="57" t="n">
        <v>0</v>
      </c>
      <c r="AD233" s="57" t="n">
        <v>0</v>
      </c>
      <c r="AE233" s="57" t="n">
        <v>0</v>
      </c>
      <c r="AF233" s="57" t="n">
        <v>0</v>
      </c>
      <c r="AG233" s="57" t="n">
        <v>0</v>
      </c>
      <c r="AH233" s="57" t="s">
        <v>240</v>
      </c>
      <c r="AI233" s="57"/>
      <c r="AJ233" s="57" t="n">
        <v>0</v>
      </c>
      <c r="AK233" s="57" t="s">
        <v>258</v>
      </c>
      <c r="AL233" s="57" t="s">
        <v>347</v>
      </c>
      <c r="AM233" s="57" t="n">
        <v>0.91</v>
      </c>
      <c r="AN233" s="57" t="s">
        <v>575</v>
      </c>
      <c r="AO233" s="57" t="str">
        <f aca="false">IF(C233="County",IF(AL233="Rest of county","Remainder of County","Settlements"),IF(D233="City Centre","City Centre","Rest of City"))</f>
        <v>City Centre</v>
      </c>
      <c r="AP233" s="57" t="str">
        <f aca="false">IF(LEFT(B233,13)="Council audit","Audit",IF(LEFT(B233,8)="Planning","Consent","Zoned"))</f>
        <v>Consent</v>
      </c>
      <c r="AQ233" s="57" t="n">
        <f aca="false">IF(N(K233)&gt;0,I233*Y233/K233,0)</f>
        <v>0</v>
      </c>
    </row>
    <row r="234" customFormat="false" ht="15" hidden="false" customHeight="false" outlineLevel="0" collapsed="false">
      <c r="A234" s="57" t="s">
        <v>928</v>
      </c>
      <c r="B234" s="57" t="s">
        <v>218</v>
      </c>
      <c r="C234" s="57" t="s">
        <v>216</v>
      </c>
      <c r="D234" s="57" t="s">
        <v>258</v>
      </c>
      <c r="E234" s="57" t="s">
        <v>929</v>
      </c>
      <c r="F234" s="57"/>
      <c r="G234" s="57"/>
      <c r="H234" s="57"/>
      <c r="I234" s="57" t="n">
        <v>0.196</v>
      </c>
      <c r="J234" s="57" t="n">
        <v>0.196</v>
      </c>
      <c r="K234" s="57"/>
      <c r="L234" s="57" t="s">
        <v>731</v>
      </c>
      <c r="M234" s="57"/>
      <c r="N234" s="57"/>
      <c r="O234" s="57"/>
      <c r="P234" s="57"/>
      <c r="Q234" s="57"/>
      <c r="R234" s="57" t="n">
        <v>0</v>
      </c>
      <c r="S234" s="57" t="n">
        <v>0</v>
      </c>
      <c r="T234" s="57" t="n">
        <v>0</v>
      </c>
      <c r="U234" s="57" t="n">
        <v>0</v>
      </c>
      <c r="V234" s="57" t="n">
        <v>0</v>
      </c>
      <c r="W234" s="57" t="n">
        <v>13</v>
      </c>
      <c r="X234" s="57" t="n">
        <v>0</v>
      </c>
      <c r="Y234" s="57" t="n">
        <v>0</v>
      </c>
      <c r="Z234" s="57" t="n">
        <v>0</v>
      </c>
      <c r="AA234" s="57" t="n">
        <v>0</v>
      </c>
      <c r="AB234" s="57" t="n">
        <v>0</v>
      </c>
      <c r="AC234" s="57" t="n">
        <v>0</v>
      </c>
      <c r="AD234" s="57" t="n">
        <v>0</v>
      </c>
      <c r="AE234" s="57" t="n">
        <v>0</v>
      </c>
      <c r="AF234" s="57" t="n">
        <v>0</v>
      </c>
      <c r="AG234" s="57" t="n">
        <v>0</v>
      </c>
      <c r="AH234" s="57" t="s">
        <v>240</v>
      </c>
      <c r="AI234" s="57"/>
      <c r="AJ234" s="57" t="n">
        <v>0</v>
      </c>
      <c r="AK234" s="57" t="s">
        <v>258</v>
      </c>
      <c r="AL234" s="57" t="s">
        <v>347</v>
      </c>
      <c r="AM234" s="57" t="n">
        <v>1</v>
      </c>
      <c r="AN234" s="57" t="s">
        <v>575</v>
      </c>
      <c r="AO234" s="57" t="str">
        <f aca="false">IF(C234="County",IF(AL234="Rest of county","Remainder of County","Settlements"),IF(D234="City Centre","City Centre","Rest of City"))</f>
        <v>City Centre</v>
      </c>
      <c r="AP234" s="57" t="str">
        <f aca="false">IF(LEFT(B234,13)="Council audit","Audit",IF(LEFT(B234,8)="Planning","Consent","Zoned"))</f>
        <v>Consent</v>
      </c>
      <c r="AQ234" s="57" t="n">
        <f aca="false">IF(N(K234)&gt;0,I234*Y234/K234,0)</f>
        <v>0</v>
      </c>
    </row>
    <row r="235" customFormat="false" ht="15" hidden="false" customHeight="false" outlineLevel="0" collapsed="false">
      <c r="A235" s="57" t="s">
        <v>930</v>
      </c>
      <c r="B235" s="57" t="s">
        <v>218</v>
      </c>
      <c r="C235" s="57" t="s">
        <v>216</v>
      </c>
      <c r="D235" s="57" t="s">
        <v>258</v>
      </c>
      <c r="E235" s="57" t="s">
        <v>931</v>
      </c>
      <c r="F235" s="57"/>
      <c r="G235" s="57"/>
      <c r="H235" s="57"/>
      <c r="I235" s="57" t="n">
        <v>0.286</v>
      </c>
      <c r="J235" s="57" t="n">
        <v>0.286</v>
      </c>
      <c r="K235" s="57"/>
      <c r="L235" s="57" t="s">
        <v>731</v>
      </c>
      <c r="M235" s="57"/>
      <c r="N235" s="57"/>
      <c r="O235" s="57"/>
      <c r="P235" s="57"/>
      <c r="Q235" s="57"/>
      <c r="R235" s="57" t="n">
        <v>13</v>
      </c>
      <c r="S235" s="57" t="n">
        <v>0</v>
      </c>
      <c r="T235" s="57" t="n">
        <v>0</v>
      </c>
      <c r="U235" s="57" t="n">
        <v>0</v>
      </c>
      <c r="V235" s="57" t="n">
        <v>0</v>
      </c>
      <c r="W235" s="57" t="n">
        <v>0</v>
      </c>
      <c r="X235" s="57" t="n">
        <v>13</v>
      </c>
      <c r="Y235" s="57" t="n">
        <v>0</v>
      </c>
      <c r="Z235" s="57" t="n">
        <v>13</v>
      </c>
      <c r="AA235" s="57" t="n">
        <v>0</v>
      </c>
      <c r="AB235" s="57" t="n">
        <v>0</v>
      </c>
      <c r="AC235" s="57" t="n">
        <v>0</v>
      </c>
      <c r="AD235" s="57" t="n">
        <v>0</v>
      </c>
      <c r="AE235" s="57" t="n">
        <v>0</v>
      </c>
      <c r="AF235" s="57" t="n">
        <v>0</v>
      </c>
      <c r="AG235" s="57" t="n">
        <v>0</v>
      </c>
      <c r="AH235" s="57" t="s">
        <v>237</v>
      </c>
      <c r="AI235" s="57"/>
      <c r="AJ235" s="57" t="n">
        <v>13</v>
      </c>
      <c r="AK235" s="57" t="s">
        <v>258</v>
      </c>
      <c r="AL235" s="57" t="s">
        <v>347</v>
      </c>
      <c r="AM235" s="57" t="n">
        <v>1</v>
      </c>
      <c r="AN235" s="57" t="s">
        <v>575</v>
      </c>
      <c r="AO235" s="57" t="str">
        <f aca="false">IF(C235="County",IF(AL235="Rest of county","Remainder of County","Settlements"),IF(D235="City Centre","City Centre","Rest of City"))</f>
        <v>City Centre</v>
      </c>
      <c r="AP235" s="57" t="str">
        <f aca="false">IF(LEFT(B235,13)="Council audit","Audit",IF(LEFT(B235,8)="Planning","Consent","Zoned"))</f>
        <v>Consent</v>
      </c>
      <c r="AQ235" s="57" t="n">
        <f aca="false">IF(N(K235)&gt;0,I235*Y235/K235,0)</f>
        <v>0</v>
      </c>
    </row>
    <row r="236" customFormat="false" ht="15" hidden="false" customHeight="false" outlineLevel="0" collapsed="false">
      <c r="A236" s="57" t="s">
        <v>932</v>
      </c>
      <c r="B236" s="57" t="s">
        <v>218</v>
      </c>
      <c r="C236" s="57" t="s">
        <v>220</v>
      </c>
      <c r="D236" s="57" t="s">
        <v>739</v>
      </c>
      <c r="E236" s="57" t="s">
        <v>933</v>
      </c>
      <c r="F236" s="57"/>
      <c r="G236" s="57"/>
      <c r="H236" s="57"/>
      <c r="I236" s="57" t="n">
        <v>0.861</v>
      </c>
      <c r="J236" s="57" t="n">
        <v>0.861</v>
      </c>
      <c r="K236" s="57"/>
      <c r="L236" s="57" t="s">
        <v>731</v>
      </c>
      <c r="M236" s="57"/>
      <c r="N236" s="57"/>
      <c r="O236" s="57"/>
      <c r="P236" s="57"/>
      <c r="Q236" s="57"/>
      <c r="R236" s="57" t="n">
        <v>0</v>
      </c>
      <c r="S236" s="57" t="n">
        <v>0</v>
      </c>
      <c r="T236" s="57" t="n">
        <v>12</v>
      </c>
      <c r="U236" s="57" t="n">
        <v>0</v>
      </c>
      <c r="V236" s="57" t="n">
        <v>0</v>
      </c>
      <c r="W236" s="57" t="n">
        <v>0</v>
      </c>
      <c r="X236" s="57" t="n">
        <v>12</v>
      </c>
      <c r="Y236" s="57" t="n">
        <v>0</v>
      </c>
      <c r="Z236" s="57" t="n">
        <v>12</v>
      </c>
      <c r="AA236" s="57" t="n">
        <v>12</v>
      </c>
      <c r="AB236" s="57" t="n">
        <v>0</v>
      </c>
      <c r="AC236" s="57" t="n">
        <v>0</v>
      </c>
      <c r="AD236" s="57" t="n">
        <v>7</v>
      </c>
      <c r="AE236" s="57" t="n">
        <v>5</v>
      </c>
      <c r="AF236" s="57" t="n">
        <v>0</v>
      </c>
      <c r="AG236" s="57" t="n">
        <v>0</v>
      </c>
      <c r="AH236" s="57" t="s">
        <v>239</v>
      </c>
      <c r="AI236" s="57"/>
      <c r="AJ236" s="57" t="n">
        <v>0</v>
      </c>
      <c r="AK236" s="57" t="s">
        <v>365</v>
      </c>
      <c r="AL236" s="57" t="s">
        <v>365</v>
      </c>
      <c r="AM236" s="57"/>
      <c r="AN236" s="57" t="s">
        <v>365</v>
      </c>
      <c r="AO236" s="57" t="str">
        <f aca="false">IF(C236="County",IF(AL236="Rest of county","Remainder of County","Settlements"),IF(D236="City Centre","City Centre","Rest of City"))</f>
        <v>Remainder of County</v>
      </c>
      <c r="AP236" s="57" t="str">
        <f aca="false">IF(LEFT(B236,13)="Council audit","Audit",IF(LEFT(B236,8)="Planning","Consent","Zoned"))</f>
        <v>Consent</v>
      </c>
      <c r="AQ236" s="57" t="n">
        <f aca="false">IF(N(K236)&gt;0,I236*Y236/K236,0)</f>
        <v>0</v>
      </c>
    </row>
    <row r="237" customFormat="false" ht="15" hidden="false" customHeight="false" outlineLevel="0" collapsed="false">
      <c r="A237" s="57" t="s">
        <v>934</v>
      </c>
      <c r="B237" s="57" t="s">
        <v>218</v>
      </c>
      <c r="C237" s="57" t="s">
        <v>216</v>
      </c>
      <c r="D237" s="57" t="s">
        <v>285</v>
      </c>
      <c r="E237" s="57" t="s">
        <v>935</v>
      </c>
      <c r="F237" s="57"/>
      <c r="G237" s="57"/>
      <c r="H237" s="57"/>
      <c r="I237" s="57" t="n">
        <v>0.33</v>
      </c>
      <c r="J237" s="57" t="n">
        <v>0.33</v>
      </c>
      <c r="K237" s="57"/>
      <c r="L237" s="57" t="s">
        <v>731</v>
      </c>
      <c r="M237" s="57"/>
      <c r="N237" s="57"/>
      <c r="O237" s="57"/>
      <c r="P237" s="57"/>
      <c r="Q237" s="57"/>
      <c r="R237" s="57" t="n">
        <v>12</v>
      </c>
      <c r="S237" s="57" t="n">
        <v>0</v>
      </c>
      <c r="T237" s="57" t="n">
        <v>0</v>
      </c>
      <c r="U237" s="57" t="n">
        <v>0</v>
      </c>
      <c r="V237" s="57" t="n">
        <v>0</v>
      </c>
      <c r="W237" s="57" t="n">
        <v>0</v>
      </c>
      <c r="X237" s="57" t="n">
        <v>12</v>
      </c>
      <c r="Y237" s="57" t="n">
        <v>0</v>
      </c>
      <c r="Z237" s="57" t="n">
        <v>12</v>
      </c>
      <c r="AA237" s="57" t="n">
        <v>0</v>
      </c>
      <c r="AB237" s="57" t="n">
        <v>0</v>
      </c>
      <c r="AC237" s="57" t="n">
        <v>0</v>
      </c>
      <c r="AD237" s="57" t="n">
        <v>0</v>
      </c>
      <c r="AE237" s="57" t="n">
        <v>0</v>
      </c>
      <c r="AF237" s="57" t="n">
        <v>0</v>
      </c>
      <c r="AG237" s="57" t="n">
        <v>0</v>
      </c>
      <c r="AH237" s="57" t="s">
        <v>237</v>
      </c>
      <c r="AI237" s="57"/>
      <c r="AJ237" s="57" t="n">
        <v>12</v>
      </c>
      <c r="AK237" s="57" t="s">
        <v>285</v>
      </c>
      <c r="AL237" s="57" t="s">
        <v>347</v>
      </c>
      <c r="AM237" s="57" t="n">
        <v>1</v>
      </c>
      <c r="AN237" s="57" t="s">
        <v>575</v>
      </c>
      <c r="AO237" s="57" t="str">
        <f aca="false">IF(C237="County",IF(AL237="Rest of county","Remainder of County","Settlements"),IF(D237="City Centre","City Centre","Rest of City"))</f>
        <v>Rest of City</v>
      </c>
      <c r="AP237" s="57" t="str">
        <f aca="false">IF(LEFT(B237,13)="Council audit","Audit",IF(LEFT(B237,8)="Planning","Consent","Zoned"))</f>
        <v>Consent</v>
      </c>
      <c r="AQ237" s="57" t="n">
        <f aca="false">IF(N(K237)&gt;0,I237*Y237/K237,0)</f>
        <v>0</v>
      </c>
    </row>
    <row r="238" customFormat="false" ht="15" hidden="false" customHeight="false" outlineLevel="0" collapsed="false">
      <c r="A238" s="57" t="s">
        <v>936</v>
      </c>
      <c r="B238" s="57" t="s">
        <v>218</v>
      </c>
      <c r="C238" s="57" t="s">
        <v>216</v>
      </c>
      <c r="D238" s="57" t="s">
        <v>287</v>
      </c>
      <c r="E238" s="57" t="s">
        <v>937</v>
      </c>
      <c r="F238" s="57"/>
      <c r="G238" s="57"/>
      <c r="H238" s="57"/>
      <c r="I238" s="57" t="n">
        <v>0.522</v>
      </c>
      <c r="J238" s="57" t="n">
        <v>0.522</v>
      </c>
      <c r="K238" s="57"/>
      <c r="L238" s="57" t="s">
        <v>731</v>
      </c>
      <c r="M238" s="57"/>
      <c r="N238" s="57"/>
      <c r="O238" s="57"/>
      <c r="P238" s="57"/>
      <c r="Q238" s="57"/>
      <c r="R238" s="57" t="n">
        <v>0</v>
      </c>
      <c r="S238" s="57" t="n">
        <v>12</v>
      </c>
      <c r="T238" s="57" t="n">
        <v>0</v>
      </c>
      <c r="U238" s="57" t="n">
        <v>0</v>
      </c>
      <c r="V238" s="57" t="n">
        <v>0</v>
      </c>
      <c r="W238" s="57" t="n">
        <v>0</v>
      </c>
      <c r="X238" s="57" t="n">
        <v>12</v>
      </c>
      <c r="Y238" s="57" t="n">
        <v>0</v>
      </c>
      <c r="Z238" s="57" t="n">
        <v>12</v>
      </c>
      <c r="AA238" s="57" t="n">
        <v>12</v>
      </c>
      <c r="AB238" s="57" t="n">
        <v>2.8</v>
      </c>
      <c r="AC238" s="57" t="n">
        <v>9.2</v>
      </c>
      <c r="AD238" s="57" t="n">
        <v>0</v>
      </c>
      <c r="AE238" s="57" t="n">
        <v>0</v>
      </c>
      <c r="AF238" s="57" t="n">
        <v>0</v>
      </c>
      <c r="AG238" s="57" t="n">
        <v>0</v>
      </c>
      <c r="AH238" s="57" t="s">
        <v>239</v>
      </c>
      <c r="AI238" s="57"/>
      <c r="AJ238" s="57" t="n">
        <v>10</v>
      </c>
      <c r="AK238" s="57" t="s">
        <v>287</v>
      </c>
      <c r="AL238" s="57" t="s">
        <v>347</v>
      </c>
      <c r="AM238" s="57" t="n">
        <v>1</v>
      </c>
      <c r="AN238" s="57" t="s">
        <v>575</v>
      </c>
      <c r="AO238" s="57" t="str">
        <f aca="false">IF(C238="County",IF(AL238="Rest of county","Remainder of County","Settlements"),IF(D238="City Centre","City Centre","Rest of City"))</f>
        <v>Rest of City</v>
      </c>
      <c r="AP238" s="57" t="str">
        <f aca="false">IF(LEFT(B238,13)="Council audit","Audit",IF(LEFT(B238,8)="Planning","Consent","Zoned"))</f>
        <v>Consent</v>
      </c>
      <c r="AQ238" s="57" t="n">
        <f aca="false">IF(N(K238)&gt;0,I238*Y238/K238,0)</f>
        <v>0</v>
      </c>
    </row>
    <row r="239" customFormat="false" ht="15" hidden="false" customHeight="false" outlineLevel="0" collapsed="false">
      <c r="A239" s="57" t="s">
        <v>938</v>
      </c>
      <c r="B239" s="57" t="s">
        <v>218</v>
      </c>
      <c r="C239" s="57" t="s">
        <v>216</v>
      </c>
      <c r="D239" s="57" t="s">
        <v>285</v>
      </c>
      <c r="E239" s="57" t="s">
        <v>939</v>
      </c>
      <c r="F239" s="57"/>
      <c r="G239" s="57"/>
      <c r="H239" s="57"/>
      <c r="I239" s="57" t="n">
        <v>1.262</v>
      </c>
      <c r="J239" s="57" t="n">
        <v>1.262</v>
      </c>
      <c r="K239" s="57"/>
      <c r="L239" s="57" t="s">
        <v>731</v>
      </c>
      <c r="M239" s="57"/>
      <c r="N239" s="57"/>
      <c r="O239" s="57"/>
      <c r="P239" s="57"/>
      <c r="Q239" s="57"/>
      <c r="R239" s="57" t="n">
        <v>0</v>
      </c>
      <c r="S239" s="57" t="n">
        <v>0</v>
      </c>
      <c r="T239" s="57" t="n">
        <v>0</v>
      </c>
      <c r="U239" s="57" t="n">
        <v>0</v>
      </c>
      <c r="V239" s="57" t="n">
        <v>12</v>
      </c>
      <c r="W239" s="57" t="n">
        <v>0</v>
      </c>
      <c r="X239" s="57" t="n">
        <v>0</v>
      </c>
      <c r="Y239" s="57" t="n">
        <v>0</v>
      </c>
      <c r="Z239" s="57" t="n">
        <v>0</v>
      </c>
      <c r="AA239" s="57" t="n">
        <v>0</v>
      </c>
      <c r="AB239" s="57" t="n">
        <v>0</v>
      </c>
      <c r="AC239" s="57" t="n">
        <v>0</v>
      </c>
      <c r="AD239" s="57" t="n">
        <v>0</v>
      </c>
      <c r="AE239" s="57" t="n">
        <v>0</v>
      </c>
      <c r="AF239" s="57" t="n">
        <v>0</v>
      </c>
      <c r="AG239" s="57" t="n">
        <v>0</v>
      </c>
      <c r="AH239" s="57" t="s">
        <v>240</v>
      </c>
      <c r="AI239" s="57"/>
      <c r="AJ239" s="57" t="n">
        <v>0</v>
      </c>
      <c r="AK239" s="57" t="s">
        <v>285</v>
      </c>
      <c r="AL239" s="57" t="s">
        <v>347</v>
      </c>
      <c r="AM239" s="57" t="n">
        <v>1</v>
      </c>
      <c r="AN239" s="57" t="s">
        <v>575</v>
      </c>
      <c r="AO239" s="57" t="str">
        <f aca="false">IF(C239="County",IF(AL239="Rest of county","Remainder of County","Settlements"),IF(D239="City Centre","City Centre","Rest of City"))</f>
        <v>Rest of City</v>
      </c>
      <c r="AP239" s="57" t="str">
        <f aca="false">IF(LEFT(B239,13)="Council audit","Audit",IF(LEFT(B239,8)="Planning","Consent","Zoned"))</f>
        <v>Consent</v>
      </c>
      <c r="AQ239" s="57" t="n">
        <f aca="false">IF(N(K239)&gt;0,I239*Y239/K239,0)</f>
        <v>0</v>
      </c>
    </row>
    <row r="240" customFormat="false" ht="15" hidden="false" customHeight="false" outlineLevel="0" collapsed="false">
      <c r="A240" s="57" t="s">
        <v>940</v>
      </c>
      <c r="B240" s="57" t="s">
        <v>218</v>
      </c>
      <c r="C240" s="57" t="s">
        <v>216</v>
      </c>
      <c r="D240" s="57" t="s">
        <v>284</v>
      </c>
      <c r="E240" s="57" t="s">
        <v>941</v>
      </c>
      <c r="F240" s="57"/>
      <c r="G240" s="57"/>
      <c r="H240" s="57"/>
      <c r="I240" s="57" t="n">
        <v>0.199</v>
      </c>
      <c r="J240" s="57" t="n">
        <v>0.199</v>
      </c>
      <c r="K240" s="57"/>
      <c r="L240" s="57" t="s">
        <v>731</v>
      </c>
      <c r="M240" s="57"/>
      <c r="N240" s="57"/>
      <c r="O240" s="57"/>
      <c r="P240" s="57"/>
      <c r="Q240" s="57"/>
      <c r="R240" s="57" t="n">
        <v>0</v>
      </c>
      <c r="S240" s="57" t="n">
        <v>0</v>
      </c>
      <c r="T240" s="57" t="n">
        <v>0</v>
      </c>
      <c r="U240" s="57" t="n">
        <v>0</v>
      </c>
      <c r="V240" s="57" t="n">
        <v>12</v>
      </c>
      <c r="W240" s="57" t="n">
        <v>0</v>
      </c>
      <c r="X240" s="57" t="n">
        <v>0</v>
      </c>
      <c r="Y240" s="57" t="n">
        <v>0</v>
      </c>
      <c r="Z240" s="57" t="n">
        <v>0</v>
      </c>
      <c r="AA240" s="57" t="n">
        <v>0</v>
      </c>
      <c r="AB240" s="57" t="n">
        <v>0</v>
      </c>
      <c r="AC240" s="57" t="n">
        <v>0</v>
      </c>
      <c r="AD240" s="57" t="n">
        <v>0</v>
      </c>
      <c r="AE240" s="57" t="n">
        <v>0</v>
      </c>
      <c r="AF240" s="57" t="n">
        <v>0</v>
      </c>
      <c r="AG240" s="57" t="n">
        <v>0</v>
      </c>
      <c r="AH240" s="57" t="s">
        <v>240</v>
      </c>
      <c r="AI240" s="57"/>
      <c r="AJ240" s="57" t="n">
        <v>0</v>
      </c>
      <c r="AK240" s="57" t="s">
        <v>284</v>
      </c>
      <c r="AL240" s="57" t="s">
        <v>347</v>
      </c>
      <c r="AM240" s="57" t="n">
        <v>1</v>
      </c>
      <c r="AN240" s="57" t="s">
        <v>575</v>
      </c>
      <c r="AO240" s="57" t="str">
        <f aca="false">IF(C240="County",IF(AL240="Rest of county","Remainder of County","Settlements"),IF(D240="City Centre","City Centre","Rest of City"))</f>
        <v>Rest of City</v>
      </c>
      <c r="AP240" s="57" t="str">
        <f aca="false">IF(LEFT(B240,13)="Council audit","Audit",IF(LEFT(B240,8)="Planning","Consent","Zoned"))</f>
        <v>Consent</v>
      </c>
      <c r="AQ240" s="57" t="n">
        <f aca="false">IF(N(K240)&gt;0,I240*Y240/K240,0)</f>
        <v>0</v>
      </c>
    </row>
    <row r="241" customFormat="false" ht="15" hidden="false" customHeight="false" outlineLevel="0" collapsed="false">
      <c r="A241" s="57" t="s">
        <v>942</v>
      </c>
      <c r="B241" s="57" t="s">
        <v>218</v>
      </c>
      <c r="C241" s="57" t="s">
        <v>216</v>
      </c>
      <c r="D241" s="57" t="s">
        <v>286</v>
      </c>
      <c r="E241" s="57" t="s">
        <v>943</v>
      </c>
      <c r="F241" s="57"/>
      <c r="G241" s="57"/>
      <c r="H241" s="57"/>
      <c r="I241" s="57" t="n">
        <v>0.346</v>
      </c>
      <c r="J241" s="57" t="n">
        <v>0.346</v>
      </c>
      <c r="K241" s="57"/>
      <c r="L241" s="57" t="s">
        <v>731</v>
      </c>
      <c r="M241" s="57"/>
      <c r="N241" s="57"/>
      <c r="O241" s="57"/>
      <c r="P241" s="57"/>
      <c r="Q241" s="57"/>
      <c r="R241" s="57" t="n">
        <v>12</v>
      </c>
      <c r="S241" s="57" t="n">
        <v>0</v>
      </c>
      <c r="T241" s="57" t="n">
        <v>0</v>
      </c>
      <c r="U241" s="57" t="n">
        <v>0</v>
      </c>
      <c r="V241" s="57" t="n">
        <v>0</v>
      </c>
      <c r="W241" s="57" t="n">
        <v>0</v>
      </c>
      <c r="X241" s="57" t="n">
        <v>12</v>
      </c>
      <c r="Y241" s="57" t="n">
        <v>0</v>
      </c>
      <c r="Z241" s="57" t="n">
        <v>12</v>
      </c>
      <c r="AA241" s="57" t="n">
        <v>0</v>
      </c>
      <c r="AB241" s="57" t="n">
        <v>0</v>
      </c>
      <c r="AC241" s="57" t="n">
        <v>0</v>
      </c>
      <c r="AD241" s="57" t="n">
        <v>0</v>
      </c>
      <c r="AE241" s="57" t="n">
        <v>0</v>
      </c>
      <c r="AF241" s="57" t="n">
        <v>0</v>
      </c>
      <c r="AG241" s="57" t="n">
        <v>0</v>
      </c>
      <c r="AH241" s="57" t="s">
        <v>237</v>
      </c>
      <c r="AI241" s="57"/>
      <c r="AJ241" s="57" t="n">
        <v>12</v>
      </c>
      <c r="AK241" s="57" t="s">
        <v>286</v>
      </c>
      <c r="AL241" s="57" t="s">
        <v>347</v>
      </c>
      <c r="AM241" s="57" t="n">
        <v>1</v>
      </c>
      <c r="AN241" s="57" t="s">
        <v>575</v>
      </c>
      <c r="AO241" s="57" t="str">
        <f aca="false">IF(C241="County",IF(AL241="Rest of county","Remainder of County","Settlements"),IF(D241="City Centre","City Centre","Rest of City"))</f>
        <v>Rest of City</v>
      </c>
      <c r="AP241" s="57" t="str">
        <f aca="false">IF(LEFT(B241,13)="Council audit","Audit",IF(LEFT(B241,8)="Planning","Consent","Zoned"))</f>
        <v>Consent</v>
      </c>
      <c r="AQ241" s="57" t="n">
        <f aca="false">IF(N(K241)&gt;0,I241*Y241/K241,0)</f>
        <v>0</v>
      </c>
    </row>
    <row r="242" customFormat="false" ht="15" hidden="false" customHeight="false" outlineLevel="0" collapsed="false">
      <c r="A242" s="57" t="s">
        <v>944</v>
      </c>
      <c r="B242" s="57" t="s">
        <v>218</v>
      </c>
      <c r="C242" s="57" t="s">
        <v>220</v>
      </c>
      <c r="D242" s="57" t="s">
        <v>739</v>
      </c>
      <c r="E242" s="57" t="s">
        <v>945</v>
      </c>
      <c r="F242" s="57"/>
      <c r="G242" s="57"/>
      <c r="H242" s="57"/>
      <c r="I242" s="57" t="n">
        <v>0.56</v>
      </c>
      <c r="J242" s="57" t="n">
        <v>0.56</v>
      </c>
      <c r="K242" s="57"/>
      <c r="L242" s="57" t="s">
        <v>731</v>
      </c>
      <c r="M242" s="57"/>
      <c r="N242" s="57"/>
      <c r="O242" s="57"/>
      <c r="P242" s="57"/>
      <c r="Q242" s="57"/>
      <c r="R242" s="57" t="n">
        <v>0</v>
      </c>
      <c r="S242" s="57" t="n">
        <v>0</v>
      </c>
      <c r="T242" s="57" t="n">
        <v>12</v>
      </c>
      <c r="U242" s="57" t="n">
        <v>0</v>
      </c>
      <c r="V242" s="57" t="n">
        <v>0</v>
      </c>
      <c r="W242" s="57" t="n">
        <v>0</v>
      </c>
      <c r="X242" s="57" t="n">
        <v>12</v>
      </c>
      <c r="Y242" s="57" t="n">
        <v>0</v>
      </c>
      <c r="Z242" s="57" t="n">
        <v>12</v>
      </c>
      <c r="AA242" s="57" t="n">
        <v>12</v>
      </c>
      <c r="AB242" s="57" t="n">
        <v>0</v>
      </c>
      <c r="AC242" s="57" t="n">
        <v>0</v>
      </c>
      <c r="AD242" s="57" t="n">
        <v>0</v>
      </c>
      <c r="AE242" s="57" t="n">
        <v>11.3</v>
      </c>
      <c r="AF242" s="57" t="n">
        <v>0.7</v>
      </c>
      <c r="AG242" s="57" t="n">
        <v>0</v>
      </c>
      <c r="AH242" s="57" t="s">
        <v>239</v>
      </c>
      <c r="AI242" s="57"/>
      <c r="AJ242" s="57" t="n">
        <v>0</v>
      </c>
      <c r="AK242" s="57" t="s">
        <v>350</v>
      </c>
      <c r="AL242" s="57" t="s">
        <v>349</v>
      </c>
      <c r="AM242" s="57" t="n">
        <v>0.84</v>
      </c>
      <c r="AN242" s="57" t="s">
        <v>575</v>
      </c>
      <c r="AO242" s="57" t="str">
        <f aca="false">IF(C242="County",IF(AL242="Rest of county","Remainder of County","Settlements"),IF(D242="City Centre","City Centre","Rest of City"))</f>
        <v>Settlements</v>
      </c>
      <c r="AP242" s="57" t="str">
        <f aca="false">IF(LEFT(B242,13)="Council audit","Audit",IF(LEFT(B242,8)="Planning","Consent","Zoned"))</f>
        <v>Consent</v>
      </c>
      <c r="AQ242" s="57" t="n">
        <f aca="false">IF(N(K242)&gt;0,I242*Y242/K242,0)</f>
        <v>0</v>
      </c>
    </row>
    <row r="243" customFormat="false" ht="15" hidden="false" customHeight="false" outlineLevel="0" collapsed="false">
      <c r="A243" s="57" t="s">
        <v>946</v>
      </c>
      <c r="B243" s="57" t="s">
        <v>218</v>
      </c>
      <c r="C243" s="57" t="s">
        <v>216</v>
      </c>
      <c r="D243" s="57" t="s">
        <v>287</v>
      </c>
      <c r="E243" s="57" t="s">
        <v>947</v>
      </c>
      <c r="F243" s="57"/>
      <c r="G243" s="57"/>
      <c r="H243" s="57"/>
      <c r="I243" s="57" t="n">
        <v>0.196</v>
      </c>
      <c r="J243" s="57" t="n">
        <v>0.196</v>
      </c>
      <c r="K243" s="57"/>
      <c r="L243" s="57" t="s">
        <v>731</v>
      </c>
      <c r="M243" s="57"/>
      <c r="N243" s="57"/>
      <c r="O243" s="57"/>
      <c r="P243" s="57"/>
      <c r="Q243" s="57"/>
      <c r="R243" s="57" t="n">
        <v>0</v>
      </c>
      <c r="S243" s="57" t="n">
        <v>0</v>
      </c>
      <c r="T243" s="57" t="n">
        <v>0</v>
      </c>
      <c r="U243" s="57" t="n">
        <v>0</v>
      </c>
      <c r="V243" s="57" t="n">
        <v>0</v>
      </c>
      <c r="W243" s="57" t="n">
        <v>12</v>
      </c>
      <c r="X243" s="57" t="n">
        <v>0</v>
      </c>
      <c r="Y243" s="57" t="n">
        <v>0</v>
      </c>
      <c r="Z243" s="57" t="n">
        <v>0</v>
      </c>
      <c r="AA243" s="57" t="n">
        <v>0</v>
      </c>
      <c r="AB243" s="57" t="n">
        <v>0</v>
      </c>
      <c r="AC243" s="57" t="n">
        <v>0</v>
      </c>
      <c r="AD243" s="57" t="n">
        <v>0</v>
      </c>
      <c r="AE243" s="57" t="n">
        <v>0</v>
      </c>
      <c r="AF243" s="57" t="n">
        <v>0</v>
      </c>
      <c r="AG243" s="57" t="n">
        <v>0</v>
      </c>
      <c r="AH243" s="57" t="s">
        <v>240</v>
      </c>
      <c r="AI243" s="57"/>
      <c r="AJ243" s="57" t="n">
        <v>0</v>
      </c>
      <c r="AK243" s="57" t="s">
        <v>287</v>
      </c>
      <c r="AL243" s="57" t="s">
        <v>347</v>
      </c>
      <c r="AM243" s="57" t="n">
        <v>1</v>
      </c>
      <c r="AN243" s="57" t="s">
        <v>575</v>
      </c>
      <c r="AO243" s="57" t="str">
        <f aca="false">IF(C243="County",IF(AL243="Rest of county","Remainder of County","Settlements"),IF(D243="City Centre","City Centre","Rest of City"))</f>
        <v>Rest of City</v>
      </c>
      <c r="AP243" s="57" t="str">
        <f aca="false">IF(LEFT(B243,13)="Council audit","Audit",IF(LEFT(B243,8)="Planning","Consent","Zoned"))</f>
        <v>Consent</v>
      </c>
      <c r="AQ243" s="57" t="n">
        <f aca="false">IF(N(K243)&gt;0,I243*Y243/K243,0)</f>
        <v>0</v>
      </c>
    </row>
    <row r="244" customFormat="false" ht="15" hidden="false" customHeight="false" outlineLevel="0" collapsed="false">
      <c r="A244" s="57" t="s">
        <v>948</v>
      </c>
      <c r="B244" s="57" t="s">
        <v>218</v>
      </c>
      <c r="C244" s="57" t="s">
        <v>220</v>
      </c>
      <c r="D244" s="57" t="s">
        <v>739</v>
      </c>
      <c r="E244" s="57" t="s">
        <v>949</v>
      </c>
      <c r="F244" s="57"/>
      <c r="G244" s="57"/>
      <c r="H244" s="57"/>
      <c r="I244" s="57" t="n">
        <v>0.196</v>
      </c>
      <c r="J244" s="57" t="n">
        <v>0.196</v>
      </c>
      <c r="K244" s="57"/>
      <c r="L244" s="57" t="s">
        <v>731</v>
      </c>
      <c r="M244" s="57"/>
      <c r="N244" s="57"/>
      <c r="O244" s="57"/>
      <c r="P244" s="57"/>
      <c r="Q244" s="57"/>
      <c r="R244" s="57" t="n">
        <v>0</v>
      </c>
      <c r="S244" s="57" t="n">
        <v>11</v>
      </c>
      <c r="T244" s="57" t="n">
        <v>0</v>
      </c>
      <c r="U244" s="57" t="n">
        <v>0</v>
      </c>
      <c r="V244" s="57" t="n">
        <v>0</v>
      </c>
      <c r="W244" s="57" t="n">
        <v>0</v>
      </c>
      <c r="X244" s="57" t="n">
        <v>11</v>
      </c>
      <c r="Y244" s="57" t="n">
        <v>0</v>
      </c>
      <c r="Z244" s="57" t="n">
        <v>11</v>
      </c>
      <c r="AA244" s="57" t="n">
        <v>11</v>
      </c>
      <c r="AB244" s="57" t="n">
        <v>2.6</v>
      </c>
      <c r="AC244" s="57" t="n">
        <v>8.4</v>
      </c>
      <c r="AD244" s="57" t="n">
        <v>0</v>
      </c>
      <c r="AE244" s="57" t="n">
        <v>0</v>
      </c>
      <c r="AF244" s="57" t="n">
        <v>0</v>
      </c>
      <c r="AG244" s="57" t="n">
        <v>0</v>
      </c>
      <c r="AH244" s="57" t="s">
        <v>239</v>
      </c>
      <c r="AI244" s="57"/>
      <c r="AJ244" s="57" t="n">
        <v>0</v>
      </c>
      <c r="AK244" s="57" t="s">
        <v>351</v>
      </c>
      <c r="AL244" s="57" t="s">
        <v>349</v>
      </c>
      <c r="AM244" s="57" t="n">
        <v>1</v>
      </c>
      <c r="AN244" s="57" t="s">
        <v>575</v>
      </c>
      <c r="AO244" s="57" t="str">
        <f aca="false">IF(C244="County",IF(AL244="Rest of county","Remainder of County","Settlements"),IF(D244="City Centre","City Centre","Rest of City"))</f>
        <v>Settlements</v>
      </c>
      <c r="AP244" s="57" t="str">
        <f aca="false">IF(LEFT(B244,13)="Council audit","Audit",IF(LEFT(B244,8)="Planning","Consent","Zoned"))</f>
        <v>Consent</v>
      </c>
      <c r="AQ244" s="57" t="n">
        <f aca="false">IF(N(K244)&gt;0,I244*Y244/K244,0)</f>
        <v>0</v>
      </c>
    </row>
    <row r="245" customFormat="false" ht="15" hidden="false" customHeight="false" outlineLevel="0" collapsed="false">
      <c r="A245" s="57" t="s">
        <v>950</v>
      </c>
      <c r="B245" s="57" t="s">
        <v>218</v>
      </c>
      <c r="C245" s="57" t="s">
        <v>216</v>
      </c>
      <c r="D245" s="57" t="s">
        <v>284</v>
      </c>
      <c r="E245" s="57" t="s">
        <v>886</v>
      </c>
      <c r="F245" s="57"/>
      <c r="G245" s="57"/>
      <c r="H245" s="57"/>
      <c r="I245" s="57" t="n">
        <v>0.213</v>
      </c>
      <c r="J245" s="57" t="n">
        <v>0.213</v>
      </c>
      <c r="K245" s="57"/>
      <c r="L245" s="57" t="s">
        <v>731</v>
      </c>
      <c r="M245" s="57"/>
      <c r="N245" s="57"/>
      <c r="O245" s="57"/>
      <c r="P245" s="57"/>
      <c r="Q245" s="57"/>
      <c r="R245" s="57" t="n">
        <v>0</v>
      </c>
      <c r="S245" s="57" t="n">
        <v>0</v>
      </c>
      <c r="T245" s="57" t="n">
        <v>11</v>
      </c>
      <c r="U245" s="57" t="n">
        <v>0</v>
      </c>
      <c r="V245" s="57" t="n">
        <v>0</v>
      </c>
      <c r="W245" s="57" t="n">
        <v>0</v>
      </c>
      <c r="X245" s="57" t="n">
        <v>11</v>
      </c>
      <c r="Y245" s="57" t="n">
        <v>0</v>
      </c>
      <c r="Z245" s="57" t="n">
        <v>11</v>
      </c>
      <c r="AA245" s="57" t="n">
        <v>11</v>
      </c>
      <c r="AB245" s="57" t="n">
        <v>0</v>
      </c>
      <c r="AC245" s="57" t="n">
        <v>0</v>
      </c>
      <c r="AD245" s="57" t="n">
        <v>6.4</v>
      </c>
      <c r="AE245" s="57" t="n">
        <v>4.6</v>
      </c>
      <c r="AF245" s="57" t="n">
        <v>0</v>
      </c>
      <c r="AG245" s="57" t="n">
        <v>0</v>
      </c>
      <c r="AH245" s="57" t="s">
        <v>239</v>
      </c>
      <c r="AI245" s="57"/>
      <c r="AJ245" s="57" t="n">
        <v>0</v>
      </c>
      <c r="AK245" s="57" t="s">
        <v>284</v>
      </c>
      <c r="AL245" s="57" t="s">
        <v>347</v>
      </c>
      <c r="AM245" s="57" t="n">
        <v>1</v>
      </c>
      <c r="AN245" s="57" t="s">
        <v>575</v>
      </c>
      <c r="AO245" s="57" t="str">
        <f aca="false">IF(C245="County",IF(AL245="Rest of county","Remainder of County","Settlements"),IF(D245="City Centre","City Centre","Rest of City"))</f>
        <v>Rest of City</v>
      </c>
      <c r="AP245" s="57" t="str">
        <f aca="false">IF(LEFT(B245,13)="Council audit","Audit",IF(LEFT(B245,8)="Planning","Consent","Zoned"))</f>
        <v>Consent</v>
      </c>
      <c r="AQ245" s="57" t="n">
        <f aca="false">IF(N(K245)&gt;0,I245*Y245/K245,0)</f>
        <v>0</v>
      </c>
    </row>
    <row r="246" customFormat="false" ht="15" hidden="false" customHeight="false" outlineLevel="0" collapsed="false">
      <c r="A246" s="57" t="s">
        <v>951</v>
      </c>
      <c r="B246" s="57" t="s">
        <v>218</v>
      </c>
      <c r="C246" s="57" t="s">
        <v>220</v>
      </c>
      <c r="D246" s="57" t="s">
        <v>739</v>
      </c>
      <c r="E246" s="57" t="s">
        <v>952</v>
      </c>
      <c r="F246" s="57"/>
      <c r="G246" s="57"/>
      <c r="H246" s="57"/>
      <c r="I246" s="57" t="n">
        <v>0.253</v>
      </c>
      <c r="J246" s="57" t="n">
        <v>0.253</v>
      </c>
      <c r="K246" s="57"/>
      <c r="L246" s="57" t="s">
        <v>731</v>
      </c>
      <c r="M246" s="57"/>
      <c r="N246" s="57"/>
      <c r="O246" s="57"/>
      <c r="P246" s="57"/>
      <c r="Q246" s="57"/>
      <c r="R246" s="57" t="n">
        <v>10</v>
      </c>
      <c r="S246" s="57" t="n">
        <v>0</v>
      </c>
      <c r="T246" s="57" t="n">
        <v>0</v>
      </c>
      <c r="U246" s="57" t="n">
        <v>0</v>
      </c>
      <c r="V246" s="57" t="n">
        <v>0</v>
      </c>
      <c r="W246" s="57" t="n">
        <v>0</v>
      </c>
      <c r="X246" s="57" t="n">
        <v>10</v>
      </c>
      <c r="Y246" s="57" t="n">
        <v>0</v>
      </c>
      <c r="Z246" s="57" t="n">
        <v>10</v>
      </c>
      <c r="AA246" s="57" t="n">
        <v>0</v>
      </c>
      <c r="AB246" s="57" t="n">
        <v>0</v>
      </c>
      <c r="AC246" s="57" t="n">
        <v>0</v>
      </c>
      <c r="AD246" s="57" t="n">
        <v>0</v>
      </c>
      <c r="AE246" s="57" t="n">
        <v>0</v>
      </c>
      <c r="AF246" s="57" t="n">
        <v>0</v>
      </c>
      <c r="AG246" s="57" t="n">
        <v>0</v>
      </c>
      <c r="AH246" s="57" t="s">
        <v>237</v>
      </c>
      <c r="AI246" s="57"/>
      <c r="AJ246" s="57" t="n">
        <v>10</v>
      </c>
      <c r="AK246" s="57" t="s">
        <v>359</v>
      </c>
      <c r="AL246" s="57" t="s">
        <v>356</v>
      </c>
      <c r="AM246" s="57" t="n">
        <v>1</v>
      </c>
      <c r="AN246" s="57" t="s">
        <v>575</v>
      </c>
      <c r="AO246" s="57" t="str">
        <f aca="false">IF(C246="County",IF(AL246="Rest of county","Remainder of County","Settlements"),IF(D246="City Centre","City Centre","Rest of City"))</f>
        <v>Settlements</v>
      </c>
      <c r="AP246" s="57" t="str">
        <f aca="false">IF(LEFT(B246,13)="Council audit","Audit",IF(LEFT(B246,8)="Planning","Consent","Zoned"))</f>
        <v>Consent</v>
      </c>
      <c r="AQ246" s="57" t="n">
        <f aca="false">IF(N(K246)&gt;0,I246*Y246/K246,0)</f>
        <v>0</v>
      </c>
    </row>
    <row r="247" customFormat="false" ht="15" hidden="false" customHeight="false" outlineLevel="0" collapsed="false">
      <c r="A247" s="57" t="s">
        <v>953</v>
      </c>
      <c r="B247" s="57" t="s">
        <v>218</v>
      </c>
      <c r="C247" s="57" t="s">
        <v>220</v>
      </c>
      <c r="D247" s="57" t="s">
        <v>739</v>
      </c>
      <c r="E247" s="57" t="s">
        <v>954</v>
      </c>
      <c r="F247" s="57"/>
      <c r="G247" s="57"/>
      <c r="H247" s="57"/>
      <c r="I247" s="57" t="n">
        <v>0.427</v>
      </c>
      <c r="J247" s="57" t="n">
        <v>0.427</v>
      </c>
      <c r="K247" s="57"/>
      <c r="L247" s="57" t="s">
        <v>731</v>
      </c>
      <c r="M247" s="57"/>
      <c r="N247" s="57"/>
      <c r="O247" s="57"/>
      <c r="P247" s="57"/>
      <c r="Q247" s="57"/>
      <c r="R247" s="57" t="n">
        <v>10</v>
      </c>
      <c r="S247" s="57" t="n">
        <v>0</v>
      </c>
      <c r="T247" s="57" t="n">
        <v>0</v>
      </c>
      <c r="U247" s="57" t="n">
        <v>0</v>
      </c>
      <c r="V247" s="57" t="n">
        <v>0</v>
      </c>
      <c r="W247" s="57" t="n">
        <v>0</v>
      </c>
      <c r="X247" s="57" t="n">
        <v>10</v>
      </c>
      <c r="Y247" s="57" t="n">
        <v>0</v>
      </c>
      <c r="Z247" s="57" t="n">
        <v>10</v>
      </c>
      <c r="AA247" s="57" t="n">
        <v>0</v>
      </c>
      <c r="AB247" s="57" t="n">
        <v>0</v>
      </c>
      <c r="AC247" s="57" t="n">
        <v>0</v>
      </c>
      <c r="AD247" s="57" t="n">
        <v>0</v>
      </c>
      <c r="AE247" s="57" t="n">
        <v>0</v>
      </c>
      <c r="AF247" s="57" t="n">
        <v>0</v>
      </c>
      <c r="AG247" s="57" t="n">
        <v>0</v>
      </c>
      <c r="AH247" s="57" t="s">
        <v>237</v>
      </c>
      <c r="AI247" s="57"/>
      <c r="AJ247" s="57" t="n">
        <v>10</v>
      </c>
      <c r="AK247" s="57" t="s">
        <v>362</v>
      </c>
      <c r="AL247" s="57" t="s">
        <v>356</v>
      </c>
      <c r="AM247" s="57" t="n">
        <v>0.05</v>
      </c>
      <c r="AN247" s="57" t="s">
        <v>575</v>
      </c>
      <c r="AO247" s="57" t="str">
        <f aca="false">IF(C247="County",IF(AL247="Rest of county","Remainder of County","Settlements"),IF(D247="City Centre","City Centre","Rest of City"))</f>
        <v>Settlements</v>
      </c>
      <c r="AP247" s="57" t="str">
        <f aca="false">IF(LEFT(B247,13)="Council audit","Audit",IF(LEFT(B247,8)="Planning","Consent","Zoned"))</f>
        <v>Consent</v>
      </c>
      <c r="AQ247" s="57" t="n">
        <f aca="false">IF(N(K247)&gt;0,I247*Y247/K247,0)</f>
        <v>0</v>
      </c>
    </row>
    <row r="248" customFormat="false" ht="15" hidden="false" customHeight="false" outlineLevel="0" collapsed="false">
      <c r="A248" s="57" t="s">
        <v>955</v>
      </c>
      <c r="B248" s="57" t="s">
        <v>218</v>
      </c>
      <c r="C248" s="57" t="s">
        <v>220</v>
      </c>
      <c r="D248" s="57" t="s">
        <v>739</v>
      </c>
      <c r="E248" s="57" t="s">
        <v>956</v>
      </c>
      <c r="F248" s="57"/>
      <c r="G248" s="57"/>
      <c r="H248" s="57"/>
      <c r="I248" s="57" t="n">
        <v>0.49</v>
      </c>
      <c r="J248" s="57" t="n">
        <v>0.49</v>
      </c>
      <c r="K248" s="57"/>
      <c r="L248" s="57" t="s">
        <v>731</v>
      </c>
      <c r="M248" s="57"/>
      <c r="N248" s="57"/>
      <c r="O248" s="57"/>
      <c r="P248" s="57"/>
      <c r="Q248" s="57"/>
      <c r="R248" s="57" t="n">
        <v>0</v>
      </c>
      <c r="S248" s="57" t="n">
        <v>10</v>
      </c>
      <c r="T248" s="57" t="n">
        <v>0</v>
      </c>
      <c r="U248" s="57" t="n">
        <v>0</v>
      </c>
      <c r="V248" s="57" t="n">
        <v>0</v>
      </c>
      <c r="W248" s="57" t="n">
        <v>0</v>
      </c>
      <c r="X248" s="57" t="n">
        <v>10</v>
      </c>
      <c r="Y248" s="57" t="n">
        <v>0</v>
      </c>
      <c r="Z248" s="57" t="n">
        <v>10</v>
      </c>
      <c r="AA248" s="57" t="n">
        <v>10</v>
      </c>
      <c r="AB248" s="57" t="n">
        <v>2.3</v>
      </c>
      <c r="AC248" s="57" t="n">
        <v>7.7</v>
      </c>
      <c r="AD248" s="57" t="n">
        <v>0</v>
      </c>
      <c r="AE248" s="57" t="n">
        <v>0</v>
      </c>
      <c r="AF248" s="57" t="n">
        <v>0</v>
      </c>
      <c r="AG248" s="57" t="n">
        <v>0</v>
      </c>
      <c r="AH248" s="57" t="s">
        <v>239</v>
      </c>
      <c r="AI248" s="57"/>
      <c r="AJ248" s="57" t="n">
        <v>0</v>
      </c>
      <c r="AK248" s="57" t="s">
        <v>365</v>
      </c>
      <c r="AL248" s="57" t="s">
        <v>365</v>
      </c>
      <c r="AM248" s="57"/>
      <c r="AN248" s="57" t="s">
        <v>365</v>
      </c>
      <c r="AO248" s="57" t="str">
        <f aca="false">IF(C248="County",IF(AL248="Rest of county","Remainder of County","Settlements"),IF(D248="City Centre","City Centre","Rest of City"))</f>
        <v>Remainder of County</v>
      </c>
      <c r="AP248" s="57" t="str">
        <f aca="false">IF(LEFT(B248,13)="Council audit","Audit",IF(LEFT(B248,8)="Planning","Consent","Zoned"))</f>
        <v>Consent</v>
      </c>
      <c r="AQ248" s="57" t="n">
        <f aca="false">IF(N(K248)&gt;0,I248*Y248/K248,0)</f>
        <v>0</v>
      </c>
    </row>
    <row r="249" customFormat="false" ht="15" hidden="false" customHeight="false" outlineLevel="0" collapsed="false">
      <c r="A249" s="57" t="s">
        <v>957</v>
      </c>
      <c r="B249" s="57" t="s">
        <v>218</v>
      </c>
      <c r="C249" s="57" t="s">
        <v>220</v>
      </c>
      <c r="D249" s="57" t="s">
        <v>739</v>
      </c>
      <c r="E249" s="57" t="s">
        <v>958</v>
      </c>
      <c r="F249" s="57"/>
      <c r="G249" s="57"/>
      <c r="H249" s="57"/>
      <c r="I249" s="57" t="n">
        <v>1.248</v>
      </c>
      <c r="J249" s="57" t="n">
        <v>1.248</v>
      </c>
      <c r="K249" s="57"/>
      <c r="L249" s="57" t="s">
        <v>731</v>
      </c>
      <c r="M249" s="57"/>
      <c r="N249" s="57"/>
      <c r="O249" s="57"/>
      <c r="P249" s="57"/>
      <c r="Q249" s="57"/>
      <c r="R249" s="57" t="n">
        <v>0</v>
      </c>
      <c r="S249" s="57" t="n">
        <v>10</v>
      </c>
      <c r="T249" s="57" t="n">
        <v>0</v>
      </c>
      <c r="U249" s="57" t="n">
        <v>0</v>
      </c>
      <c r="V249" s="57" t="n">
        <v>0</v>
      </c>
      <c r="W249" s="57" t="n">
        <v>0</v>
      </c>
      <c r="X249" s="57" t="n">
        <v>10</v>
      </c>
      <c r="Y249" s="57" t="n">
        <v>0</v>
      </c>
      <c r="Z249" s="57" t="n">
        <v>10</v>
      </c>
      <c r="AA249" s="57" t="n">
        <v>10</v>
      </c>
      <c r="AB249" s="57" t="n">
        <v>0</v>
      </c>
      <c r="AC249" s="57" t="n">
        <v>6.9</v>
      </c>
      <c r="AD249" s="57" t="n">
        <v>3.1</v>
      </c>
      <c r="AE249" s="57" t="n">
        <v>0</v>
      </c>
      <c r="AF249" s="57" t="n">
        <v>0</v>
      </c>
      <c r="AG249" s="57" t="n">
        <v>0</v>
      </c>
      <c r="AH249" s="57" t="s">
        <v>239</v>
      </c>
      <c r="AI249" s="57"/>
      <c r="AJ249" s="57" t="n">
        <v>0</v>
      </c>
      <c r="AK249" s="57" t="s">
        <v>355</v>
      </c>
      <c r="AL249" s="57" t="s">
        <v>356</v>
      </c>
      <c r="AM249" s="57" t="n">
        <v>0</v>
      </c>
      <c r="AN249" s="57" t="s">
        <v>743</v>
      </c>
      <c r="AO249" s="57" t="str">
        <f aca="false">IF(C249="County",IF(AL249="Rest of county","Remainder of County","Settlements"),IF(D249="City Centre","City Centre","Rest of City"))</f>
        <v>Settlements</v>
      </c>
      <c r="AP249" s="57" t="str">
        <f aca="false">IF(LEFT(B249,13)="Council audit","Audit",IF(LEFT(B249,8)="Planning","Consent","Zoned"))</f>
        <v>Consent</v>
      </c>
      <c r="AQ249" s="57" t="n">
        <f aca="false">IF(N(K249)&gt;0,I249*Y249/K249,0)</f>
        <v>0</v>
      </c>
    </row>
    <row r="250" customFormat="false" ht="15" hidden="false" customHeight="false" outlineLevel="0" collapsed="false">
      <c r="A250" s="57" t="s">
        <v>959</v>
      </c>
      <c r="B250" s="57" t="s">
        <v>218</v>
      </c>
      <c r="C250" s="57" t="s">
        <v>220</v>
      </c>
      <c r="D250" s="57" t="s">
        <v>739</v>
      </c>
      <c r="E250" s="57" t="s">
        <v>960</v>
      </c>
      <c r="F250" s="57"/>
      <c r="G250" s="57"/>
      <c r="H250" s="57"/>
      <c r="I250" s="57" t="n">
        <v>0.371</v>
      </c>
      <c r="J250" s="57" t="n">
        <v>0.371</v>
      </c>
      <c r="K250" s="57"/>
      <c r="L250" s="57" t="s">
        <v>731</v>
      </c>
      <c r="M250" s="57"/>
      <c r="N250" s="57"/>
      <c r="O250" s="57"/>
      <c r="P250" s="57"/>
      <c r="Q250" s="57"/>
      <c r="R250" s="57" t="n">
        <v>0</v>
      </c>
      <c r="S250" s="57" t="n">
        <v>0</v>
      </c>
      <c r="T250" s="57" t="n">
        <v>10</v>
      </c>
      <c r="U250" s="57" t="n">
        <v>0</v>
      </c>
      <c r="V250" s="57" t="n">
        <v>0</v>
      </c>
      <c r="W250" s="57" t="n">
        <v>0</v>
      </c>
      <c r="X250" s="57" t="n">
        <v>10</v>
      </c>
      <c r="Y250" s="57" t="n">
        <v>0</v>
      </c>
      <c r="Z250" s="57" t="n">
        <v>10</v>
      </c>
      <c r="AA250" s="57" t="n">
        <v>10</v>
      </c>
      <c r="AB250" s="57" t="n">
        <v>0</v>
      </c>
      <c r="AC250" s="57" t="n">
        <v>0</v>
      </c>
      <c r="AD250" s="57" t="n">
        <v>8.4</v>
      </c>
      <c r="AE250" s="57" t="n">
        <v>1.6</v>
      </c>
      <c r="AF250" s="57" t="n">
        <v>0</v>
      </c>
      <c r="AG250" s="57" t="n">
        <v>0</v>
      </c>
      <c r="AH250" s="57" t="s">
        <v>239</v>
      </c>
      <c r="AI250" s="57"/>
      <c r="AJ250" s="57" t="n">
        <v>0</v>
      </c>
      <c r="AK250" s="57" t="s">
        <v>365</v>
      </c>
      <c r="AL250" s="57" t="s">
        <v>365</v>
      </c>
      <c r="AM250" s="57"/>
      <c r="AN250" s="57" t="s">
        <v>365</v>
      </c>
      <c r="AO250" s="57" t="str">
        <f aca="false">IF(C250="County",IF(AL250="Rest of county","Remainder of County","Settlements"),IF(D250="City Centre","City Centre","Rest of City"))</f>
        <v>Remainder of County</v>
      </c>
      <c r="AP250" s="57" t="str">
        <f aca="false">IF(LEFT(B250,13)="Council audit","Audit",IF(LEFT(B250,8)="Planning","Consent","Zoned"))</f>
        <v>Consent</v>
      </c>
      <c r="AQ250" s="57" t="n">
        <f aca="false">IF(N(K250)&gt;0,I250*Y250/K250,0)</f>
        <v>0</v>
      </c>
    </row>
    <row r="251" customFormat="false" ht="15" hidden="false" customHeight="false" outlineLevel="0" collapsed="false">
      <c r="A251" s="57" t="s">
        <v>961</v>
      </c>
      <c r="B251" s="57" t="s">
        <v>218</v>
      </c>
      <c r="C251" s="57" t="s">
        <v>220</v>
      </c>
      <c r="D251" s="57" t="s">
        <v>739</v>
      </c>
      <c r="E251" s="57" t="s">
        <v>962</v>
      </c>
      <c r="F251" s="57"/>
      <c r="G251" s="57"/>
      <c r="H251" s="57"/>
      <c r="I251" s="57" t="n">
        <v>0.081</v>
      </c>
      <c r="J251" s="57" t="n">
        <v>0.081</v>
      </c>
      <c r="K251" s="57"/>
      <c r="L251" s="57" t="s">
        <v>731</v>
      </c>
      <c r="M251" s="57"/>
      <c r="N251" s="57"/>
      <c r="O251" s="57"/>
      <c r="P251" s="57"/>
      <c r="Q251" s="57"/>
      <c r="R251" s="57" t="n">
        <v>0</v>
      </c>
      <c r="S251" s="57" t="n">
        <v>0</v>
      </c>
      <c r="T251" s="57" t="n">
        <v>10</v>
      </c>
      <c r="U251" s="57" t="n">
        <v>0</v>
      </c>
      <c r="V251" s="57" t="n">
        <v>0</v>
      </c>
      <c r="W251" s="57" t="n">
        <v>0</v>
      </c>
      <c r="X251" s="57" t="n">
        <v>10</v>
      </c>
      <c r="Y251" s="57" t="n">
        <v>0</v>
      </c>
      <c r="Z251" s="57" t="n">
        <v>10</v>
      </c>
      <c r="AA251" s="57" t="n">
        <v>10</v>
      </c>
      <c r="AB251" s="57" t="n">
        <v>0</v>
      </c>
      <c r="AC251" s="57" t="n">
        <v>0</v>
      </c>
      <c r="AD251" s="57" t="n">
        <v>8.4</v>
      </c>
      <c r="AE251" s="57" t="n">
        <v>1.6</v>
      </c>
      <c r="AF251" s="57" t="n">
        <v>0</v>
      </c>
      <c r="AG251" s="57" t="n">
        <v>0</v>
      </c>
      <c r="AH251" s="57" t="s">
        <v>239</v>
      </c>
      <c r="AI251" s="57"/>
      <c r="AJ251" s="57" t="n">
        <v>0</v>
      </c>
      <c r="AK251" s="57" t="s">
        <v>348</v>
      </c>
      <c r="AL251" s="57" t="s">
        <v>349</v>
      </c>
      <c r="AM251" s="57" t="n">
        <v>1</v>
      </c>
      <c r="AN251" s="57" t="s">
        <v>575</v>
      </c>
      <c r="AO251" s="57" t="str">
        <f aca="false">IF(C251="County",IF(AL251="Rest of county","Remainder of County","Settlements"),IF(D251="City Centre","City Centre","Rest of City"))</f>
        <v>Settlements</v>
      </c>
      <c r="AP251" s="57" t="str">
        <f aca="false">IF(LEFT(B251,13)="Council audit","Audit",IF(LEFT(B251,8)="Planning","Consent","Zoned"))</f>
        <v>Consent</v>
      </c>
      <c r="AQ251" s="57" t="n">
        <f aca="false">IF(N(K251)&gt;0,I251*Y251/K251,0)</f>
        <v>0</v>
      </c>
    </row>
    <row r="252" customFormat="false" ht="15" hidden="false" customHeight="false" outlineLevel="0" collapsed="false">
      <c r="A252" s="57" t="s">
        <v>963</v>
      </c>
      <c r="B252" s="57" t="s">
        <v>218</v>
      </c>
      <c r="C252" s="57" t="s">
        <v>220</v>
      </c>
      <c r="D252" s="57" t="s">
        <v>739</v>
      </c>
      <c r="E252" s="57" t="s">
        <v>964</v>
      </c>
      <c r="F252" s="57"/>
      <c r="G252" s="57"/>
      <c r="H252" s="57"/>
      <c r="I252" s="57" t="n">
        <v>0.508</v>
      </c>
      <c r="J252" s="57" t="n">
        <v>0.508</v>
      </c>
      <c r="K252" s="57"/>
      <c r="L252" s="57" t="s">
        <v>731</v>
      </c>
      <c r="M252" s="57"/>
      <c r="N252" s="57"/>
      <c r="O252" s="57"/>
      <c r="P252" s="57"/>
      <c r="Q252" s="57"/>
      <c r="R252" s="57" t="n">
        <v>0</v>
      </c>
      <c r="S252" s="57" t="n">
        <v>0</v>
      </c>
      <c r="T252" s="57" t="n">
        <v>10</v>
      </c>
      <c r="U252" s="57" t="n">
        <v>0</v>
      </c>
      <c r="V252" s="57" t="n">
        <v>0</v>
      </c>
      <c r="W252" s="57" t="n">
        <v>0</v>
      </c>
      <c r="X252" s="57" t="n">
        <v>10</v>
      </c>
      <c r="Y252" s="57" t="n">
        <v>0</v>
      </c>
      <c r="Z252" s="57" t="n">
        <v>10</v>
      </c>
      <c r="AA252" s="57" t="n">
        <v>10</v>
      </c>
      <c r="AB252" s="57" t="n">
        <v>0</v>
      </c>
      <c r="AC252" s="57" t="n">
        <v>0</v>
      </c>
      <c r="AD252" s="57" t="n">
        <v>5.9</v>
      </c>
      <c r="AE252" s="57" t="n">
        <v>4.1</v>
      </c>
      <c r="AF252" s="57" t="n">
        <v>0</v>
      </c>
      <c r="AG252" s="57" t="n">
        <v>0</v>
      </c>
      <c r="AH252" s="57" t="s">
        <v>239</v>
      </c>
      <c r="AI252" s="57"/>
      <c r="AJ252" s="57" t="n">
        <v>0</v>
      </c>
      <c r="AK252" s="57" t="s">
        <v>360</v>
      </c>
      <c r="AL252" s="57" t="s">
        <v>356</v>
      </c>
      <c r="AM252" s="57" t="n">
        <v>1</v>
      </c>
      <c r="AN252" s="57" t="s">
        <v>575</v>
      </c>
      <c r="AO252" s="57" t="str">
        <f aca="false">IF(C252="County",IF(AL252="Rest of county","Remainder of County","Settlements"),IF(D252="City Centre","City Centre","Rest of City"))</f>
        <v>Settlements</v>
      </c>
      <c r="AP252" s="57" t="str">
        <f aca="false">IF(LEFT(B252,13)="Council audit","Audit",IF(LEFT(B252,8)="Planning","Consent","Zoned"))</f>
        <v>Consent</v>
      </c>
      <c r="AQ252" s="57" t="n">
        <f aca="false">IF(N(K252)&gt;0,I252*Y252/K252,0)</f>
        <v>0</v>
      </c>
    </row>
    <row r="253" customFormat="false" ht="15" hidden="false" customHeight="false" outlineLevel="0" collapsed="false">
      <c r="A253" s="57" t="s">
        <v>965</v>
      </c>
      <c r="B253" s="57" t="s">
        <v>218</v>
      </c>
      <c r="C253" s="57" t="s">
        <v>220</v>
      </c>
      <c r="D253" s="57" t="s">
        <v>739</v>
      </c>
      <c r="E253" s="57" t="s">
        <v>966</v>
      </c>
      <c r="F253" s="57"/>
      <c r="G253" s="57"/>
      <c r="H253" s="57"/>
      <c r="I253" s="57" t="n">
        <v>0.21</v>
      </c>
      <c r="J253" s="57" t="n">
        <v>0.21</v>
      </c>
      <c r="K253" s="57"/>
      <c r="L253" s="57" t="s">
        <v>731</v>
      </c>
      <c r="M253" s="57"/>
      <c r="N253" s="57"/>
      <c r="O253" s="57"/>
      <c r="P253" s="57"/>
      <c r="Q253" s="57"/>
      <c r="R253" s="57" t="n">
        <v>9</v>
      </c>
      <c r="S253" s="57" t="n">
        <v>0</v>
      </c>
      <c r="T253" s="57" t="n">
        <v>0</v>
      </c>
      <c r="U253" s="57" t="n">
        <v>0</v>
      </c>
      <c r="V253" s="57" t="n">
        <v>0</v>
      </c>
      <c r="W253" s="57" t="n">
        <v>0</v>
      </c>
      <c r="X253" s="57" t="n">
        <v>9</v>
      </c>
      <c r="Y253" s="57" t="n">
        <v>0</v>
      </c>
      <c r="Z253" s="57" t="n">
        <v>9</v>
      </c>
      <c r="AA253" s="57" t="n">
        <v>0</v>
      </c>
      <c r="AB253" s="57" t="n">
        <v>0</v>
      </c>
      <c r="AC253" s="57" t="n">
        <v>0</v>
      </c>
      <c r="AD253" s="57" t="n">
        <v>0</v>
      </c>
      <c r="AE253" s="57" t="n">
        <v>0</v>
      </c>
      <c r="AF253" s="57" t="n">
        <v>0</v>
      </c>
      <c r="AG253" s="57" t="n">
        <v>0</v>
      </c>
      <c r="AH253" s="57" t="s">
        <v>237</v>
      </c>
      <c r="AI253" s="57"/>
      <c r="AJ253" s="57" t="n">
        <v>0</v>
      </c>
      <c r="AK253" s="57" t="s">
        <v>362</v>
      </c>
      <c r="AL253" s="57" t="s">
        <v>356</v>
      </c>
      <c r="AM253" s="57" t="n">
        <v>1</v>
      </c>
      <c r="AN253" s="57" t="s">
        <v>575</v>
      </c>
      <c r="AO253" s="57" t="str">
        <f aca="false">IF(C253="County",IF(AL253="Rest of county","Remainder of County","Settlements"),IF(D253="City Centre","City Centre","Rest of City"))</f>
        <v>Settlements</v>
      </c>
      <c r="AP253" s="57" t="str">
        <f aca="false">IF(LEFT(B253,13)="Council audit","Audit",IF(LEFT(B253,8)="Planning","Consent","Zoned"))</f>
        <v>Consent</v>
      </c>
      <c r="AQ253" s="57" t="n">
        <f aca="false">IF(N(K253)&gt;0,I253*Y253/K253,0)</f>
        <v>0</v>
      </c>
    </row>
    <row r="254" customFormat="false" ht="15" hidden="false" customHeight="false" outlineLevel="0" collapsed="false">
      <c r="A254" s="57" t="s">
        <v>967</v>
      </c>
      <c r="B254" s="57" t="s">
        <v>218</v>
      </c>
      <c r="C254" s="57" t="s">
        <v>220</v>
      </c>
      <c r="D254" s="57" t="s">
        <v>739</v>
      </c>
      <c r="E254" s="57" t="s">
        <v>968</v>
      </c>
      <c r="F254" s="57"/>
      <c r="G254" s="57"/>
      <c r="H254" s="57"/>
      <c r="I254" s="57" t="n">
        <v>0.213</v>
      </c>
      <c r="J254" s="57" t="n">
        <v>0.213</v>
      </c>
      <c r="K254" s="57"/>
      <c r="L254" s="57" t="s">
        <v>731</v>
      </c>
      <c r="M254" s="57"/>
      <c r="N254" s="57"/>
      <c r="O254" s="57"/>
      <c r="P254" s="57"/>
      <c r="Q254" s="57"/>
      <c r="R254" s="57" t="n">
        <v>9</v>
      </c>
      <c r="S254" s="57" t="n">
        <v>0</v>
      </c>
      <c r="T254" s="57" t="n">
        <v>0</v>
      </c>
      <c r="U254" s="57" t="n">
        <v>0</v>
      </c>
      <c r="V254" s="57" t="n">
        <v>0</v>
      </c>
      <c r="W254" s="57" t="n">
        <v>0</v>
      </c>
      <c r="X254" s="57" t="n">
        <v>9</v>
      </c>
      <c r="Y254" s="57" t="n">
        <v>0</v>
      </c>
      <c r="Z254" s="57" t="n">
        <v>9</v>
      </c>
      <c r="AA254" s="57" t="n">
        <v>0</v>
      </c>
      <c r="AB254" s="57" t="n">
        <v>0</v>
      </c>
      <c r="AC254" s="57" t="n">
        <v>0</v>
      </c>
      <c r="AD254" s="57" t="n">
        <v>0</v>
      </c>
      <c r="AE254" s="57" t="n">
        <v>0</v>
      </c>
      <c r="AF254" s="57" t="n">
        <v>0</v>
      </c>
      <c r="AG254" s="57" t="n">
        <v>0</v>
      </c>
      <c r="AH254" s="57" t="s">
        <v>237</v>
      </c>
      <c r="AI254" s="57"/>
      <c r="AJ254" s="57" t="n">
        <v>7</v>
      </c>
      <c r="AK254" s="57" t="s">
        <v>354</v>
      </c>
      <c r="AL254" s="57" t="s">
        <v>349</v>
      </c>
      <c r="AM254" s="57" t="n">
        <v>1</v>
      </c>
      <c r="AN254" s="57" t="s">
        <v>575</v>
      </c>
      <c r="AO254" s="57" t="str">
        <f aca="false">IF(C254="County",IF(AL254="Rest of county","Remainder of County","Settlements"),IF(D254="City Centre","City Centre","Rest of City"))</f>
        <v>Settlements</v>
      </c>
      <c r="AP254" s="57" t="str">
        <f aca="false">IF(LEFT(B254,13)="Council audit","Audit",IF(LEFT(B254,8)="Planning","Consent","Zoned"))</f>
        <v>Consent</v>
      </c>
      <c r="AQ254" s="57" t="n">
        <f aca="false">IF(N(K254)&gt;0,I254*Y254/K254,0)</f>
        <v>0</v>
      </c>
    </row>
    <row r="255" customFormat="false" ht="15" hidden="false" customHeight="false" outlineLevel="0" collapsed="false">
      <c r="A255" s="57" t="s">
        <v>969</v>
      </c>
      <c r="B255" s="57" t="s">
        <v>218</v>
      </c>
      <c r="C255" s="57" t="s">
        <v>220</v>
      </c>
      <c r="D255" s="57" t="s">
        <v>739</v>
      </c>
      <c r="E255" s="57" t="s">
        <v>970</v>
      </c>
      <c r="F255" s="57"/>
      <c r="G255" s="57"/>
      <c r="H255" s="57"/>
      <c r="I255" s="57" t="n">
        <v>0.627</v>
      </c>
      <c r="J255" s="57" t="n">
        <v>0.627</v>
      </c>
      <c r="K255" s="57"/>
      <c r="L255" s="57" t="s">
        <v>731</v>
      </c>
      <c r="M255" s="57"/>
      <c r="N255" s="57"/>
      <c r="O255" s="57"/>
      <c r="P255" s="57"/>
      <c r="Q255" s="57"/>
      <c r="R255" s="57" t="n">
        <v>0</v>
      </c>
      <c r="S255" s="57" t="n">
        <v>9</v>
      </c>
      <c r="T255" s="57" t="n">
        <v>0</v>
      </c>
      <c r="U255" s="57" t="n">
        <v>0</v>
      </c>
      <c r="V255" s="57" t="n">
        <v>0</v>
      </c>
      <c r="W255" s="57" t="n">
        <v>0</v>
      </c>
      <c r="X255" s="57" t="n">
        <v>9</v>
      </c>
      <c r="Y255" s="57" t="n">
        <v>0</v>
      </c>
      <c r="Z255" s="57" t="n">
        <v>9</v>
      </c>
      <c r="AA255" s="57" t="n">
        <v>9</v>
      </c>
      <c r="AB255" s="57" t="n">
        <v>2.1</v>
      </c>
      <c r="AC255" s="57" t="n">
        <v>6.9</v>
      </c>
      <c r="AD255" s="57" t="n">
        <v>0</v>
      </c>
      <c r="AE255" s="57" t="n">
        <v>0</v>
      </c>
      <c r="AF255" s="57" t="n">
        <v>0</v>
      </c>
      <c r="AG255" s="57" t="n">
        <v>0</v>
      </c>
      <c r="AH255" s="57" t="s">
        <v>239</v>
      </c>
      <c r="AI255" s="57"/>
      <c r="AJ255" s="57" t="n">
        <v>9</v>
      </c>
      <c r="AK255" s="57" t="s">
        <v>365</v>
      </c>
      <c r="AL255" s="57" t="s">
        <v>365</v>
      </c>
      <c r="AM255" s="57"/>
      <c r="AN255" s="57" t="s">
        <v>365</v>
      </c>
      <c r="AO255" s="57" t="str">
        <f aca="false">IF(C255="County",IF(AL255="Rest of county","Remainder of County","Settlements"),IF(D255="City Centre","City Centre","Rest of City"))</f>
        <v>Remainder of County</v>
      </c>
      <c r="AP255" s="57" t="str">
        <f aca="false">IF(LEFT(B255,13)="Council audit","Audit",IF(LEFT(B255,8)="Planning","Consent","Zoned"))</f>
        <v>Consent</v>
      </c>
      <c r="AQ255" s="57" t="n">
        <f aca="false">IF(N(K255)&gt;0,I255*Y255/K255,0)</f>
        <v>0</v>
      </c>
    </row>
    <row r="256" customFormat="false" ht="15" hidden="false" customHeight="false" outlineLevel="0" collapsed="false">
      <c r="A256" s="57" t="s">
        <v>971</v>
      </c>
      <c r="B256" s="57" t="s">
        <v>218</v>
      </c>
      <c r="C256" s="57" t="s">
        <v>220</v>
      </c>
      <c r="D256" s="57" t="s">
        <v>739</v>
      </c>
      <c r="E256" s="57" t="s">
        <v>972</v>
      </c>
      <c r="F256" s="57"/>
      <c r="G256" s="57"/>
      <c r="H256" s="57"/>
      <c r="I256" s="57" t="n">
        <v>0.361</v>
      </c>
      <c r="J256" s="57" t="n">
        <v>0.361</v>
      </c>
      <c r="K256" s="57"/>
      <c r="L256" s="57" t="s">
        <v>731</v>
      </c>
      <c r="M256" s="57"/>
      <c r="N256" s="57"/>
      <c r="O256" s="57"/>
      <c r="P256" s="57"/>
      <c r="Q256" s="57"/>
      <c r="R256" s="57" t="n">
        <v>0</v>
      </c>
      <c r="S256" s="57" t="n">
        <v>9</v>
      </c>
      <c r="T256" s="57" t="n">
        <v>0</v>
      </c>
      <c r="U256" s="57" t="n">
        <v>0</v>
      </c>
      <c r="V256" s="57" t="n">
        <v>0</v>
      </c>
      <c r="W256" s="57" t="n">
        <v>0</v>
      </c>
      <c r="X256" s="57" t="n">
        <v>9</v>
      </c>
      <c r="Y256" s="57" t="n">
        <v>0</v>
      </c>
      <c r="Z256" s="57" t="n">
        <v>9</v>
      </c>
      <c r="AA256" s="57" t="n">
        <v>9</v>
      </c>
      <c r="AB256" s="57" t="n">
        <v>2.1</v>
      </c>
      <c r="AC256" s="57" t="n">
        <v>6.9</v>
      </c>
      <c r="AD256" s="57" t="n">
        <v>0</v>
      </c>
      <c r="AE256" s="57" t="n">
        <v>0</v>
      </c>
      <c r="AF256" s="57" t="n">
        <v>0</v>
      </c>
      <c r="AG256" s="57" t="n">
        <v>0</v>
      </c>
      <c r="AH256" s="57" t="s">
        <v>239</v>
      </c>
      <c r="AI256" s="57"/>
      <c r="AJ256" s="57" t="n">
        <v>9</v>
      </c>
      <c r="AK256" s="57" t="s">
        <v>364</v>
      </c>
      <c r="AL256" s="57" t="s">
        <v>356</v>
      </c>
      <c r="AM256" s="57" t="n">
        <v>1</v>
      </c>
      <c r="AN256" s="57" t="s">
        <v>575</v>
      </c>
      <c r="AO256" s="57" t="str">
        <f aca="false">IF(C256="County",IF(AL256="Rest of county","Remainder of County","Settlements"),IF(D256="City Centre","City Centre","Rest of City"))</f>
        <v>Settlements</v>
      </c>
      <c r="AP256" s="57" t="str">
        <f aca="false">IF(LEFT(B256,13)="Council audit","Audit",IF(LEFT(B256,8)="Planning","Consent","Zoned"))</f>
        <v>Consent</v>
      </c>
      <c r="AQ256" s="57" t="n">
        <f aca="false">IF(N(K256)&gt;0,I256*Y256/K256,0)</f>
        <v>0</v>
      </c>
    </row>
    <row r="257" customFormat="false" ht="15" hidden="false" customHeight="false" outlineLevel="0" collapsed="false">
      <c r="A257" s="57" t="s">
        <v>973</v>
      </c>
      <c r="B257" s="57" t="s">
        <v>218</v>
      </c>
      <c r="C257" s="57" t="s">
        <v>220</v>
      </c>
      <c r="D257" s="57" t="s">
        <v>739</v>
      </c>
      <c r="E257" s="57" t="s">
        <v>974</v>
      </c>
      <c r="F257" s="57"/>
      <c r="G257" s="57"/>
      <c r="H257" s="57"/>
      <c r="I257" s="57" t="n">
        <v>0.474</v>
      </c>
      <c r="J257" s="57" t="n">
        <v>0.474</v>
      </c>
      <c r="K257" s="57"/>
      <c r="L257" s="57" t="s">
        <v>731</v>
      </c>
      <c r="M257" s="57"/>
      <c r="N257" s="57"/>
      <c r="O257" s="57"/>
      <c r="P257" s="57"/>
      <c r="Q257" s="57"/>
      <c r="R257" s="57" t="n">
        <v>9</v>
      </c>
      <c r="S257" s="57" t="n">
        <v>0</v>
      </c>
      <c r="T257" s="57" t="n">
        <v>0</v>
      </c>
      <c r="U257" s="57" t="n">
        <v>0</v>
      </c>
      <c r="V257" s="57" t="n">
        <v>0</v>
      </c>
      <c r="W257" s="57" t="n">
        <v>0</v>
      </c>
      <c r="X257" s="57" t="n">
        <v>9</v>
      </c>
      <c r="Y257" s="57" t="n">
        <v>0</v>
      </c>
      <c r="Z257" s="57" t="n">
        <v>9</v>
      </c>
      <c r="AA257" s="57" t="n">
        <v>0</v>
      </c>
      <c r="AB257" s="57" t="n">
        <v>0</v>
      </c>
      <c r="AC257" s="57" t="n">
        <v>0</v>
      </c>
      <c r="AD257" s="57" t="n">
        <v>0</v>
      </c>
      <c r="AE257" s="57" t="n">
        <v>0</v>
      </c>
      <c r="AF257" s="57" t="n">
        <v>0</v>
      </c>
      <c r="AG257" s="57" t="n">
        <v>0</v>
      </c>
      <c r="AH257" s="57" t="s">
        <v>237</v>
      </c>
      <c r="AI257" s="57"/>
      <c r="AJ257" s="57" t="n">
        <v>9</v>
      </c>
      <c r="AK257" s="57" t="s">
        <v>364</v>
      </c>
      <c r="AL257" s="57" t="s">
        <v>356</v>
      </c>
      <c r="AM257" s="57" t="n">
        <v>1</v>
      </c>
      <c r="AN257" s="57" t="s">
        <v>575</v>
      </c>
      <c r="AO257" s="57" t="str">
        <f aca="false">IF(C257="County",IF(AL257="Rest of county","Remainder of County","Settlements"),IF(D257="City Centre","City Centre","Rest of City"))</f>
        <v>Settlements</v>
      </c>
      <c r="AP257" s="57" t="str">
        <f aca="false">IF(LEFT(B257,13)="Council audit","Audit",IF(LEFT(B257,8)="Planning","Consent","Zoned"))</f>
        <v>Consent</v>
      </c>
      <c r="AQ257" s="57" t="n">
        <f aca="false">IF(N(K257)&gt;0,I257*Y257/K257,0)</f>
        <v>0</v>
      </c>
    </row>
    <row r="258" customFormat="false" ht="15" hidden="false" customHeight="false" outlineLevel="0" collapsed="false">
      <c r="A258" s="57" t="s">
        <v>975</v>
      </c>
      <c r="B258" s="57" t="s">
        <v>218</v>
      </c>
      <c r="C258" s="57" t="s">
        <v>216</v>
      </c>
      <c r="D258" s="57" t="s">
        <v>258</v>
      </c>
      <c r="E258" s="57" t="s">
        <v>976</v>
      </c>
      <c r="F258" s="57"/>
      <c r="G258" s="57"/>
      <c r="H258" s="57"/>
      <c r="I258" s="57" t="n">
        <v>0.031</v>
      </c>
      <c r="J258" s="57" t="n">
        <v>0.031</v>
      </c>
      <c r="K258" s="57"/>
      <c r="L258" s="57" t="s">
        <v>731</v>
      </c>
      <c r="M258" s="57"/>
      <c r="N258" s="57"/>
      <c r="O258" s="57"/>
      <c r="P258" s="57"/>
      <c r="Q258" s="57"/>
      <c r="R258" s="57" t="n">
        <v>0</v>
      </c>
      <c r="S258" s="57" t="n">
        <v>0</v>
      </c>
      <c r="T258" s="57" t="n">
        <v>8</v>
      </c>
      <c r="U258" s="57" t="n">
        <v>0</v>
      </c>
      <c r="V258" s="57" t="n">
        <v>0</v>
      </c>
      <c r="W258" s="57" t="n">
        <v>0</v>
      </c>
      <c r="X258" s="57" t="n">
        <v>8</v>
      </c>
      <c r="Y258" s="57" t="n">
        <v>0</v>
      </c>
      <c r="Z258" s="57" t="n">
        <v>8</v>
      </c>
      <c r="AA258" s="57" t="n">
        <v>8</v>
      </c>
      <c r="AB258" s="57" t="n">
        <v>0</v>
      </c>
      <c r="AC258" s="57" t="n">
        <v>0</v>
      </c>
      <c r="AD258" s="57" t="n">
        <v>4</v>
      </c>
      <c r="AE258" s="57" t="n">
        <v>4</v>
      </c>
      <c r="AF258" s="57" t="n">
        <v>0</v>
      </c>
      <c r="AG258" s="57" t="n">
        <v>0</v>
      </c>
      <c r="AH258" s="57" t="s">
        <v>239</v>
      </c>
      <c r="AI258" s="57"/>
      <c r="AJ258" s="57" t="n">
        <v>0</v>
      </c>
      <c r="AK258" s="57" t="s">
        <v>258</v>
      </c>
      <c r="AL258" s="57" t="s">
        <v>347</v>
      </c>
      <c r="AM258" s="57" t="n">
        <v>1</v>
      </c>
      <c r="AN258" s="57" t="s">
        <v>575</v>
      </c>
      <c r="AO258" s="57" t="str">
        <f aca="false">IF(C258="County",IF(AL258="Rest of county","Remainder of County","Settlements"),IF(D258="City Centre","City Centre","Rest of City"))</f>
        <v>City Centre</v>
      </c>
      <c r="AP258" s="57" t="str">
        <f aca="false">IF(LEFT(B258,13)="Council audit","Audit",IF(LEFT(B258,8)="Planning","Consent","Zoned"))</f>
        <v>Consent</v>
      </c>
      <c r="AQ258" s="57" t="n">
        <f aca="false">IF(N(K258)&gt;0,I258*Y258/K258,0)</f>
        <v>0</v>
      </c>
    </row>
    <row r="259" customFormat="false" ht="15" hidden="false" customHeight="false" outlineLevel="0" collapsed="false">
      <c r="A259" s="57" t="s">
        <v>977</v>
      </c>
      <c r="B259" s="57" t="s">
        <v>218</v>
      </c>
      <c r="C259" s="57" t="s">
        <v>220</v>
      </c>
      <c r="D259" s="57" t="s">
        <v>739</v>
      </c>
      <c r="E259" s="57" t="s">
        <v>978</v>
      </c>
      <c r="F259" s="57"/>
      <c r="G259" s="57"/>
      <c r="H259" s="57"/>
      <c r="I259" s="57" t="n">
        <v>0.353</v>
      </c>
      <c r="J259" s="57" t="n">
        <v>0.353</v>
      </c>
      <c r="K259" s="57"/>
      <c r="L259" s="57" t="s">
        <v>731</v>
      </c>
      <c r="M259" s="57"/>
      <c r="N259" s="57"/>
      <c r="O259" s="57"/>
      <c r="P259" s="57"/>
      <c r="Q259" s="57"/>
      <c r="R259" s="57" t="n">
        <v>0</v>
      </c>
      <c r="S259" s="57" t="n">
        <v>0</v>
      </c>
      <c r="T259" s="57" t="n">
        <v>8</v>
      </c>
      <c r="U259" s="57" t="n">
        <v>0</v>
      </c>
      <c r="V259" s="57" t="n">
        <v>0</v>
      </c>
      <c r="W259" s="57" t="n">
        <v>0</v>
      </c>
      <c r="X259" s="57" t="n">
        <v>8</v>
      </c>
      <c r="Y259" s="57" t="n">
        <v>0</v>
      </c>
      <c r="Z259" s="57" t="n">
        <v>8</v>
      </c>
      <c r="AA259" s="57" t="n">
        <v>8</v>
      </c>
      <c r="AB259" s="57" t="n">
        <v>0</v>
      </c>
      <c r="AC259" s="57" t="n">
        <v>0</v>
      </c>
      <c r="AD259" s="57" t="n">
        <v>0.5</v>
      </c>
      <c r="AE259" s="57" t="n">
        <v>7.5</v>
      </c>
      <c r="AF259" s="57" t="n">
        <v>0</v>
      </c>
      <c r="AG259" s="57" t="n">
        <v>0</v>
      </c>
      <c r="AH259" s="57" t="s">
        <v>239</v>
      </c>
      <c r="AI259" s="57"/>
      <c r="AJ259" s="57" t="n">
        <v>0</v>
      </c>
      <c r="AK259" s="57" t="s">
        <v>358</v>
      </c>
      <c r="AL259" s="57" t="s">
        <v>356</v>
      </c>
      <c r="AM259" s="57" t="n">
        <v>0.76</v>
      </c>
      <c r="AN259" s="57" t="s">
        <v>575</v>
      </c>
      <c r="AO259" s="57" t="str">
        <f aca="false">IF(C259="County",IF(AL259="Rest of county","Remainder of County","Settlements"),IF(D259="City Centre","City Centre","Rest of City"))</f>
        <v>Settlements</v>
      </c>
      <c r="AP259" s="57" t="str">
        <f aca="false">IF(LEFT(B259,13)="Council audit","Audit",IF(LEFT(B259,8)="Planning","Consent","Zoned"))</f>
        <v>Consent</v>
      </c>
      <c r="AQ259" s="57" t="n">
        <f aca="false">IF(N(K259)&gt;0,I259*Y259/K259,0)</f>
        <v>0</v>
      </c>
    </row>
    <row r="260" customFormat="false" ht="15" hidden="false" customHeight="false" outlineLevel="0" collapsed="false">
      <c r="A260" s="57" t="s">
        <v>979</v>
      </c>
      <c r="B260" s="57" t="s">
        <v>218</v>
      </c>
      <c r="C260" s="57" t="s">
        <v>216</v>
      </c>
      <c r="D260" s="57" t="s">
        <v>285</v>
      </c>
      <c r="E260" s="57" t="s">
        <v>980</v>
      </c>
      <c r="F260" s="57"/>
      <c r="G260" s="57"/>
      <c r="H260" s="57"/>
      <c r="I260" s="57" t="n">
        <v>0.241</v>
      </c>
      <c r="J260" s="57" t="n">
        <v>0.241</v>
      </c>
      <c r="K260" s="57"/>
      <c r="L260" s="57" t="s">
        <v>731</v>
      </c>
      <c r="M260" s="57"/>
      <c r="N260" s="57"/>
      <c r="O260" s="57"/>
      <c r="P260" s="57"/>
      <c r="Q260" s="57"/>
      <c r="R260" s="57" t="n">
        <v>0</v>
      </c>
      <c r="S260" s="57" t="n">
        <v>8</v>
      </c>
      <c r="T260" s="57" t="n">
        <v>0</v>
      </c>
      <c r="U260" s="57" t="n">
        <v>0</v>
      </c>
      <c r="V260" s="57" t="n">
        <v>0</v>
      </c>
      <c r="W260" s="57" t="n">
        <v>0</v>
      </c>
      <c r="X260" s="57" t="n">
        <v>8</v>
      </c>
      <c r="Y260" s="57" t="n">
        <v>0</v>
      </c>
      <c r="Z260" s="57" t="n">
        <v>8</v>
      </c>
      <c r="AA260" s="57" t="n">
        <v>8</v>
      </c>
      <c r="AB260" s="57" t="n">
        <v>1.9</v>
      </c>
      <c r="AC260" s="57" t="n">
        <v>6.1</v>
      </c>
      <c r="AD260" s="57" t="n">
        <v>0</v>
      </c>
      <c r="AE260" s="57" t="n">
        <v>0</v>
      </c>
      <c r="AF260" s="57" t="n">
        <v>0</v>
      </c>
      <c r="AG260" s="57" t="n">
        <v>0</v>
      </c>
      <c r="AH260" s="57" t="s">
        <v>239</v>
      </c>
      <c r="AI260" s="57"/>
      <c r="AJ260" s="57" t="n">
        <v>0</v>
      </c>
      <c r="AK260" s="57" t="s">
        <v>285</v>
      </c>
      <c r="AL260" s="57" t="s">
        <v>347</v>
      </c>
      <c r="AM260" s="57" t="n">
        <v>1</v>
      </c>
      <c r="AN260" s="57" t="s">
        <v>575</v>
      </c>
      <c r="AO260" s="57" t="str">
        <f aca="false">IF(C260="County",IF(AL260="Rest of county","Remainder of County","Settlements"),IF(D260="City Centre","City Centre","Rest of City"))</f>
        <v>Rest of City</v>
      </c>
      <c r="AP260" s="57" t="str">
        <f aca="false">IF(LEFT(B260,13)="Council audit","Audit",IF(LEFT(B260,8)="Planning","Consent","Zoned"))</f>
        <v>Consent</v>
      </c>
      <c r="AQ260" s="57" t="n">
        <f aca="false">IF(N(K260)&gt;0,I260*Y260/K260,0)</f>
        <v>0</v>
      </c>
    </row>
    <row r="261" customFormat="false" ht="15" hidden="false" customHeight="false" outlineLevel="0" collapsed="false">
      <c r="A261" s="57" t="s">
        <v>981</v>
      </c>
      <c r="B261" s="57" t="s">
        <v>218</v>
      </c>
      <c r="C261" s="57" t="s">
        <v>220</v>
      </c>
      <c r="D261" s="57" t="s">
        <v>739</v>
      </c>
      <c r="E261" s="57" t="s">
        <v>982</v>
      </c>
      <c r="F261" s="57"/>
      <c r="G261" s="57"/>
      <c r="H261" s="57"/>
      <c r="I261" s="57" t="n">
        <v>0.621</v>
      </c>
      <c r="J261" s="57" t="n">
        <v>0.621</v>
      </c>
      <c r="K261" s="57"/>
      <c r="L261" s="57" t="s">
        <v>731</v>
      </c>
      <c r="M261" s="57"/>
      <c r="N261" s="57"/>
      <c r="O261" s="57"/>
      <c r="P261" s="57"/>
      <c r="Q261" s="57"/>
      <c r="R261" s="57" t="n">
        <v>8</v>
      </c>
      <c r="S261" s="57" t="n">
        <v>0</v>
      </c>
      <c r="T261" s="57" t="n">
        <v>0</v>
      </c>
      <c r="U261" s="57" t="n">
        <v>0</v>
      </c>
      <c r="V261" s="57" t="n">
        <v>0</v>
      </c>
      <c r="W261" s="57" t="n">
        <v>0</v>
      </c>
      <c r="X261" s="57" t="n">
        <v>8</v>
      </c>
      <c r="Y261" s="57" t="n">
        <v>0</v>
      </c>
      <c r="Z261" s="57" t="n">
        <v>8</v>
      </c>
      <c r="AA261" s="57" t="n">
        <v>0</v>
      </c>
      <c r="AB261" s="57" t="n">
        <v>0</v>
      </c>
      <c r="AC261" s="57" t="n">
        <v>0</v>
      </c>
      <c r="AD261" s="57" t="n">
        <v>0</v>
      </c>
      <c r="AE261" s="57" t="n">
        <v>0</v>
      </c>
      <c r="AF261" s="57" t="n">
        <v>0</v>
      </c>
      <c r="AG261" s="57" t="n">
        <v>0</v>
      </c>
      <c r="AH261" s="57" t="s">
        <v>237</v>
      </c>
      <c r="AI261" s="57"/>
      <c r="AJ261" s="57" t="n">
        <v>8</v>
      </c>
      <c r="AK261" s="57" t="s">
        <v>365</v>
      </c>
      <c r="AL261" s="57" t="s">
        <v>365</v>
      </c>
      <c r="AM261" s="57"/>
      <c r="AN261" s="57" t="s">
        <v>365</v>
      </c>
      <c r="AO261" s="57" t="str">
        <f aca="false">IF(C261="County",IF(AL261="Rest of county","Remainder of County","Settlements"),IF(D261="City Centre","City Centre","Rest of City"))</f>
        <v>Remainder of County</v>
      </c>
      <c r="AP261" s="57" t="str">
        <f aca="false">IF(LEFT(B261,13)="Council audit","Audit",IF(LEFT(B261,8)="Planning","Consent","Zoned"))</f>
        <v>Consent</v>
      </c>
      <c r="AQ261" s="57" t="n">
        <f aca="false">IF(N(K261)&gt;0,I261*Y261/K261,0)</f>
        <v>0</v>
      </c>
    </row>
    <row r="262" customFormat="false" ht="15" hidden="false" customHeight="false" outlineLevel="0" collapsed="false">
      <c r="A262" s="57" t="s">
        <v>983</v>
      </c>
      <c r="B262" s="57" t="s">
        <v>218</v>
      </c>
      <c r="C262" s="57" t="s">
        <v>216</v>
      </c>
      <c r="D262" s="57" t="s">
        <v>288</v>
      </c>
      <c r="E262" s="57" t="s">
        <v>984</v>
      </c>
      <c r="F262" s="57"/>
      <c r="G262" s="57"/>
      <c r="H262" s="57"/>
      <c r="I262" s="57" t="n">
        <v>0.053</v>
      </c>
      <c r="J262" s="57" t="n">
        <v>0.053</v>
      </c>
      <c r="K262" s="57"/>
      <c r="L262" s="57" t="s">
        <v>731</v>
      </c>
      <c r="M262" s="57"/>
      <c r="N262" s="57"/>
      <c r="O262" s="57"/>
      <c r="P262" s="57"/>
      <c r="Q262" s="57"/>
      <c r="R262" s="57" t="n">
        <v>0</v>
      </c>
      <c r="S262" s="57" t="n">
        <v>0</v>
      </c>
      <c r="T262" s="57" t="n">
        <v>8</v>
      </c>
      <c r="U262" s="57" t="n">
        <v>0</v>
      </c>
      <c r="V262" s="57" t="n">
        <v>0</v>
      </c>
      <c r="W262" s="57" t="n">
        <v>0</v>
      </c>
      <c r="X262" s="57" t="n">
        <v>8</v>
      </c>
      <c r="Y262" s="57" t="n">
        <v>0</v>
      </c>
      <c r="Z262" s="57" t="n">
        <v>8</v>
      </c>
      <c r="AA262" s="57" t="n">
        <v>8</v>
      </c>
      <c r="AB262" s="57" t="n">
        <v>0</v>
      </c>
      <c r="AC262" s="57" t="n">
        <v>0</v>
      </c>
      <c r="AD262" s="57" t="n">
        <v>4</v>
      </c>
      <c r="AE262" s="57" t="n">
        <v>4</v>
      </c>
      <c r="AF262" s="57" t="n">
        <v>0</v>
      </c>
      <c r="AG262" s="57" t="n">
        <v>0</v>
      </c>
      <c r="AH262" s="57" t="s">
        <v>239</v>
      </c>
      <c r="AI262" s="57"/>
      <c r="AJ262" s="57" t="n">
        <v>0</v>
      </c>
      <c r="AK262" s="57" t="s">
        <v>288</v>
      </c>
      <c r="AL262" s="57" t="s">
        <v>347</v>
      </c>
      <c r="AM262" s="57" t="n">
        <v>1</v>
      </c>
      <c r="AN262" s="57" t="s">
        <v>575</v>
      </c>
      <c r="AO262" s="57" t="str">
        <f aca="false">IF(C262="County",IF(AL262="Rest of county","Remainder of County","Settlements"),IF(D262="City Centre","City Centre","Rest of City"))</f>
        <v>Rest of City</v>
      </c>
      <c r="AP262" s="57" t="str">
        <f aca="false">IF(LEFT(B262,13)="Council audit","Audit",IF(LEFT(B262,8)="Planning","Consent","Zoned"))</f>
        <v>Consent</v>
      </c>
      <c r="AQ262" s="57" t="n">
        <f aca="false">IF(N(K262)&gt;0,I262*Y262/K262,0)</f>
        <v>0</v>
      </c>
    </row>
    <row r="263" customFormat="false" ht="15" hidden="false" customHeight="false" outlineLevel="0" collapsed="false">
      <c r="A263" s="57" t="s">
        <v>985</v>
      </c>
      <c r="B263" s="57" t="s">
        <v>218</v>
      </c>
      <c r="C263" s="57" t="s">
        <v>216</v>
      </c>
      <c r="D263" s="57" t="s">
        <v>258</v>
      </c>
      <c r="E263" s="57" t="s">
        <v>986</v>
      </c>
      <c r="F263" s="57"/>
      <c r="G263" s="57"/>
      <c r="H263" s="57"/>
      <c r="I263" s="57" t="n">
        <v>0.196</v>
      </c>
      <c r="J263" s="57" t="n">
        <v>0.196</v>
      </c>
      <c r="K263" s="57"/>
      <c r="L263" s="57" t="s">
        <v>731</v>
      </c>
      <c r="M263" s="57"/>
      <c r="N263" s="57"/>
      <c r="O263" s="57"/>
      <c r="P263" s="57"/>
      <c r="Q263" s="57"/>
      <c r="R263" s="57" t="n">
        <v>0</v>
      </c>
      <c r="S263" s="57" t="n">
        <v>0</v>
      </c>
      <c r="T263" s="57" t="n">
        <v>8</v>
      </c>
      <c r="U263" s="57" t="n">
        <v>0</v>
      </c>
      <c r="V263" s="57" t="n">
        <v>0</v>
      </c>
      <c r="W263" s="57" t="n">
        <v>0</v>
      </c>
      <c r="X263" s="57" t="n">
        <v>8</v>
      </c>
      <c r="Y263" s="57" t="n">
        <v>0</v>
      </c>
      <c r="Z263" s="57" t="n">
        <v>8</v>
      </c>
      <c r="AA263" s="57" t="n">
        <v>8</v>
      </c>
      <c r="AB263" s="57" t="n">
        <v>0</v>
      </c>
      <c r="AC263" s="57" t="n">
        <v>0</v>
      </c>
      <c r="AD263" s="57" t="n">
        <v>4</v>
      </c>
      <c r="AE263" s="57" t="n">
        <v>4</v>
      </c>
      <c r="AF263" s="57" t="n">
        <v>0</v>
      </c>
      <c r="AG263" s="57" t="n">
        <v>0</v>
      </c>
      <c r="AH263" s="57" t="s">
        <v>239</v>
      </c>
      <c r="AI263" s="57"/>
      <c r="AJ263" s="57" t="n">
        <v>0</v>
      </c>
      <c r="AK263" s="57" t="s">
        <v>258</v>
      </c>
      <c r="AL263" s="57" t="s">
        <v>347</v>
      </c>
      <c r="AM263" s="57" t="n">
        <v>1</v>
      </c>
      <c r="AN263" s="57" t="s">
        <v>575</v>
      </c>
      <c r="AO263" s="57" t="str">
        <f aca="false">IF(C263="County",IF(AL263="Rest of county","Remainder of County","Settlements"),IF(D263="City Centre","City Centre","Rest of City"))</f>
        <v>City Centre</v>
      </c>
      <c r="AP263" s="57" t="str">
        <f aca="false">IF(LEFT(B263,13)="Council audit","Audit",IF(LEFT(B263,8)="Planning","Consent","Zoned"))</f>
        <v>Consent</v>
      </c>
      <c r="AQ263" s="57" t="n">
        <f aca="false">IF(N(K263)&gt;0,I263*Y263/K263,0)</f>
        <v>0</v>
      </c>
    </row>
    <row r="264" customFormat="false" ht="15" hidden="false" customHeight="false" outlineLevel="0" collapsed="false">
      <c r="A264" s="57" t="s">
        <v>987</v>
      </c>
      <c r="B264" s="57" t="s">
        <v>218</v>
      </c>
      <c r="C264" s="57" t="s">
        <v>216</v>
      </c>
      <c r="D264" s="57" t="s">
        <v>258</v>
      </c>
      <c r="E264" s="57" t="s">
        <v>988</v>
      </c>
      <c r="F264" s="57"/>
      <c r="G264" s="57"/>
      <c r="H264" s="57"/>
      <c r="I264" s="57" t="n">
        <v>0.026</v>
      </c>
      <c r="J264" s="57" t="n">
        <v>0.026</v>
      </c>
      <c r="K264" s="57"/>
      <c r="L264" s="57" t="s">
        <v>731</v>
      </c>
      <c r="M264" s="57"/>
      <c r="N264" s="57"/>
      <c r="O264" s="57"/>
      <c r="P264" s="57"/>
      <c r="Q264" s="57"/>
      <c r="R264" s="57" t="n">
        <v>0</v>
      </c>
      <c r="S264" s="57" t="n">
        <v>8</v>
      </c>
      <c r="T264" s="57" t="n">
        <v>0</v>
      </c>
      <c r="U264" s="57" t="n">
        <v>0</v>
      </c>
      <c r="V264" s="57" t="n">
        <v>0</v>
      </c>
      <c r="W264" s="57" t="n">
        <v>0</v>
      </c>
      <c r="X264" s="57" t="n">
        <v>8</v>
      </c>
      <c r="Y264" s="57" t="n">
        <v>0</v>
      </c>
      <c r="Z264" s="57" t="n">
        <v>8</v>
      </c>
      <c r="AA264" s="57" t="n">
        <v>8</v>
      </c>
      <c r="AB264" s="57" t="n">
        <v>1.9</v>
      </c>
      <c r="AC264" s="57" t="n">
        <v>6.1</v>
      </c>
      <c r="AD264" s="57" t="n">
        <v>0</v>
      </c>
      <c r="AE264" s="57" t="n">
        <v>0</v>
      </c>
      <c r="AF264" s="57" t="n">
        <v>0</v>
      </c>
      <c r="AG264" s="57" t="n">
        <v>0</v>
      </c>
      <c r="AH264" s="57" t="s">
        <v>239</v>
      </c>
      <c r="AI264" s="57"/>
      <c r="AJ264" s="57" t="n">
        <v>0</v>
      </c>
      <c r="AK264" s="57" t="s">
        <v>258</v>
      </c>
      <c r="AL264" s="57" t="s">
        <v>347</v>
      </c>
      <c r="AM264" s="57" t="n">
        <v>1</v>
      </c>
      <c r="AN264" s="57" t="s">
        <v>575</v>
      </c>
      <c r="AO264" s="57" t="str">
        <f aca="false">IF(C264="County",IF(AL264="Rest of county","Remainder of County","Settlements"),IF(D264="City Centre","City Centre","Rest of City"))</f>
        <v>City Centre</v>
      </c>
      <c r="AP264" s="57" t="str">
        <f aca="false">IF(LEFT(B264,13)="Council audit","Audit",IF(LEFT(B264,8)="Planning","Consent","Zoned"))</f>
        <v>Consent</v>
      </c>
      <c r="AQ264" s="57" t="n">
        <f aca="false">IF(N(K264)&gt;0,I264*Y264/K264,0)</f>
        <v>0</v>
      </c>
    </row>
    <row r="265" customFormat="false" ht="15" hidden="false" customHeight="false" outlineLevel="0" collapsed="false">
      <c r="A265" s="57" t="s">
        <v>989</v>
      </c>
      <c r="B265" s="57" t="s">
        <v>218</v>
      </c>
      <c r="C265" s="57" t="s">
        <v>220</v>
      </c>
      <c r="D265" s="57" t="s">
        <v>739</v>
      </c>
      <c r="E265" s="57" t="s">
        <v>990</v>
      </c>
      <c r="F265" s="57"/>
      <c r="G265" s="57"/>
      <c r="H265" s="57"/>
      <c r="I265" s="57" t="n">
        <v>0.639</v>
      </c>
      <c r="J265" s="57" t="n">
        <v>0.639</v>
      </c>
      <c r="K265" s="57"/>
      <c r="L265" s="57" t="s">
        <v>731</v>
      </c>
      <c r="M265" s="57"/>
      <c r="N265" s="57"/>
      <c r="O265" s="57"/>
      <c r="P265" s="57"/>
      <c r="Q265" s="57"/>
      <c r="R265" s="57" t="n">
        <v>0</v>
      </c>
      <c r="S265" s="57" t="n">
        <v>0</v>
      </c>
      <c r="T265" s="57" t="n">
        <v>0</v>
      </c>
      <c r="U265" s="57" t="n">
        <v>0</v>
      </c>
      <c r="V265" s="57" t="n">
        <v>0</v>
      </c>
      <c r="W265" s="57" t="n">
        <v>8</v>
      </c>
      <c r="X265" s="57" t="n">
        <v>0</v>
      </c>
      <c r="Y265" s="57" t="n">
        <v>0</v>
      </c>
      <c r="Z265" s="57" t="n">
        <v>0</v>
      </c>
      <c r="AA265" s="57" t="n">
        <v>0</v>
      </c>
      <c r="AB265" s="57" t="n">
        <v>0</v>
      </c>
      <c r="AC265" s="57" t="n">
        <v>0</v>
      </c>
      <c r="AD265" s="57" t="n">
        <v>0</v>
      </c>
      <c r="AE265" s="57" t="n">
        <v>0</v>
      </c>
      <c r="AF265" s="57" t="n">
        <v>0</v>
      </c>
      <c r="AG265" s="57" t="n">
        <v>0</v>
      </c>
      <c r="AH265" s="57" t="s">
        <v>240</v>
      </c>
      <c r="AI265" s="57"/>
      <c r="AJ265" s="57" t="n">
        <v>0</v>
      </c>
      <c r="AK265" s="57" t="s">
        <v>365</v>
      </c>
      <c r="AL265" s="57" t="s">
        <v>365</v>
      </c>
      <c r="AM265" s="57"/>
      <c r="AN265" s="57" t="s">
        <v>365</v>
      </c>
      <c r="AO265" s="57" t="str">
        <f aca="false">IF(C265="County",IF(AL265="Rest of county","Remainder of County","Settlements"),IF(D265="City Centre","City Centre","Rest of City"))</f>
        <v>Remainder of County</v>
      </c>
      <c r="AP265" s="57" t="str">
        <f aca="false">IF(LEFT(B265,13)="Council audit","Audit",IF(LEFT(B265,8)="Planning","Consent","Zoned"))</f>
        <v>Consent</v>
      </c>
      <c r="AQ265" s="57" t="n">
        <f aca="false">IF(N(K265)&gt;0,I265*Y265/K265,0)</f>
        <v>0</v>
      </c>
    </row>
    <row r="266" customFormat="false" ht="15" hidden="false" customHeight="false" outlineLevel="0" collapsed="false">
      <c r="A266" s="57" t="s">
        <v>991</v>
      </c>
      <c r="B266" s="57" t="s">
        <v>218</v>
      </c>
      <c r="C266" s="57" t="s">
        <v>220</v>
      </c>
      <c r="D266" s="57" t="s">
        <v>739</v>
      </c>
      <c r="E266" s="57" t="s">
        <v>992</v>
      </c>
      <c r="F266" s="57"/>
      <c r="G266" s="57"/>
      <c r="H266" s="57"/>
      <c r="I266" s="57" t="n">
        <v>0.115</v>
      </c>
      <c r="J266" s="57" t="n">
        <v>0.115</v>
      </c>
      <c r="K266" s="57"/>
      <c r="L266" s="57" t="s">
        <v>731</v>
      </c>
      <c r="M266" s="57"/>
      <c r="N266" s="57"/>
      <c r="O266" s="57"/>
      <c r="P266" s="57"/>
      <c r="Q266" s="57"/>
      <c r="R266" s="57" t="n">
        <v>0</v>
      </c>
      <c r="S266" s="57" t="n">
        <v>0</v>
      </c>
      <c r="T266" s="57" t="n">
        <v>7</v>
      </c>
      <c r="U266" s="57" t="n">
        <v>0</v>
      </c>
      <c r="V266" s="57" t="n">
        <v>0</v>
      </c>
      <c r="W266" s="57" t="n">
        <v>0</v>
      </c>
      <c r="X266" s="57" t="n">
        <v>7</v>
      </c>
      <c r="Y266" s="57" t="n">
        <v>0</v>
      </c>
      <c r="Z266" s="57" t="n">
        <v>7</v>
      </c>
      <c r="AA266" s="57" t="n">
        <v>7</v>
      </c>
      <c r="AB266" s="57" t="n">
        <v>0</v>
      </c>
      <c r="AC266" s="57" t="n">
        <v>0</v>
      </c>
      <c r="AD266" s="57" t="n">
        <v>4.4</v>
      </c>
      <c r="AE266" s="57" t="n">
        <v>2.6</v>
      </c>
      <c r="AF266" s="57" t="n">
        <v>0</v>
      </c>
      <c r="AG266" s="57" t="n">
        <v>0</v>
      </c>
      <c r="AH266" s="57" t="s">
        <v>239</v>
      </c>
      <c r="AI266" s="57"/>
      <c r="AJ266" s="57" t="n">
        <v>0</v>
      </c>
      <c r="AK266" s="57" t="s">
        <v>350</v>
      </c>
      <c r="AL266" s="57" t="s">
        <v>349</v>
      </c>
      <c r="AM266" s="57" t="n">
        <v>1</v>
      </c>
      <c r="AN266" s="57" t="s">
        <v>575</v>
      </c>
      <c r="AO266" s="57" t="str">
        <f aca="false">IF(C266="County",IF(AL266="Rest of county","Remainder of County","Settlements"),IF(D266="City Centre","City Centre","Rest of City"))</f>
        <v>Settlements</v>
      </c>
      <c r="AP266" s="57" t="str">
        <f aca="false">IF(LEFT(B266,13)="Council audit","Audit",IF(LEFT(B266,8)="Planning","Consent","Zoned"))</f>
        <v>Consent</v>
      </c>
      <c r="AQ266" s="57" t="n">
        <f aca="false">IF(N(K266)&gt;0,I266*Y266/K266,0)</f>
        <v>0</v>
      </c>
    </row>
    <row r="267" customFormat="false" ht="15" hidden="false" customHeight="false" outlineLevel="0" collapsed="false">
      <c r="A267" s="57" t="s">
        <v>993</v>
      </c>
      <c r="B267" s="57" t="s">
        <v>218</v>
      </c>
      <c r="C267" s="57" t="s">
        <v>216</v>
      </c>
      <c r="D267" s="57" t="s">
        <v>258</v>
      </c>
      <c r="E267" s="57" t="s">
        <v>994</v>
      </c>
      <c r="F267" s="57"/>
      <c r="G267" s="57"/>
      <c r="H267" s="57"/>
      <c r="I267" s="57" t="n">
        <v>0.045</v>
      </c>
      <c r="J267" s="57" t="n">
        <v>0.045</v>
      </c>
      <c r="K267" s="57"/>
      <c r="L267" s="57" t="s">
        <v>731</v>
      </c>
      <c r="M267" s="57"/>
      <c r="N267" s="57"/>
      <c r="O267" s="57"/>
      <c r="P267" s="57"/>
      <c r="Q267" s="57"/>
      <c r="R267" s="57" t="n">
        <v>0</v>
      </c>
      <c r="S267" s="57" t="n">
        <v>7</v>
      </c>
      <c r="T267" s="57" t="n">
        <v>0</v>
      </c>
      <c r="U267" s="57" t="n">
        <v>0</v>
      </c>
      <c r="V267" s="57" t="n">
        <v>0</v>
      </c>
      <c r="W267" s="57" t="n">
        <v>0</v>
      </c>
      <c r="X267" s="57" t="n">
        <v>7</v>
      </c>
      <c r="Y267" s="57" t="n">
        <v>0</v>
      </c>
      <c r="Z267" s="57" t="n">
        <v>7</v>
      </c>
      <c r="AA267" s="57" t="n">
        <v>7</v>
      </c>
      <c r="AB267" s="57" t="n">
        <v>0</v>
      </c>
      <c r="AC267" s="57" t="n">
        <v>5.8</v>
      </c>
      <c r="AD267" s="57" t="n">
        <v>1.2</v>
      </c>
      <c r="AE267" s="57" t="n">
        <v>0</v>
      </c>
      <c r="AF267" s="57" t="n">
        <v>0</v>
      </c>
      <c r="AG267" s="57" t="n">
        <v>0</v>
      </c>
      <c r="AH267" s="57" t="s">
        <v>239</v>
      </c>
      <c r="AI267" s="57"/>
      <c r="AJ267" s="57" t="n">
        <v>0</v>
      </c>
      <c r="AK267" s="57" t="s">
        <v>258</v>
      </c>
      <c r="AL267" s="57" t="s">
        <v>347</v>
      </c>
      <c r="AM267" s="57" t="n">
        <v>1</v>
      </c>
      <c r="AN267" s="57" t="s">
        <v>575</v>
      </c>
      <c r="AO267" s="57" t="str">
        <f aca="false">IF(C267="County",IF(AL267="Rest of county","Remainder of County","Settlements"),IF(D267="City Centre","City Centre","Rest of City"))</f>
        <v>City Centre</v>
      </c>
      <c r="AP267" s="57" t="str">
        <f aca="false">IF(LEFT(B267,13)="Council audit","Audit",IF(LEFT(B267,8)="Planning","Consent","Zoned"))</f>
        <v>Consent</v>
      </c>
      <c r="AQ267" s="57" t="n">
        <f aca="false">IF(N(K267)&gt;0,I267*Y267/K267,0)</f>
        <v>0</v>
      </c>
    </row>
    <row r="268" customFormat="false" ht="15" hidden="false" customHeight="false" outlineLevel="0" collapsed="false">
      <c r="A268" s="57" t="s">
        <v>995</v>
      </c>
      <c r="B268" s="57" t="s">
        <v>218</v>
      </c>
      <c r="C268" s="57" t="s">
        <v>216</v>
      </c>
      <c r="D268" s="57" t="s">
        <v>258</v>
      </c>
      <c r="E268" s="57" t="s">
        <v>996</v>
      </c>
      <c r="F268" s="57"/>
      <c r="G268" s="57"/>
      <c r="H268" s="57"/>
      <c r="I268" s="57" t="n">
        <v>0.032</v>
      </c>
      <c r="J268" s="57" t="n">
        <v>0.032</v>
      </c>
      <c r="K268" s="57"/>
      <c r="L268" s="57" t="s">
        <v>731</v>
      </c>
      <c r="M268" s="57"/>
      <c r="N268" s="57"/>
      <c r="O268" s="57"/>
      <c r="P268" s="57"/>
      <c r="Q268" s="57"/>
      <c r="R268" s="57" t="n">
        <v>0</v>
      </c>
      <c r="S268" s="57" t="n">
        <v>7</v>
      </c>
      <c r="T268" s="57" t="n">
        <v>0</v>
      </c>
      <c r="U268" s="57" t="n">
        <v>0</v>
      </c>
      <c r="V268" s="57" t="n">
        <v>0</v>
      </c>
      <c r="W268" s="57" t="n">
        <v>0</v>
      </c>
      <c r="X268" s="57" t="n">
        <v>7</v>
      </c>
      <c r="Y268" s="57" t="n">
        <v>0</v>
      </c>
      <c r="Z268" s="57" t="n">
        <v>7</v>
      </c>
      <c r="AA268" s="57" t="n">
        <v>7</v>
      </c>
      <c r="AB268" s="57" t="n">
        <v>0</v>
      </c>
      <c r="AC268" s="57" t="n">
        <v>6.6</v>
      </c>
      <c r="AD268" s="57" t="n">
        <v>0.4</v>
      </c>
      <c r="AE268" s="57" t="n">
        <v>0</v>
      </c>
      <c r="AF268" s="57" t="n">
        <v>0</v>
      </c>
      <c r="AG268" s="57" t="n">
        <v>0</v>
      </c>
      <c r="AH268" s="57" t="s">
        <v>239</v>
      </c>
      <c r="AI268" s="57"/>
      <c r="AJ268" s="57" t="n">
        <v>0</v>
      </c>
      <c r="AK268" s="57" t="s">
        <v>258</v>
      </c>
      <c r="AL268" s="57" t="s">
        <v>347</v>
      </c>
      <c r="AM268" s="57" t="n">
        <v>1</v>
      </c>
      <c r="AN268" s="57" t="s">
        <v>575</v>
      </c>
      <c r="AO268" s="57" t="str">
        <f aca="false">IF(C268="County",IF(AL268="Rest of county","Remainder of County","Settlements"),IF(D268="City Centre","City Centre","Rest of City"))</f>
        <v>City Centre</v>
      </c>
      <c r="AP268" s="57" t="str">
        <f aca="false">IF(LEFT(B268,13)="Council audit","Audit",IF(LEFT(B268,8)="Planning","Consent","Zoned"))</f>
        <v>Consent</v>
      </c>
      <c r="AQ268" s="57" t="n">
        <f aca="false">IF(N(K268)&gt;0,I268*Y268/K268,0)</f>
        <v>0</v>
      </c>
    </row>
    <row r="269" customFormat="false" ht="15" hidden="false" customHeight="false" outlineLevel="0" collapsed="false">
      <c r="A269" s="57" t="s">
        <v>997</v>
      </c>
      <c r="B269" s="57" t="s">
        <v>218</v>
      </c>
      <c r="C269" s="57" t="s">
        <v>216</v>
      </c>
      <c r="D269" s="57" t="s">
        <v>286</v>
      </c>
      <c r="E269" s="57" t="s">
        <v>998</v>
      </c>
      <c r="F269" s="57"/>
      <c r="G269" s="57"/>
      <c r="H269" s="57"/>
      <c r="I269" s="57" t="n">
        <v>0.206</v>
      </c>
      <c r="J269" s="57" t="n">
        <v>0.206</v>
      </c>
      <c r="K269" s="57"/>
      <c r="L269" s="57" t="s">
        <v>731</v>
      </c>
      <c r="M269" s="57"/>
      <c r="N269" s="57"/>
      <c r="O269" s="57"/>
      <c r="P269" s="57"/>
      <c r="Q269" s="57"/>
      <c r="R269" s="57" t="n">
        <v>7</v>
      </c>
      <c r="S269" s="57" t="n">
        <v>0</v>
      </c>
      <c r="T269" s="57" t="n">
        <v>0</v>
      </c>
      <c r="U269" s="57" t="n">
        <v>0</v>
      </c>
      <c r="V269" s="57" t="n">
        <v>0</v>
      </c>
      <c r="W269" s="57" t="n">
        <v>0</v>
      </c>
      <c r="X269" s="57" t="n">
        <v>7</v>
      </c>
      <c r="Y269" s="57" t="n">
        <v>0</v>
      </c>
      <c r="Z269" s="57" t="n">
        <v>7</v>
      </c>
      <c r="AA269" s="57" t="n">
        <v>0</v>
      </c>
      <c r="AB269" s="57" t="n">
        <v>0</v>
      </c>
      <c r="AC269" s="57" t="n">
        <v>0</v>
      </c>
      <c r="AD269" s="57" t="n">
        <v>0</v>
      </c>
      <c r="AE269" s="57" t="n">
        <v>0</v>
      </c>
      <c r="AF269" s="57" t="n">
        <v>0</v>
      </c>
      <c r="AG269" s="57" t="n">
        <v>0</v>
      </c>
      <c r="AH269" s="57" t="s">
        <v>237</v>
      </c>
      <c r="AI269" s="57"/>
      <c r="AJ269" s="57" t="n">
        <v>7</v>
      </c>
      <c r="AK269" s="57" t="s">
        <v>286</v>
      </c>
      <c r="AL269" s="57" t="s">
        <v>347</v>
      </c>
      <c r="AM269" s="57" t="n">
        <v>1</v>
      </c>
      <c r="AN269" s="57" t="s">
        <v>575</v>
      </c>
      <c r="AO269" s="57" t="str">
        <f aca="false">IF(C269="County",IF(AL269="Rest of county","Remainder of County","Settlements"),IF(D269="City Centre","City Centre","Rest of City"))</f>
        <v>Rest of City</v>
      </c>
      <c r="AP269" s="57" t="str">
        <f aca="false">IF(LEFT(B269,13)="Council audit","Audit",IF(LEFT(B269,8)="Planning","Consent","Zoned"))</f>
        <v>Consent</v>
      </c>
      <c r="AQ269" s="57" t="n">
        <f aca="false">IF(N(K269)&gt;0,I269*Y269/K269,0)</f>
        <v>0</v>
      </c>
    </row>
    <row r="270" customFormat="false" ht="15" hidden="false" customHeight="false" outlineLevel="0" collapsed="false">
      <c r="A270" s="57" t="s">
        <v>999</v>
      </c>
      <c r="B270" s="57" t="s">
        <v>218</v>
      </c>
      <c r="C270" s="57" t="s">
        <v>220</v>
      </c>
      <c r="D270" s="57" t="s">
        <v>739</v>
      </c>
      <c r="E270" s="57" t="s">
        <v>1000</v>
      </c>
      <c r="F270" s="57"/>
      <c r="G270" s="57"/>
      <c r="H270" s="57"/>
      <c r="I270" s="57" t="n">
        <v>0.284</v>
      </c>
      <c r="J270" s="57" t="n">
        <v>0.284</v>
      </c>
      <c r="K270" s="57"/>
      <c r="L270" s="57" t="s">
        <v>731</v>
      </c>
      <c r="M270" s="57"/>
      <c r="N270" s="57"/>
      <c r="O270" s="57"/>
      <c r="P270" s="57"/>
      <c r="Q270" s="57"/>
      <c r="R270" s="57" t="n">
        <v>0</v>
      </c>
      <c r="S270" s="57" t="n">
        <v>0</v>
      </c>
      <c r="T270" s="57" t="n">
        <v>7</v>
      </c>
      <c r="U270" s="57" t="n">
        <v>0</v>
      </c>
      <c r="V270" s="57" t="n">
        <v>0</v>
      </c>
      <c r="W270" s="57" t="n">
        <v>0</v>
      </c>
      <c r="X270" s="57" t="n">
        <v>7</v>
      </c>
      <c r="Y270" s="57" t="n">
        <v>0</v>
      </c>
      <c r="Z270" s="57" t="n">
        <v>7</v>
      </c>
      <c r="AA270" s="57" t="n">
        <v>7</v>
      </c>
      <c r="AB270" s="57" t="n">
        <v>0</v>
      </c>
      <c r="AC270" s="57" t="n">
        <v>0</v>
      </c>
      <c r="AD270" s="57" t="n">
        <v>4.4</v>
      </c>
      <c r="AE270" s="57" t="n">
        <v>2.6</v>
      </c>
      <c r="AF270" s="57" t="n">
        <v>0</v>
      </c>
      <c r="AG270" s="57" t="n">
        <v>0</v>
      </c>
      <c r="AH270" s="57" t="s">
        <v>239</v>
      </c>
      <c r="AI270" s="57"/>
      <c r="AJ270" s="57" t="n">
        <v>0</v>
      </c>
      <c r="AK270" s="57" t="s">
        <v>359</v>
      </c>
      <c r="AL270" s="57" t="s">
        <v>356</v>
      </c>
      <c r="AM270" s="57" t="n">
        <v>1</v>
      </c>
      <c r="AN270" s="57" t="s">
        <v>575</v>
      </c>
      <c r="AO270" s="57" t="str">
        <f aca="false">IF(C270="County",IF(AL270="Rest of county","Remainder of County","Settlements"),IF(D270="City Centre","City Centre","Rest of City"))</f>
        <v>Settlements</v>
      </c>
      <c r="AP270" s="57" t="str">
        <f aca="false">IF(LEFT(B270,13)="Council audit","Audit",IF(LEFT(B270,8)="Planning","Consent","Zoned"))</f>
        <v>Consent</v>
      </c>
      <c r="AQ270" s="57" t="n">
        <f aca="false">IF(N(K270)&gt;0,I270*Y270/K270,0)</f>
        <v>0</v>
      </c>
    </row>
    <row r="271" customFormat="false" ht="15" hidden="false" customHeight="false" outlineLevel="0" collapsed="false">
      <c r="A271" s="57" t="s">
        <v>1001</v>
      </c>
      <c r="B271" s="57" t="s">
        <v>218</v>
      </c>
      <c r="C271" s="57" t="s">
        <v>220</v>
      </c>
      <c r="D271" s="57" t="s">
        <v>739</v>
      </c>
      <c r="E271" s="57" t="s">
        <v>1002</v>
      </c>
      <c r="F271" s="57"/>
      <c r="G271" s="57"/>
      <c r="H271" s="57"/>
      <c r="I271" s="57" t="n">
        <v>0.123</v>
      </c>
      <c r="J271" s="57" t="n">
        <v>0.123</v>
      </c>
      <c r="K271" s="57"/>
      <c r="L271" s="57" t="s">
        <v>731</v>
      </c>
      <c r="M271" s="57"/>
      <c r="N271" s="57"/>
      <c r="O271" s="57"/>
      <c r="P271" s="57"/>
      <c r="Q271" s="57"/>
      <c r="R271" s="57" t="n">
        <v>0</v>
      </c>
      <c r="S271" s="57" t="n">
        <v>0</v>
      </c>
      <c r="T271" s="57" t="n">
        <v>7</v>
      </c>
      <c r="U271" s="57" t="n">
        <v>0</v>
      </c>
      <c r="V271" s="57" t="n">
        <v>0</v>
      </c>
      <c r="W271" s="57" t="n">
        <v>0</v>
      </c>
      <c r="X271" s="57" t="n">
        <v>7</v>
      </c>
      <c r="Y271" s="57" t="n">
        <v>0</v>
      </c>
      <c r="Z271" s="57" t="n">
        <v>7</v>
      </c>
      <c r="AA271" s="57" t="n">
        <v>7</v>
      </c>
      <c r="AB271" s="57" t="n">
        <v>0</v>
      </c>
      <c r="AC271" s="57" t="n">
        <v>0</v>
      </c>
      <c r="AD271" s="57" t="n">
        <v>6.1</v>
      </c>
      <c r="AE271" s="57" t="n">
        <v>0.9</v>
      </c>
      <c r="AF271" s="57" t="n">
        <v>0</v>
      </c>
      <c r="AG271" s="57" t="n">
        <v>0</v>
      </c>
      <c r="AH271" s="57" t="s">
        <v>239</v>
      </c>
      <c r="AI271" s="57"/>
      <c r="AJ271" s="57" t="n">
        <v>0</v>
      </c>
      <c r="AK271" s="57" t="s">
        <v>365</v>
      </c>
      <c r="AL271" s="57" t="s">
        <v>365</v>
      </c>
      <c r="AM271" s="57"/>
      <c r="AN271" s="57" t="s">
        <v>365</v>
      </c>
      <c r="AO271" s="57" t="str">
        <f aca="false">IF(C271="County",IF(AL271="Rest of county","Remainder of County","Settlements"),IF(D271="City Centre","City Centre","Rest of City"))</f>
        <v>Remainder of County</v>
      </c>
      <c r="AP271" s="57" t="str">
        <f aca="false">IF(LEFT(B271,13)="Council audit","Audit",IF(LEFT(B271,8)="Planning","Consent","Zoned"))</f>
        <v>Consent</v>
      </c>
      <c r="AQ271" s="57" t="n">
        <f aca="false">IF(N(K271)&gt;0,I271*Y271/K271,0)</f>
        <v>0</v>
      </c>
    </row>
    <row r="272" customFormat="false" ht="15" hidden="false" customHeight="false" outlineLevel="0" collapsed="false">
      <c r="A272" s="57" t="s">
        <v>1003</v>
      </c>
      <c r="B272" s="57" t="s">
        <v>218</v>
      </c>
      <c r="C272" s="57" t="s">
        <v>216</v>
      </c>
      <c r="D272" s="57" t="s">
        <v>288</v>
      </c>
      <c r="E272" s="57" t="s">
        <v>1004</v>
      </c>
      <c r="F272" s="57"/>
      <c r="G272" s="57"/>
      <c r="H272" s="57"/>
      <c r="I272" s="57" t="n">
        <v>0.19</v>
      </c>
      <c r="J272" s="57" t="n">
        <v>0.19</v>
      </c>
      <c r="K272" s="57"/>
      <c r="L272" s="57" t="s">
        <v>731</v>
      </c>
      <c r="M272" s="57"/>
      <c r="N272" s="57"/>
      <c r="O272" s="57"/>
      <c r="P272" s="57"/>
      <c r="Q272" s="57"/>
      <c r="R272" s="57" t="n">
        <v>7</v>
      </c>
      <c r="S272" s="57" t="n">
        <v>0</v>
      </c>
      <c r="T272" s="57" t="n">
        <v>0</v>
      </c>
      <c r="U272" s="57" t="n">
        <v>0</v>
      </c>
      <c r="V272" s="57" t="n">
        <v>0</v>
      </c>
      <c r="W272" s="57" t="n">
        <v>0</v>
      </c>
      <c r="X272" s="57" t="n">
        <v>7</v>
      </c>
      <c r="Y272" s="57" t="n">
        <v>0</v>
      </c>
      <c r="Z272" s="57" t="n">
        <v>7</v>
      </c>
      <c r="AA272" s="57" t="n">
        <v>0</v>
      </c>
      <c r="AB272" s="57" t="n">
        <v>0</v>
      </c>
      <c r="AC272" s="57" t="n">
        <v>0</v>
      </c>
      <c r="AD272" s="57" t="n">
        <v>0</v>
      </c>
      <c r="AE272" s="57" t="n">
        <v>0</v>
      </c>
      <c r="AF272" s="57" t="n">
        <v>0</v>
      </c>
      <c r="AG272" s="57" t="n">
        <v>0</v>
      </c>
      <c r="AH272" s="57" t="s">
        <v>237</v>
      </c>
      <c r="AI272" s="57"/>
      <c r="AJ272" s="57" t="n">
        <v>7</v>
      </c>
      <c r="AK272" s="57" t="s">
        <v>288</v>
      </c>
      <c r="AL272" s="57" t="s">
        <v>347</v>
      </c>
      <c r="AM272" s="57" t="n">
        <v>1</v>
      </c>
      <c r="AN272" s="57" t="s">
        <v>575</v>
      </c>
      <c r="AO272" s="57" t="str">
        <f aca="false">IF(C272="County",IF(AL272="Rest of county","Remainder of County","Settlements"),IF(D272="City Centre","City Centre","Rest of City"))</f>
        <v>Rest of City</v>
      </c>
      <c r="AP272" s="57" t="str">
        <f aca="false">IF(LEFT(B272,13)="Council audit","Audit",IF(LEFT(B272,8)="Planning","Consent","Zoned"))</f>
        <v>Consent</v>
      </c>
      <c r="AQ272" s="57" t="n">
        <f aca="false">IF(N(K272)&gt;0,I272*Y272/K272,0)</f>
        <v>0</v>
      </c>
    </row>
    <row r="273" customFormat="false" ht="15" hidden="false" customHeight="false" outlineLevel="0" collapsed="false">
      <c r="A273" s="57" t="s">
        <v>1005</v>
      </c>
      <c r="B273" s="57" t="s">
        <v>218</v>
      </c>
      <c r="C273" s="57" t="s">
        <v>216</v>
      </c>
      <c r="D273" s="57" t="s">
        <v>288</v>
      </c>
      <c r="E273" s="57" t="s">
        <v>1006</v>
      </c>
      <c r="F273" s="57"/>
      <c r="G273" s="57"/>
      <c r="H273" s="57"/>
      <c r="I273" s="57" t="n">
        <v>0.061</v>
      </c>
      <c r="J273" s="57" t="n">
        <v>0.061</v>
      </c>
      <c r="K273" s="57"/>
      <c r="L273" s="57" t="s">
        <v>731</v>
      </c>
      <c r="M273" s="57"/>
      <c r="N273" s="57"/>
      <c r="O273" s="57"/>
      <c r="P273" s="57"/>
      <c r="Q273" s="57"/>
      <c r="R273" s="57" t="n">
        <v>7</v>
      </c>
      <c r="S273" s="57" t="n">
        <v>0</v>
      </c>
      <c r="T273" s="57" t="n">
        <v>0</v>
      </c>
      <c r="U273" s="57" t="n">
        <v>0</v>
      </c>
      <c r="V273" s="57" t="n">
        <v>0</v>
      </c>
      <c r="W273" s="57" t="n">
        <v>0</v>
      </c>
      <c r="X273" s="57" t="n">
        <v>7</v>
      </c>
      <c r="Y273" s="57" t="n">
        <v>0</v>
      </c>
      <c r="Z273" s="57" t="n">
        <v>7</v>
      </c>
      <c r="AA273" s="57" t="n">
        <v>0</v>
      </c>
      <c r="AB273" s="57" t="n">
        <v>0</v>
      </c>
      <c r="AC273" s="57" t="n">
        <v>0</v>
      </c>
      <c r="AD273" s="57" t="n">
        <v>0</v>
      </c>
      <c r="AE273" s="57" t="n">
        <v>0</v>
      </c>
      <c r="AF273" s="57" t="n">
        <v>0</v>
      </c>
      <c r="AG273" s="57" t="n">
        <v>0</v>
      </c>
      <c r="AH273" s="57" t="s">
        <v>237</v>
      </c>
      <c r="AI273" s="57"/>
      <c r="AJ273" s="57" t="n">
        <v>7</v>
      </c>
      <c r="AK273" s="57" t="s">
        <v>288</v>
      </c>
      <c r="AL273" s="57" t="s">
        <v>347</v>
      </c>
      <c r="AM273" s="57" t="n">
        <v>1</v>
      </c>
      <c r="AN273" s="57" t="s">
        <v>575</v>
      </c>
      <c r="AO273" s="57" t="str">
        <f aca="false">IF(C273="County",IF(AL273="Rest of county","Remainder of County","Settlements"),IF(D273="City Centre","City Centre","Rest of City"))</f>
        <v>Rest of City</v>
      </c>
      <c r="AP273" s="57" t="str">
        <f aca="false">IF(LEFT(B273,13)="Council audit","Audit",IF(LEFT(B273,8)="Planning","Consent","Zoned"))</f>
        <v>Consent</v>
      </c>
      <c r="AQ273" s="57" t="n">
        <f aca="false">IF(N(K273)&gt;0,I273*Y273/K273,0)</f>
        <v>0</v>
      </c>
    </row>
    <row r="274" customFormat="false" ht="15" hidden="false" customHeight="false" outlineLevel="0" collapsed="false">
      <c r="A274" s="57" t="s">
        <v>1007</v>
      </c>
      <c r="B274" s="57" t="s">
        <v>218</v>
      </c>
      <c r="C274" s="57" t="s">
        <v>216</v>
      </c>
      <c r="D274" s="57" t="s">
        <v>290</v>
      </c>
      <c r="E274" s="57" t="s">
        <v>1008</v>
      </c>
      <c r="F274" s="57"/>
      <c r="G274" s="57"/>
      <c r="H274" s="57"/>
      <c r="I274" s="57" t="n">
        <v>0.044</v>
      </c>
      <c r="J274" s="57" t="n">
        <v>0.044</v>
      </c>
      <c r="K274" s="57"/>
      <c r="L274" s="57" t="s">
        <v>731</v>
      </c>
      <c r="M274" s="57"/>
      <c r="N274" s="57"/>
      <c r="O274" s="57"/>
      <c r="P274" s="57"/>
      <c r="Q274" s="57"/>
      <c r="R274" s="57" t="n">
        <v>0</v>
      </c>
      <c r="S274" s="57" t="n">
        <v>6</v>
      </c>
      <c r="T274" s="57" t="n">
        <v>0</v>
      </c>
      <c r="U274" s="57" t="n">
        <v>0</v>
      </c>
      <c r="V274" s="57" t="n">
        <v>0</v>
      </c>
      <c r="W274" s="57" t="n">
        <v>0</v>
      </c>
      <c r="X274" s="57" t="n">
        <v>6</v>
      </c>
      <c r="Y274" s="57" t="n">
        <v>0</v>
      </c>
      <c r="Z274" s="57" t="n">
        <v>6</v>
      </c>
      <c r="AA274" s="57" t="n">
        <v>6</v>
      </c>
      <c r="AB274" s="57" t="n">
        <v>1.4</v>
      </c>
      <c r="AC274" s="57" t="n">
        <v>4.6</v>
      </c>
      <c r="AD274" s="57" t="n">
        <v>0</v>
      </c>
      <c r="AE274" s="57" t="n">
        <v>0</v>
      </c>
      <c r="AF274" s="57" t="n">
        <v>0</v>
      </c>
      <c r="AG274" s="57" t="n">
        <v>0</v>
      </c>
      <c r="AH274" s="57" t="s">
        <v>239</v>
      </c>
      <c r="AI274" s="57"/>
      <c r="AJ274" s="57" t="n">
        <v>0</v>
      </c>
      <c r="AK274" s="57" t="s">
        <v>290</v>
      </c>
      <c r="AL274" s="57" t="s">
        <v>347</v>
      </c>
      <c r="AM274" s="57" t="n">
        <v>1</v>
      </c>
      <c r="AN274" s="57" t="s">
        <v>575</v>
      </c>
      <c r="AO274" s="57" t="str">
        <f aca="false">IF(C274="County",IF(AL274="Rest of county","Remainder of County","Settlements"),IF(D274="City Centre","City Centre","Rest of City"))</f>
        <v>Rest of City</v>
      </c>
      <c r="AP274" s="57" t="str">
        <f aca="false">IF(LEFT(B274,13)="Council audit","Audit",IF(LEFT(B274,8)="Planning","Consent","Zoned"))</f>
        <v>Consent</v>
      </c>
      <c r="AQ274" s="57" t="n">
        <f aca="false">IF(N(K274)&gt;0,I274*Y274/K274,0)</f>
        <v>0</v>
      </c>
    </row>
    <row r="275" customFormat="false" ht="15" hidden="false" customHeight="false" outlineLevel="0" collapsed="false">
      <c r="A275" s="57" t="s">
        <v>1009</v>
      </c>
      <c r="B275" s="57" t="s">
        <v>218</v>
      </c>
      <c r="C275" s="57" t="s">
        <v>220</v>
      </c>
      <c r="D275" s="57" t="s">
        <v>739</v>
      </c>
      <c r="E275" s="57" t="s">
        <v>1010</v>
      </c>
      <c r="F275" s="57"/>
      <c r="G275" s="57"/>
      <c r="H275" s="57"/>
      <c r="I275" s="57" t="n">
        <v>0.132</v>
      </c>
      <c r="J275" s="57" t="n">
        <v>0.132</v>
      </c>
      <c r="K275" s="57"/>
      <c r="L275" s="57" t="s">
        <v>731</v>
      </c>
      <c r="M275" s="57"/>
      <c r="N275" s="57"/>
      <c r="O275" s="57"/>
      <c r="P275" s="57"/>
      <c r="Q275" s="57"/>
      <c r="R275" s="57" t="n">
        <v>6</v>
      </c>
      <c r="S275" s="57" t="n">
        <v>0</v>
      </c>
      <c r="T275" s="57" t="n">
        <v>0</v>
      </c>
      <c r="U275" s="57" t="n">
        <v>0</v>
      </c>
      <c r="V275" s="57" t="n">
        <v>0</v>
      </c>
      <c r="W275" s="57" t="n">
        <v>0</v>
      </c>
      <c r="X275" s="57" t="n">
        <v>6</v>
      </c>
      <c r="Y275" s="57" t="n">
        <v>0</v>
      </c>
      <c r="Z275" s="57" t="n">
        <v>6</v>
      </c>
      <c r="AA275" s="57" t="n">
        <v>0</v>
      </c>
      <c r="AB275" s="57" t="n">
        <v>0</v>
      </c>
      <c r="AC275" s="57" t="n">
        <v>0</v>
      </c>
      <c r="AD275" s="57" t="n">
        <v>0</v>
      </c>
      <c r="AE275" s="57" t="n">
        <v>0</v>
      </c>
      <c r="AF275" s="57" t="n">
        <v>0</v>
      </c>
      <c r="AG275" s="57" t="n">
        <v>0</v>
      </c>
      <c r="AH275" s="57" t="s">
        <v>237</v>
      </c>
      <c r="AI275" s="57"/>
      <c r="AJ275" s="57" t="n">
        <v>6</v>
      </c>
      <c r="AK275" s="57" t="s">
        <v>348</v>
      </c>
      <c r="AL275" s="57" t="s">
        <v>349</v>
      </c>
      <c r="AM275" s="57" t="n">
        <v>1</v>
      </c>
      <c r="AN275" s="57" t="s">
        <v>575</v>
      </c>
      <c r="AO275" s="57" t="str">
        <f aca="false">IF(C275="County",IF(AL275="Rest of county","Remainder of County","Settlements"),IF(D275="City Centre","City Centre","Rest of City"))</f>
        <v>Settlements</v>
      </c>
      <c r="AP275" s="57" t="str">
        <f aca="false">IF(LEFT(B275,13)="Council audit","Audit",IF(LEFT(B275,8)="Planning","Consent","Zoned"))</f>
        <v>Consent</v>
      </c>
      <c r="AQ275" s="57" t="n">
        <f aca="false">IF(N(K275)&gt;0,I275*Y275/K275,0)</f>
        <v>0</v>
      </c>
    </row>
    <row r="276" customFormat="false" ht="15" hidden="false" customHeight="false" outlineLevel="0" collapsed="false">
      <c r="A276" s="57" t="s">
        <v>1011</v>
      </c>
      <c r="B276" s="57" t="s">
        <v>218</v>
      </c>
      <c r="C276" s="57" t="s">
        <v>220</v>
      </c>
      <c r="D276" s="57" t="s">
        <v>739</v>
      </c>
      <c r="E276" s="57" t="s">
        <v>1012</v>
      </c>
      <c r="F276" s="57"/>
      <c r="G276" s="57"/>
      <c r="H276" s="57"/>
      <c r="I276" s="57" t="n">
        <v>0.625</v>
      </c>
      <c r="J276" s="57" t="n">
        <v>0.625</v>
      </c>
      <c r="K276" s="57"/>
      <c r="L276" s="57" t="s">
        <v>731</v>
      </c>
      <c r="M276" s="57"/>
      <c r="N276" s="57"/>
      <c r="O276" s="57"/>
      <c r="P276" s="57"/>
      <c r="Q276" s="57"/>
      <c r="R276" s="57" t="n">
        <v>0</v>
      </c>
      <c r="S276" s="57" t="n">
        <v>6</v>
      </c>
      <c r="T276" s="57" t="n">
        <v>0</v>
      </c>
      <c r="U276" s="57" t="n">
        <v>0</v>
      </c>
      <c r="V276" s="57" t="n">
        <v>0</v>
      </c>
      <c r="W276" s="57" t="n">
        <v>0</v>
      </c>
      <c r="X276" s="57" t="n">
        <v>6</v>
      </c>
      <c r="Y276" s="57" t="n">
        <v>0</v>
      </c>
      <c r="Z276" s="57" t="n">
        <v>6</v>
      </c>
      <c r="AA276" s="57" t="n">
        <v>6</v>
      </c>
      <c r="AB276" s="57" t="n">
        <v>1.4</v>
      </c>
      <c r="AC276" s="57" t="n">
        <v>4.6</v>
      </c>
      <c r="AD276" s="57" t="n">
        <v>0</v>
      </c>
      <c r="AE276" s="57" t="n">
        <v>0</v>
      </c>
      <c r="AF276" s="57" t="n">
        <v>0</v>
      </c>
      <c r="AG276" s="57" t="n">
        <v>0</v>
      </c>
      <c r="AH276" s="57" t="s">
        <v>239</v>
      </c>
      <c r="AI276" s="57"/>
      <c r="AJ276" s="57" t="n">
        <v>0</v>
      </c>
      <c r="AK276" s="57" t="s">
        <v>365</v>
      </c>
      <c r="AL276" s="57" t="s">
        <v>365</v>
      </c>
      <c r="AM276" s="57"/>
      <c r="AN276" s="57" t="s">
        <v>365</v>
      </c>
      <c r="AO276" s="57" t="str">
        <f aca="false">IF(C276="County",IF(AL276="Rest of county","Remainder of County","Settlements"),IF(D276="City Centre","City Centre","Rest of City"))</f>
        <v>Remainder of County</v>
      </c>
      <c r="AP276" s="57" t="str">
        <f aca="false">IF(LEFT(B276,13)="Council audit","Audit",IF(LEFT(B276,8)="Planning","Consent","Zoned"))</f>
        <v>Consent</v>
      </c>
      <c r="AQ276" s="57" t="n">
        <f aca="false">IF(N(K276)&gt;0,I276*Y276/K276,0)</f>
        <v>0</v>
      </c>
    </row>
    <row r="277" customFormat="false" ht="15" hidden="false" customHeight="false" outlineLevel="0" collapsed="false">
      <c r="A277" s="57" t="s">
        <v>1013</v>
      </c>
      <c r="B277" s="57" t="s">
        <v>218</v>
      </c>
      <c r="C277" s="57" t="s">
        <v>216</v>
      </c>
      <c r="D277" s="57" t="s">
        <v>284</v>
      </c>
      <c r="E277" s="57" t="s">
        <v>1014</v>
      </c>
      <c r="F277" s="57"/>
      <c r="G277" s="57"/>
      <c r="H277" s="57"/>
      <c r="I277" s="57" t="n">
        <v>0.148</v>
      </c>
      <c r="J277" s="57" t="n">
        <v>0.148</v>
      </c>
      <c r="K277" s="57"/>
      <c r="L277" s="57" t="s">
        <v>731</v>
      </c>
      <c r="M277" s="57"/>
      <c r="N277" s="57"/>
      <c r="O277" s="57"/>
      <c r="P277" s="57"/>
      <c r="Q277" s="57"/>
      <c r="R277" s="57" t="n">
        <v>6</v>
      </c>
      <c r="S277" s="57" t="n">
        <v>0</v>
      </c>
      <c r="T277" s="57" t="n">
        <v>0</v>
      </c>
      <c r="U277" s="57" t="n">
        <v>0</v>
      </c>
      <c r="V277" s="57" t="n">
        <v>0</v>
      </c>
      <c r="W277" s="57" t="n">
        <v>0</v>
      </c>
      <c r="X277" s="57" t="n">
        <v>6</v>
      </c>
      <c r="Y277" s="57" t="n">
        <v>0</v>
      </c>
      <c r="Z277" s="57" t="n">
        <v>6</v>
      </c>
      <c r="AA277" s="57" t="n">
        <v>0</v>
      </c>
      <c r="AB277" s="57" t="n">
        <v>0</v>
      </c>
      <c r="AC277" s="57" t="n">
        <v>0</v>
      </c>
      <c r="AD277" s="57" t="n">
        <v>0</v>
      </c>
      <c r="AE277" s="57" t="n">
        <v>0</v>
      </c>
      <c r="AF277" s="57" t="n">
        <v>0</v>
      </c>
      <c r="AG277" s="57" t="n">
        <v>0</v>
      </c>
      <c r="AH277" s="57" t="s">
        <v>237</v>
      </c>
      <c r="AI277" s="57"/>
      <c r="AJ277" s="57" t="n">
        <v>5</v>
      </c>
      <c r="AK277" s="57" t="s">
        <v>284</v>
      </c>
      <c r="AL277" s="57" t="s">
        <v>347</v>
      </c>
      <c r="AM277" s="57" t="n">
        <v>1</v>
      </c>
      <c r="AN277" s="57" t="s">
        <v>575</v>
      </c>
      <c r="AO277" s="57" t="str">
        <f aca="false">IF(C277="County",IF(AL277="Rest of county","Remainder of County","Settlements"),IF(D277="City Centre","City Centre","Rest of City"))</f>
        <v>Rest of City</v>
      </c>
      <c r="AP277" s="57" t="str">
        <f aca="false">IF(LEFT(B277,13)="Council audit","Audit",IF(LEFT(B277,8)="Planning","Consent","Zoned"))</f>
        <v>Consent</v>
      </c>
      <c r="AQ277" s="57" t="n">
        <f aca="false">IF(N(K277)&gt;0,I277*Y277/K277,0)</f>
        <v>0</v>
      </c>
    </row>
    <row r="278" customFormat="false" ht="15" hidden="false" customHeight="false" outlineLevel="0" collapsed="false">
      <c r="A278" s="57" t="s">
        <v>1015</v>
      </c>
      <c r="B278" s="57" t="s">
        <v>218</v>
      </c>
      <c r="C278" s="57" t="s">
        <v>216</v>
      </c>
      <c r="D278" s="57" t="s">
        <v>288</v>
      </c>
      <c r="E278" s="57" t="s">
        <v>1016</v>
      </c>
      <c r="F278" s="57"/>
      <c r="G278" s="57"/>
      <c r="H278" s="57"/>
      <c r="I278" s="57" t="n">
        <v>0.264</v>
      </c>
      <c r="J278" s="57" t="n">
        <v>0.264</v>
      </c>
      <c r="K278" s="57"/>
      <c r="L278" s="57" t="s">
        <v>731</v>
      </c>
      <c r="M278" s="57"/>
      <c r="N278" s="57"/>
      <c r="O278" s="57"/>
      <c r="P278" s="57"/>
      <c r="Q278" s="57"/>
      <c r="R278" s="57" t="n">
        <v>0</v>
      </c>
      <c r="S278" s="57" t="n">
        <v>6</v>
      </c>
      <c r="T278" s="57" t="n">
        <v>0</v>
      </c>
      <c r="U278" s="57" t="n">
        <v>0</v>
      </c>
      <c r="V278" s="57" t="n">
        <v>0</v>
      </c>
      <c r="W278" s="57" t="n">
        <v>0</v>
      </c>
      <c r="X278" s="57" t="n">
        <v>6</v>
      </c>
      <c r="Y278" s="57" t="n">
        <v>0</v>
      </c>
      <c r="Z278" s="57" t="n">
        <v>6</v>
      </c>
      <c r="AA278" s="57" t="n">
        <v>6</v>
      </c>
      <c r="AB278" s="57" t="n">
        <v>0.2</v>
      </c>
      <c r="AC278" s="57" t="n">
        <v>5.8</v>
      </c>
      <c r="AD278" s="57" t="n">
        <v>0</v>
      </c>
      <c r="AE278" s="57" t="n">
        <v>0</v>
      </c>
      <c r="AF278" s="57" t="n">
        <v>0</v>
      </c>
      <c r="AG278" s="57" t="n">
        <v>0</v>
      </c>
      <c r="AH278" s="57" t="s">
        <v>239</v>
      </c>
      <c r="AI278" s="57"/>
      <c r="AJ278" s="57" t="n">
        <v>0</v>
      </c>
      <c r="AK278" s="57" t="s">
        <v>288</v>
      </c>
      <c r="AL278" s="57" t="s">
        <v>347</v>
      </c>
      <c r="AM278" s="57" t="n">
        <v>1</v>
      </c>
      <c r="AN278" s="57" t="s">
        <v>575</v>
      </c>
      <c r="AO278" s="57" t="str">
        <f aca="false">IF(C278="County",IF(AL278="Rest of county","Remainder of County","Settlements"),IF(D278="City Centre","City Centre","Rest of City"))</f>
        <v>Rest of City</v>
      </c>
      <c r="AP278" s="57" t="str">
        <f aca="false">IF(LEFT(B278,13)="Council audit","Audit",IF(LEFT(B278,8)="Planning","Consent","Zoned"))</f>
        <v>Consent</v>
      </c>
      <c r="AQ278" s="57" t="n">
        <f aca="false">IF(N(K278)&gt;0,I278*Y278/K278,0)</f>
        <v>0</v>
      </c>
    </row>
    <row r="279" customFormat="false" ht="15" hidden="false" customHeight="false" outlineLevel="0" collapsed="false">
      <c r="A279" s="57" t="s">
        <v>1017</v>
      </c>
      <c r="B279" s="57" t="s">
        <v>218</v>
      </c>
      <c r="C279" s="57" t="s">
        <v>216</v>
      </c>
      <c r="D279" s="57" t="s">
        <v>285</v>
      </c>
      <c r="E279" s="57" t="s">
        <v>1018</v>
      </c>
      <c r="F279" s="57"/>
      <c r="G279" s="57"/>
      <c r="H279" s="57"/>
      <c r="I279" s="57" t="n">
        <v>0.196</v>
      </c>
      <c r="J279" s="57" t="n">
        <v>0.196</v>
      </c>
      <c r="K279" s="57"/>
      <c r="L279" s="57" t="s">
        <v>731</v>
      </c>
      <c r="M279" s="57"/>
      <c r="N279" s="57"/>
      <c r="O279" s="57"/>
      <c r="P279" s="57"/>
      <c r="Q279" s="57"/>
      <c r="R279" s="57" t="n">
        <v>0</v>
      </c>
      <c r="S279" s="57" t="n">
        <v>6</v>
      </c>
      <c r="T279" s="57" t="n">
        <v>0</v>
      </c>
      <c r="U279" s="57" t="n">
        <v>0</v>
      </c>
      <c r="V279" s="57" t="n">
        <v>0</v>
      </c>
      <c r="W279" s="57" t="n">
        <v>0</v>
      </c>
      <c r="X279" s="57" t="n">
        <v>6</v>
      </c>
      <c r="Y279" s="57" t="n">
        <v>0</v>
      </c>
      <c r="Z279" s="57" t="n">
        <v>6</v>
      </c>
      <c r="AA279" s="57" t="n">
        <v>6</v>
      </c>
      <c r="AB279" s="57" t="n">
        <v>0</v>
      </c>
      <c r="AC279" s="57" t="n">
        <v>4.7</v>
      </c>
      <c r="AD279" s="57" t="n">
        <v>1.3</v>
      </c>
      <c r="AE279" s="57" t="n">
        <v>0</v>
      </c>
      <c r="AF279" s="57" t="n">
        <v>0</v>
      </c>
      <c r="AG279" s="57" t="n">
        <v>0</v>
      </c>
      <c r="AH279" s="57" t="s">
        <v>239</v>
      </c>
      <c r="AI279" s="57"/>
      <c r="AJ279" s="57" t="n">
        <v>0</v>
      </c>
      <c r="AK279" s="57" t="s">
        <v>285</v>
      </c>
      <c r="AL279" s="57" t="s">
        <v>347</v>
      </c>
      <c r="AM279" s="57" t="n">
        <v>1</v>
      </c>
      <c r="AN279" s="57" t="s">
        <v>575</v>
      </c>
      <c r="AO279" s="57" t="str">
        <f aca="false">IF(C279="County",IF(AL279="Rest of county","Remainder of County","Settlements"),IF(D279="City Centre","City Centre","Rest of City"))</f>
        <v>Rest of City</v>
      </c>
      <c r="AP279" s="57" t="str">
        <f aca="false">IF(LEFT(B279,13)="Council audit","Audit",IF(LEFT(B279,8)="Planning","Consent","Zoned"))</f>
        <v>Consent</v>
      </c>
      <c r="AQ279" s="57" t="n">
        <f aca="false">IF(N(K279)&gt;0,I279*Y279/K279,0)</f>
        <v>0</v>
      </c>
    </row>
    <row r="280" customFormat="false" ht="15" hidden="false" customHeight="false" outlineLevel="0" collapsed="false">
      <c r="A280" s="57" t="s">
        <v>1019</v>
      </c>
      <c r="B280" s="57" t="s">
        <v>218</v>
      </c>
      <c r="C280" s="57" t="s">
        <v>216</v>
      </c>
      <c r="D280" s="57" t="s">
        <v>284</v>
      </c>
      <c r="E280" s="57" t="s">
        <v>1020</v>
      </c>
      <c r="F280" s="57"/>
      <c r="G280" s="57"/>
      <c r="H280" s="57"/>
      <c r="I280" s="57" t="n">
        <v>0.196</v>
      </c>
      <c r="J280" s="57" t="n">
        <v>0.196</v>
      </c>
      <c r="K280" s="57"/>
      <c r="L280" s="57" t="s">
        <v>731</v>
      </c>
      <c r="M280" s="57"/>
      <c r="N280" s="57"/>
      <c r="O280" s="57"/>
      <c r="P280" s="57"/>
      <c r="Q280" s="57"/>
      <c r="R280" s="57" t="n">
        <v>6</v>
      </c>
      <c r="S280" s="57" t="n">
        <v>0</v>
      </c>
      <c r="T280" s="57" t="n">
        <v>0</v>
      </c>
      <c r="U280" s="57" t="n">
        <v>0</v>
      </c>
      <c r="V280" s="57" t="n">
        <v>0</v>
      </c>
      <c r="W280" s="57" t="n">
        <v>0</v>
      </c>
      <c r="X280" s="57" t="n">
        <v>6</v>
      </c>
      <c r="Y280" s="57" t="n">
        <v>0</v>
      </c>
      <c r="Z280" s="57" t="n">
        <v>6</v>
      </c>
      <c r="AA280" s="57" t="n">
        <v>0</v>
      </c>
      <c r="AB280" s="57" t="n">
        <v>0</v>
      </c>
      <c r="AC280" s="57" t="n">
        <v>0</v>
      </c>
      <c r="AD280" s="57" t="n">
        <v>0</v>
      </c>
      <c r="AE280" s="57" t="n">
        <v>0</v>
      </c>
      <c r="AF280" s="57" t="n">
        <v>0</v>
      </c>
      <c r="AG280" s="57" t="n">
        <v>0</v>
      </c>
      <c r="AH280" s="57" t="s">
        <v>237</v>
      </c>
      <c r="AI280" s="57"/>
      <c r="AJ280" s="57" t="n">
        <v>0</v>
      </c>
      <c r="AK280" s="57" t="s">
        <v>284</v>
      </c>
      <c r="AL280" s="57" t="s">
        <v>347</v>
      </c>
      <c r="AM280" s="57" t="n">
        <v>1</v>
      </c>
      <c r="AN280" s="57" t="s">
        <v>575</v>
      </c>
      <c r="AO280" s="57" t="str">
        <f aca="false">IF(C280="County",IF(AL280="Rest of county","Remainder of County","Settlements"),IF(D280="City Centre","City Centre","Rest of City"))</f>
        <v>Rest of City</v>
      </c>
      <c r="AP280" s="57" t="str">
        <f aca="false">IF(LEFT(B280,13)="Council audit","Audit",IF(LEFT(B280,8)="Planning","Consent","Zoned"))</f>
        <v>Consent</v>
      </c>
      <c r="AQ280" s="57" t="n">
        <f aca="false">IF(N(K280)&gt;0,I280*Y280/K280,0)</f>
        <v>0</v>
      </c>
    </row>
    <row r="281" customFormat="false" ht="15" hidden="false" customHeight="false" outlineLevel="0" collapsed="false">
      <c r="A281" s="57" t="s">
        <v>1021</v>
      </c>
      <c r="B281" s="57" t="s">
        <v>218</v>
      </c>
      <c r="C281" s="57" t="s">
        <v>216</v>
      </c>
      <c r="D281" s="57" t="s">
        <v>258</v>
      </c>
      <c r="E281" s="57" t="s">
        <v>1022</v>
      </c>
      <c r="F281" s="57"/>
      <c r="G281" s="57"/>
      <c r="H281" s="57"/>
      <c r="I281" s="57" t="n">
        <v>0.022</v>
      </c>
      <c r="J281" s="57" t="n">
        <v>0.022</v>
      </c>
      <c r="K281" s="57"/>
      <c r="L281" s="57" t="s">
        <v>731</v>
      </c>
      <c r="M281" s="57"/>
      <c r="N281" s="57"/>
      <c r="O281" s="57"/>
      <c r="P281" s="57"/>
      <c r="Q281" s="57"/>
      <c r="R281" s="57" t="n">
        <v>0</v>
      </c>
      <c r="S281" s="57" t="n">
        <v>6</v>
      </c>
      <c r="T281" s="57" t="n">
        <v>0</v>
      </c>
      <c r="U281" s="57" t="n">
        <v>0</v>
      </c>
      <c r="V281" s="57" t="n">
        <v>0</v>
      </c>
      <c r="W281" s="57" t="n">
        <v>0</v>
      </c>
      <c r="X281" s="57" t="n">
        <v>6</v>
      </c>
      <c r="Y281" s="57" t="n">
        <v>0</v>
      </c>
      <c r="Z281" s="57" t="n">
        <v>6</v>
      </c>
      <c r="AA281" s="57" t="n">
        <v>6</v>
      </c>
      <c r="AB281" s="57" t="n">
        <v>0</v>
      </c>
      <c r="AC281" s="57" t="n">
        <v>6</v>
      </c>
      <c r="AD281" s="57" t="n">
        <v>0</v>
      </c>
      <c r="AE281" s="57" t="n">
        <v>0</v>
      </c>
      <c r="AF281" s="57" t="n">
        <v>0</v>
      </c>
      <c r="AG281" s="57" t="n">
        <v>0</v>
      </c>
      <c r="AH281" s="57" t="s">
        <v>239</v>
      </c>
      <c r="AI281" s="57"/>
      <c r="AJ281" s="57" t="n">
        <v>0</v>
      </c>
      <c r="AK281" s="57" t="s">
        <v>258</v>
      </c>
      <c r="AL281" s="57" t="s">
        <v>347</v>
      </c>
      <c r="AM281" s="57" t="n">
        <v>1</v>
      </c>
      <c r="AN281" s="57" t="s">
        <v>575</v>
      </c>
      <c r="AO281" s="57" t="str">
        <f aca="false">IF(C281="County",IF(AL281="Rest of county","Remainder of County","Settlements"),IF(D281="City Centre","City Centre","Rest of City"))</f>
        <v>City Centre</v>
      </c>
      <c r="AP281" s="57" t="str">
        <f aca="false">IF(LEFT(B281,13)="Council audit","Audit",IF(LEFT(B281,8)="Planning","Consent","Zoned"))</f>
        <v>Consent</v>
      </c>
      <c r="AQ281" s="57" t="n">
        <f aca="false">IF(N(K281)&gt;0,I281*Y281/K281,0)</f>
        <v>0</v>
      </c>
    </row>
    <row r="282" customFormat="false" ht="15" hidden="false" customHeight="false" outlineLevel="0" collapsed="false">
      <c r="A282" s="57" t="s">
        <v>1023</v>
      </c>
      <c r="B282" s="57" t="s">
        <v>218</v>
      </c>
      <c r="C282" s="57" t="s">
        <v>216</v>
      </c>
      <c r="D282" s="57" t="s">
        <v>285</v>
      </c>
      <c r="E282" s="57" t="s">
        <v>1024</v>
      </c>
      <c r="F282" s="57"/>
      <c r="G282" s="57"/>
      <c r="H282" s="57"/>
      <c r="I282" s="57" t="n">
        <v>0.333</v>
      </c>
      <c r="J282" s="57" t="n">
        <v>0.333</v>
      </c>
      <c r="K282" s="57"/>
      <c r="L282" s="57" t="s">
        <v>731</v>
      </c>
      <c r="M282" s="57"/>
      <c r="N282" s="57"/>
      <c r="O282" s="57"/>
      <c r="P282" s="57"/>
      <c r="Q282" s="57"/>
      <c r="R282" s="57" t="n">
        <v>6</v>
      </c>
      <c r="S282" s="57" t="n">
        <v>0</v>
      </c>
      <c r="T282" s="57" t="n">
        <v>0</v>
      </c>
      <c r="U282" s="57" t="n">
        <v>0</v>
      </c>
      <c r="V282" s="57" t="n">
        <v>0</v>
      </c>
      <c r="W282" s="57" t="n">
        <v>0</v>
      </c>
      <c r="X282" s="57" t="n">
        <v>6</v>
      </c>
      <c r="Y282" s="57" t="n">
        <v>0</v>
      </c>
      <c r="Z282" s="57" t="n">
        <v>6</v>
      </c>
      <c r="AA282" s="57" t="n">
        <v>0</v>
      </c>
      <c r="AB282" s="57" t="n">
        <v>0</v>
      </c>
      <c r="AC282" s="57" t="n">
        <v>0</v>
      </c>
      <c r="AD282" s="57" t="n">
        <v>0</v>
      </c>
      <c r="AE282" s="57" t="n">
        <v>0</v>
      </c>
      <c r="AF282" s="57" t="n">
        <v>0</v>
      </c>
      <c r="AG282" s="57" t="n">
        <v>0</v>
      </c>
      <c r="AH282" s="57" t="s">
        <v>237</v>
      </c>
      <c r="AI282" s="57"/>
      <c r="AJ282" s="57" t="n">
        <v>6</v>
      </c>
      <c r="AK282" s="57" t="s">
        <v>285</v>
      </c>
      <c r="AL282" s="57" t="s">
        <v>347</v>
      </c>
      <c r="AM282" s="57" t="n">
        <v>1</v>
      </c>
      <c r="AN282" s="57" t="s">
        <v>575</v>
      </c>
      <c r="AO282" s="57" t="str">
        <f aca="false">IF(C282="County",IF(AL282="Rest of county","Remainder of County","Settlements"),IF(D282="City Centre","City Centre","Rest of City"))</f>
        <v>Rest of City</v>
      </c>
      <c r="AP282" s="57" t="str">
        <f aca="false">IF(LEFT(B282,13)="Council audit","Audit",IF(LEFT(B282,8)="Planning","Consent","Zoned"))</f>
        <v>Consent</v>
      </c>
      <c r="AQ282" s="57" t="n">
        <f aca="false">IF(N(K282)&gt;0,I282*Y282/K282,0)</f>
        <v>0</v>
      </c>
    </row>
    <row r="283" customFormat="false" ht="15" hidden="false" customHeight="false" outlineLevel="0" collapsed="false">
      <c r="A283" s="57" t="s">
        <v>1025</v>
      </c>
      <c r="B283" s="57" t="s">
        <v>218</v>
      </c>
      <c r="C283" s="57" t="s">
        <v>220</v>
      </c>
      <c r="D283" s="57" t="s">
        <v>739</v>
      </c>
      <c r="E283" s="57" t="s">
        <v>1026</v>
      </c>
      <c r="F283" s="57"/>
      <c r="G283" s="57"/>
      <c r="H283" s="57"/>
      <c r="I283" s="57" t="n">
        <v>0.417</v>
      </c>
      <c r="J283" s="57" t="n">
        <v>0.417</v>
      </c>
      <c r="K283" s="57"/>
      <c r="L283" s="57" t="s">
        <v>731</v>
      </c>
      <c r="M283" s="57"/>
      <c r="N283" s="57"/>
      <c r="O283" s="57"/>
      <c r="P283" s="57"/>
      <c r="Q283" s="57"/>
      <c r="R283" s="57" t="n">
        <v>0</v>
      </c>
      <c r="S283" s="57" t="n">
        <v>0</v>
      </c>
      <c r="T283" s="57" t="n">
        <v>6</v>
      </c>
      <c r="U283" s="57" t="n">
        <v>0</v>
      </c>
      <c r="V283" s="57" t="n">
        <v>0</v>
      </c>
      <c r="W283" s="57" t="n">
        <v>0</v>
      </c>
      <c r="X283" s="57" t="n">
        <v>6</v>
      </c>
      <c r="Y283" s="57" t="n">
        <v>0</v>
      </c>
      <c r="Z283" s="57" t="n">
        <v>6</v>
      </c>
      <c r="AA283" s="57" t="n">
        <v>6</v>
      </c>
      <c r="AB283" s="57" t="n">
        <v>0</v>
      </c>
      <c r="AC283" s="57" t="n">
        <v>0</v>
      </c>
      <c r="AD283" s="57" t="n">
        <v>3.7</v>
      </c>
      <c r="AE283" s="57" t="n">
        <v>2.3</v>
      </c>
      <c r="AF283" s="57" t="n">
        <v>0</v>
      </c>
      <c r="AG283" s="57" t="n">
        <v>0</v>
      </c>
      <c r="AH283" s="57" t="s">
        <v>239</v>
      </c>
      <c r="AI283" s="57"/>
      <c r="AJ283" s="57" t="n">
        <v>0</v>
      </c>
      <c r="AK283" s="57" t="s">
        <v>364</v>
      </c>
      <c r="AL283" s="57" t="s">
        <v>356</v>
      </c>
      <c r="AM283" s="57" t="n">
        <v>0.08</v>
      </c>
      <c r="AN283" s="57" t="s">
        <v>575</v>
      </c>
      <c r="AO283" s="57" t="str">
        <f aca="false">IF(C283="County",IF(AL283="Rest of county","Remainder of County","Settlements"),IF(D283="City Centre","City Centre","Rest of City"))</f>
        <v>Settlements</v>
      </c>
      <c r="AP283" s="57" t="str">
        <f aca="false">IF(LEFT(B283,13)="Council audit","Audit",IF(LEFT(B283,8)="Planning","Consent","Zoned"))</f>
        <v>Consent</v>
      </c>
      <c r="AQ283" s="57" t="n">
        <f aca="false">IF(N(K283)&gt;0,I283*Y283/K283,0)</f>
        <v>0</v>
      </c>
    </row>
    <row r="284" customFormat="false" ht="15" hidden="false" customHeight="false" outlineLevel="0" collapsed="false">
      <c r="A284" s="57" t="s">
        <v>1027</v>
      </c>
      <c r="B284" s="57" t="s">
        <v>218</v>
      </c>
      <c r="C284" s="57" t="s">
        <v>216</v>
      </c>
      <c r="D284" s="57" t="s">
        <v>258</v>
      </c>
      <c r="E284" s="57" t="s">
        <v>1028</v>
      </c>
      <c r="F284" s="57"/>
      <c r="G284" s="57"/>
      <c r="H284" s="57"/>
      <c r="I284" s="57" t="n">
        <v>0.024</v>
      </c>
      <c r="J284" s="57" t="n">
        <v>0.024</v>
      </c>
      <c r="K284" s="57"/>
      <c r="L284" s="57" t="s">
        <v>731</v>
      </c>
      <c r="M284" s="57"/>
      <c r="N284" s="57"/>
      <c r="O284" s="57"/>
      <c r="P284" s="57"/>
      <c r="Q284" s="57"/>
      <c r="R284" s="57" t="n">
        <v>0</v>
      </c>
      <c r="S284" s="57" t="n">
        <v>0</v>
      </c>
      <c r="T284" s="57" t="n">
        <v>6</v>
      </c>
      <c r="U284" s="57" t="n">
        <v>0</v>
      </c>
      <c r="V284" s="57" t="n">
        <v>0</v>
      </c>
      <c r="W284" s="57" t="n">
        <v>0</v>
      </c>
      <c r="X284" s="57" t="n">
        <v>6</v>
      </c>
      <c r="Y284" s="57" t="n">
        <v>0</v>
      </c>
      <c r="Z284" s="57" t="n">
        <v>6</v>
      </c>
      <c r="AA284" s="57" t="n">
        <v>6</v>
      </c>
      <c r="AB284" s="57" t="n">
        <v>0</v>
      </c>
      <c r="AC284" s="57" t="n">
        <v>0</v>
      </c>
      <c r="AD284" s="57" t="n">
        <v>4.5</v>
      </c>
      <c r="AE284" s="57" t="n">
        <v>1.5</v>
      </c>
      <c r="AF284" s="57" t="n">
        <v>0</v>
      </c>
      <c r="AG284" s="57" t="n">
        <v>0</v>
      </c>
      <c r="AH284" s="57" t="s">
        <v>239</v>
      </c>
      <c r="AI284" s="57"/>
      <c r="AJ284" s="57" t="n">
        <v>0</v>
      </c>
      <c r="AK284" s="57" t="s">
        <v>258</v>
      </c>
      <c r="AL284" s="57" t="s">
        <v>347</v>
      </c>
      <c r="AM284" s="57" t="n">
        <v>1</v>
      </c>
      <c r="AN284" s="57" t="s">
        <v>575</v>
      </c>
      <c r="AO284" s="57" t="str">
        <f aca="false">IF(C284="County",IF(AL284="Rest of county","Remainder of County","Settlements"),IF(D284="City Centre","City Centre","Rest of City"))</f>
        <v>City Centre</v>
      </c>
      <c r="AP284" s="57" t="str">
        <f aca="false">IF(LEFT(B284,13)="Council audit","Audit",IF(LEFT(B284,8)="Planning","Consent","Zoned"))</f>
        <v>Consent</v>
      </c>
      <c r="AQ284" s="57" t="n">
        <f aca="false">IF(N(K284)&gt;0,I284*Y284/K284,0)</f>
        <v>0</v>
      </c>
    </row>
    <row r="285" customFormat="false" ht="15" hidden="false" customHeight="false" outlineLevel="0" collapsed="false">
      <c r="A285" s="57" t="s">
        <v>1029</v>
      </c>
      <c r="B285" s="57" t="s">
        <v>218</v>
      </c>
      <c r="C285" s="57" t="s">
        <v>220</v>
      </c>
      <c r="D285" s="57" t="s">
        <v>739</v>
      </c>
      <c r="E285" s="57" t="s">
        <v>1030</v>
      </c>
      <c r="F285" s="57"/>
      <c r="G285" s="57"/>
      <c r="H285" s="57"/>
      <c r="I285" s="57" t="n">
        <v>0.229</v>
      </c>
      <c r="J285" s="57" t="n">
        <v>0.229</v>
      </c>
      <c r="K285" s="57"/>
      <c r="L285" s="57" t="s">
        <v>731</v>
      </c>
      <c r="M285" s="57"/>
      <c r="N285" s="57"/>
      <c r="O285" s="57"/>
      <c r="P285" s="57"/>
      <c r="Q285" s="57"/>
      <c r="R285" s="57" t="n">
        <v>0</v>
      </c>
      <c r="S285" s="57" t="n">
        <v>6</v>
      </c>
      <c r="T285" s="57" t="n">
        <v>0</v>
      </c>
      <c r="U285" s="57" t="n">
        <v>0</v>
      </c>
      <c r="V285" s="57" t="n">
        <v>0</v>
      </c>
      <c r="W285" s="57" t="n">
        <v>0</v>
      </c>
      <c r="X285" s="57" t="n">
        <v>6</v>
      </c>
      <c r="Y285" s="57" t="n">
        <v>0</v>
      </c>
      <c r="Z285" s="57" t="n">
        <v>6</v>
      </c>
      <c r="AA285" s="57" t="n">
        <v>6</v>
      </c>
      <c r="AB285" s="57" t="n">
        <v>1.4</v>
      </c>
      <c r="AC285" s="57" t="n">
        <v>4.6</v>
      </c>
      <c r="AD285" s="57" t="n">
        <v>0</v>
      </c>
      <c r="AE285" s="57" t="n">
        <v>0</v>
      </c>
      <c r="AF285" s="57" t="n">
        <v>0</v>
      </c>
      <c r="AG285" s="57" t="n">
        <v>0</v>
      </c>
      <c r="AH285" s="57" t="s">
        <v>239</v>
      </c>
      <c r="AI285" s="57"/>
      <c r="AJ285" s="57" t="n">
        <v>6</v>
      </c>
      <c r="AK285" s="57" t="s">
        <v>365</v>
      </c>
      <c r="AL285" s="57" t="s">
        <v>365</v>
      </c>
      <c r="AM285" s="57"/>
      <c r="AN285" s="57" t="s">
        <v>365</v>
      </c>
      <c r="AO285" s="57" t="str">
        <f aca="false">IF(C285="County",IF(AL285="Rest of county","Remainder of County","Settlements"),IF(D285="City Centre","City Centre","Rest of City"))</f>
        <v>Remainder of County</v>
      </c>
      <c r="AP285" s="57" t="str">
        <f aca="false">IF(LEFT(B285,13)="Council audit","Audit",IF(LEFT(B285,8)="Planning","Consent","Zoned"))</f>
        <v>Consent</v>
      </c>
      <c r="AQ285" s="57" t="n">
        <f aca="false">IF(N(K285)&gt;0,I285*Y285/K285,0)</f>
        <v>0</v>
      </c>
    </row>
    <row r="286" customFormat="false" ht="15" hidden="false" customHeight="false" outlineLevel="0" collapsed="false">
      <c r="A286" s="57" t="s">
        <v>1031</v>
      </c>
      <c r="B286" s="57" t="s">
        <v>218</v>
      </c>
      <c r="C286" s="57" t="s">
        <v>216</v>
      </c>
      <c r="D286" s="57" t="s">
        <v>289</v>
      </c>
      <c r="E286" s="57" t="s">
        <v>1032</v>
      </c>
      <c r="F286" s="57"/>
      <c r="G286" s="57"/>
      <c r="H286" s="57"/>
      <c r="I286" s="57" t="n">
        <v>0.196</v>
      </c>
      <c r="J286" s="57" t="n">
        <v>0.196</v>
      </c>
      <c r="K286" s="57"/>
      <c r="L286" s="57" t="s">
        <v>731</v>
      </c>
      <c r="M286" s="57"/>
      <c r="N286" s="57"/>
      <c r="O286" s="57"/>
      <c r="P286" s="57"/>
      <c r="Q286" s="57"/>
      <c r="R286" s="57" t="n">
        <v>0</v>
      </c>
      <c r="S286" s="57" t="n">
        <v>0</v>
      </c>
      <c r="T286" s="57" t="n">
        <v>0</v>
      </c>
      <c r="U286" s="57" t="n">
        <v>0</v>
      </c>
      <c r="V286" s="57" t="n">
        <v>0</v>
      </c>
      <c r="W286" s="57" t="n">
        <v>6</v>
      </c>
      <c r="X286" s="57" t="n">
        <v>0</v>
      </c>
      <c r="Y286" s="57" t="n">
        <v>0</v>
      </c>
      <c r="Z286" s="57" t="n">
        <v>0</v>
      </c>
      <c r="AA286" s="57" t="n">
        <v>0</v>
      </c>
      <c r="AB286" s="57" t="n">
        <v>0</v>
      </c>
      <c r="AC286" s="57" t="n">
        <v>0</v>
      </c>
      <c r="AD286" s="57" t="n">
        <v>0</v>
      </c>
      <c r="AE286" s="57" t="n">
        <v>0</v>
      </c>
      <c r="AF286" s="57" t="n">
        <v>0</v>
      </c>
      <c r="AG286" s="57" t="n">
        <v>0</v>
      </c>
      <c r="AH286" s="57" t="s">
        <v>240</v>
      </c>
      <c r="AI286" s="57"/>
      <c r="AJ286" s="57" t="n">
        <v>0</v>
      </c>
      <c r="AK286" s="57" t="s">
        <v>289</v>
      </c>
      <c r="AL286" s="57" t="s">
        <v>347</v>
      </c>
      <c r="AM286" s="57" t="n">
        <v>1</v>
      </c>
      <c r="AN286" s="57" t="s">
        <v>575</v>
      </c>
      <c r="AO286" s="57" t="str">
        <f aca="false">IF(C286="County",IF(AL286="Rest of county","Remainder of County","Settlements"),IF(D286="City Centre","City Centre","Rest of City"))</f>
        <v>Rest of City</v>
      </c>
      <c r="AP286" s="57" t="str">
        <f aca="false">IF(LEFT(B286,13)="Council audit","Audit",IF(LEFT(B286,8)="Planning","Consent","Zoned"))</f>
        <v>Consent</v>
      </c>
      <c r="AQ286" s="57" t="n">
        <f aca="false">IF(N(K286)&gt;0,I286*Y286/K286,0)</f>
        <v>0</v>
      </c>
    </row>
    <row r="287" customFormat="false" ht="15" hidden="false" customHeight="false" outlineLevel="0" collapsed="false">
      <c r="A287" s="57" t="s">
        <v>1033</v>
      </c>
      <c r="B287" s="57" t="s">
        <v>218</v>
      </c>
      <c r="C287" s="57" t="s">
        <v>216</v>
      </c>
      <c r="D287" s="57" t="s">
        <v>284</v>
      </c>
      <c r="E287" s="57" t="s">
        <v>1034</v>
      </c>
      <c r="F287" s="57"/>
      <c r="G287" s="57"/>
      <c r="H287" s="57"/>
      <c r="I287" s="57" t="n">
        <v>0.196</v>
      </c>
      <c r="J287" s="57" t="n">
        <v>0.196</v>
      </c>
      <c r="K287" s="57"/>
      <c r="L287" s="57" t="s">
        <v>731</v>
      </c>
      <c r="M287" s="57"/>
      <c r="N287" s="57"/>
      <c r="O287" s="57"/>
      <c r="P287" s="57"/>
      <c r="Q287" s="57"/>
      <c r="R287" s="57" t="n">
        <v>0</v>
      </c>
      <c r="S287" s="57" t="n">
        <v>0</v>
      </c>
      <c r="T287" s="57" t="n">
        <v>0</v>
      </c>
      <c r="U287" s="57" t="n">
        <v>0</v>
      </c>
      <c r="V287" s="57" t="n">
        <v>0</v>
      </c>
      <c r="W287" s="57" t="n">
        <v>6</v>
      </c>
      <c r="X287" s="57" t="n">
        <v>0</v>
      </c>
      <c r="Y287" s="57" t="n">
        <v>0</v>
      </c>
      <c r="Z287" s="57" t="n">
        <v>0</v>
      </c>
      <c r="AA287" s="57" t="n">
        <v>0</v>
      </c>
      <c r="AB287" s="57" t="n">
        <v>0</v>
      </c>
      <c r="AC287" s="57" t="n">
        <v>0</v>
      </c>
      <c r="AD287" s="57" t="n">
        <v>0</v>
      </c>
      <c r="AE287" s="57" t="n">
        <v>0</v>
      </c>
      <c r="AF287" s="57" t="n">
        <v>0</v>
      </c>
      <c r="AG287" s="57" t="n">
        <v>0</v>
      </c>
      <c r="AH287" s="57" t="s">
        <v>240</v>
      </c>
      <c r="AI287" s="57"/>
      <c r="AJ287" s="57" t="n">
        <v>0</v>
      </c>
      <c r="AK287" s="57" t="s">
        <v>284</v>
      </c>
      <c r="AL287" s="57" t="s">
        <v>347</v>
      </c>
      <c r="AM287" s="57" t="n">
        <v>1</v>
      </c>
      <c r="AN287" s="57" t="s">
        <v>575</v>
      </c>
      <c r="AO287" s="57" t="str">
        <f aca="false">IF(C287="County",IF(AL287="Rest of county","Remainder of County","Settlements"),IF(D287="City Centre","City Centre","Rest of City"))</f>
        <v>Rest of City</v>
      </c>
      <c r="AP287" s="57" t="str">
        <f aca="false">IF(LEFT(B287,13)="Council audit","Audit",IF(LEFT(B287,8)="Planning","Consent","Zoned"))</f>
        <v>Consent</v>
      </c>
      <c r="AQ287" s="57" t="n">
        <f aca="false">IF(N(K287)&gt;0,I287*Y287/K287,0)</f>
        <v>0</v>
      </c>
    </row>
    <row r="288" customFormat="false" ht="15" hidden="false" customHeight="false" outlineLevel="0" collapsed="false">
      <c r="A288" s="57" t="s">
        <v>1035</v>
      </c>
      <c r="B288" s="57" t="s">
        <v>218</v>
      </c>
      <c r="C288" s="57" t="s">
        <v>220</v>
      </c>
      <c r="D288" s="57" t="s">
        <v>739</v>
      </c>
      <c r="E288" s="57" t="s">
        <v>1036</v>
      </c>
      <c r="F288" s="57"/>
      <c r="G288" s="57"/>
      <c r="H288" s="57"/>
      <c r="I288" s="57" t="n">
        <v>0.818</v>
      </c>
      <c r="J288" s="57" t="n">
        <v>0.818</v>
      </c>
      <c r="K288" s="57"/>
      <c r="L288" s="57" t="s">
        <v>731</v>
      </c>
      <c r="M288" s="57"/>
      <c r="N288" s="57"/>
      <c r="O288" s="57"/>
      <c r="P288" s="57"/>
      <c r="Q288" s="57"/>
      <c r="R288" s="57" t="n">
        <v>6</v>
      </c>
      <c r="S288" s="57" t="n">
        <v>0</v>
      </c>
      <c r="T288" s="57" t="n">
        <v>0</v>
      </c>
      <c r="U288" s="57" t="n">
        <v>0</v>
      </c>
      <c r="V288" s="57" t="n">
        <v>0</v>
      </c>
      <c r="W288" s="57" t="n">
        <v>0</v>
      </c>
      <c r="X288" s="57" t="n">
        <v>6</v>
      </c>
      <c r="Y288" s="57" t="n">
        <v>0</v>
      </c>
      <c r="Z288" s="57" t="n">
        <v>6</v>
      </c>
      <c r="AA288" s="57" t="n">
        <v>0</v>
      </c>
      <c r="AB288" s="57" t="n">
        <v>0</v>
      </c>
      <c r="AC288" s="57" t="n">
        <v>0</v>
      </c>
      <c r="AD288" s="57" t="n">
        <v>0</v>
      </c>
      <c r="AE288" s="57" t="n">
        <v>0</v>
      </c>
      <c r="AF288" s="57" t="n">
        <v>0</v>
      </c>
      <c r="AG288" s="57" t="n">
        <v>0</v>
      </c>
      <c r="AH288" s="57" t="s">
        <v>237</v>
      </c>
      <c r="AI288" s="57"/>
      <c r="AJ288" s="57" t="n">
        <v>3</v>
      </c>
      <c r="AK288" s="57" t="s">
        <v>365</v>
      </c>
      <c r="AL288" s="57" t="s">
        <v>365</v>
      </c>
      <c r="AM288" s="57"/>
      <c r="AN288" s="57" t="s">
        <v>365</v>
      </c>
      <c r="AO288" s="57" t="str">
        <f aca="false">IF(C288="County",IF(AL288="Rest of county","Remainder of County","Settlements"),IF(D288="City Centre","City Centre","Rest of City"))</f>
        <v>Remainder of County</v>
      </c>
      <c r="AP288" s="57" t="str">
        <f aca="false">IF(LEFT(B288,13)="Council audit","Audit",IF(LEFT(B288,8)="Planning","Consent","Zoned"))</f>
        <v>Consent</v>
      </c>
      <c r="AQ288" s="57" t="n">
        <f aca="false">IF(N(K288)&gt;0,I288*Y288/K288,0)</f>
        <v>0</v>
      </c>
    </row>
    <row r="289" customFormat="false" ht="15" hidden="false" customHeight="false" outlineLevel="0" collapsed="false">
      <c r="A289" s="57" t="s">
        <v>1037</v>
      </c>
      <c r="B289" s="57" t="s">
        <v>218</v>
      </c>
      <c r="C289" s="57" t="s">
        <v>220</v>
      </c>
      <c r="D289" s="57" t="s">
        <v>739</v>
      </c>
      <c r="E289" s="57" t="s">
        <v>1038</v>
      </c>
      <c r="F289" s="57"/>
      <c r="G289" s="57"/>
      <c r="H289" s="57"/>
      <c r="I289" s="57" t="n">
        <v>0.144</v>
      </c>
      <c r="J289" s="57" t="n">
        <v>0.144</v>
      </c>
      <c r="K289" s="57"/>
      <c r="L289" s="57" t="s">
        <v>731</v>
      </c>
      <c r="M289" s="57"/>
      <c r="N289" s="57"/>
      <c r="O289" s="57"/>
      <c r="P289" s="57"/>
      <c r="Q289" s="57"/>
      <c r="R289" s="57" t="n">
        <v>5</v>
      </c>
      <c r="S289" s="57" t="n">
        <v>0</v>
      </c>
      <c r="T289" s="57" t="n">
        <v>0</v>
      </c>
      <c r="U289" s="57" t="n">
        <v>0</v>
      </c>
      <c r="V289" s="57" t="n">
        <v>0</v>
      </c>
      <c r="W289" s="57" t="n">
        <v>0</v>
      </c>
      <c r="X289" s="57" t="n">
        <v>5</v>
      </c>
      <c r="Y289" s="57" t="n">
        <v>0</v>
      </c>
      <c r="Z289" s="57" t="n">
        <v>5</v>
      </c>
      <c r="AA289" s="57" t="n">
        <v>0</v>
      </c>
      <c r="AB289" s="57" t="n">
        <v>0</v>
      </c>
      <c r="AC289" s="57" t="n">
        <v>0</v>
      </c>
      <c r="AD289" s="57" t="n">
        <v>0</v>
      </c>
      <c r="AE289" s="57" t="n">
        <v>0</v>
      </c>
      <c r="AF289" s="57" t="n">
        <v>0</v>
      </c>
      <c r="AG289" s="57" t="n">
        <v>0</v>
      </c>
      <c r="AH289" s="57" t="s">
        <v>237</v>
      </c>
      <c r="AI289" s="57"/>
      <c r="AJ289" s="57" t="n">
        <v>5</v>
      </c>
      <c r="AK289" s="57" t="s">
        <v>352</v>
      </c>
      <c r="AL289" s="57" t="s">
        <v>349</v>
      </c>
      <c r="AM289" s="57" t="n">
        <v>1</v>
      </c>
      <c r="AN289" s="57" t="s">
        <v>575</v>
      </c>
      <c r="AO289" s="57" t="str">
        <f aca="false">IF(C289="County",IF(AL289="Rest of county","Remainder of County","Settlements"),IF(D289="City Centre","City Centre","Rest of City"))</f>
        <v>Settlements</v>
      </c>
      <c r="AP289" s="57" t="str">
        <f aca="false">IF(LEFT(B289,13)="Council audit","Audit",IF(LEFT(B289,8)="Planning","Consent","Zoned"))</f>
        <v>Consent</v>
      </c>
      <c r="AQ289" s="57" t="n">
        <f aca="false">IF(N(K289)&gt;0,I289*Y289/K289,0)</f>
        <v>0</v>
      </c>
    </row>
    <row r="290" customFormat="false" ht="15" hidden="false" customHeight="false" outlineLevel="0" collapsed="false">
      <c r="A290" s="57" t="s">
        <v>1039</v>
      </c>
      <c r="B290" s="57" t="s">
        <v>218</v>
      </c>
      <c r="C290" s="57" t="s">
        <v>220</v>
      </c>
      <c r="D290" s="57" t="s">
        <v>739</v>
      </c>
      <c r="E290" s="57" t="s">
        <v>1040</v>
      </c>
      <c r="F290" s="57"/>
      <c r="G290" s="57"/>
      <c r="H290" s="57"/>
      <c r="I290" s="57" t="n">
        <v>0.735</v>
      </c>
      <c r="J290" s="57" t="n">
        <v>0.735</v>
      </c>
      <c r="K290" s="57"/>
      <c r="L290" s="57" t="s">
        <v>731</v>
      </c>
      <c r="M290" s="57"/>
      <c r="N290" s="57"/>
      <c r="O290" s="57"/>
      <c r="P290" s="57"/>
      <c r="Q290" s="57"/>
      <c r="R290" s="57" t="n">
        <v>0</v>
      </c>
      <c r="S290" s="57" t="n">
        <v>5</v>
      </c>
      <c r="T290" s="57" t="n">
        <v>0</v>
      </c>
      <c r="U290" s="57" t="n">
        <v>0</v>
      </c>
      <c r="V290" s="57" t="n">
        <v>0</v>
      </c>
      <c r="W290" s="57" t="n">
        <v>0</v>
      </c>
      <c r="X290" s="57" t="n">
        <v>5</v>
      </c>
      <c r="Y290" s="57" t="n">
        <v>0</v>
      </c>
      <c r="Z290" s="57" t="n">
        <v>5</v>
      </c>
      <c r="AA290" s="57" t="n">
        <v>5</v>
      </c>
      <c r="AB290" s="57" t="n">
        <v>1.2</v>
      </c>
      <c r="AC290" s="57" t="n">
        <v>3.8</v>
      </c>
      <c r="AD290" s="57" t="n">
        <v>0</v>
      </c>
      <c r="AE290" s="57" t="n">
        <v>0</v>
      </c>
      <c r="AF290" s="57" t="n">
        <v>0</v>
      </c>
      <c r="AG290" s="57" t="n">
        <v>0</v>
      </c>
      <c r="AH290" s="57" t="s">
        <v>239</v>
      </c>
      <c r="AI290" s="57"/>
      <c r="AJ290" s="57" t="n">
        <v>0</v>
      </c>
      <c r="AK290" s="57" t="s">
        <v>355</v>
      </c>
      <c r="AL290" s="57" t="s">
        <v>356</v>
      </c>
      <c r="AM290" s="57" t="n">
        <v>0.26</v>
      </c>
      <c r="AN290" s="57" t="s">
        <v>575</v>
      </c>
      <c r="AO290" s="57" t="str">
        <f aca="false">IF(C290="County",IF(AL290="Rest of county","Remainder of County","Settlements"),IF(D290="City Centre","City Centre","Rest of City"))</f>
        <v>Settlements</v>
      </c>
      <c r="AP290" s="57" t="str">
        <f aca="false">IF(LEFT(B290,13)="Council audit","Audit",IF(LEFT(B290,8)="Planning","Consent","Zoned"))</f>
        <v>Consent</v>
      </c>
      <c r="AQ290" s="57" t="n">
        <f aca="false">IF(N(K290)&gt;0,I290*Y290/K290,0)</f>
        <v>0</v>
      </c>
    </row>
    <row r="291" customFormat="false" ht="15" hidden="false" customHeight="false" outlineLevel="0" collapsed="false">
      <c r="A291" s="57" t="s">
        <v>1041</v>
      </c>
      <c r="B291" s="57" t="s">
        <v>218</v>
      </c>
      <c r="C291" s="57" t="s">
        <v>220</v>
      </c>
      <c r="D291" s="57" t="s">
        <v>739</v>
      </c>
      <c r="E291" s="57" t="s">
        <v>1042</v>
      </c>
      <c r="F291" s="57"/>
      <c r="G291" s="57"/>
      <c r="H291" s="57"/>
      <c r="I291" s="57" t="n">
        <v>0.095</v>
      </c>
      <c r="J291" s="57" t="n">
        <v>0.095</v>
      </c>
      <c r="K291" s="57"/>
      <c r="L291" s="57" t="s">
        <v>731</v>
      </c>
      <c r="M291" s="57"/>
      <c r="N291" s="57"/>
      <c r="O291" s="57"/>
      <c r="P291" s="57"/>
      <c r="Q291" s="57"/>
      <c r="R291" s="57" t="n">
        <v>5</v>
      </c>
      <c r="S291" s="57" t="n">
        <v>0</v>
      </c>
      <c r="T291" s="57" t="n">
        <v>0</v>
      </c>
      <c r="U291" s="57" t="n">
        <v>0</v>
      </c>
      <c r="V291" s="57" t="n">
        <v>0</v>
      </c>
      <c r="W291" s="57" t="n">
        <v>0</v>
      </c>
      <c r="X291" s="57" t="n">
        <v>5</v>
      </c>
      <c r="Y291" s="57" t="n">
        <v>0</v>
      </c>
      <c r="Z291" s="57" t="n">
        <v>5</v>
      </c>
      <c r="AA291" s="57" t="n">
        <v>0</v>
      </c>
      <c r="AB291" s="57" t="n">
        <v>0</v>
      </c>
      <c r="AC291" s="57" t="n">
        <v>0</v>
      </c>
      <c r="AD291" s="57" t="n">
        <v>0</v>
      </c>
      <c r="AE291" s="57" t="n">
        <v>0</v>
      </c>
      <c r="AF291" s="57" t="n">
        <v>0</v>
      </c>
      <c r="AG291" s="57" t="n">
        <v>0</v>
      </c>
      <c r="AH291" s="57" t="s">
        <v>237</v>
      </c>
      <c r="AI291" s="57"/>
      <c r="AJ291" s="57" t="n">
        <v>5</v>
      </c>
      <c r="AK291" s="57" t="s">
        <v>365</v>
      </c>
      <c r="AL291" s="57" t="s">
        <v>365</v>
      </c>
      <c r="AM291" s="57"/>
      <c r="AN291" s="57" t="s">
        <v>365</v>
      </c>
      <c r="AO291" s="57" t="str">
        <f aca="false">IF(C291="County",IF(AL291="Rest of county","Remainder of County","Settlements"),IF(D291="City Centre","City Centre","Rest of City"))</f>
        <v>Remainder of County</v>
      </c>
      <c r="AP291" s="57" t="str">
        <f aca="false">IF(LEFT(B291,13)="Council audit","Audit",IF(LEFT(B291,8)="Planning","Consent","Zoned"))</f>
        <v>Consent</v>
      </c>
      <c r="AQ291" s="57" t="n">
        <f aca="false">IF(N(K291)&gt;0,I291*Y291/K291,0)</f>
        <v>0</v>
      </c>
    </row>
    <row r="292" customFormat="false" ht="15" hidden="false" customHeight="false" outlineLevel="0" collapsed="false">
      <c r="A292" s="57" t="s">
        <v>1043</v>
      </c>
      <c r="B292" s="57" t="s">
        <v>218</v>
      </c>
      <c r="C292" s="57" t="s">
        <v>216</v>
      </c>
      <c r="D292" s="57" t="s">
        <v>284</v>
      </c>
      <c r="E292" s="57" t="s">
        <v>1044</v>
      </c>
      <c r="F292" s="57"/>
      <c r="G292" s="57"/>
      <c r="H292" s="57"/>
      <c r="I292" s="57" t="n">
        <v>0.099</v>
      </c>
      <c r="J292" s="57" t="n">
        <v>0.099</v>
      </c>
      <c r="K292" s="57"/>
      <c r="L292" s="57" t="s">
        <v>731</v>
      </c>
      <c r="M292" s="57"/>
      <c r="N292" s="57"/>
      <c r="O292" s="57"/>
      <c r="P292" s="57"/>
      <c r="Q292" s="57"/>
      <c r="R292" s="57" t="n">
        <v>5</v>
      </c>
      <c r="S292" s="57" t="n">
        <v>0</v>
      </c>
      <c r="T292" s="57" t="n">
        <v>0</v>
      </c>
      <c r="U292" s="57" t="n">
        <v>0</v>
      </c>
      <c r="V292" s="57" t="n">
        <v>0</v>
      </c>
      <c r="W292" s="57" t="n">
        <v>0</v>
      </c>
      <c r="X292" s="57" t="n">
        <v>5</v>
      </c>
      <c r="Y292" s="57" t="n">
        <v>0</v>
      </c>
      <c r="Z292" s="57" t="n">
        <v>5</v>
      </c>
      <c r="AA292" s="57" t="n">
        <v>0</v>
      </c>
      <c r="AB292" s="57" t="n">
        <v>0</v>
      </c>
      <c r="AC292" s="57" t="n">
        <v>0</v>
      </c>
      <c r="AD292" s="57" t="n">
        <v>0</v>
      </c>
      <c r="AE292" s="57" t="n">
        <v>0</v>
      </c>
      <c r="AF292" s="57" t="n">
        <v>0</v>
      </c>
      <c r="AG292" s="57" t="n">
        <v>0</v>
      </c>
      <c r="AH292" s="57" t="s">
        <v>237</v>
      </c>
      <c r="AI292" s="57"/>
      <c r="AJ292" s="57" t="n">
        <v>5</v>
      </c>
      <c r="AK292" s="57" t="s">
        <v>284</v>
      </c>
      <c r="AL292" s="57" t="s">
        <v>347</v>
      </c>
      <c r="AM292" s="57" t="n">
        <v>1</v>
      </c>
      <c r="AN292" s="57" t="s">
        <v>575</v>
      </c>
      <c r="AO292" s="57" t="str">
        <f aca="false">IF(C292="County",IF(AL292="Rest of county","Remainder of County","Settlements"),IF(D292="City Centre","City Centre","Rest of City"))</f>
        <v>Rest of City</v>
      </c>
      <c r="AP292" s="57" t="str">
        <f aca="false">IF(LEFT(B292,13)="Council audit","Audit",IF(LEFT(B292,8)="Planning","Consent","Zoned"))</f>
        <v>Consent</v>
      </c>
      <c r="AQ292" s="57" t="n">
        <f aca="false">IF(N(K292)&gt;0,I292*Y292/K292,0)</f>
        <v>0</v>
      </c>
    </row>
    <row r="293" customFormat="false" ht="15" hidden="false" customHeight="false" outlineLevel="0" collapsed="false">
      <c r="A293" s="57" t="s">
        <v>1045</v>
      </c>
      <c r="B293" s="57" t="s">
        <v>218</v>
      </c>
      <c r="C293" s="57" t="s">
        <v>216</v>
      </c>
      <c r="D293" s="57" t="s">
        <v>258</v>
      </c>
      <c r="E293" s="57" t="s">
        <v>1046</v>
      </c>
      <c r="F293" s="57"/>
      <c r="G293" s="57"/>
      <c r="H293" s="57"/>
      <c r="I293" s="57" t="n">
        <v>0.015</v>
      </c>
      <c r="J293" s="57" t="n">
        <v>0.015</v>
      </c>
      <c r="K293" s="57"/>
      <c r="L293" s="57" t="s">
        <v>731</v>
      </c>
      <c r="M293" s="57"/>
      <c r="N293" s="57"/>
      <c r="O293" s="57"/>
      <c r="P293" s="57"/>
      <c r="Q293" s="57"/>
      <c r="R293" s="57" t="n">
        <v>0</v>
      </c>
      <c r="S293" s="57" t="n">
        <v>5</v>
      </c>
      <c r="T293" s="57" t="n">
        <v>0</v>
      </c>
      <c r="U293" s="57" t="n">
        <v>0</v>
      </c>
      <c r="V293" s="57" t="n">
        <v>0</v>
      </c>
      <c r="W293" s="57" t="n">
        <v>0</v>
      </c>
      <c r="X293" s="57" t="n">
        <v>5</v>
      </c>
      <c r="Y293" s="57" t="n">
        <v>0</v>
      </c>
      <c r="Z293" s="57" t="n">
        <v>5</v>
      </c>
      <c r="AA293" s="57" t="n">
        <v>5</v>
      </c>
      <c r="AB293" s="57" t="n">
        <v>1.2</v>
      </c>
      <c r="AC293" s="57" t="n">
        <v>3.8</v>
      </c>
      <c r="AD293" s="57" t="n">
        <v>0</v>
      </c>
      <c r="AE293" s="57" t="n">
        <v>0</v>
      </c>
      <c r="AF293" s="57" t="n">
        <v>0</v>
      </c>
      <c r="AG293" s="57" t="n">
        <v>0</v>
      </c>
      <c r="AH293" s="57" t="s">
        <v>239</v>
      </c>
      <c r="AI293" s="57"/>
      <c r="AJ293" s="57" t="n">
        <v>0</v>
      </c>
      <c r="AK293" s="57" t="s">
        <v>258</v>
      </c>
      <c r="AL293" s="57" t="s">
        <v>347</v>
      </c>
      <c r="AM293" s="57" t="n">
        <v>1</v>
      </c>
      <c r="AN293" s="57" t="s">
        <v>575</v>
      </c>
      <c r="AO293" s="57" t="str">
        <f aca="false">IF(C293="County",IF(AL293="Rest of county","Remainder of County","Settlements"),IF(D293="City Centre","City Centre","Rest of City"))</f>
        <v>City Centre</v>
      </c>
      <c r="AP293" s="57" t="str">
        <f aca="false">IF(LEFT(B293,13)="Council audit","Audit",IF(LEFT(B293,8)="Planning","Consent","Zoned"))</f>
        <v>Consent</v>
      </c>
      <c r="AQ293" s="57" t="n">
        <f aca="false">IF(N(K293)&gt;0,I293*Y293/K293,0)</f>
        <v>0</v>
      </c>
    </row>
    <row r="294" customFormat="false" ht="15" hidden="false" customHeight="false" outlineLevel="0" collapsed="false">
      <c r="A294" s="57" t="s">
        <v>1047</v>
      </c>
      <c r="B294" s="57" t="s">
        <v>218</v>
      </c>
      <c r="C294" s="57" t="s">
        <v>216</v>
      </c>
      <c r="D294" s="57" t="s">
        <v>287</v>
      </c>
      <c r="E294" s="57" t="s">
        <v>1048</v>
      </c>
      <c r="F294" s="57"/>
      <c r="G294" s="57"/>
      <c r="H294" s="57"/>
      <c r="I294" s="57" t="n">
        <v>0.196</v>
      </c>
      <c r="J294" s="57" t="n">
        <v>0.196</v>
      </c>
      <c r="K294" s="57"/>
      <c r="L294" s="57" t="s">
        <v>731</v>
      </c>
      <c r="M294" s="57"/>
      <c r="N294" s="57"/>
      <c r="O294" s="57"/>
      <c r="P294" s="57"/>
      <c r="Q294" s="57"/>
      <c r="R294" s="57" t="n">
        <v>0</v>
      </c>
      <c r="S294" s="57" t="n">
        <v>0</v>
      </c>
      <c r="T294" s="57" t="n">
        <v>5</v>
      </c>
      <c r="U294" s="57" t="n">
        <v>0</v>
      </c>
      <c r="V294" s="57" t="n">
        <v>0</v>
      </c>
      <c r="W294" s="57" t="n">
        <v>0</v>
      </c>
      <c r="X294" s="57" t="n">
        <v>5</v>
      </c>
      <c r="Y294" s="57" t="n">
        <v>0</v>
      </c>
      <c r="Z294" s="57" t="n">
        <v>5</v>
      </c>
      <c r="AA294" s="57" t="n">
        <v>5</v>
      </c>
      <c r="AB294" s="57" t="n">
        <v>0</v>
      </c>
      <c r="AC294" s="57" t="n">
        <v>0</v>
      </c>
      <c r="AD294" s="57" t="n">
        <v>4.4</v>
      </c>
      <c r="AE294" s="57" t="n">
        <v>0.6</v>
      </c>
      <c r="AF294" s="57" t="n">
        <v>0</v>
      </c>
      <c r="AG294" s="57" t="n">
        <v>0</v>
      </c>
      <c r="AH294" s="57" t="s">
        <v>239</v>
      </c>
      <c r="AI294" s="57"/>
      <c r="AJ294" s="57" t="n">
        <v>0</v>
      </c>
      <c r="AK294" s="57" t="s">
        <v>287</v>
      </c>
      <c r="AL294" s="57" t="s">
        <v>347</v>
      </c>
      <c r="AM294" s="57" t="n">
        <v>1</v>
      </c>
      <c r="AN294" s="57" t="s">
        <v>575</v>
      </c>
      <c r="AO294" s="57" t="str">
        <f aca="false">IF(C294="County",IF(AL294="Rest of county","Remainder of County","Settlements"),IF(D294="City Centre","City Centre","Rest of City"))</f>
        <v>Rest of City</v>
      </c>
      <c r="AP294" s="57" t="str">
        <f aca="false">IF(LEFT(B294,13)="Council audit","Audit",IF(LEFT(B294,8)="Planning","Consent","Zoned"))</f>
        <v>Consent</v>
      </c>
      <c r="AQ294" s="57" t="n">
        <f aca="false">IF(N(K294)&gt;0,I294*Y294/K294,0)</f>
        <v>0</v>
      </c>
    </row>
    <row r="295" customFormat="false" ht="15" hidden="false" customHeight="false" outlineLevel="0" collapsed="false">
      <c r="A295" s="57" t="s">
        <v>1049</v>
      </c>
      <c r="B295" s="57" t="s">
        <v>218</v>
      </c>
      <c r="C295" s="57" t="s">
        <v>216</v>
      </c>
      <c r="D295" s="57" t="s">
        <v>287</v>
      </c>
      <c r="E295" s="57" t="s">
        <v>1050</v>
      </c>
      <c r="F295" s="57"/>
      <c r="G295" s="57"/>
      <c r="H295" s="57"/>
      <c r="I295" s="57" t="n">
        <v>0.094</v>
      </c>
      <c r="J295" s="57" t="n">
        <v>0.094</v>
      </c>
      <c r="K295" s="57"/>
      <c r="L295" s="57" t="s">
        <v>731</v>
      </c>
      <c r="M295" s="57"/>
      <c r="N295" s="57"/>
      <c r="O295" s="57"/>
      <c r="P295" s="57"/>
      <c r="Q295" s="57"/>
      <c r="R295" s="57" t="n">
        <v>5</v>
      </c>
      <c r="S295" s="57" t="n">
        <v>0</v>
      </c>
      <c r="T295" s="57" t="n">
        <v>0</v>
      </c>
      <c r="U295" s="57" t="n">
        <v>0</v>
      </c>
      <c r="V295" s="57" t="n">
        <v>0</v>
      </c>
      <c r="W295" s="57" t="n">
        <v>0</v>
      </c>
      <c r="X295" s="57" t="n">
        <v>5</v>
      </c>
      <c r="Y295" s="57" t="n">
        <v>0</v>
      </c>
      <c r="Z295" s="57" t="n">
        <v>5</v>
      </c>
      <c r="AA295" s="57" t="n">
        <v>0</v>
      </c>
      <c r="AB295" s="57" t="n">
        <v>0</v>
      </c>
      <c r="AC295" s="57" t="n">
        <v>0</v>
      </c>
      <c r="AD295" s="57" t="n">
        <v>0</v>
      </c>
      <c r="AE295" s="57" t="n">
        <v>0</v>
      </c>
      <c r="AF295" s="57" t="n">
        <v>0</v>
      </c>
      <c r="AG295" s="57" t="n">
        <v>0</v>
      </c>
      <c r="AH295" s="57" t="s">
        <v>237</v>
      </c>
      <c r="AI295" s="57"/>
      <c r="AJ295" s="57" t="n">
        <v>5</v>
      </c>
      <c r="AK295" s="57" t="s">
        <v>287</v>
      </c>
      <c r="AL295" s="57" t="s">
        <v>347</v>
      </c>
      <c r="AM295" s="57" t="n">
        <v>1</v>
      </c>
      <c r="AN295" s="57" t="s">
        <v>575</v>
      </c>
      <c r="AO295" s="57" t="str">
        <f aca="false">IF(C295="County",IF(AL295="Rest of county","Remainder of County","Settlements"),IF(D295="City Centre","City Centre","Rest of City"))</f>
        <v>Rest of City</v>
      </c>
      <c r="AP295" s="57" t="str">
        <f aca="false">IF(LEFT(B295,13)="Council audit","Audit",IF(LEFT(B295,8)="Planning","Consent","Zoned"))</f>
        <v>Consent</v>
      </c>
      <c r="AQ295" s="57" t="n">
        <f aca="false">IF(N(K295)&gt;0,I295*Y295/K295,0)</f>
        <v>0</v>
      </c>
    </row>
    <row r="296" customFormat="false" ht="15" hidden="false" customHeight="false" outlineLevel="0" collapsed="false">
      <c r="A296" s="57" t="s">
        <v>1051</v>
      </c>
      <c r="B296" s="57" t="s">
        <v>218</v>
      </c>
      <c r="C296" s="57" t="s">
        <v>216</v>
      </c>
      <c r="D296" s="57" t="s">
        <v>284</v>
      </c>
      <c r="E296" s="57" t="s">
        <v>1052</v>
      </c>
      <c r="F296" s="57"/>
      <c r="G296" s="57"/>
      <c r="H296" s="57"/>
      <c r="I296" s="57" t="n">
        <v>0.086</v>
      </c>
      <c r="J296" s="57" t="n">
        <v>0.086</v>
      </c>
      <c r="K296" s="57"/>
      <c r="L296" s="57" t="s">
        <v>731</v>
      </c>
      <c r="M296" s="57"/>
      <c r="N296" s="57"/>
      <c r="O296" s="57"/>
      <c r="P296" s="57"/>
      <c r="Q296" s="57"/>
      <c r="R296" s="57" t="n">
        <v>0</v>
      </c>
      <c r="S296" s="57" t="n">
        <v>0</v>
      </c>
      <c r="T296" s="57" t="n">
        <v>5</v>
      </c>
      <c r="U296" s="57" t="n">
        <v>0</v>
      </c>
      <c r="V296" s="57" t="n">
        <v>0</v>
      </c>
      <c r="W296" s="57" t="n">
        <v>0</v>
      </c>
      <c r="X296" s="57" t="n">
        <v>5</v>
      </c>
      <c r="Y296" s="57" t="n">
        <v>0</v>
      </c>
      <c r="Z296" s="57" t="n">
        <v>5</v>
      </c>
      <c r="AA296" s="57" t="n">
        <v>5</v>
      </c>
      <c r="AB296" s="57" t="n">
        <v>0</v>
      </c>
      <c r="AC296" s="57" t="n">
        <v>0</v>
      </c>
      <c r="AD296" s="57" t="n">
        <v>3.2</v>
      </c>
      <c r="AE296" s="57" t="n">
        <v>1.8</v>
      </c>
      <c r="AF296" s="57" t="n">
        <v>0</v>
      </c>
      <c r="AG296" s="57" t="n">
        <v>0</v>
      </c>
      <c r="AH296" s="57" t="s">
        <v>239</v>
      </c>
      <c r="AI296" s="57"/>
      <c r="AJ296" s="57" t="n">
        <v>0</v>
      </c>
      <c r="AK296" s="57" t="s">
        <v>284</v>
      </c>
      <c r="AL296" s="57" t="s">
        <v>347</v>
      </c>
      <c r="AM296" s="57" t="n">
        <v>0.82</v>
      </c>
      <c r="AN296" s="57" t="s">
        <v>575</v>
      </c>
      <c r="AO296" s="57" t="str">
        <f aca="false">IF(C296="County",IF(AL296="Rest of county","Remainder of County","Settlements"),IF(D296="City Centre","City Centre","Rest of City"))</f>
        <v>Rest of City</v>
      </c>
      <c r="AP296" s="57" t="str">
        <f aca="false">IF(LEFT(B296,13)="Council audit","Audit",IF(LEFT(B296,8)="Planning","Consent","Zoned"))</f>
        <v>Consent</v>
      </c>
      <c r="AQ296" s="57" t="n">
        <f aca="false">IF(N(K296)&gt;0,I296*Y296/K296,0)</f>
        <v>0</v>
      </c>
    </row>
    <row r="297" customFormat="false" ht="15" hidden="false" customHeight="false" outlineLevel="0" collapsed="false">
      <c r="A297" s="57" t="s">
        <v>1053</v>
      </c>
      <c r="B297" s="57" t="s">
        <v>218</v>
      </c>
      <c r="C297" s="57" t="s">
        <v>220</v>
      </c>
      <c r="D297" s="57" t="s">
        <v>739</v>
      </c>
      <c r="E297" s="57" t="s">
        <v>1054</v>
      </c>
      <c r="F297" s="57"/>
      <c r="G297" s="57"/>
      <c r="H297" s="57"/>
      <c r="I297" s="57" t="n">
        <v>1.683</v>
      </c>
      <c r="J297" s="57" t="n">
        <v>1.683</v>
      </c>
      <c r="K297" s="57"/>
      <c r="L297" s="57" t="s">
        <v>731</v>
      </c>
      <c r="M297" s="57"/>
      <c r="N297" s="57"/>
      <c r="O297" s="57"/>
      <c r="P297" s="57"/>
      <c r="Q297" s="57"/>
      <c r="R297" s="57" t="n">
        <v>4</v>
      </c>
      <c r="S297" s="57" t="n">
        <v>0</v>
      </c>
      <c r="T297" s="57" t="n">
        <v>0</v>
      </c>
      <c r="U297" s="57" t="n">
        <v>0</v>
      </c>
      <c r="V297" s="57" t="n">
        <v>0</v>
      </c>
      <c r="W297" s="57" t="n">
        <v>0</v>
      </c>
      <c r="X297" s="57" t="n">
        <v>4</v>
      </c>
      <c r="Y297" s="57" t="n">
        <v>0</v>
      </c>
      <c r="Z297" s="57" t="n">
        <v>4</v>
      </c>
      <c r="AA297" s="57" t="n">
        <v>0</v>
      </c>
      <c r="AB297" s="57" t="n">
        <v>0</v>
      </c>
      <c r="AC297" s="57" t="n">
        <v>0</v>
      </c>
      <c r="AD297" s="57" t="n">
        <v>0</v>
      </c>
      <c r="AE297" s="57" t="n">
        <v>0</v>
      </c>
      <c r="AF297" s="57" t="n">
        <v>0</v>
      </c>
      <c r="AG297" s="57" t="n">
        <v>0</v>
      </c>
      <c r="AH297" s="57" t="s">
        <v>237</v>
      </c>
      <c r="AI297" s="57"/>
      <c r="AJ297" s="57" t="n">
        <v>8</v>
      </c>
      <c r="AK297" s="57" t="s">
        <v>365</v>
      </c>
      <c r="AL297" s="57" t="s">
        <v>365</v>
      </c>
      <c r="AM297" s="57"/>
      <c r="AN297" s="57" t="s">
        <v>365</v>
      </c>
      <c r="AO297" s="57" t="str">
        <f aca="false">IF(C297="County",IF(AL297="Rest of county","Remainder of County","Settlements"),IF(D297="City Centre","City Centre","Rest of City"))</f>
        <v>Remainder of County</v>
      </c>
      <c r="AP297" s="57" t="str">
        <f aca="false">IF(LEFT(B297,13)="Council audit","Audit",IF(LEFT(B297,8)="Planning","Consent","Zoned"))</f>
        <v>Consent</v>
      </c>
      <c r="AQ297" s="57" t="n">
        <f aca="false">IF(N(K297)&gt;0,I297*Y297/K297,0)</f>
        <v>0</v>
      </c>
    </row>
    <row r="298" customFormat="false" ht="15" hidden="false" customHeight="false" outlineLevel="0" collapsed="false">
      <c r="A298" s="57" t="s">
        <v>1055</v>
      </c>
      <c r="B298" s="57" t="s">
        <v>218</v>
      </c>
      <c r="C298" s="57" t="s">
        <v>220</v>
      </c>
      <c r="D298" s="57" t="s">
        <v>739</v>
      </c>
      <c r="E298" s="57" t="s">
        <v>1056</v>
      </c>
      <c r="F298" s="57"/>
      <c r="G298" s="57"/>
      <c r="H298" s="57"/>
      <c r="I298" s="57" t="n">
        <v>0.884</v>
      </c>
      <c r="J298" s="57" t="n">
        <v>0.884</v>
      </c>
      <c r="K298" s="57"/>
      <c r="L298" s="57" t="s">
        <v>731</v>
      </c>
      <c r="M298" s="57"/>
      <c r="N298" s="57"/>
      <c r="O298" s="57"/>
      <c r="P298" s="57"/>
      <c r="Q298" s="57"/>
      <c r="R298" s="57" t="n">
        <v>0</v>
      </c>
      <c r="S298" s="57" t="n">
        <v>4</v>
      </c>
      <c r="T298" s="57" t="n">
        <v>0</v>
      </c>
      <c r="U298" s="57" t="n">
        <v>0</v>
      </c>
      <c r="V298" s="57" t="n">
        <v>0</v>
      </c>
      <c r="W298" s="57" t="n">
        <v>0</v>
      </c>
      <c r="X298" s="57" t="n">
        <v>4</v>
      </c>
      <c r="Y298" s="57" t="n">
        <v>0</v>
      </c>
      <c r="Z298" s="57" t="n">
        <v>4</v>
      </c>
      <c r="AA298" s="57" t="n">
        <v>4</v>
      </c>
      <c r="AB298" s="57" t="n">
        <v>0.9</v>
      </c>
      <c r="AC298" s="57" t="n">
        <v>3.1</v>
      </c>
      <c r="AD298" s="57" t="n">
        <v>0</v>
      </c>
      <c r="AE298" s="57" t="n">
        <v>0</v>
      </c>
      <c r="AF298" s="57" t="n">
        <v>0</v>
      </c>
      <c r="AG298" s="57" t="n">
        <v>0</v>
      </c>
      <c r="AH298" s="57" t="s">
        <v>239</v>
      </c>
      <c r="AI298" s="57"/>
      <c r="AJ298" s="57" t="n">
        <v>1</v>
      </c>
      <c r="AK298" s="57" t="s">
        <v>365</v>
      </c>
      <c r="AL298" s="57" t="s">
        <v>365</v>
      </c>
      <c r="AM298" s="57"/>
      <c r="AN298" s="57" t="s">
        <v>365</v>
      </c>
      <c r="AO298" s="57" t="str">
        <f aca="false">IF(C298="County",IF(AL298="Rest of county","Remainder of County","Settlements"),IF(D298="City Centre","City Centre","Rest of City"))</f>
        <v>Remainder of County</v>
      </c>
      <c r="AP298" s="57" t="str">
        <f aca="false">IF(LEFT(B298,13)="Council audit","Audit",IF(LEFT(B298,8)="Planning","Consent","Zoned"))</f>
        <v>Consent</v>
      </c>
      <c r="AQ298" s="57" t="n">
        <f aca="false">IF(N(K298)&gt;0,I298*Y298/K298,0)</f>
        <v>0</v>
      </c>
    </row>
    <row r="299" customFormat="false" ht="15" hidden="false" customHeight="false" outlineLevel="0" collapsed="false">
      <c r="A299" s="57" t="s">
        <v>1057</v>
      </c>
      <c r="B299" s="57" t="s">
        <v>218</v>
      </c>
      <c r="C299" s="57" t="s">
        <v>216</v>
      </c>
      <c r="D299" s="57" t="s">
        <v>258</v>
      </c>
      <c r="E299" s="57" t="s">
        <v>1058</v>
      </c>
      <c r="F299" s="57"/>
      <c r="G299" s="57"/>
      <c r="H299" s="57"/>
      <c r="I299" s="57" t="n">
        <v>0.196</v>
      </c>
      <c r="J299" s="57" t="n">
        <v>0.196</v>
      </c>
      <c r="K299" s="57"/>
      <c r="L299" s="57" t="s">
        <v>731</v>
      </c>
      <c r="M299" s="57"/>
      <c r="N299" s="57"/>
      <c r="O299" s="57"/>
      <c r="P299" s="57"/>
      <c r="Q299" s="57"/>
      <c r="R299" s="57" t="n">
        <v>0</v>
      </c>
      <c r="S299" s="57" t="n">
        <v>0</v>
      </c>
      <c r="T299" s="57" t="n">
        <v>4</v>
      </c>
      <c r="U299" s="57" t="n">
        <v>0</v>
      </c>
      <c r="V299" s="57" t="n">
        <v>0</v>
      </c>
      <c r="W299" s="57" t="n">
        <v>0</v>
      </c>
      <c r="X299" s="57" t="n">
        <v>4</v>
      </c>
      <c r="Y299" s="57" t="n">
        <v>0</v>
      </c>
      <c r="Z299" s="57" t="n">
        <v>4</v>
      </c>
      <c r="AA299" s="57" t="n">
        <v>4</v>
      </c>
      <c r="AB299" s="57" t="n">
        <v>0</v>
      </c>
      <c r="AC299" s="57" t="n">
        <v>0</v>
      </c>
      <c r="AD299" s="57" t="n">
        <v>2.5</v>
      </c>
      <c r="AE299" s="57" t="n">
        <v>1.5</v>
      </c>
      <c r="AF299" s="57" t="n">
        <v>0</v>
      </c>
      <c r="AG299" s="57" t="n">
        <v>0</v>
      </c>
      <c r="AH299" s="57" t="s">
        <v>239</v>
      </c>
      <c r="AI299" s="57"/>
      <c r="AJ299" s="57" t="n">
        <v>0</v>
      </c>
      <c r="AK299" s="57" t="s">
        <v>258</v>
      </c>
      <c r="AL299" s="57" t="s">
        <v>347</v>
      </c>
      <c r="AM299" s="57" t="n">
        <v>1</v>
      </c>
      <c r="AN299" s="57" t="s">
        <v>575</v>
      </c>
      <c r="AO299" s="57" t="str">
        <f aca="false">IF(C299="County",IF(AL299="Rest of county","Remainder of County","Settlements"),IF(D299="City Centre","City Centre","Rest of City"))</f>
        <v>City Centre</v>
      </c>
      <c r="AP299" s="57" t="str">
        <f aca="false">IF(LEFT(B299,13)="Council audit","Audit",IF(LEFT(B299,8)="Planning","Consent","Zoned"))</f>
        <v>Consent</v>
      </c>
      <c r="AQ299" s="57" t="n">
        <f aca="false">IF(N(K299)&gt;0,I299*Y299/K299,0)</f>
        <v>0</v>
      </c>
    </row>
    <row r="300" customFormat="false" ht="15" hidden="false" customHeight="false" outlineLevel="0" collapsed="false">
      <c r="A300" s="57" t="s">
        <v>1059</v>
      </c>
      <c r="B300" s="57" t="s">
        <v>218</v>
      </c>
      <c r="C300" s="57" t="s">
        <v>220</v>
      </c>
      <c r="D300" s="57" t="s">
        <v>739</v>
      </c>
      <c r="E300" s="57" t="s">
        <v>1060</v>
      </c>
      <c r="F300" s="57"/>
      <c r="G300" s="57"/>
      <c r="H300" s="57"/>
      <c r="I300" s="57" t="n">
        <v>0.25</v>
      </c>
      <c r="J300" s="57" t="n">
        <v>0.25</v>
      </c>
      <c r="K300" s="57"/>
      <c r="L300" s="57" t="s">
        <v>731</v>
      </c>
      <c r="M300" s="57"/>
      <c r="N300" s="57"/>
      <c r="O300" s="57"/>
      <c r="P300" s="57"/>
      <c r="Q300" s="57"/>
      <c r="R300" s="57" t="n">
        <v>0</v>
      </c>
      <c r="S300" s="57" t="n">
        <v>4</v>
      </c>
      <c r="T300" s="57" t="n">
        <v>0</v>
      </c>
      <c r="U300" s="57" t="n">
        <v>0</v>
      </c>
      <c r="V300" s="57" t="n">
        <v>0</v>
      </c>
      <c r="W300" s="57" t="n">
        <v>0</v>
      </c>
      <c r="X300" s="57" t="n">
        <v>4</v>
      </c>
      <c r="Y300" s="57" t="n">
        <v>0</v>
      </c>
      <c r="Z300" s="57" t="n">
        <v>4</v>
      </c>
      <c r="AA300" s="57" t="n">
        <v>4</v>
      </c>
      <c r="AB300" s="57" t="n">
        <v>0</v>
      </c>
      <c r="AC300" s="57" t="n">
        <v>3.7</v>
      </c>
      <c r="AD300" s="57" t="n">
        <v>0.3</v>
      </c>
      <c r="AE300" s="57" t="n">
        <v>0</v>
      </c>
      <c r="AF300" s="57" t="n">
        <v>0</v>
      </c>
      <c r="AG300" s="57" t="n">
        <v>0</v>
      </c>
      <c r="AH300" s="57" t="s">
        <v>239</v>
      </c>
      <c r="AI300" s="57"/>
      <c r="AJ300" s="57" t="n">
        <v>0</v>
      </c>
      <c r="AK300" s="57" t="s">
        <v>363</v>
      </c>
      <c r="AL300" s="57" t="s">
        <v>356</v>
      </c>
      <c r="AM300" s="57" t="n">
        <v>1</v>
      </c>
      <c r="AN300" s="57" t="s">
        <v>575</v>
      </c>
      <c r="AO300" s="57" t="str">
        <f aca="false">IF(C300="County",IF(AL300="Rest of county","Remainder of County","Settlements"),IF(D300="City Centre","City Centre","Rest of City"))</f>
        <v>Settlements</v>
      </c>
      <c r="AP300" s="57" t="str">
        <f aca="false">IF(LEFT(B300,13)="Council audit","Audit",IF(LEFT(B300,8)="Planning","Consent","Zoned"))</f>
        <v>Consent</v>
      </c>
      <c r="AQ300" s="57" t="n">
        <f aca="false">IF(N(K300)&gt;0,I300*Y300/K300,0)</f>
        <v>0</v>
      </c>
    </row>
    <row r="301" customFormat="false" ht="15" hidden="false" customHeight="false" outlineLevel="0" collapsed="false">
      <c r="A301" s="57" t="s">
        <v>1061</v>
      </c>
      <c r="B301" s="57" t="s">
        <v>218</v>
      </c>
      <c r="C301" s="57" t="s">
        <v>216</v>
      </c>
      <c r="D301" s="57" t="s">
        <v>287</v>
      </c>
      <c r="E301" s="57" t="s">
        <v>1062</v>
      </c>
      <c r="F301" s="57"/>
      <c r="G301" s="57"/>
      <c r="H301" s="57"/>
      <c r="I301" s="57" t="n">
        <v>0.242</v>
      </c>
      <c r="J301" s="57" t="n">
        <v>0.242</v>
      </c>
      <c r="K301" s="57"/>
      <c r="L301" s="57" t="s">
        <v>731</v>
      </c>
      <c r="M301" s="57"/>
      <c r="N301" s="57"/>
      <c r="O301" s="57"/>
      <c r="P301" s="57"/>
      <c r="Q301" s="57"/>
      <c r="R301" s="57" t="n">
        <v>4</v>
      </c>
      <c r="S301" s="57" t="n">
        <v>0</v>
      </c>
      <c r="T301" s="57" t="n">
        <v>0</v>
      </c>
      <c r="U301" s="57" t="n">
        <v>0</v>
      </c>
      <c r="V301" s="57" t="n">
        <v>0</v>
      </c>
      <c r="W301" s="57" t="n">
        <v>0</v>
      </c>
      <c r="X301" s="57" t="n">
        <v>4</v>
      </c>
      <c r="Y301" s="57" t="n">
        <v>0</v>
      </c>
      <c r="Z301" s="57" t="n">
        <v>4</v>
      </c>
      <c r="AA301" s="57" t="n">
        <v>0</v>
      </c>
      <c r="AB301" s="57" t="n">
        <v>0</v>
      </c>
      <c r="AC301" s="57" t="n">
        <v>0</v>
      </c>
      <c r="AD301" s="57" t="n">
        <v>0</v>
      </c>
      <c r="AE301" s="57" t="n">
        <v>0</v>
      </c>
      <c r="AF301" s="57" t="n">
        <v>0</v>
      </c>
      <c r="AG301" s="57" t="n">
        <v>0</v>
      </c>
      <c r="AH301" s="57" t="s">
        <v>237</v>
      </c>
      <c r="AI301" s="57"/>
      <c r="AJ301" s="57" t="n">
        <v>4</v>
      </c>
      <c r="AK301" s="57" t="s">
        <v>287</v>
      </c>
      <c r="AL301" s="57" t="s">
        <v>347</v>
      </c>
      <c r="AM301" s="57" t="n">
        <v>1</v>
      </c>
      <c r="AN301" s="57" t="s">
        <v>575</v>
      </c>
      <c r="AO301" s="57" t="str">
        <f aca="false">IF(C301="County",IF(AL301="Rest of county","Remainder of County","Settlements"),IF(D301="City Centre","City Centre","Rest of City"))</f>
        <v>Rest of City</v>
      </c>
      <c r="AP301" s="57" t="str">
        <f aca="false">IF(LEFT(B301,13)="Council audit","Audit",IF(LEFT(B301,8)="Planning","Consent","Zoned"))</f>
        <v>Consent</v>
      </c>
      <c r="AQ301" s="57" t="n">
        <f aca="false">IF(N(K301)&gt;0,I301*Y301/K301,0)</f>
        <v>0</v>
      </c>
    </row>
    <row r="302" customFormat="false" ht="15" hidden="false" customHeight="false" outlineLevel="0" collapsed="false">
      <c r="A302" s="57" t="s">
        <v>1063</v>
      </c>
      <c r="B302" s="57" t="s">
        <v>218</v>
      </c>
      <c r="C302" s="57" t="s">
        <v>216</v>
      </c>
      <c r="D302" s="57" t="s">
        <v>287</v>
      </c>
      <c r="E302" s="57" t="s">
        <v>1064</v>
      </c>
      <c r="F302" s="57"/>
      <c r="G302" s="57"/>
      <c r="H302" s="57"/>
      <c r="I302" s="57" t="n">
        <v>0.133</v>
      </c>
      <c r="J302" s="57" t="n">
        <v>0.133</v>
      </c>
      <c r="K302" s="57"/>
      <c r="L302" s="57" t="s">
        <v>731</v>
      </c>
      <c r="M302" s="57"/>
      <c r="N302" s="57"/>
      <c r="O302" s="57"/>
      <c r="P302" s="57"/>
      <c r="Q302" s="57"/>
      <c r="R302" s="57" t="n">
        <v>0</v>
      </c>
      <c r="S302" s="57" t="n">
        <v>4</v>
      </c>
      <c r="T302" s="57" t="n">
        <v>0</v>
      </c>
      <c r="U302" s="57" t="n">
        <v>0</v>
      </c>
      <c r="V302" s="57" t="n">
        <v>0</v>
      </c>
      <c r="W302" s="57" t="n">
        <v>0</v>
      </c>
      <c r="X302" s="57" t="n">
        <v>4</v>
      </c>
      <c r="Y302" s="57" t="n">
        <v>0</v>
      </c>
      <c r="Z302" s="57" t="n">
        <v>4</v>
      </c>
      <c r="AA302" s="57" t="n">
        <v>4</v>
      </c>
      <c r="AB302" s="57" t="n">
        <v>0.9</v>
      </c>
      <c r="AC302" s="57" t="n">
        <v>3.1</v>
      </c>
      <c r="AD302" s="57" t="n">
        <v>0</v>
      </c>
      <c r="AE302" s="57" t="n">
        <v>0</v>
      </c>
      <c r="AF302" s="57" t="n">
        <v>0</v>
      </c>
      <c r="AG302" s="57" t="n">
        <v>0</v>
      </c>
      <c r="AH302" s="57" t="s">
        <v>239</v>
      </c>
      <c r="AI302" s="57"/>
      <c r="AJ302" s="57" t="n">
        <v>3</v>
      </c>
      <c r="AK302" s="57" t="s">
        <v>287</v>
      </c>
      <c r="AL302" s="57" t="s">
        <v>347</v>
      </c>
      <c r="AM302" s="57" t="n">
        <v>1</v>
      </c>
      <c r="AN302" s="57" t="s">
        <v>575</v>
      </c>
      <c r="AO302" s="57" t="str">
        <f aca="false">IF(C302="County",IF(AL302="Rest of county","Remainder of County","Settlements"),IF(D302="City Centre","City Centre","Rest of City"))</f>
        <v>Rest of City</v>
      </c>
      <c r="AP302" s="57" t="str">
        <f aca="false">IF(LEFT(B302,13)="Council audit","Audit",IF(LEFT(B302,8)="Planning","Consent","Zoned"))</f>
        <v>Consent</v>
      </c>
      <c r="AQ302" s="57" t="n">
        <f aca="false">IF(N(K302)&gt;0,I302*Y302/K302,0)</f>
        <v>0</v>
      </c>
    </row>
    <row r="303" customFormat="false" ht="15" hidden="false" customHeight="false" outlineLevel="0" collapsed="false">
      <c r="A303" s="57" t="s">
        <v>1065</v>
      </c>
      <c r="B303" s="57" t="s">
        <v>218</v>
      </c>
      <c r="C303" s="57" t="s">
        <v>216</v>
      </c>
      <c r="D303" s="57" t="s">
        <v>285</v>
      </c>
      <c r="E303" s="57" t="s">
        <v>1066</v>
      </c>
      <c r="F303" s="57"/>
      <c r="G303" s="57"/>
      <c r="H303" s="57"/>
      <c r="I303" s="57" t="n">
        <v>0.196</v>
      </c>
      <c r="J303" s="57" t="n">
        <v>0.196</v>
      </c>
      <c r="K303" s="57"/>
      <c r="L303" s="57" t="s">
        <v>731</v>
      </c>
      <c r="M303" s="57"/>
      <c r="N303" s="57"/>
      <c r="O303" s="57"/>
      <c r="P303" s="57"/>
      <c r="Q303" s="57"/>
      <c r="R303" s="57" t="n">
        <v>0</v>
      </c>
      <c r="S303" s="57" t="n">
        <v>0</v>
      </c>
      <c r="T303" s="57" t="n">
        <v>4</v>
      </c>
      <c r="U303" s="57" t="n">
        <v>0</v>
      </c>
      <c r="V303" s="57" t="n">
        <v>0</v>
      </c>
      <c r="W303" s="57" t="n">
        <v>0</v>
      </c>
      <c r="X303" s="57" t="n">
        <v>4</v>
      </c>
      <c r="Y303" s="57" t="n">
        <v>0</v>
      </c>
      <c r="Z303" s="57" t="n">
        <v>4</v>
      </c>
      <c r="AA303" s="57" t="n">
        <v>4</v>
      </c>
      <c r="AB303" s="57" t="n">
        <v>0</v>
      </c>
      <c r="AC303" s="57" t="n">
        <v>0</v>
      </c>
      <c r="AD303" s="57" t="n">
        <v>1.2</v>
      </c>
      <c r="AE303" s="57" t="n">
        <v>2.8</v>
      </c>
      <c r="AF303" s="57" t="n">
        <v>0</v>
      </c>
      <c r="AG303" s="57" t="n">
        <v>0</v>
      </c>
      <c r="AH303" s="57" t="s">
        <v>239</v>
      </c>
      <c r="AI303" s="57"/>
      <c r="AJ303" s="57" t="n">
        <v>5</v>
      </c>
      <c r="AK303" s="57" t="s">
        <v>285</v>
      </c>
      <c r="AL303" s="57" t="s">
        <v>347</v>
      </c>
      <c r="AM303" s="57" t="n">
        <v>1</v>
      </c>
      <c r="AN303" s="57" t="s">
        <v>575</v>
      </c>
      <c r="AO303" s="57" t="str">
        <f aca="false">IF(C303="County",IF(AL303="Rest of county","Remainder of County","Settlements"),IF(D303="City Centre","City Centre","Rest of City"))</f>
        <v>Rest of City</v>
      </c>
      <c r="AP303" s="57" t="str">
        <f aca="false">IF(LEFT(B303,13)="Council audit","Audit",IF(LEFT(B303,8)="Planning","Consent","Zoned"))</f>
        <v>Consent</v>
      </c>
      <c r="AQ303" s="57" t="n">
        <f aca="false">IF(N(K303)&gt;0,I303*Y303/K303,0)</f>
        <v>0</v>
      </c>
    </row>
    <row r="304" customFormat="false" ht="15" hidden="false" customHeight="false" outlineLevel="0" collapsed="false">
      <c r="A304" s="57" t="s">
        <v>1067</v>
      </c>
      <c r="B304" s="57" t="s">
        <v>218</v>
      </c>
      <c r="C304" s="57" t="s">
        <v>220</v>
      </c>
      <c r="D304" s="57" t="s">
        <v>739</v>
      </c>
      <c r="E304" s="57" t="s">
        <v>1068</v>
      </c>
      <c r="F304" s="57"/>
      <c r="G304" s="57"/>
      <c r="H304" s="57"/>
      <c r="I304" s="57" t="n">
        <v>0.076</v>
      </c>
      <c r="J304" s="57" t="n">
        <v>0.076</v>
      </c>
      <c r="K304" s="57"/>
      <c r="L304" s="57" t="s">
        <v>731</v>
      </c>
      <c r="M304" s="57"/>
      <c r="N304" s="57"/>
      <c r="O304" s="57"/>
      <c r="P304" s="57"/>
      <c r="Q304" s="57"/>
      <c r="R304" s="57" t="n">
        <v>4</v>
      </c>
      <c r="S304" s="57" t="n">
        <v>0</v>
      </c>
      <c r="T304" s="57" t="n">
        <v>0</v>
      </c>
      <c r="U304" s="57" t="n">
        <v>0</v>
      </c>
      <c r="V304" s="57" t="n">
        <v>0</v>
      </c>
      <c r="W304" s="57" t="n">
        <v>0</v>
      </c>
      <c r="X304" s="57" t="n">
        <v>4</v>
      </c>
      <c r="Y304" s="57" t="n">
        <v>0</v>
      </c>
      <c r="Z304" s="57" t="n">
        <v>4</v>
      </c>
      <c r="AA304" s="57" t="n">
        <v>0</v>
      </c>
      <c r="AB304" s="57" t="n">
        <v>0</v>
      </c>
      <c r="AC304" s="57" t="n">
        <v>0</v>
      </c>
      <c r="AD304" s="57" t="n">
        <v>0</v>
      </c>
      <c r="AE304" s="57" t="n">
        <v>0</v>
      </c>
      <c r="AF304" s="57" t="n">
        <v>0</v>
      </c>
      <c r="AG304" s="57" t="n">
        <v>0</v>
      </c>
      <c r="AH304" s="57" t="s">
        <v>237</v>
      </c>
      <c r="AI304" s="57"/>
      <c r="AJ304" s="57" t="n">
        <v>4</v>
      </c>
      <c r="AK304" s="57" t="s">
        <v>365</v>
      </c>
      <c r="AL304" s="57" t="s">
        <v>365</v>
      </c>
      <c r="AM304" s="57"/>
      <c r="AN304" s="57" t="s">
        <v>365</v>
      </c>
      <c r="AO304" s="57" t="str">
        <f aca="false">IF(C304="County",IF(AL304="Rest of county","Remainder of County","Settlements"),IF(D304="City Centre","City Centre","Rest of City"))</f>
        <v>Remainder of County</v>
      </c>
      <c r="AP304" s="57" t="str">
        <f aca="false">IF(LEFT(B304,13)="Council audit","Audit",IF(LEFT(B304,8)="Planning","Consent","Zoned"))</f>
        <v>Consent</v>
      </c>
      <c r="AQ304" s="57" t="n">
        <f aca="false">IF(N(K304)&gt;0,I304*Y304/K304,0)</f>
        <v>0</v>
      </c>
    </row>
    <row r="305" customFormat="false" ht="15" hidden="false" customHeight="false" outlineLevel="0" collapsed="false">
      <c r="A305" s="57" t="s">
        <v>1069</v>
      </c>
      <c r="B305" s="57" t="s">
        <v>218</v>
      </c>
      <c r="C305" s="57" t="s">
        <v>220</v>
      </c>
      <c r="D305" s="57" t="s">
        <v>739</v>
      </c>
      <c r="E305" s="57" t="s">
        <v>1070</v>
      </c>
      <c r="F305" s="57"/>
      <c r="G305" s="57"/>
      <c r="H305" s="57"/>
      <c r="I305" s="57" t="n">
        <v>0.163</v>
      </c>
      <c r="J305" s="57" t="n">
        <v>0.163</v>
      </c>
      <c r="K305" s="57"/>
      <c r="L305" s="57" t="s">
        <v>731</v>
      </c>
      <c r="M305" s="57"/>
      <c r="N305" s="57"/>
      <c r="O305" s="57"/>
      <c r="P305" s="57"/>
      <c r="Q305" s="57"/>
      <c r="R305" s="57" t="n">
        <v>4</v>
      </c>
      <c r="S305" s="57" t="n">
        <v>0</v>
      </c>
      <c r="T305" s="57" t="n">
        <v>0</v>
      </c>
      <c r="U305" s="57" t="n">
        <v>0</v>
      </c>
      <c r="V305" s="57" t="n">
        <v>0</v>
      </c>
      <c r="W305" s="57" t="n">
        <v>0</v>
      </c>
      <c r="X305" s="57" t="n">
        <v>4</v>
      </c>
      <c r="Y305" s="57" t="n">
        <v>0</v>
      </c>
      <c r="Z305" s="57" t="n">
        <v>4</v>
      </c>
      <c r="AA305" s="57" t="n">
        <v>0</v>
      </c>
      <c r="AB305" s="57" t="n">
        <v>0</v>
      </c>
      <c r="AC305" s="57" t="n">
        <v>0</v>
      </c>
      <c r="AD305" s="57" t="n">
        <v>0</v>
      </c>
      <c r="AE305" s="57" t="n">
        <v>0</v>
      </c>
      <c r="AF305" s="57" t="n">
        <v>0</v>
      </c>
      <c r="AG305" s="57" t="n">
        <v>0</v>
      </c>
      <c r="AH305" s="57" t="s">
        <v>237</v>
      </c>
      <c r="AI305" s="57"/>
      <c r="AJ305" s="57" t="n">
        <v>4</v>
      </c>
      <c r="AK305" s="57" t="s">
        <v>353</v>
      </c>
      <c r="AL305" s="57" t="s">
        <v>349</v>
      </c>
      <c r="AM305" s="57" t="n">
        <v>1</v>
      </c>
      <c r="AN305" s="57" t="s">
        <v>575</v>
      </c>
      <c r="AO305" s="57" t="str">
        <f aca="false">IF(C305="County",IF(AL305="Rest of county","Remainder of County","Settlements"),IF(D305="City Centre","City Centre","Rest of City"))</f>
        <v>Settlements</v>
      </c>
      <c r="AP305" s="57" t="str">
        <f aca="false">IF(LEFT(B305,13)="Council audit","Audit",IF(LEFT(B305,8)="Planning","Consent","Zoned"))</f>
        <v>Consent</v>
      </c>
      <c r="AQ305" s="57" t="n">
        <f aca="false">IF(N(K305)&gt;0,I305*Y305/K305,0)</f>
        <v>0</v>
      </c>
    </row>
    <row r="306" customFormat="false" ht="15" hidden="false" customHeight="false" outlineLevel="0" collapsed="false">
      <c r="A306" s="57" t="s">
        <v>1071</v>
      </c>
      <c r="B306" s="57" t="s">
        <v>218</v>
      </c>
      <c r="C306" s="57" t="s">
        <v>220</v>
      </c>
      <c r="D306" s="57" t="s">
        <v>739</v>
      </c>
      <c r="E306" s="57" t="s">
        <v>1072</v>
      </c>
      <c r="F306" s="57"/>
      <c r="G306" s="57"/>
      <c r="H306" s="57"/>
      <c r="I306" s="57" t="n">
        <v>0.196</v>
      </c>
      <c r="J306" s="57" t="n">
        <v>0.196</v>
      </c>
      <c r="K306" s="57"/>
      <c r="L306" s="57" t="s">
        <v>731</v>
      </c>
      <c r="M306" s="57"/>
      <c r="N306" s="57"/>
      <c r="O306" s="57"/>
      <c r="P306" s="57"/>
      <c r="Q306" s="57"/>
      <c r="R306" s="57" t="n">
        <v>0</v>
      </c>
      <c r="S306" s="57" t="n">
        <v>0</v>
      </c>
      <c r="T306" s="57" t="n">
        <v>4</v>
      </c>
      <c r="U306" s="57" t="n">
        <v>0</v>
      </c>
      <c r="V306" s="57" t="n">
        <v>0</v>
      </c>
      <c r="W306" s="57" t="n">
        <v>0</v>
      </c>
      <c r="X306" s="57" t="n">
        <v>4</v>
      </c>
      <c r="Y306" s="57" t="n">
        <v>0</v>
      </c>
      <c r="Z306" s="57" t="n">
        <v>4</v>
      </c>
      <c r="AA306" s="57" t="n">
        <v>4</v>
      </c>
      <c r="AB306" s="57" t="n">
        <v>0</v>
      </c>
      <c r="AC306" s="57" t="n">
        <v>0</v>
      </c>
      <c r="AD306" s="57" t="n">
        <v>3.5</v>
      </c>
      <c r="AE306" s="57" t="n">
        <v>0.5</v>
      </c>
      <c r="AF306" s="57" t="n">
        <v>0</v>
      </c>
      <c r="AG306" s="57" t="n">
        <v>0</v>
      </c>
      <c r="AH306" s="57" t="s">
        <v>239</v>
      </c>
      <c r="AI306" s="57"/>
      <c r="AJ306" s="57" t="n">
        <v>0</v>
      </c>
      <c r="AK306" s="57" t="s">
        <v>365</v>
      </c>
      <c r="AL306" s="57" t="s">
        <v>365</v>
      </c>
      <c r="AM306" s="57"/>
      <c r="AN306" s="57" t="s">
        <v>365</v>
      </c>
      <c r="AO306" s="57" t="str">
        <f aca="false">IF(C306="County",IF(AL306="Rest of county","Remainder of County","Settlements"),IF(D306="City Centre","City Centre","Rest of City"))</f>
        <v>Remainder of County</v>
      </c>
      <c r="AP306" s="57" t="str">
        <f aca="false">IF(LEFT(B306,13)="Council audit","Audit",IF(LEFT(B306,8)="Planning","Consent","Zoned"))</f>
        <v>Consent</v>
      </c>
      <c r="AQ306" s="57" t="n">
        <f aca="false">IF(N(K306)&gt;0,I306*Y306/K306,0)</f>
        <v>0</v>
      </c>
    </row>
    <row r="307" customFormat="false" ht="15" hidden="false" customHeight="false" outlineLevel="0" collapsed="false">
      <c r="A307" s="57" t="s">
        <v>1073</v>
      </c>
      <c r="B307" s="57" t="s">
        <v>218</v>
      </c>
      <c r="C307" s="57" t="s">
        <v>216</v>
      </c>
      <c r="D307" s="57" t="s">
        <v>287</v>
      </c>
      <c r="E307" s="57" t="s">
        <v>1074</v>
      </c>
      <c r="F307" s="57"/>
      <c r="G307" s="57"/>
      <c r="H307" s="57"/>
      <c r="I307" s="57" t="n">
        <v>0.187</v>
      </c>
      <c r="J307" s="57" t="n">
        <v>0.187</v>
      </c>
      <c r="K307" s="57"/>
      <c r="L307" s="57" t="s">
        <v>731</v>
      </c>
      <c r="M307" s="57"/>
      <c r="N307" s="57"/>
      <c r="O307" s="57"/>
      <c r="P307" s="57"/>
      <c r="Q307" s="57"/>
      <c r="R307" s="57" t="n">
        <v>0</v>
      </c>
      <c r="S307" s="57" t="n">
        <v>0</v>
      </c>
      <c r="T307" s="57" t="n">
        <v>0</v>
      </c>
      <c r="U307" s="57" t="n">
        <v>0</v>
      </c>
      <c r="V307" s="57" t="n">
        <v>0</v>
      </c>
      <c r="W307" s="57" t="n">
        <v>4</v>
      </c>
      <c r="X307" s="57" t="n">
        <v>0</v>
      </c>
      <c r="Y307" s="57" t="n">
        <v>0</v>
      </c>
      <c r="Z307" s="57" t="n">
        <v>0</v>
      </c>
      <c r="AA307" s="57" t="n">
        <v>0</v>
      </c>
      <c r="AB307" s="57" t="n">
        <v>0</v>
      </c>
      <c r="AC307" s="57" t="n">
        <v>0</v>
      </c>
      <c r="AD307" s="57" t="n">
        <v>0</v>
      </c>
      <c r="AE307" s="57" t="n">
        <v>0</v>
      </c>
      <c r="AF307" s="57" t="n">
        <v>0</v>
      </c>
      <c r="AG307" s="57" t="n">
        <v>0</v>
      </c>
      <c r="AH307" s="57" t="s">
        <v>240</v>
      </c>
      <c r="AI307" s="57"/>
      <c r="AJ307" s="57" t="n">
        <v>0</v>
      </c>
      <c r="AK307" s="57" t="s">
        <v>287</v>
      </c>
      <c r="AL307" s="57" t="s">
        <v>347</v>
      </c>
      <c r="AM307" s="57" t="n">
        <v>1</v>
      </c>
      <c r="AN307" s="57" t="s">
        <v>575</v>
      </c>
      <c r="AO307" s="57" t="str">
        <f aca="false">IF(C307="County",IF(AL307="Rest of county","Remainder of County","Settlements"),IF(D307="City Centre","City Centre","Rest of City"))</f>
        <v>Rest of City</v>
      </c>
      <c r="AP307" s="57" t="str">
        <f aca="false">IF(LEFT(B307,13)="Council audit","Audit",IF(LEFT(B307,8)="Planning","Consent","Zoned"))</f>
        <v>Consent</v>
      </c>
      <c r="AQ307" s="57" t="n">
        <f aca="false">IF(N(K307)&gt;0,I307*Y307/K307,0)</f>
        <v>0</v>
      </c>
    </row>
    <row r="308" customFormat="false" ht="15" hidden="false" customHeight="false" outlineLevel="0" collapsed="false">
      <c r="A308" s="57" t="s">
        <v>1075</v>
      </c>
      <c r="B308" s="57" t="s">
        <v>218</v>
      </c>
      <c r="C308" s="57" t="s">
        <v>220</v>
      </c>
      <c r="D308" s="57" t="s">
        <v>739</v>
      </c>
      <c r="E308" s="57" t="s">
        <v>1076</v>
      </c>
      <c r="F308" s="57"/>
      <c r="G308" s="57"/>
      <c r="H308" s="57"/>
      <c r="I308" s="57" t="n">
        <v>0.196</v>
      </c>
      <c r="J308" s="57" t="n">
        <v>0.196</v>
      </c>
      <c r="K308" s="57"/>
      <c r="L308" s="57" t="s">
        <v>731</v>
      </c>
      <c r="M308" s="57"/>
      <c r="N308" s="57"/>
      <c r="O308" s="57"/>
      <c r="P308" s="57"/>
      <c r="Q308" s="57"/>
      <c r="R308" s="57" t="n">
        <v>0</v>
      </c>
      <c r="S308" s="57" t="n">
        <v>0</v>
      </c>
      <c r="T308" s="57" t="n">
        <v>0</v>
      </c>
      <c r="U308" s="57" t="n">
        <v>0</v>
      </c>
      <c r="V308" s="57" t="n">
        <v>0</v>
      </c>
      <c r="W308" s="57" t="n">
        <v>4</v>
      </c>
      <c r="X308" s="57" t="n">
        <v>0</v>
      </c>
      <c r="Y308" s="57" t="n">
        <v>0</v>
      </c>
      <c r="Z308" s="57" t="n">
        <v>0</v>
      </c>
      <c r="AA308" s="57" t="n">
        <v>0</v>
      </c>
      <c r="AB308" s="57" t="n">
        <v>0</v>
      </c>
      <c r="AC308" s="57" t="n">
        <v>0</v>
      </c>
      <c r="AD308" s="57" t="n">
        <v>0</v>
      </c>
      <c r="AE308" s="57" t="n">
        <v>0</v>
      </c>
      <c r="AF308" s="57" t="n">
        <v>0</v>
      </c>
      <c r="AG308" s="57" t="n">
        <v>0</v>
      </c>
      <c r="AH308" s="57" t="s">
        <v>240</v>
      </c>
      <c r="AI308" s="57"/>
      <c r="AJ308" s="57" t="n">
        <v>0</v>
      </c>
      <c r="AK308" s="57" t="s">
        <v>365</v>
      </c>
      <c r="AL308" s="57" t="s">
        <v>365</v>
      </c>
      <c r="AM308" s="57"/>
      <c r="AN308" s="57" t="s">
        <v>365</v>
      </c>
      <c r="AO308" s="57" t="str">
        <f aca="false">IF(C308="County",IF(AL308="Rest of county","Remainder of County","Settlements"),IF(D308="City Centre","City Centre","Rest of City"))</f>
        <v>Remainder of County</v>
      </c>
      <c r="AP308" s="57" t="str">
        <f aca="false">IF(LEFT(B308,13)="Council audit","Audit",IF(LEFT(B308,8)="Planning","Consent","Zoned"))</f>
        <v>Consent</v>
      </c>
      <c r="AQ308" s="57" t="n">
        <f aca="false">IF(N(K308)&gt;0,I308*Y308/K308,0)</f>
        <v>0</v>
      </c>
    </row>
    <row r="309" customFormat="false" ht="15" hidden="false" customHeight="false" outlineLevel="0" collapsed="false">
      <c r="A309" s="57" t="s">
        <v>1077</v>
      </c>
      <c r="B309" s="57" t="s">
        <v>218</v>
      </c>
      <c r="C309" s="57" t="s">
        <v>220</v>
      </c>
      <c r="D309" s="57" t="s">
        <v>739</v>
      </c>
      <c r="E309" s="57" t="s">
        <v>1078</v>
      </c>
      <c r="F309" s="57"/>
      <c r="G309" s="57"/>
      <c r="H309" s="57"/>
      <c r="I309" s="57" t="n">
        <v>1.497</v>
      </c>
      <c r="J309" s="57" t="n">
        <v>1.497</v>
      </c>
      <c r="K309" s="57"/>
      <c r="L309" s="57" t="s">
        <v>731</v>
      </c>
      <c r="M309" s="57"/>
      <c r="N309" s="57"/>
      <c r="O309" s="57"/>
      <c r="P309" s="57"/>
      <c r="Q309" s="57"/>
      <c r="R309" s="57" t="n">
        <v>0</v>
      </c>
      <c r="S309" s="57" t="n">
        <v>0</v>
      </c>
      <c r="T309" s="57" t="n">
        <v>0</v>
      </c>
      <c r="U309" s="57" t="n">
        <v>0</v>
      </c>
      <c r="V309" s="57" t="n">
        <v>3</v>
      </c>
      <c r="W309" s="57" t="n">
        <v>0</v>
      </c>
      <c r="X309" s="57" t="n">
        <v>0</v>
      </c>
      <c r="Y309" s="57" t="n">
        <v>0</v>
      </c>
      <c r="Z309" s="57" t="n">
        <v>0</v>
      </c>
      <c r="AA309" s="57" t="n">
        <v>0</v>
      </c>
      <c r="AB309" s="57" t="n">
        <v>0</v>
      </c>
      <c r="AC309" s="57" t="n">
        <v>0</v>
      </c>
      <c r="AD309" s="57" t="n">
        <v>0</v>
      </c>
      <c r="AE309" s="57" t="n">
        <v>0</v>
      </c>
      <c r="AF309" s="57" t="n">
        <v>0</v>
      </c>
      <c r="AG309" s="57" t="n">
        <v>0</v>
      </c>
      <c r="AH309" s="57" t="s">
        <v>240</v>
      </c>
      <c r="AI309" s="57"/>
      <c r="AJ309" s="57" t="n">
        <v>0</v>
      </c>
      <c r="AK309" s="57" t="s">
        <v>365</v>
      </c>
      <c r="AL309" s="57" t="s">
        <v>365</v>
      </c>
      <c r="AM309" s="57"/>
      <c r="AN309" s="57" t="s">
        <v>365</v>
      </c>
      <c r="AO309" s="57" t="str">
        <f aca="false">IF(C309="County",IF(AL309="Rest of county","Remainder of County","Settlements"),IF(D309="City Centre","City Centre","Rest of City"))</f>
        <v>Remainder of County</v>
      </c>
      <c r="AP309" s="57" t="str">
        <f aca="false">IF(LEFT(B309,13)="Council audit","Audit",IF(LEFT(B309,8)="Planning","Consent","Zoned"))</f>
        <v>Consent</v>
      </c>
      <c r="AQ309" s="57" t="n">
        <f aca="false">IF(N(K309)&gt;0,I309*Y309/K309,0)</f>
        <v>0</v>
      </c>
    </row>
    <row r="310" customFormat="false" ht="15" hidden="false" customHeight="false" outlineLevel="0" collapsed="false">
      <c r="A310" s="57" t="s">
        <v>1079</v>
      </c>
      <c r="B310" s="57" t="s">
        <v>218</v>
      </c>
      <c r="C310" s="57" t="s">
        <v>220</v>
      </c>
      <c r="D310" s="57" t="s">
        <v>739</v>
      </c>
      <c r="E310" s="57" t="s">
        <v>1080</v>
      </c>
      <c r="F310" s="57"/>
      <c r="G310" s="57"/>
      <c r="H310" s="57"/>
      <c r="I310" s="57" t="n">
        <v>0.463</v>
      </c>
      <c r="J310" s="57" t="n">
        <v>0.463</v>
      </c>
      <c r="K310" s="57"/>
      <c r="L310" s="57" t="s">
        <v>731</v>
      </c>
      <c r="M310" s="57"/>
      <c r="N310" s="57"/>
      <c r="O310" s="57"/>
      <c r="P310" s="57"/>
      <c r="Q310" s="57"/>
      <c r="R310" s="57" t="n">
        <v>0</v>
      </c>
      <c r="S310" s="57" t="n">
        <v>3</v>
      </c>
      <c r="T310" s="57" t="n">
        <v>0</v>
      </c>
      <c r="U310" s="57" t="n">
        <v>0</v>
      </c>
      <c r="V310" s="57" t="n">
        <v>0</v>
      </c>
      <c r="W310" s="57" t="n">
        <v>0</v>
      </c>
      <c r="X310" s="57" t="n">
        <v>3</v>
      </c>
      <c r="Y310" s="57" t="n">
        <v>0</v>
      </c>
      <c r="Z310" s="57" t="n">
        <v>3</v>
      </c>
      <c r="AA310" s="57" t="n">
        <v>3</v>
      </c>
      <c r="AB310" s="57" t="n">
        <v>0.7</v>
      </c>
      <c r="AC310" s="57" t="n">
        <v>2.3</v>
      </c>
      <c r="AD310" s="57" t="n">
        <v>0</v>
      </c>
      <c r="AE310" s="57" t="n">
        <v>0</v>
      </c>
      <c r="AF310" s="57" t="n">
        <v>0</v>
      </c>
      <c r="AG310" s="57" t="n">
        <v>0</v>
      </c>
      <c r="AH310" s="57" t="s">
        <v>239</v>
      </c>
      <c r="AI310" s="57"/>
      <c r="AJ310" s="57" t="n">
        <v>3</v>
      </c>
      <c r="AK310" s="57" t="s">
        <v>365</v>
      </c>
      <c r="AL310" s="57" t="s">
        <v>365</v>
      </c>
      <c r="AM310" s="57"/>
      <c r="AN310" s="57" t="s">
        <v>365</v>
      </c>
      <c r="AO310" s="57" t="str">
        <f aca="false">IF(C310="County",IF(AL310="Rest of county","Remainder of County","Settlements"),IF(D310="City Centre","City Centre","Rest of City"))</f>
        <v>Remainder of County</v>
      </c>
      <c r="AP310" s="57" t="str">
        <f aca="false">IF(LEFT(B310,13)="Council audit","Audit",IF(LEFT(B310,8)="Planning","Consent","Zoned"))</f>
        <v>Consent</v>
      </c>
      <c r="AQ310" s="57" t="n">
        <f aca="false">IF(N(K310)&gt;0,I310*Y310/K310,0)</f>
        <v>0</v>
      </c>
    </row>
    <row r="311" customFormat="false" ht="15" hidden="false" customHeight="false" outlineLevel="0" collapsed="false">
      <c r="A311" s="57" t="s">
        <v>1081</v>
      </c>
      <c r="B311" s="57" t="s">
        <v>218</v>
      </c>
      <c r="C311" s="57" t="s">
        <v>220</v>
      </c>
      <c r="D311" s="57" t="s">
        <v>739</v>
      </c>
      <c r="E311" s="57" t="s">
        <v>1082</v>
      </c>
      <c r="F311" s="57"/>
      <c r="G311" s="57"/>
      <c r="H311" s="57"/>
      <c r="I311" s="57" t="n">
        <v>0.764</v>
      </c>
      <c r="J311" s="57" t="n">
        <v>0.764</v>
      </c>
      <c r="K311" s="57"/>
      <c r="L311" s="57" t="s">
        <v>731</v>
      </c>
      <c r="M311" s="57"/>
      <c r="N311" s="57"/>
      <c r="O311" s="57"/>
      <c r="P311" s="57"/>
      <c r="Q311" s="57"/>
      <c r="R311" s="57" t="n">
        <v>0</v>
      </c>
      <c r="S311" s="57" t="n">
        <v>0</v>
      </c>
      <c r="T311" s="57" t="n">
        <v>3</v>
      </c>
      <c r="U311" s="57" t="n">
        <v>0</v>
      </c>
      <c r="V311" s="57" t="n">
        <v>0</v>
      </c>
      <c r="W311" s="57" t="n">
        <v>0</v>
      </c>
      <c r="X311" s="57" t="n">
        <v>3</v>
      </c>
      <c r="Y311" s="57" t="n">
        <v>0</v>
      </c>
      <c r="Z311" s="57" t="n">
        <v>3</v>
      </c>
      <c r="AA311" s="57" t="n">
        <v>3</v>
      </c>
      <c r="AB311" s="57" t="n">
        <v>0</v>
      </c>
      <c r="AC311" s="57" t="n">
        <v>0</v>
      </c>
      <c r="AD311" s="57" t="n">
        <v>1.9</v>
      </c>
      <c r="AE311" s="57" t="n">
        <v>1.1</v>
      </c>
      <c r="AF311" s="57" t="n">
        <v>0</v>
      </c>
      <c r="AG311" s="57" t="n">
        <v>0</v>
      </c>
      <c r="AH311" s="57" t="s">
        <v>239</v>
      </c>
      <c r="AI311" s="57"/>
      <c r="AJ311" s="57" t="n">
        <v>0</v>
      </c>
      <c r="AK311" s="57" t="s">
        <v>365</v>
      </c>
      <c r="AL311" s="57" t="s">
        <v>365</v>
      </c>
      <c r="AM311" s="57"/>
      <c r="AN311" s="57" t="s">
        <v>365</v>
      </c>
      <c r="AO311" s="57" t="str">
        <f aca="false">IF(C311="County",IF(AL311="Rest of county","Remainder of County","Settlements"),IF(D311="City Centre","City Centre","Rest of City"))</f>
        <v>Remainder of County</v>
      </c>
      <c r="AP311" s="57" t="str">
        <f aca="false">IF(LEFT(B311,13)="Council audit","Audit",IF(LEFT(B311,8)="Planning","Consent","Zoned"))</f>
        <v>Consent</v>
      </c>
      <c r="AQ311" s="57" t="n">
        <f aca="false">IF(N(K311)&gt;0,I311*Y311/K311,0)</f>
        <v>0</v>
      </c>
    </row>
    <row r="312" customFormat="false" ht="15" hidden="false" customHeight="false" outlineLevel="0" collapsed="false">
      <c r="A312" s="57" t="s">
        <v>1083</v>
      </c>
      <c r="B312" s="57" t="s">
        <v>218</v>
      </c>
      <c r="C312" s="57" t="s">
        <v>216</v>
      </c>
      <c r="D312" s="57" t="s">
        <v>285</v>
      </c>
      <c r="E312" s="57" t="s">
        <v>1084</v>
      </c>
      <c r="F312" s="57"/>
      <c r="G312" s="57"/>
      <c r="H312" s="57"/>
      <c r="I312" s="57" t="n">
        <v>0.162</v>
      </c>
      <c r="J312" s="57" t="n">
        <v>0.162</v>
      </c>
      <c r="K312" s="57"/>
      <c r="L312" s="57" t="s">
        <v>731</v>
      </c>
      <c r="M312" s="57"/>
      <c r="N312" s="57"/>
      <c r="O312" s="57"/>
      <c r="P312" s="57"/>
      <c r="Q312" s="57"/>
      <c r="R312" s="57" t="n">
        <v>3</v>
      </c>
      <c r="S312" s="57" t="n">
        <v>0</v>
      </c>
      <c r="T312" s="57" t="n">
        <v>0</v>
      </c>
      <c r="U312" s="57" t="n">
        <v>0</v>
      </c>
      <c r="V312" s="57" t="n">
        <v>0</v>
      </c>
      <c r="W312" s="57" t="n">
        <v>0</v>
      </c>
      <c r="X312" s="57" t="n">
        <v>3</v>
      </c>
      <c r="Y312" s="57" t="n">
        <v>0</v>
      </c>
      <c r="Z312" s="57" t="n">
        <v>3</v>
      </c>
      <c r="AA312" s="57" t="n">
        <v>0</v>
      </c>
      <c r="AB312" s="57" t="n">
        <v>0</v>
      </c>
      <c r="AC312" s="57" t="n">
        <v>0</v>
      </c>
      <c r="AD312" s="57" t="n">
        <v>0</v>
      </c>
      <c r="AE312" s="57" t="n">
        <v>0</v>
      </c>
      <c r="AF312" s="57" t="n">
        <v>0</v>
      </c>
      <c r="AG312" s="57" t="n">
        <v>0</v>
      </c>
      <c r="AH312" s="57" t="s">
        <v>237</v>
      </c>
      <c r="AI312" s="57"/>
      <c r="AJ312" s="57" t="n">
        <v>3</v>
      </c>
      <c r="AK312" s="57" t="s">
        <v>285</v>
      </c>
      <c r="AL312" s="57" t="s">
        <v>347</v>
      </c>
      <c r="AM312" s="57" t="n">
        <v>1</v>
      </c>
      <c r="AN312" s="57" t="s">
        <v>575</v>
      </c>
      <c r="AO312" s="57" t="str">
        <f aca="false">IF(C312="County",IF(AL312="Rest of county","Remainder of County","Settlements"),IF(D312="City Centre","City Centre","Rest of City"))</f>
        <v>Rest of City</v>
      </c>
      <c r="AP312" s="57" t="str">
        <f aca="false">IF(LEFT(B312,13)="Council audit","Audit",IF(LEFT(B312,8)="Planning","Consent","Zoned"))</f>
        <v>Consent</v>
      </c>
      <c r="AQ312" s="57" t="n">
        <f aca="false">IF(N(K312)&gt;0,I312*Y312/K312,0)</f>
        <v>0</v>
      </c>
    </row>
    <row r="313" customFormat="false" ht="15" hidden="false" customHeight="false" outlineLevel="0" collapsed="false">
      <c r="A313" s="57" t="s">
        <v>1085</v>
      </c>
      <c r="B313" s="57" t="s">
        <v>218</v>
      </c>
      <c r="C313" s="57" t="s">
        <v>216</v>
      </c>
      <c r="D313" s="57" t="s">
        <v>258</v>
      </c>
      <c r="E313" s="57" t="s">
        <v>1086</v>
      </c>
      <c r="F313" s="57"/>
      <c r="G313" s="57"/>
      <c r="H313" s="57"/>
      <c r="I313" s="57" t="n">
        <v>0.008</v>
      </c>
      <c r="J313" s="57" t="n">
        <v>0.008</v>
      </c>
      <c r="K313" s="57"/>
      <c r="L313" s="57" t="s">
        <v>731</v>
      </c>
      <c r="M313" s="57"/>
      <c r="N313" s="57"/>
      <c r="O313" s="57"/>
      <c r="P313" s="57"/>
      <c r="Q313" s="57"/>
      <c r="R313" s="57" t="n">
        <v>0</v>
      </c>
      <c r="S313" s="57" t="n">
        <v>3</v>
      </c>
      <c r="T313" s="57" t="n">
        <v>0</v>
      </c>
      <c r="U313" s="57" t="n">
        <v>0</v>
      </c>
      <c r="V313" s="57" t="n">
        <v>0</v>
      </c>
      <c r="W313" s="57" t="n">
        <v>0</v>
      </c>
      <c r="X313" s="57" t="n">
        <v>3</v>
      </c>
      <c r="Y313" s="57" t="n">
        <v>0</v>
      </c>
      <c r="Z313" s="57" t="n">
        <v>3</v>
      </c>
      <c r="AA313" s="57" t="n">
        <v>3</v>
      </c>
      <c r="AB313" s="57" t="n">
        <v>0.7</v>
      </c>
      <c r="AC313" s="57" t="n">
        <v>2.3</v>
      </c>
      <c r="AD313" s="57" t="n">
        <v>0</v>
      </c>
      <c r="AE313" s="57" t="n">
        <v>0</v>
      </c>
      <c r="AF313" s="57" t="n">
        <v>0</v>
      </c>
      <c r="AG313" s="57" t="n">
        <v>0</v>
      </c>
      <c r="AH313" s="57" t="s">
        <v>239</v>
      </c>
      <c r="AI313" s="57"/>
      <c r="AJ313" s="57" t="n">
        <v>0</v>
      </c>
      <c r="AK313" s="57" t="s">
        <v>258</v>
      </c>
      <c r="AL313" s="57" t="s">
        <v>347</v>
      </c>
      <c r="AM313" s="57" t="n">
        <v>1</v>
      </c>
      <c r="AN313" s="57" t="s">
        <v>575</v>
      </c>
      <c r="AO313" s="57" t="str">
        <f aca="false">IF(C313="County",IF(AL313="Rest of county","Remainder of County","Settlements"),IF(D313="City Centre","City Centre","Rest of City"))</f>
        <v>City Centre</v>
      </c>
      <c r="AP313" s="57" t="str">
        <f aca="false">IF(LEFT(B313,13)="Council audit","Audit",IF(LEFT(B313,8)="Planning","Consent","Zoned"))</f>
        <v>Consent</v>
      </c>
      <c r="AQ313" s="57" t="n">
        <f aca="false">IF(N(K313)&gt;0,I313*Y313/K313,0)</f>
        <v>0</v>
      </c>
    </row>
    <row r="314" customFormat="false" ht="15" hidden="false" customHeight="false" outlineLevel="0" collapsed="false">
      <c r="A314" s="57" t="s">
        <v>1087</v>
      </c>
      <c r="B314" s="57" t="s">
        <v>218</v>
      </c>
      <c r="C314" s="57" t="s">
        <v>216</v>
      </c>
      <c r="D314" s="57" t="s">
        <v>258</v>
      </c>
      <c r="E314" s="57" t="s">
        <v>1088</v>
      </c>
      <c r="F314" s="57"/>
      <c r="G314" s="57"/>
      <c r="H314" s="57"/>
      <c r="I314" s="57" t="n">
        <v>0.023</v>
      </c>
      <c r="J314" s="57" t="n">
        <v>0.023</v>
      </c>
      <c r="K314" s="57"/>
      <c r="L314" s="57" t="s">
        <v>731</v>
      </c>
      <c r="M314" s="57"/>
      <c r="N314" s="57"/>
      <c r="O314" s="57"/>
      <c r="P314" s="57"/>
      <c r="Q314" s="57"/>
      <c r="R314" s="57" t="n">
        <v>3</v>
      </c>
      <c r="S314" s="57" t="n">
        <v>0</v>
      </c>
      <c r="T314" s="57" t="n">
        <v>0</v>
      </c>
      <c r="U314" s="57" t="n">
        <v>0</v>
      </c>
      <c r="V314" s="57" t="n">
        <v>0</v>
      </c>
      <c r="W314" s="57" t="n">
        <v>0</v>
      </c>
      <c r="X314" s="57" t="n">
        <v>3</v>
      </c>
      <c r="Y314" s="57" t="n">
        <v>0</v>
      </c>
      <c r="Z314" s="57" t="n">
        <v>3</v>
      </c>
      <c r="AA314" s="57" t="n">
        <v>0</v>
      </c>
      <c r="AB314" s="57" t="n">
        <v>0</v>
      </c>
      <c r="AC314" s="57" t="n">
        <v>0</v>
      </c>
      <c r="AD314" s="57" t="n">
        <v>0</v>
      </c>
      <c r="AE314" s="57" t="n">
        <v>0</v>
      </c>
      <c r="AF314" s="57" t="n">
        <v>0</v>
      </c>
      <c r="AG314" s="57" t="n">
        <v>0</v>
      </c>
      <c r="AH314" s="57" t="s">
        <v>237</v>
      </c>
      <c r="AI314" s="57"/>
      <c r="AJ314" s="57" t="n">
        <v>2</v>
      </c>
      <c r="AK314" s="57" t="s">
        <v>258</v>
      </c>
      <c r="AL314" s="57" t="s">
        <v>347</v>
      </c>
      <c r="AM314" s="57" t="n">
        <v>1</v>
      </c>
      <c r="AN314" s="57" t="s">
        <v>575</v>
      </c>
      <c r="AO314" s="57" t="str">
        <f aca="false">IF(C314="County",IF(AL314="Rest of county","Remainder of County","Settlements"),IF(D314="City Centre","City Centre","Rest of City"))</f>
        <v>City Centre</v>
      </c>
      <c r="AP314" s="57" t="str">
        <f aca="false">IF(LEFT(B314,13)="Council audit","Audit",IF(LEFT(B314,8)="Planning","Consent","Zoned"))</f>
        <v>Consent</v>
      </c>
      <c r="AQ314" s="57" t="n">
        <f aca="false">IF(N(K314)&gt;0,I314*Y314/K314,0)</f>
        <v>0</v>
      </c>
    </row>
    <row r="315" customFormat="false" ht="15" hidden="false" customHeight="false" outlineLevel="0" collapsed="false">
      <c r="A315" s="57" t="s">
        <v>1089</v>
      </c>
      <c r="B315" s="57" t="s">
        <v>218</v>
      </c>
      <c r="C315" s="57" t="s">
        <v>216</v>
      </c>
      <c r="D315" s="57" t="s">
        <v>258</v>
      </c>
      <c r="E315" s="57" t="s">
        <v>1090</v>
      </c>
      <c r="F315" s="57"/>
      <c r="G315" s="57"/>
      <c r="H315" s="57"/>
      <c r="I315" s="57" t="n">
        <v>0.037</v>
      </c>
      <c r="J315" s="57" t="n">
        <v>0.037</v>
      </c>
      <c r="K315" s="57"/>
      <c r="L315" s="57" t="s">
        <v>731</v>
      </c>
      <c r="M315" s="57"/>
      <c r="N315" s="57"/>
      <c r="O315" s="57"/>
      <c r="P315" s="57"/>
      <c r="Q315" s="57"/>
      <c r="R315" s="57" t="n">
        <v>0</v>
      </c>
      <c r="S315" s="57" t="n">
        <v>2</v>
      </c>
      <c r="T315" s="57" t="n">
        <v>0</v>
      </c>
      <c r="U315" s="57" t="n">
        <v>0</v>
      </c>
      <c r="V315" s="57" t="n">
        <v>0</v>
      </c>
      <c r="W315" s="57" t="n">
        <v>0</v>
      </c>
      <c r="X315" s="57" t="n">
        <v>2</v>
      </c>
      <c r="Y315" s="57" t="n">
        <v>0</v>
      </c>
      <c r="Z315" s="57" t="n">
        <v>2</v>
      </c>
      <c r="AA315" s="57" t="n">
        <v>2</v>
      </c>
      <c r="AB315" s="57" t="n">
        <v>0.5</v>
      </c>
      <c r="AC315" s="57" t="n">
        <v>1.5</v>
      </c>
      <c r="AD315" s="57" t="n">
        <v>0</v>
      </c>
      <c r="AE315" s="57" t="n">
        <v>0</v>
      </c>
      <c r="AF315" s="57" t="n">
        <v>0</v>
      </c>
      <c r="AG315" s="57" t="n">
        <v>0</v>
      </c>
      <c r="AH315" s="57" t="s">
        <v>239</v>
      </c>
      <c r="AI315" s="57"/>
      <c r="AJ315" s="57" t="n">
        <v>0</v>
      </c>
      <c r="AK315" s="57" t="s">
        <v>258</v>
      </c>
      <c r="AL315" s="57" t="s">
        <v>347</v>
      </c>
      <c r="AM315" s="57" t="n">
        <v>1</v>
      </c>
      <c r="AN315" s="57" t="s">
        <v>575</v>
      </c>
      <c r="AO315" s="57" t="str">
        <f aca="false">IF(C315="County",IF(AL315="Rest of county","Remainder of County","Settlements"),IF(D315="City Centre","City Centre","Rest of City"))</f>
        <v>City Centre</v>
      </c>
      <c r="AP315" s="57" t="str">
        <f aca="false">IF(LEFT(B315,13)="Council audit","Audit",IF(LEFT(B315,8)="Planning","Consent","Zoned"))</f>
        <v>Consent</v>
      </c>
      <c r="AQ315" s="57" t="n">
        <f aca="false">IF(N(K315)&gt;0,I315*Y315/K315,0)</f>
        <v>0</v>
      </c>
    </row>
    <row r="316" customFormat="false" ht="15" hidden="false" customHeight="false" outlineLevel="0" collapsed="false">
      <c r="A316" s="57" t="s">
        <v>1091</v>
      </c>
      <c r="B316" s="57" t="s">
        <v>218</v>
      </c>
      <c r="C316" s="57" t="s">
        <v>220</v>
      </c>
      <c r="D316" s="57" t="s">
        <v>739</v>
      </c>
      <c r="E316" s="57" t="s">
        <v>1092</v>
      </c>
      <c r="F316" s="57"/>
      <c r="G316" s="57"/>
      <c r="H316" s="57"/>
      <c r="I316" s="57" t="n">
        <v>0.081</v>
      </c>
      <c r="J316" s="57" t="n">
        <v>0.081</v>
      </c>
      <c r="K316" s="57"/>
      <c r="L316" s="57" t="s">
        <v>731</v>
      </c>
      <c r="M316" s="57"/>
      <c r="N316" s="57"/>
      <c r="O316" s="57"/>
      <c r="P316" s="57"/>
      <c r="Q316" s="57"/>
      <c r="R316" s="57" t="n">
        <v>2</v>
      </c>
      <c r="S316" s="57" t="n">
        <v>0</v>
      </c>
      <c r="T316" s="57" t="n">
        <v>0</v>
      </c>
      <c r="U316" s="57" t="n">
        <v>0</v>
      </c>
      <c r="V316" s="57" t="n">
        <v>0</v>
      </c>
      <c r="W316" s="57" t="n">
        <v>0</v>
      </c>
      <c r="X316" s="57" t="n">
        <v>2</v>
      </c>
      <c r="Y316" s="57" t="n">
        <v>0</v>
      </c>
      <c r="Z316" s="57" t="n">
        <v>2</v>
      </c>
      <c r="AA316" s="57" t="n">
        <v>0</v>
      </c>
      <c r="AB316" s="57" t="n">
        <v>0</v>
      </c>
      <c r="AC316" s="57" t="n">
        <v>0</v>
      </c>
      <c r="AD316" s="57" t="n">
        <v>0</v>
      </c>
      <c r="AE316" s="57" t="n">
        <v>0</v>
      </c>
      <c r="AF316" s="57" t="n">
        <v>0</v>
      </c>
      <c r="AG316" s="57" t="n">
        <v>0</v>
      </c>
      <c r="AH316" s="57" t="s">
        <v>237</v>
      </c>
      <c r="AI316" s="57"/>
      <c r="AJ316" s="57" t="n">
        <v>2</v>
      </c>
      <c r="AK316" s="57" t="s">
        <v>358</v>
      </c>
      <c r="AL316" s="57" t="s">
        <v>356</v>
      </c>
      <c r="AM316" s="57" t="n">
        <v>1</v>
      </c>
      <c r="AN316" s="57" t="s">
        <v>575</v>
      </c>
      <c r="AO316" s="57" t="str">
        <f aca="false">IF(C316="County",IF(AL316="Rest of county","Remainder of County","Settlements"),IF(D316="City Centre","City Centre","Rest of City"))</f>
        <v>Settlements</v>
      </c>
      <c r="AP316" s="57" t="str">
        <f aca="false">IF(LEFT(B316,13)="Council audit","Audit",IF(LEFT(B316,8)="Planning","Consent","Zoned"))</f>
        <v>Consent</v>
      </c>
      <c r="AQ316" s="57" t="n">
        <f aca="false">IF(N(K316)&gt;0,I316*Y316/K316,0)</f>
        <v>0</v>
      </c>
    </row>
    <row r="317" customFormat="false" ht="15" hidden="false" customHeight="false" outlineLevel="0" collapsed="false">
      <c r="A317" s="57" t="s">
        <v>1093</v>
      </c>
      <c r="B317" s="57" t="s">
        <v>218</v>
      </c>
      <c r="C317" s="57" t="s">
        <v>220</v>
      </c>
      <c r="D317" s="57" t="s">
        <v>739</v>
      </c>
      <c r="E317" s="57" t="s">
        <v>1094</v>
      </c>
      <c r="F317" s="57"/>
      <c r="G317" s="57"/>
      <c r="H317" s="57"/>
      <c r="I317" s="57" t="n">
        <v>0.24</v>
      </c>
      <c r="J317" s="57" t="n">
        <v>0.24</v>
      </c>
      <c r="K317" s="57"/>
      <c r="L317" s="57" t="s">
        <v>731</v>
      </c>
      <c r="M317" s="57"/>
      <c r="N317" s="57"/>
      <c r="O317" s="57"/>
      <c r="P317" s="57"/>
      <c r="Q317" s="57"/>
      <c r="R317" s="57" t="n">
        <v>0</v>
      </c>
      <c r="S317" s="57" t="n">
        <v>2</v>
      </c>
      <c r="T317" s="57" t="n">
        <v>0</v>
      </c>
      <c r="U317" s="57" t="n">
        <v>0</v>
      </c>
      <c r="V317" s="57" t="n">
        <v>0</v>
      </c>
      <c r="W317" s="57" t="n">
        <v>0</v>
      </c>
      <c r="X317" s="57" t="n">
        <v>2</v>
      </c>
      <c r="Y317" s="57" t="n">
        <v>0</v>
      </c>
      <c r="Z317" s="57" t="n">
        <v>2</v>
      </c>
      <c r="AA317" s="57" t="n">
        <v>2</v>
      </c>
      <c r="AB317" s="57" t="n">
        <v>0.5</v>
      </c>
      <c r="AC317" s="57" t="n">
        <v>1.5</v>
      </c>
      <c r="AD317" s="57" t="n">
        <v>0</v>
      </c>
      <c r="AE317" s="57" t="n">
        <v>0</v>
      </c>
      <c r="AF317" s="57" t="n">
        <v>0</v>
      </c>
      <c r="AG317" s="57" t="n">
        <v>0</v>
      </c>
      <c r="AH317" s="57" t="s">
        <v>239</v>
      </c>
      <c r="AI317" s="57"/>
      <c r="AJ317" s="57" t="n">
        <v>2</v>
      </c>
      <c r="AK317" s="57" t="s">
        <v>365</v>
      </c>
      <c r="AL317" s="57" t="s">
        <v>365</v>
      </c>
      <c r="AM317" s="57"/>
      <c r="AN317" s="57" t="s">
        <v>365</v>
      </c>
      <c r="AO317" s="57" t="str">
        <f aca="false">IF(C317="County",IF(AL317="Rest of county","Remainder of County","Settlements"),IF(D317="City Centre","City Centre","Rest of City"))</f>
        <v>Remainder of County</v>
      </c>
      <c r="AP317" s="57" t="str">
        <f aca="false">IF(LEFT(B317,13)="Council audit","Audit",IF(LEFT(B317,8)="Planning","Consent","Zoned"))</f>
        <v>Consent</v>
      </c>
      <c r="AQ317" s="57" t="n">
        <f aca="false">IF(N(K317)&gt;0,I317*Y317/K317,0)</f>
        <v>0</v>
      </c>
    </row>
    <row r="318" customFormat="false" ht="15" hidden="false" customHeight="false" outlineLevel="0" collapsed="false">
      <c r="A318" s="57" t="s">
        <v>1095</v>
      </c>
      <c r="B318" s="57" t="s">
        <v>218</v>
      </c>
      <c r="C318" s="57" t="s">
        <v>216</v>
      </c>
      <c r="D318" s="57" t="s">
        <v>285</v>
      </c>
      <c r="E318" s="57" t="s">
        <v>1096</v>
      </c>
      <c r="F318" s="57"/>
      <c r="G318" s="57"/>
      <c r="H318" s="57"/>
      <c r="I318" s="57" t="n">
        <v>0.085</v>
      </c>
      <c r="J318" s="57" t="n">
        <v>0.085</v>
      </c>
      <c r="K318" s="57"/>
      <c r="L318" s="57" t="s">
        <v>731</v>
      </c>
      <c r="M318" s="57"/>
      <c r="N318" s="57"/>
      <c r="O318" s="57"/>
      <c r="P318" s="57"/>
      <c r="Q318" s="57"/>
      <c r="R318" s="57" t="n">
        <v>0</v>
      </c>
      <c r="S318" s="57" t="n">
        <v>2</v>
      </c>
      <c r="T318" s="57" t="n">
        <v>0</v>
      </c>
      <c r="U318" s="57" t="n">
        <v>0</v>
      </c>
      <c r="V318" s="57" t="n">
        <v>0</v>
      </c>
      <c r="W318" s="57" t="n">
        <v>0</v>
      </c>
      <c r="X318" s="57" t="n">
        <v>2</v>
      </c>
      <c r="Y318" s="57" t="n">
        <v>0</v>
      </c>
      <c r="Z318" s="57" t="n">
        <v>2</v>
      </c>
      <c r="AA318" s="57" t="n">
        <v>2</v>
      </c>
      <c r="AB318" s="57" t="n">
        <v>0.5</v>
      </c>
      <c r="AC318" s="57" t="n">
        <v>1.5</v>
      </c>
      <c r="AD318" s="57" t="n">
        <v>0</v>
      </c>
      <c r="AE318" s="57" t="n">
        <v>0</v>
      </c>
      <c r="AF318" s="57" t="n">
        <v>0</v>
      </c>
      <c r="AG318" s="57" t="n">
        <v>0</v>
      </c>
      <c r="AH318" s="57" t="s">
        <v>239</v>
      </c>
      <c r="AI318" s="57"/>
      <c r="AJ318" s="57" t="n">
        <v>1</v>
      </c>
      <c r="AK318" s="57" t="s">
        <v>285</v>
      </c>
      <c r="AL318" s="57" t="s">
        <v>347</v>
      </c>
      <c r="AM318" s="57" t="n">
        <v>1</v>
      </c>
      <c r="AN318" s="57" t="s">
        <v>575</v>
      </c>
      <c r="AO318" s="57" t="str">
        <f aca="false">IF(C318="County",IF(AL318="Rest of county","Remainder of County","Settlements"),IF(D318="City Centre","City Centre","Rest of City"))</f>
        <v>Rest of City</v>
      </c>
      <c r="AP318" s="57" t="str">
        <f aca="false">IF(LEFT(B318,13)="Council audit","Audit",IF(LEFT(B318,8)="Planning","Consent","Zoned"))</f>
        <v>Consent</v>
      </c>
      <c r="AQ318" s="57" t="n">
        <f aca="false">IF(N(K318)&gt;0,I318*Y318/K318,0)</f>
        <v>0</v>
      </c>
    </row>
    <row r="319" customFormat="false" ht="15" hidden="false" customHeight="false" outlineLevel="0" collapsed="false">
      <c r="A319" s="57" t="s">
        <v>1097</v>
      </c>
      <c r="B319" s="57" t="s">
        <v>218</v>
      </c>
      <c r="C319" s="57" t="s">
        <v>220</v>
      </c>
      <c r="D319" s="57" t="s">
        <v>739</v>
      </c>
      <c r="E319" s="57" t="s">
        <v>1098</v>
      </c>
      <c r="F319" s="57"/>
      <c r="G319" s="57"/>
      <c r="H319" s="57"/>
      <c r="I319" s="57" t="n">
        <v>0.174</v>
      </c>
      <c r="J319" s="57" t="n">
        <v>0.174</v>
      </c>
      <c r="K319" s="57"/>
      <c r="L319" s="57" t="s">
        <v>731</v>
      </c>
      <c r="M319" s="57"/>
      <c r="N319" s="57"/>
      <c r="O319" s="57"/>
      <c r="P319" s="57"/>
      <c r="Q319" s="57"/>
      <c r="R319" s="57" t="n">
        <v>0</v>
      </c>
      <c r="S319" s="57" t="n">
        <v>0</v>
      </c>
      <c r="T319" s="57" t="n">
        <v>0</v>
      </c>
      <c r="U319" s="57" t="n">
        <v>0</v>
      </c>
      <c r="V319" s="57" t="n">
        <v>1</v>
      </c>
      <c r="W319" s="57" t="n">
        <v>0</v>
      </c>
      <c r="X319" s="57" t="n">
        <v>0</v>
      </c>
      <c r="Y319" s="57" t="n">
        <v>0</v>
      </c>
      <c r="Z319" s="57" t="n">
        <v>0</v>
      </c>
      <c r="AA319" s="57" t="n">
        <v>0</v>
      </c>
      <c r="AB319" s="57" t="n">
        <v>0</v>
      </c>
      <c r="AC319" s="57" t="n">
        <v>0</v>
      </c>
      <c r="AD319" s="57" t="n">
        <v>0</v>
      </c>
      <c r="AE319" s="57" t="n">
        <v>0</v>
      </c>
      <c r="AF319" s="57" t="n">
        <v>0</v>
      </c>
      <c r="AG319" s="57" t="n">
        <v>0</v>
      </c>
      <c r="AH319" s="57" t="s">
        <v>240</v>
      </c>
      <c r="AI319" s="57"/>
      <c r="AJ319" s="57" t="n">
        <v>0</v>
      </c>
      <c r="AK319" s="57" t="s">
        <v>365</v>
      </c>
      <c r="AL319" s="57" t="s">
        <v>365</v>
      </c>
      <c r="AM319" s="57"/>
      <c r="AN319" s="57" t="s">
        <v>365</v>
      </c>
      <c r="AO319" s="57" t="str">
        <f aca="false">IF(C319="County",IF(AL319="Rest of county","Remainder of County","Settlements"),IF(D319="City Centre","City Centre","Rest of City"))</f>
        <v>Remainder of County</v>
      </c>
      <c r="AP319" s="57" t="str">
        <f aca="false">IF(LEFT(B319,13)="Council audit","Audit",IF(LEFT(B319,8)="Planning","Consent","Zoned"))</f>
        <v>Consent</v>
      </c>
      <c r="AQ319" s="57" t="n">
        <f aca="false">IF(N(K319)&gt;0,I319*Y319/K319,0)</f>
        <v>0</v>
      </c>
    </row>
    <row r="320" customFormat="false" ht="15" hidden="false" customHeight="false" outlineLevel="0" collapsed="false">
      <c r="A320" s="57" t="s">
        <v>1099</v>
      </c>
      <c r="B320" s="57" t="s">
        <v>218</v>
      </c>
      <c r="C320" s="57" t="s">
        <v>216</v>
      </c>
      <c r="D320" s="57" t="s">
        <v>258</v>
      </c>
      <c r="E320" s="57" t="s">
        <v>1100</v>
      </c>
      <c r="F320" s="57"/>
      <c r="G320" s="57"/>
      <c r="H320" s="57"/>
      <c r="I320" s="57" t="n">
        <v>0.029</v>
      </c>
      <c r="J320" s="57" t="n">
        <v>0.029</v>
      </c>
      <c r="K320" s="57"/>
      <c r="L320" s="57" t="s">
        <v>731</v>
      </c>
      <c r="M320" s="57"/>
      <c r="N320" s="57"/>
      <c r="O320" s="57"/>
      <c r="P320" s="57"/>
      <c r="Q320" s="57"/>
      <c r="R320" s="57" t="n">
        <v>0</v>
      </c>
      <c r="S320" s="57" t="n">
        <v>0</v>
      </c>
      <c r="T320" s="57" t="n">
        <v>0</v>
      </c>
      <c r="U320" s="57" t="n">
        <v>0</v>
      </c>
      <c r="V320" s="57" t="n">
        <v>0</v>
      </c>
      <c r="W320" s="57" t="n">
        <v>0</v>
      </c>
      <c r="X320" s="57" t="n">
        <v>0</v>
      </c>
      <c r="Y320" s="57" t="n">
        <v>0</v>
      </c>
      <c r="Z320" s="57" t="n">
        <v>0</v>
      </c>
      <c r="AA320" s="57" t="n">
        <v>0</v>
      </c>
      <c r="AB320" s="57" t="n">
        <v>0</v>
      </c>
      <c r="AC320" s="57" t="n">
        <v>0</v>
      </c>
      <c r="AD320" s="57" t="n">
        <v>0</v>
      </c>
      <c r="AE320" s="57" t="n">
        <v>0</v>
      </c>
      <c r="AF320" s="57" t="n">
        <v>0</v>
      </c>
      <c r="AG320" s="57" t="n">
        <v>0</v>
      </c>
      <c r="AH320" s="57" t="s">
        <v>240</v>
      </c>
      <c r="AI320" s="57"/>
      <c r="AJ320" s="57" t="n">
        <v>0</v>
      </c>
      <c r="AK320" s="57" t="s">
        <v>258</v>
      </c>
      <c r="AL320" s="57" t="s">
        <v>347</v>
      </c>
      <c r="AM320" s="57" t="n">
        <v>1</v>
      </c>
      <c r="AN320" s="57" t="s">
        <v>575</v>
      </c>
      <c r="AO320" s="57" t="str">
        <f aca="false">IF(C320="County",IF(AL320="Rest of county","Remainder of County","Settlements"),IF(D320="City Centre","City Centre","Rest of City"))</f>
        <v>City Centre</v>
      </c>
      <c r="AP320" s="57" t="str">
        <f aca="false">IF(LEFT(B320,13)="Council audit","Audit",IF(LEFT(B320,8)="Planning","Consent","Zoned"))</f>
        <v>Consent</v>
      </c>
      <c r="AQ320" s="57" t="n">
        <f aca="false">IF(N(K320)&gt;0,I320*Y320/K320,0)</f>
        <v>0</v>
      </c>
    </row>
    <row r="321" customFormat="false" ht="15" hidden="false" customHeight="false" outlineLevel="0" collapsed="false">
      <c r="A321" s="57" t="s">
        <v>1101</v>
      </c>
      <c r="B321" s="57" t="s">
        <v>218</v>
      </c>
      <c r="C321" s="57" t="s">
        <v>216</v>
      </c>
      <c r="D321" s="57" t="s">
        <v>288</v>
      </c>
      <c r="E321" s="57" t="s">
        <v>1102</v>
      </c>
      <c r="F321" s="57"/>
      <c r="G321" s="57"/>
      <c r="H321" s="57"/>
      <c r="I321" s="57" t="n">
        <v>0.165</v>
      </c>
      <c r="J321" s="57" t="n">
        <v>0.165</v>
      </c>
      <c r="K321" s="57"/>
      <c r="L321" s="57" t="s">
        <v>731</v>
      </c>
      <c r="M321" s="57"/>
      <c r="N321" s="57"/>
      <c r="O321" s="57"/>
      <c r="P321" s="57"/>
      <c r="Q321" s="57"/>
      <c r="R321" s="57" t="n">
        <v>0</v>
      </c>
      <c r="S321" s="57" t="n">
        <v>0</v>
      </c>
      <c r="T321" s="57" t="n">
        <v>0</v>
      </c>
      <c r="U321" s="57" t="n">
        <v>0</v>
      </c>
      <c r="V321" s="57" t="n">
        <v>0</v>
      </c>
      <c r="W321" s="57" t="n">
        <v>0</v>
      </c>
      <c r="X321" s="57" t="n">
        <v>0</v>
      </c>
      <c r="Y321" s="57" t="n">
        <v>0</v>
      </c>
      <c r="Z321" s="57" t="n">
        <v>0</v>
      </c>
      <c r="AA321" s="57" t="n">
        <v>0</v>
      </c>
      <c r="AB321" s="57" t="n">
        <v>0</v>
      </c>
      <c r="AC321" s="57" t="n">
        <v>0</v>
      </c>
      <c r="AD321" s="57" t="n">
        <v>0</v>
      </c>
      <c r="AE321" s="57" t="n">
        <v>0</v>
      </c>
      <c r="AF321" s="57" t="n">
        <v>0</v>
      </c>
      <c r="AG321" s="57" t="n">
        <v>0</v>
      </c>
      <c r="AH321" s="57" t="s">
        <v>240</v>
      </c>
      <c r="AI321" s="57"/>
      <c r="AJ321" s="57" t="n">
        <v>0</v>
      </c>
      <c r="AK321" s="57" t="s">
        <v>288</v>
      </c>
      <c r="AL321" s="57" t="s">
        <v>347</v>
      </c>
      <c r="AM321" s="57" t="n">
        <v>1</v>
      </c>
      <c r="AN321" s="57" t="s">
        <v>575</v>
      </c>
      <c r="AO321" s="57" t="str">
        <f aca="false">IF(C321="County",IF(AL321="Rest of county","Remainder of County","Settlements"),IF(D321="City Centre","City Centre","Rest of City"))</f>
        <v>Rest of City</v>
      </c>
      <c r="AP321" s="57" t="str">
        <f aca="false">IF(LEFT(B321,13)="Council audit","Audit",IF(LEFT(B321,8)="Planning","Consent","Zoned"))</f>
        <v>Consent</v>
      </c>
      <c r="AQ321" s="57" t="n">
        <f aca="false">IF(N(K321)&gt;0,I321*Y321/K321,0)</f>
        <v>0</v>
      </c>
    </row>
    <row r="322" customFormat="false" ht="15" hidden="false" customHeight="false" outlineLevel="0" collapsed="false">
      <c r="A322" s="57" t="s">
        <v>1103</v>
      </c>
      <c r="B322" s="57" t="s">
        <v>218</v>
      </c>
      <c r="C322" s="57" t="s">
        <v>216</v>
      </c>
      <c r="D322" s="57" t="s">
        <v>286</v>
      </c>
      <c r="E322" s="57" t="s">
        <v>1104</v>
      </c>
      <c r="F322" s="57"/>
      <c r="G322" s="57"/>
      <c r="H322" s="57"/>
      <c r="I322" s="57" t="n">
        <v>0.133</v>
      </c>
      <c r="J322" s="57" t="n">
        <v>0.133</v>
      </c>
      <c r="K322" s="57"/>
      <c r="L322" s="57" t="s">
        <v>731</v>
      </c>
      <c r="M322" s="57"/>
      <c r="N322" s="57"/>
      <c r="O322" s="57"/>
      <c r="P322" s="57"/>
      <c r="Q322" s="57"/>
      <c r="R322" s="57" t="n">
        <v>0</v>
      </c>
      <c r="S322" s="57" t="n">
        <v>0</v>
      </c>
      <c r="T322" s="57" t="n">
        <v>0</v>
      </c>
      <c r="U322" s="57" t="n">
        <v>0</v>
      </c>
      <c r="V322" s="57" t="n">
        <v>0</v>
      </c>
      <c r="W322" s="57" t="n">
        <v>0</v>
      </c>
      <c r="X322" s="57" t="n">
        <v>0</v>
      </c>
      <c r="Y322" s="57" t="n">
        <v>0</v>
      </c>
      <c r="Z322" s="57" t="n">
        <v>0</v>
      </c>
      <c r="AA322" s="57" t="n">
        <v>0</v>
      </c>
      <c r="AB322" s="57" t="n">
        <v>0</v>
      </c>
      <c r="AC322" s="57" t="n">
        <v>0</v>
      </c>
      <c r="AD322" s="57" t="n">
        <v>0</v>
      </c>
      <c r="AE322" s="57" t="n">
        <v>0</v>
      </c>
      <c r="AF322" s="57" t="n">
        <v>0</v>
      </c>
      <c r="AG322" s="57" t="n">
        <v>0</v>
      </c>
      <c r="AH322" s="57" t="s">
        <v>240</v>
      </c>
      <c r="AI322" s="57"/>
      <c r="AJ322" s="57" t="n">
        <v>8</v>
      </c>
      <c r="AK322" s="57" t="s">
        <v>286</v>
      </c>
      <c r="AL322" s="57" t="s">
        <v>347</v>
      </c>
      <c r="AM322" s="57" t="n">
        <v>1</v>
      </c>
      <c r="AN322" s="57" t="s">
        <v>575</v>
      </c>
      <c r="AO322" s="57" t="str">
        <f aca="false">IF(C322="County",IF(AL322="Rest of county","Remainder of County","Settlements"),IF(D322="City Centre","City Centre","Rest of City"))</f>
        <v>Rest of City</v>
      </c>
      <c r="AP322" s="57" t="str">
        <f aca="false">IF(LEFT(B322,13)="Council audit","Audit",IF(LEFT(B322,8)="Planning","Consent","Zoned"))</f>
        <v>Consent</v>
      </c>
      <c r="AQ322" s="57" t="n">
        <f aca="false">IF(N(K322)&gt;0,I322*Y322/K322,0)</f>
        <v>0</v>
      </c>
    </row>
    <row r="323" customFormat="false" ht="15" hidden="false" customHeight="false" outlineLevel="0" collapsed="false">
      <c r="A323" s="57" t="s">
        <v>1105</v>
      </c>
      <c r="B323" s="57" t="s">
        <v>218</v>
      </c>
      <c r="C323" s="57" t="s">
        <v>216</v>
      </c>
      <c r="D323" s="57" t="s">
        <v>284</v>
      </c>
      <c r="E323" s="57" t="s">
        <v>1106</v>
      </c>
      <c r="F323" s="57"/>
      <c r="G323" s="57"/>
      <c r="H323" s="57"/>
      <c r="I323" s="57" t="n">
        <v>0.196</v>
      </c>
      <c r="J323" s="57" t="n">
        <v>0.196</v>
      </c>
      <c r="K323" s="57"/>
      <c r="L323" s="57" t="s">
        <v>731</v>
      </c>
      <c r="M323" s="57"/>
      <c r="N323" s="57"/>
      <c r="O323" s="57"/>
      <c r="P323" s="57"/>
      <c r="Q323" s="57"/>
      <c r="R323" s="57" t="n">
        <v>0</v>
      </c>
      <c r="S323" s="57" t="n">
        <v>0</v>
      </c>
      <c r="T323" s="57" t="n">
        <v>0</v>
      </c>
      <c r="U323" s="57" t="n">
        <v>0</v>
      </c>
      <c r="V323" s="57" t="n">
        <v>0</v>
      </c>
      <c r="W323" s="57" t="n">
        <v>0</v>
      </c>
      <c r="X323" s="57" t="n">
        <v>0</v>
      </c>
      <c r="Y323" s="57" t="n">
        <v>0</v>
      </c>
      <c r="Z323" s="57" t="n">
        <v>0</v>
      </c>
      <c r="AA323" s="57" t="n">
        <v>0</v>
      </c>
      <c r="AB323" s="57" t="n">
        <v>0</v>
      </c>
      <c r="AC323" s="57" t="n">
        <v>0</v>
      </c>
      <c r="AD323" s="57" t="n">
        <v>0</v>
      </c>
      <c r="AE323" s="57" t="n">
        <v>0</v>
      </c>
      <c r="AF323" s="57" t="n">
        <v>0</v>
      </c>
      <c r="AG323" s="57" t="n">
        <v>0</v>
      </c>
      <c r="AH323" s="57" t="s">
        <v>240</v>
      </c>
      <c r="AI323" s="57"/>
      <c r="AJ323" s="57" t="n">
        <v>0</v>
      </c>
      <c r="AK323" s="57" t="s">
        <v>284</v>
      </c>
      <c r="AL323" s="57" t="s">
        <v>347</v>
      </c>
      <c r="AM323" s="57" t="n">
        <v>1</v>
      </c>
      <c r="AN323" s="57" t="s">
        <v>575</v>
      </c>
      <c r="AO323" s="57" t="str">
        <f aca="false">IF(C323="County",IF(AL323="Rest of county","Remainder of County","Settlements"),IF(D323="City Centre","City Centre","Rest of City"))</f>
        <v>Rest of City</v>
      </c>
      <c r="AP323" s="57" t="str">
        <f aca="false">IF(LEFT(B323,13)="Council audit","Audit",IF(LEFT(B323,8)="Planning","Consent","Zoned"))</f>
        <v>Consent</v>
      </c>
      <c r="AQ323" s="57" t="n">
        <f aca="false">IF(N(K323)&gt;0,I323*Y323/K323,0)</f>
        <v>0</v>
      </c>
    </row>
    <row r="324" customFormat="false" ht="15" hidden="false" customHeight="false" outlineLevel="0" collapsed="false">
      <c r="A324" s="57" t="s">
        <v>1107</v>
      </c>
      <c r="B324" s="57" t="s">
        <v>219</v>
      </c>
      <c r="C324" s="57" t="s">
        <v>220</v>
      </c>
      <c r="D324" s="57" t="s">
        <v>220</v>
      </c>
      <c r="E324" s="57" t="s">
        <v>1108</v>
      </c>
      <c r="F324" s="57" t="s">
        <v>1109</v>
      </c>
      <c r="G324" s="57"/>
      <c r="H324" s="57"/>
      <c r="I324" s="57" t="n">
        <v>0.197</v>
      </c>
      <c r="J324" s="57" t="n">
        <v>0.216</v>
      </c>
      <c r="K324" s="57" t="n">
        <v>5</v>
      </c>
      <c r="L324" s="57" t="s">
        <v>1110</v>
      </c>
      <c r="M324" s="57" t="s">
        <v>1111</v>
      </c>
      <c r="N324" s="57" t="s">
        <v>1112</v>
      </c>
      <c r="O324" s="57" t="n">
        <v>25</v>
      </c>
      <c r="P324" s="57" t="n">
        <v>0.89</v>
      </c>
      <c r="Q324" s="57"/>
      <c r="R324" s="57" t="n">
        <v>0</v>
      </c>
      <c r="S324" s="57" t="n">
        <v>0</v>
      </c>
      <c r="T324" s="57" t="n">
        <v>0</v>
      </c>
      <c r="U324" s="57" t="n">
        <v>0</v>
      </c>
      <c r="V324" s="57" t="n">
        <v>0</v>
      </c>
      <c r="W324" s="57" t="n">
        <v>0</v>
      </c>
      <c r="X324" s="57" t="n">
        <v>0</v>
      </c>
      <c r="Y324" s="57" t="n">
        <v>5</v>
      </c>
      <c r="Z324" s="57" t="n">
        <v>5</v>
      </c>
      <c r="AA324" s="57" t="n">
        <v>5</v>
      </c>
      <c r="AB324" s="57" t="n">
        <v>0</v>
      </c>
      <c r="AC324" s="57" t="n">
        <v>0</v>
      </c>
      <c r="AD324" s="57" t="n">
        <v>0</v>
      </c>
      <c r="AE324" s="57" t="n">
        <v>0</v>
      </c>
      <c r="AF324" s="57" t="n">
        <v>0</v>
      </c>
      <c r="AG324" s="57" t="n">
        <v>0</v>
      </c>
      <c r="AH324" s="57" t="s">
        <v>240</v>
      </c>
      <c r="AI324" s="57"/>
      <c r="AJ324" s="57" t="n">
        <v>0</v>
      </c>
      <c r="AK324" s="57" t="s">
        <v>358</v>
      </c>
      <c r="AL324" s="57" t="s">
        <v>356</v>
      </c>
      <c r="AM324" s="57" t="n">
        <v>0.57</v>
      </c>
      <c r="AN324" s="57" t="s">
        <v>575</v>
      </c>
      <c r="AO324" s="57" t="str">
        <f aca="false">IF(C324="County",IF(AL324="Rest of county","Remainder of County","Settlements"),IF(D324="City Centre","City Centre","Rest of City"))</f>
        <v>Settlements</v>
      </c>
      <c r="AP324" s="57" t="str">
        <f aca="false">IF(LEFT(B324,13)="Council audit","Audit",IF(LEFT(B324,8)="Planning","Consent","Zoned"))</f>
        <v>Zoned</v>
      </c>
      <c r="AQ324" s="57" t="n">
        <f aca="false">IF(N(K324)&gt;0,I324*Y324/K324,0)</f>
        <v>0.197</v>
      </c>
    </row>
    <row r="325" customFormat="false" ht="15" hidden="false" customHeight="false" outlineLevel="0" collapsed="false">
      <c r="A325" s="57" t="s">
        <v>1113</v>
      </c>
      <c r="B325" s="57" t="s">
        <v>219</v>
      </c>
      <c r="C325" s="57" t="s">
        <v>220</v>
      </c>
      <c r="D325" s="57" t="s">
        <v>220</v>
      </c>
      <c r="E325" s="57" t="s">
        <v>1114</v>
      </c>
      <c r="F325" s="57" t="s">
        <v>1115</v>
      </c>
      <c r="G325" s="57"/>
      <c r="H325" s="57"/>
      <c r="I325" s="57" t="n">
        <v>0.703</v>
      </c>
      <c r="J325" s="57" t="n">
        <v>0.773</v>
      </c>
      <c r="K325" s="57" t="n">
        <v>13</v>
      </c>
      <c r="L325" s="57" t="s">
        <v>1110</v>
      </c>
      <c r="M325" s="57" t="s">
        <v>1111</v>
      </c>
      <c r="N325" s="57" t="s">
        <v>1116</v>
      </c>
      <c r="O325" s="57" t="n">
        <v>19</v>
      </c>
      <c r="P325" s="57" t="n">
        <v>0</v>
      </c>
      <c r="Q325" s="57"/>
      <c r="R325" s="57" t="n">
        <v>0</v>
      </c>
      <c r="S325" s="57" t="n">
        <v>0</v>
      </c>
      <c r="T325" s="57" t="n">
        <v>0</v>
      </c>
      <c r="U325" s="57" t="n">
        <v>0</v>
      </c>
      <c r="V325" s="57" t="n">
        <v>0</v>
      </c>
      <c r="W325" s="57" t="n">
        <v>0</v>
      </c>
      <c r="X325" s="57" t="n">
        <v>0</v>
      </c>
      <c r="Y325" s="57" t="n">
        <v>13</v>
      </c>
      <c r="Z325" s="57" t="n">
        <v>13</v>
      </c>
      <c r="AA325" s="57" t="n">
        <v>13</v>
      </c>
      <c r="AB325" s="57" t="n">
        <v>0</v>
      </c>
      <c r="AC325" s="57" t="n">
        <v>0</v>
      </c>
      <c r="AD325" s="57" t="n">
        <v>0</v>
      </c>
      <c r="AE325" s="57" t="n">
        <v>0</v>
      </c>
      <c r="AF325" s="57" t="n">
        <v>0</v>
      </c>
      <c r="AG325" s="57" t="n">
        <v>0</v>
      </c>
      <c r="AH325" s="57" t="s">
        <v>240</v>
      </c>
      <c r="AI325" s="57"/>
      <c r="AJ325" s="57" t="n">
        <v>0</v>
      </c>
      <c r="AK325" s="57" t="s">
        <v>365</v>
      </c>
      <c r="AL325" s="57" t="s">
        <v>365</v>
      </c>
      <c r="AM325" s="57"/>
      <c r="AN325" s="57" t="s">
        <v>365</v>
      </c>
      <c r="AO325" s="57" t="str">
        <f aca="false">IF(C325="County",IF(AL325="Rest of county","Remainder of County","Settlements"),IF(D325="City Centre","City Centre","Rest of City"))</f>
        <v>Remainder of County</v>
      </c>
      <c r="AP325" s="57" t="str">
        <f aca="false">IF(LEFT(B325,13)="Council audit","Audit",IF(LEFT(B325,8)="Planning","Consent","Zoned"))</f>
        <v>Zoned</v>
      </c>
      <c r="AQ325" s="57" t="n">
        <f aca="false">IF(N(K325)&gt;0,I325*Y325/K325,0)</f>
        <v>0.703</v>
      </c>
    </row>
    <row r="326" customFormat="false" ht="15" hidden="false" customHeight="false" outlineLevel="0" collapsed="false">
      <c r="A326" s="57" t="s">
        <v>1117</v>
      </c>
      <c r="B326" s="57" t="s">
        <v>219</v>
      </c>
      <c r="C326" s="57" t="s">
        <v>220</v>
      </c>
      <c r="D326" s="57" t="s">
        <v>220</v>
      </c>
      <c r="E326" s="57" t="s">
        <v>1114</v>
      </c>
      <c r="F326" s="57" t="s">
        <v>1115</v>
      </c>
      <c r="G326" s="57"/>
      <c r="H326" s="57"/>
      <c r="I326" s="57" t="n">
        <v>1.253</v>
      </c>
      <c r="J326" s="57" t="n">
        <v>1.377</v>
      </c>
      <c r="K326" s="57" t="n">
        <v>24</v>
      </c>
      <c r="L326" s="57" t="s">
        <v>1110</v>
      </c>
      <c r="M326" s="57" t="s">
        <v>1111</v>
      </c>
      <c r="N326" s="57" t="s">
        <v>1116</v>
      </c>
      <c r="O326" s="57" t="n">
        <v>19</v>
      </c>
      <c r="P326" s="57" t="n">
        <v>1</v>
      </c>
      <c r="Q326" s="57"/>
      <c r="R326" s="57" t="n">
        <v>0</v>
      </c>
      <c r="S326" s="57" t="n">
        <v>0</v>
      </c>
      <c r="T326" s="57" t="n">
        <v>0</v>
      </c>
      <c r="U326" s="57" t="n">
        <v>0</v>
      </c>
      <c r="V326" s="57" t="n">
        <v>0</v>
      </c>
      <c r="W326" s="57" t="n">
        <v>0</v>
      </c>
      <c r="X326" s="57" t="n">
        <v>0</v>
      </c>
      <c r="Y326" s="57" t="n">
        <v>24</v>
      </c>
      <c r="Z326" s="57" t="n">
        <v>24</v>
      </c>
      <c r="AA326" s="57" t="n">
        <v>24</v>
      </c>
      <c r="AB326" s="57" t="n">
        <v>0</v>
      </c>
      <c r="AC326" s="57" t="n">
        <v>0</v>
      </c>
      <c r="AD326" s="57" t="n">
        <v>0</v>
      </c>
      <c r="AE326" s="57" t="n">
        <v>0</v>
      </c>
      <c r="AF326" s="57" t="n">
        <v>0</v>
      </c>
      <c r="AG326" s="57" t="n">
        <v>0</v>
      </c>
      <c r="AH326" s="57" t="s">
        <v>240</v>
      </c>
      <c r="AI326" s="57"/>
      <c r="AJ326" s="57" t="n">
        <v>0</v>
      </c>
      <c r="AK326" s="57" t="s">
        <v>358</v>
      </c>
      <c r="AL326" s="57" t="s">
        <v>356</v>
      </c>
      <c r="AM326" s="57" t="n">
        <v>0.1</v>
      </c>
      <c r="AN326" s="57" t="s">
        <v>575</v>
      </c>
      <c r="AO326" s="57" t="str">
        <f aca="false">IF(C326="County",IF(AL326="Rest of county","Remainder of County","Settlements"),IF(D326="City Centre","City Centre","Rest of City"))</f>
        <v>Settlements</v>
      </c>
      <c r="AP326" s="57" t="str">
        <f aca="false">IF(LEFT(B326,13)="Council audit","Audit",IF(LEFT(B326,8)="Planning","Consent","Zoned"))</f>
        <v>Zoned</v>
      </c>
      <c r="AQ326" s="57" t="n">
        <f aca="false">IF(N(K326)&gt;0,I326*Y326/K326,0)</f>
        <v>1.253</v>
      </c>
    </row>
    <row r="327" customFormat="false" ht="15" hidden="false" customHeight="false" outlineLevel="0" collapsed="false">
      <c r="A327" s="57" t="s">
        <v>1118</v>
      </c>
      <c r="B327" s="57" t="s">
        <v>219</v>
      </c>
      <c r="C327" s="57" t="s">
        <v>220</v>
      </c>
      <c r="D327" s="57" t="s">
        <v>220</v>
      </c>
      <c r="E327" s="57" t="s">
        <v>1114</v>
      </c>
      <c r="F327" s="57" t="s">
        <v>1115</v>
      </c>
      <c r="G327" s="57"/>
      <c r="H327" s="57"/>
      <c r="I327" s="57" t="n">
        <v>1.345</v>
      </c>
      <c r="J327" s="57" t="n">
        <v>1.477</v>
      </c>
      <c r="K327" s="57" t="n">
        <v>26</v>
      </c>
      <c r="L327" s="57" t="s">
        <v>1110</v>
      </c>
      <c r="M327" s="57" t="s">
        <v>1111</v>
      </c>
      <c r="N327" s="57" t="s">
        <v>1116</v>
      </c>
      <c r="O327" s="57" t="n">
        <v>19</v>
      </c>
      <c r="P327" s="57" t="n">
        <v>0.94</v>
      </c>
      <c r="Q327" s="57"/>
      <c r="R327" s="57" t="n">
        <v>0</v>
      </c>
      <c r="S327" s="57" t="n">
        <v>0</v>
      </c>
      <c r="T327" s="57" t="n">
        <v>0</v>
      </c>
      <c r="U327" s="57" t="n">
        <v>0</v>
      </c>
      <c r="V327" s="57" t="n">
        <v>0</v>
      </c>
      <c r="W327" s="57" t="n">
        <v>0</v>
      </c>
      <c r="X327" s="57" t="n">
        <v>0</v>
      </c>
      <c r="Y327" s="57" t="n">
        <v>26</v>
      </c>
      <c r="Z327" s="57" t="n">
        <v>26</v>
      </c>
      <c r="AA327" s="57" t="n">
        <v>26</v>
      </c>
      <c r="AB327" s="57" t="n">
        <v>0</v>
      </c>
      <c r="AC327" s="57" t="n">
        <v>0</v>
      </c>
      <c r="AD327" s="57" t="n">
        <v>0</v>
      </c>
      <c r="AE327" s="57" t="n">
        <v>0</v>
      </c>
      <c r="AF327" s="57" t="n">
        <v>0</v>
      </c>
      <c r="AG327" s="57" t="n">
        <v>0</v>
      </c>
      <c r="AH327" s="57" t="s">
        <v>240</v>
      </c>
      <c r="AI327" s="57"/>
      <c r="AJ327" s="57" t="n">
        <v>0</v>
      </c>
      <c r="AK327" s="57" t="s">
        <v>362</v>
      </c>
      <c r="AL327" s="57" t="s">
        <v>356</v>
      </c>
      <c r="AM327" s="57" t="n">
        <v>0.1</v>
      </c>
      <c r="AN327" s="57" t="s">
        <v>575</v>
      </c>
      <c r="AO327" s="57" t="str">
        <f aca="false">IF(C327="County",IF(AL327="Rest of county","Remainder of County","Settlements"),IF(D327="City Centre","City Centre","Rest of City"))</f>
        <v>Settlements</v>
      </c>
      <c r="AP327" s="57" t="str">
        <f aca="false">IF(LEFT(B327,13)="Council audit","Audit",IF(LEFT(B327,8)="Planning","Consent","Zoned"))</f>
        <v>Zoned</v>
      </c>
      <c r="AQ327" s="57" t="n">
        <f aca="false">IF(N(K327)&gt;0,I327*Y327/K327,0)</f>
        <v>1.345</v>
      </c>
    </row>
    <row r="328" customFormat="false" ht="15" hidden="false" customHeight="false" outlineLevel="0" collapsed="false">
      <c r="A328" s="57" t="s">
        <v>1119</v>
      </c>
      <c r="B328" s="57" t="s">
        <v>219</v>
      </c>
      <c r="C328" s="57" t="s">
        <v>220</v>
      </c>
      <c r="D328" s="57" t="s">
        <v>220</v>
      </c>
      <c r="E328" s="57" t="s">
        <v>1108</v>
      </c>
      <c r="F328" s="57" t="s">
        <v>1109</v>
      </c>
      <c r="G328" s="57"/>
      <c r="H328" s="57"/>
      <c r="I328" s="57" t="n">
        <v>0.597</v>
      </c>
      <c r="J328" s="57" t="n">
        <v>0.656</v>
      </c>
      <c r="K328" s="57" t="n">
        <v>15</v>
      </c>
      <c r="L328" s="57" t="s">
        <v>1110</v>
      </c>
      <c r="M328" s="57" t="s">
        <v>1111</v>
      </c>
      <c r="N328" s="57" t="s">
        <v>1112</v>
      </c>
      <c r="O328" s="57" t="n">
        <v>25</v>
      </c>
      <c r="P328" s="57" t="n">
        <v>1</v>
      </c>
      <c r="Q328" s="57"/>
      <c r="R328" s="57" t="n">
        <v>0</v>
      </c>
      <c r="S328" s="57" t="n">
        <v>0</v>
      </c>
      <c r="T328" s="57" t="n">
        <v>0</v>
      </c>
      <c r="U328" s="57" t="n">
        <v>0</v>
      </c>
      <c r="V328" s="57" t="n">
        <v>0</v>
      </c>
      <c r="W328" s="57" t="n">
        <v>0</v>
      </c>
      <c r="X328" s="57" t="n">
        <v>0</v>
      </c>
      <c r="Y328" s="57" t="n">
        <v>15</v>
      </c>
      <c r="Z328" s="57" t="n">
        <v>15</v>
      </c>
      <c r="AA328" s="57" t="n">
        <v>15</v>
      </c>
      <c r="AB328" s="57" t="n">
        <v>0</v>
      </c>
      <c r="AC328" s="57" t="n">
        <v>0</v>
      </c>
      <c r="AD328" s="57" t="n">
        <v>0</v>
      </c>
      <c r="AE328" s="57" t="n">
        <v>0</v>
      </c>
      <c r="AF328" s="57" t="n">
        <v>0</v>
      </c>
      <c r="AG328" s="57" t="n">
        <v>0</v>
      </c>
      <c r="AH328" s="57" t="s">
        <v>240</v>
      </c>
      <c r="AI328" s="57"/>
      <c r="AJ328" s="57" t="n">
        <v>0</v>
      </c>
      <c r="AK328" s="57" t="s">
        <v>362</v>
      </c>
      <c r="AL328" s="57" t="s">
        <v>356</v>
      </c>
      <c r="AM328" s="57" t="n">
        <v>1</v>
      </c>
      <c r="AN328" s="57" t="s">
        <v>575</v>
      </c>
      <c r="AO328" s="57" t="str">
        <f aca="false">IF(C328="County",IF(AL328="Rest of county","Remainder of County","Settlements"),IF(D328="City Centre","City Centre","Rest of City"))</f>
        <v>Settlements</v>
      </c>
      <c r="AP328" s="57" t="str">
        <f aca="false">IF(LEFT(B328,13)="Council audit","Audit",IF(LEFT(B328,8)="Planning","Consent","Zoned"))</f>
        <v>Zoned</v>
      </c>
      <c r="AQ328" s="57" t="n">
        <f aca="false">IF(N(K328)&gt;0,I328*Y328/K328,0)</f>
        <v>0.597</v>
      </c>
    </row>
    <row r="329" customFormat="false" ht="15" hidden="false" customHeight="false" outlineLevel="0" collapsed="false">
      <c r="A329" s="57" t="s">
        <v>1120</v>
      </c>
      <c r="B329" s="57" t="s">
        <v>219</v>
      </c>
      <c r="C329" s="57" t="s">
        <v>220</v>
      </c>
      <c r="D329" s="57" t="s">
        <v>220</v>
      </c>
      <c r="E329" s="57" t="s">
        <v>1108</v>
      </c>
      <c r="F329" s="57" t="s">
        <v>1109</v>
      </c>
      <c r="G329" s="57"/>
      <c r="H329" s="57"/>
      <c r="I329" s="57" t="n">
        <v>0.224</v>
      </c>
      <c r="J329" s="57" t="n">
        <v>0.247</v>
      </c>
      <c r="K329" s="57" t="n">
        <v>6</v>
      </c>
      <c r="L329" s="57" t="s">
        <v>1110</v>
      </c>
      <c r="M329" s="57" t="s">
        <v>1111</v>
      </c>
      <c r="N329" s="57" t="s">
        <v>1112</v>
      </c>
      <c r="O329" s="57" t="n">
        <v>25</v>
      </c>
      <c r="P329" s="57" t="n">
        <v>0.99</v>
      </c>
      <c r="Q329" s="57"/>
      <c r="R329" s="57" t="n">
        <v>0</v>
      </c>
      <c r="S329" s="57" t="n">
        <v>0</v>
      </c>
      <c r="T329" s="57" t="n">
        <v>0</v>
      </c>
      <c r="U329" s="57" t="n">
        <v>0</v>
      </c>
      <c r="V329" s="57" t="n">
        <v>0</v>
      </c>
      <c r="W329" s="57" t="n">
        <v>0</v>
      </c>
      <c r="X329" s="57" t="n">
        <v>0</v>
      </c>
      <c r="Y329" s="57" t="n">
        <v>6</v>
      </c>
      <c r="Z329" s="57" t="n">
        <v>6</v>
      </c>
      <c r="AA329" s="57" t="n">
        <v>6</v>
      </c>
      <c r="AB329" s="57" t="n">
        <v>0</v>
      </c>
      <c r="AC329" s="57" t="n">
        <v>0</v>
      </c>
      <c r="AD329" s="57" t="n">
        <v>0</v>
      </c>
      <c r="AE329" s="57" t="n">
        <v>0</v>
      </c>
      <c r="AF329" s="57" t="n">
        <v>0</v>
      </c>
      <c r="AG329" s="57" t="n">
        <v>0</v>
      </c>
      <c r="AH329" s="57" t="s">
        <v>240</v>
      </c>
      <c r="AI329" s="57"/>
      <c r="AJ329" s="57" t="n">
        <v>0</v>
      </c>
      <c r="AK329" s="57" t="s">
        <v>365</v>
      </c>
      <c r="AL329" s="57" t="s">
        <v>365</v>
      </c>
      <c r="AM329" s="57"/>
      <c r="AN329" s="57" t="s">
        <v>365</v>
      </c>
      <c r="AO329" s="57" t="str">
        <f aca="false">IF(C329="County",IF(AL329="Rest of county","Remainder of County","Settlements"),IF(D329="City Centre","City Centre","Rest of City"))</f>
        <v>Remainder of County</v>
      </c>
      <c r="AP329" s="57" t="str">
        <f aca="false">IF(LEFT(B329,13)="Council audit","Audit",IF(LEFT(B329,8)="Planning","Consent","Zoned"))</f>
        <v>Zoned</v>
      </c>
      <c r="AQ329" s="57" t="n">
        <f aca="false">IF(N(K329)&gt;0,I329*Y329/K329,0)</f>
        <v>0.224</v>
      </c>
    </row>
    <row r="330" customFormat="false" ht="15" hidden="false" customHeight="false" outlineLevel="0" collapsed="false">
      <c r="A330" s="57" t="s">
        <v>1121</v>
      </c>
      <c r="B330" s="57" t="s">
        <v>219</v>
      </c>
      <c r="C330" s="57" t="s">
        <v>220</v>
      </c>
      <c r="D330" s="57" t="s">
        <v>220</v>
      </c>
      <c r="E330" s="57" t="s">
        <v>1108</v>
      </c>
      <c r="F330" s="57" t="s">
        <v>1109</v>
      </c>
      <c r="G330" s="57"/>
      <c r="H330" s="57"/>
      <c r="I330" s="57" t="n">
        <v>0.908</v>
      </c>
      <c r="J330" s="57" t="n">
        <v>0.997</v>
      </c>
      <c r="K330" s="57" t="n">
        <v>23</v>
      </c>
      <c r="L330" s="57" t="s">
        <v>1110</v>
      </c>
      <c r="M330" s="57" t="s">
        <v>1111</v>
      </c>
      <c r="N330" s="57" t="s">
        <v>1112</v>
      </c>
      <c r="O330" s="57" t="n">
        <v>25</v>
      </c>
      <c r="P330" s="57" t="n">
        <v>0</v>
      </c>
      <c r="Q330" s="57"/>
      <c r="R330" s="57" t="n">
        <v>0</v>
      </c>
      <c r="S330" s="57" t="n">
        <v>0</v>
      </c>
      <c r="T330" s="57" t="n">
        <v>0</v>
      </c>
      <c r="U330" s="57" t="n">
        <v>0</v>
      </c>
      <c r="V330" s="57" t="n">
        <v>0</v>
      </c>
      <c r="W330" s="57" t="n">
        <v>0</v>
      </c>
      <c r="X330" s="57" t="n">
        <v>0</v>
      </c>
      <c r="Y330" s="57" t="n">
        <v>23</v>
      </c>
      <c r="Z330" s="57" t="n">
        <v>23</v>
      </c>
      <c r="AA330" s="57" t="n">
        <v>23</v>
      </c>
      <c r="AB330" s="57" t="n">
        <v>0</v>
      </c>
      <c r="AC330" s="57" t="n">
        <v>0</v>
      </c>
      <c r="AD330" s="57" t="n">
        <v>0</v>
      </c>
      <c r="AE330" s="57" t="n">
        <v>0</v>
      </c>
      <c r="AF330" s="57" t="n">
        <v>0</v>
      </c>
      <c r="AG330" s="57" t="n">
        <v>0</v>
      </c>
      <c r="AH330" s="57" t="s">
        <v>240</v>
      </c>
      <c r="AI330" s="57"/>
      <c r="AJ330" s="57" t="n">
        <v>0</v>
      </c>
      <c r="AK330" s="57" t="s">
        <v>363</v>
      </c>
      <c r="AL330" s="57" t="s">
        <v>356</v>
      </c>
      <c r="AM330" s="57" t="n">
        <v>0</v>
      </c>
      <c r="AN330" s="57" t="s">
        <v>743</v>
      </c>
      <c r="AO330" s="57" t="str">
        <f aca="false">IF(C330="County",IF(AL330="Rest of county","Remainder of County","Settlements"),IF(D330="City Centre","City Centre","Rest of City"))</f>
        <v>Settlements</v>
      </c>
      <c r="AP330" s="57" t="str">
        <f aca="false">IF(LEFT(B330,13)="Council audit","Audit",IF(LEFT(B330,8)="Planning","Consent","Zoned"))</f>
        <v>Zoned</v>
      </c>
      <c r="AQ330" s="57" t="n">
        <f aca="false">IF(N(K330)&gt;0,I330*Y330/K330,0)</f>
        <v>0.908</v>
      </c>
    </row>
    <row r="331" customFormat="false" ht="15" hidden="false" customHeight="false" outlineLevel="0" collapsed="false">
      <c r="A331" s="57" t="s">
        <v>1122</v>
      </c>
      <c r="B331" s="57" t="s">
        <v>219</v>
      </c>
      <c r="C331" s="57" t="s">
        <v>220</v>
      </c>
      <c r="D331" s="57" t="s">
        <v>220</v>
      </c>
      <c r="E331" s="57" t="s">
        <v>1114</v>
      </c>
      <c r="F331" s="57" t="s">
        <v>1115</v>
      </c>
      <c r="G331" s="57"/>
      <c r="H331" s="57"/>
      <c r="I331" s="57" t="n">
        <v>0.246</v>
      </c>
      <c r="J331" s="57" t="n">
        <v>0.271</v>
      </c>
      <c r="K331" s="57" t="n">
        <v>5</v>
      </c>
      <c r="L331" s="57" t="s">
        <v>1110</v>
      </c>
      <c r="M331" s="57" t="s">
        <v>1111</v>
      </c>
      <c r="N331" s="57" t="s">
        <v>1116</v>
      </c>
      <c r="O331" s="57" t="n">
        <v>19</v>
      </c>
      <c r="P331" s="57" t="n">
        <v>0.99</v>
      </c>
      <c r="Q331" s="57"/>
      <c r="R331" s="57" t="n">
        <v>0</v>
      </c>
      <c r="S331" s="57" t="n">
        <v>0</v>
      </c>
      <c r="T331" s="57" t="n">
        <v>0</v>
      </c>
      <c r="U331" s="57" t="n">
        <v>0</v>
      </c>
      <c r="V331" s="57" t="n">
        <v>0</v>
      </c>
      <c r="W331" s="57" t="n">
        <v>0</v>
      </c>
      <c r="X331" s="57" t="n">
        <v>0</v>
      </c>
      <c r="Y331" s="57" t="n">
        <v>5</v>
      </c>
      <c r="Z331" s="57" t="n">
        <v>5</v>
      </c>
      <c r="AA331" s="57" t="n">
        <v>5</v>
      </c>
      <c r="AB331" s="57" t="n">
        <v>0</v>
      </c>
      <c r="AC331" s="57" t="n">
        <v>0</v>
      </c>
      <c r="AD331" s="57" t="n">
        <v>0</v>
      </c>
      <c r="AE331" s="57" t="n">
        <v>0</v>
      </c>
      <c r="AF331" s="57" t="n">
        <v>0</v>
      </c>
      <c r="AG331" s="57" t="n">
        <v>0</v>
      </c>
      <c r="AH331" s="57" t="s">
        <v>240</v>
      </c>
      <c r="AI331" s="57"/>
      <c r="AJ331" s="57" t="n">
        <v>0</v>
      </c>
      <c r="AK331" s="57" t="s">
        <v>365</v>
      </c>
      <c r="AL331" s="57" t="s">
        <v>365</v>
      </c>
      <c r="AM331" s="57"/>
      <c r="AN331" s="57" t="s">
        <v>365</v>
      </c>
      <c r="AO331" s="57" t="str">
        <f aca="false">IF(C331="County",IF(AL331="Rest of county","Remainder of County","Settlements"),IF(D331="City Centre","City Centre","Rest of City"))</f>
        <v>Remainder of County</v>
      </c>
      <c r="AP331" s="57" t="str">
        <f aca="false">IF(LEFT(B331,13)="Council audit","Audit",IF(LEFT(B331,8)="Planning","Consent","Zoned"))</f>
        <v>Zoned</v>
      </c>
      <c r="AQ331" s="57" t="n">
        <f aca="false">IF(N(K331)&gt;0,I331*Y331/K331,0)</f>
        <v>0.246</v>
      </c>
    </row>
    <row r="332" customFormat="false" ht="15" hidden="false" customHeight="false" outlineLevel="0" collapsed="false">
      <c r="A332" s="57" t="s">
        <v>1123</v>
      </c>
      <c r="B332" s="57" t="s">
        <v>219</v>
      </c>
      <c r="C332" s="57" t="s">
        <v>220</v>
      </c>
      <c r="D332" s="57" t="s">
        <v>220</v>
      </c>
      <c r="E332" s="57" t="s">
        <v>1108</v>
      </c>
      <c r="F332" s="57" t="s">
        <v>1109</v>
      </c>
      <c r="G332" s="57"/>
      <c r="H332" s="57"/>
      <c r="I332" s="57" t="n">
        <v>0.811</v>
      </c>
      <c r="J332" s="57" t="n">
        <v>0.891</v>
      </c>
      <c r="K332" s="57" t="n">
        <v>20</v>
      </c>
      <c r="L332" s="57" t="s">
        <v>1110</v>
      </c>
      <c r="M332" s="57" t="s">
        <v>1111</v>
      </c>
      <c r="N332" s="57" t="s">
        <v>1112</v>
      </c>
      <c r="O332" s="57" t="n">
        <v>25</v>
      </c>
      <c r="P332" s="57" t="n">
        <v>1</v>
      </c>
      <c r="Q332" s="57"/>
      <c r="R332" s="57" t="n">
        <v>0</v>
      </c>
      <c r="S332" s="57" t="n">
        <v>0</v>
      </c>
      <c r="T332" s="57" t="n">
        <v>0</v>
      </c>
      <c r="U332" s="57" t="n">
        <v>0</v>
      </c>
      <c r="V332" s="57" t="n">
        <v>0</v>
      </c>
      <c r="W332" s="57" t="n">
        <v>0</v>
      </c>
      <c r="X332" s="57" t="n">
        <v>0</v>
      </c>
      <c r="Y332" s="57" t="n">
        <v>20</v>
      </c>
      <c r="Z332" s="57" t="n">
        <v>20</v>
      </c>
      <c r="AA332" s="57" t="n">
        <v>20</v>
      </c>
      <c r="AB332" s="57" t="n">
        <v>0</v>
      </c>
      <c r="AC332" s="57" t="n">
        <v>0</v>
      </c>
      <c r="AD332" s="57" t="n">
        <v>0</v>
      </c>
      <c r="AE332" s="57" t="n">
        <v>0</v>
      </c>
      <c r="AF332" s="57" t="n">
        <v>0</v>
      </c>
      <c r="AG332" s="57" t="n">
        <v>0</v>
      </c>
      <c r="AH332" s="57" t="s">
        <v>240</v>
      </c>
      <c r="AI332" s="57"/>
      <c r="AJ332" s="57" t="n">
        <v>0</v>
      </c>
      <c r="AK332" s="57" t="s">
        <v>365</v>
      </c>
      <c r="AL332" s="57" t="s">
        <v>365</v>
      </c>
      <c r="AM332" s="57"/>
      <c r="AN332" s="57" t="s">
        <v>365</v>
      </c>
      <c r="AO332" s="57" t="str">
        <f aca="false">IF(C332="County",IF(AL332="Rest of county","Remainder of County","Settlements"),IF(D332="City Centre","City Centre","Rest of City"))</f>
        <v>Remainder of County</v>
      </c>
      <c r="AP332" s="57" t="str">
        <f aca="false">IF(LEFT(B332,13)="Council audit","Audit",IF(LEFT(B332,8)="Planning","Consent","Zoned"))</f>
        <v>Zoned</v>
      </c>
      <c r="AQ332" s="57" t="n">
        <f aca="false">IF(N(K332)&gt;0,I332*Y332/K332,0)</f>
        <v>0.811</v>
      </c>
    </row>
    <row r="333" customFormat="false" ht="15" hidden="false" customHeight="false" outlineLevel="0" collapsed="false">
      <c r="A333" s="57" t="s">
        <v>1124</v>
      </c>
      <c r="B333" s="57" t="s">
        <v>219</v>
      </c>
      <c r="C333" s="57" t="s">
        <v>220</v>
      </c>
      <c r="D333" s="57" t="s">
        <v>220</v>
      </c>
      <c r="E333" s="57" t="s">
        <v>1108</v>
      </c>
      <c r="F333" s="57" t="s">
        <v>1109</v>
      </c>
      <c r="G333" s="57"/>
      <c r="H333" s="57"/>
      <c r="I333" s="57" t="n">
        <v>0.143</v>
      </c>
      <c r="J333" s="57" t="n">
        <v>0.157</v>
      </c>
      <c r="K333" s="57" t="n">
        <v>4</v>
      </c>
      <c r="L333" s="57" t="s">
        <v>1110</v>
      </c>
      <c r="M333" s="57" t="s">
        <v>1111</v>
      </c>
      <c r="N333" s="57" t="s">
        <v>1112</v>
      </c>
      <c r="O333" s="57" t="n">
        <v>25</v>
      </c>
      <c r="P333" s="57" t="n">
        <v>0</v>
      </c>
      <c r="Q333" s="57"/>
      <c r="R333" s="57" t="n">
        <v>0</v>
      </c>
      <c r="S333" s="57" t="n">
        <v>0</v>
      </c>
      <c r="T333" s="57" t="n">
        <v>0</v>
      </c>
      <c r="U333" s="57" t="n">
        <v>0</v>
      </c>
      <c r="V333" s="57" t="n">
        <v>0</v>
      </c>
      <c r="W333" s="57" t="n">
        <v>0</v>
      </c>
      <c r="X333" s="57" t="n">
        <v>0</v>
      </c>
      <c r="Y333" s="57" t="n">
        <v>4</v>
      </c>
      <c r="Z333" s="57" t="n">
        <v>4</v>
      </c>
      <c r="AA333" s="57" t="n">
        <v>4</v>
      </c>
      <c r="AB333" s="57" t="n">
        <v>0</v>
      </c>
      <c r="AC333" s="57" t="n">
        <v>0</v>
      </c>
      <c r="AD333" s="57" t="n">
        <v>0</v>
      </c>
      <c r="AE333" s="57" t="n">
        <v>0</v>
      </c>
      <c r="AF333" s="57" t="n">
        <v>0</v>
      </c>
      <c r="AG333" s="57" t="n">
        <v>0</v>
      </c>
      <c r="AH333" s="57" t="s">
        <v>240</v>
      </c>
      <c r="AI333" s="57"/>
      <c r="AJ333" s="57" t="n">
        <v>0</v>
      </c>
      <c r="AK333" s="57" t="s">
        <v>365</v>
      </c>
      <c r="AL333" s="57" t="s">
        <v>365</v>
      </c>
      <c r="AM333" s="57"/>
      <c r="AN333" s="57" t="s">
        <v>365</v>
      </c>
      <c r="AO333" s="57" t="str">
        <f aca="false">IF(C333="County",IF(AL333="Rest of county","Remainder of County","Settlements"),IF(D333="City Centre","City Centre","Rest of City"))</f>
        <v>Remainder of County</v>
      </c>
      <c r="AP333" s="57" t="str">
        <f aca="false">IF(LEFT(B333,13)="Council audit","Audit",IF(LEFT(B333,8)="Planning","Consent","Zoned"))</f>
        <v>Zoned</v>
      </c>
      <c r="AQ333" s="57" t="n">
        <f aca="false">IF(N(K333)&gt;0,I333*Y333/K333,0)</f>
        <v>0.143</v>
      </c>
    </row>
    <row r="334" customFormat="false" ht="15" hidden="false" customHeight="false" outlineLevel="0" collapsed="false">
      <c r="A334" s="57" t="s">
        <v>1125</v>
      </c>
      <c r="B334" s="57" t="s">
        <v>219</v>
      </c>
      <c r="C334" s="57" t="s">
        <v>220</v>
      </c>
      <c r="D334" s="57" t="s">
        <v>220</v>
      </c>
      <c r="E334" s="57" t="s">
        <v>1108</v>
      </c>
      <c r="F334" s="57" t="s">
        <v>1109</v>
      </c>
      <c r="G334" s="57"/>
      <c r="H334" s="57"/>
      <c r="I334" s="57" t="n">
        <v>1.589</v>
      </c>
      <c r="J334" s="57" t="n">
        <v>1.746</v>
      </c>
      <c r="K334" s="57" t="n">
        <v>40</v>
      </c>
      <c r="L334" s="57" t="s">
        <v>1110</v>
      </c>
      <c r="M334" s="57" t="s">
        <v>1111</v>
      </c>
      <c r="N334" s="57" t="s">
        <v>1112</v>
      </c>
      <c r="O334" s="57" t="n">
        <v>25</v>
      </c>
      <c r="P334" s="57" t="n">
        <v>0</v>
      </c>
      <c r="Q334" s="57"/>
      <c r="R334" s="57" t="n">
        <v>0</v>
      </c>
      <c r="S334" s="57" t="n">
        <v>0</v>
      </c>
      <c r="T334" s="57" t="n">
        <v>0</v>
      </c>
      <c r="U334" s="57" t="n">
        <v>0</v>
      </c>
      <c r="V334" s="57" t="n">
        <v>0</v>
      </c>
      <c r="W334" s="57" t="n">
        <v>0</v>
      </c>
      <c r="X334" s="57" t="n">
        <v>0</v>
      </c>
      <c r="Y334" s="57" t="n">
        <v>40</v>
      </c>
      <c r="Z334" s="57" t="n">
        <v>40</v>
      </c>
      <c r="AA334" s="57" t="n">
        <v>40</v>
      </c>
      <c r="AB334" s="57" t="n">
        <v>0</v>
      </c>
      <c r="AC334" s="57" t="n">
        <v>0</v>
      </c>
      <c r="AD334" s="57" t="n">
        <v>0</v>
      </c>
      <c r="AE334" s="57" t="n">
        <v>0</v>
      </c>
      <c r="AF334" s="57" t="n">
        <v>0</v>
      </c>
      <c r="AG334" s="57" t="n">
        <v>0</v>
      </c>
      <c r="AH334" s="57" t="s">
        <v>240</v>
      </c>
      <c r="AI334" s="57"/>
      <c r="AJ334" s="57" t="n">
        <v>0</v>
      </c>
      <c r="AK334" s="57" t="s">
        <v>363</v>
      </c>
      <c r="AL334" s="57" t="s">
        <v>356</v>
      </c>
      <c r="AM334" s="57" t="n">
        <v>0.1</v>
      </c>
      <c r="AN334" s="57" t="s">
        <v>575</v>
      </c>
      <c r="AO334" s="57" t="str">
        <f aca="false">IF(C334="County",IF(AL334="Rest of county","Remainder of County","Settlements"),IF(D334="City Centre","City Centre","Rest of City"))</f>
        <v>Settlements</v>
      </c>
      <c r="AP334" s="57" t="str">
        <f aca="false">IF(LEFT(B334,13)="Council audit","Audit",IF(LEFT(B334,8)="Planning","Consent","Zoned"))</f>
        <v>Zoned</v>
      </c>
      <c r="AQ334" s="57" t="n">
        <f aca="false">IF(N(K334)&gt;0,I334*Y334/K334,0)</f>
        <v>1.589</v>
      </c>
    </row>
    <row r="335" customFormat="false" ht="15" hidden="false" customHeight="false" outlineLevel="0" collapsed="false">
      <c r="A335" s="57" t="s">
        <v>1126</v>
      </c>
      <c r="B335" s="57" t="s">
        <v>219</v>
      </c>
      <c r="C335" s="57" t="s">
        <v>220</v>
      </c>
      <c r="D335" s="57" t="s">
        <v>220</v>
      </c>
      <c r="E335" s="57" t="s">
        <v>1108</v>
      </c>
      <c r="F335" s="57" t="s">
        <v>1109</v>
      </c>
      <c r="G335" s="57"/>
      <c r="H335" s="57"/>
      <c r="I335" s="57" t="n">
        <v>0.251</v>
      </c>
      <c r="J335" s="57" t="n">
        <v>0.276</v>
      </c>
      <c r="K335" s="57" t="n">
        <v>6</v>
      </c>
      <c r="L335" s="57" t="s">
        <v>1110</v>
      </c>
      <c r="M335" s="57" t="s">
        <v>1111</v>
      </c>
      <c r="N335" s="57" t="s">
        <v>1112</v>
      </c>
      <c r="O335" s="57" t="n">
        <v>25</v>
      </c>
      <c r="P335" s="57" t="n">
        <v>1</v>
      </c>
      <c r="Q335" s="57"/>
      <c r="R335" s="57" t="n">
        <v>0</v>
      </c>
      <c r="S335" s="57" t="n">
        <v>0</v>
      </c>
      <c r="T335" s="57" t="n">
        <v>0</v>
      </c>
      <c r="U335" s="57" t="n">
        <v>0</v>
      </c>
      <c r="V335" s="57" t="n">
        <v>0</v>
      </c>
      <c r="W335" s="57" t="n">
        <v>0</v>
      </c>
      <c r="X335" s="57" t="n">
        <v>0</v>
      </c>
      <c r="Y335" s="57" t="n">
        <v>6</v>
      </c>
      <c r="Z335" s="57" t="n">
        <v>6</v>
      </c>
      <c r="AA335" s="57" t="n">
        <v>6</v>
      </c>
      <c r="AB335" s="57" t="n">
        <v>0</v>
      </c>
      <c r="AC335" s="57" t="n">
        <v>0</v>
      </c>
      <c r="AD335" s="57" t="n">
        <v>0</v>
      </c>
      <c r="AE335" s="57" t="n">
        <v>0</v>
      </c>
      <c r="AF335" s="57" t="n">
        <v>0</v>
      </c>
      <c r="AG335" s="57" t="n">
        <v>0</v>
      </c>
      <c r="AH335" s="57" t="s">
        <v>240</v>
      </c>
      <c r="AI335" s="57"/>
      <c r="AJ335" s="57" t="n">
        <v>0</v>
      </c>
      <c r="AK335" s="57" t="s">
        <v>362</v>
      </c>
      <c r="AL335" s="57" t="s">
        <v>356</v>
      </c>
      <c r="AM335" s="57" t="n">
        <v>1</v>
      </c>
      <c r="AN335" s="57" t="s">
        <v>575</v>
      </c>
      <c r="AO335" s="57" t="str">
        <f aca="false">IF(C335="County",IF(AL335="Rest of county","Remainder of County","Settlements"),IF(D335="City Centre","City Centre","Rest of City"))</f>
        <v>Settlements</v>
      </c>
      <c r="AP335" s="57" t="str">
        <f aca="false">IF(LEFT(B335,13)="Council audit","Audit",IF(LEFT(B335,8)="Planning","Consent","Zoned"))</f>
        <v>Zoned</v>
      </c>
      <c r="AQ335" s="57" t="n">
        <f aca="false">IF(N(K335)&gt;0,I335*Y335/K335,0)</f>
        <v>0.251</v>
      </c>
    </row>
    <row r="336" customFormat="false" ht="15" hidden="false" customHeight="false" outlineLevel="0" collapsed="false">
      <c r="A336" s="57" t="s">
        <v>1127</v>
      </c>
      <c r="B336" s="57" t="s">
        <v>219</v>
      </c>
      <c r="C336" s="57" t="s">
        <v>220</v>
      </c>
      <c r="D336" s="57" t="s">
        <v>220</v>
      </c>
      <c r="E336" s="57" t="s">
        <v>1114</v>
      </c>
      <c r="F336" s="57" t="s">
        <v>1115</v>
      </c>
      <c r="G336" s="57"/>
      <c r="H336" s="57"/>
      <c r="I336" s="57" t="n">
        <v>1.744</v>
      </c>
      <c r="J336" s="57" t="n">
        <v>1.916</v>
      </c>
      <c r="K336" s="57" t="n">
        <v>33</v>
      </c>
      <c r="L336" s="57" t="s">
        <v>1110</v>
      </c>
      <c r="M336" s="57" t="s">
        <v>1111</v>
      </c>
      <c r="N336" s="57" t="s">
        <v>1116</v>
      </c>
      <c r="O336" s="57" t="n">
        <v>19</v>
      </c>
      <c r="P336" s="57" t="n">
        <v>0</v>
      </c>
      <c r="Q336" s="57"/>
      <c r="R336" s="57" t="n">
        <v>0</v>
      </c>
      <c r="S336" s="57" t="n">
        <v>0</v>
      </c>
      <c r="T336" s="57" t="n">
        <v>0</v>
      </c>
      <c r="U336" s="57" t="n">
        <v>0</v>
      </c>
      <c r="V336" s="57" t="n">
        <v>0</v>
      </c>
      <c r="W336" s="57" t="n">
        <v>0</v>
      </c>
      <c r="X336" s="57" t="n">
        <v>0</v>
      </c>
      <c r="Y336" s="57" t="n">
        <v>33</v>
      </c>
      <c r="Z336" s="57" t="n">
        <v>33</v>
      </c>
      <c r="AA336" s="57" t="n">
        <v>33</v>
      </c>
      <c r="AB336" s="57" t="n">
        <v>0</v>
      </c>
      <c r="AC336" s="57" t="n">
        <v>0</v>
      </c>
      <c r="AD336" s="57" t="n">
        <v>0</v>
      </c>
      <c r="AE336" s="57" t="n">
        <v>0</v>
      </c>
      <c r="AF336" s="57" t="n">
        <v>0</v>
      </c>
      <c r="AG336" s="57" t="n">
        <v>0</v>
      </c>
      <c r="AH336" s="57" t="s">
        <v>240</v>
      </c>
      <c r="AI336" s="57"/>
      <c r="AJ336" s="57" t="n">
        <v>0</v>
      </c>
      <c r="AK336" s="57" t="s">
        <v>363</v>
      </c>
      <c r="AL336" s="57" t="s">
        <v>356</v>
      </c>
      <c r="AM336" s="57" t="n">
        <v>0.27</v>
      </c>
      <c r="AN336" s="57" t="s">
        <v>575</v>
      </c>
      <c r="AO336" s="57" t="str">
        <f aca="false">IF(C336="County",IF(AL336="Rest of county","Remainder of County","Settlements"),IF(D336="City Centre","City Centre","Rest of City"))</f>
        <v>Settlements</v>
      </c>
      <c r="AP336" s="57" t="str">
        <f aca="false">IF(LEFT(B336,13)="Council audit","Audit",IF(LEFT(B336,8)="Planning","Consent","Zoned"))</f>
        <v>Zoned</v>
      </c>
      <c r="AQ336" s="57" t="n">
        <f aca="false">IF(N(K336)&gt;0,I336*Y336/K336,0)</f>
        <v>1.744</v>
      </c>
    </row>
    <row r="337" customFormat="false" ht="15" hidden="false" customHeight="false" outlineLevel="0" collapsed="false">
      <c r="A337" s="57" t="s">
        <v>1128</v>
      </c>
      <c r="B337" s="57" t="s">
        <v>219</v>
      </c>
      <c r="C337" s="57" t="s">
        <v>220</v>
      </c>
      <c r="D337" s="57" t="s">
        <v>220</v>
      </c>
      <c r="E337" s="57" t="s">
        <v>1108</v>
      </c>
      <c r="F337" s="57" t="s">
        <v>1109</v>
      </c>
      <c r="G337" s="57"/>
      <c r="H337" s="57"/>
      <c r="I337" s="57" t="n">
        <v>0.768</v>
      </c>
      <c r="J337" s="57" t="n">
        <v>0.844</v>
      </c>
      <c r="K337" s="57" t="n">
        <v>19</v>
      </c>
      <c r="L337" s="57" t="s">
        <v>1110</v>
      </c>
      <c r="M337" s="57" t="s">
        <v>1111</v>
      </c>
      <c r="N337" s="57" t="s">
        <v>1112</v>
      </c>
      <c r="O337" s="57" t="n">
        <v>25</v>
      </c>
      <c r="P337" s="57" t="n">
        <v>0</v>
      </c>
      <c r="Q337" s="57"/>
      <c r="R337" s="57" t="n">
        <v>0</v>
      </c>
      <c r="S337" s="57" t="n">
        <v>0</v>
      </c>
      <c r="T337" s="57" t="n">
        <v>0</v>
      </c>
      <c r="U337" s="57" t="n">
        <v>0</v>
      </c>
      <c r="V337" s="57" t="n">
        <v>0</v>
      </c>
      <c r="W337" s="57" t="n">
        <v>0</v>
      </c>
      <c r="X337" s="57" t="n">
        <v>0</v>
      </c>
      <c r="Y337" s="57" t="n">
        <v>19</v>
      </c>
      <c r="Z337" s="57" t="n">
        <v>19</v>
      </c>
      <c r="AA337" s="57" t="n">
        <v>19</v>
      </c>
      <c r="AB337" s="57" t="n">
        <v>0</v>
      </c>
      <c r="AC337" s="57" t="n">
        <v>0</v>
      </c>
      <c r="AD337" s="57" t="n">
        <v>0</v>
      </c>
      <c r="AE337" s="57" t="n">
        <v>0</v>
      </c>
      <c r="AF337" s="57" t="n">
        <v>0</v>
      </c>
      <c r="AG337" s="57" t="n">
        <v>0</v>
      </c>
      <c r="AH337" s="57" t="s">
        <v>240</v>
      </c>
      <c r="AI337" s="57"/>
      <c r="AJ337" s="57" t="n">
        <v>0</v>
      </c>
      <c r="AK337" s="57" t="s">
        <v>365</v>
      </c>
      <c r="AL337" s="57" t="s">
        <v>365</v>
      </c>
      <c r="AM337" s="57"/>
      <c r="AN337" s="57" t="s">
        <v>365</v>
      </c>
      <c r="AO337" s="57" t="str">
        <f aca="false">IF(C337="County",IF(AL337="Rest of county","Remainder of County","Settlements"),IF(D337="City Centre","City Centre","Rest of City"))</f>
        <v>Remainder of County</v>
      </c>
      <c r="AP337" s="57" t="str">
        <f aca="false">IF(LEFT(B337,13)="Council audit","Audit",IF(LEFT(B337,8)="Planning","Consent","Zoned"))</f>
        <v>Zoned</v>
      </c>
      <c r="AQ337" s="57" t="n">
        <f aca="false">IF(N(K337)&gt;0,I337*Y337/K337,0)</f>
        <v>0.768</v>
      </c>
    </row>
    <row r="338" customFormat="false" ht="15" hidden="false" customHeight="false" outlineLevel="0" collapsed="false">
      <c r="A338" s="57" t="s">
        <v>1129</v>
      </c>
      <c r="B338" s="57" t="s">
        <v>219</v>
      </c>
      <c r="C338" s="57" t="s">
        <v>220</v>
      </c>
      <c r="D338" s="57" t="s">
        <v>220</v>
      </c>
      <c r="E338" s="57" t="s">
        <v>1108</v>
      </c>
      <c r="F338" s="57" t="s">
        <v>1109</v>
      </c>
      <c r="G338" s="57"/>
      <c r="H338" s="57"/>
      <c r="I338" s="57" t="n">
        <v>0.685</v>
      </c>
      <c r="J338" s="57" t="n">
        <v>0.752</v>
      </c>
      <c r="K338" s="57" t="n">
        <v>17</v>
      </c>
      <c r="L338" s="57" t="s">
        <v>1110</v>
      </c>
      <c r="M338" s="57" t="s">
        <v>1111</v>
      </c>
      <c r="N338" s="57" t="s">
        <v>1112</v>
      </c>
      <c r="O338" s="57" t="n">
        <v>25</v>
      </c>
      <c r="P338" s="57" t="n">
        <v>1</v>
      </c>
      <c r="Q338" s="57"/>
      <c r="R338" s="57" t="n">
        <v>0</v>
      </c>
      <c r="S338" s="57" t="n">
        <v>0</v>
      </c>
      <c r="T338" s="57" t="n">
        <v>0</v>
      </c>
      <c r="U338" s="57" t="n">
        <v>0</v>
      </c>
      <c r="V338" s="57" t="n">
        <v>0</v>
      </c>
      <c r="W338" s="57" t="n">
        <v>0</v>
      </c>
      <c r="X338" s="57" t="n">
        <v>0</v>
      </c>
      <c r="Y338" s="57" t="n">
        <v>17</v>
      </c>
      <c r="Z338" s="57" t="n">
        <v>17</v>
      </c>
      <c r="AA338" s="57" t="n">
        <v>17</v>
      </c>
      <c r="AB338" s="57" t="n">
        <v>0</v>
      </c>
      <c r="AC338" s="57" t="n">
        <v>0</v>
      </c>
      <c r="AD338" s="57" t="n">
        <v>0</v>
      </c>
      <c r="AE338" s="57" t="n">
        <v>0</v>
      </c>
      <c r="AF338" s="57" t="n">
        <v>0</v>
      </c>
      <c r="AG338" s="57" t="n">
        <v>0</v>
      </c>
      <c r="AH338" s="57" t="s">
        <v>240</v>
      </c>
      <c r="AI338" s="57"/>
      <c r="AJ338" s="57" t="n">
        <v>0</v>
      </c>
      <c r="AK338" s="57" t="s">
        <v>365</v>
      </c>
      <c r="AL338" s="57" t="s">
        <v>365</v>
      </c>
      <c r="AM338" s="57"/>
      <c r="AN338" s="57" t="s">
        <v>365</v>
      </c>
      <c r="AO338" s="57" t="str">
        <f aca="false">IF(C338="County",IF(AL338="Rest of county","Remainder of County","Settlements"),IF(D338="City Centre","City Centre","Rest of City"))</f>
        <v>Remainder of County</v>
      </c>
      <c r="AP338" s="57" t="str">
        <f aca="false">IF(LEFT(B338,13)="Council audit","Audit",IF(LEFT(B338,8)="Planning","Consent","Zoned"))</f>
        <v>Zoned</v>
      </c>
      <c r="AQ338" s="57" t="n">
        <f aca="false">IF(N(K338)&gt;0,I338*Y338/K338,0)</f>
        <v>0.685</v>
      </c>
    </row>
    <row r="339" customFormat="false" ht="15" hidden="false" customHeight="false" outlineLevel="0" collapsed="false">
      <c r="A339" s="57" t="s">
        <v>1130</v>
      </c>
      <c r="B339" s="57" t="s">
        <v>219</v>
      </c>
      <c r="C339" s="57" t="s">
        <v>220</v>
      </c>
      <c r="D339" s="57" t="s">
        <v>220</v>
      </c>
      <c r="E339" s="57" t="s">
        <v>1108</v>
      </c>
      <c r="F339" s="57" t="s">
        <v>1109</v>
      </c>
      <c r="G339" s="57"/>
      <c r="H339" s="57"/>
      <c r="I339" s="57" t="n">
        <v>0.23</v>
      </c>
      <c r="J339" s="57" t="n">
        <v>0.252</v>
      </c>
      <c r="K339" s="57" t="n">
        <v>6</v>
      </c>
      <c r="L339" s="57" t="s">
        <v>1110</v>
      </c>
      <c r="M339" s="57" t="s">
        <v>1111</v>
      </c>
      <c r="N339" s="57" t="s">
        <v>1112</v>
      </c>
      <c r="O339" s="57" t="n">
        <v>25</v>
      </c>
      <c r="P339" s="57" t="n">
        <v>1</v>
      </c>
      <c r="Q339" s="57"/>
      <c r="R339" s="57" t="n">
        <v>0</v>
      </c>
      <c r="S339" s="57" t="n">
        <v>0</v>
      </c>
      <c r="T339" s="57" t="n">
        <v>0</v>
      </c>
      <c r="U339" s="57" t="n">
        <v>0</v>
      </c>
      <c r="V339" s="57" t="n">
        <v>0</v>
      </c>
      <c r="W339" s="57" t="n">
        <v>0</v>
      </c>
      <c r="X339" s="57" t="n">
        <v>0</v>
      </c>
      <c r="Y339" s="57" t="n">
        <v>6</v>
      </c>
      <c r="Z339" s="57" t="n">
        <v>6</v>
      </c>
      <c r="AA339" s="57" t="n">
        <v>6</v>
      </c>
      <c r="AB339" s="57" t="n">
        <v>0</v>
      </c>
      <c r="AC339" s="57" t="n">
        <v>0</v>
      </c>
      <c r="AD339" s="57" t="n">
        <v>0</v>
      </c>
      <c r="AE339" s="57" t="n">
        <v>0</v>
      </c>
      <c r="AF339" s="57" t="n">
        <v>0</v>
      </c>
      <c r="AG339" s="57" t="n">
        <v>0</v>
      </c>
      <c r="AH339" s="57" t="s">
        <v>240</v>
      </c>
      <c r="AI339" s="57"/>
      <c r="AJ339" s="57" t="n">
        <v>0</v>
      </c>
      <c r="AK339" s="57" t="s">
        <v>365</v>
      </c>
      <c r="AL339" s="57" t="s">
        <v>365</v>
      </c>
      <c r="AM339" s="57"/>
      <c r="AN339" s="57" t="s">
        <v>365</v>
      </c>
      <c r="AO339" s="57" t="str">
        <f aca="false">IF(C339="County",IF(AL339="Rest of county","Remainder of County","Settlements"),IF(D339="City Centre","City Centre","Rest of City"))</f>
        <v>Remainder of County</v>
      </c>
      <c r="AP339" s="57" t="str">
        <f aca="false">IF(LEFT(B339,13)="Council audit","Audit",IF(LEFT(B339,8)="Planning","Consent","Zoned"))</f>
        <v>Zoned</v>
      </c>
      <c r="AQ339" s="57" t="n">
        <f aca="false">IF(N(K339)&gt;0,I339*Y339/K339,0)</f>
        <v>0.23</v>
      </c>
    </row>
    <row r="340" customFormat="false" ht="15" hidden="false" customHeight="false" outlineLevel="0" collapsed="false">
      <c r="A340" s="57" t="s">
        <v>1131</v>
      </c>
      <c r="B340" s="57" t="s">
        <v>219</v>
      </c>
      <c r="C340" s="57" t="s">
        <v>220</v>
      </c>
      <c r="D340" s="57" t="s">
        <v>220</v>
      </c>
      <c r="E340" s="57" t="s">
        <v>1108</v>
      </c>
      <c r="F340" s="57" t="s">
        <v>1109</v>
      </c>
      <c r="G340" s="57"/>
      <c r="H340" s="57"/>
      <c r="I340" s="57" t="n">
        <v>0.689</v>
      </c>
      <c r="J340" s="57" t="n">
        <v>0.757</v>
      </c>
      <c r="K340" s="57" t="n">
        <v>17</v>
      </c>
      <c r="L340" s="57" t="s">
        <v>1110</v>
      </c>
      <c r="M340" s="57" t="s">
        <v>1111</v>
      </c>
      <c r="N340" s="57" t="s">
        <v>1112</v>
      </c>
      <c r="O340" s="57" t="n">
        <v>25</v>
      </c>
      <c r="P340" s="57" t="n">
        <v>0.96</v>
      </c>
      <c r="Q340" s="57"/>
      <c r="R340" s="57" t="n">
        <v>0</v>
      </c>
      <c r="S340" s="57" t="n">
        <v>0</v>
      </c>
      <c r="T340" s="57" t="n">
        <v>0</v>
      </c>
      <c r="U340" s="57" t="n">
        <v>0</v>
      </c>
      <c r="V340" s="57" t="n">
        <v>0</v>
      </c>
      <c r="W340" s="57" t="n">
        <v>0</v>
      </c>
      <c r="X340" s="57" t="n">
        <v>0</v>
      </c>
      <c r="Y340" s="57" t="n">
        <v>17</v>
      </c>
      <c r="Z340" s="57" t="n">
        <v>17</v>
      </c>
      <c r="AA340" s="57" t="n">
        <v>17</v>
      </c>
      <c r="AB340" s="57" t="n">
        <v>0</v>
      </c>
      <c r="AC340" s="57" t="n">
        <v>0</v>
      </c>
      <c r="AD340" s="57" t="n">
        <v>0</v>
      </c>
      <c r="AE340" s="57" t="n">
        <v>0</v>
      </c>
      <c r="AF340" s="57" t="n">
        <v>0</v>
      </c>
      <c r="AG340" s="57" t="n">
        <v>0</v>
      </c>
      <c r="AH340" s="57" t="s">
        <v>240</v>
      </c>
      <c r="AI340" s="57"/>
      <c r="AJ340" s="57" t="n">
        <v>0</v>
      </c>
      <c r="AK340" s="57" t="s">
        <v>362</v>
      </c>
      <c r="AL340" s="57" t="s">
        <v>356</v>
      </c>
      <c r="AM340" s="57" t="n">
        <v>0.63</v>
      </c>
      <c r="AN340" s="57" t="s">
        <v>575</v>
      </c>
      <c r="AO340" s="57" t="str">
        <f aca="false">IF(C340="County",IF(AL340="Rest of county","Remainder of County","Settlements"),IF(D340="City Centre","City Centre","Rest of City"))</f>
        <v>Settlements</v>
      </c>
      <c r="AP340" s="57" t="str">
        <f aca="false">IF(LEFT(B340,13)="Council audit","Audit",IF(LEFT(B340,8)="Planning","Consent","Zoned"))</f>
        <v>Zoned</v>
      </c>
      <c r="AQ340" s="57" t="n">
        <f aca="false">IF(N(K340)&gt;0,I340*Y340/K340,0)</f>
        <v>0.689</v>
      </c>
    </row>
    <row r="341" customFormat="false" ht="15" hidden="false" customHeight="false" outlineLevel="0" collapsed="false">
      <c r="A341" s="57" t="s">
        <v>1132</v>
      </c>
      <c r="B341" s="57" t="s">
        <v>219</v>
      </c>
      <c r="C341" s="57" t="s">
        <v>220</v>
      </c>
      <c r="D341" s="57" t="s">
        <v>220</v>
      </c>
      <c r="E341" s="57" t="s">
        <v>1108</v>
      </c>
      <c r="F341" s="57" t="s">
        <v>1109</v>
      </c>
      <c r="G341" s="57"/>
      <c r="H341" s="57"/>
      <c r="I341" s="57" t="n">
        <v>0.302</v>
      </c>
      <c r="J341" s="57" t="n">
        <v>0.332</v>
      </c>
      <c r="K341" s="57" t="n">
        <v>8</v>
      </c>
      <c r="L341" s="57" t="s">
        <v>1110</v>
      </c>
      <c r="M341" s="57" t="s">
        <v>1111</v>
      </c>
      <c r="N341" s="57" t="s">
        <v>1112</v>
      </c>
      <c r="O341" s="57" t="n">
        <v>25</v>
      </c>
      <c r="P341" s="57" t="n">
        <v>0.85</v>
      </c>
      <c r="Q341" s="57"/>
      <c r="R341" s="57" t="n">
        <v>0</v>
      </c>
      <c r="S341" s="57" t="n">
        <v>0</v>
      </c>
      <c r="T341" s="57" t="n">
        <v>0</v>
      </c>
      <c r="U341" s="57" t="n">
        <v>0</v>
      </c>
      <c r="V341" s="57" t="n">
        <v>0</v>
      </c>
      <c r="W341" s="57" t="n">
        <v>0</v>
      </c>
      <c r="X341" s="57" t="n">
        <v>0</v>
      </c>
      <c r="Y341" s="57" t="n">
        <v>8</v>
      </c>
      <c r="Z341" s="57" t="n">
        <v>8</v>
      </c>
      <c r="AA341" s="57" t="n">
        <v>8</v>
      </c>
      <c r="AB341" s="57" t="n">
        <v>0</v>
      </c>
      <c r="AC341" s="57" t="n">
        <v>0</v>
      </c>
      <c r="AD341" s="57" t="n">
        <v>0</v>
      </c>
      <c r="AE341" s="57" t="n">
        <v>0</v>
      </c>
      <c r="AF341" s="57" t="n">
        <v>0</v>
      </c>
      <c r="AG341" s="57" t="n">
        <v>0</v>
      </c>
      <c r="AH341" s="57" t="s">
        <v>240</v>
      </c>
      <c r="AI341" s="57"/>
      <c r="AJ341" s="57" t="n">
        <v>0</v>
      </c>
      <c r="AK341" s="57" t="s">
        <v>358</v>
      </c>
      <c r="AL341" s="57" t="s">
        <v>356</v>
      </c>
      <c r="AM341" s="57" t="n">
        <v>0</v>
      </c>
      <c r="AN341" s="57" t="s">
        <v>743</v>
      </c>
      <c r="AO341" s="57" t="str">
        <f aca="false">IF(C341="County",IF(AL341="Rest of county","Remainder of County","Settlements"),IF(D341="City Centre","City Centre","Rest of City"))</f>
        <v>Settlements</v>
      </c>
      <c r="AP341" s="57" t="str">
        <f aca="false">IF(LEFT(B341,13)="Council audit","Audit",IF(LEFT(B341,8)="Planning","Consent","Zoned"))</f>
        <v>Zoned</v>
      </c>
      <c r="AQ341" s="57" t="n">
        <f aca="false">IF(N(K341)&gt;0,I341*Y341/K341,0)</f>
        <v>0.302</v>
      </c>
    </row>
    <row r="342" customFormat="false" ht="15" hidden="false" customHeight="false" outlineLevel="0" collapsed="false">
      <c r="A342" s="57" t="s">
        <v>1133</v>
      </c>
      <c r="B342" s="57" t="s">
        <v>219</v>
      </c>
      <c r="C342" s="57" t="s">
        <v>220</v>
      </c>
      <c r="D342" s="57" t="s">
        <v>220</v>
      </c>
      <c r="E342" s="57" t="s">
        <v>1114</v>
      </c>
      <c r="F342" s="57" t="s">
        <v>1115</v>
      </c>
      <c r="G342" s="57"/>
      <c r="H342" s="57"/>
      <c r="I342" s="57" t="n">
        <v>0.607</v>
      </c>
      <c r="J342" s="57" t="n">
        <v>0.667</v>
      </c>
      <c r="K342" s="57" t="n">
        <v>12</v>
      </c>
      <c r="L342" s="57" t="s">
        <v>1110</v>
      </c>
      <c r="M342" s="57" t="s">
        <v>1111</v>
      </c>
      <c r="N342" s="57" t="s">
        <v>1116</v>
      </c>
      <c r="O342" s="57" t="n">
        <v>19</v>
      </c>
      <c r="P342" s="57" t="n">
        <v>1</v>
      </c>
      <c r="Q342" s="57"/>
      <c r="R342" s="57" t="n">
        <v>0</v>
      </c>
      <c r="S342" s="57" t="n">
        <v>0</v>
      </c>
      <c r="T342" s="57" t="n">
        <v>0</v>
      </c>
      <c r="U342" s="57" t="n">
        <v>0</v>
      </c>
      <c r="V342" s="57" t="n">
        <v>0</v>
      </c>
      <c r="W342" s="57" t="n">
        <v>0</v>
      </c>
      <c r="X342" s="57" t="n">
        <v>0</v>
      </c>
      <c r="Y342" s="57" t="n">
        <v>12</v>
      </c>
      <c r="Z342" s="57" t="n">
        <v>12</v>
      </c>
      <c r="AA342" s="57" t="n">
        <v>12</v>
      </c>
      <c r="AB342" s="57" t="n">
        <v>0</v>
      </c>
      <c r="AC342" s="57" t="n">
        <v>0</v>
      </c>
      <c r="AD342" s="57" t="n">
        <v>0</v>
      </c>
      <c r="AE342" s="57" t="n">
        <v>0</v>
      </c>
      <c r="AF342" s="57" t="n">
        <v>0</v>
      </c>
      <c r="AG342" s="57" t="n">
        <v>0</v>
      </c>
      <c r="AH342" s="57" t="s">
        <v>240</v>
      </c>
      <c r="AI342" s="57"/>
      <c r="AJ342" s="57" t="n">
        <v>0</v>
      </c>
      <c r="AK342" s="57" t="s">
        <v>359</v>
      </c>
      <c r="AL342" s="57" t="s">
        <v>356</v>
      </c>
      <c r="AM342" s="57" t="n">
        <v>0</v>
      </c>
      <c r="AN342" s="57" t="s">
        <v>743</v>
      </c>
      <c r="AO342" s="57" t="str">
        <f aca="false">IF(C342="County",IF(AL342="Rest of county","Remainder of County","Settlements"),IF(D342="City Centre","City Centre","Rest of City"))</f>
        <v>Settlements</v>
      </c>
      <c r="AP342" s="57" t="str">
        <f aca="false">IF(LEFT(B342,13)="Council audit","Audit",IF(LEFT(B342,8)="Planning","Consent","Zoned"))</f>
        <v>Zoned</v>
      </c>
      <c r="AQ342" s="57" t="n">
        <f aca="false">IF(N(K342)&gt;0,I342*Y342/K342,0)</f>
        <v>0.607</v>
      </c>
    </row>
    <row r="343" customFormat="false" ht="15" hidden="false" customHeight="false" outlineLevel="0" collapsed="false">
      <c r="A343" s="57" t="s">
        <v>1134</v>
      </c>
      <c r="B343" s="57" t="s">
        <v>219</v>
      </c>
      <c r="C343" s="57" t="s">
        <v>220</v>
      </c>
      <c r="D343" s="57" t="s">
        <v>220</v>
      </c>
      <c r="E343" s="57" t="s">
        <v>1108</v>
      </c>
      <c r="F343" s="57" t="s">
        <v>1109</v>
      </c>
      <c r="G343" s="57"/>
      <c r="H343" s="57"/>
      <c r="I343" s="57" t="n">
        <v>0.489</v>
      </c>
      <c r="J343" s="57" t="n">
        <v>0.537</v>
      </c>
      <c r="K343" s="57" t="n">
        <v>12</v>
      </c>
      <c r="L343" s="57" t="s">
        <v>1110</v>
      </c>
      <c r="M343" s="57" t="s">
        <v>1111</v>
      </c>
      <c r="N343" s="57" t="s">
        <v>1112</v>
      </c>
      <c r="O343" s="57" t="n">
        <v>25</v>
      </c>
      <c r="P343" s="57" t="n">
        <v>1</v>
      </c>
      <c r="Q343" s="57"/>
      <c r="R343" s="57" t="n">
        <v>0</v>
      </c>
      <c r="S343" s="57" t="n">
        <v>0</v>
      </c>
      <c r="T343" s="57" t="n">
        <v>0</v>
      </c>
      <c r="U343" s="57" t="n">
        <v>0</v>
      </c>
      <c r="V343" s="57" t="n">
        <v>0</v>
      </c>
      <c r="W343" s="57" t="n">
        <v>0</v>
      </c>
      <c r="X343" s="57" t="n">
        <v>0</v>
      </c>
      <c r="Y343" s="57" t="n">
        <v>12</v>
      </c>
      <c r="Z343" s="57" t="n">
        <v>12</v>
      </c>
      <c r="AA343" s="57" t="n">
        <v>12</v>
      </c>
      <c r="AB343" s="57" t="n">
        <v>0</v>
      </c>
      <c r="AC343" s="57" t="n">
        <v>0</v>
      </c>
      <c r="AD343" s="57" t="n">
        <v>0</v>
      </c>
      <c r="AE343" s="57" t="n">
        <v>0</v>
      </c>
      <c r="AF343" s="57" t="n">
        <v>0</v>
      </c>
      <c r="AG343" s="57" t="n">
        <v>0</v>
      </c>
      <c r="AH343" s="57" t="s">
        <v>240</v>
      </c>
      <c r="AI343" s="57"/>
      <c r="AJ343" s="57" t="n">
        <v>0</v>
      </c>
      <c r="AK343" s="57" t="s">
        <v>359</v>
      </c>
      <c r="AL343" s="57" t="s">
        <v>356</v>
      </c>
      <c r="AM343" s="57" t="n">
        <v>0</v>
      </c>
      <c r="AN343" s="57" t="s">
        <v>743</v>
      </c>
      <c r="AO343" s="57" t="str">
        <f aca="false">IF(C343="County",IF(AL343="Rest of county","Remainder of County","Settlements"),IF(D343="City Centre","City Centre","Rest of City"))</f>
        <v>Settlements</v>
      </c>
      <c r="AP343" s="57" t="str">
        <f aca="false">IF(LEFT(B343,13)="Council audit","Audit",IF(LEFT(B343,8)="Planning","Consent","Zoned"))</f>
        <v>Zoned</v>
      </c>
      <c r="AQ343" s="57" t="n">
        <f aca="false">IF(N(K343)&gt;0,I343*Y343/K343,0)</f>
        <v>0.489</v>
      </c>
    </row>
    <row r="344" customFormat="false" ht="15" hidden="false" customHeight="false" outlineLevel="0" collapsed="false">
      <c r="A344" s="57" t="s">
        <v>1135</v>
      </c>
      <c r="B344" s="57" t="s">
        <v>219</v>
      </c>
      <c r="C344" s="57" t="s">
        <v>220</v>
      </c>
      <c r="D344" s="57" t="s">
        <v>220</v>
      </c>
      <c r="E344" s="57" t="s">
        <v>1108</v>
      </c>
      <c r="F344" s="57" t="s">
        <v>1109</v>
      </c>
      <c r="G344" s="57"/>
      <c r="H344" s="57"/>
      <c r="I344" s="57" t="n">
        <v>0.558</v>
      </c>
      <c r="J344" s="57" t="n">
        <v>0.613</v>
      </c>
      <c r="K344" s="57" t="n">
        <v>14</v>
      </c>
      <c r="L344" s="57" t="s">
        <v>1110</v>
      </c>
      <c r="M344" s="57" t="s">
        <v>1111</v>
      </c>
      <c r="N344" s="57" t="s">
        <v>1112</v>
      </c>
      <c r="O344" s="57" t="n">
        <v>25</v>
      </c>
      <c r="P344" s="57" t="n">
        <v>0</v>
      </c>
      <c r="Q344" s="57"/>
      <c r="R344" s="57" t="n">
        <v>0</v>
      </c>
      <c r="S344" s="57" t="n">
        <v>0</v>
      </c>
      <c r="T344" s="57" t="n">
        <v>0</v>
      </c>
      <c r="U344" s="57" t="n">
        <v>0</v>
      </c>
      <c r="V344" s="57" t="n">
        <v>0</v>
      </c>
      <c r="W344" s="57" t="n">
        <v>0</v>
      </c>
      <c r="X344" s="57" t="n">
        <v>0</v>
      </c>
      <c r="Y344" s="57" t="n">
        <v>14</v>
      </c>
      <c r="Z344" s="57" t="n">
        <v>14</v>
      </c>
      <c r="AA344" s="57" t="n">
        <v>14</v>
      </c>
      <c r="AB344" s="57" t="n">
        <v>0</v>
      </c>
      <c r="AC344" s="57" t="n">
        <v>0</v>
      </c>
      <c r="AD344" s="57" t="n">
        <v>0</v>
      </c>
      <c r="AE344" s="57" t="n">
        <v>0</v>
      </c>
      <c r="AF344" s="57" t="n">
        <v>0</v>
      </c>
      <c r="AG344" s="57" t="n">
        <v>0</v>
      </c>
      <c r="AH344" s="57" t="s">
        <v>240</v>
      </c>
      <c r="AI344" s="57"/>
      <c r="AJ344" s="57" t="n">
        <v>0</v>
      </c>
      <c r="AK344" s="57" t="s">
        <v>365</v>
      </c>
      <c r="AL344" s="57" t="s">
        <v>365</v>
      </c>
      <c r="AM344" s="57"/>
      <c r="AN344" s="57" t="s">
        <v>365</v>
      </c>
      <c r="AO344" s="57" t="str">
        <f aca="false">IF(C344="County",IF(AL344="Rest of county","Remainder of County","Settlements"),IF(D344="City Centre","City Centre","Rest of City"))</f>
        <v>Remainder of County</v>
      </c>
      <c r="AP344" s="57" t="str">
        <f aca="false">IF(LEFT(B344,13)="Council audit","Audit",IF(LEFT(B344,8)="Planning","Consent","Zoned"))</f>
        <v>Zoned</v>
      </c>
      <c r="AQ344" s="57" t="n">
        <f aca="false">IF(N(K344)&gt;0,I344*Y344/K344,0)</f>
        <v>0.558</v>
      </c>
    </row>
    <row r="345" customFormat="false" ht="15" hidden="false" customHeight="false" outlineLevel="0" collapsed="false">
      <c r="A345" s="57" t="s">
        <v>1136</v>
      </c>
      <c r="B345" s="57" t="s">
        <v>219</v>
      </c>
      <c r="C345" s="57" t="s">
        <v>220</v>
      </c>
      <c r="D345" s="57" t="s">
        <v>220</v>
      </c>
      <c r="E345" s="57" t="s">
        <v>1108</v>
      </c>
      <c r="F345" s="57" t="s">
        <v>1109</v>
      </c>
      <c r="G345" s="57"/>
      <c r="H345" s="57"/>
      <c r="I345" s="57" t="n">
        <v>1.126</v>
      </c>
      <c r="J345" s="57" t="n">
        <v>1.237</v>
      </c>
      <c r="K345" s="57" t="n">
        <v>28</v>
      </c>
      <c r="L345" s="57" t="s">
        <v>1110</v>
      </c>
      <c r="M345" s="57" t="s">
        <v>1111</v>
      </c>
      <c r="N345" s="57" t="s">
        <v>1112</v>
      </c>
      <c r="O345" s="57" t="n">
        <v>25</v>
      </c>
      <c r="P345" s="57" t="n">
        <v>0</v>
      </c>
      <c r="Q345" s="57"/>
      <c r="R345" s="57" t="n">
        <v>0</v>
      </c>
      <c r="S345" s="57" t="n">
        <v>0</v>
      </c>
      <c r="T345" s="57" t="n">
        <v>0</v>
      </c>
      <c r="U345" s="57" t="n">
        <v>0</v>
      </c>
      <c r="V345" s="57" t="n">
        <v>0</v>
      </c>
      <c r="W345" s="57" t="n">
        <v>0</v>
      </c>
      <c r="X345" s="57" t="n">
        <v>0</v>
      </c>
      <c r="Y345" s="57" t="n">
        <v>28</v>
      </c>
      <c r="Z345" s="57" t="n">
        <v>28</v>
      </c>
      <c r="AA345" s="57" t="n">
        <v>28</v>
      </c>
      <c r="AB345" s="57" t="n">
        <v>0</v>
      </c>
      <c r="AC345" s="57" t="n">
        <v>0</v>
      </c>
      <c r="AD345" s="57" t="n">
        <v>0</v>
      </c>
      <c r="AE345" s="57" t="n">
        <v>0</v>
      </c>
      <c r="AF345" s="57" t="n">
        <v>0</v>
      </c>
      <c r="AG345" s="57" t="n">
        <v>0</v>
      </c>
      <c r="AH345" s="57" t="s">
        <v>240</v>
      </c>
      <c r="AI345" s="57"/>
      <c r="AJ345" s="57" t="n">
        <v>0</v>
      </c>
      <c r="AK345" s="57" t="s">
        <v>365</v>
      </c>
      <c r="AL345" s="57" t="s">
        <v>365</v>
      </c>
      <c r="AM345" s="57"/>
      <c r="AN345" s="57" t="s">
        <v>365</v>
      </c>
      <c r="AO345" s="57" t="str">
        <f aca="false">IF(C345="County",IF(AL345="Rest of county","Remainder of County","Settlements"),IF(D345="City Centre","City Centre","Rest of City"))</f>
        <v>Remainder of County</v>
      </c>
      <c r="AP345" s="57" t="str">
        <f aca="false">IF(LEFT(B345,13)="Council audit","Audit",IF(LEFT(B345,8)="Planning","Consent","Zoned"))</f>
        <v>Zoned</v>
      </c>
      <c r="AQ345" s="57" t="n">
        <f aca="false">IF(N(K345)&gt;0,I345*Y345/K345,0)</f>
        <v>1.126</v>
      </c>
    </row>
    <row r="346" customFormat="false" ht="15" hidden="false" customHeight="false" outlineLevel="0" collapsed="false">
      <c r="A346" s="57" t="s">
        <v>1137</v>
      </c>
      <c r="B346" s="57" t="s">
        <v>219</v>
      </c>
      <c r="C346" s="57" t="s">
        <v>220</v>
      </c>
      <c r="D346" s="57" t="s">
        <v>220</v>
      </c>
      <c r="E346" s="57" t="s">
        <v>1114</v>
      </c>
      <c r="F346" s="57" t="s">
        <v>1115</v>
      </c>
      <c r="G346" s="57"/>
      <c r="H346" s="57"/>
      <c r="I346" s="57" t="n">
        <v>0.973</v>
      </c>
      <c r="J346" s="57" t="n">
        <v>1.069</v>
      </c>
      <c r="K346" s="57" t="n">
        <v>18</v>
      </c>
      <c r="L346" s="57" t="s">
        <v>1110</v>
      </c>
      <c r="M346" s="57" t="s">
        <v>1111</v>
      </c>
      <c r="N346" s="57" t="s">
        <v>1116</v>
      </c>
      <c r="O346" s="57" t="n">
        <v>19</v>
      </c>
      <c r="P346" s="57" t="n">
        <v>0</v>
      </c>
      <c r="Q346" s="57"/>
      <c r="R346" s="57" t="n">
        <v>0</v>
      </c>
      <c r="S346" s="57" t="n">
        <v>0</v>
      </c>
      <c r="T346" s="57" t="n">
        <v>0</v>
      </c>
      <c r="U346" s="57" t="n">
        <v>0</v>
      </c>
      <c r="V346" s="57" t="n">
        <v>0</v>
      </c>
      <c r="W346" s="57" t="n">
        <v>0</v>
      </c>
      <c r="X346" s="57" t="n">
        <v>0</v>
      </c>
      <c r="Y346" s="57" t="n">
        <v>18</v>
      </c>
      <c r="Z346" s="57" t="n">
        <v>18</v>
      </c>
      <c r="AA346" s="57" t="n">
        <v>18</v>
      </c>
      <c r="AB346" s="57" t="n">
        <v>0</v>
      </c>
      <c r="AC346" s="57" t="n">
        <v>0</v>
      </c>
      <c r="AD346" s="57" t="n">
        <v>0</v>
      </c>
      <c r="AE346" s="57" t="n">
        <v>0</v>
      </c>
      <c r="AF346" s="57" t="n">
        <v>0</v>
      </c>
      <c r="AG346" s="57" t="n">
        <v>0</v>
      </c>
      <c r="AH346" s="57" t="s">
        <v>240</v>
      </c>
      <c r="AI346" s="57"/>
      <c r="AJ346" s="57" t="n">
        <v>0</v>
      </c>
      <c r="AK346" s="57" t="s">
        <v>365</v>
      </c>
      <c r="AL346" s="57" t="s">
        <v>365</v>
      </c>
      <c r="AM346" s="57"/>
      <c r="AN346" s="57" t="s">
        <v>365</v>
      </c>
      <c r="AO346" s="57" t="str">
        <f aca="false">IF(C346="County",IF(AL346="Rest of county","Remainder of County","Settlements"),IF(D346="City Centre","City Centre","Rest of City"))</f>
        <v>Remainder of County</v>
      </c>
      <c r="AP346" s="57" t="str">
        <f aca="false">IF(LEFT(B346,13)="Council audit","Audit",IF(LEFT(B346,8)="Planning","Consent","Zoned"))</f>
        <v>Zoned</v>
      </c>
      <c r="AQ346" s="57" t="n">
        <f aca="false">IF(N(K346)&gt;0,I346*Y346/K346,0)</f>
        <v>0.973</v>
      </c>
    </row>
    <row r="347" customFormat="false" ht="15" hidden="false" customHeight="false" outlineLevel="0" collapsed="false">
      <c r="A347" s="57" t="s">
        <v>1138</v>
      </c>
      <c r="B347" s="57" t="s">
        <v>219</v>
      </c>
      <c r="C347" s="57" t="s">
        <v>220</v>
      </c>
      <c r="D347" s="57" t="s">
        <v>220</v>
      </c>
      <c r="E347" s="57" t="s">
        <v>1114</v>
      </c>
      <c r="F347" s="57" t="s">
        <v>1115</v>
      </c>
      <c r="G347" s="57"/>
      <c r="H347" s="57"/>
      <c r="I347" s="57" t="n">
        <v>0.669</v>
      </c>
      <c r="J347" s="57" t="n">
        <v>0.736</v>
      </c>
      <c r="K347" s="57" t="n">
        <v>13</v>
      </c>
      <c r="L347" s="57" t="s">
        <v>1110</v>
      </c>
      <c r="M347" s="57" t="s">
        <v>1111</v>
      </c>
      <c r="N347" s="57" t="s">
        <v>1116</v>
      </c>
      <c r="O347" s="57" t="n">
        <v>19</v>
      </c>
      <c r="P347" s="57" t="n">
        <v>1</v>
      </c>
      <c r="Q347" s="57"/>
      <c r="R347" s="57" t="n">
        <v>0</v>
      </c>
      <c r="S347" s="57" t="n">
        <v>0</v>
      </c>
      <c r="T347" s="57" t="n">
        <v>0</v>
      </c>
      <c r="U347" s="57" t="n">
        <v>0</v>
      </c>
      <c r="V347" s="57" t="n">
        <v>0</v>
      </c>
      <c r="W347" s="57" t="n">
        <v>0</v>
      </c>
      <c r="X347" s="57" t="n">
        <v>0</v>
      </c>
      <c r="Y347" s="57" t="n">
        <v>13</v>
      </c>
      <c r="Z347" s="57" t="n">
        <v>13</v>
      </c>
      <c r="AA347" s="57" t="n">
        <v>13</v>
      </c>
      <c r="AB347" s="57" t="n">
        <v>0</v>
      </c>
      <c r="AC347" s="57" t="n">
        <v>0</v>
      </c>
      <c r="AD347" s="57" t="n">
        <v>0</v>
      </c>
      <c r="AE347" s="57" t="n">
        <v>0</v>
      </c>
      <c r="AF347" s="57" t="n">
        <v>0</v>
      </c>
      <c r="AG347" s="57" t="n">
        <v>0</v>
      </c>
      <c r="AH347" s="57" t="s">
        <v>240</v>
      </c>
      <c r="AI347" s="57"/>
      <c r="AJ347" s="57" t="n">
        <v>0</v>
      </c>
      <c r="AK347" s="57" t="s">
        <v>365</v>
      </c>
      <c r="AL347" s="57" t="s">
        <v>365</v>
      </c>
      <c r="AM347" s="57"/>
      <c r="AN347" s="57" t="s">
        <v>365</v>
      </c>
      <c r="AO347" s="57" t="str">
        <f aca="false">IF(C347="County",IF(AL347="Rest of county","Remainder of County","Settlements"),IF(D347="City Centre","City Centre","Rest of City"))</f>
        <v>Remainder of County</v>
      </c>
      <c r="AP347" s="57" t="str">
        <f aca="false">IF(LEFT(B347,13)="Council audit","Audit",IF(LEFT(B347,8)="Planning","Consent","Zoned"))</f>
        <v>Zoned</v>
      </c>
      <c r="AQ347" s="57" t="n">
        <f aca="false">IF(N(K347)&gt;0,I347*Y347/K347,0)</f>
        <v>0.669</v>
      </c>
    </row>
    <row r="348" customFormat="false" ht="15" hidden="false" customHeight="false" outlineLevel="0" collapsed="false">
      <c r="A348" s="57" t="s">
        <v>1139</v>
      </c>
      <c r="B348" s="57" t="s">
        <v>219</v>
      </c>
      <c r="C348" s="57" t="s">
        <v>220</v>
      </c>
      <c r="D348" s="57" t="s">
        <v>220</v>
      </c>
      <c r="E348" s="57" t="s">
        <v>1108</v>
      </c>
      <c r="F348" s="57" t="s">
        <v>1109</v>
      </c>
      <c r="G348" s="57"/>
      <c r="H348" s="57"/>
      <c r="I348" s="57" t="n">
        <v>3.183</v>
      </c>
      <c r="J348" s="57" t="n">
        <v>3.497</v>
      </c>
      <c r="K348" s="57" t="n">
        <v>80</v>
      </c>
      <c r="L348" s="57" t="s">
        <v>1110</v>
      </c>
      <c r="M348" s="57" t="s">
        <v>1111</v>
      </c>
      <c r="N348" s="57" t="s">
        <v>1112</v>
      </c>
      <c r="O348" s="57" t="n">
        <v>25</v>
      </c>
      <c r="P348" s="57" t="n">
        <v>0</v>
      </c>
      <c r="Q348" s="57"/>
      <c r="R348" s="57" t="n">
        <v>0</v>
      </c>
      <c r="S348" s="57" t="n">
        <v>0</v>
      </c>
      <c r="T348" s="57" t="n">
        <v>0</v>
      </c>
      <c r="U348" s="57" t="n">
        <v>0</v>
      </c>
      <c r="V348" s="57" t="n">
        <v>0</v>
      </c>
      <c r="W348" s="57" t="n">
        <v>0</v>
      </c>
      <c r="X348" s="57" t="n">
        <v>0</v>
      </c>
      <c r="Y348" s="57" t="n">
        <v>80</v>
      </c>
      <c r="Z348" s="57" t="n">
        <v>80</v>
      </c>
      <c r="AA348" s="57" t="n">
        <v>80</v>
      </c>
      <c r="AB348" s="57" t="n">
        <v>0</v>
      </c>
      <c r="AC348" s="57" t="n">
        <v>0</v>
      </c>
      <c r="AD348" s="57" t="n">
        <v>0</v>
      </c>
      <c r="AE348" s="57" t="n">
        <v>0</v>
      </c>
      <c r="AF348" s="57" t="n">
        <v>0</v>
      </c>
      <c r="AG348" s="57" t="n">
        <v>0</v>
      </c>
      <c r="AH348" s="57" t="s">
        <v>240</v>
      </c>
      <c r="AI348" s="57"/>
      <c r="AJ348" s="57" t="n">
        <v>0</v>
      </c>
      <c r="AK348" s="57" t="s">
        <v>365</v>
      </c>
      <c r="AL348" s="57" t="s">
        <v>365</v>
      </c>
      <c r="AM348" s="57"/>
      <c r="AN348" s="57" t="s">
        <v>365</v>
      </c>
      <c r="AO348" s="57" t="str">
        <f aca="false">IF(C348="County",IF(AL348="Rest of county","Remainder of County","Settlements"),IF(D348="City Centre","City Centre","Rest of City"))</f>
        <v>Remainder of County</v>
      </c>
      <c r="AP348" s="57" t="str">
        <f aca="false">IF(LEFT(B348,13)="Council audit","Audit",IF(LEFT(B348,8)="Planning","Consent","Zoned"))</f>
        <v>Zoned</v>
      </c>
      <c r="AQ348" s="57" t="n">
        <f aca="false">IF(N(K348)&gt;0,I348*Y348/K348,0)</f>
        <v>3.183</v>
      </c>
    </row>
    <row r="349" customFormat="false" ht="15" hidden="false" customHeight="false" outlineLevel="0" collapsed="false">
      <c r="A349" s="57" t="s">
        <v>1140</v>
      </c>
      <c r="B349" s="57" t="s">
        <v>219</v>
      </c>
      <c r="C349" s="57" t="s">
        <v>220</v>
      </c>
      <c r="D349" s="57" t="s">
        <v>220</v>
      </c>
      <c r="E349" s="57" t="s">
        <v>1108</v>
      </c>
      <c r="F349" s="57" t="s">
        <v>1109</v>
      </c>
      <c r="G349" s="57"/>
      <c r="H349" s="57"/>
      <c r="I349" s="57" t="n">
        <v>0.498</v>
      </c>
      <c r="J349" s="57" t="n">
        <v>0.547</v>
      </c>
      <c r="K349" s="57" t="n">
        <v>12</v>
      </c>
      <c r="L349" s="57" t="s">
        <v>1110</v>
      </c>
      <c r="M349" s="57" t="s">
        <v>1111</v>
      </c>
      <c r="N349" s="57" t="s">
        <v>1112</v>
      </c>
      <c r="O349" s="57" t="n">
        <v>25</v>
      </c>
      <c r="P349" s="57" t="n">
        <v>0</v>
      </c>
      <c r="Q349" s="57"/>
      <c r="R349" s="57" t="n">
        <v>0</v>
      </c>
      <c r="S349" s="57" t="n">
        <v>0</v>
      </c>
      <c r="T349" s="57" t="n">
        <v>0</v>
      </c>
      <c r="U349" s="57" t="n">
        <v>0</v>
      </c>
      <c r="V349" s="57" t="n">
        <v>0</v>
      </c>
      <c r="W349" s="57" t="n">
        <v>0</v>
      </c>
      <c r="X349" s="57" t="n">
        <v>0</v>
      </c>
      <c r="Y349" s="57" t="n">
        <v>12</v>
      </c>
      <c r="Z349" s="57" t="n">
        <v>12</v>
      </c>
      <c r="AA349" s="57" t="n">
        <v>12</v>
      </c>
      <c r="AB349" s="57" t="n">
        <v>0</v>
      </c>
      <c r="AC349" s="57" t="n">
        <v>0</v>
      </c>
      <c r="AD349" s="57" t="n">
        <v>0</v>
      </c>
      <c r="AE349" s="57" t="n">
        <v>0</v>
      </c>
      <c r="AF349" s="57" t="n">
        <v>0</v>
      </c>
      <c r="AG349" s="57" t="n">
        <v>0</v>
      </c>
      <c r="AH349" s="57" t="s">
        <v>240</v>
      </c>
      <c r="AI349" s="57"/>
      <c r="AJ349" s="57" t="n">
        <v>0</v>
      </c>
      <c r="AK349" s="57" t="s">
        <v>365</v>
      </c>
      <c r="AL349" s="57" t="s">
        <v>365</v>
      </c>
      <c r="AM349" s="57"/>
      <c r="AN349" s="57" t="s">
        <v>365</v>
      </c>
      <c r="AO349" s="57" t="str">
        <f aca="false">IF(C349="County",IF(AL349="Rest of county","Remainder of County","Settlements"),IF(D349="City Centre","City Centre","Rest of City"))</f>
        <v>Remainder of County</v>
      </c>
      <c r="AP349" s="57" t="str">
        <f aca="false">IF(LEFT(B349,13)="Council audit","Audit",IF(LEFT(B349,8)="Planning","Consent","Zoned"))</f>
        <v>Zoned</v>
      </c>
      <c r="AQ349" s="57" t="n">
        <f aca="false">IF(N(K349)&gt;0,I349*Y349/K349,0)</f>
        <v>0.498</v>
      </c>
    </row>
    <row r="350" customFormat="false" ht="15" hidden="false" customHeight="false" outlineLevel="0" collapsed="false">
      <c r="A350" s="57" t="s">
        <v>1141</v>
      </c>
      <c r="B350" s="57" t="s">
        <v>219</v>
      </c>
      <c r="C350" s="57" t="s">
        <v>220</v>
      </c>
      <c r="D350" s="57" t="s">
        <v>220</v>
      </c>
      <c r="E350" s="57" t="s">
        <v>1114</v>
      </c>
      <c r="F350" s="57" t="s">
        <v>1115</v>
      </c>
      <c r="G350" s="57"/>
      <c r="H350" s="57"/>
      <c r="I350" s="57" t="n">
        <v>2.641</v>
      </c>
      <c r="J350" s="57" t="n">
        <v>2.903</v>
      </c>
      <c r="K350" s="57" t="n">
        <v>50</v>
      </c>
      <c r="L350" s="57" t="s">
        <v>1110</v>
      </c>
      <c r="M350" s="57" t="s">
        <v>1111</v>
      </c>
      <c r="N350" s="57" t="s">
        <v>1116</v>
      </c>
      <c r="O350" s="57" t="n">
        <v>19</v>
      </c>
      <c r="P350" s="57" t="n">
        <v>0.98</v>
      </c>
      <c r="Q350" s="57"/>
      <c r="R350" s="57" t="n">
        <v>0</v>
      </c>
      <c r="S350" s="57" t="n">
        <v>0</v>
      </c>
      <c r="T350" s="57" t="n">
        <v>0</v>
      </c>
      <c r="U350" s="57" t="n">
        <v>0</v>
      </c>
      <c r="V350" s="57" t="n">
        <v>0</v>
      </c>
      <c r="W350" s="57" t="n">
        <v>0</v>
      </c>
      <c r="X350" s="57" t="n">
        <v>0</v>
      </c>
      <c r="Y350" s="57" t="n">
        <v>50</v>
      </c>
      <c r="Z350" s="57" t="n">
        <v>50</v>
      </c>
      <c r="AA350" s="57" t="n">
        <v>50</v>
      </c>
      <c r="AB350" s="57" t="n">
        <v>0</v>
      </c>
      <c r="AC350" s="57" t="n">
        <v>0</v>
      </c>
      <c r="AD350" s="57" t="n">
        <v>0</v>
      </c>
      <c r="AE350" s="57" t="n">
        <v>0</v>
      </c>
      <c r="AF350" s="57" t="n">
        <v>0</v>
      </c>
      <c r="AG350" s="57" t="n">
        <v>0</v>
      </c>
      <c r="AH350" s="57" t="s">
        <v>240</v>
      </c>
      <c r="AI350" s="57"/>
      <c r="AJ350" s="57" t="n">
        <v>0</v>
      </c>
      <c r="AK350" s="57" t="s">
        <v>365</v>
      </c>
      <c r="AL350" s="57" t="s">
        <v>365</v>
      </c>
      <c r="AM350" s="57"/>
      <c r="AN350" s="57" t="s">
        <v>365</v>
      </c>
      <c r="AO350" s="57" t="str">
        <f aca="false">IF(C350="County",IF(AL350="Rest of county","Remainder of County","Settlements"),IF(D350="City Centre","City Centre","Rest of City"))</f>
        <v>Remainder of County</v>
      </c>
      <c r="AP350" s="57" t="str">
        <f aca="false">IF(LEFT(B350,13)="Council audit","Audit",IF(LEFT(B350,8)="Planning","Consent","Zoned"))</f>
        <v>Zoned</v>
      </c>
      <c r="AQ350" s="57" t="n">
        <f aca="false">IF(N(K350)&gt;0,I350*Y350/K350,0)</f>
        <v>2.641</v>
      </c>
    </row>
    <row r="351" customFormat="false" ht="15" hidden="false" customHeight="false" outlineLevel="0" collapsed="false">
      <c r="A351" s="57" t="s">
        <v>1142</v>
      </c>
      <c r="B351" s="57" t="s">
        <v>219</v>
      </c>
      <c r="C351" s="57" t="s">
        <v>220</v>
      </c>
      <c r="D351" s="57" t="s">
        <v>220</v>
      </c>
      <c r="E351" s="57" t="s">
        <v>1108</v>
      </c>
      <c r="F351" s="57" t="s">
        <v>1109</v>
      </c>
      <c r="G351" s="57"/>
      <c r="H351" s="57"/>
      <c r="I351" s="57" t="n">
        <v>0.701</v>
      </c>
      <c r="J351" s="57" t="n">
        <v>0.77</v>
      </c>
      <c r="K351" s="57" t="n">
        <v>18</v>
      </c>
      <c r="L351" s="57" t="s">
        <v>1110</v>
      </c>
      <c r="M351" s="57" t="s">
        <v>1111</v>
      </c>
      <c r="N351" s="57" t="s">
        <v>1112</v>
      </c>
      <c r="O351" s="57" t="n">
        <v>25</v>
      </c>
      <c r="P351" s="57" t="n">
        <v>0</v>
      </c>
      <c r="Q351" s="57"/>
      <c r="R351" s="57" t="n">
        <v>0</v>
      </c>
      <c r="S351" s="57" t="n">
        <v>0</v>
      </c>
      <c r="T351" s="57" t="n">
        <v>0</v>
      </c>
      <c r="U351" s="57" t="n">
        <v>0</v>
      </c>
      <c r="V351" s="57" t="n">
        <v>0</v>
      </c>
      <c r="W351" s="57" t="n">
        <v>0</v>
      </c>
      <c r="X351" s="57" t="n">
        <v>0</v>
      </c>
      <c r="Y351" s="57" t="n">
        <v>18</v>
      </c>
      <c r="Z351" s="57" t="n">
        <v>18</v>
      </c>
      <c r="AA351" s="57" t="n">
        <v>18</v>
      </c>
      <c r="AB351" s="57" t="n">
        <v>0</v>
      </c>
      <c r="AC351" s="57" t="n">
        <v>0</v>
      </c>
      <c r="AD351" s="57" t="n">
        <v>0</v>
      </c>
      <c r="AE351" s="57" t="n">
        <v>0</v>
      </c>
      <c r="AF351" s="57" t="n">
        <v>0</v>
      </c>
      <c r="AG351" s="57" t="n">
        <v>0</v>
      </c>
      <c r="AH351" s="57" t="s">
        <v>240</v>
      </c>
      <c r="AI351" s="57"/>
      <c r="AJ351" s="57" t="n">
        <v>0</v>
      </c>
      <c r="AK351" s="57" t="s">
        <v>365</v>
      </c>
      <c r="AL351" s="57" t="s">
        <v>365</v>
      </c>
      <c r="AM351" s="57"/>
      <c r="AN351" s="57" t="s">
        <v>365</v>
      </c>
      <c r="AO351" s="57" t="str">
        <f aca="false">IF(C351="County",IF(AL351="Rest of county","Remainder of County","Settlements"),IF(D351="City Centre","City Centre","Rest of City"))</f>
        <v>Remainder of County</v>
      </c>
      <c r="AP351" s="57" t="str">
        <f aca="false">IF(LEFT(B351,13)="Council audit","Audit",IF(LEFT(B351,8)="Planning","Consent","Zoned"))</f>
        <v>Zoned</v>
      </c>
      <c r="AQ351" s="57" t="n">
        <f aca="false">IF(N(K351)&gt;0,I351*Y351/K351,0)</f>
        <v>0.701</v>
      </c>
    </row>
    <row r="352" customFormat="false" ht="15" hidden="false" customHeight="false" outlineLevel="0" collapsed="false">
      <c r="A352" s="57" t="s">
        <v>1143</v>
      </c>
      <c r="B352" s="57" t="s">
        <v>219</v>
      </c>
      <c r="C352" s="57" t="s">
        <v>220</v>
      </c>
      <c r="D352" s="57" t="s">
        <v>220</v>
      </c>
      <c r="E352" s="57" t="s">
        <v>1108</v>
      </c>
      <c r="F352" s="57" t="s">
        <v>1109</v>
      </c>
      <c r="G352" s="57"/>
      <c r="H352" s="57"/>
      <c r="I352" s="57" t="n">
        <v>0.603</v>
      </c>
      <c r="J352" s="57" t="n">
        <v>0.662</v>
      </c>
      <c r="K352" s="57" t="n">
        <v>15</v>
      </c>
      <c r="L352" s="57" t="s">
        <v>1110</v>
      </c>
      <c r="M352" s="57" t="s">
        <v>1111</v>
      </c>
      <c r="N352" s="57" t="s">
        <v>1112</v>
      </c>
      <c r="O352" s="57" t="n">
        <v>25</v>
      </c>
      <c r="P352" s="57" t="n">
        <v>0</v>
      </c>
      <c r="Q352" s="57"/>
      <c r="R352" s="57" t="n">
        <v>0</v>
      </c>
      <c r="S352" s="57" t="n">
        <v>0</v>
      </c>
      <c r="T352" s="57" t="n">
        <v>0</v>
      </c>
      <c r="U352" s="57" t="n">
        <v>0</v>
      </c>
      <c r="V352" s="57" t="n">
        <v>0</v>
      </c>
      <c r="W352" s="57" t="n">
        <v>0</v>
      </c>
      <c r="X352" s="57" t="n">
        <v>0</v>
      </c>
      <c r="Y352" s="57" t="n">
        <v>15</v>
      </c>
      <c r="Z352" s="57" t="n">
        <v>15</v>
      </c>
      <c r="AA352" s="57" t="n">
        <v>15</v>
      </c>
      <c r="AB352" s="57" t="n">
        <v>0</v>
      </c>
      <c r="AC352" s="57" t="n">
        <v>0</v>
      </c>
      <c r="AD352" s="57" t="n">
        <v>0</v>
      </c>
      <c r="AE352" s="57" t="n">
        <v>0</v>
      </c>
      <c r="AF352" s="57" t="n">
        <v>0</v>
      </c>
      <c r="AG352" s="57" t="n">
        <v>0</v>
      </c>
      <c r="AH352" s="57" t="s">
        <v>240</v>
      </c>
      <c r="AI352" s="57"/>
      <c r="AJ352" s="57" t="n">
        <v>0</v>
      </c>
      <c r="AK352" s="57" t="s">
        <v>361</v>
      </c>
      <c r="AL352" s="57" t="s">
        <v>356</v>
      </c>
      <c r="AM352" s="57" t="n">
        <v>0.38</v>
      </c>
      <c r="AN352" s="57" t="s">
        <v>575</v>
      </c>
      <c r="AO352" s="57" t="str">
        <f aca="false">IF(C352="County",IF(AL352="Rest of county","Remainder of County","Settlements"),IF(D352="City Centre","City Centre","Rest of City"))</f>
        <v>Settlements</v>
      </c>
      <c r="AP352" s="57" t="str">
        <f aca="false">IF(LEFT(B352,13)="Council audit","Audit",IF(LEFT(B352,8)="Planning","Consent","Zoned"))</f>
        <v>Zoned</v>
      </c>
      <c r="AQ352" s="57" t="n">
        <f aca="false">IF(N(K352)&gt;0,I352*Y352/K352,0)</f>
        <v>0.603</v>
      </c>
    </row>
    <row r="353" customFormat="false" ht="15" hidden="false" customHeight="false" outlineLevel="0" collapsed="false">
      <c r="A353" s="57" t="s">
        <v>1144</v>
      </c>
      <c r="B353" s="57" t="s">
        <v>219</v>
      </c>
      <c r="C353" s="57" t="s">
        <v>220</v>
      </c>
      <c r="D353" s="57" t="s">
        <v>220</v>
      </c>
      <c r="E353" s="57" t="s">
        <v>1108</v>
      </c>
      <c r="F353" s="57" t="s">
        <v>1109</v>
      </c>
      <c r="G353" s="57"/>
      <c r="H353" s="57"/>
      <c r="I353" s="57" t="n">
        <v>1.593</v>
      </c>
      <c r="J353" s="57" t="n">
        <v>1.75</v>
      </c>
      <c r="K353" s="57" t="n">
        <v>40</v>
      </c>
      <c r="L353" s="57" t="s">
        <v>1110</v>
      </c>
      <c r="M353" s="57" t="s">
        <v>1111</v>
      </c>
      <c r="N353" s="57" t="s">
        <v>1112</v>
      </c>
      <c r="O353" s="57" t="n">
        <v>25</v>
      </c>
      <c r="P353" s="57" t="n">
        <v>0.67</v>
      </c>
      <c r="Q353" s="57"/>
      <c r="R353" s="57" t="n">
        <v>0</v>
      </c>
      <c r="S353" s="57" t="n">
        <v>0</v>
      </c>
      <c r="T353" s="57" t="n">
        <v>0</v>
      </c>
      <c r="U353" s="57" t="n">
        <v>0</v>
      </c>
      <c r="V353" s="57" t="n">
        <v>0</v>
      </c>
      <c r="W353" s="57" t="n">
        <v>0</v>
      </c>
      <c r="X353" s="57" t="n">
        <v>0</v>
      </c>
      <c r="Y353" s="57" t="n">
        <v>40</v>
      </c>
      <c r="Z353" s="57" t="n">
        <v>40</v>
      </c>
      <c r="AA353" s="57" t="n">
        <v>40</v>
      </c>
      <c r="AB353" s="57" t="n">
        <v>0</v>
      </c>
      <c r="AC353" s="57" t="n">
        <v>0</v>
      </c>
      <c r="AD353" s="57" t="n">
        <v>0</v>
      </c>
      <c r="AE353" s="57" t="n">
        <v>0</v>
      </c>
      <c r="AF353" s="57" t="n">
        <v>0</v>
      </c>
      <c r="AG353" s="57" t="n">
        <v>0</v>
      </c>
      <c r="AH353" s="57" t="s">
        <v>240</v>
      </c>
      <c r="AI353" s="57"/>
      <c r="AJ353" s="57" t="n">
        <v>0</v>
      </c>
      <c r="AK353" s="57" t="s">
        <v>365</v>
      </c>
      <c r="AL353" s="57" t="s">
        <v>365</v>
      </c>
      <c r="AM353" s="57"/>
      <c r="AN353" s="57" t="s">
        <v>365</v>
      </c>
      <c r="AO353" s="57" t="str">
        <f aca="false">IF(C353="County",IF(AL353="Rest of county","Remainder of County","Settlements"),IF(D353="City Centre","City Centre","Rest of City"))</f>
        <v>Remainder of County</v>
      </c>
      <c r="AP353" s="57" t="str">
        <f aca="false">IF(LEFT(B353,13)="Council audit","Audit",IF(LEFT(B353,8)="Planning","Consent","Zoned"))</f>
        <v>Zoned</v>
      </c>
      <c r="AQ353" s="57" t="n">
        <f aca="false">IF(N(K353)&gt;0,I353*Y353/K353,0)</f>
        <v>1.593</v>
      </c>
    </row>
    <row r="354" customFormat="false" ht="15" hidden="false" customHeight="false" outlineLevel="0" collapsed="false">
      <c r="A354" s="57" t="s">
        <v>1145</v>
      </c>
      <c r="B354" s="57" t="s">
        <v>219</v>
      </c>
      <c r="C354" s="57" t="s">
        <v>220</v>
      </c>
      <c r="D354" s="57" t="s">
        <v>220</v>
      </c>
      <c r="E354" s="57" t="s">
        <v>1108</v>
      </c>
      <c r="F354" s="57" t="s">
        <v>1109</v>
      </c>
      <c r="G354" s="57"/>
      <c r="H354" s="57"/>
      <c r="I354" s="57" t="n">
        <v>0.598</v>
      </c>
      <c r="J354" s="57" t="n">
        <v>0.658</v>
      </c>
      <c r="K354" s="57" t="n">
        <v>15</v>
      </c>
      <c r="L354" s="57" t="s">
        <v>1110</v>
      </c>
      <c r="M354" s="57" t="s">
        <v>1111</v>
      </c>
      <c r="N354" s="57" t="s">
        <v>1112</v>
      </c>
      <c r="O354" s="57" t="n">
        <v>25</v>
      </c>
      <c r="P354" s="57" t="n">
        <v>1</v>
      </c>
      <c r="Q354" s="57"/>
      <c r="R354" s="57" t="n">
        <v>0</v>
      </c>
      <c r="S354" s="57" t="n">
        <v>0</v>
      </c>
      <c r="T354" s="57" t="n">
        <v>0</v>
      </c>
      <c r="U354" s="57" t="n">
        <v>0</v>
      </c>
      <c r="V354" s="57" t="n">
        <v>0</v>
      </c>
      <c r="W354" s="57" t="n">
        <v>0</v>
      </c>
      <c r="X354" s="57" t="n">
        <v>0</v>
      </c>
      <c r="Y354" s="57" t="n">
        <v>15</v>
      </c>
      <c r="Z354" s="57" t="n">
        <v>15</v>
      </c>
      <c r="AA354" s="57" t="n">
        <v>15</v>
      </c>
      <c r="AB354" s="57" t="n">
        <v>0</v>
      </c>
      <c r="AC354" s="57" t="n">
        <v>0</v>
      </c>
      <c r="AD354" s="57" t="n">
        <v>0</v>
      </c>
      <c r="AE354" s="57" t="n">
        <v>0</v>
      </c>
      <c r="AF354" s="57" t="n">
        <v>0</v>
      </c>
      <c r="AG354" s="57" t="n">
        <v>0</v>
      </c>
      <c r="AH354" s="57" t="s">
        <v>240</v>
      </c>
      <c r="AI354" s="57"/>
      <c r="AJ354" s="57" t="n">
        <v>0</v>
      </c>
      <c r="AK354" s="57" t="s">
        <v>358</v>
      </c>
      <c r="AL354" s="57" t="s">
        <v>356</v>
      </c>
      <c r="AM354" s="57" t="n">
        <v>0.99</v>
      </c>
      <c r="AN354" s="57" t="s">
        <v>575</v>
      </c>
      <c r="AO354" s="57" t="str">
        <f aca="false">IF(C354="County",IF(AL354="Rest of county","Remainder of County","Settlements"),IF(D354="City Centre","City Centre","Rest of City"))</f>
        <v>Settlements</v>
      </c>
      <c r="AP354" s="57" t="str">
        <f aca="false">IF(LEFT(B354,13)="Council audit","Audit",IF(LEFT(B354,8)="Planning","Consent","Zoned"))</f>
        <v>Zoned</v>
      </c>
      <c r="AQ354" s="57" t="n">
        <f aca="false">IF(N(K354)&gt;0,I354*Y354/K354,0)</f>
        <v>0.598</v>
      </c>
    </row>
    <row r="355" customFormat="false" ht="15" hidden="false" customHeight="false" outlineLevel="0" collapsed="false">
      <c r="A355" s="57" t="s">
        <v>1146</v>
      </c>
      <c r="B355" s="57" t="s">
        <v>219</v>
      </c>
      <c r="C355" s="57" t="s">
        <v>220</v>
      </c>
      <c r="D355" s="57" t="s">
        <v>220</v>
      </c>
      <c r="E355" s="57" t="s">
        <v>1114</v>
      </c>
      <c r="F355" s="57" t="s">
        <v>1115</v>
      </c>
      <c r="G355" s="57"/>
      <c r="H355" s="57"/>
      <c r="I355" s="57" t="n">
        <v>0.927</v>
      </c>
      <c r="J355" s="57" t="n">
        <v>1.019</v>
      </c>
      <c r="K355" s="57" t="n">
        <v>18</v>
      </c>
      <c r="L355" s="57" t="s">
        <v>1110</v>
      </c>
      <c r="M355" s="57" t="s">
        <v>1111</v>
      </c>
      <c r="N355" s="57" t="s">
        <v>1116</v>
      </c>
      <c r="O355" s="57" t="n">
        <v>19</v>
      </c>
      <c r="P355" s="57" t="n">
        <v>0</v>
      </c>
      <c r="Q355" s="57"/>
      <c r="R355" s="57" t="n">
        <v>0</v>
      </c>
      <c r="S355" s="57" t="n">
        <v>0</v>
      </c>
      <c r="T355" s="57" t="n">
        <v>0</v>
      </c>
      <c r="U355" s="57" t="n">
        <v>0</v>
      </c>
      <c r="V355" s="57" t="n">
        <v>0</v>
      </c>
      <c r="W355" s="57" t="n">
        <v>0</v>
      </c>
      <c r="X355" s="57" t="n">
        <v>0</v>
      </c>
      <c r="Y355" s="57" t="n">
        <v>18</v>
      </c>
      <c r="Z355" s="57" t="n">
        <v>18</v>
      </c>
      <c r="AA355" s="57" t="n">
        <v>18</v>
      </c>
      <c r="AB355" s="57" t="n">
        <v>0</v>
      </c>
      <c r="AC355" s="57" t="n">
        <v>0</v>
      </c>
      <c r="AD355" s="57" t="n">
        <v>0</v>
      </c>
      <c r="AE355" s="57" t="n">
        <v>0</v>
      </c>
      <c r="AF355" s="57" t="n">
        <v>0</v>
      </c>
      <c r="AG355" s="57" t="n">
        <v>0</v>
      </c>
      <c r="AH355" s="57" t="s">
        <v>240</v>
      </c>
      <c r="AI355" s="57"/>
      <c r="AJ355" s="57" t="n">
        <v>0</v>
      </c>
      <c r="AK355" s="57" t="s">
        <v>361</v>
      </c>
      <c r="AL355" s="57" t="s">
        <v>356</v>
      </c>
      <c r="AM355" s="57" t="n">
        <v>1</v>
      </c>
      <c r="AN355" s="57" t="s">
        <v>575</v>
      </c>
      <c r="AO355" s="57" t="str">
        <f aca="false">IF(C355="County",IF(AL355="Rest of county","Remainder of County","Settlements"),IF(D355="City Centre","City Centre","Rest of City"))</f>
        <v>Settlements</v>
      </c>
      <c r="AP355" s="57" t="str">
        <f aca="false">IF(LEFT(B355,13)="Council audit","Audit",IF(LEFT(B355,8)="Planning","Consent","Zoned"))</f>
        <v>Zoned</v>
      </c>
      <c r="AQ355" s="57" t="n">
        <f aca="false">IF(N(K355)&gt;0,I355*Y355/K355,0)</f>
        <v>0.927</v>
      </c>
    </row>
    <row r="356" customFormat="false" ht="15" hidden="false" customHeight="false" outlineLevel="0" collapsed="false">
      <c r="A356" s="57" t="s">
        <v>1147</v>
      </c>
      <c r="B356" s="57" t="s">
        <v>219</v>
      </c>
      <c r="C356" s="57" t="s">
        <v>220</v>
      </c>
      <c r="D356" s="57" t="s">
        <v>220</v>
      </c>
      <c r="E356" s="57" t="s">
        <v>1114</v>
      </c>
      <c r="F356" s="57" t="s">
        <v>1115</v>
      </c>
      <c r="G356" s="57"/>
      <c r="H356" s="57"/>
      <c r="I356" s="57" t="n">
        <v>0.867</v>
      </c>
      <c r="J356" s="57" t="n">
        <v>0.953</v>
      </c>
      <c r="K356" s="57" t="n">
        <v>16</v>
      </c>
      <c r="L356" s="57" t="s">
        <v>1110</v>
      </c>
      <c r="M356" s="57" t="s">
        <v>1111</v>
      </c>
      <c r="N356" s="57" t="s">
        <v>1116</v>
      </c>
      <c r="O356" s="57" t="n">
        <v>19</v>
      </c>
      <c r="P356" s="57" t="n">
        <v>0</v>
      </c>
      <c r="Q356" s="57"/>
      <c r="R356" s="57" t="n">
        <v>0</v>
      </c>
      <c r="S356" s="57" t="n">
        <v>0</v>
      </c>
      <c r="T356" s="57" t="n">
        <v>0</v>
      </c>
      <c r="U356" s="57" t="n">
        <v>0</v>
      </c>
      <c r="V356" s="57" t="n">
        <v>0</v>
      </c>
      <c r="W356" s="57" t="n">
        <v>0</v>
      </c>
      <c r="X356" s="57" t="n">
        <v>0</v>
      </c>
      <c r="Y356" s="57" t="n">
        <v>16</v>
      </c>
      <c r="Z356" s="57" t="n">
        <v>16</v>
      </c>
      <c r="AA356" s="57" t="n">
        <v>16</v>
      </c>
      <c r="AB356" s="57" t="n">
        <v>0</v>
      </c>
      <c r="AC356" s="57" t="n">
        <v>0</v>
      </c>
      <c r="AD356" s="57" t="n">
        <v>0</v>
      </c>
      <c r="AE356" s="57" t="n">
        <v>0</v>
      </c>
      <c r="AF356" s="57" t="n">
        <v>0</v>
      </c>
      <c r="AG356" s="57" t="n">
        <v>0</v>
      </c>
      <c r="AH356" s="57" t="s">
        <v>240</v>
      </c>
      <c r="AI356" s="57"/>
      <c r="AJ356" s="57" t="n">
        <v>0</v>
      </c>
      <c r="AK356" s="57" t="s">
        <v>365</v>
      </c>
      <c r="AL356" s="57" t="s">
        <v>365</v>
      </c>
      <c r="AM356" s="57"/>
      <c r="AN356" s="57" t="s">
        <v>365</v>
      </c>
      <c r="AO356" s="57" t="str">
        <f aca="false">IF(C356="County",IF(AL356="Rest of county","Remainder of County","Settlements"),IF(D356="City Centre","City Centre","Rest of City"))</f>
        <v>Remainder of County</v>
      </c>
      <c r="AP356" s="57" t="str">
        <f aca="false">IF(LEFT(B356,13)="Council audit","Audit",IF(LEFT(B356,8)="Planning","Consent","Zoned"))</f>
        <v>Zoned</v>
      </c>
      <c r="AQ356" s="57" t="n">
        <f aca="false">IF(N(K356)&gt;0,I356*Y356/K356,0)</f>
        <v>0.867</v>
      </c>
    </row>
    <row r="357" customFormat="false" ht="15" hidden="false" customHeight="false" outlineLevel="0" collapsed="false">
      <c r="A357" s="57" t="s">
        <v>1148</v>
      </c>
      <c r="B357" s="57" t="s">
        <v>219</v>
      </c>
      <c r="C357" s="57" t="s">
        <v>220</v>
      </c>
      <c r="D357" s="57" t="s">
        <v>220</v>
      </c>
      <c r="E357" s="57" t="s">
        <v>1114</v>
      </c>
      <c r="F357" s="57" t="s">
        <v>1115</v>
      </c>
      <c r="G357" s="57"/>
      <c r="H357" s="57"/>
      <c r="I357" s="57" t="n">
        <v>0.962</v>
      </c>
      <c r="J357" s="57" t="n">
        <v>1.057</v>
      </c>
      <c r="K357" s="57" t="n">
        <v>18</v>
      </c>
      <c r="L357" s="57" t="s">
        <v>1110</v>
      </c>
      <c r="M357" s="57" t="s">
        <v>1111</v>
      </c>
      <c r="N357" s="57" t="s">
        <v>1116</v>
      </c>
      <c r="O357" s="57" t="n">
        <v>19</v>
      </c>
      <c r="P357" s="57" t="n">
        <v>0</v>
      </c>
      <c r="Q357" s="57"/>
      <c r="R357" s="57" t="n">
        <v>0</v>
      </c>
      <c r="S357" s="57" t="n">
        <v>0</v>
      </c>
      <c r="T357" s="57" t="n">
        <v>0</v>
      </c>
      <c r="U357" s="57" t="n">
        <v>0</v>
      </c>
      <c r="V357" s="57" t="n">
        <v>0</v>
      </c>
      <c r="W357" s="57" t="n">
        <v>0</v>
      </c>
      <c r="X357" s="57" t="n">
        <v>0</v>
      </c>
      <c r="Y357" s="57" t="n">
        <v>18</v>
      </c>
      <c r="Z357" s="57" t="n">
        <v>18</v>
      </c>
      <c r="AA357" s="57" t="n">
        <v>18</v>
      </c>
      <c r="AB357" s="57" t="n">
        <v>0</v>
      </c>
      <c r="AC357" s="57" t="n">
        <v>0</v>
      </c>
      <c r="AD357" s="57" t="n">
        <v>0</v>
      </c>
      <c r="AE357" s="57" t="n">
        <v>0</v>
      </c>
      <c r="AF357" s="57" t="n">
        <v>0</v>
      </c>
      <c r="AG357" s="57" t="n">
        <v>0</v>
      </c>
      <c r="AH357" s="57" t="s">
        <v>240</v>
      </c>
      <c r="AI357" s="57"/>
      <c r="AJ357" s="57" t="n">
        <v>0</v>
      </c>
      <c r="AK357" s="57" t="s">
        <v>365</v>
      </c>
      <c r="AL357" s="57" t="s">
        <v>365</v>
      </c>
      <c r="AM357" s="57"/>
      <c r="AN357" s="57" t="s">
        <v>365</v>
      </c>
      <c r="AO357" s="57" t="str">
        <f aca="false">IF(C357="County",IF(AL357="Rest of county","Remainder of County","Settlements"),IF(D357="City Centre","City Centre","Rest of City"))</f>
        <v>Remainder of County</v>
      </c>
      <c r="AP357" s="57" t="str">
        <f aca="false">IF(LEFT(B357,13)="Council audit","Audit",IF(LEFT(B357,8)="Planning","Consent","Zoned"))</f>
        <v>Zoned</v>
      </c>
      <c r="AQ357" s="57" t="n">
        <f aca="false">IF(N(K357)&gt;0,I357*Y357/K357,0)</f>
        <v>0.962</v>
      </c>
    </row>
    <row r="358" customFormat="false" ht="15" hidden="false" customHeight="false" outlineLevel="0" collapsed="false">
      <c r="A358" s="57" t="s">
        <v>1149</v>
      </c>
      <c r="B358" s="57" t="s">
        <v>219</v>
      </c>
      <c r="C358" s="57" t="s">
        <v>220</v>
      </c>
      <c r="D358" s="57" t="s">
        <v>220</v>
      </c>
      <c r="E358" s="57" t="s">
        <v>1108</v>
      </c>
      <c r="F358" s="57" t="s">
        <v>1109</v>
      </c>
      <c r="G358" s="57"/>
      <c r="H358" s="57"/>
      <c r="I358" s="57" t="n">
        <v>0.883</v>
      </c>
      <c r="J358" s="57" t="n">
        <v>0.97</v>
      </c>
      <c r="K358" s="57" t="n">
        <v>22</v>
      </c>
      <c r="L358" s="57" t="s">
        <v>1110</v>
      </c>
      <c r="M358" s="57" t="s">
        <v>1111</v>
      </c>
      <c r="N358" s="57" t="s">
        <v>1112</v>
      </c>
      <c r="O358" s="57" t="n">
        <v>25</v>
      </c>
      <c r="P358" s="57" t="n">
        <v>0</v>
      </c>
      <c r="Q358" s="57"/>
      <c r="R358" s="57" t="n">
        <v>0</v>
      </c>
      <c r="S358" s="57" t="n">
        <v>0</v>
      </c>
      <c r="T358" s="57" t="n">
        <v>0</v>
      </c>
      <c r="U358" s="57" t="n">
        <v>0</v>
      </c>
      <c r="V358" s="57" t="n">
        <v>0</v>
      </c>
      <c r="W358" s="57" t="n">
        <v>0</v>
      </c>
      <c r="X358" s="57" t="n">
        <v>0</v>
      </c>
      <c r="Y358" s="57" t="n">
        <v>22</v>
      </c>
      <c r="Z358" s="57" t="n">
        <v>22</v>
      </c>
      <c r="AA358" s="57" t="n">
        <v>22</v>
      </c>
      <c r="AB358" s="57" t="n">
        <v>0</v>
      </c>
      <c r="AC358" s="57" t="n">
        <v>0</v>
      </c>
      <c r="AD358" s="57" t="n">
        <v>0</v>
      </c>
      <c r="AE358" s="57" t="n">
        <v>0</v>
      </c>
      <c r="AF358" s="57" t="n">
        <v>0</v>
      </c>
      <c r="AG358" s="57" t="n">
        <v>0</v>
      </c>
      <c r="AH358" s="57" t="s">
        <v>240</v>
      </c>
      <c r="AI358" s="57"/>
      <c r="AJ358" s="57" t="n">
        <v>0</v>
      </c>
      <c r="AK358" s="57" t="s">
        <v>361</v>
      </c>
      <c r="AL358" s="57" t="s">
        <v>356</v>
      </c>
      <c r="AM358" s="57" t="n">
        <v>0.86</v>
      </c>
      <c r="AN358" s="57" t="s">
        <v>575</v>
      </c>
      <c r="AO358" s="57" t="str">
        <f aca="false">IF(C358="County",IF(AL358="Rest of county","Remainder of County","Settlements"),IF(D358="City Centre","City Centre","Rest of City"))</f>
        <v>Settlements</v>
      </c>
      <c r="AP358" s="57" t="str">
        <f aca="false">IF(LEFT(B358,13)="Council audit","Audit",IF(LEFT(B358,8)="Planning","Consent","Zoned"))</f>
        <v>Zoned</v>
      </c>
      <c r="AQ358" s="57" t="n">
        <f aca="false">IF(N(K358)&gt;0,I358*Y358/K358,0)</f>
        <v>0.883</v>
      </c>
    </row>
    <row r="359" customFormat="false" ht="15" hidden="false" customHeight="false" outlineLevel="0" collapsed="false">
      <c r="A359" s="57" t="s">
        <v>1150</v>
      </c>
      <c r="B359" s="57" t="s">
        <v>219</v>
      </c>
      <c r="C359" s="57" t="s">
        <v>220</v>
      </c>
      <c r="D359" s="57" t="s">
        <v>220</v>
      </c>
      <c r="E359" s="57" t="s">
        <v>1108</v>
      </c>
      <c r="F359" s="57" t="s">
        <v>1109</v>
      </c>
      <c r="G359" s="57"/>
      <c r="H359" s="57"/>
      <c r="I359" s="57" t="n">
        <v>0.551</v>
      </c>
      <c r="J359" s="57" t="n">
        <v>0.605</v>
      </c>
      <c r="K359" s="57" t="n">
        <v>14</v>
      </c>
      <c r="L359" s="57" t="s">
        <v>1110</v>
      </c>
      <c r="M359" s="57" t="s">
        <v>1111</v>
      </c>
      <c r="N359" s="57" t="s">
        <v>1112</v>
      </c>
      <c r="O359" s="57" t="n">
        <v>25</v>
      </c>
      <c r="P359" s="57" t="n">
        <v>0</v>
      </c>
      <c r="Q359" s="57"/>
      <c r="R359" s="57" t="n">
        <v>0</v>
      </c>
      <c r="S359" s="57" t="n">
        <v>0</v>
      </c>
      <c r="T359" s="57" t="n">
        <v>0</v>
      </c>
      <c r="U359" s="57" t="n">
        <v>0</v>
      </c>
      <c r="V359" s="57" t="n">
        <v>0</v>
      </c>
      <c r="W359" s="57" t="n">
        <v>0</v>
      </c>
      <c r="X359" s="57" t="n">
        <v>0</v>
      </c>
      <c r="Y359" s="57" t="n">
        <v>14</v>
      </c>
      <c r="Z359" s="57" t="n">
        <v>14</v>
      </c>
      <c r="AA359" s="57" t="n">
        <v>14</v>
      </c>
      <c r="AB359" s="57" t="n">
        <v>0</v>
      </c>
      <c r="AC359" s="57" t="n">
        <v>0</v>
      </c>
      <c r="AD359" s="57" t="n">
        <v>0</v>
      </c>
      <c r="AE359" s="57" t="n">
        <v>0</v>
      </c>
      <c r="AF359" s="57" t="n">
        <v>0</v>
      </c>
      <c r="AG359" s="57" t="n">
        <v>0</v>
      </c>
      <c r="AH359" s="57" t="s">
        <v>240</v>
      </c>
      <c r="AI359" s="57"/>
      <c r="AJ359" s="57" t="n">
        <v>0</v>
      </c>
      <c r="AK359" s="57" t="s">
        <v>361</v>
      </c>
      <c r="AL359" s="57" t="s">
        <v>356</v>
      </c>
      <c r="AM359" s="57" t="n">
        <v>0.92</v>
      </c>
      <c r="AN359" s="57" t="s">
        <v>575</v>
      </c>
      <c r="AO359" s="57" t="str">
        <f aca="false">IF(C359="County",IF(AL359="Rest of county","Remainder of County","Settlements"),IF(D359="City Centre","City Centre","Rest of City"))</f>
        <v>Settlements</v>
      </c>
      <c r="AP359" s="57" t="str">
        <f aca="false">IF(LEFT(B359,13)="Council audit","Audit",IF(LEFT(B359,8)="Planning","Consent","Zoned"))</f>
        <v>Zoned</v>
      </c>
      <c r="AQ359" s="57" t="n">
        <f aca="false">IF(N(K359)&gt;0,I359*Y359/K359,0)</f>
        <v>0.551</v>
      </c>
    </row>
    <row r="360" customFormat="false" ht="15" hidden="false" customHeight="false" outlineLevel="0" collapsed="false">
      <c r="A360" s="57" t="s">
        <v>1151</v>
      </c>
      <c r="B360" s="57" t="s">
        <v>219</v>
      </c>
      <c r="C360" s="57" t="s">
        <v>216</v>
      </c>
      <c r="D360" s="57" t="s">
        <v>285</v>
      </c>
      <c r="E360" s="57" t="s">
        <v>1108</v>
      </c>
      <c r="F360" s="57" t="s">
        <v>1109</v>
      </c>
      <c r="G360" s="57"/>
      <c r="H360" s="57"/>
      <c r="I360" s="57" t="n">
        <v>0.139</v>
      </c>
      <c r="J360" s="57" t="n">
        <v>0.152</v>
      </c>
      <c r="K360" s="57" t="n">
        <v>5</v>
      </c>
      <c r="L360" s="57" t="s">
        <v>1110</v>
      </c>
      <c r="M360" s="57" t="s">
        <v>1111</v>
      </c>
      <c r="N360" s="57" t="s">
        <v>1152</v>
      </c>
      <c r="O360" s="57" t="n">
        <v>34</v>
      </c>
      <c r="P360" s="57" t="n">
        <v>1</v>
      </c>
      <c r="Q360" s="57"/>
      <c r="R360" s="57" t="n">
        <v>0</v>
      </c>
      <c r="S360" s="57" t="n">
        <v>0</v>
      </c>
      <c r="T360" s="57" t="n">
        <v>0</v>
      </c>
      <c r="U360" s="57" t="n">
        <v>0</v>
      </c>
      <c r="V360" s="57" t="n">
        <v>0</v>
      </c>
      <c r="W360" s="57" t="n">
        <v>0</v>
      </c>
      <c r="X360" s="57" t="n">
        <v>0</v>
      </c>
      <c r="Y360" s="57" t="n">
        <v>5</v>
      </c>
      <c r="Z360" s="57" t="n">
        <v>5</v>
      </c>
      <c r="AA360" s="57" t="n">
        <v>5</v>
      </c>
      <c r="AB360" s="57" t="n">
        <v>0</v>
      </c>
      <c r="AC360" s="57" t="n">
        <v>0</v>
      </c>
      <c r="AD360" s="57" t="n">
        <v>0</v>
      </c>
      <c r="AE360" s="57" t="n">
        <v>0</v>
      </c>
      <c r="AF360" s="57" t="n">
        <v>0</v>
      </c>
      <c r="AG360" s="57" t="n">
        <v>0</v>
      </c>
      <c r="AH360" s="57" t="s">
        <v>240</v>
      </c>
      <c r="AI360" s="57"/>
      <c r="AJ360" s="57" t="n">
        <v>0</v>
      </c>
      <c r="AK360" s="57" t="s">
        <v>285</v>
      </c>
      <c r="AL360" s="57" t="s">
        <v>347</v>
      </c>
      <c r="AM360" s="57" t="n">
        <v>1</v>
      </c>
      <c r="AN360" s="57" t="s">
        <v>575</v>
      </c>
      <c r="AO360" s="57" t="str">
        <f aca="false">IF(C360="County",IF(AL360="Rest of county","Remainder of County","Settlements"),IF(D360="City Centre","City Centre","Rest of City"))</f>
        <v>Rest of City</v>
      </c>
      <c r="AP360" s="57" t="str">
        <f aca="false">IF(LEFT(B360,13)="Council audit","Audit",IF(LEFT(B360,8)="Planning","Consent","Zoned"))</f>
        <v>Zoned</v>
      </c>
      <c r="AQ360" s="57" t="n">
        <f aca="false">IF(N(K360)&gt;0,I360*Y360/K360,0)</f>
        <v>0.139</v>
      </c>
    </row>
    <row r="361" customFormat="false" ht="15" hidden="false" customHeight="false" outlineLevel="0" collapsed="false">
      <c r="A361" s="57" t="s">
        <v>1153</v>
      </c>
      <c r="B361" s="57" t="s">
        <v>219</v>
      </c>
      <c r="C361" s="57" t="s">
        <v>216</v>
      </c>
      <c r="D361" s="57" t="s">
        <v>288</v>
      </c>
      <c r="E361" s="57" t="s">
        <v>1108</v>
      </c>
      <c r="F361" s="57" t="s">
        <v>1109</v>
      </c>
      <c r="G361" s="57"/>
      <c r="H361" s="57"/>
      <c r="I361" s="57" t="n">
        <v>0.136</v>
      </c>
      <c r="J361" s="57" t="n">
        <v>0.15</v>
      </c>
      <c r="K361" s="57" t="n">
        <v>5</v>
      </c>
      <c r="L361" s="57" t="s">
        <v>1110</v>
      </c>
      <c r="M361" s="57" t="s">
        <v>1111</v>
      </c>
      <c r="N361" s="57" t="s">
        <v>1152</v>
      </c>
      <c r="O361" s="57" t="n">
        <v>34</v>
      </c>
      <c r="P361" s="57" t="n">
        <v>1</v>
      </c>
      <c r="Q361" s="57"/>
      <c r="R361" s="57" t="n">
        <v>0</v>
      </c>
      <c r="S361" s="57" t="n">
        <v>0</v>
      </c>
      <c r="T361" s="57" t="n">
        <v>0</v>
      </c>
      <c r="U361" s="57" t="n">
        <v>0</v>
      </c>
      <c r="V361" s="57" t="n">
        <v>0</v>
      </c>
      <c r="W361" s="57" t="n">
        <v>0</v>
      </c>
      <c r="X361" s="57" t="n">
        <v>0</v>
      </c>
      <c r="Y361" s="57" t="n">
        <v>5</v>
      </c>
      <c r="Z361" s="57" t="n">
        <v>5</v>
      </c>
      <c r="AA361" s="57" t="n">
        <v>5</v>
      </c>
      <c r="AB361" s="57" t="n">
        <v>0</v>
      </c>
      <c r="AC361" s="57" t="n">
        <v>0</v>
      </c>
      <c r="AD361" s="57" t="n">
        <v>0</v>
      </c>
      <c r="AE361" s="57" t="n">
        <v>0</v>
      </c>
      <c r="AF361" s="57" t="n">
        <v>0</v>
      </c>
      <c r="AG361" s="57" t="n">
        <v>0</v>
      </c>
      <c r="AH361" s="57" t="s">
        <v>240</v>
      </c>
      <c r="AI361" s="57"/>
      <c r="AJ361" s="57" t="n">
        <v>0</v>
      </c>
      <c r="AK361" s="57" t="s">
        <v>288</v>
      </c>
      <c r="AL361" s="57" t="s">
        <v>347</v>
      </c>
      <c r="AM361" s="57" t="n">
        <v>1</v>
      </c>
      <c r="AN361" s="57" t="s">
        <v>575</v>
      </c>
      <c r="AO361" s="57" t="str">
        <f aca="false">IF(C361="County",IF(AL361="Rest of county","Remainder of County","Settlements"),IF(D361="City Centre","City Centre","Rest of City"))</f>
        <v>Rest of City</v>
      </c>
      <c r="AP361" s="57" t="str">
        <f aca="false">IF(LEFT(B361,13)="Council audit","Audit",IF(LEFT(B361,8)="Planning","Consent","Zoned"))</f>
        <v>Zoned</v>
      </c>
      <c r="AQ361" s="57" t="n">
        <f aca="false">IF(N(K361)&gt;0,I361*Y361/K361,0)</f>
        <v>0.136</v>
      </c>
    </row>
    <row r="362" customFormat="false" ht="15" hidden="false" customHeight="false" outlineLevel="0" collapsed="false">
      <c r="A362" s="57" t="s">
        <v>1154</v>
      </c>
      <c r="B362" s="57" t="s">
        <v>219</v>
      </c>
      <c r="C362" s="57" t="s">
        <v>216</v>
      </c>
      <c r="D362" s="57" t="s">
        <v>288</v>
      </c>
      <c r="E362" s="57" t="s">
        <v>1108</v>
      </c>
      <c r="F362" s="57" t="s">
        <v>1109</v>
      </c>
      <c r="G362" s="57"/>
      <c r="H362" s="57"/>
      <c r="I362" s="57" t="n">
        <v>0.541</v>
      </c>
      <c r="J362" s="57" t="n">
        <v>0.594</v>
      </c>
      <c r="K362" s="57" t="n">
        <v>18</v>
      </c>
      <c r="L362" s="57" t="s">
        <v>1110</v>
      </c>
      <c r="M362" s="57" t="s">
        <v>1111</v>
      </c>
      <c r="N362" s="57" t="s">
        <v>1152</v>
      </c>
      <c r="O362" s="57" t="n">
        <v>34</v>
      </c>
      <c r="P362" s="57" t="n">
        <v>1</v>
      </c>
      <c r="Q362" s="57"/>
      <c r="R362" s="57" t="n">
        <v>0</v>
      </c>
      <c r="S362" s="57" t="n">
        <v>0</v>
      </c>
      <c r="T362" s="57" t="n">
        <v>0</v>
      </c>
      <c r="U362" s="57" t="n">
        <v>0</v>
      </c>
      <c r="V362" s="57" t="n">
        <v>0</v>
      </c>
      <c r="W362" s="57" t="n">
        <v>0</v>
      </c>
      <c r="X362" s="57" t="n">
        <v>0</v>
      </c>
      <c r="Y362" s="57" t="n">
        <v>18</v>
      </c>
      <c r="Z362" s="57" t="n">
        <v>18</v>
      </c>
      <c r="AA362" s="57" t="n">
        <v>18</v>
      </c>
      <c r="AB362" s="57" t="n">
        <v>0</v>
      </c>
      <c r="AC362" s="57" t="n">
        <v>0</v>
      </c>
      <c r="AD362" s="57" t="n">
        <v>0</v>
      </c>
      <c r="AE362" s="57" t="n">
        <v>0</v>
      </c>
      <c r="AF362" s="57" t="n">
        <v>0</v>
      </c>
      <c r="AG362" s="57" t="n">
        <v>0</v>
      </c>
      <c r="AH362" s="57" t="s">
        <v>240</v>
      </c>
      <c r="AI362" s="57"/>
      <c r="AJ362" s="57" t="n">
        <v>0</v>
      </c>
      <c r="AK362" s="57" t="s">
        <v>288</v>
      </c>
      <c r="AL362" s="57" t="s">
        <v>347</v>
      </c>
      <c r="AM362" s="57" t="n">
        <v>1</v>
      </c>
      <c r="AN362" s="57" t="s">
        <v>575</v>
      </c>
      <c r="AO362" s="57" t="str">
        <f aca="false">IF(C362="County",IF(AL362="Rest of county","Remainder of County","Settlements"),IF(D362="City Centre","City Centre","Rest of City"))</f>
        <v>Rest of City</v>
      </c>
      <c r="AP362" s="57" t="str">
        <f aca="false">IF(LEFT(B362,13)="Council audit","Audit",IF(LEFT(B362,8)="Planning","Consent","Zoned"))</f>
        <v>Zoned</v>
      </c>
      <c r="AQ362" s="57" t="n">
        <f aca="false">IF(N(K362)&gt;0,I362*Y362/K362,0)</f>
        <v>0.541</v>
      </c>
    </row>
    <row r="363" customFormat="false" ht="15" hidden="false" customHeight="false" outlineLevel="0" collapsed="false">
      <c r="A363" s="57" t="s">
        <v>1155</v>
      </c>
      <c r="B363" s="57" t="s">
        <v>219</v>
      </c>
      <c r="C363" s="57" t="s">
        <v>216</v>
      </c>
      <c r="D363" s="57" t="s">
        <v>286</v>
      </c>
      <c r="E363" s="57" t="s">
        <v>1108</v>
      </c>
      <c r="F363" s="57" t="s">
        <v>1109</v>
      </c>
      <c r="G363" s="57"/>
      <c r="H363" s="57"/>
      <c r="I363" s="57" t="n">
        <v>0.422</v>
      </c>
      <c r="J363" s="57" t="n">
        <v>0.464</v>
      </c>
      <c r="K363" s="57" t="n">
        <v>14</v>
      </c>
      <c r="L363" s="57" t="s">
        <v>1110</v>
      </c>
      <c r="M363" s="57" t="s">
        <v>1111</v>
      </c>
      <c r="N363" s="57" t="s">
        <v>1152</v>
      </c>
      <c r="O363" s="57" t="n">
        <v>34</v>
      </c>
      <c r="P363" s="57" t="n">
        <v>1</v>
      </c>
      <c r="Q363" s="57"/>
      <c r="R363" s="57" t="n">
        <v>0</v>
      </c>
      <c r="S363" s="57" t="n">
        <v>0</v>
      </c>
      <c r="T363" s="57" t="n">
        <v>0</v>
      </c>
      <c r="U363" s="57" t="n">
        <v>0</v>
      </c>
      <c r="V363" s="57" t="n">
        <v>0</v>
      </c>
      <c r="W363" s="57" t="n">
        <v>0</v>
      </c>
      <c r="X363" s="57" t="n">
        <v>0</v>
      </c>
      <c r="Y363" s="57" t="n">
        <v>14</v>
      </c>
      <c r="Z363" s="57" t="n">
        <v>14</v>
      </c>
      <c r="AA363" s="57" t="n">
        <v>14</v>
      </c>
      <c r="AB363" s="57" t="n">
        <v>0</v>
      </c>
      <c r="AC363" s="57" t="n">
        <v>0</v>
      </c>
      <c r="AD363" s="57" t="n">
        <v>0</v>
      </c>
      <c r="AE363" s="57" t="n">
        <v>0</v>
      </c>
      <c r="AF363" s="57" t="n">
        <v>0</v>
      </c>
      <c r="AG363" s="57" t="n">
        <v>0</v>
      </c>
      <c r="AH363" s="57" t="s">
        <v>240</v>
      </c>
      <c r="AI363" s="57"/>
      <c r="AJ363" s="57" t="n">
        <v>0</v>
      </c>
      <c r="AK363" s="57" t="s">
        <v>286</v>
      </c>
      <c r="AL363" s="57" t="s">
        <v>347</v>
      </c>
      <c r="AM363" s="57" t="n">
        <v>1</v>
      </c>
      <c r="AN363" s="57" t="s">
        <v>575</v>
      </c>
      <c r="AO363" s="57" t="str">
        <f aca="false">IF(C363="County",IF(AL363="Rest of county","Remainder of County","Settlements"),IF(D363="City Centre","City Centre","Rest of City"))</f>
        <v>Rest of City</v>
      </c>
      <c r="AP363" s="57" t="str">
        <f aca="false">IF(LEFT(B363,13)="Council audit","Audit",IF(LEFT(B363,8)="Planning","Consent","Zoned"))</f>
        <v>Zoned</v>
      </c>
      <c r="AQ363" s="57" t="n">
        <f aca="false">IF(N(K363)&gt;0,I363*Y363/K363,0)</f>
        <v>0.422</v>
      </c>
    </row>
    <row r="364" customFormat="false" ht="15" hidden="false" customHeight="false" outlineLevel="0" collapsed="false">
      <c r="A364" s="57" t="s">
        <v>1156</v>
      </c>
      <c r="B364" s="57" t="s">
        <v>219</v>
      </c>
      <c r="C364" s="57" t="s">
        <v>216</v>
      </c>
      <c r="D364" s="57" t="s">
        <v>290</v>
      </c>
      <c r="E364" s="57" t="s">
        <v>1108</v>
      </c>
      <c r="F364" s="57" t="s">
        <v>1109</v>
      </c>
      <c r="G364" s="57"/>
      <c r="H364" s="57"/>
      <c r="I364" s="57" t="n">
        <v>0.146</v>
      </c>
      <c r="J364" s="57" t="n">
        <v>0.16</v>
      </c>
      <c r="K364" s="57" t="n">
        <v>5</v>
      </c>
      <c r="L364" s="57" t="s">
        <v>1110</v>
      </c>
      <c r="M364" s="57" t="s">
        <v>1111</v>
      </c>
      <c r="N364" s="57" t="s">
        <v>1152</v>
      </c>
      <c r="O364" s="57" t="n">
        <v>34</v>
      </c>
      <c r="P364" s="57" t="n">
        <v>1</v>
      </c>
      <c r="Q364" s="57"/>
      <c r="R364" s="57" t="n">
        <v>0</v>
      </c>
      <c r="S364" s="57" t="n">
        <v>0</v>
      </c>
      <c r="T364" s="57" t="n">
        <v>0</v>
      </c>
      <c r="U364" s="57" t="n">
        <v>0</v>
      </c>
      <c r="V364" s="57" t="n">
        <v>0</v>
      </c>
      <c r="W364" s="57" t="n">
        <v>0</v>
      </c>
      <c r="X364" s="57" t="n">
        <v>0</v>
      </c>
      <c r="Y364" s="57" t="n">
        <v>5</v>
      </c>
      <c r="Z364" s="57" t="n">
        <v>5</v>
      </c>
      <c r="AA364" s="57" t="n">
        <v>5</v>
      </c>
      <c r="AB364" s="57" t="n">
        <v>0</v>
      </c>
      <c r="AC364" s="57" t="n">
        <v>0</v>
      </c>
      <c r="AD364" s="57" t="n">
        <v>0</v>
      </c>
      <c r="AE364" s="57" t="n">
        <v>0</v>
      </c>
      <c r="AF364" s="57" t="n">
        <v>0</v>
      </c>
      <c r="AG364" s="57" t="n">
        <v>0</v>
      </c>
      <c r="AH364" s="57" t="s">
        <v>240</v>
      </c>
      <c r="AI364" s="57"/>
      <c r="AJ364" s="57" t="n">
        <v>0</v>
      </c>
      <c r="AK364" s="57" t="s">
        <v>290</v>
      </c>
      <c r="AL364" s="57" t="s">
        <v>347</v>
      </c>
      <c r="AM364" s="57" t="n">
        <v>1</v>
      </c>
      <c r="AN364" s="57" t="s">
        <v>575</v>
      </c>
      <c r="AO364" s="57" t="str">
        <f aca="false">IF(C364="County",IF(AL364="Rest of county","Remainder of County","Settlements"),IF(D364="City Centre","City Centre","Rest of City"))</f>
        <v>Rest of City</v>
      </c>
      <c r="AP364" s="57" t="str">
        <f aca="false">IF(LEFT(B364,13)="Council audit","Audit",IF(LEFT(B364,8)="Planning","Consent","Zoned"))</f>
        <v>Zoned</v>
      </c>
      <c r="AQ364" s="57" t="n">
        <f aca="false">IF(N(K364)&gt;0,I364*Y364/K364,0)</f>
        <v>0.146</v>
      </c>
    </row>
    <row r="365" customFormat="false" ht="15" hidden="false" customHeight="false" outlineLevel="0" collapsed="false">
      <c r="A365" s="57" t="s">
        <v>1157</v>
      </c>
      <c r="B365" s="57" t="s">
        <v>219</v>
      </c>
      <c r="C365" s="57" t="s">
        <v>220</v>
      </c>
      <c r="D365" s="57" t="s">
        <v>220</v>
      </c>
      <c r="E365" s="57" t="s">
        <v>1158</v>
      </c>
      <c r="F365" s="57" t="s">
        <v>1109</v>
      </c>
      <c r="G365" s="57"/>
      <c r="H365" s="57"/>
      <c r="I365" s="57" t="n">
        <v>1.319</v>
      </c>
      <c r="J365" s="57" t="n">
        <v>1.449</v>
      </c>
      <c r="K365" s="57" t="n">
        <v>33</v>
      </c>
      <c r="L365" s="57" t="s">
        <v>1110</v>
      </c>
      <c r="M365" s="57" t="s">
        <v>1159</v>
      </c>
      <c r="N365" s="57" t="s">
        <v>1112</v>
      </c>
      <c r="O365" s="57" t="n">
        <v>25</v>
      </c>
      <c r="P365" s="57" t="n">
        <v>1</v>
      </c>
      <c r="Q365" s="57"/>
      <c r="R365" s="57" t="n">
        <v>0</v>
      </c>
      <c r="S365" s="57" t="n">
        <v>0</v>
      </c>
      <c r="T365" s="57" t="n">
        <v>0</v>
      </c>
      <c r="U365" s="57" t="n">
        <v>0</v>
      </c>
      <c r="V365" s="57" t="n">
        <v>0</v>
      </c>
      <c r="W365" s="57" t="n">
        <v>0</v>
      </c>
      <c r="X365" s="57" t="n">
        <v>0</v>
      </c>
      <c r="Y365" s="57" t="n">
        <v>33</v>
      </c>
      <c r="Z365" s="57" t="n">
        <v>33</v>
      </c>
      <c r="AA365" s="57" t="n">
        <v>33</v>
      </c>
      <c r="AB365" s="57" t="n">
        <v>0</v>
      </c>
      <c r="AC365" s="57" t="n">
        <v>0</v>
      </c>
      <c r="AD365" s="57" t="n">
        <v>0</v>
      </c>
      <c r="AE365" s="57" t="n">
        <v>0</v>
      </c>
      <c r="AF365" s="57" t="n">
        <v>0</v>
      </c>
      <c r="AG365" s="57" t="n">
        <v>0</v>
      </c>
      <c r="AH365" s="57" t="s">
        <v>240</v>
      </c>
      <c r="AI365" s="57"/>
      <c r="AJ365" s="57" t="n">
        <v>0</v>
      </c>
      <c r="AK365" s="57" t="s">
        <v>351</v>
      </c>
      <c r="AL365" s="57" t="s">
        <v>349</v>
      </c>
      <c r="AM365" s="57" t="n">
        <v>1</v>
      </c>
      <c r="AN365" s="57" t="s">
        <v>575</v>
      </c>
      <c r="AO365" s="57" t="str">
        <f aca="false">IF(C365="County",IF(AL365="Rest of county","Remainder of County","Settlements"),IF(D365="City Centre","City Centre","Rest of City"))</f>
        <v>Settlements</v>
      </c>
      <c r="AP365" s="57" t="str">
        <f aca="false">IF(LEFT(B365,13)="Council audit","Audit",IF(LEFT(B365,8)="Planning","Consent","Zoned"))</f>
        <v>Zoned</v>
      </c>
      <c r="AQ365" s="57" t="n">
        <f aca="false">IF(N(K365)&gt;0,I365*Y365/K365,0)</f>
        <v>1.319</v>
      </c>
    </row>
    <row r="366" customFormat="false" ht="15" hidden="false" customHeight="false" outlineLevel="0" collapsed="false">
      <c r="A366" s="57" t="s">
        <v>1160</v>
      </c>
      <c r="B366" s="57" t="s">
        <v>219</v>
      </c>
      <c r="C366" s="57" t="s">
        <v>220</v>
      </c>
      <c r="D366" s="57" t="s">
        <v>220</v>
      </c>
      <c r="E366" s="57" t="s">
        <v>1158</v>
      </c>
      <c r="F366" s="57" t="s">
        <v>1109</v>
      </c>
      <c r="G366" s="57"/>
      <c r="H366" s="57"/>
      <c r="I366" s="57" t="n">
        <v>0.397</v>
      </c>
      <c r="J366" s="57" t="n">
        <v>0.436</v>
      </c>
      <c r="K366" s="57" t="n">
        <v>10</v>
      </c>
      <c r="L366" s="57" t="s">
        <v>1110</v>
      </c>
      <c r="M366" s="57" t="s">
        <v>1159</v>
      </c>
      <c r="N366" s="57" t="s">
        <v>1112</v>
      </c>
      <c r="O366" s="57" t="n">
        <v>25</v>
      </c>
      <c r="P366" s="57" t="n">
        <v>0</v>
      </c>
      <c r="Q366" s="57"/>
      <c r="R366" s="57" t="n">
        <v>0</v>
      </c>
      <c r="S366" s="57" t="n">
        <v>0</v>
      </c>
      <c r="T366" s="57" t="n">
        <v>0</v>
      </c>
      <c r="U366" s="57" t="n">
        <v>0</v>
      </c>
      <c r="V366" s="57" t="n">
        <v>0</v>
      </c>
      <c r="W366" s="57" t="n">
        <v>0</v>
      </c>
      <c r="X366" s="57" t="n">
        <v>0</v>
      </c>
      <c r="Y366" s="57" t="n">
        <v>10</v>
      </c>
      <c r="Z366" s="57" t="n">
        <v>10</v>
      </c>
      <c r="AA366" s="57" t="n">
        <v>10</v>
      </c>
      <c r="AB366" s="57" t="n">
        <v>0</v>
      </c>
      <c r="AC366" s="57" t="n">
        <v>0</v>
      </c>
      <c r="AD366" s="57" t="n">
        <v>0</v>
      </c>
      <c r="AE366" s="57" t="n">
        <v>0</v>
      </c>
      <c r="AF366" s="57" t="n">
        <v>0</v>
      </c>
      <c r="AG366" s="57" t="n">
        <v>0</v>
      </c>
      <c r="AH366" s="57" t="s">
        <v>240</v>
      </c>
      <c r="AI366" s="57"/>
      <c r="AJ366" s="57" t="n">
        <v>0</v>
      </c>
      <c r="AK366" s="57" t="s">
        <v>351</v>
      </c>
      <c r="AL366" s="57" t="s">
        <v>349</v>
      </c>
      <c r="AM366" s="57" t="n">
        <v>1</v>
      </c>
      <c r="AN366" s="57" t="s">
        <v>575</v>
      </c>
      <c r="AO366" s="57" t="str">
        <f aca="false">IF(C366="County",IF(AL366="Rest of county","Remainder of County","Settlements"),IF(D366="City Centre","City Centre","Rest of City"))</f>
        <v>Settlements</v>
      </c>
      <c r="AP366" s="57" t="str">
        <f aca="false">IF(LEFT(B366,13)="Council audit","Audit",IF(LEFT(B366,8)="Planning","Consent","Zoned"))</f>
        <v>Zoned</v>
      </c>
      <c r="AQ366" s="57" t="n">
        <f aca="false">IF(N(K366)&gt;0,I366*Y366/K366,0)</f>
        <v>0.397</v>
      </c>
    </row>
    <row r="367" customFormat="false" ht="15" hidden="false" customHeight="false" outlineLevel="0" collapsed="false">
      <c r="A367" s="57" t="s">
        <v>1161</v>
      </c>
      <c r="B367" s="57" t="s">
        <v>219</v>
      </c>
      <c r="C367" s="57" t="s">
        <v>220</v>
      </c>
      <c r="D367" s="57" t="s">
        <v>220</v>
      </c>
      <c r="E367" s="57" t="s">
        <v>1162</v>
      </c>
      <c r="F367" s="57" t="s">
        <v>1163</v>
      </c>
      <c r="G367" s="57"/>
      <c r="H367" s="57"/>
      <c r="I367" s="57" t="n">
        <v>0.192</v>
      </c>
      <c r="J367" s="57" t="n">
        <v>0.211</v>
      </c>
      <c r="K367" s="57" t="n">
        <v>5</v>
      </c>
      <c r="L367" s="57" t="s">
        <v>1110</v>
      </c>
      <c r="M367" s="57" t="s">
        <v>1164</v>
      </c>
      <c r="N367" s="57" t="s">
        <v>1112</v>
      </c>
      <c r="O367" s="57" t="n">
        <v>25</v>
      </c>
      <c r="P367" s="57" t="n">
        <v>1</v>
      </c>
      <c r="Q367" s="57"/>
      <c r="R367" s="57" t="n">
        <v>0</v>
      </c>
      <c r="S367" s="57" t="n">
        <v>0</v>
      </c>
      <c r="T367" s="57" t="n">
        <v>0</v>
      </c>
      <c r="U367" s="57" t="n">
        <v>0</v>
      </c>
      <c r="V367" s="57" t="n">
        <v>0</v>
      </c>
      <c r="W367" s="57" t="n">
        <v>0</v>
      </c>
      <c r="X367" s="57" t="n">
        <v>0</v>
      </c>
      <c r="Y367" s="57" t="n">
        <v>5</v>
      </c>
      <c r="Z367" s="57" t="n">
        <v>5</v>
      </c>
      <c r="AA367" s="57" t="n">
        <v>5</v>
      </c>
      <c r="AB367" s="57" t="n">
        <v>0</v>
      </c>
      <c r="AC367" s="57" t="n">
        <v>0</v>
      </c>
      <c r="AD367" s="57" t="n">
        <v>0</v>
      </c>
      <c r="AE367" s="57" t="n">
        <v>0</v>
      </c>
      <c r="AF367" s="57" t="n">
        <v>0</v>
      </c>
      <c r="AG367" s="57" t="n">
        <v>0</v>
      </c>
      <c r="AH367" s="57" t="s">
        <v>240</v>
      </c>
      <c r="AI367" s="57"/>
      <c r="AJ367" s="57" t="n">
        <v>0</v>
      </c>
      <c r="AK367" s="57" t="s">
        <v>364</v>
      </c>
      <c r="AL367" s="57" t="s">
        <v>356</v>
      </c>
      <c r="AM367" s="57" t="n">
        <v>1</v>
      </c>
      <c r="AN367" s="57" t="s">
        <v>575</v>
      </c>
      <c r="AO367" s="57" t="str">
        <f aca="false">IF(C367="County",IF(AL367="Rest of county","Remainder of County","Settlements"),IF(D367="City Centre","City Centre","Rest of City"))</f>
        <v>Settlements</v>
      </c>
      <c r="AP367" s="57" t="str">
        <f aca="false">IF(LEFT(B367,13)="Council audit","Audit",IF(LEFT(B367,8)="Planning","Consent","Zoned"))</f>
        <v>Zoned</v>
      </c>
      <c r="AQ367" s="57" t="n">
        <f aca="false">IF(N(K367)&gt;0,I367*Y367/K367,0)</f>
        <v>0.192</v>
      </c>
    </row>
    <row r="368" customFormat="false" ht="15" hidden="false" customHeight="false" outlineLevel="0" collapsed="false">
      <c r="A368" s="57" t="s">
        <v>1165</v>
      </c>
      <c r="B368" s="57" t="s">
        <v>219</v>
      </c>
      <c r="C368" s="57" t="s">
        <v>220</v>
      </c>
      <c r="D368" s="57" t="s">
        <v>220</v>
      </c>
      <c r="E368" s="57" t="s">
        <v>1162</v>
      </c>
      <c r="F368" s="57" t="s">
        <v>1163</v>
      </c>
      <c r="G368" s="57"/>
      <c r="H368" s="57"/>
      <c r="I368" s="57" t="n">
        <v>0.121</v>
      </c>
      <c r="J368" s="57" t="n">
        <v>0.133</v>
      </c>
      <c r="K368" s="57" t="n">
        <v>3</v>
      </c>
      <c r="L368" s="57" t="s">
        <v>1110</v>
      </c>
      <c r="M368" s="57" t="s">
        <v>1164</v>
      </c>
      <c r="N368" s="57" t="s">
        <v>1112</v>
      </c>
      <c r="O368" s="57" t="n">
        <v>25</v>
      </c>
      <c r="P368" s="57" t="n">
        <v>1</v>
      </c>
      <c r="Q368" s="57"/>
      <c r="R368" s="57" t="n">
        <v>0</v>
      </c>
      <c r="S368" s="57" t="n">
        <v>0</v>
      </c>
      <c r="T368" s="57" t="n">
        <v>0</v>
      </c>
      <c r="U368" s="57" t="n">
        <v>0</v>
      </c>
      <c r="V368" s="57" t="n">
        <v>0</v>
      </c>
      <c r="W368" s="57" t="n">
        <v>0</v>
      </c>
      <c r="X368" s="57" t="n">
        <v>0</v>
      </c>
      <c r="Y368" s="57" t="n">
        <v>3</v>
      </c>
      <c r="Z368" s="57" t="n">
        <v>3</v>
      </c>
      <c r="AA368" s="57" t="n">
        <v>3</v>
      </c>
      <c r="AB368" s="57" t="n">
        <v>0</v>
      </c>
      <c r="AC368" s="57" t="n">
        <v>0</v>
      </c>
      <c r="AD368" s="57" t="n">
        <v>0</v>
      </c>
      <c r="AE368" s="57" t="n">
        <v>0</v>
      </c>
      <c r="AF368" s="57" t="n">
        <v>0</v>
      </c>
      <c r="AG368" s="57" t="n">
        <v>0</v>
      </c>
      <c r="AH368" s="57" t="s">
        <v>240</v>
      </c>
      <c r="AI368" s="57"/>
      <c r="AJ368" s="57" t="n">
        <v>0</v>
      </c>
      <c r="AK368" s="57" t="s">
        <v>364</v>
      </c>
      <c r="AL368" s="57" t="s">
        <v>356</v>
      </c>
      <c r="AM368" s="57" t="n">
        <v>1</v>
      </c>
      <c r="AN368" s="57" t="s">
        <v>575</v>
      </c>
      <c r="AO368" s="57" t="str">
        <f aca="false">IF(C368="County",IF(AL368="Rest of county","Remainder of County","Settlements"),IF(D368="City Centre","City Centre","Rest of City"))</f>
        <v>Settlements</v>
      </c>
      <c r="AP368" s="57" t="str">
        <f aca="false">IF(LEFT(B368,13)="Council audit","Audit",IF(LEFT(B368,8)="Planning","Consent","Zoned"))</f>
        <v>Zoned</v>
      </c>
      <c r="AQ368" s="57" t="n">
        <f aca="false">IF(N(K368)&gt;0,I368*Y368/K368,0)</f>
        <v>0.121</v>
      </c>
    </row>
    <row r="369" customFormat="false" ht="15" hidden="false" customHeight="false" outlineLevel="0" collapsed="false">
      <c r="A369" s="57" t="s">
        <v>1166</v>
      </c>
      <c r="B369" s="57" t="s">
        <v>219</v>
      </c>
      <c r="C369" s="57" t="s">
        <v>220</v>
      </c>
      <c r="D369" s="57" t="s">
        <v>220</v>
      </c>
      <c r="E369" s="57" t="s">
        <v>1167</v>
      </c>
      <c r="F369" s="57" t="s">
        <v>1115</v>
      </c>
      <c r="G369" s="57"/>
      <c r="H369" s="57"/>
      <c r="I369" s="57" t="n">
        <v>0.36</v>
      </c>
      <c r="J369" s="57" t="n">
        <v>0.395</v>
      </c>
      <c r="K369" s="57" t="n">
        <v>7</v>
      </c>
      <c r="L369" s="57" t="s">
        <v>1110</v>
      </c>
      <c r="M369" s="57" t="s">
        <v>1164</v>
      </c>
      <c r="N369" s="57" t="s">
        <v>1116</v>
      </c>
      <c r="O369" s="57" t="n">
        <v>19</v>
      </c>
      <c r="P369" s="57" t="n">
        <v>0</v>
      </c>
      <c r="Q369" s="57"/>
      <c r="R369" s="57" t="n">
        <v>0</v>
      </c>
      <c r="S369" s="57" t="n">
        <v>0</v>
      </c>
      <c r="T369" s="57" t="n">
        <v>0</v>
      </c>
      <c r="U369" s="57" t="n">
        <v>0</v>
      </c>
      <c r="V369" s="57" t="n">
        <v>0</v>
      </c>
      <c r="W369" s="57" t="n">
        <v>0</v>
      </c>
      <c r="X369" s="57" t="n">
        <v>0</v>
      </c>
      <c r="Y369" s="57" t="n">
        <v>7</v>
      </c>
      <c r="Z369" s="57" t="n">
        <v>7</v>
      </c>
      <c r="AA369" s="57" t="n">
        <v>7</v>
      </c>
      <c r="AB369" s="57" t="n">
        <v>0</v>
      </c>
      <c r="AC369" s="57" t="n">
        <v>0</v>
      </c>
      <c r="AD369" s="57" t="n">
        <v>0</v>
      </c>
      <c r="AE369" s="57" t="n">
        <v>0</v>
      </c>
      <c r="AF369" s="57" t="n">
        <v>0</v>
      </c>
      <c r="AG369" s="57" t="n">
        <v>0</v>
      </c>
      <c r="AH369" s="57" t="s">
        <v>240</v>
      </c>
      <c r="AI369" s="57"/>
      <c r="AJ369" s="57" t="n">
        <v>0</v>
      </c>
      <c r="AK369" s="57" t="s">
        <v>364</v>
      </c>
      <c r="AL369" s="57" t="s">
        <v>356</v>
      </c>
      <c r="AM369" s="57" t="n">
        <v>0</v>
      </c>
      <c r="AN369" s="57" t="s">
        <v>1168</v>
      </c>
      <c r="AO369" s="57" t="str">
        <f aca="false">IF(C369="County",IF(AL369="Rest of county","Remainder of County","Settlements"),IF(D369="City Centre","City Centre","Rest of City"))</f>
        <v>Settlements</v>
      </c>
      <c r="AP369" s="57" t="str">
        <f aca="false">IF(LEFT(B369,13)="Council audit","Audit",IF(LEFT(B369,8)="Planning","Consent","Zoned"))</f>
        <v>Zoned</v>
      </c>
      <c r="AQ369" s="57" t="n">
        <f aca="false">IF(N(K369)&gt;0,I369*Y369/K369,0)</f>
        <v>0.36</v>
      </c>
    </row>
    <row r="370" customFormat="false" ht="15" hidden="false" customHeight="false" outlineLevel="0" collapsed="false">
      <c r="A370" s="57" t="s">
        <v>1169</v>
      </c>
      <c r="B370" s="57" t="s">
        <v>219</v>
      </c>
      <c r="C370" s="57" t="s">
        <v>220</v>
      </c>
      <c r="D370" s="57" t="s">
        <v>220</v>
      </c>
      <c r="E370" s="57" t="s">
        <v>1170</v>
      </c>
      <c r="F370" s="57" t="s">
        <v>1109</v>
      </c>
      <c r="G370" s="57"/>
      <c r="H370" s="57"/>
      <c r="I370" s="57" t="n">
        <v>1.572</v>
      </c>
      <c r="J370" s="57" t="n">
        <v>1.728</v>
      </c>
      <c r="K370" s="57" t="n">
        <v>39</v>
      </c>
      <c r="L370" s="57" t="s">
        <v>1110</v>
      </c>
      <c r="M370" s="57" t="s">
        <v>1171</v>
      </c>
      <c r="N370" s="57" t="s">
        <v>1112</v>
      </c>
      <c r="O370" s="57" t="n">
        <v>25</v>
      </c>
      <c r="P370" s="57" t="n">
        <v>1</v>
      </c>
      <c r="Q370" s="57"/>
      <c r="R370" s="57" t="n">
        <v>0</v>
      </c>
      <c r="S370" s="57" t="n">
        <v>0</v>
      </c>
      <c r="T370" s="57" t="n">
        <v>0</v>
      </c>
      <c r="U370" s="57" t="n">
        <v>0</v>
      </c>
      <c r="V370" s="57" t="n">
        <v>0</v>
      </c>
      <c r="W370" s="57" t="n">
        <v>0</v>
      </c>
      <c r="X370" s="57" t="n">
        <v>0</v>
      </c>
      <c r="Y370" s="57" t="n">
        <v>39</v>
      </c>
      <c r="Z370" s="57" t="n">
        <v>39</v>
      </c>
      <c r="AA370" s="57" t="n">
        <v>39</v>
      </c>
      <c r="AB370" s="57" t="n">
        <v>0</v>
      </c>
      <c r="AC370" s="57" t="n">
        <v>0</v>
      </c>
      <c r="AD370" s="57" t="n">
        <v>0</v>
      </c>
      <c r="AE370" s="57" t="n">
        <v>0</v>
      </c>
      <c r="AF370" s="57" t="n">
        <v>0</v>
      </c>
      <c r="AG370" s="57" t="n">
        <v>0</v>
      </c>
      <c r="AH370" s="57" t="s">
        <v>240</v>
      </c>
      <c r="AI370" s="57"/>
      <c r="AJ370" s="57" t="n">
        <v>0</v>
      </c>
      <c r="AK370" s="57" t="s">
        <v>350</v>
      </c>
      <c r="AL370" s="57" t="s">
        <v>349</v>
      </c>
      <c r="AM370" s="57" t="n">
        <v>0</v>
      </c>
      <c r="AN370" s="57" t="s">
        <v>1172</v>
      </c>
      <c r="AO370" s="57" t="str">
        <f aca="false">IF(C370="County",IF(AL370="Rest of county","Remainder of County","Settlements"),IF(D370="City Centre","City Centre","Rest of City"))</f>
        <v>Settlements</v>
      </c>
      <c r="AP370" s="57" t="str">
        <f aca="false">IF(LEFT(B370,13)="Council audit","Audit",IF(LEFT(B370,8)="Planning","Consent","Zoned"))</f>
        <v>Zoned</v>
      </c>
      <c r="AQ370" s="57" t="n">
        <f aca="false">IF(N(K370)&gt;0,I370*Y370/K370,0)</f>
        <v>1.572</v>
      </c>
    </row>
    <row r="371" customFormat="false" ht="15" hidden="false" customHeight="false" outlineLevel="0" collapsed="false">
      <c r="A371" s="57" t="s">
        <v>1173</v>
      </c>
      <c r="B371" s="57" t="s">
        <v>219</v>
      </c>
      <c r="C371" s="57" t="s">
        <v>220</v>
      </c>
      <c r="D371" s="57" t="s">
        <v>220</v>
      </c>
      <c r="E371" s="57" t="s">
        <v>1174</v>
      </c>
      <c r="F371" s="57" t="s">
        <v>1109</v>
      </c>
      <c r="G371" s="57"/>
      <c r="H371" s="57"/>
      <c r="I371" s="57" t="n">
        <v>1.732</v>
      </c>
      <c r="J371" s="57" t="n">
        <v>1.904</v>
      </c>
      <c r="K371" s="57" t="n">
        <v>43</v>
      </c>
      <c r="L371" s="57" t="s">
        <v>1110</v>
      </c>
      <c r="M371" s="57" t="s">
        <v>1175</v>
      </c>
      <c r="N371" s="57" t="s">
        <v>1112</v>
      </c>
      <c r="O371" s="57" t="n">
        <v>25</v>
      </c>
      <c r="P371" s="57" t="n">
        <v>0</v>
      </c>
      <c r="Q371" s="57"/>
      <c r="R371" s="57" t="n">
        <v>0</v>
      </c>
      <c r="S371" s="57" t="n">
        <v>0</v>
      </c>
      <c r="T371" s="57" t="n">
        <v>0</v>
      </c>
      <c r="U371" s="57" t="n">
        <v>0</v>
      </c>
      <c r="V371" s="57" t="n">
        <v>0</v>
      </c>
      <c r="W371" s="57" t="n">
        <v>0</v>
      </c>
      <c r="X371" s="57" t="n">
        <v>0</v>
      </c>
      <c r="Y371" s="57" t="n">
        <v>43</v>
      </c>
      <c r="Z371" s="57" t="n">
        <v>43</v>
      </c>
      <c r="AA371" s="57" t="n">
        <v>43</v>
      </c>
      <c r="AB371" s="57" t="n">
        <v>0</v>
      </c>
      <c r="AC371" s="57" t="n">
        <v>0</v>
      </c>
      <c r="AD371" s="57" t="n">
        <v>0</v>
      </c>
      <c r="AE371" s="57" t="n">
        <v>0</v>
      </c>
      <c r="AF371" s="57" t="n">
        <v>0</v>
      </c>
      <c r="AG371" s="57" t="n">
        <v>0</v>
      </c>
      <c r="AH371" s="57" t="s">
        <v>240</v>
      </c>
      <c r="AI371" s="57"/>
      <c r="AJ371" s="57" t="n">
        <v>0</v>
      </c>
      <c r="AK371" s="57" t="s">
        <v>348</v>
      </c>
      <c r="AL371" s="57" t="s">
        <v>349</v>
      </c>
      <c r="AM371" s="57" t="n">
        <v>1</v>
      </c>
      <c r="AN371" s="57" t="s">
        <v>575</v>
      </c>
      <c r="AO371" s="57" t="str">
        <f aca="false">IF(C371="County",IF(AL371="Rest of county","Remainder of County","Settlements"),IF(D371="City Centre","City Centre","Rest of City"))</f>
        <v>Settlements</v>
      </c>
      <c r="AP371" s="57" t="str">
        <f aca="false">IF(LEFT(B371,13)="Council audit","Audit",IF(LEFT(B371,8)="Planning","Consent","Zoned"))</f>
        <v>Zoned</v>
      </c>
      <c r="AQ371" s="57" t="n">
        <f aca="false">IF(N(K371)&gt;0,I371*Y371/K371,0)</f>
        <v>1.732</v>
      </c>
    </row>
    <row r="372" customFormat="false" ht="15" hidden="false" customHeight="false" outlineLevel="0" collapsed="false">
      <c r="A372" s="57" t="s">
        <v>1176</v>
      </c>
      <c r="B372" s="57" t="s">
        <v>219</v>
      </c>
      <c r="C372" s="57" t="s">
        <v>220</v>
      </c>
      <c r="D372" s="57" t="s">
        <v>220</v>
      </c>
      <c r="E372" s="57" t="s">
        <v>1174</v>
      </c>
      <c r="F372" s="57" t="s">
        <v>1109</v>
      </c>
      <c r="G372" s="57"/>
      <c r="H372" s="57"/>
      <c r="I372" s="57" t="n">
        <v>2.909</v>
      </c>
      <c r="J372" s="57" t="n">
        <v>3.197</v>
      </c>
      <c r="K372" s="57" t="n">
        <v>73</v>
      </c>
      <c r="L372" s="57" t="s">
        <v>1110</v>
      </c>
      <c r="M372" s="57" t="s">
        <v>1175</v>
      </c>
      <c r="N372" s="57" t="s">
        <v>1112</v>
      </c>
      <c r="O372" s="57" t="n">
        <v>25</v>
      </c>
      <c r="P372" s="57" t="n">
        <v>0</v>
      </c>
      <c r="Q372" s="57"/>
      <c r="R372" s="57" t="n">
        <v>0</v>
      </c>
      <c r="S372" s="57" t="n">
        <v>0</v>
      </c>
      <c r="T372" s="57" t="n">
        <v>0</v>
      </c>
      <c r="U372" s="57" t="n">
        <v>0</v>
      </c>
      <c r="V372" s="57" t="n">
        <v>0</v>
      </c>
      <c r="W372" s="57" t="n">
        <v>0</v>
      </c>
      <c r="X372" s="57" t="n">
        <v>0</v>
      </c>
      <c r="Y372" s="57" t="n">
        <v>73</v>
      </c>
      <c r="Z372" s="57" t="n">
        <v>73</v>
      </c>
      <c r="AA372" s="57" t="n">
        <v>73</v>
      </c>
      <c r="AB372" s="57" t="n">
        <v>0</v>
      </c>
      <c r="AC372" s="57" t="n">
        <v>0</v>
      </c>
      <c r="AD372" s="57" t="n">
        <v>0</v>
      </c>
      <c r="AE372" s="57" t="n">
        <v>0</v>
      </c>
      <c r="AF372" s="57" t="n">
        <v>0</v>
      </c>
      <c r="AG372" s="57" t="n">
        <v>0</v>
      </c>
      <c r="AH372" s="57" t="s">
        <v>240</v>
      </c>
      <c r="AI372" s="57"/>
      <c r="AJ372" s="57" t="n">
        <v>0</v>
      </c>
      <c r="AK372" s="57" t="s">
        <v>348</v>
      </c>
      <c r="AL372" s="57" t="s">
        <v>349</v>
      </c>
      <c r="AM372" s="57" t="n">
        <v>0</v>
      </c>
      <c r="AN372" s="57" t="s">
        <v>1177</v>
      </c>
      <c r="AO372" s="57" t="str">
        <f aca="false">IF(C372="County",IF(AL372="Rest of county","Remainder of County","Settlements"),IF(D372="City Centre","City Centre","Rest of City"))</f>
        <v>Settlements</v>
      </c>
      <c r="AP372" s="57" t="str">
        <f aca="false">IF(LEFT(B372,13)="Council audit","Audit",IF(LEFT(B372,8)="Planning","Consent","Zoned"))</f>
        <v>Zoned</v>
      </c>
      <c r="AQ372" s="57" t="n">
        <f aca="false">IF(N(K372)&gt;0,I372*Y372/K372,0)</f>
        <v>2.909</v>
      </c>
    </row>
    <row r="373" customFormat="false" ht="15" hidden="false" customHeight="false" outlineLevel="0" collapsed="false">
      <c r="A373" s="57" t="s">
        <v>1178</v>
      </c>
      <c r="B373" s="57" t="s">
        <v>219</v>
      </c>
      <c r="C373" s="57" t="s">
        <v>220</v>
      </c>
      <c r="D373" s="57" t="s">
        <v>220</v>
      </c>
      <c r="E373" s="57" t="s">
        <v>1179</v>
      </c>
      <c r="F373" s="57" t="s">
        <v>1115</v>
      </c>
      <c r="G373" s="57"/>
      <c r="H373" s="57"/>
      <c r="I373" s="57" t="n">
        <v>1.317</v>
      </c>
      <c r="J373" s="57" t="n">
        <v>1.447</v>
      </c>
      <c r="K373" s="57" t="n">
        <v>25</v>
      </c>
      <c r="L373" s="57" t="s">
        <v>1110</v>
      </c>
      <c r="M373" s="57" t="s">
        <v>1175</v>
      </c>
      <c r="N373" s="57" t="s">
        <v>1116</v>
      </c>
      <c r="O373" s="57" t="n">
        <v>19</v>
      </c>
      <c r="P373" s="57" t="n">
        <v>0</v>
      </c>
      <c r="Q373" s="57"/>
      <c r="R373" s="57" t="n">
        <v>0</v>
      </c>
      <c r="S373" s="57" t="n">
        <v>0</v>
      </c>
      <c r="T373" s="57" t="n">
        <v>0</v>
      </c>
      <c r="U373" s="57" t="n">
        <v>0</v>
      </c>
      <c r="V373" s="57" t="n">
        <v>0</v>
      </c>
      <c r="W373" s="57" t="n">
        <v>0</v>
      </c>
      <c r="X373" s="57" t="n">
        <v>0</v>
      </c>
      <c r="Y373" s="57" t="n">
        <v>25</v>
      </c>
      <c r="Z373" s="57" t="n">
        <v>25</v>
      </c>
      <c r="AA373" s="57" t="n">
        <v>25</v>
      </c>
      <c r="AB373" s="57" t="n">
        <v>0</v>
      </c>
      <c r="AC373" s="57" t="n">
        <v>0</v>
      </c>
      <c r="AD373" s="57" t="n">
        <v>0</v>
      </c>
      <c r="AE373" s="57" t="n">
        <v>0</v>
      </c>
      <c r="AF373" s="57" t="n">
        <v>0</v>
      </c>
      <c r="AG373" s="57" t="n">
        <v>0</v>
      </c>
      <c r="AH373" s="57" t="s">
        <v>240</v>
      </c>
      <c r="AI373" s="57"/>
      <c r="AJ373" s="57" t="n">
        <v>0</v>
      </c>
      <c r="AK373" s="57" t="s">
        <v>348</v>
      </c>
      <c r="AL373" s="57" t="s">
        <v>349</v>
      </c>
      <c r="AM373" s="57" t="n">
        <v>1</v>
      </c>
      <c r="AN373" s="57" t="s">
        <v>575</v>
      </c>
      <c r="AO373" s="57" t="str">
        <f aca="false">IF(C373="County",IF(AL373="Rest of county","Remainder of County","Settlements"),IF(D373="City Centre","City Centre","Rest of City"))</f>
        <v>Settlements</v>
      </c>
      <c r="AP373" s="57" t="str">
        <f aca="false">IF(LEFT(B373,13)="Council audit","Audit",IF(LEFT(B373,8)="Planning","Consent","Zoned"))</f>
        <v>Zoned</v>
      </c>
      <c r="AQ373" s="57" t="n">
        <f aca="false">IF(N(K373)&gt;0,I373*Y373/K373,0)</f>
        <v>1.317</v>
      </c>
    </row>
    <row r="374" customFormat="false" ht="15" hidden="false" customHeight="false" outlineLevel="0" collapsed="false">
      <c r="A374" s="57" t="s">
        <v>1180</v>
      </c>
      <c r="B374" s="57" t="s">
        <v>219</v>
      </c>
      <c r="C374" s="57" t="s">
        <v>220</v>
      </c>
      <c r="D374" s="57" t="s">
        <v>220</v>
      </c>
      <c r="E374" s="57" t="s">
        <v>1181</v>
      </c>
      <c r="F374" s="57" t="s">
        <v>1182</v>
      </c>
      <c r="G374" s="57"/>
      <c r="H374" s="57"/>
      <c r="I374" s="57" t="n">
        <v>0.208</v>
      </c>
      <c r="J374" s="57" t="n">
        <v>0.228</v>
      </c>
      <c r="K374" s="57" t="n">
        <v>4</v>
      </c>
      <c r="L374" s="57" t="s">
        <v>1110</v>
      </c>
      <c r="M374" s="57" t="s">
        <v>1183</v>
      </c>
      <c r="N374" s="57" t="s">
        <v>1116</v>
      </c>
      <c r="O374" s="57" t="n">
        <v>19</v>
      </c>
      <c r="P374" s="57" t="n">
        <v>0</v>
      </c>
      <c r="Q374" s="57"/>
      <c r="R374" s="57" t="n">
        <v>0</v>
      </c>
      <c r="S374" s="57" t="n">
        <v>0</v>
      </c>
      <c r="T374" s="57" t="n">
        <v>0</v>
      </c>
      <c r="U374" s="57" t="n">
        <v>0</v>
      </c>
      <c r="V374" s="57" t="n">
        <v>0</v>
      </c>
      <c r="W374" s="57" t="n">
        <v>0</v>
      </c>
      <c r="X374" s="57" t="n">
        <v>0</v>
      </c>
      <c r="Y374" s="57" t="n">
        <v>4</v>
      </c>
      <c r="Z374" s="57" t="n">
        <v>4</v>
      </c>
      <c r="AA374" s="57" t="n">
        <v>4</v>
      </c>
      <c r="AB374" s="57" t="n">
        <v>0</v>
      </c>
      <c r="AC374" s="57" t="n">
        <v>0</v>
      </c>
      <c r="AD374" s="57" t="n">
        <v>0</v>
      </c>
      <c r="AE374" s="57" t="n">
        <v>0</v>
      </c>
      <c r="AF374" s="57" t="n">
        <v>0</v>
      </c>
      <c r="AG374" s="57" t="n">
        <v>0</v>
      </c>
      <c r="AH374" s="57" t="s">
        <v>240</v>
      </c>
      <c r="AI374" s="57"/>
      <c r="AJ374" s="57" t="n">
        <v>0</v>
      </c>
      <c r="AK374" s="57" t="s">
        <v>360</v>
      </c>
      <c r="AL374" s="57" t="s">
        <v>356</v>
      </c>
      <c r="AM374" s="57" t="n">
        <v>1</v>
      </c>
      <c r="AN374" s="57" t="s">
        <v>575</v>
      </c>
      <c r="AO374" s="57" t="str">
        <f aca="false">IF(C374="County",IF(AL374="Rest of county","Remainder of County","Settlements"),IF(D374="City Centre","City Centre","Rest of City"))</f>
        <v>Settlements</v>
      </c>
      <c r="AP374" s="57" t="str">
        <f aca="false">IF(LEFT(B374,13)="Council audit","Audit",IF(LEFT(B374,8)="Planning","Consent","Zoned"))</f>
        <v>Zoned</v>
      </c>
      <c r="AQ374" s="57" t="n">
        <f aca="false">IF(N(K374)&gt;0,I374*Y374/K374,0)</f>
        <v>0.208</v>
      </c>
    </row>
    <row r="375" customFormat="false" ht="15" hidden="false" customHeight="false" outlineLevel="0" collapsed="false">
      <c r="A375" s="57" t="s">
        <v>1184</v>
      </c>
      <c r="B375" s="57" t="s">
        <v>219</v>
      </c>
      <c r="C375" s="57" t="s">
        <v>220</v>
      </c>
      <c r="D375" s="57" t="s">
        <v>220</v>
      </c>
      <c r="E375" s="57" t="s">
        <v>1174</v>
      </c>
      <c r="F375" s="57" t="s">
        <v>1109</v>
      </c>
      <c r="G375" s="57"/>
      <c r="H375" s="57"/>
      <c r="I375" s="57" t="n">
        <v>1.023</v>
      </c>
      <c r="J375" s="57" t="n">
        <v>1.125</v>
      </c>
      <c r="K375" s="57" t="n">
        <v>26</v>
      </c>
      <c r="L375" s="57" t="s">
        <v>1110</v>
      </c>
      <c r="M375" s="57" t="s">
        <v>1175</v>
      </c>
      <c r="N375" s="57" t="s">
        <v>1112</v>
      </c>
      <c r="O375" s="57" t="n">
        <v>25</v>
      </c>
      <c r="P375" s="57" t="n">
        <v>0</v>
      </c>
      <c r="Q375" s="57"/>
      <c r="R375" s="57" t="n">
        <v>0</v>
      </c>
      <c r="S375" s="57" t="n">
        <v>0</v>
      </c>
      <c r="T375" s="57" t="n">
        <v>0</v>
      </c>
      <c r="U375" s="57" t="n">
        <v>0</v>
      </c>
      <c r="V375" s="57" t="n">
        <v>0</v>
      </c>
      <c r="W375" s="57" t="n">
        <v>0</v>
      </c>
      <c r="X375" s="57" t="n">
        <v>0</v>
      </c>
      <c r="Y375" s="57" t="n">
        <v>26</v>
      </c>
      <c r="Z375" s="57" t="n">
        <v>26</v>
      </c>
      <c r="AA375" s="57" t="n">
        <v>26</v>
      </c>
      <c r="AB375" s="57" t="n">
        <v>0</v>
      </c>
      <c r="AC375" s="57" t="n">
        <v>0</v>
      </c>
      <c r="AD375" s="57" t="n">
        <v>0</v>
      </c>
      <c r="AE375" s="57" t="n">
        <v>0</v>
      </c>
      <c r="AF375" s="57" t="n">
        <v>0</v>
      </c>
      <c r="AG375" s="57" t="n">
        <v>0</v>
      </c>
      <c r="AH375" s="57" t="s">
        <v>240</v>
      </c>
      <c r="AI375" s="57"/>
      <c r="AJ375" s="57" t="n">
        <v>0</v>
      </c>
      <c r="AK375" s="57" t="s">
        <v>348</v>
      </c>
      <c r="AL375" s="57" t="s">
        <v>349</v>
      </c>
      <c r="AM375" s="57" t="n">
        <v>1</v>
      </c>
      <c r="AN375" s="57" t="s">
        <v>575</v>
      </c>
      <c r="AO375" s="57" t="str">
        <f aca="false">IF(C375="County",IF(AL375="Rest of county","Remainder of County","Settlements"),IF(D375="City Centre","City Centre","Rest of City"))</f>
        <v>Settlements</v>
      </c>
      <c r="AP375" s="57" t="str">
        <f aca="false">IF(LEFT(B375,13)="Council audit","Audit",IF(LEFT(B375,8)="Planning","Consent","Zoned"))</f>
        <v>Zoned</v>
      </c>
      <c r="AQ375" s="57" t="n">
        <f aca="false">IF(N(K375)&gt;0,I375*Y375/K375,0)</f>
        <v>1.023</v>
      </c>
    </row>
    <row r="376" customFormat="false" ht="15" hidden="false" customHeight="false" outlineLevel="0" collapsed="false">
      <c r="A376" s="57" t="s">
        <v>1185</v>
      </c>
      <c r="B376" s="57" t="s">
        <v>219</v>
      </c>
      <c r="C376" s="57" t="s">
        <v>220</v>
      </c>
      <c r="D376" s="57" t="s">
        <v>220</v>
      </c>
      <c r="E376" s="57" t="s">
        <v>1158</v>
      </c>
      <c r="F376" s="57" t="s">
        <v>1109</v>
      </c>
      <c r="G376" s="57"/>
      <c r="H376" s="57"/>
      <c r="I376" s="57" t="n">
        <v>0.335</v>
      </c>
      <c r="J376" s="57" t="n">
        <v>0.369</v>
      </c>
      <c r="K376" s="57" t="n">
        <v>8</v>
      </c>
      <c r="L376" s="57" t="s">
        <v>1110</v>
      </c>
      <c r="M376" s="57" t="s">
        <v>1159</v>
      </c>
      <c r="N376" s="57" t="s">
        <v>1112</v>
      </c>
      <c r="O376" s="57" t="n">
        <v>25</v>
      </c>
      <c r="P376" s="57" t="n">
        <v>1</v>
      </c>
      <c r="Q376" s="57"/>
      <c r="R376" s="57" t="n">
        <v>0</v>
      </c>
      <c r="S376" s="57" t="n">
        <v>0</v>
      </c>
      <c r="T376" s="57" t="n">
        <v>0</v>
      </c>
      <c r="U376" s="57" t="n">
        <v>0</v>
      </c>
      <c r="V376" s="57" t="n">
        <v>0</v>
      </c>
      <c r="W376" s="57" t="n">
        <v>0</v>
      </c>
      <c r="X376" s="57" t="n">
        <v>0</v>
      </c>
      <c r="Y376" s="57" t="n">
        <v>8</v>
      </c>
      <c r="Z376" s="57" t="n">
        <v>8</v>
      </c>
      <c r="AA376" s="57" t="n">
        <v>8</v>
      </c>
      <c r="AB376" s="57" t="n">
        <v>0</v>
      </c>
      <c r="AC376" s="57" t="n">
        <v>0</v>
      </c>
      <c r="AD376" s="57" t="n">
        <v>0</v>
      </c>
      <c r="AE376" s="57" t="n">
        <v>0</v>
      </c>
      <c r="AF376" s="57" t="n">
        <v>0</v>
      </c>
      <c r="AG376" s="57" t="n">
        <v>0</v>
      </c>
      <c r="AH376" s="57" t="s">
        <v>240</v>
      </c>
      <c r="AI376" s="57"/>
      <c r="AJ376" s="57" t="n">
        <v>0</v>
      </c>
      <c r="AK376" s="57" t="s">
        <v>351</v>
      </c>
      <c r="AL376" s="57" t="s">
        <v>349</v>
      </c>
      <c r="AM376" s="57" t="n">
        <v>1</v>
      </c>
      <c r="AN376" s="57" t="s">
        <v>575</v>
      </c>
      <c r="AO376" s="57" t="str">
        <f aca="false">IF(C376="County",IF(AL376="Rest of county","Remainder of County","Settlements"),IF(D376="City Centre","City Centre","Rest of City"))</f>
        <v>Settlements</v>
      </c>
      <c r="AP376" s="57" t="str">
        <f aca="false">IF(LEFT(B376,13)="Council audit","Audit",IF(LEFT(B376,8)="Planning","Consent","Zoned"))</f>
        <v>Zoned</v>
      </c>
      <c r="AQ376" s="57" t="n">
        <f aca="false">IF(N(K376)&gt;0,I376*Y376/K376,0)</f>
        <v>0.335</v>
      </c>
    </row>
    <row r="377" customFormat="false" ht="15" hidden="false" customHeight="false" outlineLevel="0" collapsed="false">
      <c r="A377" s="57" t="s">
        <v>1186</v>
      </c>
      <c r="B377" s="57" t="s">
        <v>219</v>
      </c>
      <c r="C377" s="57" t="s">
        <v>220</v>
      </c>
      <c r="D377" s="57" t="s">
        <v>220</v>
      </c>
      <c r="E377" s="57" t="s">
        <v>1187</v>
      </c>
      <c r="F377" s="57" t="s">
        <v>1109</v>
      </c>
      <c r="G377" s="57"/>
      <c r="H377" s="57"/>
      <c r="I377" s="57" t="n">
        <v>0.146</v>
      </c>
      <c r="J377" s="57" t="n">
        <v>0.161</v>
      </c>
      <c r="K377" s="57" t="n">
        <v>4</v>
      </c>
      <c r="L377" s="57" t="s">
        <v>1110</v>
      </c>
      <c r="M377" s="57" t="s">
        <v>1188</v>
      </c>
      <c r="N377" s="57" t="s">
        <v>1112</v>
      </c>
      <c r="O377" s="57" t="n">
        <v>25</v>
      </c>
      <c r="P377" s="57" t="n">
        <v>1</v>
      </c>
      <c r="Q377" s="57"/>
      <c r="R377" s="57" t="n">
        <v>0</v>
      </c>
      <c r="S377" s="57" t="n">
        <v>0</v>
      </c>
      <c r="T377" s="57" t="n">
        <v>0</v>
      </c>
      <c r="U377" s="57" t="n">
        <v>0</v>
      </c>
      <c r="V377" s="57" t="n">
        <v>0</v>
      </c>
      <c r="W377" s="57" t="n">
        <v>0</v>
      </c>
      <c r="X377" s="57" t="n">
        <v>0</v>
      </c>
      <c r="Y377" s="57" t="n">
        <v>4</v>
      </c>
      <c r="Z377" s="57" t="n">
        <v>4</v>
      </c>
      <c r="AA377" s="57" t="n">
        <v>4</v>
      </c>
      <c r="AB377" s="57" t="n">
        <v>0</v>
      </c>
      <c r="AC377" s="57" t="n">
        <v>0</v>
      </c>
      <c r="AD377" s="57" t="n">
        <v>0</v>
      </c>
      <c r="AE377" s="57" t="n">
        <v>0</v>
      </c>
      <c r="AF377" s="57" t="n">
        <v>0</v>
      </c>
      <c r="AG377" s="57" t="n">
        <v>0</v>
      </c>
      <c r="AH377" s="57" t="s">
        <v>240</v>
      </c>
      <c r="AI377" s="57"/>
      <c r="AJ377" s="57" t="n">
        <v>0</v>
      </c>
      <c r="AK377" s="57" t="s">
        <v>354</v>
      </c>
      <c r="AL377" s="57" t="s">
        <v>349</v>
      </c>
      <c r="AM377" s="57" t="n">
        <v>1</v>
      </c>
      <c r="AN377" s="57" t="s">
        <v>575</v>
      </c>
      <c r="AO377" s="57" t="str">
        <f aca="false">IF(C377="County",IF(AL377="Rest of county","Remainder of County","Settlements"),IF(D377="City Centre","City Centre","Rest of City"))</f>
        <v>Settlements</v>
      </c>
      <c r="AP377" s="57" t="str">
        <f aca="false">IF(LEFT(B377,13)="Council audit","Audit",IF(LEFT(B377,8)="Planning","Consent","Zoned"))</f>
        <v>Zoned</v>
      </c>
      <c r="AQ377" s="57" t="n">
        <f aca="false">IF(N(K377)&gt;0,I377*Y377/K377,0)</f>
        <v>0.146</v>
      </c>
    </row>
    <row r="378" customFormat="false" ht="15" hidden="false" customHeight="false" outlineLevel="0" collapsed="false">
      <c r="A378" s="57" t="s">
        <v>1189</v>
      </c>
      <c r="B378" s="57" t="s">
        <v>219</v>
      </c>
      <c r="C378" s="57" t="s">
        <v>220</v>
      </c>
      <c r="D378" s="57" t="s">
        <v>220</v>
      </c>
      <c r="E378" s="57" t="s">
        <v>1170</v>
      </c>
      <c r="F378" s="57" t="s">
        <v>1109</v>
      </c>
      <c r="G378" s="57"/>
      <c r="H378" s="57"/>
      <c r="I378" s="57" t="n">
        <v>1.864</v>
      </c>
      <c r="J378" s="57" t="n">
        <v>2.048</v>
      </c>
      <c r="K378" s="57" t="n">
        <v>47</v>
      </c>
      <c r="L378" s="57" t="s">
        <v>1110</v>
      </c>
      <c r="M378" s="57" t="s">
        <v>1171</v>
      </c>
      <c r="N378" s="57" t="s">
        <v>1112</v>
      </c>
      <c r="O378" s="57" t="n">
        <v>25</v>
      </c>
      <c r="P378" s="57" t="n">
        <v>0.99</v>
      </c>
      <c r="Q378" s="57"/>
      <c r="R378" s="57" t="n">
        <v>0</v>
      </c>
      <c r="S378" s="57" t="n">
        <v>0</v>
      </c>
      <c r="T378" s="57" t="n">
        <v>0</v>
      </c>
      <c r="U378" s="57" t="n">
        <v>0</v>
      </c>
      <c r="V378" s="57" t="n">
        <v>0</v>
      </c>
      <c r="W378" s="57" t="n">
        <v>0</v>
      </c>
      <c r="X378" s="57" t="n">
        <v>0</v>
      </c>
      <c r="Y378" s="57" t="n">
        <v>47</v>
      </c>
      <c r="Z378" s="57" t="n">
        <v>47</v>
      </c>
      <c r="AA378" s="57" t="n">
        <v>47</v>
      </c>
      <c r="AB378" s="57" t="n">
        <v>0</v>
      </c>
      <c r="AC378" s="57" t="n">
        <v>0</v>
      </c>
      <c r="AD378" s="57" t="n">
        <v>0</v>
      </c>
      <c r="AE378" s="57" t="n">
        <v>0</v>
      </c>
      <c r="AF378" s="57" t="n">
        <v>0</v>
      </c>
      <c r="AG378" s="57" t="n">
        <v>0</v>
      </c>
      <c r="AH378" s="57" t="s">
        <v>240</v>
      </c>
      <c r="AI378" s="57"/>
      <c r="AJ378" s="57" t="n">
        <v>0</v>
      </c>
      <c r="AK378" s="57" t="s">
        <v>350</v>
      </c>
      <c r="AL378" s="57" t="s">
        <v>349</v>
      </c>
      <c r="AM378" s="57" t="n">
        <v>0</v>
      </c>
      <c r="AN378" s="57" t="s">
        <v>1172</v>
      </c>
      <c r="AO378" s="57" t="str">
        <f aca="false">IF(C378="County",IF(AL378="Rest of county","Remainder of County","Settlements"),IF(D378="City Centre","City Centre","Rest of City"))</f>
        <v>Settlements</v>
      </c>
      <c r="AP378" s="57" t="str">
        <f aca="false">IF(LEFT(B378,13)="Council audit","Audit",IF(LEFT(B378,8)="Planning","Consent","Zoned"))</f>
        <v>Zoned</v>
      </c>
      <c r="AQ378" s="57" t="n">
        <f aca="false">IF(N(K378)&gt;0,I378*Y378/K378,0)</f>
        <v>1.864</v>
      </c>
    </row>
    <row r="379" customFormat="false" ht="15" hidden="false" customHeight="false" outlineLevel="0" collapsed="false">
      <c r="A379" s="57" t="s">
        <v>1190</v>
      </c>
      <c r="B379" s="57" t="s">
        <v>219</v>
      </c>
      <c r="C379" s="57" t="s">
        <v>220</v>
      </c>
      <c r="D379" s="57" t="s">
        <v>220</v>
      </c>
      <c r="E379" s="57" t="s">
        <v>1191</v>
      </c>
      <c r="F379" s="57" t="s">
        <v>1115</v>
      </c>
      <c r="G379" s="57"/>
      <c r="H379" s="57"/>
      <c r="I379" s="57" t="n">
        <v>1.011</v>
      </c>
      <c r="J379" s="57" t="n">
        <v>1.111</v>
      </c>
      <c r="K379" s="57" t="n">
        <v>19</v>
      </c>
      <c r="L379" s="57" t="s">
        <v>1110</v>
      </c>
      <c r="M379" s="57" t="s">
        <v>1192</v>
      </c>
      <c r="N379" s="57" t="s">
        <v>1116</v>
      </c>
      <c r="O379" s="57" t="n">
        <v>19</v>
      </c>
      <c r="P379" s="57" t="n">
        <v>0</v>
      </c>
      <c r="Q379" s="57"/>
      <c r="R379" s="57" t="n">
        <v>0</v>
      </c>
      <c r="S379" s="57" t="n">
        <v>0</v>
      </c>
      <c r="T379" s="57" t="n">
        <v>0</v>
      </c>
      <c r="U379" s="57" t="n">
        <v>0</v>
      </c>
      <c r="V379" s="57" t="n">
        <v>0</v>
      </c>
      <c r="W379" s="57" t="n">
        <v>0</v>
      </c>
      <c r="X379" s="57" t="n">
        <v>0</v>
      </c>
      <c r="Y379" s="57" t="n">
        <v>19</v>
      </c>
      <c r="Z379" s="57" t="n">
        <v>19</v>
      </c>
      <c r="AA379" s="57" t="n">
        <v>19</v>
      </c>
      <c r="AB379" s="57" t="n">
        <v>0</v>
      </c>
      <c r="AC379" s="57" t="n">
        <v>0</v>
      </c>
      <c r="AD379" s="57" t="n">
        <v>0</v>
      </c>
      <c r="AE379" s="57" t="n">
        <v>0</v>
      </c>
      <c r="AF379" s="57" t="n">
        <v>0</v>
      </c>
      <c r="AG379" s="57" t="n">
        <v>0</v>
      </c>
      <c r="AH379" s="57" t="s">
        <v>240</v>
      </c>
      <c r="AI379" s="57"/>
      <c r="AJ379" s="57" t="n">
        <v>0</v>
      </c>
      <c r="AK379" s="57" t="s">
        <v>355</v>
      </c>
      <c r="AL379" s="57" t="s">
        <v>356</v>
      </c>
      <c r="AM379" s="57" t="n">
        <v>0</v>
      </c>
      <c r="AN379" s="57" t="s">
        <v>1193</v>
      </c>
      <c r="AO379" s="57" t="str">
        <f aca="false">IF(C379="County",IF(AL379="Rest of county","Remainder of County","Settlements"),IF(D379="City Centre","City Centre","Rest of City"))</f>
        <v>Settlements</v>
      </c>
      <c r="AP379" s="57" t="str">
        <f aca="false">IF(LEFT(B379,13)="Council audit","Audit",IF(LEFT(B379,8)="Planning","Consent","Zoned"))</f>
        <v>Zoned</v>
      </c>
      <c r="AQ379" s="57" t="n">
        <f aca="false">IF(N(K379)&gt;0,I379*Y379/K379,0)</f>
        <v>1.011</v>
      </c>
    </row>
    <row r="380" customFormat="false" ht="15" hidden="false" customHeight="false" outlineLevel="0" collapsed="false">
      <c r="A380" s="57" t="s">
        <v>1194</v>
      </c>
      <c r="B380" s="57" t="s">
        <v>219</v>
      </c>
      <c r="C380" s="57" t="s">
        <v>220</v>
      </c>
      <c r="D380" s="57" t="s">
        <v>220</v>
      </c>
      <c r="E380" s="57" t="s">
        <v>1195</v>
      </c>
      <c r="F380" s="57" t="s">
        <v>1109</v>
      </c>
      <c r="G380" s="57"/>
      <c r="H380" s="57"/>
      <c r="I380" s="57" t="n">
        <v>0.197</v>
      </c>
      <c r="J380" s="57" t="n">
        <v>0.216</v>
      </c>
      <c r="K380" s="57" t="n">
        <v>5</v>
      </c>
      <c r="L380" s="57" t="s">
        <v>1110</v>
      </c>
      <c r="M380" s="57" t="s">
        <v>1196</v>
      </c>
      <c r="N380" s="57" t="s">
        <v>1112</v>
      </c>
      <c r="O380" s="57" t="n">
        <v>25</v>
      </c>
      <c r="P380" s="57" t="n">
        <v>1</v>
      </c>
      <c r="Q380" s="57"/>
      <c r="R380" s="57" t="n">
        <v>0</v>
      </c>
      <c r="S380" s="57" t="n">
        <v>0</v>
      </c>
      <c r="T380" s="57" t="n">
        <v>0</v>
      </c>
      <c r="U380" s="57" t="n">
        <v>0</v>
      </c>
      <c r="V380" s="57" t="n">
        <v>0</v>
      </c>
      <c r="W380" s="57" t="n">
        <v>0</v>
      </c>
      <c r="X380" s="57" t="n">
        <v>0</v>
      </c>
      <c r="Y380" s="57" t="n">
        <v>5</v>
      </c>
      <c r="Z380" s="57" t="n">
        <v>5</v>
      </c>
      <c r="AA380" s="57" t="n">
        <v>5</v>
      </c>
      <c r="AB380" s="57" t="n">
        <v>0</v>
      </c>
      <c r="AC380" s="57" t="n">
        <v>0</v>
      </c>
      <c r="AD380" s="57" t="n">
        <v>0</v>
      </c>
      <c r="AE380" s="57" t="n">
        <v>0</v>
      </c>
      <c r="AF380" s="57" t="n">
        <v>0</v>
      </c>
      <c r="AG380" s="57" t="n">
        <v>0</v>
      </c>
      <c r="AH380" s="57" t="s">
        <v>240</v>
      </c>
      <c r="AI380" s="57"/>
      <c r="AJ380" s="57" t="n">
        <v>0</v>
      </c>
      <c r="AK380" s="57" t="s">
        <v>353</v>
      </c>
      <c r="AL380" s="57" t="s">
        <v>349</v>
      </c>
      <c r="AM380" s="57" t="n">
        <v>1</v>
      </c>
      <c r="AN380" s="57" t="s">
        <v>575</v>
      </c>
      <c r="AO380" s="57" t="str">
        <f aca="false">IF(C380="County",IF(AL380="Rest of county","Remainder of County","Settlements"),IF(D380="City Centre","City Centre","Rest of City"))</f>
        <v>Settlements</v>
      </c>
      <c r="AP380" s="57" t="str">
        <f aca="false">IF(LEFT(B380,13)="Council audit","Audit",IF(LEFT(B380,8)="Planning","Consent","Zoned"))</f>
        <v>Zoned</v>
      </c>
      <c r="AQ380" s="57" t="n">
        <f aca="false">IF(N(K380)&gt;0,I380*Y380/K380,0)</f>
        <v>0.197</v>
      </c>
    </row>
    <row r="381" customFormat="false" ht="15" hidden="false" customHeight="false" outlineLevel="0" collapsed="false">
      <c r="A381" s="57" t="s">
        <v>1197</v>
      </c>
      <c r="B381" s="57" t="s">
        <v>219</v>
      </c>
      <c r="C381" s="57" t="s">
        <v>220</v>
      </c>
      <c r="D381" s="57" t="s">
        <v>220</v>
      </c>
      <c r="E381" s="57" t="s">
        <v>1198</v>
      </c>
      <c r="F381" s="57" t="s">
        <v>1199</v>
      </c>
      <c r="G381" s="57"/>
      <c r="H381" s="57"/>
      <c r="I381" s="57" t="n">
        <v>3.4</v>
      </c>
      <c r="J381" s="57" t="n">
        <v>3.736</v>
      </c>
      <c r="K381" s="57" t="n">
        <v>85</v>
      </c>
      <c r="L381" s="57" t="s">
        <v>1110</v>
      </c>
      <c r="M381" s="57" t="s">
        <v>1200</v>
      </c>
      <c r="N381" s="57" t="s">
        <v>1112</v>
      </c>
      <c r="O381" s="57" t="n">
        <v>25</v>
      </c>
      <c r="P381" s="57" t="n">
        <v>1</v>
      </c>
      <c r="Q381" s="57"/>
      <c r="R381" s="57" t="n">
        <v>0</v>
      </c>
      <c r="S381" s="57" t="n">
        <v>0</v>
      </c>
      <c r="T381" s="57" t="n">
        <v>0</v>
      </c>
      <c r="U381" s="57" t="n">
        <v>0</v>
      </c>
      <c r="V381" s="57" t="n">
        <v>0</v>
      </c>
      <c r="W381" s="57" t="n">
        <v>0</v>
      </c>
      <c r="X381" s="57" t="n">
        <v>0</v>
      </c>
      <c r="Y381" s="57" t="n">
        <v>85</v>
      </c>
      <c r="Z381" s="57" t="n">
        <v>85</v>
      </c>
      <c r="AA381" s="57" t="n">
        <v>85</v>
      </c>
      <c r="AB381" s="57" t="n">
        <v>0</v>
      </c>
      <c r="AC381" s="57" t="n">
        <v>0</v>
      </c>
      <c r="AD381" s="57" t="n">
        <v>0</v>
      </c>
      <c r="AE381" s="57" t="n">
        <v>0</v>
      </c>
      <c r="AF381" s="57" t="n">
        <v>0</v>
      </c>
      <c r="AG381" s="57" t="n">
        <v>0</v>
      </c>
      <c r="AH381" s="57" t="s">
        <v>240</v>
      </c>
      <c r="AI381" s="57"/>
      <c r="AJ381" s="57" t="n">
        <v>0</v>
      </c>
      <c r="AK381" s="57" t="s">
        <v>352</v>
      </c>
      <c r="AL381" s="57" t="s">
        <v>349</v>
      </c>
      <c r="AM381" s="57" t="n">
        <v>0</v>
      </c>
      <c r="AN381" s="57" t="s">
        <v>1201</v>
      </c>
      <c r="AO381" s="57" t="str">
        <f aca="false">IF(C381="County",IF(AL381="Rest of county","Remainder of County","Settlements"),IF(D381="City Centre","City Centre","Rest of City"))</f>
        <v>Settlements</v>
      </c>
      <c r="AP381" s="57" t="str">
        <f aca="false">IF(LEFT(B381,13)="Council audit","Audit",IF(LEFT(B381,8)="Planning","Consent","Zoned"))</f>
        <v>Zoned</v>
      </c>
      <c r="AQ381" s="57" t="n">
        <f aca="false">IF(N(K381)&gt;0,I381*Y381/K381,0)</f>
        <v>3.4</v>
      </c>
    </row>
    <row r="382" customFormat="false" ht="15" hidden="false" customHeight="false" outlineLevel="0" collapsed="false">
      <c r="A382" s="57" t="s">
        <v>1202</v>
      </c>
      <c r="B382" s="57" t="s">
        <v>219</v>
      </c>
      <c r="C382" s="57" t="s">
        <v>220</v>
      </c>
      <c r="D382" s="57" t="s">
        <v>220</v>
      </c>
      <c r="E382" s="57" t="s">
        <v>1179</v>
      </c>
      <c r="F382" s="57" t="s">
        <v>1115</v>
      </c>
      <c r="G382" s="57"/>
      <c r="H382" s="57"/>
      <c r="I382" s="57" t="n">
        <v>1.7</v>
      </c>
      <c r="J382" s="57" t="n">
        <v>1.868</v>
      </c>
      <c r="K382" s="57" t="n">
        <v>32</v>
      </c>
      <c r="L382" s="57" t="s">
        <v>1110</v>
      </c>
      <c r="M382" s="57" t="s">
        <v>1175</v>
      </c>
      <c r="N382" s="57" t="s">
        <v>1116</v>
      </c>
      <c r="O382" s="57" t="n">
        <v>19</v>
      </c>
      <c r="P382" s="57" t="n">
        <v>0</v>
      </c>
      <c r="Q382" s="57"/>
      <c r="R382" s="57" t="n">
        <v>0</v>
      </c>
      <c r="S382" s="57" t="n">
        <v>0</v>
      </c>
      <c r="T382" s="57" t="n">
        <v>0</v>
      </c>
      <c r="U382" s="57" t="n">
        <v>0</v>
      </c>
      <c r="V382" s="57" t="n">
        <v>0</v>
      </c>
      <c r="W382" s="57" t="n">
        <v>0</v>
      </c>
      <c r="X382" s="57" t="n">
        <v>0</v>
      </c>
      <c r="Y382" s="57" t="n">
        <v>32</v>
      </c>
      <c r="Z382" s="57" t="n">
        <v>32</v>
      </c>
      <c r="AA382" s="57" t="n">
        <v>32</v>
      </c>
      <c r="AB382" s="57" t="n">
        <v>0</v>
      </c>
      <c r="AC382" s="57" t="n">
        <v>0</v>
      </c>
      <c r="AD382" s="57" t="n">
        <v>0</v>
      </c>
      <c r="AE382" s="57" t="n">
        <v>0</v>
      </c>
      <c r="AF382" s="57" t="n">
        <v>0</v>
      </c>
      <c r="AG382" s="57" t="n">
        <v>0</v>
      </c>
      <c r="AH382" s="57" t="s">
        <v>240</v>
      </c>
      <c r="AI382" s="57"/>
      <c r="AJ382" s="57" t="n">
        <v>0</v>
      </c>
      <c r="AK382" s="57" t="s">
        <v>348</v>
      </c>
      <c r="AL382" s="57" t="s">
        <v>349</v>
      </c>
      <c r="AM382" s="57" t="n">
        <v>1</v>
      </c>
      <c r="AN382" s="57" t="s">
        <v>575</v>
      </c>
      <c r="AO382" s="57" t="str">
        <f aca="false">IF(C382="County",IF(AL382="Rest of county","Remainder of County","Settlements"),IF(D382="City Centre","City Centre","Rest of City"))</f>
        <v>Settlements</v>
      </c>
      <c r="AP382" s="57" t="str">
        <f aca="false">IF(LEFT(B382,13)="Council audit","Audit",IF(LEFT(B382,8)="Planning","Consent","Zoned"))</f>
        <v>Zoned</v>
      </c>
      <c r="AQ382" s="57" t="n">
        <f aca="false">IF(N(K382)&gt;0,I382*Y382/K382,0)</f>
        <v>1.7</v>
      </c>
    </row>
    <row r="383" customFormat="false" ht="15" hidden="false" customHeight="false" outlineLevel="0" collapsed="false">
      <c r="A383" s="57" t="s">
        <v>1203</v>
      </c>
      <c r="B383" s="57" t="s">
        <v>219</v>
      </c>
      <c r="C383" s="57" t="s">
        <v>220</v>
      </c>
      <c r="D383" s="57" t="s">
        <v>220</v>
      </c>
      <c r="E383" s="57" t="s">
        <v>1204</v>
      </c>
      <c r="F383" s="57" t="s">
        <v>1115</v>
      </c>
      <c r="G383" s="57"/>
      <c r="H383" s="57"/>
      <c r="I383" s="57" t="n">
        <v>1.334</v>
      </c>
      <c r="J383" s="57" t="n">
        <v>1.466</v>
      </c>
      <c r="K383" s="57" t="n">
        <v>25</v>
      </c>
      <c r="L383" s="57" t="s">
        <v>1110</v>
      </c>
      <c r="M383" s="57" t="s">
        <v>1171</v>
      </c>
      <c r="N383" s="57" t="s">
        <v>1116</v>
      </c>
      <c r="O383" s="57" t="n">
        <v>19</v>
      </c>
      <c r="P383" s="57" t="n">
        <v>1</v>
      </c>
      <c r="Q383" s="57"/>
      <c r="R383" s="57" t="n">
        <v>0</v>
      </c>
      <c r="S383" s="57" t="n">
        <v>0</v>
      </c>
      <c r="T383" s="57" t="n">
        <v>0</v>
      </c>
      <c r="U383" s="57" t="n">
        <v>0</v>
      </c>
      <c r="V383" s="57" t="n">
        <v>0</v>
      </c>
      <c r="W383" s="57" t="n">
        <v>0</v>
      </c>
      <c r="X383" s="57" t="n">
        <v>0</v>
      </c>
      <c r="Y383" s="57" t="n">
        <v>25</v>
      </c>
      <c r="Z383" s="57" t="n">
        <v>25</v>
      </c>
      <c r="AA383" s="57" t="n">
        <v>25</v>
      </c>
      <c r="AB383" s="57" t="n">
        <v>0</v>
      </c>
      <c r="AC383" s="57" t="n">
        <v>0</v>
      </c>
      <c r="AD383" s="57" t="n">
        <v>0</v>
      </c>
      <c r="AE383" s="57" t="n">
        <v>0</v>
      </c>
      <c r="AF383" s="57" t="n">
        <v>0</v>
      </c>
      <c r="AG383" s="57" t="n">
        <v>0</v>
      </c>
      <c r="AH383" s="57" t="s">
        <v>240</v>
      </c>
      <c r="AI383" s="57"/>
      <c r="AJ383" s="57" t="n">
        <v>0</v>
      </c>
      <c r="AK383" s="57" t="s">
        <v>350</v>
      </c>
      <c r="AL383" s="57" t="s">
        <v>349</v>
      </c>
      <c r="AM383" s="57" t="n">
        <v>0</v>
      </c>
      <c r="AN383" s="57" t="s">
        <v>1172</v>
      </c>
      <c r="AO383" s="57" t="str">
        <f aca="false">IF(C383="County",IF(AL383="Rest of county","Remainder of County","Settlements"),IF(D383="City Centre","City Centre","Rest of City"))</f>
        <v>Settlements</v>
      </c>
      <c r="AP383" s="57" t="str">
        <f aca="false">IF(LEFT(B383,13)="Council audit","Audit",IF(LEFT(B383,8)="Planning","Consent","Zoned"))</f>
        <v>Zoned</v>
      </c>
      <c r="AQ383" s="57" t="n">
        <f aca="false">IF(N(K383)&gt;0,I383*Y383/K383,0)</f>
        <v>1.334</v>
      </c>
    </row>
    <row r="384" customFormat="false" ht="15" hidden="false" customHeight="false" outlineLevel="0" collapsed="false">
      <c r="A384" s="57" t="s">
        <v>1205</v>
      </c>
      <c r="B384" s="57" t="s">
        <v>219</v>
      </c>
      <c r="C384" s="57" t="s">
        <v>220</v>
      </c>
      <c r="D384" s="57" t="s">
        <v>220</v>
      </c>
      <c r="E384" s="57" t="s">
        <v>1174</v>
      </c>
      <c r="F384" s="57" t="s">
        <v>1109</v>
      </c>
      <c r="G384" s="57"/>
      <c r="H384" s="57"/>
      <c r="I384" s="57" t="n">
        <v>1.134</v>
      </c>
      <c r="J384" s="57" t="n">
        <v>1.246</v>
      </c>
      <c r="K384" s="57" t="n">
        <v>28</v>
      </c>
      <c r="L384" s="57" t="s">
        <v>1110</v>
      </c>
      <c r="M384" s="57" t="s">
        <v>1175</v>
      </c>
      <c r="N384" s="57" t="s">
        <v>1112</v>
      </c>
      <c r="O384" s="57" t="n">
        <v>25</v>
      </c>
      <c r="P384" s="57" t="n">
        <v>0</v>
      </c>
      <c r="Q384" s="57"/>
      <c r="R384" s="57" t="n">
        <v>0</v>
      </c>
      <c r="S384" s="57" t="n">
        <v>0</v>
      </c>
      <c r="T384" s="57" t="n">
        <v>0</v>
      </c>
      <c r="U384" s="57" t="n">
        <v>0</v>
      </c>
      <c r="V384" s="57" t="n">
        <v>0</v>
      </c>
      <c r="W384" s="57" t="n">
        <v>0</v>
      </c>
      <c r="X384" s="57" t="n">
        <v>0</v>
      </c>
      <c r="Y384" s="57" t="n">
        <v>28</v>
      </c>
      <c r="Z384" s="57" t="n">
        <v>28</v>
      </c>
      <c r="AA384" s="57" t="n">
        <v>28</v>
      </c>
      <c r="AB384" s="57" t="n">
        <v>0</v>
      </c>
      <c r="AC384" s="57" t="n">
        <v>0</v>
      </c>
      <c r="AD384" s="57" t="n">
        <v>0</v>
      </c>
      <c r="AE384" s="57" t="n">
        <v>0</v>
      </c>
      <c r="AF384" s="57" t="n">
        <v>0</v>
      </c>
      <c r="AG384" s="57" t="n">
        <v>0</v>
      </c>
      <c r="AH384" s="57" t="s">
        <v>240</v>
      </c>
      <c r="AI384" s="57"/>
      <c r="AJ384" s="57" t="n">
        <v>0</v>
      </c>
      <c r="AK384" s="57" t="s">
        <v>348</v>
      </c>
      <c r="AL384" s="57" t="s">
        <v>349</v>
      </c>
      <c r="AM384" s="57" t="n">
        <v>1</v>
      </c>
      <c r="AN384" s="57" t="s">
        <v>575</v>
      </c>
      <c r="AO384" s="57" t="str">
        <f aca="false">IF(C384="County",IF(AL384="Rest of county","Remainder of County","Settlements"),IF(D384="City Centre","City Centre","Rest of City"))</f>
        <v>Settlements</v>
      </c>
      <c r="AP384" s="57" t="str">
        <f aca="false">IF(LEFT(B384,13)="Council audit","Audit",IF(LEFT(B384,8)="Planning","Consent","Zoned"))</f>
        <v>Zoned</v>
      </c>
      <c r="AQ384" s="57" t="n">
        <f aca="false">IF(N(K384)&gt;0,I384*Y384/K384,0)</f>
        <v>1.134</v>
      </c>
    </row>
    <row r="385" customFormat="false" ht="15" hidden="false" customHeight="false" outlineLevel="0" collapsed="false">
      <c r="A385" s="57" t="s">
        <v>1206</v>
      </c>
      <c r="B385" s="57" t="s">
        <v>219</v>
      </c>
      <c r="C385" s="57" t="s">
        <v>220</v>
      </c>
      <c r="D385" s="57" t="s">
        <v>220</v>
      </c>
      <c r="E385" s="57" t="s">
        <v>1207</v>
      </c>
      <c r="F385" s="57" t="s">
        <v>1115</v>
      </c>
      <c r="G385" s="57"/>
      <c r="H385" s="57"/>
      <c r="I385" s="57" t="n">
        <v>1.504</v>
      </c>
      <c r="J385" s="57" t="n">
        <v>1.653</v>
      </c>
      <c r="K385" s="57" t="n">
        <v>29</v>
      </c>
      <c r="L385" s="57" t="s">
        <v>1110</v>
      </c>
      <c r="M385" s="57" t="s">
        <v>1196</v>
      </c>
      <c r="N385" s="57" t="s">
        <v>1116</v>
      </c>
      <c r="O385" s="57" t="n">
        <v>19</v>
      </c>
      <c r="P385" s="57" t="n">
        <v>0</v>
      </c>
      <c r="Q385" s="57"/>
      <c r="R385" s="57" t="n">
        <v>0</v>
      </c>
      <c r="S385" s="57" t="n">
        <v>0</v>
      </c>
      <c r="T385" s="57" t="n">
        <v>0</v>
      </c>
      <c r="U385" s="57" t="n">
        <v>0</v>
      </c>
      <c r="V385" s="57" t="n">
        <v>0</v>
      </c>
      <c r="W385" s="57" t="n">
        <v>0</v>
      </c>
      <c r="X385" s="57" t="n">
        <v>0</v>
      </c>
      <c r="Y385" s="57" t="n">
        <v>29</v>
      </c>
      <c r="Z385" s="57" t="n">
        <v>29</v>
      </c>
      <c r="AA385" s="57" t="n">
        <v>29</v>
      </c>
      <c r="AB385" s="57" t="n">
        <v>0</v>
      </c>
      <c r="AC385" s="57" t="n">
        <v>0</v>
      </c>
      <c r="AD385" s="57" t="n">
        <v>0</v>
      </c>
      <c r="AE385" s="57" t="n">
        <v>0</v>
      </c>
      <c r="AF385" s="57" t="n">
        <v>0</v>
      </c>
      <c r="AG385" s="57" t="n">
        <v>0</v>
      </c>
      <c r="AH385" s="57" t="s">
        <v>240</v>
      </c>
      <c r="AI385" s="57"/>
      <c r="AJ385" s="57" t="n">
        <v>0</v>
      </c>
      <c r="AK385" s="57" t="s">
        <v>353</v>
      </c>
      <c r="AL385" s="57" t="s">
        <v>349</v>
      </c>
      <c r="AM385" s="57" t="n">
        <v>0</v>
      </c>
      <c r="AN385" s="57" t="s">
        <v>1208</v>
      </c>
      <c r="AO385" s="57" t="str">
        <f aca="false">IF(C385="County",IF(AL385="Rest of county","Remainder of County","Settlements"),IF(D385="City Centre","City Centre","Rest of City"))</f>
        <v>Settlements</v>
      </c>
      <c r="AP385" s="57" t="str">
        <f aca="false">IF(LEFT(B385,13)="Council audit","Audit",IF(LEFT(B385,8)="Planning","Consent","Zoned"))</f>
        <v>Zoned</v>
      </c>
      <c r="AQ385" s="57" t="n">
        <f aca="false">IF(N(K385)&gt;0,I385*Y385/K385,0)</f>
        <v>1.504</v>
      </c>
    </row>
    <row r="386" customFormat="false" ht="15" hidden="false" customHeight="false" outlineLevel="0" collapsed="false">
      <c r="A386" s="57" t="s">
        <v>1209</v>
      </c>
      <c r="B386" s="57" t="s">
        <v>219</v>
      </c>
      <c r="C386" s="57" t="s">
        <v>220</v>
      </c>
      <c r="D386" s="57" t="s">
        <v>220</v>
      </c>
      <c r="E386" s="57" t="s">
        <v>1162</v>
      </c>
      <c r="F386" s="57" t="s">
        <v>1163</v>
      </c>
      <c r="G386" s="57"/>
      <c r="H386" s="57"/>
      <c r="I386" s="57" t="n">
        <v>0.35</v>
      </c>
      <c r="J386" s="57" t="n">
        <v>0.384</v>
      </c>
      <c r="K386" s="57" t="n">
        <v>9</v>
      </c>
      <c r="L386" s="57" t="s">
        <v>1110</v>
      </c>
      <c r="M386" s="57" t="s">
        <v>1164</v>
      </c>
      <c r="N386" s="57" t="s">
        <v>1112</v>
      </c>
      <c r="O386" s="57" t="n">
        <v>25</v>
      </c>
      <c r="P386" s="57" t="n">
        <v>1</v>
      </c>
      <c r="Q386" s="57"/>
      <c r="R386" s="57" t="n">
        <v>0</v>
      </c>
      <c r="S386" s="57" t="n">
        <v>0</v>
      </c>
      <c r="T386" s="57" t="n">
        <v>0</v>
      </c>
      <c r="U386" s="57" t="n">
        <v>0</v>
      </c>
      <c r="V386" s="57" t="n">
        <v>0</v>
      </c>
      <c r="W386" s="57" t="n">
        <v>0</v>
      </c>
      <c r="X386" s="57" t="n">
        <v>0</v>
      </c>
      <c r="Y386" s="57" t="n">
        <v>9</v>
      </c>
      <c r="Z386" s="57" t="n">
        <v>9</v>
      </c>
      <c r="AA386" s="57" t="n">
        <v>9</v>
      </c>
      <c r="AB386" s="57" t="n">
        <v>0</v>
      </c>
      <c r="AC386" s="57" t="n">
        <v>0</v>
      </c>
      <c r="AD386" s="57" t="n">
        <v>0</v>
      </c>
      <c r="AE386" s="57" t="n">
        <v>0</v>
      </c>
      <c r="AF386" s="57" t="n">
        <v>0</v>
      </c>
      <c r="AG386" s="57" t="n">
        <v>0</v>
      </c>
      <c r="AH386" s="57" t="s">
        <v>240</v>
      </c>
      <c r="AI386" s="57"/>
      <c r="AJ386" s="57" t="n">
        <v>0</v>
      </c>
      <c r="AK386" s="57" t="s">
        <v>364</v>
      </c>
      <c r="AL386" s="57" t="s">
        <v>356</v>
      </c>
      <c r="AM386" s="57" t="n">
        <v>1</v>
      </c>
      <c r="AN386" s="57" t="s">
        <v>575</v>
      </c>
      <c r="AO386" s="57" t="str">
        <f aca="false">IF(C386="County",IF(AL386="Rest of county","Remainder of County","Settlements"),IF(D386="City Centre","City Centre","Rest of City"))</f>
        <v>Settlements</v>
      </c>
      <c r="AP386" s="57" t="str">
        <f aca="false">IF(LEFT(B386,13)="Council audit","Audit",IF(LEFT(B386,8)="Planning","Consent","Zoned"))</f>
        <v>Zoned</v>
      </c>
      <c r="AQ386" s="57" t="n">
        <f aca="false">IF(N(K386)&gt;0,I386*Y386/K386,0)</f>
        <v>0.35</v>
      </c>
    </row>
    <row r="387" customFormat="false" ht="15" hidden="false" customHeight="false" outlineLevel="0" collapsed="false">
      <c r="A387" s="57" t="s">
        <v>1210</v>
      </c>
      <c r="B387" s="57" t="s">
        <v>219</v>
      </c>
      <c r="C387" s="57" t="s">
        <v>220</v>
      </c>
      <c r="D387" s="57" t="s">
        <v>220</v>
      </c>
      <c r="E387" s="57" t="s">
        <v>1198</v>
      </c>
      <c r="F387" s="57" t="s">
        <v>1199</v>
      </c>
      <c r="G387" s="57"/>
      <c r="H387" s="57"/>
      <c r="I387" s="57" t="n">
        <v>1.11</v>
      </c>
      <c r="J387" s="57" t="n">
        <v>1.22</v>
      </c>
      <c r="K387" s="57" t="n">
        <v>28</v>
      </c>
      <c r="L387" s="57" t="s">
        <v>1110</v>
      </c>
      <c r="M387" s="57" t="s">
        <v>1200</v>
      </c>
      <c r="N387" s="57" t="s">
        <v>1112</v>
      </c>
      <c r="O387" s="57" t="n">
        <v>25</v>
      </c>
      <c r="P387" s="57" t="n">
        <v>1</v>
      </c>
      <c r="Q387" s="57"/>
      <c r="R387" s="57" t="n">
        <v>0</v>
      </c>
      <c r="S387" s="57" t="n">
        <v>0</v>
      </c>
      <c r="T387" s="57" t="n">
        <v>0</v>
      </c>
      <c r="U387" s="57" t="n">
        <v>0</v>
      </c>
      <c r="V387" s="57" t="n">
        <v>0</v>
      </c>
      <c r="W387" s="57" t="n">
        <v>0</v>
      </c>
      <c r="X387" s="57" t="n">
        <v>0</v>
      </c>
      <c r="Y387" s="57" t="n">
        <v>28</v>
      </c>
      <c r="Z387" s="57" t="n">
        <v>28</v>
      </c>
      <c r="AA387" s="57" t="n">
        <v>28</v>
      </c>
      <c r="AB387" s="57" t="n">
        <v>0</v>
      </c>
      <c r="AC387" s="57" t="n">
        <v>0</v>
      </c>
      <c r="AD387" s="57" t="n">
        <v>0</v>
      </c>
      <c r="AE387" s="57" t="n">
        <v>0</v>
      </c>
      <c r="AF387" s="57" t="n">
        <v>0</v>
      </c>
      <c r="AG387" s="57" t="n">
        <v>0</v>
      </c>
      <c r="AH387" s="57" t="s">
        <v>240</v>
      </c>
      <c r="AI387" s="57"/>
      <c r="AJ387" s="57" t="n">
        <v>0</v>
      </c>
      <c r="AK387" s="57" t="s">
        <v>352</v>
      </c>
      <c r="AL387" s="57" t="s">
        <v>349</v>
      </c>
      <c r="AM387" s="57" t="n">
        <v>0.74</v>
      </c>
      <c r="AN387" s="57" t="s">
        <v>575</v>
      </c>
      <c r="AO387" s="57" t="str">
        <f aca="false">IF(C387="County",IF(AL387="Rest of county","Remainder of County","Settlements"),IF(D387="City Centre","City Centre","Rest of City"))</f>
        <v>Settlements</v>
      </c>
      <c r="AP387" s="57" t="str">
        <f aca="false">IF(LEFT(B387,13)="Council audit","Audit",IF(LEFT(B387,8)="Planning","Consent","Zoned"))</f>
        <v>Zoned</v>
      </c>
      <c r="AQ387" s="57" t="n">
        <f aca="false">IF(N(K387)&gt;0,I387*Y387/K387,0)</f>
        <v>1.11</v>
      </c>
    </row>
    <row r="388" customFormat="false" ht="15" hidden="false" customHeight="false" outlineLevel="0" collapsed="false">
      <c r="A388" s="57" t="s">
        <v>1211</v>
      </c>
      <c r="B388" s="57" t="s">
        <v>219</v>
      </c>
      <c r="C388" s="57" t="s">
        <v>220</v>
      </c>
      <c r="D388" s="57" t="s">
        <v>220</v>
      </c>
      <c r="E388" s="57" t="s">
        <v>1198</v>
      </c>
      <c r="F388" s="57" t="s">
        <v>1199</v>
      </c>
      <c r="G388" s="57"/>
      <c r="H388" s="57"/>
      <c r="I388" s="57" t="n">
        <v>1.218</v>
      </c>
      <c r="J388" s="57" t="n">
        <v>1.339</v>
      </c>
      <c r="K388" s="57" t="n">
        <v>30</v>
      </c>
      <c r="L388" s="57" t="s">
        <v>1110</v>
      </c>
      <c r="M388" s="57" t="s">
        <v>1200</v>
      </c>
      <c r="N388" s="57" t="s">
        <v>1112</v>
      </c>
      <c r="O388" s="57" t="n">
        <v>25</v>
      </c>
      <c r="P388" s="57" t="n">
        <v>0</v>
      </c>
      <c r="Q388" s="57"/>
      <c r="R388" s="57" t="n">
        <v>0</v>
      </c>
      <c r="S388" s="57" t="n">
        <v>0</v>
      </c>
      <c r="T388" s="57" t="n">
        <v>0</v>
      </c>
      <c r="U388" s="57" t="n">
        <v>0</v>
      </c>
      <c r="V388" s="57" t="n">
        <v>0</v>
      </c>
      <c r="W388" s="57" t="n">
        <v>0</v>
      </c>
      <c r="X388" s="57" t="n">
        <v>0</v>
      </c>
      <c r="Y388" s="57" t="n">
        <v>30</v>
      </c>
      <c r="Z388" s="57" t="n">
        <v>30</v>
      </c>
      <c r="AA388" s="57" t="n">
        <v>30</v>
      </c>
      <c r="AB388" s="57" t="n">
        <v>0</v>
      </c>
      <c r="AC388" s="57" t="n">
        <v>0</v>
      </c>
      <c r="AD388" s="57" t="n">
        <v>0</v>
      </c>
      <c r="AE388" s="57" t="n">
        <v>0</v>
      </c>
      <c r="AF388" s="57" t="n">
        <v>0</v>
      </c>
      <c r="AG388" s="57" t="n">
        <v>0</v>
      </c>
      <c r="AH388" s="57" t="s">
        <v>240</v>
      </c>
      <c r="AI388" s="57"/>
      <c r="AJ388" s="57" t="n">
        <v>0</v>
      </c>
      <c r="AK388" s="57" t="s">
        <v>352</v>
      </c>
      <c r="AL388" s="57" t="s">
        <v>349</v>
      </c>
      <c r="AM388" s="57" t="n">
        <v>0</v>
      </c>
      <c r="AN388" s="57" t="s">
        <v>1201</v>
      </c>
      <c r="AO388" s="57" t="str">
        <f aca="false">IF(C388="County",IF(AL388="Rest of county","Remainder of County","Settlements"),IF(D388="City Centre","City Centre","Rest of City"))</f>
        <v>Settlements</v>
      </c>
      <c r="AP388" s="57" t="str">
        <f aca="false">IF(LEFT(B388,13)="Council audit","Audit",IF(LEFT(B388,8)="Planning","Consent","Zoned"))</f>
        <v>Zoned</v>
      </c>
      <c r="AQ388" s="57" t="n">
        <f aca="false">IF(N(K388)&gt;0,I388*Y388/K388,0)</f>
        <v>1.218</v>
      </c>
    </row>
    <row r="389" customFormat="false" ht="15" hidden="false" customHeight="false" outlineLevel="0" collapsed="false">
      <c r="A389" s="57" t="s">
        <v>1212</v>
      </c>
      <c r="B389" s="57" t="s">
        <v>219</v>
      </c>
      <c r="C389" s="57" t="s">
        <v>220</v>
      </c>
      <c r="D389" s="57" t="s">
        <v>220</v>
      </c>
      <c r="E389" s="57" t="s">
        <v>1174</v>
      </c>
      <c r="F389" s="57" t="s">
        <v>1109</v>
      </c>
      <c r="G389" s="57"/>
      <c r="H389" s="57"/>
      <c r="I389" s="57" t="n">
        <v>1.501</v>
      </c>
      <c r="J389" s="57" t="n">
        <v>1.649</v>
      </c>
      <c r="K389" s="57" t="n">
        <v>38</v>
      </c>
      <c r="L389" s="57" t="s">
        <v>1110</v>
      </c>
      <c r="M389" s="57" t="s">
        <v>1175</v>
      </c>
      <c r="N389" s="57" t="s">
        <v>1112</v>
      </c>
      <c r="O389" s="57" t="n">
        <v>25</v>
      </c>
      <c r="P389" s="57" t="n">
        <v>0</v>
      </c>
      <c r="Q389" s="57"/>
      <c r="R389" s="57" t="n">
        <v>0</v>
      </c>
      <c r="S389" s="57" t="n">
        <v>0</v>
      </c>
      <c r="T389" s="57" t="n">
        <v>0</v>
      </c>
      <c r="U389" s="57" t="n">
        <v>0</v>
      </c>
      <c r="V389" s="57" t="n">
        <v>0</v>
      </c>
      <c r="W389" s="57" t="n">
        <v>0</v>
      </c>
      <c r="X389" s="57" t="n">
        <v>0</v>
      </c>
      <c r="Y389" s="57" t="n">
        <v>38</v>
      </c>
      <c r="Z389" s="57" t="n">
        <v>38</v>
      </c>
      <c r="AA389" s="57" t="n">
        <v>38</v>
      </c>
      <c r="AB389" s="57" t="n">
        <v>0</v>
      </c>
      <c r="AC389" s="57" t="n">
        <v>0</v>
      </c>
      <c r="AD389" s="57" t="n">
        <v>0</v>
      </c>
      <c r="AE389" s="57" t="n">
        <v>0</v>
      </c>
      <c r="AF389" s="57" t="n">
        <v>0</v>
      </c>
      <c r="AG389" s="57" t="n">
        <v>0</v>
      </c>
      <c r="AH389" s="57" t="s">
        <v>240</v>
      </c>
      <c r="AI389" s="57"/>
      <c r="AJ389" s="57" t="n">
        <v>0</v>
      </c>
      <c r="AK389" s="57" t="s">
        <v>348</v>
      </c>
      <c r="AL389" s="57" t="s">
        <v>349</v>
      </c>
      <c r="AM389" s="57" t="n">
        <v>0.98</v>
      </c>
      <c r="AN389" s="57" t="s">
        <v>575</v>
      </c>
      <c r="AO389" s="57" t="str">
        <f aca="false">IF(C389="County",IF(AL389="Rest of county","Remainder of County","Settlements"),IF(D389="City Centre","City Centre","Rest of City"))</f>
        <v>Settlements</v>
      </c>
      <c r="AP389" s="57" t="str">
        <f aca="false">IF(LEFT(B389,13)="Council audit","Audit",IF(LEFT(B389,8)="Planning","Consent","Zoned"))</f>
        <v>Zoned</v>
      </c>
      <c r="AQ389" s="57" t="n">
        <f aca="false">IF(N(K389)&gt;0,I389*Y389/K389,0)</f>
        <v>1.501</v>
      </c>
    </row>
    <row r="390" customFormat="false" ht="15" hidden="false" customHeight="false" outlineLevel="0" collapsed="false">
      <c r="A390" s="57" t="s">
        <v>1213</v>
      </c>
      <c r="B390" s="57" t="s">
        <v>219</v>
      </c>
      <c r="C390" s="57" t="s">
        <v>220</v>
      </c>
      <c r="D390" s="57" t="s">
        <v>220</v>
      </c>
      <c r="E390" s="57" t="s">
        <v>1214</v>
      </c>
      <c r="F390" s="57" t="s">
        <v>1199</v>
      </c>
      <c r="G390" s="57"/>
      <c r="H390" s="57"/>
      <c r="I390" s="57" t="n">
        <v>0.891</v>
      </c>
      <c r="J390" s="57" t="n">
        <v>0.979</v>
      </c>
      <c r="K390" s="57" t="n">
        <v>22</v>
      </c>
      <c r="L390" s="57" t="s">
        <v>1110</v>
      </c>
      <c r="M390" s="57" t="s">
        <v>1183</v>
      </c>
      <c r="N390" s="57" t="s">
        <v>1112</v>
      </c>
      <c r="O390" s="57" t="n">
        <v>25</v>
      </c>
      <c r="P390" s="57" t="n">
        <v>0</v>
      </c>
      <c r="Q390" s="57"/>
      <c r="R390" s="57" t="n">
        <v>0</v>
      </c>
      <c r="S390" s="57" t="n">
        <v>0</v>
      </c>
      <c r="T390" s="57" t="n">
        <v>0</v>
      </c>
      <c r="U390" s="57" t="n">
        <v>0</v>
      </c>
      <c r="V390" s="57" t="n">
        <v>0</v>
      </c>
      <c r="W390" s="57" t="n">
        <v>0</v>
      </c>
      <c r="X390" s="57" t="n">
        <v>0</v>
      </c>
      <c r="Y390" s="57" t="n">
        <v>22</v>
      </c>
      <c r="Z390" s="57" t="n">
        <v>22</v>
      </c>
      <c r="AA390" s="57" t="n">
        <v>22</v>
      </c>
      <c r="AB390" s="57" t="n">
        <v>0</v>
      </c>
      <c r="AC390" s="57" t="n">
        <v>0</v>
      </c>
      <c r="AD390" s="57" t="n">
        <v>0</v>
      </c>
      <c r="AE390" s="57" t="n">
        <v>0</v>
      </c>
      <c r="AF390" s="57" t="n">
        <v>0</v>
      </c>
      <c r="AG390" s="57" t="n">
        <v>0</v>
      </c>
      <c r="AH390" s="57" t="s">
        <v>240</v>
      </c>
      <c r="AI390" s="57"/>
      <c r="AJ390" s="57" t="n">
        <v>0</v>
      </c>
      <c r="AK390" s="57" t="s">
        <v>360</v>
      </c>
      <c r="AL390" s="57" t="s">
        <v>356</v>
      </c>
      <c r="AM390" s="57" t="n">
        <v>1</v>
      </c>
      <c r="AN390" s="57" t="s">
        <v>575</v>
      </c>
      <c r="AO390" s="57" t="str">
        <f aca="false">IF(C390="County",IF(AL390="Rest of county","Remainder of County","Settlements"),IF(D390="City Centre","City Centre","Rest of City"))</f>
        <v>Settlements</v>
      </c>
      <c r="AP390" s="57" t="str">
        <f aca="false">IF(LEFT(B390,13)="Council audit","Audit",IF(LEFT(B390,8)="Planning","Consent","Zoned"))</f>
        <v>Zoned</v>
      </c>
      <c r="AQ390" s="57" t="n">
        <f aca="false">IF(N(K390)&gt;0,I390*Y390/K390,0)</f>
        <v>0.891</v>
      </c>
    </row>
    <row r="391" customFormat="false" ht="15" hidden="false" customHeight="false" outlineLevel="0" collapsed="false">
      <c r="A391" s="57" t="s">
        <v>1215</v>
      </c>
      <c r="B391" s="57" t="s">
        <v>219</v>
      </c>
      <c r="C391" s="57" t="s">
        <v>220</v>
      </c>
      <c r="D391" s="57" t="s">
        <v>220</v>
      </c>
      <c r="E391" s="57" t="s">
        <v>1158</v>
      </c>
      <c r="F391" s="57" t="s">
        <v>1109</v>
      </c>
      <c r="G391" s="57"/>
      <c r="H391" s="57"/>
      <c r="I391" s="57" t="n">
        <v>1.269</v>
      </c>
      <c r="J391" s="57" t="n">
        <v>1.395</v>
      </c>
      <c r="K391" s="57" t="n">
        <v>32</v>
      </c>
      <c r="L391" s="57" t="s">
        <v>1110</v>
      </c>
      <c r="M391" s="57" t="s">
        <v>1159</v>
      </c>
      <c r="N391" s="57" t="s">
        <v>1112</v>
      </c>
      <c r="O391" s="57" t="n">
        <v>25</v>
      </c>
      <c r="P391" s="57" t="n">
        <v>0</v>
      </c>
      <c r="Q391" s="57"/>
      <c r="R391" s="57" t="n">
        <v>0</v>
      </c>
      <c r="S391" s="57" t="n">
        <v>0</v>
      </c>
      <c r="T391" s="57" t="n">
        <v>0</v>
      </c>
      <c r="U391" s="57" t="n">
        <v>0</v>
      </c>
      <c r="V391" s="57" t="n">
        <v>0</v>
      </c>
      <c r="W391" s="57" t="n">
        <v>0</v>
      </c>
      <c r="X391" s="57" t="n">
        <v>0</v>
      </c>
      <c r="Y391" s="57" t="n">
        <v>32</v>
      </c>
      <c r="Z391" s="57" t="n">
        <v>32</v>
      </c>
      <c r="AA391" s="57" t="n">
        <v>32</v>
      </c>
      <c r="AB391" s="57" t="n">
        <v>0</v>
      </c>
      <c r="AC391" s="57" t="n">
        <v>0</v>
      </c>
      <c r="AD391" s="57" t="n">
        <v>0</v>
      </c>
      <c r="AE391" s="57" t="n">
        <v>0</v>
      </c>
      <c r="AF391" s="57" t="n">
        <v>0</v>
      </c>
      <c r="AG391" s="57" t="n">
        <v>0</v>
      </c>
      <c r="AH391" s="57" t="s">
        <v>240</v>
      </c>
      <c r="AI391" s="57"/>
      <c r="AJ391" s="57" t="n">
        <v>0</v>
      </c>
      <c r="AK391" s="57" t="s">
        <v>351</v>
      </c>
      <c r="AL391" s="57" t="s">
        <v>349</v>
      </c>
      <c r="AM391" s="57" t="n">
        <v>0.99</v>
      </c>
      <c r="AN391" s="57" t="s">
        <v>575</v>
      </c>
      <c r="AO391" s="57" t="str">
        <f aca="false">IF(C391="County",IF(AL391="Rest of county","Remainder of County","Settlements"),IF(D391="City Centre","City Centre","Rest of City"))</f>
        <v>Settlements</v>
      </c>
      <c r="AP391" s="57" t="str">
        <f aca="false">IF(LEFT(B391,13)="Council audit","Audit",IF(LEFT(B391,8)="Planning","Consent","Zoned"))</f>
        <v>Zoned</v>
      </c>
      <c r="AQ391" s="57" t="n">
        <f aca="false">IF(N(K391)&gt;0,I391*Y391/K391,0)</f>
        <v>1.269</v>
      </c>
    </row>
    <row r="392" customFormat="false" ht="15" hidden="false" customHeight="false" outlineLevel="0" collapsed="false">
      <c r="A392" s="57" t="s">
        <v>1216</v>
      </c>
      <c r="B392" s="57" t="s">
        <v>219</v>
      </c>
      <c r="C392" s="57" t="s">
        <v>220</v>
      </c>
      <c r="D392" s="57" t="s">
        <v>220</v>
      </c>
      <c r="E392" s="57" t="s">
        <v>1217</v>
      </c>
      <c r="F392" s="57" t="s">
        <v>1109</v>
      </c>
      <c r="G392" s="57"/>
      <c r="H392" s="57"/>
      <c r="I392" s="57" t="n">
        <v>0.109</v>
      </c>
      <c r="J392" s="57" t="n">
        <v>0.12</v>
      </c>
      <c r="K392" s="57" t="n">
        <v>3</v>
      </c>
      <c r="L392" s="57" t="s">
        <v>1110</v>
      </c>
      <c r="M392" s="57" t="s">
        <v>1192</v>
      </c>
      <c r="N392" s="57" t="s">
        <v>1112</v>
      </c>
      <c r="O392" s="57" t="n">
        <v>25</v>
      </c>
      <c r="P392" s="57" t="n">
        <v>1</v>
      </c>
      <c r="Q392" s="57"/>
      <c r="R392" s="57" t="n">
        <v>0</v>
      </c>
      <c r="S392" s="57" t="n">
        <v>0</v>
      </c>
      <c r="T392" s="57" t="n">
        <v>0</v>
      </c>
      <c r="U392" s="57" t="n">
        <v>0</v>
      </c>
      <c r="V392" s="57" t="n">
        <v>0</v>
      </c>
      <c r="W392" s="57" t="n">
        <v>0</v>
      </c>
      <c r="X392" s="57" t="n">
        <v>0</v>
      </c>
      <c r="Y392" s="57" t="n">
        <v>3</v>
      </c>
      <c r="Z392" s="57" t="n">
        <v>3</v>
      </c>
      <c r="AA392" s="57" t="n">
        <v>3</v>
      </c>
      <c r="AB392" s="57" t="n">
        <v>0</v>
      </c>
      <c r="AC392" s="57" t="n">
        <v>0</v>
      </c>
      <c r="AD392" s="57" t="n">
        <v>0</v>
      </c>
      <c r="AE392" s="57" t="n">
        <v>0</v>
      </c>
      <c r="AF392" s="57" t="n">
        <v>0</v>
      </c>
      <c r="AG392" s="57" t="n">
        <v>0</v>
      </c>
      <c r="AH392" s="57" t="s">
        <v>240</v>
      </c>
      <c r="AI392" s="57"/>
      <c r="AJ392" s="57" t="n">
        <v>0</v>
      </c>
      <c r="AK392" s="57" t="s">
        <v>355</v>
      </c>
      <c r="AL392" s="57" t="s">
        <v>356</v>
      </c>
      <c r="AM392" s="57" t="n">
        <v>0</v>
      </c>
      <c r="AN392" s="57" t="s">
        <v>1193</v>
      </c>
      <c r="AO392" s="57" t="str">
        <f aca="false">IF(C392="County",IF(AL392="Rest of county","Remainder of County","Settlements"),IF(D392="City Centre","City Centre","Rest of City"))</f>
        <v>Settlements</v>
      </c>
      <c r="AP392" s="57" t="str">
        <f aca="false">IF(LEFT(B392,13)="Council audit","Audit",IF(LEFT(B392,8)="Planning","Consent","Zoned"))</f>
        <v>Zoned</v>
      </c>
      <c r="AQ392" s="57" t="n">
        <f aca="false">IF(N(K392)&gt;0,I392*Y392/K392,0)</f>
        <v>0.109</v>
      </c>
    </row>
    <row r="393" customFormat="false" ht="15" hidden="false" customHeight="false" outlineLevel="0" collapsed="false">
      <c r="A393" s="57" t="s">
        <v>1218</v>
      </c>
      <c r="B393" s="57" t="s">
        <v>219</v>
      </c>
      <c r="C393" s="57" t="s">
        <v>220</v>
      </c>
      <c r="D393" s="57" t="s">
        <v>220</v>
      </c>
      <c r="E393" s="57" t="s">
        <v>1217</v>
      </c>
      <c r="F393" s="57" t="s">
        <v>1109</v>
      </c>
      <c r="G393" s="57"/>
      <c r="H393" s="57"/>
      <c r="I393" s="57" t="n">
        <v>1.594</v>
      </c>
      <c r="J393" s="57" t="n">
        <v>1.752</v>
      </c>
      <c r="K393" s="57" t="n">
        <v>40</v>
      </c>
      <c r="L393" s="57" t="s">
        <v>1110</v>
      </c>
      <c r="M393" s="57" t="s">
        <v>1192</v>
      </c>
      <c r="N393" s="57" t="s">
        <v>1112</v>
      </c>
      <c r="O393" s="57" t="n">
        <v>25</v>
      </c>
      <c r="P393" s="57" t="n">
        <v>1</v>
      </c>
      <c r="Q393" s="57"/>
      <c r="R393" s="57" t="n">
        <v>0</v>
      </c>
      <c r="S393" s="57" t="n">
        <v>0</v>
      </c>
      <c r="T393" s="57" t="n">
        <v>0</v>
      </c>
      <c r="U393" s="57" t="n">
        <v>0</v>
      </c>
      <c r="V393" s="57" t="n">
        <v>0</v>
      </c>
      <c r="W393" s="57" t="n">
        <v>0</v>
      </c>
      <c r="X393" s="57" t="n">
        <v>0</v>
      </c>
      <c r="Y393" s="57" t="n">
        <v>40</v>
      </c>
      <c r="Z393" s="57" t="n">
        <v>40</v>
      </c>
      <c r="AA393" s="57" t="n">
        <v>40</v>
      </c>
      <c r="AB393" s="57" t="n">
        <v>0</v>
      </c>
      <c r="AC393" s="57" t="n">
        <v>0</v>
      </c>
      <c r="AD393" s="57" t="n">
        <v>0</v>
      </c>
      <c r="AE393" s="57" t="n">
        <v>0</v>
      </c>
      <c r="AF393" s="57" t="n">
        <v>0</v>
      </c>
      <c r="AG393" s="57" t="n">
        <v>0</v>
      </c>
      <c r="AH393" s="57" t="s">
        <v>240</v>
      </c>
      <c r="AI393" s="57"/>
      <c r="AJ393" s="57" t="n">
        <v>0</v>
      </c>
      <c r="AK393" s="57" t="s">
        <v>355</v>
      </c>
      <c r="AL393" s="57" t="s">
        <v>356</v>
      </c>
      <c r="AM393" s="57" t="n">
        <v>0.6</v>
      </c>
      <c r="AN393" s="57" t="s">
        <v>575</v>
      </c>
      <c r="AO393" s="57" t="str">
        <f aca="false">IF(C393="County",IF(AL393="Rest of county","Remainder of County","Settlements"),IF(D393="City Centre","City Centre","Rest of City"))</f>
        <v>Settlements</v>
      </c>
      <c r="AP393" s="57" t="str">
        <f aca="false">IF(LEFT(B393,13)="Council audit","Audit",IF(LEFT(B393,8)="Planning","Consent","Zoned"))</f>
        <v>Zoned</v>
      </c>
      <c r="AQ393" s="57" t="n">
        <f aca="false">IF(N(K393)&gt;0,I393*Y393/K393,0)</f>
        <v>1.594</v>
      </c>
    </row>
    <row r="394" customFormat="false" ht="15" hidden="false" customHeight="false" outlineLevel="0" collapsed="false">
      <c r="A394" s="57" t="s">
        <v>1219</v>
      </c>
      <c r="B394" s="57" t="s">
        <v>219</v>
      </c>
      <c r="C394" s="57" t="s">
        <v>220</v>
      </c>
      <c r="D394" s="57" t="s">
        <v>220</v>
      </c>
      <c r="E394" s="57" t="s">
        <v>1220</v>
      </c>
      <c r="F394" s="57" t="s">
        <v>1221</v>
      </c>
      <c r="G394" s="57"/>
      <c r="H394" s="57"/>
      <c r="I394" s="57" t="n">
        <v>0.343</v>
      </c>
      <c r="J394" s="57" t="n">
        <v>0.377</v>
      </c>
      <c r="K394" s="57" t="n">
        <v>9</v>
      </c>
      <c r="L394" s="57" t="s">
        <v>1110</v>
      </c>
      <c r="M394" s="57" t="s">
        <v>1164</v>
      </c>
      <c r="N394" s="57" t="s">
        <v>1112</v>
      </c>
      <c r="O394" s="57" t="n">
        <v>25</v>
      </c>
      <c r="P394" s="57" t="n">
        <v>0</v>
      </c>
      <c r="Q394" s="57"/>
      <c r="R394" s="57" t="n">
        <v>0</v>
      </c>
      <c r="S394" s="57" t="n">
        <v>0</v>
      </c>
      <c r="T394" s="57" t="n">
        <v>0</v>
      </c>
      <c r="U394" s="57" t="n">
        <v>0</v>
      </c>
      <c r="V394" s="57" t="n">
        <v>0</v>
      </c>
      <c r="W394" s="57" t="n">
        <v>0</v>
      </c>
      <c r="X394" s="57" t="n">
        <v>0</v>
      </c>
      <c r="Y394" s="57" t="n">
        <v>9</v>
      </c>
      <c r="Z394" s="57" t="n">
        <v>9</v>
      </c>
      <c r="AA394" s="57" t="n">
        <v>9</v>
      </c>
      <c r="AB394" s="57" t="n">
        <v>0</v>
      </c>
      <c r="AC394" s="57" t="n">
        <v>0</v>
      </c>
      <c r="AD394" s="57" t="n">
        <v>0</v>
      </c>
      <c r="AE394" s="57" t="n">
        <v>0</v>
      </c>
      <c r="AF394" s="57" t="n">
        <v>0</v>
      </c>
      <c r="AG394" s="57" t="n">
        <v>0</v>
      </c>
      <c r="AH394" s="57" t="s">
        <v>240</v>
      </c>
      <c r="AI394" s="57"/>
      <c r="AJ394" s="57" t="n">
        <v>0</v>
      </c>
      <c r="AK394" s="57" t="s">
        <v>364</v>
      </c>
      <c r="AL394" s="57" t="s">
        <v>356</v>
      </c>
      <c r="AM394" s="57" t="n">
        <v>0.25</v>
      </c>
      <c r="AN394" s="57" t="s">
        <v>575</v>
      </c>
      <c r="AO394" s="57" t="str">
        <f aca="false">IF(C394="County",IF(AL394="Rest of county","Remainder of County","Settlements"),IF(D394="City Centre","City Centre","Rest of City"))</f>
        <v>Settlements</v>
      </c>
      <c r="AP394" s="57" t="str">
        <f aca="false">IF(LEFT(B394,13)="Council audit","Audit",IF(LEFT(B394,8)="Planning","Consent","Zoned"))</f>
        <v>Zoned</v>
      </c>
      <c r="AQ394" s="57" t="n">
        <f aca="false">IF(N(K394)&gt;0,I394*Y394/K394,0)</f>
        <v>0.343</v>
      </c>
    </row>
    <row r="395" customFormat="false" ht="15" hidden="false" customHeight="false" outlineLevel="0" collapsed="false">
      <c r="A395" s="57" t="s">
        <v>1222</v>
      </c>
      <c r="B395" s="57" t="s">
        <v>219</v>
      </c>
      <c r="C395" s="57" t="s">
        <v>220</v>
      </c>
      <c r="D395" s="57" t="s">
        <v>220</v>
      </c>
      <c r="E395" s="57" t="s">
        <v>1220</v>
      </c>
      <c r="F395" s="57" t="s">
        <v>1221</v>
      </c>
      <c r="G395" s="57"/>
      <c r="H395" s="57"/>
      <c r="I395" s="57" t="n">
        <v>0.167</v>
      </c>
      <c r="J395" s="57" t="n">
        <v>0.184</v>
      </c>
      <c r="K395" s="57" t="n">
        <v>4</v>
      </c>
      <c r="L395" s="57" t="s">
        <v>1110</v>
      </c>
      <c r="M395" s="57" t="s">
        <v>1164</v>
      </c>
      <c r="N395" s="57" t="s">
        <v>1112</v>
      </c>
      <c r="O395" s="57" t="n">
        <v>25</v>
      </c>
      <c r="P395" s="57" t="n">
        <v>0</v>
      </c>
      <c r="Q395" s="57"/>
      <c r="R395" s="57" t="n">
        <v>0</v>
      </c>
      <c r="S395" s="57" t="n">
        <v>0</v>
      </c>
      <c r="T395" s="57" t="n">
        <v>0</v>
      </c>
      <c r="U395" s="57" t="n">
        <v>0</v>
      </c>
      <c r="V395" s="57" t="n">
        <v>0</v>
      </c>
      <c r="W395" s="57" t="n">
        <v>0</v>
      </c>
      <c r="X395" s="57" t="n">
        <v>0</v>
      </c>
      <c r="Y395" s="57" t="n">
        <v>4</v>
      </c>
      <c r="Z395" s="57" t="n">
        <v>4</v>
      </c>
      <c r="AA395" s="57" t="n">
        <v>4</v>
      </c>
      <c r="AB395" s="57" t="n">
        <v>0</v>
      </c>
      <c r="AC395" s="57" t="n">
        <v>0</v>
      </c>
      <c r="AD395" s="57" t="n">
        <v>0</v>
      </c>
      <c r="AE395" s="57" t="n">
        <v>0</v>
      </c>
      <c r="AF395" s="57" t="n">
        <v>0</v>
      </c>
      <c r="AG395" s="57" t="n">
        <v>0</v>
      </c>
      <c r="AH395" s="57" t="s">
        <v>240</v>
      </c>
      <c r="AI395" s="57"/>
      <c r="AJ395" s="57" t="n">
        <v>0</v>
      </c>
      <c r="AK395" s="57" t="s">
        <v>364</v>
      </c>
      <c r="AL395" s="57" t="s">
        <v>356</v>
      </c>
      <c r="AM395" s="57" t="n">
        <v>0</v>
      </c>
      <c r="AN395" s="57" t="s">
        <v>1168</v>
      </c>
      <c r="AO395" s="57" t="str">
        <f aca="false">IF(C395="County",IF(AL395="Rest of county","Remainder of County","Settlements"),IF(D395="City Centre","City Centre","Rest of City"))</f>
        <v>Settlements</v>
      </c>
      <c r="AP395" s="57" t="str">
        <f aca="false">IF(LEFT(B395,13)="Council audit","Audit",IF(LEFT(B395,8)="Planning","Consent","Zoned"))</f>
        <v>Zoned</v>
      </c>
      <c r="AQ395" s="57" t="n">
        <f aca="false">IF(N(K395)&gt;0,I395*Y395/K395,0)</f>
        <v>0.167</v>
      </c>
    </row>
    <row r="396" customFormat="false" ht="15" hidden="false" customHeight="false" outlineLevel="0" collapsed="false">
      <c r="A396" s="57" t="s">
        <v>1223</v>
      </c>
      <c r="B396" s="57" t="s">
        <v>219</v>
      </c>
      <c r="C396" s="57" t="s">
        <v>220</v>
      </c>
      <c r="D396" s="57" t="s">
        <v>220</v>
      </c>
      <c r="E396" s="57" t="s">
        <v>1220</v>
      </c>
      <c r="F396" s="57" t="s">
        <v>1221</v>
      </c>
      <c r="G396" s="57"/>
      <c r="H396" s="57"/>
      <c r="I396" s="57" t="n">
        <v>0.496</v>
      </c>
      <c r="J396" s="57" t="n">
        <v>0.545</v>
      </c>
      <c r="K396" s="57" t="n">
        <v>12</v>
      </c>
      <c r="L396" s="57" t="s">
        <v>1110</v>
      </c>
      <c r="M396" s="57" t="s">
        <v>1164</v>
      </c>
      <c r="N396" s="57" t="s">
        <v>1112</v>
      </c>
      <c r="O396" s="57" t="n">
        <v>25</v>
      </c>
      <c r="P396" s="57" t="n">
        <v>0</v>
      </c>
      <c r="Q396" s="57"/>
      <c r="R396" s="57" t="n">
        <v>0</v>
      </c>
      <c r="S396" s="57" t="n">
        <v>0</v>
      </c>
      <c r="T396" s="57" t="n">
        <v>0</v>
      </c>
      <c r="U396" s="57" t="n">
        <v>0</v>
      </c>
      <c r="V396" s="57" t="n">
        <v>0</v>
      </c>
      <c r="W396" s="57" t="n">
        <v>0</v>
      </c>
      <c r="X396" s="57" t="n">
        <v>0</v>
      </c>
      <c r="Y396" s="57" t="n">
        <v>12</v>
      </c>
      <c r="Z396" s="57" t="n">
        <v>12</v>
      </c>
      <c r="AA396" s="57" t="n">
        <v>12</v>
      </c>
      <c r="AB396" s="57" t="n">
        <v>0</v>
      </c>
      <c r="AC396" s="57" t="n">
        <v>0</v>
      </c>
      <c r="AD396" s="57" t="n">
        <v>0</v>
      </c>
      <c r="AE396" s="57" t="n">
        <v>0</v>
      </c>
      <c r="AF396" s="57" t="n">
        <v>0</v>
      </c>
      <c r="AG396" s="57" t="n">
        <v>0</v>
      </c>
      <c r="AH396" s="57" t="s">
        <v>240</v>
      </c>
      <c r="AI396" s="57"/>
      <c r="AJ396" s="57" t="n">
        <v>0</v>
      </c>
      <c r="AK396" s="57" t="s">
        <v>364</v>
      </c>
      <c r="AL396" s="57" t="s">
        <v>356</v>
      </c>
      <c r="AM396" s="57" t="n">
        <v>0</v>
      </c>
      <c r="AN396" s="57" t="s">
        <v>1168</v>
      </c>
      <c r="AO396" s="57" t="str">
        <f aca="false">IF(C396="County",IF(AL396="Rest of county","Remainder of County","Settlements"),IF(D396="City Centre","City Centre","Rest of City"))</f>
        <v>Settlements</v>
      </c>
      <c r="AP396" s="57" t="str">
        <f aca="false">IF(LEFT(B396,13)="Council audit","Audit",IF(LEFT(B396,8)="Planning","Consent","Zoned"))</f>
        <v>Zoned</v>
      </c>
      <c r="AQ396" s="57" t="n">
        <f aca="false">IF(N(K396)&gt;0,I396*Y396/K396,0)</f>
        <v>0.496</v>
      </c>
    </row>
    <row r="397" customFormat="false" ht="15" hidden="false" customHeight="false" outlineLevel="0" collapsed="false">
      <c r="A397" s="57" t="s">
        <v>1224</v>
      </c>
      <c r="B397" s="57" t="s">
        <v>219</v>
      </c>
      <c r="C397" s="57" t="s">
        <v>220</v>
      </c>
      <c r="D397" s="57" t="s">
        <v>220</v>
      </c>
      <c r="E397" s="57" t="s">
        <v>1220</v>
      </c>
      <c r="F397" s="57" t="s">
        <v>1221</v>
      </c>
      <c r="G397" s="57"/>
      <c r="H397" s="57"/>
      <c r="I397" s="57" t="n">
        <v>0.383</v>
      </c>
      <c r="J397" s="57" t="n">
        <v>0.421</v>
      </c>
      <c r="K397" s="57" t="n">
        <v>10</v>
      </c>
      <c r="L397" s="57" t="s">
        <v>1110</v>
      </c>
      <c r="M397" s="57" t="s">
        <v>1164</v>
      </c>
      <c r="N397" s="57" t="s">
        <v>1112</v>
      </c>
      <c r="O397" s="57" t="n">
        <v>25</v>
      </c>
      <c r="P397" s="57" t="n">
        <v>0</v>
      </c>
      <c r="Q397" s="57"/>
      <c r="R397" s="57" t="n">
        <v>0</v>
      </c>
      <c r="S397" s="57" t="n">
        <v>0</v>
      </c>
      <c r="T397" s="57" t="n">
        <v>0</v>
      </c>
      <c r="U397" s="57" t="n">
        <v>0</v>
      </c>
      <c r="V397" s="57" t="n">
        <v>0</v>
      </c>
      <c r="W397" s="57" t="n">
        <v>0</v>
      </c>
      <c r="X397" s="57" t="n">
        <v>0</v>
      </c>
      <c r="Y397" s="57" t="n">
        <v>10</v>
      </c>
      <c r="Z397" s="57" t="n">
        <v>10</v>
      </c>
      <c r="AA397" s="57" t="n">
        <v>10</v>
      </c>
      <c r="AB397" s="57" t="n">
        <v>0</v>
      </c>
      <c r="AC397" s="57" t="n">
        <v>0</v>
      </c>
      <c r="AD397" s="57" t="n">
        <v>0</v>
      </c>
      <c r="AE397" s="57" t="n">
        <v>0</v>
      </c>
      <c r="AF397" s="57" t="n">
        <v>0</v>
      </c>
      <c r="AG397" s="57" t="n">
        <v>0</v>
      </c>
      <c r="AH397" s="57" t="s">
        <v>240</v>
      </c>
      <c r="AI397" s="57"/>
      <c r="AJ397" s="57" t="n">
        <v>0</v>
      </c>
      <c r="AK397" s="57" t="s">
        <v>364</v>
      </c>
      <c r="AL397" s="57" t="s">
        <v>356</v>
      </c>
      <c r="AM397" s="57" t="n">
        <v>0</v>
      </c>
      <c r="AN397" s="57" t="s">
        <v>1168</v>
      </c>
      <c r="AO397" s="57" t="str">
        <f aca="false">IF(C397="County",IF(AL397="Rest of county","Remainder of County","Settlements"),IF(D397="City Centre","City Centre","Rest of City"))</f>
        <v>Settlements</v>
      </c>
      <c r="AP397" s="57" t="str">
        <f aca="false">IF(LEFT(B397,13)="Council audit","Audit",IF(LEFT(B397,8)="Planning","Consent","Zoned"))</f>
        <v>Zoned</v>
      </c>
      <c r="AQ397" s="57" t="n">
        <f aca="false">IF(N(K397)&gt;0,I397*Y397/K397,0)</f>
        <v>0.383</v>
      </c>
    </row>
    <row r="398" customFormat="false" ht="15" hidden="false" customHeight="false" outlineLevel="0" collapsed="false">
      <c r="A398" s="57" t="s">
        <v>1225</v>
      </c>
      <c r="B398" s="57" t="s">
        <v>219</v>
      </c>
      <c r="C398" s="57" t="s">
        <v>220</v>
      </c>
      <c r="D398" s="57" t="s">
        <v>220</v>
      </c>
      <c r="E398" s="57" t="s">
        <v>1195</v>
      </c>
      <c r="F398" s="57" t="s">
        <v>1109</v>
      </c>
      <c r="G398" s="57"/>
      <c r="H398" s="57"/>
      <c r="I398" s="57" t="n">
        <v>2.619</v>
      </c>
      <c r="J398" s="57" t="n">
        <v>2.878</v>
      </c>
      <c r="K398" s="57" t="n">
        <v>65</v>
      </c>
      <c r="L398" s="57" t="s">
        <v>1110</v>
      </c>
      <c r="M398" s="57" t="s">
        <v>1196</v>
      </c>
      <c r="N398" s="57" t="s">
        <v>1112</v>
      </c>
      <c r="O398" s="57" t="n">
        <v>25</v>
      </c>
      <c r="P398" s="57" t="n">
        <v>0.81</v>
      </c>
      <c r="Q398" s="57"/>
      <c r="R398" s="57" t="n">
        <v>0</v>
      </c>
      <c r="S398" s="57" t="n">
        <v>0</v>
      </c>
      <c r="T398" s="57" t="n">
        <v>0</v>
      </c>
      <c r="U398" s="57" t="n">
        <v>0</v>
      </c>
      <c r="V398" s="57" t="n">
        <v>0</v>
      </c>
      <c r="W398" s="57" t="n">
        <v>0</v>
      </c>
      <c r="X398" s="57" t="n">
        <v>0</v>
      </c>
      <c r="Y398" s="57" t="n">
        <v>65</v>
      </c>
      <c r="Z398" s="57" t="n">
        <v>65</v>
      </c>
      <c r="AA398" s="57" t="n">
        <v>65</v>
      </c>
      <c r="AB398" s="57" t="n">
        <v>0</v>
      </c>
      <c r="AC398" s="57" t="n">
        <v>0</v>
      </c>
      <c r="AD398" s="57" t="n">
        <v>0</v>
      </c>
      <c r="AE398" s="57" t="n">
        <v>0</v>
      </c>
      <c r="AF398" s="57" t="n">
        <v>0</v>
      </c>
      <c r="AG398" s="57" t="n">
        <v>0</v>
      </c>
      <c r="AH398" s="57" t="s">
        <v>240</v>
      </c>
      <c r="AI398" s="57"/>
      <c r="AJ398" s="57" t="n">
        <v>0</v>
      </c>
      <c r="AK398" s="57" t="s">
        <v>353</v>
      </c>
      <c r="AL398" s="57" t="s">
        <v>349</v>
      </c>
      <c r="AM398" s="57" t="n">
        <v>0</v>
      </c>
      <c r="AN398" s="57" t="s">
        <v>1208</v>
      </c>
      <c r="AO398" s="57" t="str">
        <f aca="false">IF(C398="County",IF(AL398="Rest of county","Remainder of County","Settlements"),IF(D398="City Centre","City Centre","Rest of City"))</f>
        <v>Settlements</v>
      </c>
      <c r="AP398" s="57" t="str">
        <f aca="false">IF(LEFT(B398,13)="Council audit","Audit",IF(LEFT(B398,8)="Planning","Consent","Zoned"))</f>
        <v>Zoned</v>
      </c>
      <c r="AQ398" s="57" t="n">
        <f aca="false">IF(N(K398)&gt;0,I398*Y398/K398,0)</f>
        <v>2.619</v>
      </c>
    </row>
    <row r="399" customFormat="false" ht="15" hidden="false" customHeight="false" outlineLevel="0" collapsed="false">
      <c r="A399" s="57" t="s">
        <v>1226</v>
      </c>
      <c r="B399" s="57" t="s">
        <v>219</v>
      </c>
      <c r="C399" s="57" t="s">
        <v>220</v>
      </c>
      <c r="D399" s="57" t="s">
        <v>220</v>
      </c>
      <c r="E399" s="57" t="s">
        <v>1195</v>
      </c>
      <c r="F399" s="57" t="s">
        <v>1109</v>
      </c>
      <c r="G399" s="57"/>
      <c r="H399" s="57"/>
      <c r="I399" s="57" t="n">
        <v>0.868</v>
      </c>
      <c r="J399" s="57" t="n">
        <v>0.954</v>
      </c>
      <c r="K399" s="57" t="n">
        <v>22</v>
      </c>
      <c r="L399" s="57" t="s">
        <v>1110</v>
      </c>
      <c r="M399" s="57" t="s">
        <v>1196</v>
      </c>
      <c r="N399" s="57" t="s">
        <v>1112</v>
      </c>
      <c r="O399" s="57" t="n">
        <v>25</v>
      </c>
      <c r="P399" s="57" t="n">
        <v>0</v>
      </c>
      <c r="Q399" s="57"/>
      <c r="R399" s="57" t="n">
        <v>0</v>
      </c>
      <c r="S399" s="57" t="n">
        <v>0</v>
      </c>
      <c r="T399" s="57" t="n">
        <v>0</v>
      </c>
      <c r="U399" s="57" t="n">
        <v>0</v>
      </c>
      <c r="V399" s="57" t="n">
        <v>0</v>
      </c>
      <c r="W399" s="57" t="n">
        <v>0</v>
      </c>
      <c r="X399" s="57" t="n">
        <v>0</v>
      </c>
      <c r="Y399" s="57" t="n">
        <v>22</v>
      </c>
      <c r="Z399" s="57" t="n">
        <v>22</v>
      </c>
      <c r="AA399" s="57" t="n">
        <v>22</v>
      </c>
      <c r="AB399" s="57" t="n">
        <v>0</v>
      </c>
      <c r="AC399" s="57" t="n">
        <v>0</v>
      </c>
      <c r="AD399" s="57" t="n">
        <v>0</v>
      </c>
      <c r="AE399" s="57" t="n">
        <v>0</v>
      </c>
      <c r="AF399" s="57" t="n">
        <v>0</v>
      </c>
      <c r="AG399" s="57" t="n">
        <v>0</v>
      </c>
      <c r="AH399" s="57" t="s">
        <v>240</v>
      </c>
      <c r="AI399" s="57"/>
      <c r="AJ399" s="57" t="n">
        <v>0</v>
      </c>
      <c r="AK399" s="57" t="s">
        <v>353</v>
      </c>
      <c r="AL399" s="57" t="s">
        <v>349</v>
      </c>
      <c r="AM399" s="57" t="n">
        <v>0</v>
      </c>
      <c r="AN399" s="57" t="s">
        <v>1208</v>
      </c>
      <c r="AO399" s="57" t="str">
        <f aca="false">IF(C399="County",IF(AL399="Rest of county","Remainder of County","Settlements"),IF(D399="City Centre","City Centre","Rest of City"))</f>
        <v>Settlements</v>
      </c>
      <c r="AP399" s="57" t="str">
        <f aca="false">IF(LEFT(B399,13)="Council audit","Audit",IF(LEFT(B399,8)="Planning","Consent","Zoned"))</f>
        <v>Zoned</v>
      </c>
      <c r="AQ399" s="57" t="n">
        <f aca="false">IF(N(K399)&gt;0,I399*Y399/K399,0)</f>
        <v>0.868</v>
      </c>
    </row>
    <row r="400" customFormat="false" ht="15" hidden="false" customHeight="false" outlineLevel="0" collapsed="false">
      <c r="A400" s="57" t="s">
        <v>1227</v>
      </c>
      <c r="B400" s="57" t="s">
        <v>219</v>
      </c>
      <c r="C400" s="57" t="s">
        <v>220</v>
      </c>
      <c r="D400" s="57" t="s">
        <v>220</v>
      </c>
      <c r="E400" s="57" t="s">
        <v>1214</v>
      </c>
      <c r="F400" s="57" t="s">
        <v>1199</v>
      </c>
      <c r="G400" s="57"/>
      <c r="H400" s="57"/>
      <c r="I400" s="57" t="n">
        <v>0.502</v>
      </c>
      <c r="J400" s="57" t="n">
        <v>0.551</v>
      </c>
      <c r="K400" s="57" t="n">
        <v>13</v>
      </c>
      <c r="L400" s="57" t="s">
        <v>1110</v>
      </c>
      <c r="M400" s="57" t="s">
        <v>1183</v>
      </c>
      <c r="N400" s="57" t="s">
        <v>1112</v>
      </c>
      <c r="O400" s="57" t="n">
        <v>25</v>
      </c>
      <c r="P400" s="57" t="n">
        <v>0</v>
      </c>
      <c r="Q400" s="57"/>
      <c r="R400" s="57" t="n">
        <v>0</v>
      </c>
      <c r="S400" s="57" t="n">
        <v>0</v>
      </c>
      <c r="T400" s="57" t="n">
        <v>0</v>
      </c>
      <c r="U400" s="57" t="n">
        <v>0</v>
      </c>
      <c r="V400" s="57" t="n">
        <v>0</v>
      </c>
      <c r="W400" s="57" t="n">
        <v>0</v>
      </c>
      <c r="X400" s="57" t="n">
        <v>0</v>
      </c>
      <c r="Y400" s="57" t="n">
        <v>13</v>
      </c>
      <c r="Z400" s="57" t="n">
        <v>13</v>
      </c>
      <c r="AA400" s="57" t="n">
        <v>13</v>
      </c>
      <c r="AB400" s="57" t="n">
        <v>0</v>
      </c>
      <c r="AC400" s="57" t="n">
        <v>0</v>
      </c>
      <c r="AD400" s="57" t="n">
        <v>0</v>
      </c>
      <c r="AE400" s="57" t="n">
        <v>0</v>
      </c>
      <c r="AF400" s="57" t="n">
        <v>0</v>
      </c>
      <c r="AG400" s="57" t="n">
        <v>0</v>
      </c>
      <c r="AH400" s="57" t="s">
        <v>240</v>
      </c>
      <c r="AI400" s="57"/>
      <c r="AJ400" s="57" t="n">
        <v>0</v>
      </c>
      <c r="AK400" s="57" t="s">
        <v>360</v>
      </c>
      <c r="AL400" s="57" t="s">
        <v>356</v>
      </c>
      <c r="AM400" s="57" t="n">
        <v>1</v>
      </c>
      <c r="AN400" s="57" t="s">
        <v>575</v>
      </c>
      <c r="AO400" s="57" t="str">
        <f aca="false">IF(C400="County",IF(AL400="Rest of county","Remainder of County","Settlements"),IF(D400="City Centre","City Centre","Rest of City"))</f>
        <v>Settlements</v>
      </c>
      <c r="AP400" s="57" t="str">
        <f aca="false">IF(LEFT(B400,13)="Council audit","Audit",IF(LEFT(B400,8)="Planning","Consent","Zoned"))</f>
        <v>Zoned</v>
      </c>
      <c r="AQ400" s="57" t="n">
        <f aca="false">IF(N(K400)&gt;0,I400*Y400/K400,0)</f>
        <v>0.502</v>
      </c>
    </row>
    <row r="401" customFormat="false" ht="15" hidden="false" customHeight="false" outlineLevel="0" collapsed="false">
      <c r="A401" s="57" t="s">
        <v>1228</v>
      </c>
      <c r="B401" s="57" t="s">
        <v>219</v>
      </c>
      <c r="C401" s="57" t="s">
        <v>220</v>
      </c>
      <c r="D401" s="57" t="s">
        <v>220</v>
      </c>
      <c r="E401" s="57" t="s">
        <v>1195</v>
      </c>
      <c r="F401" s="57" t="s">
        <v>1109</v>
      </c>
      <c r="G401" s="57"/>
      <c r="H401" s="57"/>
      <c r="I401" s="57" t="n">
        <v>0.509</v>
      </c>
      <c r="J401" s="57" t="n">
        <v>0.559</v>
      </c>
      <c r="K401" s="57" t="n">
        <v>13</v>
      </c>
      <c r="L401" s="57" t="s">
        <v>1110</v>
      </c>
      <c r="M401" s="57" t="s">
        <v>1196</v>
      </c>
      <c r="N401" s="57" t="s">
        <v>1112</v>
      </c>
      <c r="O401" s="57" t="n">
        <v>25</v>
      </c>
      <c r="P401" s="57" t="n">
        <v>1</v>
      </c>
      <c r="Q401" s="57"/>
      <c r="R401" s="57" t="n">
        <v>0</v>
      </c>
      <c r="S401" s="57" t="n">
        <v>0</v>
      </c>
      <c r="T401" s="57" t="n">
        <v>0</v>
      </c>
      <c r="U401" s="57" t="n">
        <v>0</v>
      </c>
      <c r="V401" s="57" t="n">
        <v>0</v>
      </c>
      <c r="W401" s="57" t="n">
        <v>0</v>
      </c>
      <c r="X401" s="57" t="n">
        <v>0</v>
      </c>
      <c r="Y401" s="57" t="n">
        <v>13</v>
      </c>
      <c r="Z401" s="57" t="n">
        <v>13</v>
      </c>
      <c r="AA401" s="57" t="n">
        <v>13</v>
      </c>
      <c r="AB401" s="57" t="n">
        <v>0</v>
      </c>
      <c r="AC401" s="57" t="n">
        <v>0</v>
      </c>
      <c r="AD401" s="57" t="n">
        <v>0</v>
      </c>
      <c r="AE401" s="57" t="n">
        <v>0</v>
      </c>
      <c r="AF401" s="57" t="n">
        <v>0</v>
      </c>
      <c r="AG401" s="57" t="n">
        <v>0</v>
      </c>
      <c r="AH401" s="57" t="s">
        <v>240</v>
      </c>
      <c r="AI401" s="57"/>
      <c r="AJ401" s="57" t="n">
        <v>0</v>
      </c>
      <c r="AK401" s="57" t="s">
        <v>353</v>
      </c>
      <c r="AL401" s="57" t="s">
        <v>349</v>
      </c>
      <c r="AM401" s="57" t="n">
        <v>1</v>
      </c>
      <c r="AN401" s="57" t="s">
        <v>575</v>
      </c>
      <c r="AO401" s="57" t="str">
        <f aca="false">IF(C401="County",IF(AL401="Rest of county","Remainder of County","Settlements"),IF(D401="City Centre","City Centre","Rest of City"))</f>
        <v>Settlements</v>
      </c>
      <c r="AP401" s="57" t="str">
        <f aca="false">IF(LEFT(B401,13)="Council audit","Audit",IF(LEFT(B401,8)="Planning","Consent","Zoned"))</f>
        <v>Zoned</v>
      </c>
      <c r="AQ401" s="57" t="n">
        <f aca="false">IF(N(K401)&gt;0,I401*Y401/K401,0)</f>
        <v>0.509</v>
      </c>
    </row>
    <row r="402" customFormat="false" ht="15" hidden="false" customHeight="false" outlineLevel="0" collapsed="false">
      <c r="A402" s="57" t="s">
        <v>1229</v>
      </c>
      <c r="B402" s="57" t="s">
        <v>219</v>
      </c>
      <c r="C402" s="57" t="s">
        <v>220</v>
      </c>
      <c r="D402" s="57" t="s">
        <v>220</v>
      </c>
      <c r="E402" s="57" t="s">
        <v>1174</v>
      </c>
      <c r="F402" s="57" t="s">
        <v>1109</v>
      </c>
      <c r="G402" s="57"/>
      <c r="H402" s="57"/>
      <c r="I402" s="57" t="n">
        <v>8.757</v>
      </c>
      <c r="J402" s="57" t="n">
        <v>9.623</v>
      </c>
      <c r="K402" s="57" t="n">
        <v>219</v>
      </c>
      <c r="L402" s="57" t="s">
        <v>1110</v>
      </c>
      <c r="M402" s="57" t="s">
        <v>1175</v>
      </c>
      <c r="N402" s="57" t="s">
        <v>1112</v>
      </c>
      <c r="O402" s="57" t="n">
        <v>25</v>
      </c>
      <c r="P402" s="57" t="n">
        <v>0</v>
      </c>
      <c r="Q402" s="57"/>
      <c r="R402" s="57" t="n">
        <v>0</v>
      </c>
      <c r="S402" s="57" t="n">
        <v>0</v>
      </c>
      <c r="T402" s="57" t="n">
        <v>0</v>
      </c>
      <c r="U402" s="57" t="n">
        <v>0</v>
      </c>
      <c r="V402" s="57" t="n">
        <v>0</v>
      </c>
      <c r="W402" s="57" t="n">
        <v>0</v>
      </c>
      <c r="X402" s="57" t="n">
        <v>0</v>
      </c>
      <c r="Y402" s="57" t="n">
        <v>219</v>
      </c>
      <c r="Z402" s="57" t="n">
        <v>219</v>
      </c>
      <c r="AA402" s="57" t="n">
        <v>219</v>
      </c>
      <c r="AB402" s="57" t="n">
        <v>0</v>
      </c>
      <c r="AC402" s="57" t="n">
        <v>0</v>
      </c>
      <c r="AD402" s="57" t="n">
        <v>0</v>
      </c>
      <c r="AE402" s="57" t="n">
        <v>0</v>
      </c>
      <c r="AF402" s="57" t="n">
        <v>0</v>
      </c>
      <c r="AG402" s="57" t="n">
        <v>0</v>
      </c>
      <c r="AH402" s="57" t="s">
        <v>240</v>
      </c>
      <c r="AI402" s="57"/>
      <c r="AJ402" s="57" t="n">
        <v>0</v>
      </c>
      <c r="AK402" s="57" t="s">
        <v>348</v>
      </c>
      <c r="AL402" s="57" t="s">
        <v>349</v>
      </c>
      <c r="AM402" s="57" t="n">
        <v>1</v>
      </c>
      <c r="AN402" s="57" t="s">
        <v>575</v>
      </c>
      <c r="AO402" s="57" t="str">
        <f aca="false">IF(C402="County",IF(AL402="Rest of county","Remainder of County","Settlements"),IF(D402="City Centre","City Centre","Rest of City"))</f>
        <v>Settlements</v>
      </c>
      <c r="AP402" s="57" t="str">
        <f aca="false">IF(LEFT(B402,13)="Council audit","Audit",IF(LEFT(B402,8)="Planning","Consent","Zoned"))</f>
        <v>Zoned</v>
      </c>
      <c r="AQ402" s="57" t="n">
        <f aca="false">IF(N(K402)&gt;0,I402*Y402/K402,0)</f>
        <v>8.757</v>
      </c>
    </row>
    <row r="403" customFormat="false" ht="15" hidden="false" customHeight="false" outlineLevel="0" collapsed="false">
      <c r="A403" s="57" t="s">
        <v>1230</v>
      </c>
      <c r="B403" s="57" t="s">
        <v>219</v>
      </c>
      <c r="C403" s="57" t="s">
        <v>220</v>
      </c>
      <c r="D403" s="57" t="s">
        <v>220</v>
      </c>
      <c r="E403" s="57" t="s">
        <v>1174</v>
      </c>
      <c r="F403" s="57" t="s">
        <v>1109</v>
      </c>
      <c r="G403" s="57"/>
      <c r="H403" s="57"/>
      <c r="I403" s="57" t="n">
        <v>3.411</v>
      </c>
      <c r="J403" s="57" t="n">
        <v>3.749</v>
      </c>
      <c r="K403" s="57" t="n">
        <v>85</v>
      </c>
      <c r="L403" s="57" t="s">
        <v>1110</v>
      </c>
      <c r="M403" s="57" t="s">
        <v>1175</v>
      </c>
      <c r="N403" s="57" t="s">
        <v>1112</v>
      </c>
      <c r="O403" s="57" t="n">
        <v>25</v>
      </c>
      <c r="P403" s="57" t="n">
        <v>0</v>
      </c>
      <c r="Q403" s="57"/>
      <c r="R403" s="57" t="n">
        <v>0</v>
      </c>
      <c r="S403" s="57" t="n">
        <v>0</v>
      </c>
      <c r="T403" s="57" t="n">
        <v>0</v>
      </c>
      <c r="U403" s="57" t="n">
        <v>0</v>
      </c>
      <c r="V403" s="57" t="n">
        <v>0</v>
      </c>
      <c r="W403" s="57" t="n">
        <v>0</v>
      </c>
      <c r="X403" s="57" t="n">
        <v>0</v>
      </c>
      <c r="Y403" s="57" t="n">
        <v>85</v>
      </c>
      <c r="Z403" s="57" t="n">
        <v>85</v>
      </c>
      <c r="AA403" s="57" t="n">
        <v>85</v>
      </c>
      <c r="AB403" s="57" t="n">
        <v>0</v>
      </c>
      <c r="AC403" s="57" t="n">
        <v>0</v>
      </c>
      <c r="AD403" s="57" t="n">
        <v>0</v>
      </c>
      <c r="AE403" s="57" t="n">
        <v>0</v>
      </c>
      <c r="AF403" s="57" t="n">
        <v>0</v>
      </c>
      <c r="AG403" s="57" t="n">
        <v>0</v>
      </c>
      <c r="AH403" s="57" t="s">
        <v>240</v>
      </c>
      <c r="AI403" s="57"/>
      <c r="AJ403" s="57" t="n">
        <v>0</v>
      </c>
      <c r="AK403" s="57" t="s">
        <v>348</v>
      </c>
      <c r="AL403" s="57" t="s">
        <v>349</v>
      </c>
      <c r="AM403" s="57" t="n">
        <v>0</v>
      </c>
      <c r="AN403" s="57" t="s">
        <v>1177</v>
      </c>
      <c r="AO403" s="57" t="str">
        <f aca="false">IF(C403="County",IF(AL403="Rest of county","Remainder of County","Settlements"),IF(D403="City Centre","City Centre","Rest of City"))</f>
        <v>Settlements</v>
      </c>
      <c r="AP403" s="57" t="str">
        <f aca="false">IF(LEFT(B403,13)="Council audit","Audit",IF(LEFT(B403,8)="Planning","Consent","Zoned"))</f>
        <v>Zoned</v>
      </c>
      <c r="AQ403" s="57" t="n">
        <f aca="false">IF(N(K403)&gt;0,I403*Y403/K403,0)</f>
        <v>3.411</v>
      </c>
    </row>
    <row r="404" customFormat="false" ht="15" hidden="false" customHeight="false" outlineLevel="0" collapsed="false">
      <c r="A404" s="57" t="s">
        <v>1231</v>
      </c>
      <c r="B404" s="57" t="s">
        <v>219</v>
      </c>
      <c r="C404" s="57" t="s">
        <v>220</v>
      </c>
      <c r="D404" s="57" t="s">
        <v>220</v>
      </c>
      <c r="E404" s="57" t="s">
        <v>1187</v>
      </c>
      <c r="F404" s="57" t="s">
        <v>1109</v>
      </c>
      <c r="G404" s="57"/>
      <c r="H404" s="57"/>
      <c r="I404" s="57" t="n">
        <v>0.229</v>
      </c>
      <c r="J404" s="57" t="n">
        <v>0.252</v>
      </c>
      <c r="K404" s="57" t="n">
        <v>6</v>
      </c>
      <c r="L404" s="57" t="s">
        <v>1110</v>
      </c>
      <c r="M404" s="57" t="s">
        <v>1188</v>
      </c>
      <c r="N404" s="57" t="s">
        <v>1112</v>
      </c>
      <c r="O404" s="57" t="n">
        <v>25</v>
      </c>
      <c r="P404" s="57" t="n">
        <v>1</v>
      </c>
      <c r="Q404" s="57"/>
      <c r="R404" s="57" t="n">
        <v>0</v>
      </c>
      <c r="S404" s="57" t="n">
        <v>0</v>
      </c>
      <c r="T404" s="57" t="n">
        <v>0</v>
      </c>
      <c r="U404" s="57" t="n">
        <v>0</v>
      </c>
      <c r="V404" s="57" t="n">
        <v>0</v>
      </c>
      <c r="W404" s="57" t="n">
        <v>0</v>
      </c>
      <c r="X404" s="57" t="n">
        <v>0</v>
      </c>
      <c r="Y404" s="57" t="n">
        <v>6</v>
      </c>
      <c r="Z404" s="57" t="n">
        <v>6</v>
      </c>
      <c r="AA404" s="57" t="n">
        <v>6</v>
      </c>
      <c r="AB404" s="57" t="n">
        <v>0</v>
      </c>
      <c r="AC404" s="57" t="n">
        <v>0</v>
      </c>
      <c r="AD404" s="57" t="n">
        <v>0</v>
      </c>
      <c r="AE404" s="57" t="n">
        <v>0</v>
      </c>
      <c r="AF404" s="57" t="n">
        <v>0</v>
      </c>
      <c r="AG404" s="57" t="n">
        <v>0</v>
      </c>
      <c r="AH404" s="57" t="s">
        <v>240</v>
      </c>
      <c r="AI404" s="57"/>
      <c r="AJ404" s="57" t="n">
        <v>0</v>
      </c>
      <c r="AK404" s="57" t="s">
        <v>354</v>
      </c>
      <c r="AL404" s="57" t="s">
        <v>349</v>
      </c>
      <c r="AM404" s="57" t="n">
        <v>1</v>
      </c>
      <c r="AN404" s="57" t="s">
        <v>575</v>
      </c>
      <c r="AO404" s="57" t="str">
        <f aca="false">IF(C404="County",IF(AL404="Rest of county","Remainder of County","Settlements"),IF(D404="City Centre","City Centre","Rest of City"))</f>
        <v>Settlements</v>
      </c>
      <c r="AP404" s="57" t="str">
        <f aca="false">IF(LEFT(B404,13)="Council audit","Audit",IF(LEFT(B404,8)="Planning","Consent","Zoned"))</f>
        <v>Zoned</v>
      </c>
      <c r="AQ404" s="57" t="n">
        <f aca="false">IF(N(K404)&gt;0,I404*Y404/K404,0)</f>
        <v>0.229</v>
      </c>
    </row>
    <row r="405" customFormat="false" ht="15" hidden="false" customHeight="false" outlineLevel="0" collapsed="false">
      <c r="A405" s="57" t="s">
        <v>1232</v>
      </c>
      <c r="B405" s="57" t="s">
        <v>219</v>
      </c>
      <c r="C405" s="57" t="s">
        <v>220</v>
      </c>
      <c r="D405" s="57" t="s">
        <v>220</v>
      </c>
      <c r="E405" s="57" t="s">
        <v>1204</v>
      </c>
      <c r="F405" s="57" t="s">
        <v>1115</v>
      </c>
      <c r="G405" s="57"/>
      <c r="H405" s="57"/>
      <c r="I405" s="57" t="n">
        <v>0.458</v>
      </c>
      <c r="J405" s="57" t="n">
        <v>0.504</v>
      </c>
      <c r="K405" s="57" t="n">
        <v>9</v>
      </c>
      <c r="L405" s="57" t="s">
        <v>1110</v>
      </c>
      <c r="M405" s="57" t="s">
        <v>1171</v>
      </c>
      <c r="N405" s="57" t="s">
        <v>1116</v>
      </c>
      <c r="O405" s="57" t="n">
        <v>19</v>
      </c>
      <c r="P405" s="57" t="n">
        <v>1</v>
      </c>
      <c r="Q405" s="57"/>
      <c r="R405" s="57" t="n">
        <v>0</v>
      </c>
      <c r="S405" s="57" t="n">
        <v>0</v>
      </c>
      <c r="T405" s="57" t="n">
        <v>0</v>
      </c>
      <c r="U405" s="57" t="n">
        <v>0</v>
      </c>
      <c r="V405" s="57" t="n">
        <v>0</v>
      </c>
      <c r="W405" s="57" t="n">
        <v>0</v>
      </c>
      <c r="X405" s="57" t="n">
        <v>0</v>
      </c>
      <c r="Y405" s="57" t="n">
        <v>9</v>
      </c>
      <c r="Z405" s="57" t="n">
        <v>9</v>
      </c>
      <c r="AA405" s="57" t="n">
        <v>9</v>
      </c>
      <c r="AB405" s="57" t="n">
        <v>0</v>
      </c>
      <c r="AC405" s="57" t="n">
        <v>0</v>
      </c>
      <c r="AD405" s="57" t="n">
        <v>0</v>
      </c>
      <c r="AE405" s="57" t="n">
        <v>0</v>
      </c>
      <c r="AF405" s="57" t="n">
        <v>0</v>
      </c>
      <c r="AG405" s="57" t="n">
        <v>0</v>
      </c>
      <c r="AH405" s="57" t="s">
        <v>240</v>
      </c>
      <c r="AI405" s="57"/>
      <c r="AJ405" s="57" t="n">
        <v>0</v>
      </c>
      <c r="AK405" s="57" t="s">
        <v>350</v>
      </c>
      <c r="AL405" s="57" t="s">
        <v>349</v>
      </c>
      <c r="AM405" s="57" t="n">
        <v>0</v>
      </c>
      <c r="AN405" s="57" t="s">
        <v>1172</v>
      </c>
      <c r="AO405" s="57" t="str">
        <f aca="false">IF(C405="County",IF(AL405="Rest of county","Remainder of County","Settlements"),IF(D405="City Centre","City Centre","Rest of City"))</f>
        <v>Settlements</v>
      </c>
      <c r="AP405" s="57" t="str">
        <f aca="false">IF(LEFT(B405,13)="Council audit","Audit",IF(LEFT(B405,8)="Planning","Consent","Zoned"))</f>
        <v>Zoned</v>
      </c>
      <c r="AQ405" s="57" t="n">
        <f aca="false">IF(N(K405)&gt;0,I405*Y405/K405,0)</f>
        <v>0.458</v>
      </c>
    </row>
    <row r="406" customFormat="false" ht="15" hidden="false" customHeight="false" outlineLevel="0" collapsed="false">
      <c r="A406" s="57" t="s">
        <v>1233</v>
      </c>
      <c r="B406" s="57" t="s">
        <v>219</v>
      </c>
      <c r="C406" s="57" t="s">
        <v>220</v>
      </c>
      <c r="D406" s="57" t="s">
        <v>220</v>
      </c>
      <c r="E406" s="57" t="s">
        <v>1217</v>
      </c>
      <c r="F406" s="57" t="s">
        <v>1109</v>
      </c>
      <c r="G406" s="57"/>
      <c r="H406" s="57"/>
      <c r="I406" s="57" t="n">
        <v>1.53</v>
      </c>
      <c r="J406" s="57" t="n">
        <v>1.681</v>
      </c>
      <c r="K406" s="57" t="n">
        <v>38</v>
      </c>
      <c r="L406" s="57" t="s">
        <v>1110</v>
      </c>
      <c r="M406" s="57" t="s">
        <v>1192</v>
      </c>
      <c r="N406" s="57" t="s">
        <v>1112</v>
      </c>
      <c r="O406" s="57" t="n">
        <v>25</v>
      </c>
      <c r="P406" s="57" t="n">
        <v>1</v>
      </c>
      <c r="Q406" s="57"/>
      <c r="R406" s="57" t="n">
        <v>0</v>
      </c>
      <c r="S406" s="57" t="n">
        <v>0</v>
      </c>
      <c r="T406" s="57" t="n">
        <v>0</v>
      </c>
      <c r="U406" s="57" t="n">
        <v>0</v>
      </c>
      <c r="V406" s="57" t="n">
        <v>0</v>
      </c>
      <c r="W406" s="57" t="n">
        <v>0</v>
      </c>
      <c r="X406" s="57" t="n">
        <v>0</v>
      </c>
      <c r="Y406" s="57" t="n">
        <v>38</v>
      </c>
      <c r="Z406" s="57" t="n">
        <v>38</v>
      </c>
      <c r="AA406" s="57" t="n">
        <v>38</v>
      </c>
      <c r="AB406" s="57" t="n">
        <v>0</v>
      </c>
      <c r="AC406" s="57" t="n">
        <v>0</v>
      </c>
      <c r="AD406" s="57" t="n">
        <v>0</v>
      </c>
      <c r="AE406" s="57" t="n">
        <v>0</v>
      </c>
      <c r="AF406" s="57" t="n">
        <v>0</v>
      </c>
      <c r="AG406" s="57" t="n">
        <v>0</v>
      </c>
      <c r="AH406" s="57" t="s">
        <v>240</v>
      </c>
      <c r="AI406" s="57"/>
      <c r="AJ406" s="57" t="n">
        <v>0</v>
      </c>
      <c r="AK406" s="57" t="s">
        <v>355</v>
      </c>
      <c r="AL406" s="57" t="s">
        <v>356</v>
      </c>
      <c r="AM406" s="57" t="n">
        <v>1</v>
      </c>
      <c r="AN406" s="57" t="s">
        <v>575</v>
      </c>
      <c r="AO406" s="57" t="str">
        <f aca="false">IF(C406="County",IF(AL406="Rest of county","Remainder of County","Settlements"),IF(D406="City Centre","City Centre","Rest of City"))</f>
        <v>Settlements</v>
      </c>
      <c r="AP406" s="57" t="str">
        <f aca="false">IF(LEFT(B406,13)="Council audit","Audit",IF(LEFT(B406,8)="Planning","Consent","Zoned"))</f>
        <v>Zoned</v>
      </c>
      <c r="AQ406" s="57" t="n">
        <f aca="false">IF(N(K406)&gt;0,I406*Y406/K406,0)</f>
        <v>1.53</v>
      </c>
    </row>
    <row r="407" customFormat="false" ht="15" hidden="false" customHeight="false" outlineLevel="0" collapsed="false">
      <c r="A407" s="57" t="s">
        <v>1234</v>
      </c>
      <c r="B407" s="57" t="s">
        <v>219</v>
      </c>
      <c r="C407" s="57" t="s">
        <v>220</v>
      </c>
      <c r="D407" s="57" t="s">
        <v>220</v>
      </c>
      <c r="E407" s="57" t="s">
        <v>1179</v>
      </c>
      <c r="F407" s="57" t="s">
        <v>1115</v>
      </c>
      <c r="G407" s="57"/>
      <c r="H407" s="57"/>
      <c r="I407" s="57" t="n">
        <v>1.776</v>
      </c>
      <c r="J407" s="57" t="n">
        <v>1.951</v>
      </c>
      <c r="K407" s="57" t="n">
        <v>34</v>
      </c>
      <c r="L407" s="57" t="s">
        <v>1110</v>
      </c>
      <c r="M407" s="57" t="s">
        <v>1175</v>
      </c>
      <c r="N407" s="57" t="s">
        <v>1116</v>
      </c>
      <c r="O407" s="57" t="n">
        <v>19</v>
      </c>
      <c r="P407" s="57" t="n">
        <v>0</v>
      </c>
      <c r="Q407" s="57"/>
      <c r="R407" s="57" t="n">
        <v>0</v>
      </c>
      <c r="S407" s="57" t="n">
        <v>0</v>
      </c>
      <c r="T407" s="57" t="n">
        <v>0</v>
      </c>
      <c r="U407" s="57" t="n">
        <v>0</v>
      </c>
      <c r="V407" s="57" t="n">
        <v>0</v>
      </c>
      <c r="W407" s="57" t="n">
        <v>0</v>
      </c>
      <c r="X407" s="57" t="n">
        <v>0</v>
      </c>
      <c r="Y407" s="57" t="n">
        <v>34</v>
      </c>
      <c r="Z407" s="57" t="n">
        <v>34</v>
      </c>
      <c r="AA407" s="57" t="n">
        <v>34</v>
      </c>
      <c r="AB407" s="57" t="n">
        <v>0</v>
      </c>
      <c r="AC407" s="57" t="n">
        <v>0</v>
      </c>
      <c r="AD407" s="57" t="n">
        <v>0</v>
      </c>
      <c r="AE407" s="57" t="n">
        <v>0</v>
      </c>
      <c r="AF407" s="57" t="n">
        <v>0</v>
      </c>
      <c r="AG407" s="57" t="n">
        <v>0</v>
      </c>
      <c r="AH407" s="57" t="s">
        <v>240</v>
      </c>
      <c r="AI407" s="57"/>
      <c r="AJ407" s="57" t="n">
        <v>0</v>
      </c>
      <c r="AK407" s="57" t="s">
        <v>348</v>
      </c>
      <c r="AL407" s="57" t="s">
        <v>349</v>
      </c>
      <c r="AM407" s="57" t="n">
        <v>1</v>
      </c>
      <c r="AN407" s="57" t="s">
        <v>575</v>
      </c>
      <c r="AO407" s="57" t="str">
        <f aca="false">IF(C407="County",IF(AL407="Rest of county","Remainder of County","Settlements"),IF(D407="City Centre","City Centre","Rest of City"))</f>
        <v>Settlements</v>
      </c>
      <c r="AP407" s="57" t="str">
        <f aca="false">IF(LEFT(B407,13)="Council audit","Audit",IF(LEFT(B407,8)="Planning","Consent","Zoned"))</f>
        <v>Zoned</v>
      </c>
      <c r="AQ407" s="57" t="n">
        <f aca="false">IF(N(K407)&gt;0,I407*Y407/K407,0)</f>
        <v>1.776</v>
      </c>
    </row>
    <row r="408" customFormat="false" ht="15" hidden="false" customHeight="false" outlineLevel="0" collapsed="false">
      <c r="A408" s="57" t="s">
        <v>1235</v>
      </c>
      <c r="B408" s="57" t="s">
        <v>219</v>
      </c>
      <c r="C408" s="57" t="s">
        <v>220</v>
      </c>
      <c r="D408" s="57" t="s">
        <v>220</v>
      </c>
      <c r="E408" s="57" t="s">
        <v>1191</v>
      </c>
      <c r="F408" s="57" t="s">
        <v>1115</v>
      </c>
      <c r="G408" s="57"/>
      <c r="H408" s="57"/>
      <c r="I408" s="57" t="n">
        <v>2.058</v>
      </c>
      <c r="J408" s="57" t="n">
        <v>2.261</v>
      </c>
      <c r="K408" s="57" t="n">
        <v>39</v>
      </c>
      <c r="L408" s="57" t="s">
        <v>1110</v>
      </c>
      <c r="M408" s="57" t="s">
        <v>1192</v>
      </c>
      <c r="N408" s="57" t="s">
        <v>1116</v>
      </c>
      <c r="O408" s="57" t="n">
        <v>19</v>
      </c>
      <c r="P408" s="57" t="n">
        <v>0</v>
      </c>
      <c r="Q408" s="57"/>
      <c r="R408" s="57" t="n">
        <v>0</v>
      </c>
      <c r="S408" s="57" t="n">
        <v>0</v>
      </c>
      <c r="T408" s="57" t="n">
        <v>0</v>
      </c>
      <c r="U408" s="57" t="n">
        <v>0</v>
      </c>
      <c r="V408" s="57" t="n">
        <v>0</v>
      </c>
      <c r="W408" s="57" t="n">
        <v>0</v>
      </c>
      <c r="X408" s="57" t="n">
        <v>0</v>
      </c>
      <c r="Y408" s="57" t="n">
        <v>39</v>
      </c>
      <c r="Z408" s="57" t="n">
        <v>39</v>
      </c>
      <c r="AA408" s="57" t="n">
        <v>39</v>
      </c>
      <c r="AB408" s="57" t="n">
        <v>0</v>
      </c>
      <c r="AC408" s="57" t="n">
        <v>0</v>
      </c>
      <c r="AD408" s="57" t="n">
        <v>0</v>
      </c>
      <c r="AE408" s="57" t="n">
        <v>0</v>
      </c>
      <c r="AF408" s="57" t="n">
        <v>0</v>
      </c>
      <c r="AG408" s="57" t="n">
        <v>0</v>
      </c>
      <c r="AH408" s="57" t="s">
        <v>240</v>
      </c>
      <c r="AI408" s="57"/>
      <c r="AJ408" s="57" t="n">
        <v>0</v>
      </c>
      <c r="AK408" s="57" t="s">
        <v>355</v>
      </c>
      <c r="AL408" s="57" t="s">
        <v>356</v>
      </c>
      <c r="AM408" s="57" t="n">
        <v>0</v>
      </c>
      <c r="AN408" s="57" t="s">
        <v>1193</v>
      </c>
      <c r="AO408" s="57" t="str">
        <f aca="false">IF(C408="County",IF(AL408="Rest of county","Remainder of County","Settlements"),IF(D408="City Centre","City Centre","Rest of City"))</f>
        <v>Settlements</v>
      </c>
      <c r="AP408" s="57" t="str">
        <f aca="false">IF(LEFT(B408,13)="Council audit","Audit",IF(LEFT(B408,8)="Planning","Consent","Zoned"))</f>
        <v>Zoned</v>
      </c>
      <c r="AQ408" s="57" t="n">
        <f aca="false">IF(N(K408)&gt;0,I408*Y408/K408,0)</f>
        <v>2.058</v>
      </c>
    </row>
    <row r="409" customFormat="false" ht="15" hidden="false" customHeight="false" outlineLevel="0" collapsed="false">
      <c r="A409" s="57" t="s">
        <v>1236</v>
      </c>
      <c r="B409" s="57" t="s">
        <v>219</v>
      </c>
      <c r="C409" s="57" t="s">
        <v>220</v>
      </c>
      <c r="D409" s="57" t="s">
        <v>220</v>
      </c>
      <c r="E409" s="57" t="s">
        <v>1214</v>
      </c>
      <c r="F409" s="57" t="s">
        <v>1199</v>
      </c>
      <c r="G409" s="57"/>
      <c r="H409" s="57"/>
      <c r="I409" s="57" t="n">
        <v>0.175</v>
      </c>
      <c r="J409" s="57" t="n">
        <v>0.193</v>
      </c>
      <c r="K409" s="57" t="n">
        <v>4</v>
      </c>
      <c r="L409" s="57" t="s">
        <v>1110</v>
      </c>
      <c r="M409" s="57" t="s">
        <v>1183</v>
      </c>
      <c r="N409" s="57" t="s">
        <v>1112</v>
      </c>
      <c r="O409" s="57" t="n">
        <v>25</v>
      </c>
      <c r="P409" s="57" t="n">
        <v>0</v>
      </c>
      <c r="Q409" s="57"/>
      <c r="R409" s="57" t="n">
        <v>0</v>
      </c>
      <c r="S409" s="57" t="n">
        <v>0</v>
      </c>
      <c r="T409" s="57" t="n">
        <v>0</v>
      </c>
      <c r="U409" s="57" t="n">
        <v>0</v>
      </c>
      <c r="V409" s="57" t="n">
        <v>0</v>
      </c>
      <c r="W409" s="57" t="n">
        <v>0</v>
      </c>
      <c r="X409" s="57" t="n">
        <v>0</v>
      </c>
      <c r="Y409" s="57" t="n">
        <v>4</v>
      </c>
      <c r="Z409" s="57" t="n">
        <v>4</v>
      </c>
      <c r="AA409" s="57" t="n">
        <v>4</v>
      </c>
      <c r="AB409" s="57" t="n">
        <v>0</v>
      </c>
      <c r="AC409" s="57" t="n">
        <v>0</v>
      </c>
      <c r="AD409" s="57" t="n">
        <v>0</v>
      </c>
      <c r="AE409" s="57" t="n">
        <v>0</v>
      </c>
      <c r="AF409" s="57" t="n">
        <v>0</v>
      </c>
      <c r="AG409" s="57" t="n">
        <v>0</v>
      </c>
      <c r="AH409" s="57" t="s">
        <v>240</v>
      </c>
      <c r="AI409" s="57"/>
      <c r="AJ409" s="57" t="n">
        <v>0</v>
      </c>
      <c r="AK409" s="57" t="s">
        <v>360</v>
      </c>
      <c r="AL409" s="57" t="s">
        <v>356</v>
      </c>
      <c r="AM409" s="57" t="n">
        <v>1</v>
      </c>
      <c r="AN409" s="57" t="s">
        <v>575</v>
      </c>
      <c r="AO409" s="57" t="str">
        <f aca="false">IF(C409="County",IF(AL409="Rest of county","Remainder of County","Settlements"),IF(D409="City Centre","City Centre","Rest of City"))</f>
        <v>Settlements</v>
      </c>
      <c r="AP409" s="57" t="str">
        <f aca="false">IF(LEFT(B409,13)="Council audit","Audit",IF(LEFT(B409,8)="Planning","Consent","Zoned"))</f>
        <v>Zoned</v>
      </c>
      <c r="AQ409" s="57" t="n">
        <f aca="false">IF(N(K409)&gt;0,I409*Y409/K409,0)</f>
        <v>0.175</v>
      </c>
    </row>
    <row r="410" customFormat="false" ht="15" hidden="false" customHeight="false" outlineLevel="0" collapsed="false">
      <c r="A410" s="57" t="s">
        <v>1237</v>
      </c>
      <c r="B410" s="57" t="s">
        <v>219</v>
      </c>
      <c r="C410" s="57" t="s">
        <v>220</v>
      </c>
      <c r="D410" s="57" t="s">
        <v>220</v>
      </c>
      <c r="E410" s="57" t="s">
        <v>1158</v>
      </c>
      <c r="F410" s="57" t="s">
        <v>1109</v>
      </c>
      <c r="G410" s="57"/>
      <c r="H410" s="57"/>
      <c r="I410" s="57" t="n">
        <v>0.276</v>
      </c>
      <c r="J410" s="57" t="n">
        <v>0.304</v>
      </c>
      <c r="K410" s="57" t="n">
        <v>7</v>
      </c>
      <c r="L410" s="57" t="s">
        <v>1110</v>
      </c>
      <c r="M410" s="57" t="s">
        <v>1159</v>
      </c>
      <c r="N410" s="57" t="s">
        <v>1112</v>
      </c>
      <c r="O410" s="57" t="n">
        <v>25</v>
      </c>
      <c r="P410" s="57" t="n">
        <v>1</v>
      </c>
      <c r="Q410" s="57"/>
      <c r="R410" s="57" t="n">
        <v>0</v>
      </c>
      <c r="S410" s="57" t="n">
        <v>0</v>
      </c>
      <c r="T410" s="57" t="n">
        <v>0</v>
      </c>
      <c r="U410" s="57" t="n">
        <v>0</v>
      </c>
      <c r="V410" s="57" t="n">
        <v>0</v>
      </c>
      <c r="W410" s="57" t="n">
        <v>0</v>
      </c>
      <c r="X410" s="57" t="n">
        <v>0</v>
      </c>
      <c r="Y410" s="57" t="n">
        <v>7</v>
      </c>
      <c r="Z410" s="57" t="n">
        <v>7</v>
      </c>
      <c r="AA410" s="57" t="n">
        <v>7</v>
      </c>
      <c r="AB410" s="57" t="n">
        <v>0</v>
      </c>
      <c r="AC410" s="57" t="n">
        <v>0</v>
      </c>
      <c r="AD410" s="57" t="n">
        <v>0</v>
      </c>
      <c r="AE410" s="57" t="n">
        <v>0</v>
      </c>
      <c r="AF410" s="57" t="n">
        <v>0</v>
      </c>
      <c r="AG410" s="57" t="n">
        <v>0</v>
      </c>
      <c r="AH410" s="57" t="s">
        <v>240</v>
      </c>
      <c r="AI410" s="57"/>
      <c r="AJ410" s="57" t="n">
        <v>0</v>
      </c>
      <c r="AK410" s="57" t="s">
        <v>351</v>
      </c>
      <c r="AL410" s="57" t="s">
        <v>349</v>
      </c>
      <c r="AM410" s="57" t="n">
        <v>1</v>
      </c>
      <c r="AN410" s="57" t="s">
        <v>575</v>
      </c>
      <c r="AO410" s="57" t="str">
        <f aca="false">IF(C410="County",IF(AL410="Rest of county","Remainder of County","Settlements"),IF(D410="City Centre","City Centre","Rest of City"))</f>
        <v>Settlements</v>
      </c>
      <c r="AP410" s="57" t="str">
        <f aca="false">IF(LEFT(B410,13)="Council audit","Audit",IF(LEFT(B410,8)="Planning","Consent","Zoned"))</f>
        <v>Zoned</v>
      </c>
      <c r="AQ410" s="57" t="n">
        <f aca="false">IF(N(K410)&gt;0,I410*Y410/K410,0)</f>
        <v>0.276</v>
      </c>
    </row>
    <row r="411" customFormat="false" ht="15" hidden="false" customHeight="false" outlineLevel="0" collapsed="false">
      <c r="A411" s="57" t="s">
        <v>1238</v>
      </c>
      <c r="B411" s="57" t="s">
        <v>219</v>
      </c>
      <c r="C411" s="57" t="s">
        <v>220</v>
      </c>
      <c r="D411" s="57" t="s">
        <v>220</v>
      </c>
      <c r="E411" s="57" t="s">
        <v>1174</v>
      </c>
      <c r="F411" s="57" t="s">
        <v>1109</v>
      </c>
      <c r="G411" s="57"/>
      <c r="H411" s="57"/>
      <c r="I411" s="57" t="n">
        <v>8.31</v>
      </c>
      <c r="J411" s="57" t="n">
        <v>9.132</v>
      </c>
      <c r="K411" s="57" t="n">
        <v>208</v>
      </c>
      <c r="L411" s="57" t="s">
        <v>1110</v>
      </c>
      <c r="M411" s="57" t="s">
        <v>1175</v>
      </c>
      <c r="N411" s="57" t="s">
        <v>1112</v>
      </c>
      <c r="O411" s="57" t="n">
        <v>25</v>
      </c>
      <c r="P411" s="57" t="n">
        <v>0</v>
      </c>
      <c r="Q411" s="57"/>
      <c r="R411" s="57" t="n">
        <v>0</v>
      </c>
      <c r="S411" s="57" t="n">
        <v>0</v>
      </c>
      <c r="T411" s="57" t="n">
        <v>0</v>
      </c>
      <c r="U411" s="57" t="n">
        <v>0</v>
      </c>
      <c r="V411" s="57" t="n">
        <v>0</v>
      </c>
      <c r="W411" s="57" t="n">
        <v>0</v>
      </c>
      <c r="X411" s="57" t="n">
        <v>0</v>
      </c>
      <c r="Y411" s="57" t="n">
        <v>208</v>
      </c>
      <c r="Z411" s="57" t="n">
        <v>208</v>
      </c>
      <c r="AA411" s="57" t="n">
        <v>208</v>
      </c>
      <c r="AB411" s="57" t="n">
        <v>0</v>
      </c>
      <c r="AC411" s="57" t="n">
        <v>0</v>
      </c>
      <c r="AD411" s="57" t="n">
        <v>0</v>
      </c>
      <c r="AE411" s="57" t="n">
        <v>0</v>
      </c>
      <c r="AF411" s="57" t="n">
        <v>0</v>
      </c>
      <c r="AG411" s="57" t="n">
        <v>0</v>
      </c>
      <c r="AH411" s="57" t="s">
        <v>240</v>
      </c>
      <c r="AI411" s="57"/>
      <c r="AJ411" s="57" t="n">
        <v>0</v>
      </c>
      <c r="AK411" s="57" t="s">
        <v>348</v>
      </c>
      <c r="AL411" s="57" t="s">
        <v>349</v>
      </c>
      <c r="AM411" s="57" t="n">
        <v>0.74</v>
      </c>
      <c r="AN411" s="57" t="s">
        <v>575</v>
      </c>
      <c r="AO411" s="57" t="str">
        <f aca="false">IF(C411="County",IF(AL411="Rest of county","Remainder of County","Settlements"),IF(D411="City Centre","City Centre","Rest of City"))</f>
        <v>Settlements</v>
      </c>
      <c r="AP411" s="57" t="str">
        <f aca="false">IF(LEFT(B411,13)="Council audit","Audit",IF(LEFT(B411,8)="Planning","Consent","Zoned"))</f>
        <v>Zoned</v>
      </c>
      <c r="AQ411" s="57" t="n">
        <f aca="false">IF(N(K411)&gt;0,I411*Y411/K411,0)</f>
        <v>8.31</v>
      </c>
    </row>
    <row r="412" customFormat="false" ht="15" hidden="false" customHeight="false" outlineLevel="0" collapsed="false">
      <c r="A412" s="57" t="s">
        <v>1239</v>
      </c>
      <c r="B412" s="57" t="s">
        <v>219</v>
      </c>
      <c r="C412" s="57" t="s">
        <v>220</v>
      </c>
      <c r="D412" s="57" t="s">
        <v>220</v>
      </c>
      <c r="E412" s="57" t="s">
        <v>1187</v>
      </c>
      <c r="F412" s="57" t="s">
        <v>1109</v>
      </c>
      <c r="G412" s="57"/>
      <c r="H412" s="57"/>
      <c r="I412" s="57" t="n">
        <v>2.346</v>
      </c>
      <c r="J412" s="57" t="n">
        <v>2.578</v>
      </c>
      <c r="K412" s="57" t="n">
        <v>59</v>
      </c>
      <c r="L412" s="57" t="s">
        <v>1110</v>
      </c>
      <c r="M412" s="57" t="s">
        <v>1188</v>
      </c>
      <c r="N412" s="57" t="s">
        <v>1112</v>
      </c>
      <c r="O412" s="57" t="n">
        <v>25</v>
      </c>
      <c r="P412" s="57" t="n">
        <v>0.01</v>
      </c>
      <c r="Q412" s="57"/>
      <c r="R412" s="57" t="n">
        <v>0</v>
      </c>
      <c r="S412" s="57" t="n">
        <v>0</v>
      </c>
      <c r="T412" s="57" t="n">
        <v>0</v>
      </c>
      <c r="U412" s="57" t="n">
        <v>0</v>
      </c>
      <c r="V412" s="57" t="n">
        <v>0</v>
      </c>
      <c r="W412" s="57" t="n">
        <v>0</v>
      </c>
      <c r="X412" s="57" t="n">
        <v>0</v>
      </c>
      <c r="Y412" s="57" t="n">
        <v>59</v>
      </c>
      <c r="Z412" s="57" t="n">
        <v>59</v>
      </c>
      <c r="AA412" s="57" t="n">
        <v>59</v>
      </c>
      <c r="AB412" s="57" t="n">
        <v>0</v>
      </c>
      <c r="AC412" s="57" t="n">
        <v>0</v>
      </c>
      <c r="AD412" s="57" t="n">
        <v>0</v>
      </c>
      <c r="AE412" s="57" t="n">
        <v>0</v>
      </c>
      <c r="AF412" s="57" t="n">
        <v>0</v>
      </c>
      <c r="AG412" s="57" t="n">
        <v>0</v>
      </c>
      <c r="AH412" s="57" t="s">
        <v>240</v>
      </c>
      <c r="AI412" s="57"/>
      <c r="AJ412" s="57" t="n">
        <v>0</v>
      </c>
      <c r="AK412" s="57" t="s">
        <v>354</v>
      </c>
      <c r="AL412" s="57" t="s">
        <v>349</v>
      </c>
      <c r="AM412" s="57" t="n">
        <v>0.39</v>
      </c>
      <c r="AN412" s="57" t="s">
        <v>575</v>
      </c>
      <c r="AO412" s="57" t="str">
        <f aca="false">IF(C412="County",IF(AL412="Rest of county","Remainder of County","Settlements"),IF(D412="City Centre","City Centre","Rest of City"))</f>
        <v>Settlements</v>
      </c>
      <c r="AP412" s="57" t="str">
        <f aca="false">IF(LEFT(B412,13)="Council audit","Audit",IF(LEFT(B412,8)="Planning","Consent","Zoned"))</f>
        <v>Zoned</v>
      </c>
      <c r="AQ412" s="57" t="n">
        <f aca="false">IF(N(K412)&gt;0,I412*Y412/K412,0)</f>
        <v>2.346</v>
      </c>
    </row>
    <row r="413" customFormat="false" ht="15" hidden="false" customHeight="false" outlineLevel="0" collapsed="false">
      <c r="A413" s="57" t="s">
        <v>1240</v>
      </c>
      <c r="B413" s="57" t="s">
        <v>219</v>
      </c>
      <c r="C413" s="57" t="s">
        <v>220</v>
      </c>
      <c r="D413" s="57" t="s">
        <v>220</v>
      </c>
      <c r="E413" s="57" t="s">
        <v>1195</v>
      </c>
      <c r="F413" s="57" t="s">
        <v>1109</v>
      </c>
      <c r="G413" s="57"/>
      <c r="H413" s="57"/>
      <c r="I413" s="57" t="n">
        <v>0.517</v>
      </c>
      <c r="J413" s="57" t="n">
        <v>0.568</v>
      </c>
      <c r="K413" s="57" t="n">
        <v>13</v>
      </c>
      <c r="L413" s="57" t="s">
        <v>1110</v>
      </c>
      <c r="M413" s="57" t="s">
        <v>1196</v>
      </c>
      <c r="N413" s="57" t="s">
        <v>1112</v>
      </c>
      <c r="O413" s="57" t="n">
        <v>25</v>
      </c>
      <c r="P413" s="57" t="n">
        <v>1</v>
      </c>
      <c r="Q413" s="57"/>
      <c r="R413" s="57" t="n">
        <v>0</v>
      </c>
      <c r="S413" s="57" t="n">
        <v>0</v>
      </c>
      <c r="T413" s="57" t="n">
        <v>0</v>
      </c>
      <c r="U413" s="57" t="n">
        <v>0</v>
      </c>
      <c r="V413" s="57" t="n">
        <v>0</v>
      </c>
      <c r="W413" s="57" t="n">
        <v>0</v>
      </c>
      <c r="X413" s="57" t="n">
        <v>0</v>
      </c>
      <c r="Y413" s="57" t="n">
        <v>13</v>
      </c>
      <c r="Z413" s="57" t="n">
        <v>13</v>
      </c>
      <c r="AA413" s="57" t="n">
        <v>13</v>
      </c>
      <c r="AB413" s="57" t="n">
        <v>0</v>
      </c>
      <c r="AC413" s="57" t="n">
        <v>0</v>
      </c>
      <c r="AD413" s="57" t="n">
        <v>0</v>
      </c>
      <c r="AE413" s="57" t="n">
        <v>0</v>
      </c>
      <c r="AF413" s="57" t="n">
        <v>0</v>
      </c>
      <c r="AG413" s="57" t="n">
        <v>0</v>
      </c>
      <c r="AH413" s="57" t="s">
        <v>240</v>
      </c>
      <c r="AI413" s="57"/>
      <c r="AJ413" s="57" t="n">
        <v>0</v>
      </c>
      <c r="AK413" s="57" t="s">
        <v>353</v>
      </c>
      <c r="AL413" s="57" t="s">
        <v>349</v>
      </c>
      <c r="AM413" s="57" t="n">
        <v>1</v>
      </c>
      <c r="AN413" s="57" t="s">
        <v>575</v>
      </c>
      <c r="AO413" s="57" t="str">
        <f aca="false">IF(C413="County",IF(AL413="Rest of county","Remainder of County","Settlements"),IF(D413="City Centre","City Centre","Rest of City"))</f>
        <v>Settlements</v>
      </c>
      <c r="AP413" s="57" t="str">
        <f aca="false">IF(LEFT(B413,13)="Council audit","Audit",IF(LEFT(B413,8)="Planning","Consent","Zoned"))</f>
        <v>Zoned</v>
      </c>
      <c r="AQ413" s="57" t="n">
        <f aca="false">IF(N(K413)&gt;0,I413*Y413/K413,0)</f>
        <v>0.517</v>
      </c>
    </row>
    <row r="414" customFormat="false" ht="15" hidden="false" customHeight="false" outlineLevel="0" collapsed="false">
      <c r="A414" s="57" t="s">
        <v>1241</v>
      </c>
      <c r="B414" s="57" t="s">
        <v>219</v>
      </c>
      <c r="C414" s="57" t="s">
        <v>220</v>
      </c>
      <c r="D414" s="57" t="s">
        <v>220</v>
      </c>
      <c r="E414" s="57" t="s">
        <v>1217</v>
      </c>
      <c r="F414" s="57" t="s">
        <v>1109</v>
      </c>
      <c r="G414" s="57"/>
      <c r="H414" s="57"/>
      <c r="I414" s="57" t="n">
        <v>1.771</v>
      </c>
      <c r="J414" s="57" t="n">
        <v>1.946</v>
      </c>
      <c r="K414" s="57" t="n">
        <v>44</v>
      </c>
      <c r="L414" s="57" t="s">
        <v>1110</v>
      </c>
      <c r="M414" s="57" t="s">
        <v>1192</v>
      </c>
      <c r="N414" s="57" t="s">
        <v>1112</v>
      </c>
      <c r="O414" s="57" t="n">
        <v>25</v>
      </c>
      <c r="P414" s="57" t="n">
        <v>0</v>
      </c>
      <c r="Q414" s="57"/>
      <c r="R414" s="57" t="n">
        <v>0</v>
      </c>
      <c r="S414" s="57" t="n">
        <v>0</v>
      </c>
      <c r="T414" s="57" t="n">
        <v>0</v>
      </c>
      <c r="U414" s="57" t="n">
        <v>0</v>
      </c>
      <c r="V414" s="57" t="n">
        <v>0</v>
      </c>
      <c r="W414" s="57" t="n">
        <v>0</v>
      </c>
      <c r="X414" s="57" t="n">
        <v>0</v>
      </c>
      <c r="Y414" s="57" t="n">
        <v>44</v>
      </c>
      <c r="Z414" s="57" t="n">
        <v>44</v>
      </c>
      <c r="AA414" s="57" t="n">
        <v>44</v>
      </c>
      <c r="AB414" s="57" t="n">
        <v>0</v>
      </c>
      <c r="AC414" s="57" t="n">
        <v>0</v>
      </c>
      <c r="AD414" s="57" t="n">
        <v>0</v>
      </c>
      <c r="AE414" s="57" t="n">
        <v>0</v>
      </c>
      <c r="AF414" s="57" t="n">
        <v>0</v>
      </c>
      <c r="AG414" s="57" t="n">
        <v>0</v>
      </c>
      <c r="AH414" s="57" t="s">
        <v>240</v>
      </c>
      <c r="AI414" s="57"/>
      <c r="AJ414" s="57" t="n">
        <v>0</v>
      </c>
      <c r="AK414" s="57" t="s">
        <v>355</v>
      </c>
      <c r="AL414" s="57" t="s">
        <v>356</v>
      </c>
      <c r="AM414" s="57" t="n">
        <v>0.82</v>
      </c>
      <c r="AN414" s="57" t="s">
        <v>575</v>
      </c>
      <c r="AO414" s="57" t="str">
        <f aca="false">IF(C414="County",IF(AL414="Rest of county","Remainder of County","Settlements"),IF(D414="City Centre","City Centre","Rest of City"))</f>
        <v>Settlements</v>
      </c>
      <c r="AP414" s="57" t="str">
        <f aca="false">IF(LEFT(B414,13)="Council audit","Audit",IF(LEFT(B414,8)="Planning","Consent","Zoned"))</f>
        <v>Zoned</v>
      </c>
      <c r="AQ414" s="57" t="n">
        <f aca="false">IF(N(K414)&gt;0,I414*Y414/K414,0)</f>
        <v>1.771</v>
      </c>
    </row>
    <row r="415" customFormat="false" ht="15" hidden="false" customHeight="false" outlineLevel="0" collapsed="false">
      <c r="A415" s="57" t="s">
        <v>1242</v>
      </c>
      <c r="B415" s="57" t="s">
        <v>219</v>
      </c>
      <c r="C415" s="57" t="s">
        <v>220</v>
      </c>
      <c r="D415" s="57" t="s">
        <v>220</v>
      </c>
      <c r="E415" s="57" t="s">
        <v>1158</v>
      </c>
      <c r="F415" s="57" t="s">
        <v>1109</v>
      </c>
      <c r="G415" s="57"/>
      <c r="H415" s="57"/>
      <c r="I415" s="57" t="n">
        <v>1.004</v>
      </c>
      <c r="J415" s="57" t="n">
        <v>1.104</v>
      </c>
      <c r="K415" s="57" t="n">
        <v>25</v>
      </c>
      <c r="L415" s="57" t="s">
        <v>1110</v>
      </c>
      <c r="M415" s="57" t="s">
        <v>1159</v>
      </c>
      <c r="N415" s="57" t="s">
        <v>1112</v>
      </c>
      <c r="O415" s="57" t="n">
        <v>25</v>
      </c>
      <c r="P415" s="57" t="n">
        <v>1</v>
      </c>
      <c r="Q415" s="57"/>
      <c r="R415" s="57" t="n">
        <v>0</v>
      </c>
      <c r="S415" s="57" t="n">
        <v>0</v>
      </c>
      <c r="T415" s="57" t="n">
        <v>0</v>
      </c>
      <c r="U415" s="57" t="n">
        <v>0</v>
      </c>
      <c r="V415" s="57" t="n">
        <v>0</v>
      </c>
      <c r="W415" s="57" t="n">
        <v>0</v>
      </c>
      <c r="X415" s="57" t="n">
        <v>0</v>
      </c>
      <c r="Y415" s="57" t="n">
        <v>25</v>
      </c>
      <c r="Z415" s="57" t="n">
        <v>25</v>
      </c>
      <c r="AA415" s="57" t="n">
        <v>25</v>
      </c>
      <c r="AB415" s="57" t="n">
        <v>0</v>
      </c>
      <c r="AC415" s="57" t="n">
        <v>0</v>
      </c>
      <c r="AD415" s="57" t="n">
        <v>0</v>
      </c>
      <c r="AE415" s="57" t="n">
        <v>0</v>
      </c>
      <c r="AF415" s="57" t="n">
        <v>0</v>
      </c>
      <c r="AG415" s="57" t="n">
        <v>0</v>
      </c>
      <c r="AH415" s="57" t="s">
        <v>240</v>
      </c>
      <c r="AI415" s="57"/>
      <c r="AJ415" s="57" t="n">
        <v>0</v>
      </c>
      <c r="AK415" s="57" t="s">
        <v>351</v>
      </c>
      <c r="AL415" s="57" t="s">
        <v>349</v>
      </c>
      <c r="AM415" s="57" t="n">
        <v>1</v>
      </c>
      <c r="AN415" s="57" t="s">
        <v>575</v>
      </c>
      <c r="AO415" s="57" t="str">
        <f aca="false">IF(C415="County",IF(AL415="Rest of county","Remainder of County","Settlements"),IF(D415="City Centre","City Centre","Rest of City"))</f>
        <v>Settlements</v>
      </c>
      <c r="AP415" s="57" t="str">
        <f aca="false">IF(LEFT(B415,13)="Council audit","Audit",IF(LEFT(B415,8)="Planning","Consent","Zoned"))</f>
        <v>Zoned</v>
      </c>
      <c r="AQ415" s="57" t="n">
        <f aca="false">IF(N(K415)&gt;0,I415*Y415/K415,0)</f>
        <v>1.004</v>
      </c>
    </row>
    <row r="416" customFormat="false" ht="15" hidden="false" customHeight="false" outlineLevel="0" collapsed="false">
      <c r="A416" s="57" t="s">
        <v>1243</v>
      </c>
      <c r="B416" s="57" t="s">
        <v>219</v>
      </c>
      <c r="C416" s="57" t="s">
        <v>220</v>
      </c>
      <c r="D416" s="57" t="s">
        <v>220</v>
      </c>
      <c r="E416" s="57" t="s">
        <v>1198</v>
      </c>
      <c r="F416" s="57" t="s">
        <v>1199</v>
      </c>
      <c r="G416" s="57"/>
      <c r="H416" s="57"/>
      <c r="I416" s="57" t="n">
        <v>2.527</v>
      </c>
      <c r="J416" s="57" t="n">
        <v>2.777</v>
      </c>
      <c r="K416" s="57" t="n">
        <v>63</v>
      </c>
      <c r="L416" s="57" t="s">
        <v>1110</v>
      </c>
      <c r="M416" s="57" t="s">
        <v>1200</v>
      </c>
      <c r="N416" s="57" t="s">
        <v>1112</v>
      </c>
      <c r="O416" s="57" t="n">
        <v>25</v>
      </c>
      <c r="P416" s="57" t="n">
        <v>0</v>
      </c>
      <c r="Q416" s="57"/>
      <c r="R416" s="57" t="n">
        <v>0</v>
      </c>
      <c r="S416" s="57" t="n">
        <v>0</v>
      </c>
      <c r="T416" s="57" t="n">
        <v>0</v>
      </c>
      <c r="U416" s="57" t="n">
        <v>0</v>
      </c>
      <c r="V416" s="57" t="n">
        <v>0</v>
      </c>
      <c r="W416" s="57" t="n">
        <v>0</v>
      </c>
      <c r="X416" s="57" t="n">
        <v>0</v>
      </c>
      <c r="Y416" s="57" t="n">
        <v>63</v>
      </c>
      <c r="Z416" s="57" t="n">
        <v>63</v>
      </c>
      <c r="AA416" s="57" t="n">
        <v>63</v>
      </c>
      <c r="AB416" s="57" t="n">
        <v>0</v>
      </c>
      <c r="AC416" s="57" t="n">
        <v>0</v>
      </c>
      <c r="AD416" s="57" t="n">
        <v>0</v>
      </c>
      <c r="AE416" s="57" t="n">
        <v>0</v>
      </c>
      <c r="AF416" s="57" t="n">
        <v>0</v>
      </c>
      <c r="AG416" s="57" t="n">
        <v>0</v>
      </c>
      <c r="AH416" s="57" t="s">
        <v>240</v>
      </c>
      <c r="AI416" s="57"/>
      <c r="AJ416" s="57" t="n">
        <v>0</v>
      </c>
      <c r="AK416" s="57" t="s">
        <v>352</v>
      </c>
      <c r="AL416" s="57" t="s">
        <v>349</v>
      </c>
      <c r="AM416" s="57" t="n">
        <v>0</v>
      </c>
      <c r="AN416" s="57" t="s">
        <v>1201</v>
      </c>
      <c r="AO416" s="57" t="str">
        <f aca="false">IF(C416="County",IF(AL416="Rest of county","Remainder of County","Settlements"),IF(D416="City Centre","City Centre","Rest of City"))</f>
        <v>Settlements</v>
      </c>
      <c r="AP416" s="57" t="str">
        <f aca="false">IF(LEFT(B416,13)="Council audit","Audit",IF(LEFT(B416,8)="Planning","Consent","Zoned"))</f>
        <v>Zoned</v>
      </c>
      <c r="AQ416" s="57" t="n">
        <f aca="false">IF(N(K416)&gt;0,I416*Y416/K416,0)</f>
        <v>2.527</v>
      </c>
    </row>
    <row r="417" customFormat="false" ht="15" hidden="false" customHeight="false" outlineLevel="0" collapsed="false">
      <c r="A417" s="57" t="s">
        <v>1244</v>
      </c>
      <c r="B417" s="57" t="s">
        <v>219</v>
      </c>
      <c r="C417" s="57" t="s">
        <v>220</v>
      </c>
      <c r="D417" s="57" t="s">
        <v>220</v>
      </c>
      <c r="E417" s="57" t="s">
        <v>1174</v>
      </c>
      <c r="F417" s="57" t="s">
        <v>1109</v>
      </c>
      <c r="G417" s="57"/>
      <c r="H417" s="57"/>
      <c r="I417" s="57" t="n">
        <v>0.105</v>
      </c>
      <c r="J417" s="57" t="n">
        <v>0.115</v>
      </c>
      <c r="K417" s="57" t="n">
        <v>3</v>
      </c>
      <c r="L417" s="57" t="s">
        <v>1110</v>
      </c>
      <c r="M417" s="57" t="s">
        <v>1175</v>
      </c>
      <c r="N417" s="57" t="s">
        <v>1112</v>
      </c>
      <c r="O417" s="57" t="n">
        <v>25</v>
      </c>
      <c r="P417" s="57" t="n">
        <v>0</v>
      </c>
      <c r="Q417" s="57"/>
      <c r="R417" s="57" t="n">
        <v>0</v>
      </c>
      <c r="S417" s="57" t="n">
        <v>0</v>
      </c>
      <c r="T417" s="57" t="n">
        <v>0</v>
      </c>
      <c r="U417" s="57" t="n">
        <v>0</v>
      </c>
      <c r="V417" s="57" t="n">
        <v>0</v>
      </c>
      <c r="W417" s="57" t="n">
        <v>0</v>
      </c>
      <c r="X417" s="57" t="n">
        <v>0</v>
      </c>
      <c r="Y417" s="57" t="n">
        <v>3</v>
      </c>
      <c r="Z417" s="57" t="n">
        <v>3</v>
      </c>
      <c r="AA417" s="57" t="n">
        <v>3</v>
      </c>
      <c r="AB417" s="57" t="n">
        <v>0</v>
      </c>
      <c r="AC417" s="57" t="n">
        <v>0</v>
      </c>
      <c r="AD417" s="57" t="n">
        <v>0</v>
      </c>
      <c r="AE417" s="57" t="n">
        <v>0</v>
      </c>
      <c r="AF417" s="57" t="n">
        <v>0</v>
      </c>
      <c r="AG417" s="57" t="n">
        <v>0</v>
      </c>
      <c r="AH417" s="57" t="s">
        <v>240</v>
      </c>
      <c r="AI417" s="57"/>
      <c r="AJ417" s="57" t="n">
        <v>0</v>
      </c>
      <c r="AK417" s="57" t="s">
        <v>348</v>
      </c>
      <c r="AL417" s="57" t="s">
        <v>349</v>
      </c>
      <c r="AM417" s="57" t="n">
        <v>1</v>
      </c>
      <c r="AN417" s="57" t="s">
        <v>575</v>
      </c>
      <c r="AO417" s="57" t="str">
        <f aca="false">IF(C417="County",IF(AL417="Rest of county","Remainder of County","Settlements"),IF(D417="City Centre","City Centre","Rest of City"))</f>
        <v>Settlements</v>
      </c>
      <c r="AP417" s="57" t="str">
        <f aca="false">IF(LEFT(B417,13)="Council audit","Audit",IF(LEFT(B417,8)="Planning","Consent","Zoned"))</f>
        <v>Zoned</v>
      </c>
      <c r="AQ417" s="57" t="n">
        <f aca="false">IF(N(K417)&gt;0,I417*Y417/K417,0)</f>
        <v>0.105</v>
      </c>
    </row>
    <row r="418" customFormat="false" ht="15" hidden="false" customHeight="false" outlineLevel="0" collapsed="false">
      <c r="A418" s="57" t="s">
        <v>1245</v>
      </c>
      <c r="B418" s="57" t="s">
        <v>219</v>
      </c>
      <c r="C418" s="57" t="s">
        <v>220</v>
      </c>
      <c r="D418" s="57" t="s">
        <v>220</v>
      </c>
      <c r="E418" s="57" t="s">
        <v>1174</v>
      </c>
      <c r="F418" s="57" t="s">
        <v>1109</v>
      </c>
      <c r="G418" s="57"/>
      <c r="H418" s="57"/>
      <c r="I418" s="57" t="n">
        <v>8.631</v>
      </c>
      <c r="J418" s="57" t="n">
        <v>9.484</v>
      </c>
      <c r="K418" s="57" t="n">
        <v>216</v>
      </c>
      <c r="L418" s="57" t="s">
        <v>1110</v>
      </c>
      <c r="M418" s="57" t="s">
        <v>1175</v>
      </c>
      <c r="N418" s="57" t="s">
        <v>1112</v>
      </c>
      <c r="O418" s="57" t="n">
        <v>25</v>
      </c>
      <c r="P418" s="57" t="n">
        <v>0</v>
      </c>
      <c r="Q418" s="57"/>
      <c r="R418" s="57" t="n">
        <v>0</v>
      </c>
      <c r="S418" s="57" t="n">
        <v>0</v>
      </c>
      <c r="T418" s="57" t="n">
        <v>0</v>
      </c>
      <c r="U418" s="57" t="n">
        <v>0</v>
      </c>
      <c r="V418" s="57" t="n">
        <v>0</v>
      </c>
      <c r="W418" s="57" t="n">
        <v>0</v>
      </c>
      <c r="X418" s="57" t="n">
        <v>0</v>
      </c>
      <c r="Y418" s="57" t="n">
        <v>216</v>
      </c>
      <c r="Z418" s="57" t="n">
        <v>216</v>
      </c>
      <c r="AA418" s="57" t="n">
        <v>216</v>
      </c>
      <c r="AB418" s="57" t="n">
        <v>0</v>
      </c>
      <c r="AC418" s="57" t="n">
        <v>0</v>
      </c>
      <c r="AD418" s="57" t="n">
        <v>0</v>
      </c>
      <c r="AE418" s="57" t="n">
        <v>0</v>
      </c>
      <c r="AF418" s="57" t="n">
        <v>0</v>
      </c>
      <c r="AG418" s="57" t="n">
        <v>0</v>
      </c>
      <c r="AH418" s="57" t="s">
        <v>240</v>
      </c>
      <c r="AI418" s="57"/>
      <c r="AJ418" s="57" t="n">
        <v>0</v>
      </c>
      <c r="AK418" s="57" t="s">
        <v>348</v>
      </c>
      <c r="AL418" s="57" t="s">
        <v>349</v>
      </c>
      <c r="AM418" s="57" t="n">
        <v>0</v>
      </c>
      <c r="AN418" s="57" t="s">
        <v>1177</v>
      </c>
      <c r="AO418" s="57" t="str">
        <f aca="false">IF(C418="County",IF(AL418="Rest of county","Remainder of County","Settlements"),IF(D418="City Centre","City Centre","Rest of City"))</f>
        <v>Settlements</v>
      </c>
      <c r="AP418" s="57" t="str">
        <f aca="false">IF(LEFT(B418,13)="Council audit","Audit",IF(LEFT(B418,8)="Planning","Consent","Zoned"))</f>
        <v>Zoned</v>
      </c>
      <c r="AQ418" s="57" t="n">
        <f aca="false">IF(N(K418)&gt;0,I418*Y418/K418,0)</f>
        <v>8.631</v>
      </c>
    </row>
    <row r="419" customFormat="false" ht="15" hidden="false" customHeight="false" outlineLevel="0" collapsed="false">
      <c r="A419" s="57" t="s">
        <v>1246</v>
      </c>
      <c r="B419" s="57" t="s">
        <v>219</v>
      </c>
      <c r="C419" s="57" t="s">
        <v>220</v>
      </c>
      <c r="D419" s="57" t="s">
        <v>220</v>
      </c>
      <c r="E419" s="57" t="s">
        <v>1214</v>
      </c>
      <c r="F419" s="57" t="s">
        <v>1199</v>
      </c>
      <c r="G419" s="57"/>
      <c r="H419" s="57"/>
      <c r="I419" s="57" t="n">
        <v>3.686</v>
      </c>
      <c r="J419" s="57" t="n">
        <v>4.05</v>
      </c>
      <c r="K419" s="57" t="n">
        <v>92</v>
      </c>
      <c r="L419" s="57" t="s">
        <v>1110</v>
      </c>
      <c r="M419" s="57" t="s">
        <v>1183</v>
      </c>
      <c r="N419" s="57" t="s">
        <v>1112</v>
      </c>
      <c r="O419" s="57" t="n">
        <v>25</v>
      </c>
      <c r="P419" s="57" t="n">
        <v>0</v>
      </c>
      <c r="Q419" s="57"/>
      <c r="R419" s="57" t="n">
        <v>0</v>
      </c>
      <c r="S419" s="57" t="n">
        <v>0</v>
      </c>
      <c r="T419" s="57" t="n">
        <v>0</v>
      </c>
      <c r="U419" s="57" t="n">
        <v>0</v>
      </c>
      <c r="V419" s="57" t="n">
        <v>0</v>
      </c>
      <c r="W419" s="57" t="n">
        <v>0</v>
      </c>
      <c r="X419" s="57" t="n">
        <v>0</v>
      </c>
      <c r="Y419" s="57" t="n">
        <v>92</v>
      </c>
      <c r="Z419" s="57" t="n">
        <v>92</v>
      </c>
      <c r="AA419" s="57" t="n">
        <v>92</v>
      </c>
      <c r="AB419" s="57" t="n">
        <v>0</v>
      </c>
      <c r="AC419" s="57" t="n">
        <v>0</v>
      </c>
      <c r="AD419" s="57" t="n">
        <v>0</v>
      </c>
      <c r="AE419" s="57" t="n">
        <v>0</v>
      </c>
      <c r="AF419" s="57" t="n">
        <v>0</v>
      </c>
      <c r="AG419" s="57" t="n">
        <v>0</v>
      </c>
      <c r="AH419" s="57" t="s">
        <v>240</v>
      </c>
      <c r="AI419" s="57"/>
      <c r="AJ419" s="57" t="n">
        <v>0</v>
      </c>
      <c r="AK419" s="57" t="s">
        <v>360</v>
      </c>
      <c r="AL419" s="57" t="s">
        <v>356</v>
      </c>
      <c r="AM419" s="57" t="n">
        <v>1</v>
      </c>
      <c r="AN419" s="57" t="s">
        <v>575</v>
      </c>
      <c r="AO419" s="57" t="str">
        <f aca="false">IF(C419="County",IF(AL419="Rest of county","Remainder of County","Settlements"),IF(D419="City Centre","City Centre","Rest of City"))</f>
        <v>Settlements</v>
      </c>
      <c r="AP419" s="57" t="str">
        <f aca="false">IF(LEFT(B419,13)="Council audit","Audit",IF(LEFT(B419,8)="Planning","Consent","Zoned"))</f>
        <v>Zoned</v>
      </c>
      <c r="AQ419" s="57" t="n">
        <f aca="false">IF(N(K419)&gt;0,I419*Y419/K419,0)</f>
        <v>3.686</v>
      </c>
    </row>
    <row r="420" customFormat="false" ht="15" hidden="false" customHeight="false" outlineLevel="0" collapsed="false">
      <c r="A420" s="57" t="s">
        <v>1247</v>
      </c>
      <c r="B420" s="57" t="s">
        <v>219</v>
      </c>
      <c r="C420" s="57" t="s">
        <v>220</v>
      </c>
      <c r="D420" s="57" t="s">
        <v>220</v>
      </c>
      <c r="E420" s="57" t="s">
        <v>1198</v>
      </c>
      <c r="F420" s="57" t="s">
        <v>1199</v>
      </c>
      <c r="G420" s="57"/>
      <c r="H420" s="57"/>
      <c r="I420" s="57" t="n">
        <v>0.427</v>
      </c>
      <c r="J420" s="57" t="n">
        <v>0.469</v>
      </c>
      <c r="K420" s="57" t="n">
        <v>11</v>
      </c>
      <c r="L420" s="57" t="s">
        <v>1110</v>
      </c>
      <c r="M420" s="57" t="s">
        <v>1200</v>
      </c>
      <c r="N420" s="57" t="s">
        <v>1112</v>
      </c>
      <c r="O420" s="57" t="n">
        <v>25</v>
      </c>
      <c r="P420" s="57" t="n">
        <v>0</v>
      </c>
      <c r="Q420" s="57"/>
      <c r="R420" s="57" t="n">
        <v>0</v>
      </c>
      <c r="S420" s="57" t="n">
        <v>0</v>
      </c>
      <c r="T420" s="57" t="n">
        <v>0</v>
      </c>
      <c r="U420" s="57" t="n">
        <v>0</v>
      </c>
      <c r="V420" s="57" t="n">
        <v>0</v>
      </c>
      <c r="W420" s="57" t="n">
        <v>0</v>
      </c>
      <c r="X420" s="57" t="n">
        <v>0</v>
      </c>
      <c r="Y420" s="57" t="n">
        <v>11</v>
      </c>
      <c r="Z420" s="57" t="n">
        <v>11</v>
      </c>
      <c r="AA420" s="57" t="n">
        <v>11</v>
      </c>
      <c r="AB420" s="57" t="n">
        <v>0</v>
      </c>
      <c r="AC420" s="57" t="n">
        <v>0</v>
      </c>
      <c r="AD420" s="57" t="n">
        <v>0</v>
      </c>
      <c r="AE420" s="57" t="n">
        <v>0</v>
      </c>
      <c r="AF420" s="57" t="n">
        <v>0</v>
      </c>
      <c r="AG420" s="57" t="n">
        <v>0</v>
      </c>
      <c r="AH420" s="57" t="s">
        <v>240</v>
      </c>
      <c r="AI420" s="57"/>
      <c r="AJ420" s="57" t="n">
        <v>0</v>
      </c>
      <c r="AK420" s="57" t="s">
        <v>352</v>
      </c>
      <c r="AL420" s="57" t="s">
        <v>349</v>
      </c>
      <c r="AM420" s="57" t="n">
        <v>0</v>
      </c>
      <c r="AN420" s="57" t="s">
        <v>1201</v>
      </c>
      <c r="AO420" s="57" t="str">
        <f aca="false">IF(C420="County",IF(AL420="Rest of county","Remainder of County","Settlements"),IF(D420="City Centre","City Centre","Rest of City"))</f>
        <v>Settlements</v>
      </c>
      <c r="AP420" s="57" t="str">
        <f aca="false">IF(LEFT(B420,13)="Council audit","Audit",IF(LEFT(B420,8)="Planning","Consent","Zoned"))</f>
        <v>Zoned</v>
      </c>
      <c r="AQ420" s="57" t="n">
        <f aca="false">IF(N(K420)&gt;0,I420*Y420/K420,0)</f>
        <v>0.427</v>
      </c>
    </row>
    <row r="421" customFormat="false" ht="15" hidden="false" customHeight="false" outlineLevel="0" collapsed="false">
      <c r="A421" s="57" t="s">
        <v>1248</v>
      </c>
      <c r="B421" s="57" t="s">
        <v>219</v>
      </c>
      <c r="C421" s="57" t="s">
        <v>220</v>
      </c>
      <c r="D421" s="57" t="s">
        <v>220</v>
      </c>
      <c r="E421" s="57" t="s">
        <v>1249</v>
      </c>
      <c r="F421" s="57" t="s">
        <v>1115</v>
      </c>
      <c r="G421" s="57"/>
      <c r="H421" s="57"/>
      <c r="I421" s="57" t="n">
        <v>1.622</v>
      </c>
      <c r="J421" s="57" t="n">
        <v>1.783</v>
      </c>
      <c r="K421" s="57" t="n">
        <v>31</v>
      </c>
      <c r="L421" s="57" t="s">
        <v>1110</v>
      </c>
      <c r="M421" s="57" t="s">
        <v>1159</v>
      </c>
      <c r="N421" s="57" t="s">
        <v>1116</v>
      </c>
      <c r="O421" s="57" t="n">
        <v>19</v>
      </c>
      <c r="P421" s="57" t="n">
        <v>1</v>
      </c>
      <c r="Q421" s="57"/>
      <c r="R421" s="57" t="n">
        <v>0</v>
      </c>
      <c r="S421" s="57" t="n">
        <v>0</v>
      </c>
      <c r="T421" s="57" t="n">
        <v>0</v>
      </c>
      <c r="U421" s="57" t="n">
        <v>0</v>
      </c>
      <c r="V421" s="57" t="n">
        <v>0</v>
      </c>
      <c r="W421" s="57" t="n">
        <v>0</v>
      </c>
      <c r="X421" s="57" t="n">
        <v>0</v>
      </c>
      <c r="Y421" s="57" t="n">
        <v>31</v>
      </c>
      <c r="Z421" s="57" t="n">
        <v>31</v>
      </c>
      <c r="AA421" s="57" t="n">
        <v>31</v>
      </c>
      <c r="AB421" s="57" t="n">
        <v>0</v>
      </c>
      <c r="AC421" s="57" t="n">
        <v>0</v>
      </c>
      <c r="AD421" s="57" t="n">
        <v>0</v>
      </c>
      <c r="AE421" s="57" t="n">
        <v>0</v>
      </c>
      <c r="AF421" s="57" t="n">
        <v>0</v>
      </c>
      <c r="AG421" s="57" t="n">
        <v>0</v>
      </c>
      <c r="AH421" s="57" t="s">
        <v>240</v>
      </c>
      <c r="AI421" s="57"/>
      <c r="AJ421" s="57" t="n">
        <v>0</v>
      </c>
      <c r="AK421" s="57" t="s">
        <v>351</v>
      </c>
      <c r="AL421" s="57" t="s">
        <v>349</v>
      </c>
      <c r="AM421" s="57" t="n">
        <v>0</v>
      </c>
      <c r="AN421" s="57" t="s">
        <v>1250</v>
      </c>
      <c r="AO421" s="57" t="str">
        <f aca="false">IF(C421="County",IF(AL421="Rest of county","Remainder of County","Settlements"),IF(D421="City Centre","City Centre","Rest of City"))</f>
        <v>Settlements</v>
      </c>
      <c r="AP421" s="57" t="str">
        <f aca="false">IF(LEFT(B421,13)="Council audit","Audit",IF(LEFT(B421,8)="Planning","Consent","Zoned"))</f>
        <v>Zoned</v>
      </c>
      <c r="AQ421" s="57" t="n">
        <f aca="false">IF(N(K421)&gt;0,I421*Y421/K421,0)</f>
        <v>1.622</v>
      </c>
    </row>
    <row r="422" customFormat="false" ht="15" hidden="false" customHeight="false" outlineLevel="0" collapsed="false">
      <c r="A422" s="57" t="s">
        <v>1251</v>
      </c>
      <c r="B422" s="57" t="s">
        <v>219</v>
      </c>
      <c r="C422" s="57" t="s">
        <v>220</v>
      </c>
      <c r="D422" s="57" t="s">
        <v>220</v>
      </c>
      <c r="E422" s="57" t="s">
        <v>1174</v>
      </c>
      <c r="F422" s="57" t="s">
        <v>1109</v>
      </c>
      <c r="G422" s="57"/>
      <c r="H422" s="57"/>
      <c r="I422" s="57" t="n">
        <v>2.952</v>
      </c>
      <c r="J422" s="57" t="n">
        <v>3.244</v>
      </c>
      <c r="K422" s="57" t="n">
        <v>74</v>
      </c>
      <c r="L422" s="57" t="s">
        <v>1110</v>
      </c>
      <c r="M422" s="57" t="s">
        <v>1175</v>
      </c>
      <c r="N422" s="57" t="s">
        <v>1112</v>
      </c>
      <c r="O422" s="57" t="n">
        <v>25</v>
      </c>
      <c r="P422" s="57" t="n">
        <v>0</v>
      </c>
      <c r="Q422" s="57"/>
      <c r="R422" s="57" t="n">
        <v>0</v>
      </c>
      <c r="S422" s="57" t="n">
        <v>0</v>
      </c>
      <c r="T422" s="57" t="n">
        <v>0</v>
      </c>
      <c r="U422" s="57" t="n">
        <v>0</v>
      </c>
      <c r="V422" s="57" t="n">
        <v>0</v>
      </c>
      <c r="W422" s="57" t="n">
        <v>0</v>
      </c>
      <c r="X422" s="57" t="n">
        <v>0</v>
      </c>
      <c r="Y422" s="57" t="n">
        <v>74</v>
      </c>
      <c r="Z422" s="57" t="n">
        <v>74</v>
      </c>
      <c r="AA422" s="57" t="n">
        <v>74</v>
      </c>
      <c r="AB422" s="57" t="n">
        <v>0</v>
      </c>
      <c r="AC422" s="57" t="n">
        <v>0</v>
      </c>
      <c r="AD422" s="57" t="n">
        <v>0</v>
      </c>
      <c r="AE422" s="57" t="n">
        <v>0</v>
      </c>
      <c r="AF422" s="57" t="n">
        <v>0</v>
      </c>
      <c r="AG422" s="57" t="n">
        <v>0</v>
      </c>
      <c r="AH422" s="57" t="s">
        <v>240</v>
      </c>
      <c r="AI422" s="57"/>
      <c r="AJ422" s="57" t="n">
        <v>0</v>
      </c>
      <c r="AK422" s="57" t="s">
        <v>348</v>
      </c>
      <c r="AL422" s="57" t="s">
        <v>349</v>
      </c>
      <c r="AM422" s="57" t="n">
        <v>0</v>
      </c>
      <c r="AN422" s="57" t="s">
        <v>1177</v>
      </c>
      <c r="AO422" s="57" t="str">
        <f aca="false">IF(C422="County",IF(AL422="Rest of county","Remainder of County","Settlements"),IF(D422="City Centre","City Centre","Rest of City"))</f>
        <v>Settlements</v>
      </c>
      <c r="AP422" s="57" t="str">
        <f aca="false">IF(LEFT(B422,13)="Council audit","Audit",IF(LEFT(B422,8)="Planning","Consent","Zoned"))</f>
        <v>Zoned</v>
      </c>
      <c r="AQ422" s="57" t="n">
        <f aca="false">IF(N(K422)&gt;0,I422*Y422/K422,0)</f>
        <v>2.952</v>
      </c>
    </row>
    <row r="423" customFormat="false" ht="15" hidden="false" customHeight="false" outlineLevel="0" collapsed="false">
      <c r="A423" s="57" t="s">
        <v>1252</v>
      </c>
      <c r="B423" s="57" t="s">
        <v>219</v>
      </c>
      <c r="C423" s="57" t="s">
        <v>220</v>
      </c>
      <c r="D423" s="57" t="s">
        <v>220</v>
      </c>
      <c r="E423" s="57" t="s">
        <v>1207</v>
      </c>
      <c r="F423" s="57" t="s">
        <v>1115</v>
      </c>
      <c r="G423" s="57"/>
      <c r="H423" s="57"/>
      <c r="I423" s="57" t="n">
        <v>0.976</v>
      </c>
      <c r="J423" s="57" t="n">
        <v>1.072</v>
      </c>
      <c r="K423" s="57" t="n">
        <v>19</v>
      </c>
      <c r="L423" s="57" t="s">
        <v>1110</v>
      </c>
      <c r="M423" s="57" t="s">
        <v>1196</v>
      </c>
      <c r="N423" s="57" t="s">
        <v>1116</v>
      </c>
      <c r="O423" s="57" t="n">
        <v>19</v>
      </c>
      <c r="P423" s="57" t="n">
        <v>1</v>
      </c>
      <c r="Q423" s="57"/>
      <c r="R423" s="57" t="n">
        <v>0</v>
      </c>
      <c r="S423" s="57" t="n">
        <v>0</v>
      </c>
      <c r="T423" s="57" t="n">
        <v>0</v>
      </c>
      <c r="U423" s="57" t="n">
        <v>0</v>
      </c>
      <c r="V423" s="57" t="n">
        <v>0</v>
      </c>
      <c r="W423" s="57" t="n">
        <v>0</v>
      </c>
      <c r="X423" s="57" t="n">
        <v>0</v>
      </c>
      <c r="Y423" s="57" t="n">
        <v>19</v>
      </c>
      <c r="Z423" s="57" t="n">
        <v>19</v>
      </c>
      <c r="AA423" s="57" t="n">
        <v>19</v>
      </c>
      <c r="AB423" s="57" t="n">
        <v>0</v>
      </c>
      <c r="AC423" s="57" t="n">
        <v>0</v>
      </c>
      <c r="AD423" s="57" t="n">
        <v>0</v>
      </c>
      <c r="AE423" s="57" t="n">
        <v>0</v>
      </c>
      <c r="AF423" s="57" t="n">
        <v>0</v>
      </c>
      <c r="AG423" s="57" t="n">
        <v>0</v>
      </c>
      <c r="AH423" s="57" t="s">
        <v>240</v>
      </c>
      <c r="AI423" s="57"/>
      <c r="AJ423" s="57" t="n">
        <v>0</v>
      </c>
      <c r="AK423" s="57" t="s">
        <v>353</v>
      </c>
      <c r="AL423" s="57" t="s">
        <v>349</v>
      </c>
      <c r="AM423" s="57" t="n">
        <v>1</v>
      </c>
      <c r="AN423" s="57" t="s">
        <v>575</v>
      </c>
      <c r="AO423" s="57" t="str">
        <f aca="false">IF(C423="County",IF(AL423="Rest of county","Remainder of County","Settlements"),IF(D423="City Centre","City Centre","Rest of City"))</f>
        <v>Settlements</v>
      </c>
      <c r="AP423" s="57" t="str">
        <f aca="false">IF(LEFT(B423,13)="Council audit","Audit",IF(LEFT(B423,8)="Planning","Consent","Zoned"))</f>
        <v>Zoned</v>
      </c>
      <c r="AQ423" s="57" t="n">
        <f aca="false">IF(N(K423)&gt;0,I423*Y423/K423,0)</f>
        <v>0.976</v>
      </c>
    </row>
    <row r="424" customFormat="false" ht="15" hidden="false" customHeight="false" outlineLevel="0" collapsed="false">
      <c r="A424" s="57" t="s">
        <v>1253</v>
      </c>
      <c r="B424" s="57" t="s">
        <v>219</v>
      </c>
      <c r="C424" s="57" t="s">
        <v>220</v>
      </c>
      <c r="D424" s="57" t="s">
        <v>220</v>
      </c>
      <c r="E424" s="57" t="s">
        <v>1214</v>
      </c>
      <c r="F424" s="57" t="s">
        <v>1199</v>
      </c>
      <c r="G424" s="57"/>
      <c r="H424" s="57"/>
      <c r="I424" s="57" t="n">
        <v>0.449</v>
      </c>
      <c r="J424" s="57" t="n">
        <v>0.494</v>
      </c>
      <c r="K424" s="57" t="n">
        <v>11</v>
      </c>
      <c r="L424" s="57" t="s">
        <v>1110</v>
      </c>
      <c r="M424" s="57" t="s">
        <v>1183</v>
      </c>
      <c r="N424" s="57" t="s">
        <v>1112</v>
      </c>
      <c r="O424" s="57" t="n">
        <v>25</v>
      </c>
      <c r="P424" s="57" t="n">
        <v>0</v>
      </c>
      <c r="Q424" s="57"/>
      <c r="R424" s="57" t="n">
        <v>0</v>
      </c>
      <c r="S424" s="57" t="n">
        <v>0</v>
      </c>
      <c r="T424" s="57" t="n">
        <v>0</v>
      </c>
      <c r="U424" s="57" t="n">
        <v>0</v>
      </c>
      <c r="V424" s="57" t="n">
        <v>0</v>
      </c>
      <c r="W424" s="57" t="n">
        <v>0</v>
      </c>
      <c r="X424" s="57" t="n">
        <v>0</v>
      </c>
      <c r="Y424" s="57" t="n">
        <v>11</v>
      </c>
      <c r="Z424" s="57" t="n">
        <v>11</v>
      </c>
      <c r="AA424" s="57" t="n">
        <v>11</v>
      </c>
      <c r="AB424" s="57" t="n">
        <v>0</v>
      </c>
      <c r="AC424" s="57" t="n">
        <v>0</v>
      </c>
      <c r="AD424" s="57" t="n">
        <v>0</v>
      </c>
      <c r="AE424" s="57" t="n">
        <v>0</v>
      </c>
      <c r="AF424" s="57" t="n">
        <v>0</v>
      </c>
      <c r="AG424" s="57" t="n">
        <v>0</v>
      </c>
      <c r="AH424" s="57" t="s">
        <v>240</v>
      </c>
      <c r="AI424" s="57"/>
      <c r="AJ424" s="57" t="n">
        <v>0</v>
      </c>
      <c r="AK424" s="57" t="s">
        <v>360</v>
      </c>
      <c r="AL424" s="57" t="s">
        <v>356</v>
      </c>
      <c r="AM424" s="57" t="n">
        <v>1</v>
      </c>
      <c r="AN424" s="57" t="s">
        <v>575</v>
      </c>
      <c r="AO424" s="57" t="str">
        <f aca="false">IF(C424="County",IF(AL424="Rest of county","Remainder of County","Settlements"),IF(D424="City Centre","City Centre","Rest of City"))</f>
        <v>Settlements</v>
      </c>
      <c r="AP424" s="57" t="str">
        <f aca="false">IF(LEFT(B424,13)="Council audit","Audit",IF(LEFT(B424,8)="Planning","Consent","Zoned"))</f>
        <v>Zoned</v>
      </c>
      <c r="AQ424" s="57" t="n">
        <f aca="false">IF(N(K424)&gt;0,I424*Y424/K424,0)</f>
        <v>0.449</v>
      </c>
    </row>
    <row r="425" customFormat="false" ht="15" hidden="false" customHeight="false" outlineLevel="0" collapsed="false">
      <c r="A425" s="57" t="s">
        <v>1254</v>
      </c>
      <c r="B425" s="57" t="s">
        <v>219</v>
      </c>
      <c r="C425" s="57" t="s">
        <v>220</v>
      </c>
      <c r="D425" s="57" t="s">
        <v>220</v>
      </c>
      <c r="E425" s="57" t="s">
        <v>1255</v>
      </c>
      <c r="F425" s="57" t="s">
        <v>1182</v>
      </c>
      <c r="G425" s="57"/>
      <c r="H425" s="57"/>
      <c r="I425" s="57" t="n">
        <v>3.392</v>
      </c>
      <c r="J425" s="57" t="n">
        <v>3.728</v>
      </c>
      <c r="K425" s="57" t="n">
        <v>64</v>
      </c>
      <c r="L425" s="57" t="s">
        <v>1110</v>
      </c>
      <c r="M425" s="57" t="s">
        <v>1200</v>
      </c>
      <c r="N425" s="57" t="s">
        <v>1116</v>
      </c>
      <c r="O425" s="57" t="n">
        <v>19</v>
      </c>
      <c r="P425" s="57" t="n">
        <v>1</v>
      </c>
      <c r="Q425" s="57"/>
      <c r="R425" s="57" t="n">
        <v>0</v>
      </c>
      <c r="S425" s="57" t="n">
        <v>0</v>
      </c>
      <c r="T425" s="57" t="n">
        <v>0</v>
      </c>
      <c r="U425" s="57" t="n">
        <v>0</v>
      </c>
      <c r="V425" s="57" t="n">
        <v>0</v>
      </c>
      <c r="W425" s="57" t="n">
        <v>0</v>
      </c>
      <c r="X425" s="57" t="n">
        <v>0</v>
      </c>
      <c r="Y425" s="57" t="n">
        <v>64</v>
      </c>
      <c r="Z425" s="57" t="n">
        <v>64</v>
      </c>
      <c r="AA425" s="57" t="n">
        <v>64</v>
      </c>
      <c r="AB425" s="57" t="n">
        <v>0</v>
      </c>
      <c r="AC425" s="57" t="n">
        <v>0</v>
      </c>
      <c r="AD425" s="57" t="n">
        <v>0</v>
      </c>
      <c r="AE425" s="57" t="n">
        <v>0</v>
      </c>
      <c r="AF425" s="57" t="n">
        <v>0</v>
      </c>
      <c r="AG425" s="57" t="n">
        <v>0</v>
      </c>
      <c r="AH425" s="57" t="s">
        <v>240</v>
      </c>
      <c r="AI425" s="57"/>
      <c r="AJ425" s="57" t="n">
        <v>0</v>
      </c>
      <c r="AK425" s="57" t="s">
        <v>352</v>
      </c>
      <c r="AL425" s="57" t="s">
        <v>349</v>
      </c>
      <c r="AM425" s="57" t="n">
        <v>0</v>
      </c>
      <c r="AN425" s="57" t="s">
        <v>1201</v>
      </c>
      <c r="AO425" s="57" t="str">
        <f aca="false">IF(C425="County",IF(AL425="Rest of county","Remainder of County","Settlements"),IF(D425="City Centre","City Centre","Rest of City"))</f>
        <v>Settlements</v>
      </c>
      <c r="AP425" s="57" t="str">
        <f aca="false">IF(LEFT(B425,13)="Council audit","Audit",IF(LEFT(B425,8)="Planning","Consent","Zoned"))</f>
        <v>Zoned</v>
      </c>
      <c r="AQ425" s="57" t="n">
        <f aca="false">IF(N(K425)&gt;0,I425*Y425/K425,0)</f>
        <v>3.392</v>
      </c>
    </row>
    <row r="426" customFormat="false" ht="15" hidden="false" customHeight="false" outlineLevel="0" collapsed="false">
      <c r="A426" s="57" t="s">
        <v>1256</v>
      </c>
      <c r="B426" s="57" t="s">
        <v>219</v>
      </c>
      <c r="C426" s="57" t="s">
        <v>220</v>
      </c>
      <c r="D426" s="57" t="s">
        <v>220</v>
      </c>
      <c r="E426" s="57" t="s">
        <v>1170</v>
      </c>
      <c r="F426" s="57" t="s">
        <v>1109</v>
      </c>
      <c r="G426" s="57"/>
      <c r="H426" s="57"/>
      <c r="I426" s="57" t="n">
        <v>0.34</v>
      </c>
      <c r="J426" s="57" t="n">
        <v>0.374</v>
      </c>
      <c r="K426" s="57" t="n">
        <v>8</v>
      </c>
      <c r="L426" s="57" t="s">
        <v>1110</v>
      </c>
      <c r="M426" s="57" t="s">
        <v>1171</v>
      </c>
      <c r="N426" s="57" t="s">
        <v>1112</v>
      </c>
      <c r="O426" s="57" t="n">
        <v>25</v>
      </c>
      <c r="P426" s="57" t="n">
        <v>1</v>
      </c>
      <c r="Q426" s="57"/>
      <c r="R426" s="57" t="n">
        <v>0</v>
      </c>
      <c r="S426" s="57" t="n">
        <v>0</v>
      </c>
      <c r="T426" s="57" t="n">
        <v>0</v>
      </c>
      <c r="U426" s="57" t="n">
        <v>0</v>
      </c>
      <c r="V426" s="57" t="n">
        <v>0</v>
      </c>
      <c r="W426" s="57" t="n">
        <v>0</v>
      </c>
      <c r="X426" s="57" t="n">
        <v>0</v>
      </c>
      <c r="Y426" s="57" t="n">
        <v>8</v>
      </c>
      <c r="Z426" s="57" t="n">
        <v>8</v>
      </c>
      <c r="AA426" s="57" t="n">
        <v>8</v>
      </c>
      <c r="AB426" s="57" t="n">
        <v>0</v>
      </c>
      <c r="AC426" s="57" t="n">
        <v>0</v>
      </c>
      <c r="AD426" s="57" t="n">
        <v>0</v>
      </c>
      <c r="AE426" s="57" t="n">
        <v>0</v>
      </c>
      <c r="AF426" s="57" t="n">
        <v>0</v>
      </c>
      <c r="AG426" s="57" t="n">
        <v>0</v>
      </c>
      <c r="AH426" s="57" t="s">
        <v>240</v>
      </c>
      <c r="AI426" s="57"/>
      <c r="AJ426" s="57" t="n">
        <v>0</v>
      </c>
      <c r="AK426" s="57" t="s">
        <v>350</v>
      </c>
      <c r="AL426" s="57" t="s">
        <v>349</v>
      </c>
      <c r="AM426" s="57" t="n">
        <v>1</v>
      </c>
      <c r="AN426" s="57" t="s">
        <v>575</v>
      </c>
      <c r="AO426" s="57" t="str">
        <f aca="false">IF(C426="County",IF(AL426="Rest of county","Remainder of County","Settlements"),IF(D426="City Centre","City Centre","Rest of City"))</f>
        <v>Settlements</v>
      </c>
      <c r="AP426" s="57" t="str">
        <f aca="false">IF(LEFT(B426,13)="Council audit","Audit",IF(LEFT(B426,8)="Planning","Consent","Zoned"))</f>
        <v>Zoned</v>
      </c>
      <c r="AQ426" s="57" t="n">
        <f aca="false">IF(N(K426)&gt;0,I426*Y426/K426,0)</f>
        <v>0.34</v>
      </c>
    </row>
    <row r="427" customFormat="false" ht="15" hidden="false" customHeight="false" outlineLevel="0" collapsed="false">
      <c r="A427" s="57" t="s">
        <v>1257</v>
      </c>
      <c r="B427" s="57" t="s">
        <v>219</v>
      </c>
      <c r="C427" s="57" t="s">
        <v>220</v>
      </c>
      <c r="D427" s="57" t="s">
        <v>220</v>
      </c>
      <c r="E427" s="57" t="s">
        <v>1170</v>
      </c>
      <c r="F427" s="57" t="s">
        <v>1109</v>
      </c>
      <c r="G427" s="57"/>
      <c r="H427" s="57"/>
      <c r="I427" s="57" t="n">
        <v>1.244</v>
      </c>
      <c r="J427" s="57" t="n">
        <v>1.367</v>
      </c>
      <c r="K427" s="57" t="n">
        <v>31</v>
      </c>
      <c r="L427" s="57" t="s">
        <v>1110</v>
      </c>
      <c r="M427" s="57" t="s">
        <v>1171</v>
      </c>
      <c r="N427" s="57" t="s">
        <v>1112</v>
      </c>
      <c r="O427" s="57" t="n">
        <v>25</v>
      </c>
      <c r="P427" s="57" t="n">
        <v>1</v>
      </c>
      <c r="Q427" s="57"/>
      <c r="R427" s="57" t="n">
        <v>0</v>
      </c>
      <c r="S427" s="57" t="n">
        <v>0</v>
      </c>
      <c r="T427" s="57" t="n">
        <v>0</v>
      </c>
      <c r="U427" s="57" t="n">
        <v>0</v>
      </c>
      <c r="V427" s="57" t="n">
        <v>0</v>
      </c>
      <c r="W427" s="57" t="n">
        <v>0</v>
      </c>
      <c r="X427" s="57" t="n">
        <v>0</v>
      </c>
      <c r="Y427" s="57" t="n">
        <v>31</v>
      </c>
      <c r="Z427" s="57" t="n">
        <v>31</v>
      </c>
      <c r="AA427" s="57" t="n">
        <v>31</v>
      </c>
      <c r="AB427" s="57" t="n">
        <v>0</v>
      </c>
      <c r="AC427" s="57" t="n">
        <v>0</v>
      </c>
      <c r="AD427" s="57" t="n">
        <v>0</v>
      </c>
      <c r="AE427" s="57" t="n">
        <v>0</v>
      </c>
      <c r="AF427" s="57" t="n">
        <v>0</v>
      </c>
      <c r="AG427" s="57" t="n">
        <v>0</v>
      </c>
      <c r="AH427" s="57" t="s">
        <v>240</v>
      </c>
      <c r="AI427" s="57"/>
      <c r="AJ427" s="57" t="n">
        <v>0</v>
      </c>
      <c r="AK427" s="57" t="s">
        <v>350</v>
      </c>
      <c r="AL427" s="57" t="s">
        <v>349</v>
      </c>
      <c r="AM427" s="57" t="n">
        <v>0.68</v>
      </c>
      <c r="AN427" s="57" t="s">
        <v>575</v>
      </c>
      <c r="AO427" s="57" t="str">
        <f aca="false">IF(C427="County",IF(AL427="Rest of county","Remainder of County","Settlements"),IF(D427="City Centre","City Centre","Rest of City"))</f>
        <v>Settlements</v>
      </c>
      <c r="AP427" s="57" t="str">
        <f aca="false">IF(LEFT(B427,13)="Council audit","Audit",IF(LEFT(B427,8)="Planning","Consent","Zoned"))</f>
        <v>Zoned</v>
      </c>
      <c r="AQ427" s="57" t="n">
        <f aca="false">IF(N(K427)&gt;0,I427*Y427/K427,0)</f>
        <v>1.244</v>
      </c>
    </row>
    <row r="428" customFormat="false" ht="15" hidden="false" customHeight="false" outlineLevel="0" collapsed="false">
      <c r="A428" s="57" t="s">
        <v>1258</v>
      </c>
      <c r="B428" s="57" t="s">
        <v>219</v>
      </c>
      <c r="C428" s="57" t="s">
        <v>220</v>
      </c>
      <c r="D428" s="57" t="s">
        <v>220</v>
      </c>
      <c r="E428" s="57" t="s">
        <v>1207</v>
      </c>
      <c r="F428" s="57" t="s">
        <v>1115</v>
      </c>
      <c r="G428" s="57"/>
      <c r="H428" s="57"/>
      <c r="I428" s="57" t="n">
        <v>1.474</v>
      </c>
      <c r="J428" s="57" t="n">
        <v>1.619</v>
      </c>
      <c r="K428" s="57" t="n">
        <v>28</v>
      </c>
      <c r="L428" s="57" t="s">
        <v>1110</v>
      </c>
      <c r="M428" s="57" t="s">
        <v>1196</v>
      </c>
      <c r="N428" s="57" t="s">
        <v>1116</v>
      </c>
      <c r="O428" s="57" t="n">
        <v>19</v>
      </c>
      <c r="P428" s="57" t="n">
        <v>0.96</v>
      </c>
      <c r="Q428" s="57"/>
      <c r="R428" s="57" t="n">
        <v>0</v>
      </c>
      <c r="S428" s="57" t="n">
        <v>0</v>
      </c>
      <c r="T428" s="57" t="n">
        <v>0</v>
      </c>
      <c r="U428" s="57" t="n">
        <v>0</v>
      </c>
      <c r="V428" s="57" t="n">
        <v>0</v>
      </c>
      <c r="W428" s="57" t="n">
        <v>0</v>
      </c>
      <c r="X428" s="57" t="n">
        <v>0</v>
      </c>
      <c r="Y428" s="57" t="n">
        <v>28</v>
      </c>
      <c r="Z428" s="57" t="n">
        <v>28</v>
      </c>
      <c r="AA428" s="57" t="n">
        <v>28</v>
      </c>
      <c r="AB428" s="57" t="n">
        <v>0</v>
      </c>
      <c r="AC428" s="57" t="n">
        <v>0</v>
      </c>
      <c r="AD428" s="57" t="n">
        <v>0</v>
      </c>
      <c r="AE428" s="57" t="n">
        <v>0</v>
      </c>
      <c r="AF428" s="57" t="n">
        <v>0</v>
      </c>
      <c r="AG428" s="57" t="n">
        <v>0</v>
      </c>
      <c r="AH428" s="57" t="s">
        <v>240</v>
      </c>
      <c r="AI428" s="57"/>
      <c r="AJ428" s="57" t="n">
        <v>0</v>
      </c>
      <c r="AK428" s="57" t="s">
        <v>353</v>
      </c>
      <c r="AL428" s="57" t="s">
        <v>349</v>
      </c>
      <c r="AM428" s="57" t="n">
        <v>0.19</v>
      </c>
      <c r="AN428" s="57" t="s">
        <v>575</v>
      </c>
      <c r="AO428" s="57" t="str">
        <f aca="false">IF(C428="County",IF(AL428="Rest of county","Remainder of County","Settlements"),IF(D428="City Centre","City Centre","Rest of City"))</f>
        <v>Settlements</v>
      </c>
      <c r="AP428" s="57" t="str">
        <f aca="false">IF(LEFT(B428,13)="Council audit","Audit",IF(LEFT(B428,8)="Planning","Consent","Zoned"))</f>
        <v>Zoned</v>
      </c>
      <c r="AQ428" s="57" t="n">
        <f aca="false">IF(N(K428)&gt;0,I428*Y428/K428,0)</f>
        <v>1.474</v>
      </c>
    </row>
    <row r="429" customFormat="false" ht="15" hidden="false" customHeight="false" outlineLevel="0" collapsed="false">
      <c r="A429" s="57" t="s">
        <v>1259</v>
      </c>
      <c r="B429" s="57" t="s">
        <v>219</v>
      </c>
      <c r="C429" s="57" t="s">
        <v>220</v>
      </c>
      <c r="D429" s="57" t="s">
        <v>220</v>
      </c>
      <c r="E429" s="57" t="s">
        <v>1162</v>
      </c>
      <c r="F429" s="57" t="s">
        <v>1163</v>
      </c>
      <c r="G429" s="57"/>
      <c r="H429" s="57"/>
      <c r="I429" s="57" t="n">
        <v>0.764</v>
      </c>
      <c r="J429" s="57" t="n">
        <v>0.84</v>
      </c>
      <c r="K429" s="57" t="n">
        <v>19</v>
      </c>
      <c r="L429" s="57" t="s">
        <v>1110</v>
      </c>
      <c r="M429" s="57" t="s">
        <v>1164</v>
      </c>
      <c r="N429" s="57" t="s">
        <v>1112</v>
      </c>
      <c r="O429" s="57" t="n">
        <v>25</v>
      </c>
      <c r="P429" s="57" t="n">
        <v>1</v>
      </c>
      <c r="Q429" s="57"/>
      <c r="R429" s="57" t="n">
        <v>0</v>
      </c>
      <c r="S429" s="57" t="n">
        <v>0</v>
      </c>
      <c r="T429" s="57" t="n">
        <v>0</v>
      </c>
      <c r="U429" s="57" t="n">
        <v>0</v>
      </c>
      <c r="V429" s="57" t="n">
        <v>0</v>
      </c>
      <c r="W429" s="57" t="n">
        <v>0</v>
      </c>
      <c r="X429" s="57" t="n">
        <v>0</v>
      </c>
      <c r="Y429" s="57" t="n">
        <v>19</v>
      </c>
      <c r="Z429" s="57" t="n">
        <v>19</v>
      </c>
      <c r="AA429" s="57" t="n">
        <v>19</v>
      </c>
      <c r="AB429" s="57" t="n">
        <v>0</v>
      </c>
      <c r="AC429" s="57" t="n">
        <v>0</v>
      </c>
      <c r="AD429" s="57" t="n">
        <v>0</v>
      </c>
      <c r="AE429" s="57" t="n">
        <v>0</v>
      </c>
      <c r="AF429" s="57" t="n">
        <v>0</v>
      </c>
      <c r="AG429" s="57" t="n">
        <v>0</v>
      </c>
      <c r="AH429" s="57" t="s">
        <v>240</v>
      </c>
      <c r="AI429" s="57"/>
      <c r="AJ429" s="57" t="n">
        <v>0</v>
      </c>
      <c r="AK429" s="57" t="s">
        <v>364</v>
      </c>
      <c r="AL429" s="57" t="s">
        <v>356</v>
      </c>
      <c r="AM429" s="57" t="n">
        <v>1</v>
      </c>
      <c r="AN429" s="57" t="s">
        <v>575</v>
      </c>
      <c r="AO429" s="57" t="str">
        <f aca="false">IF(C429="County",IF(AL429="Rest of county","Remainder of County","Settlements"),IF(D429="City Centre","City Centre","Rest of City"))</f>
        <v>Settlements</v>
      </c>
      <c r="AP429" s="57" t="str">
        <f aca="false">IF(LEFT(B429,13)="Council audit","Audit",IF(LEFT(B429,8)="Planning","Consent","Zoned"))</f>
        <v>Zoned</v>
      </c>
      <c r="AQ429" s="57" t="n">
        <f aca="false">IF(N(K429)&gt;0,I429*Y429/K429,0)</f>
        <v>0.764</v>
      </c>
    </row>
    <row r="430" customFormat="false" ht="15" hidden="false" customHeight="false" outlineLevel="0" collapsed="false">
      <c r="A430" s="57" t="s">
        <v>1260</v>
      </c>
      <c r="B430" s="57" t="s">
        <v>219</v>
      </c>
      <c r="C430" s="57" t="s">
        <v>220</v>
      </c>
      <c r="D430" s="57" t="s">
        <v>220</v>
      </c>
      <c r="E430" s="57" t="s">
        <v>1158</v>
      </c>
      <c r="F430" s="57" t="s">
        <v>1109</v>
      </c>
      <c r="G430" s="57"/>
      <c r="H430" s="57"/>
      <c r="I430" s="57" t="n">
        <v>0.547</v>
      </c>
      <c r="J430" s="57" t="n">
        <v>0.601</v>
      </c>
      <c r="K430" s="57" t="n">
        <v>14</v>
      </c>
      <c r="L430" s="57" t="s">
        <v>1110</v>
      </c>
      <c r="M430" s="57" t="s">
        <v>1159</v>
      </c>
      <c r="N430" s="57" t="s">
        <v>1112</v>
      </c>
      <c r="O430" s="57" t="n">
        <v>25</v>
      </c>
      <c r="P430" s="57" t="n">
        <v>1</v>
      </c>
      <c r="Q430" s="57"/>
      <c r="R430" s="57" t="n">
        <v>0</v>
      </c>
      <c r="S430" s="57" t="n">
        <v>0</v>
      </c>
      <c r="T430" s="57" t="n">
        <v>0</v>
      </c>
      <c r="U430" s="57" t="n">
        <v>0</v>
      </c>
      <c r="V430" s="57" t="n">
        <v>0</v>
      </c>
      <c r="W430" s="57" t="n">
        <v>0</v>
      </c>
      <c r="X430" s="57" t="n">
        <v>0</v>
      </c>
      <c r="Y430" s="57" t="n">
        <v>14</v>
      </c>
      <c r="Z430" s="57" t="n">
        <v>14</v>
      </c>
      <c r="AA430" s="57" t="n">
        <v>14</v>
      </c>
      <c r="AB430" s="57" t="n">
        <v>0</v>
      </c>
      <c r="AC430" s="57" t="n">
        <v>0</v>
      </c>
      <c r="AD430" s="57" t="n">
        <v>0</v>
      </c>
      <c r="AE430" s="57" t="n">
        <v>0</v>
      </c>
      <c r="AF430" s="57" t="n">
        <v>0</v>
      </c>
      <c r="AG430" s="57" t="n">
        <v>0</v>
      </c>
      <c r="AH430" s="57" t="s">
        <v>240</v>
      </c>
      <c r="AI430" s="57"/>
      <c r="AJ430" s="57" t="n">
        <v>0</v>
      </c>
      <c r="AK430" s="57" t="s">
        <v>351</v>
      </c>
      <c r="AL430" s="57" t="s">
        <v>349</v>
      </c>
      <c r="AM430" s="57" t="n">
        <v>1</v>
      </c>
      <c r="AN430" s="57" t="s">
        <v>575</v>
      </c>
      <c r="AO430" s="57" t="str">
        <f aca="false">IF(C430="County",IF(AL430="Rest of county","Remainder of County","Settlements"),IF(D430="City Centre","City Centre","Rest of City"))</f>
        <v>Settlements</v>
      </c>
      <c r="AP430" s="57" t="str">
        <f aca="false">IF(LEFT(B430,13)="Council audit","Audit",IF(LEFT(B430,8)="Planning","Consent","Zoned"))</f>
        <v>Zoned</v>
      </c>
      <c r="AQ430" s="57" t="n">
        <f aca="false">IF(N(K430)&gt;0,I430*Y430/K430,0)</f>
        <v>0.547</v>
      </c>
    </row>
    <row r="431" customFormat="false" ht="15" hidden="false" customHeight="false" outlineLevel="0" collapsed="false">
      <c r="A431" s="57" t="s">
        <v>1261</v>
      </c>
      <c r="B431" s="57" t="s">
        <v>219</v>
      </c>
      <c r="C431" s="57" t="s">
        <v>220</v>
      </c>
      <c r="D431" s="57" t="s">
        <v>220</v>
      </c>
      <c r="E431" s="57" t="s">
        <v>1174</v>
      </c>
      <c r="F431" s="57" t="s">
        <v>1109</v>
      </c>
      <c r="G431" s="57"/>
      <c r="H431" s="57"/>
      <c r="I431" s="57" t="n">
        <v>0.546</v>
      </c>
      <c r="J431" s="57" t="n">
        <v>0.6</v>
      </c>
      <c r="K431" s="57" t="n">
        <v>14</v>
      </c>
      <c r="L431" s="57" t="s">
        <v>1110</v>
      </c>
      <c r="M431" s="57" t="s">
        <v>1175</v>
      </c>
      <c r="N431" s="57" t="s">
        <v>1112</v>
      </c>
      <c r="O431" s="57" t="n">
        <v>25</v>
      </c>
      <c r="P431" s="57" t="n">
        <v>0</v>
      </c>
      <c r="Q431" s="57"/>
      <c r="R431" s="57" t="n">
        <v>0</v>
      </c>
      <c r="S431" s="57" t="n">
        <v>0</v>
      </c>
      <c r="T431" s="57" t="n">
        <v>0</v>
      </c>
      <c r="U431" s="57" t="n">
        <v>0</v>
      </c>
      <c r="V431" s="57" t="n">
        <v>0</v>
      </c>
      <c r="W431" s="57" t="n">
        <v>0</v>
      </c>
      <c r="X431" s="57" t="n">
        <v>0</v>
      </c>
      <c r="Y431" s="57" t="n">
        <v>14</v>
      </c>
      <c r="Z431" s="57" t="n">
        <v>14</v>
      </c>
      <c r="AA431" s="57" t="n">
        <v>14</v>
      </c>
      <c r="AB431" s="57" t="n">
        <v>0</v>
      </c>
      <c r="AC431" s="57" t="n">
        <v>0</v>
      </c>
      <c r="AD431" s="57" t="n">
        <v>0</v>
      </c>
      <c r="AE431" s="57" t="n">
        <v>0</v>
      </c>
      <c r="AF431" s="57" t="n">
        <v>0</v>
      </c>
      <c r="AG431" s="57" t="n">
        <v>0</v>
      </c>
      <c r="AH431" s="57" t="s">
        <v>240</v>
      </c>
      <c r="AI431" s="57"/>
      <c r="AJ431" s="57" t="n">
        <v>0</v>
      </c>
      <c r="AK431" s="57" t="s">
        <v>348</v>
      </c>
      <c r="AL431" s="57" t="s">
        <v>349</v>
      </c>
      <c r="AM431" s="57" t="n">
        <v>1</v>
      </c>
      <c r="AN431" s="57" t="s">
        <v>575</v>
      </c>
      <c r="AO431" s="57" t="str">
        <f aca="false">IF(C431="County",IF(AL431="Rest of county","Remainder of County","Settlements"),IF(D431="City Centre","City Centre","Rest of City"))</f>
        <v>Settlements</v>
      </c>
      <c r="AP431" s="57" t="str">
        <f aca="false">IF(LEFT(B431,13)="Council audit","Audit",IF(LEFT(B431,8)="Planning","Consent","Zoned"))</f>
        <v>Zoned</v>
      </c>
      <c r="AQ431" s="57" t="n">
        <f aca="false">IF(N(K431)&gt;0,I431*Y431/K431,0)</f>
        <v>0.546</v>
      </c>
    </row>
    <row r="432" customFormat="false" ht="15" hidden="false" customHeight="false" outlineLevel="0" collapsed="false">
      <c r="A432" s="57" t="s">
        <v>1262</v>
      </c>
      <c r="B432" s="57" t="s">
        <v>219</v>
      </c>
      <c r="C432" s="57" t="s">
        <v>220</v>
      </c>
      <c r="D432" s="57" t="s">
        <v>220</v>
      </c>
      <c r="E432" s="57" t="s">
        <v>1187</v>
      </c>
      <c r="F432" s="57" t="s">
        <v>1109</v>
      </c>
      <c r="G432" s="57"/>
      <c r="H432" s="57"/>
      <c r="I432" s="57" t="n">
        <v>3.191</v>
      </c>
      <c r="J432" s="57" t="n">
        <v>3.506</v>
      </c>
      <c r="K432" s="57" t="n">
        <v>80</v>
      </c>
      <c r="L432" s="57" t="s">
        <v>1110</v>
      </c>
      <c r="M432" s="57" t="s">
        <v>1188</v>
      </c>
      <c r="N432" s="57" t="s">
        <v>1112</v>
      </c>
      <c r="O432" s="57" t="n">
        <v>25</v>
      </c>
      <c r="P432" s="57" t="n">
        <v>0.62</v>
      </c>
      <c r="Q432" s="57"/>
      <c r="R432" s="57" t="n">
        <v>0</v>
      </c>
      <c r="S432" s="57" t="n">
        <v>0</v>
      </c>
      <c r="T432" s="57" t="n">
        <v>0</v>
      </c>
      <c r="U432" s="57" t="n">
        <v>0</v>
      </c>
      <c r="V432" s="57" t="n">
        <v>0</v>
      </c>
      <c r="W432" s="57" t="n">
        <v>0</v>
      </c>
      <c r="X432" s="57" t="n">
        <v>0</v>
      </c>
      <c r="Y432" s="57" t="n">
        <v>80</v>
      </c>
      <c r="Z432" s="57" t="n">
        <v>80</v>
      </c>
      <c r="AA432" s="57" t="n">
        <v>80</v>
      </c>
      <c r="AB432" s="57" t="n">
        <v>0</v>
      </c>
      <c r="AC432" s="57" t="n">
        <v>0</v>
      </c>
      <c r="AD432" s="57" t="n">
        <v>0</v>
      </c>
      <c r="AE432" s="57" t="n">
        <v>0</v>
      </c>
      <c r="AF432" s="57" t="n">
        <v>0</v>
      </c>
      <c r="AG432" s="57" t="n">
        <v>0</v>
      </c>
      <c r="AH432" s="57" t="s">
        <v>240</v>
      </c>
      <c r="AI432" s="57"/>
      <c r="AJ432" s="57" t="n">
        <v>0</v>
      </c>
      <c r="AK432" s="57" t="s">
        <v>354</v>
      </c>
      <c r="AL432" s="57" t="s">
        <v>349</v>
      </c>
      <c r="AM432" s="57" t="n">
        <v>0.07</v>
      </c>
      <c r="AN432" s="57" t="s">
        <v>575</v>
      </c>
      <c r="AO432" s="57" t="str">
        <f aca="false">IF(C432="County",IF(AL432="Rest of county","Remainder of County","Settlements"),IF(D432="City Centre","City Centre","Rest of City"))</f>
        <v>Settlements</v>
      </c>
      <c r="AP432" s="57" t="str">
        <f aca="false">IF(LEFT(B432,13)="Council audit","Audit",IF(LEFT(B432,8)="Planning","Consent","Zoned"))</f>
        <v>Zoned</v>
      </c>
      <c r="AQ432" s="57" t="n">
        <f aca="false">IF(N(K432)&gt;0,I432*Y432/K432,0)</f>
        <v>3.191</v>
      </c>
    </row>
    <row r="433" customFormat="false" ht="15" hidden="false" customHeight="false" outlineLevel="0" collapsed="false">
      <c r="A433" s="57" t="s">
        <v>1263</v>
      </c>
      <c r="B433" s="57" t="s">
        <v>219</v>
      </c>
      <c r="C433" s="57" t="s">
        <v>220</v>
      </c>
      <c r="D433" s="57" t="s">
        <v>220</v>
      </c>
      <c r="E433" s="57" t="s">
        <v>1264</v>
      </c>
      <c r="F433" s="57" t="s">
        <v>1115</v>
      </c>
      <c r="G433" s="57"/>
      <c r="H433" s="57"/>
      <c r="I433" s="57" t="n">
        <v>1.897</v>
      </c>
      <c r="J433" s="57" t="n">
        <v>2.084</v>
      </c>
      <c r="K433" s="57" t="n">
        <v>36</v>
      </c>
      <c r="L433" s="57" t="s">
        <v>1110</v>
      </c>
      <c r="M433" s="57" t="s">
        <v>1188</v>
      </c>
      <c r="N433" s="57" t="s">
        <v>1116</v>
      </c>
      <c r="O433" s="57" t="n">
        <v>19</v>
      </c>
      <c r="P433" s="57" t="n">
        <v>1</v>
      </c>
      <c r="Q433" s="57"/>
      <c r="R433" s="57" t="n">
        <v>0</v>
      </c>
      <c r="S433" s="57" t="n">
        <v>0</v>
      </c>
      <c r="T433" s="57" t="n">
        <v>0</v>
      </c>
      <c r="U433" s="57" t="n">
        <v>0</v>
      </c>
      <c r="V433" s="57" t="n">
        <v>0</v>
      </c>
      <c r="W433" s="57" t="n">
        <v>0</v>
      </c>
      <c r="X433" s="57" t="n">
        <v>0</v>
      </c>
      <c r="Y433" s="57" t="n">
        <v>36</v>
      </c>
      <c r="Z433" s="57" t="n">
        <v>36</v>
      </c>
      <c r="AA433" s="57" t="n">
        <v>36</v>
      </c>
      <c r="AB433" s="57" t="n">
        <v>0</v>
      </c>
      <c r="AC433" s="57" t="n">
        <v>0</v>
      </c>
      <c r="AD433" s="57" t="n">
        <v>0</v>
      </c>
      <c r="AE433" s="57" t="n">
        <v>0</v>
      </c>
      <c r="AF433" s="57" t="n">
        <v>0</v>
      </c>
      <c r="AG433" s="57" t="n">
        <v>0</v>
      </c>
      <c r="AH433" s="57" t="s">
        <v>240</v>
      </c>
      <c r="AI433" s="57"/>
      <c r="AJ433" s="57" t="n">
        <v>0</v>
      </c>
      <c r="AK433" s="57" t="s">
        <v>354</v>
      </c>
      <c r="AL433" s="57" t="s">
        <v>349</v>
      </c>
      <c r="AM433" s="57" t="n">
        <v>1</v>
      </c>
      <c r="AN433" s="57" t="s">
        <v>575</v>
      </c>
      <c r="AO433" s="57" t="str">
        <f aca="false">IF(C433="County",IF(AL433="Rest of county","Remainder of County","Settlements"),IF(D433="City Centre","City Centre","Rest of City"))</f>
        <v>Settlements</v>
      </c>
      <c r="AP433" s="57" t="str">
        <f aca="false">IF(LEFT(B433,13)="Council audit","Audit",IF(LEFT(B433,8)="Planning","Consent","Zoned"))</f>
        <v>Zoned</v>
      </c>
      <c r="AQ433" s="57" t="n">
        <f aca="false">IF(N(K433)&gt;0,I433*Y433/K433,0)</f>
        <v>1.897</v>
      </c>
    </row>
    <row r="434" customFormat="false" ht="15" hidden="false" customHeight="false" outlineLevel="0" collapsed="false">
      <c r="A434" s="57" t="s">
        <v>1265</v>
      </c>
      <c r="B434" s="57" t="s">
        <v>219</v>
      </c>
      <c r="C434" s="57" t="s">
        <v>220</v>
      </c>
      <c r="D434" s="57" t="s">
        <v>220</v>
      </c>
      <c r="E434" s="57" t="s">
        <v>1204</v>
      </c>
      <c r="F434" s="57" t="s">
        <v>1115</v>
      </c>
      <c r="G434" s="57"/>
      <c r="H434" s="57"/>
      <c r="I434" s="57" t="n">
        <v>0.905</v>
      </c>
      <c r="J434" s="57" t="n">
        <v>0.995</v>
      </c>
      <c r="K434" s="57" t="n">
        <v>17</v>
      </c>
      <c r="L434" s="57" t="s">
        <v>1110</v>
      </c>
      <c r="M434" s="57" t="s">
        <v>1171</v>
      </c>
      <c r="N434" s="57" t="s">
        <v>1116</v>
      </c>
      <c r="O434" s="57" t="n">
        <v>19</v>
      </c>
      <c r="P434" s="57" t="n">
        <v>0.47</v>
      </c>
      <c r="Q434" s="57"/>
      <c r="R434" s="57" t="n">
        <v>0</v>
      </c>
      <c r="S434" s="57" t="n">
        <v>0</v>
      </c>
      <c r="T434" s="57" t="n">
        <v>0</v>
      </c>
      <c r="U434" s="57" t="n">
        <v>0</v>
      </c>
      <c r="V434" s="57" t="n">
        <v>0</v>
      </c>
      <c r="W434" s="57" t="n">
        <v>0</v>
      </c>
      <c r="X434" s="57" t="n">
        <v>0</v>
      </c>
      <c r="Y434" s="57" t="n">
        <v>17</v>
      </c>
      <c r="Z434" s="57" t="n">
        <v>17</v>
      </c>
      <c r="AA434" s="57" t="n">
        <v>17</v>
      </c>
      <c r="AB434" s="57" t="n">
        <v>0</v>
      </c>
      <c r="AC434" s="57" t="n">
        <v>0</v>
      </c>
      <c r="AD434" s="57" t="n">
        <v>0</v>
      </c>
      <c r="AE434" s="57" t="n">
        <v>0</v>
      </c>
      <c r="AF434" s="57" t="n">
        <v>0</v>
      </c>
      <c r="AG434" s="57" t="n">
        <v>0</v>
      </c>
      <c r="AH434" s="57" t="s">
        <v>240</v>
      </c>
      <c r="AI434" s="57"/>
      <c r="AJ434" s="57" t="n">
        <v>0</v>
      </c>
      <c r="AK434" s="57" t="s">
        <v>350</v>
      </c>
      <c r="AL434" s="57" t="s">
        <v>349</v>
      </c>
      <c r="AM434" s="57" t="n">
        <v>0</v>
      </c>
      <c r="AN434" s="57" t="s">
        <v>1172</v>
      </c>
      <c r="AO434" s="57" t="str">
        <f aca="false">IF(C434="County",IF(AL434="Rest of county","Remainder of County","Settlements"),IF(D434="City Centre","City Centre","Rest of City"))</f>
        <v>Settlements</v>
      </c>
      <c r="AP434" s="57" t="str">
        <f aca="false">IF(LEFT(B434,13)="Council audit","Audit",IF(LEFT(B434,8)="Planning","Consent","Zoned"))</f>
        <v>Zoned</v>
      </c>
      <c r="AQ434" s="57" t="n">
        <f aca="false">IF(N(K434)&gt;0,I434*Y434/K434,0)</f>
        <v>0.905</v>
      </c>
    </row>
    <row r="435" customFormat="false" ht="15" hidden="false" customHeight="false" outlineLevel="0" collapsed="false">
      <c r="A435" s="57" t="s">
        <v>1266</v>
      </c>
      <c r="B435" s="57" t="s">
        <v>219</v>
      </c>
      <c r="C435" s="57" t="s">
        <v>220</v>
      </c>
      <c r="D435" s="57" t="s">
        <v>220</v>
      </c>
      <c r="E435" s="57" t="s">
        <v>1255</v>
      </c>
      <c r="F435" s="57" t="s">
        <v>1182</v>
      </c>
      <c r="G435" s="57"/>
      <c r="H435" s="57"/>
      <c r="I435" s="57" t="n">
        <v>3.316</v>
      </c>
      <c r="J435" s="57" t="n">
        <v>3.644</v>
      </c>
      <c r="K435" s="57" t="n">
        <v>63</v>
      </c>
      <c r="L435" s="57" t="s">
        <v>1110</v>
      </c>
      <c r="M435" s="57" t="s">
        <v>1200</v>
      </c>
      <c r="N435" s="57" t="s">
        <v>1116</v>
      </c>
      <c r="O435" s="57" t="n">
        <v>19</v>
      </c>
      <c r="P435" s="57" t="n">
        <v>1</v>
      </c>
      <c r="Q435" s="57"/>
      <c r="R435" s="57" t="n">
        <v>0</v>
      </c>
      <c r="S435" s="57" t="n">
        <v>0</v>
      </c>
      <c r="T435" s="57" t="n">
        <v>0</v>
      </c>
      <c r="U435" s="57" t="n">
        <v>0</v>
      </c>
      <c r="V435" s="57" t="n">
        <v>0</v>
      </c>
      <c r="W435" s="57" t="n">
        <v>0</v>
      </c>
      <c r="X435" s="57" t="n">
        <v>0</v>
      </c>
      <c r="Y435" s="57" t="n">
        <v>63</v>
      </c>
      <c r="Z435" s="57" t="n">
        <v>63</v>
      </c>
      <c r="AA435" s="57" t="n">
        <v>63</v>
      </c>
      <c r="AB435" s="57" t="n">
        <v>0</v>
      </c>
      <c r="AC435" s="57" t="n">
        <v>0</v>
      </c>
      <c r="AD435" s="57" t="n">
        <v>0</v>
      </c>
      <c r="AE435" s="57" t="n">
        <v>0</v>
      </c>
      <c r="AF435" s="57" t="n">
        <v>0</v>
      </c>
      <c r="AG435" s="57" t="n">
        <v>0</v>
      </c>
      <c r="AH435" s="57" t="s">
        <v>240</v>
      </c>
      <c r="AI435" s="57"/>
      <c r="AJ435" s="57" t="n">
        <v>0</v>
      </c>
      <c r="AK435" s="57" t="s">
        <v>352</v>
      </c>
      <c r="AL435" s="57" t="s">
        <v>349</v>
      </c>
      <c r="AM435" s="57" t="n">
        <v>0</v>
      </c>
      <c r="AN435" s="57" t="s">
        <v>1201</v>
      </c>
      <c r="AO435" s="57" t="str">
        <f aca="false">IF(C435="County",IF(AL435="Rest of county","Remainder of County","Settlements"),IF(D435="City Centre","City Centre","Rest of City"))</f>
        <v>Settlements</v>
      </c>
      <c r="AP435" s="57" t="str">
        <f aca="false">IF(LEFT(B435,13)="Council audit","Audit",IF(LEFT(B435,8)="Planning","Consent","Zoned"))</f>
        <v>Zoned</v>
      </c>
      <c r="AQ435" s="57" t="n">
        <f aca="false">IF(N(K435)&gt;0,I435*Y435/K435,0)</f>
        <v>3.316</v>
      </c>
    </row>
    <row r="436" customFormat="false" ht="15" hidden="false" customHeight="false" outlineLevel="0" collapsed="false">
      <c r="A436" s="57" t="s">
        <v>1267</v>
      </c>
      <c r="B436" s="57" t="s">
        <v>219</v>
      </c>
      <c r="C436" s="57" t="s">
        <v>220</v>
      </c>
      <c r="D436" s="57" t="s">
        <v>220</v>
      </c>
      <c r="E436" s="57" t="s">
        <v>1181</v>
      </c>
      <c r="F436" s="57" t="s">
        <v>1182</v>
      </c>
      <c r="G436" s="57"/>
      <c r="H436" s="57"/>
      <c r="I436" s="57" t="n">
        <v>2.435</v>
      </c>
      <c r="J436" s="57" t="n">
        <v>2.676</v>
      </c>
      <c r="K436" s="57" t="n">
        <v>46</v>
      </c>
      <c r="L436" s="57" t="s">
        <v>1110</v>
      </c>
      <c r="M436" s="57" t="s">
        <v>1183</v>
      </c>
      <c r="N436" s="57" t="s">
        <v>1116</v>
      </c>
      <c r="O436" s="57" t="n">
        <v>19</v>
      </c>
      <c r="P436" s="57" t="n">
        <v>0</v>
      </c>
      <c r="Q436" s="57"/>
      <c r="R436" s="57" t="n">
        <v>0</v>
      </c>
      <c r="S436" s="57" t="n">
        <v>0</v>
      </c>
      <c r="T436" s="57" t="n">
        <v>0</v>
      </c>
      <c r="U436" s="57" t="n">
        <v>0</v>
      </c>
      <c r="V436" s="57" t="n">
        <v>0</v>
      </c>
      <c r="W436" s="57" t="n">
        <v>0</v>
      </c>
      <c r="X436" s="57" t="n">
        <v>0</v>
      </c>
      <c r="Y436" s="57" t="n">
        <v>46</v>
      </c>
      <c r="Z436" s="57" t="n">
        <v>46</v>
      </c>
      <c r="AA436" s="57" t="n">
        <v>46</v>
      </c>
      <c r="AB436" s="57" t="n">
        <v>0</v>
      </c>
      <c r="AC436" s="57" t="n">
        <v>0</v>
      </c>
      <c r="AD436" s="57" t="n">
        <v>0</v>
      </c>
      <c r="AE436" s="57" t="n">
        <v>0</v>
      </c>
      <c r="AF436" s="57" t="n">
        <v>0</v>
      </c>
      <c r="AG436" s="57" t="n">
        <v>0</v>
      </c>
      <c r="AH436" s="57" t="s">
        <v>240</v>
      </c>
      <c r="AI436" s="57"/>
      <c r="AJ436" s="57" t="n">
        <v>0</v>
      </c>
      <c r="AK436" s="57" t="s">
        <v>360</v>
      </c>
      <c r="AL436" s="57" t="s">
        <v>356</v>
      </c>
      <c r="AM436" s="57" t="n">
        <v>1</v>
      </c>
      <c r="AN436" s="57" t="s">
        <v>575</v>
      </c>
      <c r="AO436" s="57" t="str">
        <f aca="false">IF(C436="County",IF(AL436="Rest of county","Remainder of County","Settlements"),IF(D436="City Centre","City Centre","Rest of City"))</f>
        <v>Settlements</v>
      </c>
      <c r="AP436" s="57" t="str">
        <f aca="false">IF(LEFT(B436,13)="Council audit","Audit",IF(LEFT(B436,8)="Planning","Consent","Zoned"))</f>
        <v>Zoned</v>
      </c>
      <c r="AQ436" s="57" t="n">
        <f aca="false">IF(N(K436)&gt;0,I436*Y436/K436,0)</f>
        <v>2.435</v>
      </c>
    </row>
    <row r="437" customFormat="false" ht="15" hidden="false" customHeight="false" outlineLevel="0" collapsed="false">
      <c r="A437" s="57" t="s">
        <v>1268</v>
      </c>
      <c r="B437" s="57" t="s">
        <v>219</v>
      </c>
      <c r="C437" s="57" t="s">
        <v>220</v>
      </c>
      <c r="D437" s="57" t="s">
        <v>220</v>
      </c>
      <c r="E437" s="57" t="s">
        <v>1249</v>
      </c>
      <c r="F437" s="57" t="s">
        <v>1115</v>
      </c>
      <c r="G437" s="57"/>
      <c r="H437" s="57"/>
      <c r="I437" s="57" t="n">
        <v>0.389</v>
      </c>
      <c r="J437" s="57" t="n">
        <v>0.428</v>
      </c>
      <c r="K437" s="57" t="n">
        <v>7</v>
      </c>
      <c r="L437" s="57" t="s">
        <v>1110</v>
      </c>
      <c r="M437" s="57" t="s">
        <v>1159</v>
      </c>
      <c r="N437" s="57" t="s">
        <v>1116</v>
      </c>
      <c r="O437" s="57" t="n">
        <v>19</v>
      </c>
      <c r="P437" s="57" t="n">
        <v>1</v>
      </c>
      <c r="Q437" s="57"/>
      <c r="R437" s="57" t="n">
        <v>0</v>
      </c>
      <c r="S437" s="57" t="n">
        <v>0</v>
      </c>
      <c r="T437" s="57" t="n">
        <v>0</v>
      </c>
      <c r="U437" s="57" t="n">
        <v>0</v>
      </c>
      <c r="V437" s="57" t="n">
        <v>0</v>
      </c>
      <c r="W437" s="57" t="n">
        <v>0</v>
      </c>
      <c r="X437" s="57" t="n">
        <v>0</v>
      </c>
      <c r="Y437" s="57" t="n">
        <v>7</v>
      </c>
      <c r="Z437" s="57" t="n">
        <v>7</v>
      </c>
      <c r="AA437" s="57" t="n">
        <v>7</v>
      </c>
      <c r="AB437" s="57" t="n">
        <v>0</v>
      </c>
      <c r="AC437" s="57" t="n">
        <v>0</v>
      </c>
      <c r="AD437" s="57" t="n">
        <v>0</v>
      </c>
      <c r="AE437" s="57" t="n">
        <v>0</v>
      </c>
      <c r="AF437" s="57" t="n">
        <v>0</v>
      </c>
      <c r="AG437" s="57" t="n">
        <v>0</v>
      </c>
      <c r="AH437" s="57" t="s">
        <v>240</v>
      </c>
      <c r="AI437" s="57"/>
      <c r="AJ437" s="57" t="n">
        <v>0</v>
      </c>
      <c r="AK437" s="57" t="s">
        <v>351</v>
      </c>
      <c r="AL437" s="57" t="s">
        <v>349</v>
      </c>
      <c r="AM437" s="57" t="n">
        <v>0</v>
      </c>
      <c r="AN437" s="57" t="s">
        <v>1250</v>
      </c>
      <c r="AO437" s="57" t="str">
        <f aca="false">IF(C437="County",IF(AL437="Rest of county","Remainder of County","Settlements"),IF(D437="City Centre","City Centre","Rest of City"))</f>
        <v>Settlements</v>
      </c>
      <c r="AP437" s="57" t="str">
        <f aca="false">IF(LEFT(B437,13)="Council audit","Audit",IF(LEFT(B437,8)="Planning","Consent","Zoned"))</f>
        <v>Zoned</v>
      </c>
      <c r="AQ437" s="57" t="n">
        <f aca="false">IF(N(K437)&gt;0,I437*Y437/K437,0)</f>
        <v>0.389</v>
      </c>
    </row>
    <row r="438" customFormat="false" ht="15" hidden="false" customHeight="false" outlineLevel="0" collapsed="false">
      <c r="A438" s="57" t="s">
        <v>1269</v>
      </c>
      <c r="B438" s="57" t="s">
        <v>219</v>
      </c>
      <c r="C438" s="57" t="s">
        <v>220</v>
      </c>
      <c r="D438" s="57" t="s">
        <v>220</v>
      </c>
      <c r="E438" s="57" t="s">
        <v>1174</v>
      </c>
      <c r="F438" s="57" t="s">
        <v>1109</v>
      </c>
      <c r="G438" s="57"/>
      <c r="H438" s="57"/>
      <c r="I438" s="57" t="n">
        <v>1.238</v>
      </c>
      <c r="J438" s="57" t="n">
        <v>1.361</v>
      </c>
      <c r="K438" s="57" t="n">
        <v>31</v>
      </c>
      <c r="L438" s="57" t="s">
        <v>1110</v>
      </c>
      <c r="M438" s="57" t="s">
        <v>1175</v>
      </c>
      <c r="N438" s="57" t="s">
        <v>1112</v>
      </c>
      <c r="O438" s="57" t="n">
        <v>25</v>
      </c>
      <c r="P438" s="57" t="n">
        <v>0</v>
      </c>
      <c r="Q438" s="57"/>
      <c r="R438" s="57" t="n">
        <v>0</v>
      </c>
      <c r="S438" s="57" t="n">
        <v>0</v>
      </c>
      <c r="T438" s="57" t="n">
        <v>0</v>
      </c>
      <c r="U438" s="57" t="n">
        <v>0</v>
      </c>
      <c r="V438" s="57" t="n">
        <v>0</v>
      </c>
      <c r="W438" s="57" t="n">
        <v>0</v>
      </c>
      <c r="X438" s="57" t="n">
        <v>0</v>
      </c>
      <c r="Y438" s="57" t="n">
        <v>31</v>
      </c>
      <c r="Z438" s="57" t="n">
        <v>31</v>
      </c>
      <c r="AA438" s="57" t="n">
        <v>31</v>
      </c>
      <c r="AB438" s="57" t="n">
        <v>0</v>
      </c>
      <c r="AC438" s="57" t="n">
        <v>0</v>
      </c>
      <c r="AD438" s="57" t="n">
        <v>0</v>
      </c>
      <c r="AE438" s="57" t="n">
        <v>0</v>
      </c>
      <c r="AF438" s="57" t="n">
        <v>0</v>
      </c>
      <c r="AG438" s="57" t="n">
        <v>0</v>
      </c>
      <c r="AH438" s="57" t="s">
        <v>240</v>
      </c>
      <c r="AI438" s="57"/>
      <c r="AJ438" s="57" t="n">
        <v>0</v>
      </c>
      <c r="AK438" s="57" t="s">
        <v>348</v>
      </c>
      <c r="AL438" s="57" t="s">
        <v>349</v>
      </c>
      <c r="AM438" s="57" t="n">
        <v>0.06</v>
      </c>
      <c r="AN438" s="57" t="s">
        <v>575</v>
      </c>
      <c r="AO438" s="57" t="str">
        <f aca="false">IF(C438="County",IF(AL438="Rest of county","Remainder of County","Settlements"),IF(D438="City Centre","City Centre","Rest of City"))</f>
        <v>Settlements</v>
      </c>
      <c r="AP438" s="57" t="str">
        <f aca="false">IF(LEFT(B438,13)="Council audit","Audit",IF(LEFT(B438,8)="Planning","Consent","Zoned"))</f>
        <v>Zoned</v>
      </c>
      <c r="AQ438" s="57" t="n">
        <f aca="false">IF(N(K438)&gt;0,I438*Y438/K438,0)</f>
        <v>1.238</v>
      </c>
    </row>
    <row r="439" customFormat="false" ht="15" hidden="false" customHeight="false" outlineLevel="0" collapsed="false">
      <c r="A439" s="57" t="s">
        <v>1270</v>
      </c>
      <c r="B439" s="57" t="s">
        <v>219</v>
      </c>
      <c r="C439" s="57" t="s">
        <v>220</v>
      </c>
      <c r="D439" s="57" t="s">
        <v>220</v>
      </c>
      <c r="E439" s="57" t="s">
        <v>1195</v>
      </c>
      <c r="F439" s="57" t="s">
        <v>1109</v>
      </c>
      <c r="G439" s="57"/>
      <c r="H439" s="57"/>
      <c r="I439" s="57" t="n">
        <v>0.546</v>
      </c>
      <c r="J439" s="57" t="n">
        <v>0.6</v>
      </c>
      <c r="K439" s="57" t="n">
        <v>14</v>
      </c>
      <c r="L439" s="57" t="s">
        <v>1110</v>
      </c>
      <c r="M439" s="57" t="s">
        <v>1196</v>
      </c>
      <c r="N439" s="57" t="s">
        <v>1112</v>
      </c>
      <c r="O439" s="57" t="n">
        <v>25</v>
      </c>
      <c r="P439" s="57" t="n">
        <v>0.62</v>
      </c>
      <c r="Q439" s="57"/>
      <c r="R439" s="57" t="n">
        <v>0</v>
      </c>
      <c r="S439" s="57" t="n">
        <v>0</v>
      </c>
      <c r="T439" s="57" t="n">
        <v>0</v>
      </c>
      <c r="U439" s="57" t="n">
        <v>0</v>
      </c>
      <c r="V439" s="57" t="n">
        <v>0</v>
      </c>
      <c r="W439" s="57" t="n">
        <v>0</v>
      </c>
      <c r="X439" s="57" t="n">
        <v>0</v>
      </c>
      <c r="Y439" s="57" t="n">
        <v>14</v>
      </c>
      <c r="Z439" s="57" t="n">
        <v>14</v>
      </c>
      <c r="AA439" s="57" t="n">
        <v>14</v>
      </c>
      <c r="AB439" s="57" t="n">
        <v>0</v>
      </c>
      <c r="AC439" s="57" t="n">
        <v>0</v>
      </c>
      <c r="AD439" s="57" t="n">
        <v>0</v>
      </c>
      <c r="AE439" s="57" t="n">
        <v>0</v>
      </c>
      <c r="AF439" s="57" t="n">
        <v>0</v>
      </c>
      <c r="AG439" s="57" t="n">
        <v>0</v>
      </c>
      <c r="AH439" s="57" t="s">
        <v>240</v>
      </c>
      <c r="AI439" s="57"/>
      <c r="AJ439" s="57" t="n">
        <v>0</v>
      </c>
      <c r="AK439" s="57" t="s">
        <v>353</v>
      </c>
      <c r="AL439" s="57" t="s">
        <v>349</v>
      </c>
      <c r="AM439" s="57" t="n">
        <v>1</v>
      </c>
      <c r="AN439" s="57" t="s">
        <v>575</v>
      </c>
      <c r="AO439" s="57" t="str">
        <f aca="false">IF(C439="County",IF(AL439="Rest of county","Remainder of County","Settlements"),IF(D439="City Centre","City Centre","Rest of City"))</f>
        <v>Settlements</v>
      </c>
      <c r="AP439" s="57" t="str">
        <f aca="false">IF(LEFT(B439,13)="Council audit","Audit",IF(LEFT(B439,8)="Planning","Consent","Zoned"))</f>
        <v>Zoned</v>
      </c>
      <c r="AQ439" s="57" t="n">
        <f aca="false">IF(N(K439)&gt;0,I439*Y439/K439,0)</f>
        <v>0.546</v>
      </c>
    </row>
    <row r="440" customFormat="false" ht="15" hidden="false" customHeight="false" outlineLevel="0" collapsed="false">
      <c r="A440" s="57" t="s">
        <v>1271</v>
      </c>
      <c r="B440" s="57" t="s">
        <v>219</v>
      </c>
      <c r="C440" s="57" t="s">
        <v>220</v>
      </c>
      <c r="D440" s="57" t="s">
        <v>220</v>
      </c>
      <c r="E440" s="57" t="s">
        <v>1198</v>
      </c>
      <c r="F440" s="57" t="s">
        <v>1199</v>
      </c>
      <c r="G440" s="57"/>
      <c r="H440" s="57"/>
      <c r="I440" s="57" t="n">
        <v>0.212</v>
      </c>
      <c r="J440" s="57" t="n">
        <v>0.233</v>
      </c>
      <c r="K440" s="57" t="n">
        <v>5</v>
      </c>
      <c r="L440" s="57" t="s">
        <v>1110</v>
      </c>
      <c r="M440" s="57" t="s">
        <v>1200</v>
      </c>
      <c r="N440" s="57" t="s">
        <v>1112</v>
      </c>
      <c r="O440" s="57" t="n">
        <v>25</v>
      </c>
      <c r="P440" s="57" t="n">
        <v>0</v>
      </c>
      <c r="Q440" s="57"/>
      <c r="R440" s="57" t="n">
        <v>0</v>
      </c>
      <c r="S440" s="57" t="n">
        <v>0</v>
      </c>
      <c r="T440" s="57" t="n">
        <v>0</v>
      </c>
      <c r="U440" s="57" t="n">
        <v>0</v>
      </c>
      <c r="V440" s="57" t="n">
        <v>0</v>
      </c>
      <c r="W440" s="57" t="n">
        <v>0</v>
      </c>
      <c r="X440" s="57" t="n">
        <v>0</v>
      </c>
      <c r="Y440" s="57" t="n">
        <v>5</v>
      </c>
      <c r="Z440" s="57" t="n">
        <v>5</v>
      </c>
      <c r="AA440" s="57" t="n">
        <v>5</v>
      </c>
      <c r="AB440" s="57" t="n">
        <v>0</v>
      </c>
      <c r="AC440" s="57" t="n">
        <v>0</v>
      </c>
      <c r="AD440" s="57" t="n">
        <v>0</v>
      </c>
      <c r="AE440" s="57" t="n">
        <v>0</v>
      </c>
      <c r="AF440" s="57" t="n">
        <v>0</v>
      </c>
      <c r="AG440" s="57" t="n">
        <v>0</v>
      </c>
      <c r="AH440" s="57" t="s">
        <v>240</v>
      </c>
      <c r="AI440" s="57"/>
      <c r="AJ440" s="57" t="n">
        <v>0</v>
      </c>
      <c r="AK440" s="57" t="s">
        <v>352</v>
      </c>
      <c r="AL440" s="57" t="s">
        <v>349</v>
      </c>
      <c r="AM440" s="57" t="n">
        <v>0</v>
      </c>
      <c r="AN440" s="57" t="s">
        <v>1201</v>
      </c>
      <c r="AO440" s="57" t="str">
        <f aca="false">IF(C440="County",IF(AL440="Rest of county","Remainder of County","Settlements"),IF(D440="City Centre","City Centre","Rest of City"))</f>
        <v>Settlements</v>
      </c>
      <c r="AP440" s="57" t="str">
        <f aca="false">IF(LEFT(B440,13)="Council audit","Audit",IF(LEFT(B440,8)="Planning","Consent","Zoned"))</f>
        <v>Zoned</v>
      </c>
      <c r="AQ440" s="57" t="n">
        <f aca="false">IF(N(K440)&gt;0,I440*Y440/K440,0)</f>
        <v>0.212</v>
      </c>
    </row>
    <row r="441" customFormat="false" ht="15" hidden="false" customHeight="false" outlineLevel="0" collapsed="false">
      <c r="A441" s="57" t="s">
        <v>1272</v>
      </c>
      <c r="B441" s="57" t="s">
        <v>219</v>
      </c>
      <c r="C441" s="57" t="s">
        <v>220</v>
      </c>
      <c r="D441" s="57" t="s">
        <v>220</v>
      </c>
      <c r="E441" s="57" t="s">
        <v>1198</v>
      </c>
      <c r="F441" s="57" t="s">
        <v>1199</v>
      </c>
      <c r="G441" s="57"/>
      <c r="H441" s="57"/>
      <c r="I441" s="57" t="n">
        <v>0.223</v>
      </c>
      <c r="J441" s="57" t="n">
        <v>0.245</v>
      </c>
      <c r="K441" s="57" t="n">
        <v>6</v>
      </c>
      <c r="L441" s="57" t="s">
        <v>1110</v>
      </c>
      <c r="M441" s="57" t="s">
        <v>1200</v>
      </c>
      <c r="N441" s="57" t="s">
        <v>1112</v>
      </c>
      <c r="O441" s="57" t="n">
        <v>25</v>
      </c>
      <c r="P441" s="57" t="n">
        <v>0.74</v>
      </c>
      <c r="Q441" s="57"/>
      <c r="R441" s="57" t="n">
        <v>0</v>
      </c>
      <c r="S441" s="57" t="n">
        <v>0</v>
      </c>
      <c r="T441" s="57" t="n">
        <v>0</v>
      </c>
      <c r="U441" s="57" t="n">
        <v>0</v>
      </c>
      <c r="V441" s="57" t="n">
        <v>0</v>
      </c>
      <c r="W441" s="57" t="n">
        <v>0</v>
      </c>
      <c r="X441" s="57" t="n">
        <v>0</v>
      </c>
      <c r="Y441" s="57" t="n">
        <v>6</v>
      </c>
      <c r="Z441" s="57" t="n">
        <v>6</v>
      </c>
      <c r="AA441" s="57" t="n">
        <v>6</v>
      </c>
      <c r="AB441" s="57" t="n">
        <v>0</v>
      </c>
      <c r="AC441" s="57" t="n">
        <v>0</v>
      </c>
      <c r="AD441" s="57" t="n">
        <v>0</v>
      </c>
      <c r="AE441" s="57" t="n">
        <v>0</v>
      </c>
      <c r="AF441" s="57" t="n">
        <v>0</v>
      </c>
      <c r="AG441" s="57" t="n">
        <v>0</v>
      </c>
      <c r="AH441" s="57" t="s">
        <v>240</v>
      </c>
      <c r="AI441" s="57"/>
      <c r="AJ441" s="57" t="n">
        <v>0</v>
      </c>
      <c r="AK441" s="57" t="s">
        <v>352</v>
      </c>
      <c r="AL441" s="57" t="s">
        <v>349</v>
      </c>
      <c r="AM441" s="57" t="n">
        <v>0.3</v>
      </c>
      <c r="AN441" s="57" t="s">
        <v>575</v>
      </c>
      <c r="AO441" s="57" t="str">
        <f aca="false">IF(C441="County",IF(AL441="Rest of county","Remainder of County","Settlements"),IF(D441="City Centre","City Centre","Rest of City"))</f>
        <v>Settlements</v>
      </c>
      <c r="AP441" s="57" t="str">
        <f aca="false">IF(LEFT(B441,13)="Council audit","Audit",IF(LEFT(B441,8)="Planning","Consent","Zoned"))</f>
        <v>Zoned</v>
      </c>
      <c r="AQ441" s="57" t="n">
        <f aca="false">IF(N(K441)&gt;0,I441*Y441/K441,0)</f>
        <v>0.223</v>
      </c>
    </row>
    <row r="442" customFormat="false" ht="15" hidden="false" customHeight="false" outlineLevel="0" collapsed="false">
      <c r="A442" s="57" t="s">
        <v>1273</v>
      </c>
      <c r="B442" s="57" t="s">
        <v>219</v>
      </c>
      <c r="C442" s="57" t="s">
        <v>220</v>
      </c>
      <c r="D442" s="57" t="s">
        <v>220</v>
      </c>
      <c r="E442" s="57" t="s">
        <v>1187</v>
      </c>
      <c r="F442" s="57" t="s">
        <v>1109</v>
      </c>
      <c r="G442" s="57"/>
      <c r="H442" s="57"/>
      <c r="I442" s="57" t="n">
        <v>0.192</v>
      </c>
      <c r="J442" s="57" t="n">
        <v>0.211</v>
      </c>
      <c r="K442" s="57" t="n">
        <v>5</v>
      </c>
      <c r="L442" s="57" t="s">
        <v>1110</v>
      </c>
      <c r="M442" s="57" t="s">
        <v>1188</v>
      </c>
      <c r="N442" s="57" t="s">
        <v>1112</v>
      </c>
      <c r="O442" s="57" t="n">
        <v>25</v>
      </c>
      <c r="P442" s="57" t="n">
        <v>1</v>
      </c>
      <c r="Q442" s="57"/>
      <c r="R442" s="57" t="n">
        <v>0</v>
      </c>
      <c r="S442" s="57" t="n">
        <v>0</v>
      </c>
      <c r="T442" s="57" t="n">
        <v>0</v>
      </c>
      <c r="U442" s="57" t="n">
        <v>0</v>
      </c>
      <c r="V442" s="57" t="n">
        <v>0</v>
      </c>
      <c r="W442" s="57" t="n">
        <v>0</v>
      </c>
      <c r="X442" s="57" t="n">
        <v>0</v>
      </c>
      <c r="Y442" s="57" t="n">
        <v>5</v>
      </c>
      <c r="Z442" s="57" t="n">
        <v>5</v>
      </c>
      <c r="AA442" s="57" t="n">
        <v>5</v>
      </c>
      <c r="AB442" s="57" t="n">
        <v>0</v>
      </c>
      <c r="AC442" s="57" t="n">
        <v>0</v>
      </c>
      <c r="AD442" s="57" t="n">
        <v>0</v>
      </c>
      <c r="AE442" s="57" t="n">
        <v>0</v>
      </c>
      <c r="AF442" s="57" t="n">
        <v>0</v>
      </c>
      <c r="AG442" s="57" t="n">
        <v>0</v>
      </c>
      <c r="AH442" s="57" t="s">
        <v>240</v>
      </c>
      <c r="AI442" s="57"/>
      <c r="AJ442" s="57" t="n">
        <v>0</v>
      </c>
      <c r="AK442" s="57" t="s">
        <v>354</v>
      </c>
      <c r="AL442" s="57" t="s">
        <v>349</v>
      </c>
      <c r="AM442" s="57" t="n">
        <v>1</v>
      </c>
      <c r="AN442" s="57" t="s">
        <v>575</v>
      </c>
      <c r="AO442" s="57" t="str">
        <f aca="false">IF(C442="County",IF(AL442="Rest of county","Remainder of County","Settlements"),IF(D442="City Centre","City Centre","Rest of City"))</f>
        <v>Settlements</v>
      </c>
      <c r="AP442" s="57" t="str">
        <f aca="false">IF(LEFT(B442,13)="Council audit","Audit",IF(LEFT(B442,8)="Planning","Consent","Zoned"))</f>
        <v>Zoned</v>
      </c>
      <c r="AQ442" s="57" t="n">
        <f aca="false">IF(N(K442)&gt;0,I442*Y442/K442,0)</f>
        <v>0.192</v>
      </c>
    </row>
    <row r="443" customFormat="false" ht="15" hidden="false" customHeight="false" outlineLevel="0" collapsed="false">
      <c r="A443" s="57" t="s">
        <v>1274</v>
      </c>
      <c r="B443" s="57" t="s">
        <v>219</v>
      </c>
      <c r="C443" s="57" t="s">
        <v>220</v>
      </c>
      <c r="D443" s="57" t="s">
        <v>220</v>
      </c>
      <c r="E443" s="57" t="s">
        <v>1174</v>
      </c>
      <c r="F443" s="57" t="s">
        <v>1109</v>
      </c>
      <c r="G443" s="57"/>
      <c r="H443" s="57"/>
      <c r="I443" s="57" t="n">
        <v>0.238</v>
      </c>
      <c r="J443" s="57" t="n">
        <v>0.262</v>
      </c>
      <c r="K443" s="57" t="n">
        <v>6</v>
      </c>
      <c r="L443" s="57" t="s">
        <v>1110</v>
      </c>
      <c r="M443" s="57" t="s">
        <v>1175</v>
      </c>
      <c r="N443" s="57" t="s">
        <v>1112</v>
      </c>
      <c r="O443" s="57" t="n">
        <v>25</v>
      </c>
      <c r="P443" s="57" t="n">
        <v>0</v>
      </c>
      <c r="Q443" s="57"/>
      <c r="R443" s="57" t="n">
        <v>0</v>
      </c>
      <c r="S443" s="57" t="n">
        <v>0</v>
      </c>
      <c r="T443" s="57" t="n">
        <v>0</v>
      </c>
      <c r="U443" s="57" t="n">
        <v>0</v>
      </c>
      <c r="V443" s="57" t="n">
        <v>0</v>
      </c>
      <c r="W443" s="57" t="n">
        <v>0</v>
      </c>
      <c r="X443" s="57" t="n">
        <v>0</v>
      </c>
      <c r="Y443" s="57" t="n">
        <v>6</v>
      </c>
      <c r="Z443" s="57" t="n">
        <v>6</v>
      </c>
      <c r="AA443" s="57" t="n">
        <v>6</v>
      </c>
      <c r="AB443" s="57" t="n">
        <v>0</v>
      </c>
      <c r="AC443" s="57" t="n">
        <v>0</v>
      </c>
      <c r="AD443" s="57" t="n">
        <v>0</v>
      </c>
      <c r="AE443" s="57" t="n">
        <v>0</v>
      </c>
      <c r="AF443" s="57" t="n">
        <v>0</v>
      </c>
      <c r="AG443" s="57" t="n">
        <v>0</v>
      </c>
      <c r="AH443" s="57" t="s">
        <v>240</v>
      </c>
      <c r="AI443" s="57"/>
      <c r="AJ443" s="57" t="n">
        <v>0</v>
      </c>
      <c r="AK443" s="57" t="s">
        <v>348</v>
      </c>
      <c r="AL443" s="57" t="s">
        <v>349</v>
      </c>
      <c r="AM443" s="57" t="n">
        <v>1</v>
      </c>
      <c r="AN443" s="57" t="s">
        <v>575</v>
      </c>
      <c r="AO443" s="57" t="str">
        <f aca="false">IF(C443="County",IF(AL443="Rest of county","Remainder of County","Settlements"),IF(D443="City Centre","City Centre","Rest of City"))</f>
        <v>Settlements</v>
      </c>
      <c r="AP443" s="57" t="str">
        <f aca="false">IF(LEFT(B443,13)="Council audit","Audit",IF(LEFT(B443,8)="Planning","Consent","Zoned"))</f>
        <v>Zoned</v>
      </c>
      <c r="AQ443" s="57" t="n">
        <f aca="false">IF(N(K443)&gt;0,I443*Y443/K443,0)</f>
        <v>0.238</v>
      </c>
    </row>
    <row r="444" customFormat="false" ht="15" hidden="false" customHeight="false" outlineLevel="0" collapsed="false">
      <c r="A444" s="57" t="s">
        <v>1275</v>
      </c>
      <c r="B444" s="57" t="s">
        <v>219</v>
      </c>
      <c r="C444" s="57" t="s">
        <v>220</v>
      </c>
      <c r="D444" s="57" t="s">
        <v>220</v>
      </c>
      <c r="E444" s="57" t="s">
        <v>1174</v>
      </c>
      <c r="F444" s="57" t="s">
        <v>1109</v>
      </c>
      <c r="G444" s="57"/>
      <c r="H444" s="57"/>
      <c r="I444" s="57" t="n">
        <v>0.254</v>
      </c>
      <c r="J444" s="57" t="n">
        <v>0.279</v>
      </c>
      <c r="K444" s="57" t="n">
        <v>6</v>
      </c>
      <c r="L444" s="57" t="s">
        <v>1110</v>
      </c>
      <c r="M444" s="57" t="s">
        <v>1175</v>
      </c>
      <c r="N444" s="57" t="s">
        <v>1112</v>
      </c>
      <c r="O444" s="57" t="n">
        <v>25</v>
      </c>
      <c r="P444" s="57" t="n">
        <v>0</v>
      </c>
      <c r="Q444" s="57"/>
      <c r="R444" s="57" t="n">
        <v>0</v>
      </c>
      <c r="S444" s="57" t="n">
        <v>0</v>
      </c>
      <c r="T444" s="57" t="n">
        <v>0</v>
      </c>
      <c r="U444" s="57" t="n">
        <v>0</v>
      </c>
      <c r="V444" s="57" t="n">
        <v>0</v>
      </c>
      <c r="W444" s="57" t="n">
        <v>0</v>
      </c>
      <c r="X444" s="57" t="n">
        <v>0</v>
      </c>
      <c r="Y444" s="57" t="n">
        <v>6</v>
      </c>
      <c r="Z444" s="57" t="n">
        <v>6</v>
      </c>
      <c r="AA444" s="57" t="n">
        <v>6</v>
      </c>
      <c r="AB444" s="57" t="n">
        <v>0</v>
      </c>
      <c r="AC444" s="57" t="n">
        <v>0</v>
      </c>
      <c r="AD444" s="57" t="n">
        <v>0</v>
      </c>
      <c r="AE444" s="57" t="n">
        <v>0</v>
      </c>
      <c r="AF444" s="57" t="n">
        <v>0</v>
      </c>
      <c r="AG444" s="57" t="n">
        <v>0</v>
      </c>
      <c r="AH444" s="57" t="s">
        <v>240</v>
      </c>
      <c r="AI444" s="57"/>
      <c r="AJ444" s="57" t="n">
        <v>0</v>
      </c>
      <c r="AK444" s="57" t="s">
        <v>348</v>
      </c>
      <c r="AL444" s="57" t="s">
        <v>349</v>
      </c>
      <c r="AM444" s="57" t="n">
        <v>1</v>
      </c>
      <c r="AN444" s="57" t="s">
        <v>575</v>
      </c>
      <c r="AO444" s="57" t="str">
        <f aca="false">IF(C444="County",IF(AL444="Rest of county","Remainder of County","Settlements"),IF(D444="City Centre","City Centre","Rest of City"))</f>
        <v>Settlements</v>
      </c>
      <c r="AP444" s="57" t="str">
        <f aca="false">IF(LEFT(B444,13)="Council audit","Audit",IF(LEFT(B444,8)="Planning","Consent","Zoned"))</f>
        <v>Zoned</v>
      </c>
      <c r="AQ444" s="57" t="n">
        <f aca="false">IF(N(K444)&gt;0,I444*Y444/K444,0)</f>
        <v>0.254</v>
      </c>
    </row>
    <row r="445" customFormat="false" ht="15" hidden="false" customHeight="false" outlineLevel="0" collapsed="false">
      <c r="A445" s="57" t="s">
        <v>1276</v>
      </c>
      <c r="B445" s="57" t="s">
        <v>219</v>
      </c>
      <c r="C445" s="57" t="s">
        <v>220</v>
      </c>
      <c r="D445" s="57" t="s">
        <v>220</v>
      </c>
      <c r="E445" s="57" t="s">
        <v>1174</v>
      </c>
      <c r="F445" s="57" t="s">
        <v>1109</v>
      </c>
      <c r="G445" s="57"/>
      <c r="H445" s="57"/>
      <c r="I445" s="57" t="n">
        <v>0.724</v>
      </c>
      <c r="J445" s="57" t="n">
        <v>0.796</v>
      </c>
      <c r="K445" s="57" t="n">
        <v>18</v>
      </c>
      <c r="L445" s="57" t="s">
        <v>1110</v>
      </c>
      <c r="M445" s="57" t="s">
        <v>1175</v>
      </c>
      <c r="N445" s="57" t="s">
        <v>1112</v>
      </c>
      <c r="O445" s="57" t="n">
        <v>25</v>
      </c>
      <c r="P445" s="57" t="n">
        <v>0</v>
      </c>
      <c r="Q445" s="57"/>
      <c r="R445" s="57" t="n">
        <v>0</v>
      </c>
      <c r="S445" s="57" t="n">
        <v>0</v>
      </c>
      <c r="T445" s="57" t="n">
        <v>0</v>
      </c>
      <c r="U445" s="57" t="n">
        <v>0</v>
      </c>
      <c r="V445" s="57" t="n">
        <v>0</v>
      </c>
      <c r="W445" s="57" t="n">
        <v>0</v>
      </c>
      <c r="X445" s="57" t="n">
        <v>0</v>
      </c>
      <c r="Y445" s="57" t="n">
        <v>18</v>
      </c>
      <c r="Z445" s="57" t="n">
        <v>18</v>
      </c>
      <c r="AA445" s="57" t="n">
        <v>18</v>
      </c>
      <c r="AB445" s="57" t="n">
        <v>0</v>
      </c>
      <c r="AC445" s="57" t="n">
        <v>0</v>
      </c>
      <c r="AD445" s="57" t="n">
        <v>0</v>
      </c>
      <c r="AE445" s="57" t="n">
        <v>0</v>
      </c>
      <c r="AF445" s="57" t="n">
        <v>0</v>
      </c>
      <c r="AG445" s="57" t="n">
        <v>0</v>
      </c>
      <c r="AH445" s="57" t="s">
        <v>240</v>
      </c>
      <c r="AI445" s="57"/>
      <c r="AJ445" s="57" t="n">
        <v>0</v>
      </c>
      <c r="AK445" s="57" t="s">
        <v>348</v>
      </c>
      <c r="AL445" s="57" t="s">
        <v>349</v>
      </c>
      <c r="AM445" s="57" t="n">
        <v>1</v>
      </c>
      <c r="AN445" s="57" t="s">
        <v>575</v>
      </c>
      <c r="AO445" s="57" t="str">
        <f aca="false">IF(C445="County",IF(AL445="Rest of county","Remainder of County","Settlements"),IF(D445="City Centre","City Centre","Rest of City"))</f>
        <v>Settlements</v>
      </c>
      <c r="AP445" s="57" t="str">
        <f aca="false">IF(LEFT(B445,13)="Council audit","Audit",IF(LEFT(B445,8)="Planning","Consent","Zoned"))</f>
        <v>Zoned</v>
      </c>
      <c r="AQ445" s="57" t="n">
        <f aca="false">IF(N(K445)&gt;0,I445*Y445/K445,0)</f>
        <v>0.724</v>
      </c>
    </row>
    <row r="446" customFormat="false" ht="15" hidden="false" customHeight="false" outlineLevel="0" collapsed="false">
      <c r="A446" s="57" t="s">
        <v>1277</v>
      </c>
      <c r="B446" s="57" t="s">
        <v>219</v>
      </c>
      <c r="C446" s="57" t="s">
        <v>220</v>
      </c>
      <c r="D446" s="57" t="s">
        <v>220</v>
      </c>
      <c r="E446" s="57" t="s">
        <v>1158</v>
      </c>
      <c r="F446" s="57" t="s">
        <v>1109</v>
      </c>
      <c r="G446" s="57"/>
      <c r="H446" s="57"/>
      <c r="I446" s="57" t="n">
        <v>0.889</v>
      </c>
      <c r="J446" s="57" t="n">
        <v>0.977</v>
      </c>
      <c r="K446" s="57" t="n">
        <v>22</v>
      </c>
      <c r="L446" s="57" t="s">
        <v>1110</v>
      </c>
      <c r="M446" s="57" t="s">
        <v>1159</v>
      </c>
      <c r="N446" s="57" t="s">
        <v>1112</v>
      </c>
      <c r="O446" s="57" t="n">
        <v>25</v>
      </c>
      <c r="P446" s="57" t="n">
        <v>0.03</v>
      </c>
      <c r="Q446" s="57"/>
      <c r="R446" s="57" t="n">
        <v>0</v>
      </c>
      <c r="S446" s="57" t="n">
        <v>0</v>
      </c>
      <c r="T446" s="57" t="n">
        <v>0</v>
      </c>
      <c r="U446" s="57" t="n">
        <v>0</v>
      </c>
      <c r="V446" s="57" t="n">
        <v>0</v>
      </c>
      <c r="W446" s="57" t="n">
        <v>0</v>
      </c>
      <c r="X446" s="57" t="n">
        <v>0</v>
      </c>
      <c r="Y446" s="57" t="n">
        <v>22</v>
      </c>
      <c r="Z446" s="57" t="n">
        <v>22</v>
      </c>
      <c r="AA446" s="57" t="n">
        <v>22</v>
      </c>
      <c r="AB446" s="57" t="n">
        <v>0</v>
      </c>
      <c r="AC446" s="57" t="n">
        <v>0</v>
      </c>
      <c r="AD446" s="57" t="n">
        <v>0</v>
      </c>
      <c r="AE446" s="57" t="n">
        <v>0</v>
      </c>
      <c r="AF446" s="57" t="n">
        <v>0</v>
      </c>
      <c r="AG446" s="57" t="n">
        <v>0</v>
      </c>
      <c r="AH446" s="57" t="s">
        <v>240</v>
      </c>
      <c r="AI446" s="57"/>
      <c r="AJ446" s="57" t="n">
        <v>0</v>
      </c>
      <c r="AK446" s="57" t="s">
        <v>351</v>
      </c>
      <c r="AL446" s="57" t="s">
        <v>349</v>
      </c>
      <c r="AM446" s="57" t="n">
        <v>1</v>
      </c>
      <c r="AN446" s="57" t="s">
        <v>575</v>
      </c>
      <c r="AO446" s="57" t="str">
        <f aca="false">IF(C446="County",IF(AL446="Rest of county","Remainder of County","Settlements"),IF(D446="City Centre","City Centre","Rest of City"))</f>
        <v>Settlements</v>
      </c>
      <c r="AP446" s="57" t="str">
        <f aca="false">IF(LEFT(B446,13)="Council audit","Audit",IF(LEFT(B446,8)="Planning","Consent","Zoned"))</f>
        <v>Zoned</v>
      </c>
      <c r="AQ446" s="57" t="n">
        <f aca="false">IF(N(K446)&gt;0,I446*Y446/K446,0)</f>
        <v>0.889</v>
      </c>
    </row>
    <row r="447" customFormat="false" ht="15" hidden="false" customHeight="false" outlineLevel="0" collapsed="false">
      <c r="A447" s="57" t="s">
        <v>1278</v>
      </c>
      <c r="B447" s="57" t="s">
        <v>219</v>
      </c>
      <c r="C447" s="57" t="s">
        <v>220</v>
      </c>
      <c r="D447" s="57" t="s">
        <v>220</v>
      </c>
      <c r="E447" s="57" t="s">
        <v>1217</v>
      </c>
      <c r="F447" s="57" t="s">
        <v>1109</v>
      </c>
      <c r="G447" s="57"/>
      <c r="H447" s="57"/>
      <c r="I447" s="57" t="n">
        <v>0.306</v>
      </c>
      <c r="J447" s="57" t="n">
        <v>0.337</v>
      </c>
      <c r="K447" s="57" t="n">
        <v>8</v>
      </c>
      <c r="L447" s="57" t="s">
        <v>1110</v>
      </c>
      <c r="M447" s="57" t="s">
        <v>1192</v>
      </c>
      <c r="N447" s="57" t="s">
        <v>1112</v>
      </c>
      <c r="O447" s="57" t="n">
        <v>25</v>
      </c>
      <c r="P447" s="57" t="n">
        <v>1</v>
      </c>
      <c r="Q447" s="57"/>
      <c r="R447" s="57" t="n">
        <v>0</v>
      </c>
      <c r="S447" s="57" t="n">
        <v>0</v>
      </c>
      <c r="T447" s="57" t="n">
        <v>0</v>
      </c>
      <c r="U447" s="57" t="n">
        <v>0</v>
      </c>
      <c r="V447" s="57" t="n">
        <v>0</v>
      </c>
      <c r="W447" s="57" t="n">
        <v>0</v>
      </c>
      <c r="X447" s="57" t="n">
        <v>0</v>
      </c>
      <c r="Y447" s="57" t="n">
        <v>8</v>
      </c>
      <c r="Z447" s="57" t="n">
        <v>8</v>
      </c>
      <c r="AA447" s="57" t="n">
        <v>8</v>
      </c>
      <c r="AB447" s="57" t="n">
        <v>0</v>
      </c>
      <c r="AC447" s="57" t="n">
        <v>0</v>
      </c>
      <c r="AD447" s="57" t="n">
        <v>0</v>
      </c>
      <c r="AE447" s="57" t="n">
        <v>0</v>
      </c>
      <c r="AF447" s="57" t="n">
        <v>0</v>
      </c>
      <c r="AG447" s="57" t="n">
        <v>0</v>
      </c>
      <c r="AH447" s="57" t="s">
        <v>240</v>
      </c>
      <c r="AI447" s="57"/>
      <c r="AJ447" s="57" t="n">
        <v>0</v>
      </c>
      <c r="AK447" s="57" t="s">
        <v>355</v>
      </c>
      <c r="AL447" s="57" t="s">
        <v>356</v>
      </c>
      <c r="AM447" s="57" t="n">
        <v>0.71</v>
      </c>
      <c r="AN447" s="57" t="s">
        <v>575</v>
      </c>
      <c r="AO447" s="57" t="str">
        <f aca="false">IF(C447="County",IF(AL447="Rest of county","Remainder of County","Settlements"),IF(D447="City Centre","City Centre","Rest of City"))</f>
        <v>Settlements</v>
      </c>
      <c r="AP447" s="57" t="str">
        <f aca="false">IF(LEFT(B447,13)="Council audit","Audit",IF(LEFT(B447,8)="Planning","Consent","Zoned"))</f>
        <v>Zoned</v>
      </c>
      <c r="AQ447" s="57" t="n">
        <f aca="false">IF(N(K447)&gt;0,I447*Y447/K447,0)</f>
        <v>0.306</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true"/>
  </sheetPr>
  <dimension ref="A1:AH2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3" min="1" style="0" width="14"/>
    <col collapsed="false" customWidth="true" hidden="false" outlineLevel="0" max="4" min="4" style="0" width="34"/>
    <col collapsed="false" customWidth="true" hidden="false" outlineLevel="0" max="34" min="5" style="0" width="14"/>
  </cols>
  <sheetData>
    <row r="1" customFormat="false" ht="15" hidden="false" customHeight="false" outlineLevel="0" collapsed="false">
      <c r="A1" s="56" t="s">
        <v>525</v>
      </c>
      <c r="B1" s="56" t="s">
        <v>1279</v>
      </c>
      <c r="C1" s="56" t="s">
        <v>1280</v>
      </c>
      <c r="D1" s="56" t="s">
        <v>1281</v>
      </c>
      <c r="E1" s="56" t="s">
        <v>1282</v>
      </c>
      <c r="F1" s="56" t="s">
        <v>1283</v>
      </c>
      <c r="G1" s="56" t="s">
        <v>1284</v>
      </c>
      <c r="H1" s="56" t="s">
        <v>1285</v>
      </c>
      <c r="I1" s="56" t="s">
        <v>1286</v>
      </c>
      <c r="J1" s="56" t="s">
        <v>1287</v>
      </c>
      <c r="K1" s="56" t="s">
        <v>1288</v>
      </c>
      <c r="L1" s="56" t="s">
        <v>1289</v>
      </c>
      <c r="M1" s="56" t="s">
        <v>1290</v>
      </c>
      <c r="N1" s="56" t="s">
        <v>1291</v>
      </c>
      <c r="O1" s="56" t="s">
        <v>1292</v>
      </c>
      <c r="P1" s="56" t="s">
        <v>1293</v>
      </c>
      <c r="Q1" s="56" t="s">
        <v>1294</v>
      </c>
      <c r="R1" s="56" t="s">
        <v>1295</v>
      </c>
      <c r="S1" s="56" t="s">
        <v>552</v>
      </c>
      <c r="T1" s="56" t="s">
        <v>553</v>
      </c>
      <c r="U1" s="56" t="s">
        <v>554</v>
      </c>
      <c r="V1" s="56" t="s">
        <v>555</v>
      </c>
      <c r="W1" s="56" t="s">
        <v>556</v>
      </c>
      <c r="X1" s="56" t="s">
        <v>557</v>
      </c>
      <c r="Y1" s="56" t="s">
        <v>1296</v>
      </c>
      <c r="Z1" s="56" t="s">
        <v>1297</v>
      </c>
      <c r="AA1" s="56" t="s">
        <v>561</v>
      </c>
      <c r="AB1" s="56" t="s">
        <v>562</v>
      </c>
      <c r="AC1" s="56" t="s">
        <v>565</v>
      </c>
      <c r="AD1" s="56" t="s">
        <v>1298</v>
      </c>
      <c r="AE1" s="56" t="s">
        <v>1299</v>
      </c>
      <c r="AF1" s="56" t="s">
        <v>1300</v>
      </c>
      <c r="AG1" s="56" t="s">
        <v>1301</v>
      </c>
      <c r="AH1" s="56" t="s">
        <v>1302</v>
      </c>
    </row>
    <row r="2" customFormat="false" ht="15" hidden="false" customHeight="false" outlineLevel="0" collapsed="false">
      <c r="A2" s="57" t="s">
        <v>1303</v>
      </c>
      <c r="B2" s="57" t="s">
        <v>847</v>
      </c>
      <c r="C2" s="57" t="s">
        <v>1304</v>
      </c>
      <c r="D2" s="57" t="s">
        <v>848</v>
      </c>
      <c r="E2" s="57" t="n">
        <v>24</v>
      </c>
      <c r="F2" s="57"/>
      <c r="G2" s="57" t="s">
        <v>208</v>
      </c>
      <c r="H2" s="57" t="s">
        <v>228</v>
      </c>
      <c r="I2" s="57" t="s">
        <v>1305</v>
      </c>
      <c r="J2" s="57" t="s">
        <v>304</v>
      </c>
      <c r="K2" s="57" t="s">
        <v>308</v>
      </c>
      <c r="L2" s="57" t="s">
        <v>309</v>
      </c>
      <c r="M2" s="58" t="n">
        <v>43377</v>
      </c>
      <c r="N2" s="58" t="n">
        <v>44561</v>
      </c>
      <c r="O2" s="58" t="n">
        <v>43172</v>
      </c>
      <c r="P2" s="57"/>
      <c r="Q2" s="57"/>
      <c r="R2" s="57" t="s">
        <v>1306</v>
      </c>
      <c r="S2" s="57" t="n">
        <v>0</v>
      </c>
      <c r="T2" s="57" t="n">
        <v>0</v>
      </c>
      <c r="U2" s="57" t="n">
        <v>0</v>
      </c>
      <c r="V2" s="57" t="n">
        <v>0</v>
      </c>
      <c r="W2" s="57" t="n">
        <v>0</v>
      </c>
      <c r="X2" s="57" t="n">
        <v>0</v>
      </c>
      <c r="Y2" s="57" t="s">
        <v>1307</v>
      </c>
      <c r="Z2" s="57"/>
      <c r="AA2" s="57" t="s">
        <v>289</v>
      </c>
      <c r="AB2" s="57" t="s">
        <v>347</v>
      </c>
      <c r="AC2" s="57" t="str">
        <f aca="false">IFERROR(INDEX(dp_geo,MATCH(B2,dp_id,0)),"Unmatched")</f>
        <v>Rest of City</v>
      </c>
      <c r="AD2" s="57" t="n">
        <f aca="false">IF(M2="","",YEAR(M2))</f>
        <v>2018</v>
      </c>
      <c r="AE2" s="57" t="n">
        <f aca="false">IF(O2="","",YEAR(O2))</f>
        <v>2018</v>
      </c>
      <c r="AF2" s="57" t="n">
        <f aca="false">IF(N2="","",YEAR(N2))</f>
        <v>2021</v>
      </c>
      <c r="AG2" s="57" t="n">
        <f aca="false">IF(AND(H2="Yes",OR(G2="Complete",G2="Under construction",G2="Permitted – not started",G2="Stalled")),1,0)</f>
        <v>1</v>
      </c>
      <c r="AH2" s="57" t="n">
        <f aca="false">IF(OR(G2="Under construction",G2="Permitted – not started",G2="Stalled"),1,0)</f>
        <v>0</v>
      </c>
    </row>
    <row r="3" customFormat="false" ht="15" hidden="false" customHeight="false" outlineLevel="0" collapsed="false">
      <c r="A3" s="57" t="s">
        <v>1308</v>
      </c>
      <c r="B3" s="57" t="s">
        <v>991</v>
      </c>
      <c r="C3" s="57" t="s">
        <v>1309</v>
      </c>
      <c r="D3" s="57" t="s">
        <v>992</v>
      </c>
      <c r="E3" s="57" t="n">
        <v>7</v>
      </c>
      <c r="F3" s="57"/>
      <c r="G3" s="57" t="s">
        <v>58</v>
      </c>
      <c r="H3" s="57" t="s">
        <v>228</v>
      </c>
      <c r="I3" s="57" t="s">
        <v>1310</v>
      </c>
      <c r="J3" s="57" t="s">
        <v>184</v>
      </c>
      <c r="K3" s="57" t="s">
        <v>310</v>
      </c>
      <c r="L3" s="57" t="s">
        <v>313</v>
      </c>
      <c r="M3" s="58" t="n">
        <v>43368</v>
      </c>
      <c r="N3" s="58"/>
      <c r="O3" s="58"/>
      <c r="P3" s="57" t="s">
        <v>1311</v>
      </c>
      <c r="Q3" s="57" t="s">
        <v>1312</v>
      </c>
      <c r="R3" s="57" t="s">
        <v>1313</v>
      </c>
      <c r="S3" s="57" t="n">
        <v>0</v>
      </c>
      <c r="T3" s="57" t="n">
        <v>0</v>
      </c>
      <c r="U3" s="57" t="n">
        <v>4.4</v>
      </c>
      <c r="V3" s="57" t="n">
        <v>2.6</v>
      </c>
      <c r="W3" s="57" t="n">
        <v>0</v>
      </c>
      <c r="X3" s="57" t="n">
        <v>0</v>
      </c>
      <c r="Y3" s="57" t="s">
        <v>1307</v>
      </c>
      <c r="Z3" s="57"/>
      <c r="AA3" s="57" t="s">
        <v>350</v>
      </c>
      <c r="AB3" s="57" t="s">
        <v>349</v>
      </c>
      <c r="AC3" s="57" t="str">
        <f aca="false">IFERROR(INDEX(dp_geo,MATCH(B3,dp_id,0)),"Unmatched")</f>
        <v>Settlements</v>
      </c>
      <c r="AD3" s="57" t="n">
        <f aca="false">IF(M3="","",YEAR(M3))</f>
        <v>2018</v>
      </c>
      <c r="AE3" s="57" t="str">
        <f aca="false">IF(O3="","",YEAR(O3))</f>
        <v/>
      </c>
      <c r="AF3" s="57" t="str">
        <f aca="false">IF(N3="","",YEAR(N3))</f>
        <v/>
      </c>
      <c r="AG3" s="57" t="n">
        <f aca="false">IF(AND(H3="Yes",OR(G3="Complete",G3="Under construction",G3="Permitted – not started",G3="Stalled")),1,0)</f>
        <v>1</v>
      </c>
      <c r="AH3" s="57" t="n">
        <f aca="false">IF(OR(G3="Under construction",G3="Permitted – not started",G3="Stalled"),1,0)</f>
        <v>1</v>
      </c>
    </row>
    <row r="4" customFormat="false" ht="15" hidden="false" customHeight="false" outlineLevel="0" collapsed="false">
      <c r="A4" s="57" t="s">
        <v>1314</v>
      </c>
      <c r="B4" s="57" t="s">
        <v>1007</v>
      </c>
      <c r="C4" s="57" t="s">
        <v>1315</v>
      </c>
      <c r="D4" s="57" t="s">
        <v>1008</v>
      </c>
      <c r="E4" s="57" t="n">
        <v>6</v>
      </c>
      <c r="F4" s="57"/>
      <c r="G4" s="57" t="s">
        <v>56</v>
      </c>
      <c r="H4" s="57" t="s">
        <v>228</v>
      </c>
      <c r="I4" s="57" t="s">
        <v>1310</v>
      </c>
      <c r="J4" s="57" t="s">
        <v>304</v>
      </c>
      <c r="K4" s="57" t="s">
        <v>308</v>
      </c>
      <c r="L4" s="57" t="s">
        <v>309</v>
      </c>
      <c r="M4" s="58" t="n">
        <v>43522</v>
      </c>
      <c r="N4" s="58" t="n">
        <v>45347</v>
      </c>
      <c r="O4" s="58" t="n">
        <v>43707</v>
      </c>
      <c r="P4" s="57" t="s">
        <v>1316</v>
      </c>
      <c r="Q4" s="57" t="s">
        <v>1317</v>
      </c>
      <c r="R4" s="57" t="s">
        <v>1318</v>
      </c>
      <c r="S4" s="57" t="n">
        <v>1.4</v>
      </c>
      <c r="T4" s="57" t="n">
        <v>4.6</v>
      </c>
      <c r="U4" s="57" t="n">
        <v>0</v>
      </c>
      <c r="V4" s="57" t="n">
        <v>0</v>
      </c>
      <c r="W4" s="57" t="n">
        <v>0</v>
      </c>
      <c r="X4" s="57" t="n">
        <v>0</v>
      </c>
      <c r="Y4" s="57" t="s">
        <v>1307</v>
      </c>
      <c r="Z4" s="57"/>
      <c r="AA4" s="57" t="s">
        <v>290</v>
      </c>
      <c r="AB4" s="57" t="s">
        <v>347</v>
      </c>
      <c r="AC4" s="57" t="str">
        <f aca="false">IFERROR(INDEX(dp_geo,MATCH(B4,dp_id,0)),"Unmatched")</f>
        <v>Rest of City</v>
      </c>
      <c r="AD4" s="57" t="n">
        <f aca="false">IF(M4="","",YEAR(M4))</f>
        <v>2019</v>
      </c>
      <c r="AE4" s="57" t="n">
        <f aca="false">IF(O4="","",YEAR(O4))</f>
        <v>2019</v>
      </c>
      <c r="AF4" s="57" t="n">
        <f aca="false">IF(N4="","",YEAR(N4))</f>
        <v>2024</v>
      </c>
      <c r="AG4" s="57" t="n">
        <f aca="false">IF(AND(H4="Yes",OR(G4="Complete",G4="Under construction",G4="Permitted – not started",G4="Stalled")),1,0)</f>
        <v>1</v>
      </c>
      <c r="AH4" s="57" t="n">
        <f aca="false">IF(OR(G4="Under construction",G4="Permitted – not started",G4="Stalled"),1,0)</f>
        <v>1</v>
      </c>
    </row>
    <row r="5" customFormat="false" ht="15" hidden="false" customHeight="false" outlineLevel="0" collapsed="false">
      <c r="A5" s="57" t="s">
        <v>1319</v>
      </c>
      <c r="B5" s="57" t="s">
        <v>1009</v>
      </c>
      <c r="C5" s="57" t="s">
        <v>1320</v>
      </c>
      <c r="D5" s="57" t="s">
        <v>1010</v>
      </c>
      <c r="E5" s="57" t="n">
        <v>6</v>
      </c>
      <c r="F5" s="57"/>
      <c r="G5" s="57" t="s">
        <v>208</v>
      </c>
      <c r="H5" s="57" t="s">
        <v>228</v>
      </c>
      <c r="I5" s="57" t="s">
        <v>1310</v>
      </c>
      <c r="J5" s="57" t="s">
        <v>304</v>
      </c>
      <c r="K5" s="57" t="s">
        <v>308</v>
      </c>
      <c r="L5" s="57" t="s">
        <v>309</v>
      </c>
      <c r="M5" s="58" t="n">
        <v>43782</v>
      </c>
      <c r="N5" s="58" t="n">
        <v>45608</v>
      </c>
      <c r="O5" s="58" t="n">
        <v>45119</v>
      </c>
      <c r="P5" s="57"/>
      <c r="Q5" s="57"/>
      <c r="R5" s="57" t="s">
        <v>1306</v>
      </c>
      <c r="S5" s="57" t="n">
        <v>0</v>
      </c>
      <c r="T5" s="57" t="n">
        <v>0</v>
      </c>
      <c r="U5" s="57" t="n">
        <v>0</v>
      </c>
      <c r="V5" s="57" t="n">
        <v>0</v>
      </c>
      <c r="W5" s="57" t="n">
        <v>0</v>
      </c>
      <c r="X5" s="57" t="n">
        <v>0</v>
      </c>
      <c r="Y5" s="57" t="s">
        <v>1307</v>
      </c>
      <c r="Z5" s="57"/>
      <c r="AA5" s="57" t="s">
        <v>348</v>
      </c>
      <c r="AB5" s="57" t="s">
        <v>349</v>
      </c>
      <c r="AC5" s="57" t="str">
        <f aca="false">IFERROR(INDEX(dp_geo,MATCH(B5,dp_id,0)),"Unmatched")</f>
        <v>Settlements</v>
      </c>
      <c r="AD5" s="57" t="n">
        <f aca="false">IF(M5="","",YEAR(M5))</f>
        <v>2019</v>
      </c>
      <c r="AE5" s="57" t="n">
        <f aca="false">IF(O5="","",YEAR(O5))</f>
        <v>2023</v>
      </c>
      <c r="AF5" s="57" t="n">
        <f aca="false">IF(N5="","",YEAR(N5))</f>
        <v>2024</v>
      </c>
      <c r="AG5" s="57" t="n">
        <f aca="false">IF(AND(H5="Yes",OR(G5="Complete",G5="Under construction",G5="Permitted – not started",G5="Stalled")),1,0)</f>
        <v>1</v>
      </c>
      <c r="AH5" s="57" t="n">
        <f aca="false">IF(OR(G5="Under construction",G5="Permitted – not started",G5="Stalled"),1,0)</f>
        <v>0</v>
      </c>
    </row>
    <row r="6" customFormat="false" ht="15" hidden="false" customHeight="false" outlineLevel="0" collapsed="false">
      <c r="A6" s="57" t="s">
        <v>1321</v>
      </c>
      <c r="B6" s="57" t="s">
        <v>881</v>
      </c>
      <c r="C6" s="57"/>
      <c r="D6" s="57" t="s">
        <v>882</v>
      </c>
      <c r="E6" s="57" t="n">
        <v>17</v>
      </c>
      <c r="F6" s="57"/>
      <c r="G6" s="57" t="s">
        <v>230</v>
      </c>
      <c r="H6" s="57" t="s">
        <v>228</v>
      </c>
      <c r="I6" s="57" t="s">
        <v>1310</v>
      </c>
      <c r="J6" s="57" t="s">
        <v>304</v>
      </c>
      <c r="K6" s="57" t="s">
        <v>308</v>
      </c>
      <c r="L6" s="57" t="s">
        <v>309</v>
      </c>
      <c r="M6" s="58" t="n">
        <v>43735</v>
      </c>
      <c r="N6" s="58" t="n">
        <v>45562</v>
      </c>
      <c r="O6" s="58"/>
      <c r="P6" s="57"/>
      <c r="Q6" s="57"/>
      <c r="R6" s="57" t="s">
        <v>1322</v>
      </c>
      <c r="S6" s="57" t="n">
        <v>0</v>
      </c>
      <c r="T6" s="57" t="n">
        <v>0</v>
      </c>
      <c r="U6" s="57" t="n">
        <v>0</v>
      </c>
      <c r="V6" s="57" t="n">
        <v>0</v>
      </c>
      <c r="W6" s="57" t="n">
        <v>0</v>
      </c>
      <c r="X6" s="57" t="n">
        <v>0</v>
      </c>
      <c r="Y6" s="57" t="s">
        <v>1307</v>
      </c>
      <c r="Z6" s="57" t="s">
        <v>1323</v>
      </c>
      <c r="AA6" s="57" t="s">
        <v>365</v>
      </c>
      <c r="AB6" s="57" t="s">
        <v>365</v>
      </c>
      <c r="AC6" s="57" t="str">
        <f aca="false">IFERROR(INDEX(dp_geo,MATCH(B6,dp_id,0)),"Unmatched")</f>
        <v>Remainder of County</v>
      </c>
      <c r="AD6" s="57" t="n">
        <f aca="false">IF(M6="","",YEAR(M6))</f>
        <v>2019</v>
      </c>
      <c r="AE6" s="57" t="str">
        <f aca="false">IF(O6="","",YEAR(O6))</f>
        <v/>
      </c>
      <c r="AF6" s="57" t="n">
        <f aca="false">IF(N6="","",YEAR(N6))</f>
        <v>2024</v>
      </c>
      <c r="AG6" s="57" t="n">
        <f aca="false">IF(AND(H6="Yes",OR(G6="Complete",G6="Under construction",G6="Permitted – not started",G6="Stalled")),1,0)</f>
        <v>0</v>
      </c>
      <c r="AH6" s="57" t="n">
        <f aca="false">IF(OR(G6="Under construction",G6="Permitted – not started",G6="Stalled"),1,0)</f>
        <v>0</v>
      </c>
    </row>
    <row r="7" customFormat="false" ht="15" hidden="false" customHeight="false" outlineLevel="0" collapsed="false">
      <c r="A7" s="57" t="s">
        <v>1324</v>
      </c>
      <c r="B7" s="57" t="s">
        <v>883</v>
      </c>
      <c r="C7" s="57" t="s">
        <v>1325</v>
      </c>
      <c r="D7" s="57" t="s">
        <v>884</v>
      </c>
      <c r="E7" s="57" t="n">
        <v>17</v>
      </c>
      <c r="F7" s="57"/>
      <c r="G7" s="57" t="s">
        <v>208</v>
      </c>
      <c r="H7" s="57" t="s">
        <v>228</v>
      </c>
      <c r="I7" s="57" t="s">
        <v>1310</v>
      </c>
      <c r="J7" s="57" t="s">
        <v>184</v>
      </c>
      <c r="K7" s="57" t="s">
        <v>310</v>
      </c>
      <c r="L7" s="57" t="s">
        <v>313</v>
      </c>
      <c r="M7" s="58" t="n">
        <v>43445</v>
      </c>
      <c r="N7" s="58"/>
      <c r="O7" s="58" t="n">
        <v>44141</v>
      </c>
      <c r="P7" s="57"/>
      <c r="Q7" s="57"/>
      <c r="R7" s="57" t="s">
        <v>1306</v>
      </c>
      <c r="S7" s="57" t="n">
        <v>0</v>
      </c>
      <c r="T7" s="57" t="n">
        <v>0</v>
      </c>
      <c r="U7" s="57" t="n">
        <v>0</v>
      </c>
      <c r="V7" s="57" t="n">
        <v>0</v>
      </c>
      <c r="W7" s="57" t="n">
        <v>0</v>
      </c>
      <c r="X7" s="57" t="n">
        <v>0</v>
      </c>
      <c r="Y7" s="57" t="s">
        <v>1307</v>
      </c>
      <c r="Z7" s="57"/>
      <c r="AA7" s="57" t="s">
        <v>290</v>
      </c>
      <c r="AB7" s="57" t="s">
        <v>347</v>
      </c>
      <c r="AC7" s="57" t="str">
        <f aca="false">IFERROR(INDEX(dp_geo,MATCH(B7,dp_id,0)),"Unmatched")</f>
        <v>Rest of City</v>
      </c>
      <c r="AD7" s="57" t="n">
        <f aca="false">IF(M7="","",YEAR(M7))</f>
        <v>2018</v>
      </c>
      <c r="AE7" s="57" t="n">
        <f aca="false">IF(O7="","",YEAR(O7))</f>
        <v>2020</v>
      </c>
      <c r="AF7" s="57" t="str">
        <f aca="false">IF(N7="","",YEAR(N7))</f>
        <v/>
      </c>
      <c r="AG7" s="57" t="n">
        <f aca="false">IF(AND(H7="Yes",OR(G7="Complete",G7="Under construction",G7="Permitted – not started",G7="Stalled")),1,0)</f>
        <v>1</v>
      </c>
      <c r="AH7" s="57" t="n">
        <f aca="false">IF(OR(G7="Under construction",G7="Permitted – not started",G7="Stalled"),1,0)</f>
        <v>0</v>
      </c>
    </row>
    <row r="8" customFormat="false" ht="15" hidden="false" customHeight="false" outlineLevel="0" collapsed="false">
      <c r="A8" s="57" t="s">
        <v>1326</v>
      </c>
      <c r="B8" s="57" t="s">
        <v>841</v>
      </c>
      <c r="C8" s="57" t="s">
        <v>1327</v>
      </c>
      <c r="D8" s="57" t="s">
        <v>842</v>
      </c>
      <c r="E8" s="57" t="n">
        <v>26</v>
      </c>
      <c r="F8" s="57"/>
      <c r="G8" s="57" t="s">
        <v>56</v>
      </c>
      <c r="H8" s="57" t="s">
        <v>228</v>
      </c>
      <c r="I8" s="57" t="s">
        <v>1305</v>
      </c>
      <c r="J8" s="57" t="s">
        <v>304</v>
      </c>
      <c r="K8" s="57" t="s">
        <v>308</v>
      </c>
      <c r="L8" s="57" t="s">
        <v>309</v>
      </c>
      <c r="M8" s="58" t="n">
        <v>43448</v>
      </c>
      <c r="N8" s="58" t="n">
        <v>45290</v>
      </c>
      <c r="O8" s="58" t="n">
        <v>44125</v>
      </c>
      <c r="P8" s="57" t="s">
        <v>1328</v>
      </c>
      <c r="Q8" s="57" t="s">
        <v>1317</v>
      </c>
      <c r="R8" s="57" t="s">
        <v>1318</v>
      </c>
      <c r="S8" s="57" t="n">
        <v>6.1</v>
      </c>
      <c r="T8" s="57" t="n">
        <v>19.9</v>
      </c>
      <c r="U8" s="57" t="n">
        <v>0</v>
      </c>
      <c r="V8" s="57" t="n">
        <v>0</v>
      </c>
      <c r="W8" s="57" t="n">
        <v>0</v>
      </c>
      <c r="X8" s="57" t="n">
        <v>0</v>
      </c>
      <c r="Y8" s="57" t="s">
        <v>1307</v>
      </c>
      <c r="Z8" s="57"/>
      <c r="AA8" s="57" t="s">
        <v>288</v>
      </c>
      <c r="AB8" s="57" t="s">
        <v>347</v>
      </c>
      <c r="AC8" s="57" t="str">
        <f aca="false">IFERROR(INDEX(dp_geo,MATCH(B8,dp_id,0)),"Unmatched")</f>
        <v>Rest of City</v>
      </c>
      <c r="AD8" s="57" t="n">
        <f aca="false">IF(M8="","",YEAR(M8))</f>
        <v>2018</v>
      </c>
      <c r="AE8" s="57" t="n">
        <f aca="false">IF(O8="","",YEAR(O8))</f>
        <v>2020</v>
      </c>
      <c r="AF8" s="57" t="n">
        <f aca="false">IF(N8="","",YEAR(N8))</f>
        <v>2023</v>
      </c>
      <c r="AG8" s="57" t="n">
        <f aca="false">IF(AND(H8="Yes",OR(G8="Complete",G8="Under construction",G8="Permitted – not started",G8="Stalled")),1,0)</f>
        <v>1</v>
      </c>
      <c r="AH8" s="57" t="n">
        <f aca="false">IF(OR(G8="Under construction",G8="Permitted – not started",G8="Stalled"),1,0)</f>
        <v>1</v>
      </c>
    </row>
    <row r="9" customFormat="false" ht="15" hidden="false" customHeight="false" outlineLevel="0" collapsed="false">
      <c r="A9" s="57" t="s">
        <v>1329</v>
      </c>
      <c r="B9" s="57" t="s">
        <v>1037</v>
      </c>
      <c r="C9" s="57" t="s">
        <v>1330</v>
      </c>
      <c r="D9" s="57" t="s">
        <v>1038</v>
      </c>
      <c r="E9" s="57" t="n">
        <v>5</v>
      </c>
      <c r="F9" s="57"/>
      <c r="G9" s="57" t="s">
        <v>208</v>
      </c>
      <c r="H9" s="57" t="s">
        <v>228</v>
      </c>
      <c r="I9" s="57" t="s">
        <v>1310</v>
      </c>
      <c r="J9" s="57" t="s">
        <v>304</v>
      </c>
      <c r="K9" s="57" t="s">
        <v>308</v>
      </c>
      <c r="L9" s="57" t="s">
        <v>309</v>
      </c>
      <c r="M9" s="58" t="n">
        <v>43892</v>
      </c>
      <c r="N9" s="58" t="n">
        <v>45717</v>
      </c>
      <c r="O9" s="58" t="n">
        <v>45401</v>
      </c>
      <c r="P9" s="57"/>
      <c r="Q9" s="57"/>
      <c r="R9" s="57" t="s">
        <v>1306</v>
      </c>
      <c r="S9" s="57" t="n">
        <v>0</v>
      </c>
      <c r="T9" s="57" t="n">
        <v>0</v>
      </c>
      <c r="U9" s="57" t="n">
        <v>0</v>
      </c>
      <c r="V9" s="57" t="n">
        <v>0</v>
      </c>
      <c r="W9" s="57" t="n">
        <v>0</v>
      </c>
      <c r="X9" s="57" t="n">
        <v>0</v>
      </c>
      <c r="Y9" s="57" t="s">
        <v>1307</v>
      </c>
      <c r="Z9" s="57" t="s">
        <v>1331</v>
      </c>
      <c r="AA9" s="57" t="s">
        <v>352</v>
      </c>
      <c r="AB9" s="57" t="s">
        <v>349</v>
      </c>
      <c r="AC9" s="57" t="str">
        <f aca="false">IFERROR(INDEX(dp_geo,MATCH(B9,dp_id,0)),"Unmatched")</f>
        <v>Settlements</v>
      </c>
      <c r="AD9" s="57" t="n">
        <f aca="false">IF(M9="","",YEAR(M9))</f>
        <v>2020</v>
      </c>
      <c r="AE9" s="57" t="n">
        <f aca="false">IF(O9="","",YEAR(O9))</f>
        <v>2024</v>
      </c>
      <c r="AF9" s="57" t="n">
        <f aca="false">IF(N9="","",YEAR(N9))</f>
        <v>2025</v>
      </c>
      <c r="AG9" s="57" t="n">
        <f aca="false">IF(AND(H9="Yes",OR(G9="Complete",G9="Under construction",G9="Permitted – not started",G9="Stalled")),1,0)</f>
        <v>1</v>
      </c>
      <c r="AH9" s="57" t="n">
        <f aca="false">IF(OR(G9="Under construction",G9="Permitted – not started",G9="Stalled"),1,0)</f>
        <v>0</v>
      </c>
    </row>
    <row r="10" customFormat="false" ht="15" hidden="false" customHeight="false" outlineLevel="0" collapsed="false">
      <c r="A10" s="57" t="s">
        <v>1332</v>
      </c>
      <c r="B10" s="57" t="s">
        <v>905</v>
      </c>
      <c r="C10" s="57" t="s">
        <v>1333</v>
      </c>
      <c r="D10" s="57" t="s">
        <v>906</v>
      </c>
      <c r="E10" s="57" t="n">
        <v>14</v>
      </c>
      <c r="F10" s="57"/>
      <c r="G10" s="57" t="s">
        <v>208</v>
      </c>
      <c r="H10" s="57" t="s">
        <v>228</v>
      </c>
      <c r="I10" s="57" t="s">
        <v>1310</v>
      </c>
      <c r="J10" s="57" t="s">
        <v>184</v>
      </c>
      <c r="K10" s="57" t="s">
        <v>310</v>
      </c>
      <c r="L10" s="57" t="s">
        <v>313</v>
      </c>
      <c r="M10" s="58" t="n">
        <v>43236</v>
      </c>
      <c r="N10" s="58"/>
      <c r="O10" s="58" t="n">
        <v>43871</v>
      </c>
      <c r="P10" s="57"/>
      <c r="Q10" s="57"/>
      <c r="R10" s="57" t="s">
        <v>1306</v>
      </c>
      <c r="S10" s="57" t="n">
        <v>0</v>
      </c>
      <c r="T10" s="57" t="n">
        <v>0</v>
      </c>
      <c r="U10" s="57" t="n">
        <v>0</v>
      </c>
      <c r="V10" s="57" t="n">
        <v>0</v>
      </c>
      <c r="W10" s="57" t="n">
        <v>0</v>
      </c>
      <c r="X10" s="57" t="n">
        <v>0</v>
      </c>
      <c r="Y10" s="57" t="s">
        <v>1307</v>
      </c>
      <c r="Z10" s="57"/>
      <c r="AA10" s="57" t="s">
        <v>258</v>
      </c>
      <c r="AB10" s="57" t="s">
        <v>347</v>
      </c>
      <c r="AC10" s="57" t="str">
        <f aca="false">IFERROR(INDEX(dp_geo,MATCH(B10,dp_id,0)),"Unmatched")</f>
        <v>City Centre</v>
      </c>
      <c r="AD10" s="57" t="n">
        <f aca="false">IF(M10="","",YEAR(M10))</f>
        <v>2018</v>
      </c>
      <c r="AE10" s="57" t="n">
        <f aca="false">IF(O10="","",YEAR(O10))</f>
        <v>2020</v>
      </c>
      <c r="AF10" s="57" t="str">
        <f aca="false">IF(N10="","",YEAR(N10))</f>
        <v/>
      </c>
      <c r="AG10" s="57" t="n">
        <f aca="false">IF(AND(H10="Yes",OR(G10="Complete",G10="Under construction",G10="Permitted – not started",G10="Stalled")),1,0)</f>
        <v>1</v>
      </c>
      <c r="AH10" s="57" t="n">
        <f aca="false">IF(OR(G10="Under construction",G10="Permitted – not started",G10="Stalled"),1,0)</f>
        <v>0</v>
      </c>
    </row>
    <row r="11" customFormat="false" ht="15" hidden="false" customHeight="false" outlineLevel="0" collapsed="false">
      <c r="A11" s="57" t="s">
        <v>1334</v>
      </c>
      <c r="B11" s="57" t="s">
        <v>837</v>
      </c>
      <c r="C11" s="57" t="s">
        <v>1335</v>
      </c>
      <c r="D11" s="57" t="s">
        <v>838</v>
      </c>
      <c r="E11" s="57" t="n">
        <v>27</v>
      </c>
      <c r="F11" s="57"/>
      <c r="G11" s="57" t="s">
        <v>208</v>
      </c>
      <c r="H11" s="57" t="s">
        <v>228</v>
      </c>
      <c r="I11" s="57" t="s">
        <v>1310</v>
      </c>
      <c r="J11" s="57" t="s">
        <v>184</v>
      </c>
      <c r="K11" s="57" t="s">
        <v>310</v>
      </c>
      <c r="L11" s="57" t="s">
        <v>313</v>
      </c>
      <c r="M11" s="58" t="n">
        <v>43718</v>
      </c>
      <c r="N11" s="58"/>
      <c r="O11" s="58" t="n">
        <v>44760</v>
      </c>
      <c r="P11" s="57" t="s">
        <v>1336</v>
      </c>
      <c r="Q11" s="57" t="s">
        <v>1317</v>
      </c>
      <c r="R11" s="57" t="s">
        <v>1318</v>
      </c>
      <c r="S11" s="57" t="n">
        <v>0</v>
      </c>
      <c r="T11" s="57" t="n">
        <v>0</v>
      </c>
      <c r="U11" s="57" t="n">
        <v>0</v>
      </c>
      <c r="V11" s="57" t="n">
        <v>0</v>
      </c>
      <c r="W11" s="57" t="n">
        <v>0</v>
      </c>
      <c r="X11" s="57" t="n">
        <v>0</v>
      </c>
      <c r="Y11" s="57" t="s">
        <v>1337</v>
      </c>
      <c r="Z11" s="57" t="s">
        <v>1338</v>
      </c>
      <c r="AA11" s="57" t="s">
        <v>284</v>
      </c>
      <c r="AB11" s="57" t="s">
        <v>347</v>
      </c>
      <c r="AC11" s="57" t="str">
        <f aca="false">IFERROR(INDEX(dp_geo,MATCH(B11,dp_id,0)),"Unmatched")</f>
        <v>Rest of City</v>
      </c>
      <c r="AD11" s="57" t="n">
        <f aca="false">IF(M11="","",YEAR(M11))</f>
        <v>2019</v>
      </c>
      <c r="AE11" s="57" t="n">
        <f aca="false">IF(O11="","",YEAR(O11))</f>
        <v>2022</v>
      </c>
      <c r="AF11" s="57" t="str">
        <f aca="false">IF(N11="","",YEAR(N11))</f>
        <v/>
      </c>
      <c r="AG11" s="57" t="n">
        <f aca="false">IF(AND(H11="Yes",OR(G11="Complete",G11="Under construction",G11="Permitted – not started",G11="Stalled")),1,0)</f>
        <v>1</v>
      </c>
      <c r="AH11" s="57" t="n">
        <f aca="false">IF(OR(G11="Under construction",G11="Permitted – not started",G11="Stalled"),1,0)</f>
        <v>0</v>
      </c>
    </row>
    <row r="12" customFormat="false" ht="15" hidden="false" customHeight="false" outlineLevel="0" collapsed="false">
      <c r="A12" s="57" t="s">
        <v>1339</v>
      </c>
      <c r="B12" s="57" t="s">
        <v>907</v>
      </c>
      <c r="C12" s="57" t="s">
        <v>1340</v>
      </c>
      <c r="D12" s="57" t="s">
        <v>908</v>
      </c>
      <c r="E12" s="57" t="n">
        <v>14</v>
      </c>
      <c r="F12" s="57"/>
      <c r="G12" s="57" t="s">
        <v>58</v>
      </c>
      <c r="H12" s="57" t="s">
        <v>228</v>
      </c>
      <c r="I12" s="57" t="s">
        <v>1310</v>
      </c>
      <c r="J12" s="57" t="s">
        <v>304</v>
      </c>
      <c r="K12" s="57" t="s">
        <v>308</v>
      </c>
      <c r="L12" s="57" t="s">
        <v>309</v>
      </c>
      <c r="M12" s="58" t="n">
        <v>44148</v>
      </c>
      <c r="N12" s="58" t="n">
        <v>47070</v>
      </c>
      <c r="O12" s="58"/>
      <c r="P12" s="57" t="s">
        <v>1311</v>
      </c>
      <c r="Q12" s="57" t="s">
        <v>1312</v>
      </c>
      <c r="R12" s="57" t="s">
        <v>1313</v>
      </c>
      <c r="S12" s="57" t="n">
        <v>0</v>
      </c>
      <c r="T12" s="57" t="n">
        <v>0</v>
      </c>
      <c r="U12" s="57" t="n">
        <v>8.2</v>
      </c>
      <c r="V12" s="57" t="n">
        <v>5.8</v>
      </c>
      <c r="W12" s="57" t="n">
        <v>0</v>
      </c>
      <c r="X12" s="57" t="n">
        <v>0</v>
      </c>
      <c r="Y12" s="57" t="s">
        <v>1307</v>
      </c>
      <c r="Z12" s="57"/>
      <c r="AA12" s="57" t="s">
        <v>360</v>
      </c>
      <c r="AB12" s="57" t="s">
        <v>356</v>
      </c>
      <c r="AC12" s="57" t="str">
        <f aca="false">IFERROR(INDEX(dp_geo,MATCH(B12,dp_id,0)),"Unmatched")</f>
        <v>Settlements</v>
      </c>
      <c r="AD12" s="57" t="n">
        <f aca="false">IF(M12="","",YEAR(M12))</f>
        <v>2020</v>
      </c>
      <c r="AE12" s="57" t="str">
        <f aca="false">IF(O12="","",YEAR(O12))</f>
        <v/>
      </c>
      <c r="AF12" s="57" t="n">
        <f aca="false">IF(N12="","",YEAR(N12))</f>
        <v>2028</v>
      </c>
      <c r="AG12" s="57" t="n">
        <f aca="false">IF(AND(H12="Yes",OR(G12="Complete",G12="Under construction",G12="Permitted – not started",G12="Stalled")),1,0)</f>
        <v>1</v>
      </c>
      <c r="AH12" s="57" t="n">
        <f aca="false">IF(OR(G12="Under construction",G12="Permitted – not started",G12="Stalled"),1,0)</f>
        <v>1</v>
      </c>
    </row>
    <row r="13" customFormat="false" ht="15" hidden="false" customHeight="false" outlineLevel="0" collapsed="false">
      <c r="A13" s="57" t="s">
        <v>1341</v>
      </c>
      <c r="B13" s="57" t="s">
        <v>1053</v>
      </c>
      <c r="C13" s="57" t="s">
        <v>1342</v>
      </c>
      <c r="D13" s="57" t="s">
        <v>1054</v>
      </c>
      <c r="E13" s="57" t="n">
        <v>4</v>
      </c>
      <c r="F13" s="57"/>
      <c r="G13" s="57" t="s">
        <v>208</v>
      </c>
      <c r="H13" s="57" t="s">
        <v>228</v>
      </c>
      <c r="I13" s="57" t="s">
        <v>1305</v>
      </c>
      <c r="J13" s="57" t="s">
        <v>304</v>
      </c>
      <c r="K13" s="57" t="s">
        <v>308</v>
      </c>
      <c r="L13" s="57" t="s">
        <v>309</v>
      </c>
      <c r="M13" s="58" t="n">
        <v>43711</v>
      </c>
      <c r="N13" s="58" t="n">
        <v>45501</v>
      </c>
      <c r="O13" s="58" t="n">
        <v>44427</v>
      </c>
      <c r="P13" s="57" t="s">
        <v>1343</v>
      </c>
      <c r="Q13" s="57" t="s">
        <v>1317</v>
      </c>
      <c r="R13" s="57" t="s">
        <v>1318</v>
      </c>
      <c r="S13" s="57" t="n">
        <v>0</v>
      </c>
      <c r="T13" s="57" t="n">
        <v>0</v>
      </c>
      <c r="U13" s="57" t="n">
        <v>0</v>
      </c>
      <c r="V13" s="57" t="n">
        <v>0</v>
      </c>
      <c r="W13" s="57" t="n">
        <v>0</v>
      </c>
      <c r="X13" s="57" t="n">
        <v>0</v>
      </c>
      <c r="Y13" s="57" t="s">
        <v>1337</v>
      </c>
      <c r="Z13" s="57" t="s">
        <v>1338</v>
      </c>
      <c r="AA13" s="57" t="s">
        <v>365</v>
      </c>
      <c r="AB13" s="57" t="s">
        <v>365</v>
      </c>
      <c r="AC13" s="57" t="str">
        <f aca="false">IFERROR(INDEX(dp_geo,MATCH(B13,dp_id,0)),"Unmatched")</f>
        <v>Remainder of County</v>
      </c>
      <c r="AD13" s="57" t="n">
        <f aca="false">IF(M13="","",YEAR(M13))</f>
        <v>2019</v>
      </c>
      <c r="AE13" s="57" t="n">
        <f aca="false">IF(O13="","",YEAR(O13))</f>
        <v>2021</v>
      </c>
      <c r="AF13" s="57" t="n">
        <f aca="false">IF(N13="","",YEAR(N13))</f>
        <v>2024</v>
      </c>
      <c r="AG13" s="57" t="n">
        <f aca="false">IF(AND(H13="Yes",OR(G13="Complete",G13="Under construction",G13="Permitted – not started",G13="Stalled")),1,0)</f>
        <v>1</v>
      </c>
      <c r="AH13" s="57" t="n">
        <f aca="false">IF(OR(G13="Under construction",G13="Permitted – not started",G13="Stalled"),1,0)</f>
        <v>0</v>
      </c>
    </row>
    <row r="14" customFormat="false" ht="15" hidden="false" customHeight="false" outlineLevel="0" collapsed="false">
      <c r="A14" s="57" t="s">
        <v>1344</v>
      </c>
      <c r="B14" s="57" t="s">
        <v>728</v>
      </c>
      <c r="C14" s="57" t="s">
        <v>1345</v>
      </c>
      <c r="D14" s="57" t="s">
        <v>1346</v>
      </c>
      <c r="E14" s="57" t="n">
        <v>27</v>
      </c>
      <c r="F14" s="57"/>
      <c r="G14" s="57" t="s">
        <v>58</v>
      </c>
      <c r="H14" s="57" t="s">
        <v>228</v>
      </c>
      <c r="I14" s="57" t="s">
        <v>1347</v>
      </c>
      <c r="J14" s="57" t="s">
        <v>184</v>
      </c>
      <c r="K14" s="57" t="s">
        <v>310</v>
      </c>
      <c r="L14" s="57" t="s">
        <v>313</v>
      </c>
      <c r="M14" s="58" t="n">
        <v>43740</v>
      </c>
      <c r="N14" s="58"/>
      <c r="O14" s="58"/>
      <c r="P14" s="57" t="s">
        <v>1311</v>
      </c>
      <c r="Q14" s="57" t="s">
        <v>1348</v>
      </c>
      <c r="R14" s="57" t="s">
        <v>1313</v>
      </c>
      <c r="S14" s="57" t="n">
        <v>0</v>
      </c>
      <c r="T14" s="57" t="n">
        <v>0</v>
      </c>
      <c r="U14" s="57" t="n">
        <v>20.5</v>
      </c>
      <c r="V14" s="57" t="n">
        <v>6.5</v>
      </c>
      <c r="W14" s="57" t="n">
        <v>0</v>
      </c>
      <c r="X14" s="57" t="n">
        <v>0</v>
      </c>
      <c r="Y14" s="57" t="s">
        <v>1307</v>
      </c>
      <c r="Z14" s="57"/>
      <c r="AA14" s="57" t="s">
        <v>291</v>
      </c>
      <c r="AB14" s="57" t="s">
        <v>347</v>
      </c>
      <c r="AC14" s="57" t="str">
        <f aca="false">IFERROR(INDEX(dp_geo,MATCH(B14,dp_id,0)),"Unmatched")</f>
        <v>Rest of City</v>
      </c>
      <c r="AD14" s="57" t="n">
        <f aca="false">IF(M14="","",YEAR(M14))</f>
        <v>2019</v>
      </c>
      <c r="AE14" s="57" t="str">
        <f aca="false">IF(O14="","",YEAR(O14))</f>
        <v/>
      </c>
      <c r="AF14" s="57" t="str">
        <f aca="false">IF(N14="","",YEAR(N14))</f>
        <v/>
      </c>
      <c r="AG14" s="57" t="n">
        <f aca="false">IF(AND(H14="Yes",OR(G14="Complete",G14="Under construction",G14="Permitted – not started",G14="Stalled")),1,0)</f>
        <v>1</v>
      </c>
      <c r="AH14" s="57" t="n">
        <f aca="false">IF(OR(G14="Under construction",G14="Permitted – not started",G14="Stalled"),1,0)</f>
        <v>1</v>
      </c>
    </row>
    <row r="15" customFormat="false" ht="15" hidden="false" customHeight="false" outlineLevel="0" collapsed="false">
      <c r="A15" s="57" t="s">
        <v>1349</v>
      </c>
      <c r="B15" s="57" t="s">
        <v>598</v>
      </c>
      <c r="C15" s="57" t="s">
        <v>1350</v>
      </c>
      <c r="D15" s="57" t="s">
        <v>1351</v>
      </c>
      <c r="E15" s="57" t="n">
        <v>31</v>
      </c>
      <c r="F15" s="57"/>
      <c r="G15" s="57" t="s">
        <v>60</v>
      </c>
      <c r="H15" s="57" t="s">
        <v>228</v>
      </c>
      <c r="I15" s="57" t="s">
        <v>1310</v>
      </c>
      <c r="J15" s="57" t="s">
        <v>305</v>
      </c>
      <c r="K15" s="57" t="s">
        <v>308</v>
      </c>
      <c r="L15" s="57" t="s">
        <v>309</v>
      </c>
      <c r="M15" s="58" t="n">
        <v>44270</v>
      </c>
      <c r="N15" s="58" t="n">
        <v>47190</v>
      </c>
      <c r="O15" s="58"/>
      <c r="P15" s="57"/>
      <c r="Q15" s="57"/>
      <c r="R15" s="57" t="s">
        <v>1322</v>
      </c>
      <c r="S15" s="57" t="n">
        <v>0</v>
      </c>
      <c r="T15" s="57" t="n">
        <v>0</v>
      </c>
      <c r="U15" s="57" t="n">
        <v>0</v>
      </c>
      <c r="V15" s="57" t="n">
        <v>0</v>
      </c>
      <c r="W15" s="57" t="n">
        <v>0</v>
      </c>
      <c r="X15" s="57" t="n">
        <v>0</v>
      </c>
      <c r="Y15" s="57" t="s">
        <v>1307</v>
      </c>
      <c r="Z15" s="57"/>
      <c r="AA15" s="57" t="s">
        <v>284</v>
      </c>
      <c r="AB15" s="57" t="s">
        <v>347</v>
      </c>
      <c r="AC15" s="57" t="str">
        <f aca="false">IFERROR(INDEX(dp_geo,MATCH(B15,dp_id,0)),"Unmatched")</f>
        <v>Rest of City</v>
      </c>
      <c r="AD15" s="57" t="n">
        <f aca="false">IF(M15="","",YEAR(M15))</f>
        <v>2021</v>
      </c>
      <c r="AE15" s="57" t="str">
        <f aca="false">IF(O15="","",YEAR(O15))</f>
        <v/>
      </c>
      <c r="AF15" s="57" t="n">
        <f aca="false">IF(N15="","",YEAR(N15))</f>
        <v>2029</v>
      </c>
      <c r="AG15" s="57" t="n">
        <f aca="false">IF(AND(H15="Yes",OR(G15="Complete",G15="Under construction",G15="Permitted – not started",G15="Stalled")),1,0)</f>
        <v>1</v>
      </c>
      <c r="AH15" s="57" t="n">
        <f aca="false">IF(OR(G15="Under construction",G15="Permitted – not started",G15="Stalled"),1,0)</f>
        <v>1</v>
      </c>
    </row>
    <row r="16" customFormat="false" ht="15" hidden="false" customHeight="false" outlineLevel="0" collapsed="false">
      <c r="A16" s="57" t="s">
        <v>1352</v>
      </c>
      <c r="B16" s="57" t="s">
        <v>891</v>
      </c>
      <c r="C16" s="57" t="s">
        <v>1353</v>
      </c>
      <c r="D16" s="57" t="s">
        <v>892</v>
      </c>
      <c r="E16" s="57" t="n">
        <v>16</v>
      </c>
      <c r="F16" s="57"/>
      <c r="G16" s="57" t="s">
        <v>208</v>
      </c>
      <c r="H16" s="57" t="s">
        <v>228</v>
      </c>
      <c r="I16" s="57" t="s">
        <v>1310</v>
      </c>
      <c r="J16" s="57" t="s">
        <v>184</v>
      </c>
      <c r="K16" s="57" t="s">
        <v>312</v>
      </c>
      <c r="L16" s="57" t="s">
        <v>313</v>
      </c>
      <c r="M16" s="58" t="n">
        <v>44498</v>
      </c>
      <c r="N16" s="58"/>
      <c r="O16" s="58" t="n">
        <v>45313</v>
      </c>
      <c r="P16" s="57"/>
      <c r="Q16" s="57"/>
      <c r="R16" s="57" t="s">
        <v>1306</v>
      </c>
      <c r="S16" s="57" t="n">
        <v>0</v>
      </c>
      <c r="T16" s="57" t="n">
        <v>0</v>
      </c>
      <c r="U16" s="57" t="n">
        <v>0</v>
      </c>
      <c r="V16" s="57" t="n">
        <v>0</v>
      </c>
      <c r="W16" s="57" t="n">
        <v>0</v>
      </c>
      <c r="X16" s="57" t="n">
        <v>0</v>
      </c>
      <c r="Y16" s="57" t="s">
        <v>1307</v>
      </c>
      <c r="Z16" s="57"/>
      <c r="AA16" s="57" t="s">
        <v>360</v>
      </c>
      <c r="AB16" s="57" t="s">
        <v>356</v>
      </c>
      <c r="AC16" s="57" t="str">
        <f aca="false">IFERROR(INDEX(dp_geo,MATCH(B16,dp_id,0)),"Unmatched")</f>
        <v>Settlements</v>
      </c>
      <c r="AD16" s="57" t="n">
        <f aca="false">IF(M16="","",YEAR(M16))</f>
        <v>2021</v>
      </c>
      <c r="AE16" s="57" t="n">
        <f aca="false">IF(O16="","",YEAR(O16))</f>
        <v>2024</v>
      </c>
      <c r="AF16" s="57" t="str">
        <f aca="false">IF(N16="","",YEAR(N16))</f>
        <v/>
      </c>
      <c r="AG16" s="57" t="n">
        <f aca="false">IF(AND(H16="Yes",OR(G16="Complete",G16="Under construction",G16="Permitted – not started",G16="Stalled")),1,0)</f>
        <v>1</v>
      </c>
      <c r="AH16" s="57" t="n">
        <f aca="false">IF(OR(G16="Under construction",G16="Permitted – not started",G16="Stalled"),1,0)</f>
        <v>0</v>
      </c>
    </row>
    <row r="17" customFormat="false" ht="15" hidden="false" customHeight="false" outlineLevel="0" collapsed="false">
      <c r="A17" s="57" t="s">
        <v>1354</v>
      </c>
      <c r="B17" s="57" t="s">
        <v>808</v>
      </c>
      <c r="C17" s="57" t="s">
        <v>1355</v>
      </c>
      <c r="D17" s="57" t="s">
        <v>809</v>
      </c>
      <c r="E17" s="57" t="n">
        <v>38</v>
      </c>
      <c r="F17" s="57"/>
      <c r="G17" s="57" t="s">
        <v>56</v>
      </c>
      <c r="H17" s="57" t="s">
        <v>228</v>
      </c>
      <c r="I17" s="57" t="s">
        <v>1310</v>
      </c>
      <c r="J17" s="57" t="s">
        <v>184</v>
      </c>
      <c r="K17" s="57" t="s">
        <v>310</v>
      </c>
      <c r="L17" s="57" t="s">
        <v>313</v>
      </c>
      <c r="M17" s="58" t="n">
        <v>43805</v>
      </c>
      <c r="N17" s="58"/>
      <c r="O17" s="58" t="n">
        <v>44308</v>
      </c>
      <c r="P17" s="57" t="s">
        <v>1356</v>
      </c>
      <c r="Q17" s="57" t="s">
        <v>1317</v>
      </c>
      <c r="R17" s="57" t="s">
        <v>1318</v>
      </c>
      <c r="S17" s="57" t="n">
        <v>8.8</v>
      </c>
      <c r="T17" s="57" t="n">
        <v>29.2</v>
      </c>
      <c r="U17" s="57" t="n">
        <v>0</v>
      </c>
      <c r="V17" s="57" t="n">
        <v>0</v>
      </c>
      <c r="W17" s="57" t="n">
        <v>0</v>
      </c>
      <c r="X17" s="57" t="n">
        <v>0</v>
      </c>
      <c r="Y17" s="57" t="s">
        <v>1307</v>
      </c>
      <c r="Z17" s="57"/>
      <c r="AA17" s="57" t="s">
        <v>284</v>
      </c>
      <c r="AB17" s="57" t="s">
        <v>347</v>
      </c>
      <c r="AC17" s="57" t="str">
        <f aca="false">IFERROR(INDEX(dp_geo,MATCH(B17,dp_id,0)),"Unmatched")</f>
        <v>Rest of City</v>
      </c>
      <c r="AD17" s="57" t="n">
        <f aca="false">IF(M17="","",YEAR(M17))</f>
        <v>2019</v>
      </c>
      <c r="AE17" s="57" t="n">
        <f aca="false">IF(O17="","",YEAR(O17))</f>
        <v>2021</v>
      </c>
      <c r="AF17" s="57" t="str">
        <f aca="false">IF(N17="","",YEAR(N17))</f>
        <v/>
      </c>
      <c r="AG17" s="57" t="n">
        <f aca="false">IF(AND(H17="Yes",OR(G17="Complete",G17="Under construction",G17="Permitted – not started",G17="Stalled")),1,0)</f>
        <v>1</v>
      </c>
      <c r="AH17" s="57" t="n">
        <f aca="false">IF(OR(G17="Under construction",G17="Permitted – not started",G17="Stalled"),1,0)</f>
        <v>1</v>
      </c>
    </row>
    <row r="18" customFormat="false" ht="15" hidden="false" customHeight="false" outlineLevel="0" collapsed="false">
      <c r="A18" s="57" t="s">
        <v>1357</v>
      </c>
      <c r="B18" s="57" t="s">
        <v>1089</v>
      </c>
      <c r="C18" s="57" t="s">
        <v>1358</v>
      </c>
      <c r="D18" s="57" t="s">
        <v>1090</v>
      </c>
      <c r="E18" s="57" t="n">
        <v>2</v>
      </c>
      <c r="F18" s="57"/>
      <c r="G18" s="57" t="s">
        <v>56</v>
      </c>
      <c r="H18" s="57" t="s">
        <v>228</v>
      </c>
      <c r="I18" s="57" t="s">
        <v>1310</v>
      </c>
      <c r="J18" s="57" t="s">
        <v>304</v>
      </c>
      <c r="K18" s="57" t="s">
        <v>308</v>
      </c>
      <c r="L18" s="57" t="s">
        <v>309</v>
      </c>
      <c r="M18" s="58" t="n">
        <v>44090</v>
      </c>
      <c r="N18" s="58" t="n">
        <v>45915</v>
      </c>
      <c r="O18" s="58" t="n">
        <v>45174</v>
      </c>
      <c r="P18" s="57" t="s">
        <v>1359</v>
      </c>
      <c r="Q18" s="57" t="s">
        <v>1317</v>
      </c>
      <c r="R18" s="57" t="s">
        <v>1318</v>
      </c>
      <c r="S18" s="57" t="n">
        <v>0.5</v>
      </c>
      <c r="T18" s="57" t="n">
        <v>1.5</v>
      </c>
      <c r="U18" s="57" t="n">
        <v>0</v>
      </c>
      <c r="V18" s="57" t="n">
        <v>0</v>
      </c>
      <c r="W18" s="57" t="n">
        <v>0</v>
      </c>
      <c r="X18" s="57" t="n">
        <v>0</v>
      </c>
      <c r="Y18" s="57" t="s">
        <v>1307</v>
      </c>
      <c r="Z18" s="57"/>
      <c r="AA18" s="57" t="s">
        <v>258</v>
      </c>
      <c r="AB18" s="57" t="s">
        <v>347</v>
      </c>
      <c r="AC18" s="57" t="str">
        <f aca="false">IFERROR(INDEX(dp_geo,MATCH(B18,dp_id,0)),"Unmatched")</f>
        <v>City Centre</v>
      </c>
      <c r="AD18" s="57" t="n">
        <f aca="false">IF(M18="","",YEAR(M18))</f>
        <v>2020</v>
      </c>
      <c r="AE18" s="57" t="n">
        <f aca="false">IF(O18="","",YEAR(O18))</f>
        <v>2023</v>
      </c>
      <c r="AF18" s="57" t="n">
        <f aca="false">IF(N18="","",YEAR(N18))</f>
        <v>2025</v>
      </c>
      <c r="AG18" s="57" t="n">
        <f aca="false">IF(AND(H18="Yes",OR(G18="Complete",G18="Under construction",G18="Permitted – not started",G18="Stalled")),1,0)</f>
        <v>1</v>
      </c>
      <c r="AH18" s="57" t="n">
        <f aca="false">IF(OR(G18="Under construction",G18="Permitted – not started",G18="Stalled"),1,0)</f>
        <v>1</v>
      </c>
    </row>
    <row r="19" customFormat="false" ht="15" hidden="false" customHeight="false" outlineLevel="0" collapsed="false">
      <c r="A19" s="57" t="s">
        <v>1360</v>
      </c>
      <c r="B19" s="57" t="s">
        <v>885</v>
      </c>
      <c r="C19" s="57" t="s">
        <v>1361</v>
      </c>
      <c r="D19" s="57" t="s">
        <v>886</v>
      </c>
      <c r="E19" s="57" t="n">
        <v>12</v>
      </c>
      <c r="F19" s="57"/>
      <c r="G19" s="57" t="s">
        <v>208</v>
      </c>
      <c r="H19" s="57" t="s">
        <v>228</v>
      </c>
      <c r="I19" s="57" t="s">
        <v>1310</v>
      </c>
      <c r="J19" s="57" t="s">
        <v>184</v>
      </c>
      <c r="K19" s="57" t="s">
        <v>310</v>
      </c>
      <c r="L19" s="57" t="s">
        <v>313</v>
      </c>
      <c r="M19" s="58" t="n">
        <v>43784</v>
      </c>
      <c r="N19" s="58"/>
      <c r="O19" s="58" t="n">
        <v>44421</v>
      </c>
      <c r="P19" s="57"/>
      <c r="Q19" s="57"/>
      <c r="R19" s="57" t="s">
        <v>1306</v>
      </c>
      <c r="S19" s="57" t="n">
        <v>0</v>
      </c>
      <c r="T19" s="57" t="n">
        <v>0</v>
      </c>
      <c r="U19" s="57" t="n">
        <v>0</v>
      </c>
      <c r="V19" s="57" t="n">
        <v>0</v>
      </c>
      <c r="W19" s="57" t="n">
        <v>0</v>
      </c>
      <c r="X19" s="57" t="n">
        <v>0</v>
      </c>
      <c r="Y19" s="57" t="s">
        <v>1307</v>
      </c>
      <c r="Z19" s="57"/>
      <c r="AA19" s="57" t="s">
        <v>365</v>
      </c>
      <c r="AB19" s="57" t="s">
        <v>365</v>
      </c>
      <c r="AC19" s="57" t="str">
        <f aca="false">IFERROR(INDEX(dp_geo,MATCH(B19,dp_id,0)),"Unmatched")</f>
        <v>Remainder of County</v>
      </c>
      <c r="AD19" s="57" t="n">
        <f aca="false">IF(M19="","",YEAR(M19))</f>
        <v>2019</v>
      </c>
      <c r="AE19" s="57" t="n">
        <f aca="false">IF(O19="","",YEAR(O19))</f>
        <v>2021</v>
      </c>
      <c r="AF19" s="57" t="str">
        <f aca="false">IF(N19="","",YEAR(N19))</f>
        <v/>
      </c>
      <c r="AG19" s="57" t="n">
        <f aca="false">IF(AND(H19="Yes",OR(G19="Complete",G19="Under construction",G19="Permitted – not started",G19="Stalled")),1,0)</f>
        <v>1</v>
      </c>
      <c r="AH19" s="57" t="n">
        <f aca="false">IF(OR(G19="Under construction",G19="Permitted – not started",G19="Stalled"),1,0)</f>
        <v>0</v>
      </c>
    </row>
    <row r="20" customFormat="false" ht="15" hidden="false" customHeight="false" outlineLevel="0" collapsed="false">
      <c r="A20" s="57" t="s">
        <v>1362</v>
      </c>
      <c r="B20" s="57" t="s">
        <v>951</v>
      </c>
      <c r="C20" s="57" t="s">
        <v>1363</v>
      </c>
      <c r="D20" s="57" t="s">
        <v>952</v>
      </c>
      <c r="E20" s="57" t="n">
        <v>10</v>
      </c>
      <c r="F20" s="57"/>
      <c r="G20" s="57" t="s">
        <v>208</v>
      </c>
      <c r="H20" s="57" t="s">
        <v>228</v>
      </c>
      <c r="I20" s="57" t="s">
        <v>1310</v>
      </c>
      <c r="J20" s="57" t="s">
        <v>304</v>
      </c>
      <c r="K20" s="57" t="s">
        <v>308</v>
      </c>
      <c r="L20" s="57" t="s">
        <v>309</v>
      </c>
      <c r="M20" s="58" t="n">
        <v>43886</v>
      </c>
      <c r="N20" s="58" t="n">
        <v>45712</v>
      </c>
      <c r="O20" s="58" t="n">
        <v>45420</v>
      </c>
      <c r="P20" s="57" t="s">
        <v>1364</v>
      </c>
      <c r="Q20" s="57" t="s">
        <v>1317</v>
      </c>
      <c r="R20" s="57" t="s">
        <v>1318</v>
      </c>
      <c r="S20" s="57" t="n">
        <v>0</v>
      </c>
      <c r="T20" s="57" t="n">
        <v>0</v>
      </c>
      <c r="U20" s="57" t="n">
        <v>0</v>
      </c>
      <c r="V20" s="57" t="n">
        <v>0</v>
      </c>
      <c r="W20" s="57" t="n">
        <v>0</v>
      </c>
      <c r="X20" s="57" t="n">
        <v>0</v>
      </c>
      <c r="Y20" s="57" t="s">
        <v>1337</v>
      </c>
      <c r="Z20" s="57" t="s">
        <v>1338</v>
      </c>
      <c r="AA20" s="57" t="s">
        <v>359</v>
      </c>
      <c r="AB20" s="57" t="s">
        <v>356</v>
      </c>
      <c r="AC20" s="57" t="str">
        <f aca="false">IFERROR(INDEX(dp_geo,MATCH(B20,dp_id,0)),"Unmatched")</f>
        <v>Settlements</v>
      </c>
      <c r="AD20" s="57" t="n">
        <f aca="false">IF(M20="","",YEAR(M20))</f>
        <v>2020</v>
      </c>
      <c r="AE20" s="57" t="n">
        <f aca="false">IF(O20="","",YEAR(O20))</f>
        <v>2024</v>
      </c>
      <c r="AF20" s="57" t="n">
        <f aca="false">IF(N20="","",YEAR(N20))</f>
        <v>2025</v>
      </c>
      <c r="AG20" s="57" t="n">
        <f aca="false">IF(AND(H20="Yes",OR(G20="Complete",G20="Under construction",G20="Permitted – not started",G20="Stalled")),1,0)</f>
        <v>1</v>
      </c>
      <c r="AH20" s="57" t="n">
        <f aca="false">IF(OR(G20="Under construction",G20="Permitted – not started",G20="Stalled"),1,0)</f>
        <v>0</v>
      </c>
    </row>
    <row r="21" customFormat="false" ht="15" hidden="false" customHeight="false" outlineLevel="0" collapsed="false">
      <c r="A21" s="57" t="s">
        <v>1365</v>
      </c>
      <c r="B21" s="57" t="s">
        <v>932</v>
      </c>
      <c r="C21" s="57" t="s">
        <v>1366</v>
      </c>
      <c r="D21" s="57" t="s">
        <v>933</v>
      </c>
      <c r="E21" s="57" t="n">
        <v>12</v>
      </c>
      <c r="F21" s="57"/>
      <c r="G21" s="57" t="s">
        <v>58</v>
      </c>
      <c r="H21" s="57" t="s">
        <v>228</v>
      </c>
      <c r="I21" s="57" t="s">
        <v>1310</v>
      </c>
      <c r="J21" s="57" t="s">
        <v>184</v>
      </c>
      <c r="K21" s="57" t="s">
        <v>310</v>
      </c>
      <c r="L21" s="57" t="s">
        <v>313</v>
      </c>
      <c r="M21" s="58" t="n">
        <v>43811</v>
      </c>
      <c r="N21" s="58"/>
      <c r="O21" s="58"/>
      <c r="P21" s="57" t="s">
        <v>1311</v>
      </c>
      <c r="Q21" s="57" t="s">
        <v>1312</v>
      </c>
      <c r="R21" s="57" t="s">
        <v>1313</v>
      </c>
      <c r="S21" s="57" t="n">
        <v>0</v>
      </c>
      <c r="T21" s="57" t="n">
        <v>0</v>
      </c>
      <c r="U21" s="57" t="n">
        <v>7</v>
      </c>
      <c r="V21" s="57" t="n">
        <v>5</v>
      </c>
      <c r="W21" s="57" t="n">
        <v>0</v>
      </c>
      <c r="X21" s="57" t="n">
        <v>0</v>
      </c>
      <c r="Y21" s="57" t="s">
        <v>1307</v>
      </c>
      <c r="Z21" s="57"/>
      <c r="AA21" s="57" t="s">
        <v>365</v>
      </c>
      <c r="AB21" s="57" t="s">
        <v>365</v>
      </c>
      <c r="AC21" s="57" t="str">
        <f aca="false">IFERROR(INDEX(dp_geo,MATCH(B21,dp_id,0)),"Unmatched")</f>
        <v>Remainder of County</v>
      </c>
      <c r="AD21" s="57" t="n">
        <f aca="false">IF(M21="","",YEAR(M21))</f>
        <v>2019</v>
      </c>
      <c r="AE21" s="57" t="str">
        <f aca="false">IF(O21="","",YEAR(O21))</f>
        <v/>
      </c>
      <c r="AF21" s="57" t="str">
        <f aca="false">IF(N21="","",YEAR(N21))</f>
        <v/>
      </c>
      <c r="AG21" s="57" t="n">
        <f aca="false">IF(AND(H21="Yes",OR(G21="Complete",G21="Under construction",G21="Permitted – not started",G21="Stalled")),1,0)</f>
        <v>1</v>
      </c>
      <c r="AH21" s="57" t="n">
        <f aca="false">IF(OR(G21="Under construction",G21="Permitted – not started",G21="Stalled"),1,0)</f>
        <v>1</v>
      </c>
    </row>
    <row r="22" customFormat="false" ht="15" hidden="false" customHeight="false" outlineLevel="0" collapsed="false">
      <c r="A22" s="57" t="s">
        <v>1367</v>
      </c>
      <c r="B22" s="57" t="s">
        <v>1091</v>
      </c>
      <c r="C22" s="57" t="s">
        <v>1368</v>
      </c>
      <c r="D22" s="57" t="s">
        <v>1092</v>
      </c>
      <c r="E22" s="57" t="n">
        <v>2</v>
      </c>
      <c r="F22" s="57"/>
      <c r="G22" s="57" t="s">
        <v>208</v>
      </c>
      <c r="H22" s="57" t="s">
        <v>228</v>
      </c>
      <c r="I22" s="57" t="s">
        <v>1310</v>
      </c>
      <c r="J22" s="57" t="s">
        <v>304</v>
      </c>
      <c r="K22" s="57" t="s">
        <v>308</v>
      </c>
      <c r="L22" s="57" t="s">
        <v>309</v>
      </c>
      <c r="M22" s="58" t="n">
        <v>43908</v>
      </c>
      <c r="N22" s="58" t="n">
        <v>45733</v>
      </c>
      <c r="O22" s="58" t="n">
        <v>44678</v>
      </c>
      <c r="P22" s="57"/>
      <c r="Q22" s="57"/>
      <c r="R22" s="57" t="s">
        <v>1306</v>
      </c>
      <c r="S22" s="57" t="n">
        <v>0</v>
      </c>
      <c r="T22" s="57" t="n">
        <v>0</v>
      </c>
      <c r="U22" s="57" t="n">
        <v>0</v>
      </c>
      <c r="V22" s="57" t="n">
        <v>0</v>
      </c>
      <c r="W22" s="57" t="n">
        <v>0</v>
      </c>
      <c r="X22" s="57" t="n">
        <v>0</v>
      </c>
      <c r="Y22" s="57" t="s">
        <v>1307</v>
      </c>
      <c r="Z22" s="57"/>
      <c r="AA22" s="57" t="s">
        <v>358</v>
      </c>
      <c r="AB22" s="57" t="s">
        <v>356</v>
      </c>
      <c r="AC22" s="57" t="str">
        <f aca="false">IFERROR(INDEX(dp_geo,MATCH(B22,dp_id,0)),"Unmatched")</f>
        <v>Settlements</v>
      </c>
      <c r="AD22" s="57" t="n">
        <f aca="false">IF(M22="","",YEAR(M22))</f>
        <v>2020</v>
      </c>
      <c r="AE22" s="57" t="n">
        <f aca="false">IF(O22="","",YEAR(O22))</f>
        <v>2022</v>
      </c>
      <c r="AF22" s="57" t="n">
        <f aca="false">IF(N22="","",YEAR(N22))</f>
        <v>2025</v>
      </c>
      <c r="AG22" s="57" t="n">
        <f aca="false">IF(AND(H22="Yes",OR(G22="Complete",G22="Under construction",G22="Permitted – not started",G22="Stalled")),1,0)</f>
        <v>1</v>
      </c>
      <c r="AH22" s="57" t="n">
        <f aca="false">IF(OR(G22="Under construction",G22="Permitted – not started",G22="Stalled"),1,0)</f>
        <v>0</v>
      </c>
    </row>
    <row r="23" customFormat="false" ht="15" hidden="false" customHeight="false" outlineLevel="0" collapsed="false">
      <c r="A23" s="57" t="s">
        <v>1369</v>
      </c>
      <c r="B23" s="57" t="s">
        <v>814</v>
      </c>
      <c r="C23" s="57" t="s">
        <v>1370</v>
      </c>
      <c r="D23" s="57" t="s">
        <v>815</v>
      </c>
      <c r="E23" s="57" t="n">
        <v>32</v>
      </c>
      <c r="F23" s="57"/>
      <c r="G23" s="57" t="s">
        <v>60</v>
      </c>
      <c r="H23" s="57" t="s">
        <v>228</v>
      </c>
      <c r="I23" s="57" t="s">
        <v>1310</v>
      </c>
      <c r="J23" s="57" t="s">
        <v>304</v>
      </c>
      <c r="K23" s="57" t="s">
        <v>308</v>
      </c>
      <c r="L23" s="57" t="s">
        <v>309</v>
      </c>
      <c r="M23" s="58" t="n">
        <v>44161</v>
      </c>
      <c r="N23" s="58" t="n">
        <v>47082</v>
      </c>
      <c r="O23" s="58"/>
      <c r="P23" s="57"/>
      <c r="Q23" s="57"/>
      <c r="R23" s="57" t="s">
        <v>1322</v>
      </c>
      <c r="S23" s="57" t="n">
        <v>0</v>
      </c>
      <c r="T23" s="57" t="n">
        <v>0</v>
      </c>
      <c r="U23" s="57" t="n">
        <v>0</v>
      </c>
      <c r="V23" s="57" t="n">
        <v>0</v>
      </c>
      <c r="W23" s="57" t="n">
        <v>0</v>
      </c>
      <c r="X23" s="57" t="n">
        <v>0</v>
      </c>
      <c r="Y23" s="57" t="s">
        <v>1307</v>
      </c>
      <c r="Z23" s="57"/>
      <c r="AA23" s="57" t="s">
        <v>363</v>
      </c>
      <c r="AB23" s="57" t="s">
        <v>356</v>
      </c>
      <c r="AC23" s="57" t="str">
        <f aca="false">IFERROR(INDEX(dp_geo,MATCH(B23,dp_id,0)),"Unmatched")</f>
        <v>Settlements</v>
      </c>
      <c r="AD23" s="57" t="n">
        <f aca="false">IF(M23="","",YEAR(M23))</f>
        <v>2020</v>
      </c>
      <c r="AE23" s="57" t="str">
        <f aca="false">IF(O23="","",YEAR(O23))</f>
        <v/>
      </c>
      <c r="AF23" s="57" t="n">
        <f aca="false">IF(N23="","",YEAR(N23))</f>
        <v>2028</v>
      </c>
      <c r="AG23" s="57" t="n">
        <f aca="false">IF(AND(H23="Yes",OR(G23="Complete",G23="Under construction",G23="Permitted – not started",G23="Stalled")),1,0)</f>
        <v>1</v>
      </c>
      <c r="AH23" s="57" t="n">
        <f aca="false">IF(OR(G23="Under construction",G23="Permitted – not started",G23="Stalled"),1,0)</f>
        <v>1</v>
      </c>
    </row>
    <row r="24" customFormat="false" ht="15" hidden="false" customHeight="false" outlineLevel="0" collapsed="false">
      <c r="A24" s="57" t="s">
        <v>1371</v>
      </c>
      <c r="B24" s="57" t="s">
        <v>1011</v>
      </c>
      <c r="C24" s="57" t="s">
        <v>1372</v>
      </c>
      <c r="D24" s="57" t="s">
        <v>1012</v>
      </c>
      <c r="E24" s="57" t="n">
        <v>6</v>
      </c>
      <c r="F24" s="57"/>
      <c r="G24" s="57" t="s">
        <v>56</v>
      </c>
      <c r="H24" s="57" t="s">
        <v>228</v>
      </c>
      <c r="I24" s="57" t="s">
        <v>1310</v>
      </c>
      <c r="J24" s="57" t="s">
        <v>304</v>
      </c>
      <c r="K24" s="57" t="s">
        <v>308</v>
      </c>
      <c r="L24" s="57" t="s">
        <v>309</v>
      </c>
      <c r="M24" s="58" t="n">
        <v>44054</v>
      </c>
      <c r="N24" s="58" t="n">
        <v>45879</v>
      </c>
      <c r="O24" s="58" t="n">
        <v>44539</v>
      </c>
      <c r="P24" s="57" t="s">
        <v>1373</v>
      </c>
      <c r="Q24" s="57" t="s">
        <v>1317</v>
      </c>
      <c r="R24" s="57" t="s">
        <v>1318</v>
      </c>
      <c r="S24" s="57" t="n">
        <v>1.4</v>
      </c>
      <c r="T24" s="57" t="n">
        <v>4.6</v>
      </c>
      <c r="U24" s="57" t="n">
        <v>0</v>
      </c>
      <c r="V24" s="57" t="n">
        <v>0</v>
      </c>
      <c r="W24" s="57" t="n">
        <v>0</v>
      </c>
      <c r="X24" s="57" t="n">
        <v>0</v>
      </c>
      <c r="Y24" s="57" t="s">
        <v>1307</v>
      </c>
      <c r="Z24" s="57"/>
      <c r="AA24" s="57" t="s">
        <v>365</v>
      </c>
      <c r="AB24" s="57" t="s">
        <v>365</v>
      </c>
      <c r="AC24" s="57" t="str">
        <f aca="false">IFERROR(INDEX(dp_geo,MATCH(B24,dp_id,0)),"Unmatched")</f>
        <v>Remainder of County</v>
      </c>
      <c r="AD24" s="57" t="n">
        <f aca="false">IF(M24="","",YEAR(M24))</f>
        <v>2020</v>
      </c>
      <c r="AE24" s="57" t="n">
        <f aca="false">IF(O24="","",YEAR(O24))</f>
        <v>2021</v>
      </c>
      <c r="AF24" s="57" t="n">
        <f aca="false">IF(N24="","",YEAR(N24))</f>
        <v>2025</v>
      </c>
      <c r="AG24" s="57" t="n">
        <f aca="false">IF(AND(H24="Yes",OR(G24="Complete",G24="Under construction",G24="Permitted – not started",G24="Stalled")),1,0)</f>
        <v>1</v>
      </c>
      <c r="AH24" s="57" t="n">
        <f aca="false">IF(OR(G24="Under construction",G24="Permitted – not started",G24="Stalled"),1,0)</f>
        <v>1</v>
      </c>
    </row>
    <row r="25" customFormat="false" ht="15" hidden="false" customHeight="false" outlineLevel="0" collapsed="false">
      <c r="A25" s="57" t="s">
        <v>1374</v>
      </c>
      <c r="B25" s="57" t="s">
        <v>1097</v>
      </c>
      <c r="C25" s="57" t="s">
        <v>1375</v>
      </c>
      <c r="D25" s="57" t="s">
        <v>1098</v>
      </c>
      <c r="E25" s="57" t="n">
        <v>1</v>
      </c>
      <c r="F25" s="57"/>
      <c r="G25" s="57" t="s">
        <v>230</v>
      </c>
      <c r="H25" s="57" t="s">
        <v>228</v>
      </c>
      <c r="I25" s="57" t="s">
        <v>1310</v>
      </c>
      <c r="J25" s="57" t="s">
        <v>304</v>
      </c>
      <c r="K25" s="57" t="s">
        <v>308</v>
      </c>
      <c r="L25" s="57" t="s">
        <v>309</v>
      </c>
      <c r="M25" s="58" t="n">
        <v>44098</v>
      </c>
      <c r="N25" s="58" t="n">
        <v>45923</v>
      </c>
      <c r="O25" s="58"/>
      <c r="P25" s="57"/>
      <c r="Q25" s="57"/>
      <c r="R25" s="57" t="s">
        <v>1322</v>
      </c>
      <c r="S25" s="57" t="n">
        <v>0</v>
      </c>
      <c r="T25" s="57" t="n">
        <v>0</v>
      </c>
      <c r="U25" s="57" t="n">
        <v>0</v>
      </c>
      <c r="V25" s="57" t="n">
        <v>0</v>
      </c>
      <c r="W25" s="57" t="n">
        <v>0</v>
      </c>
      <c r="X25" s="57" t="n">
        <v>0</v>
      </c>
      <c r="Y25" s="57" t="s">
        <v>1307</v>
      </c>
      <c r="Z25" s="57"/>
      <c r="AA25" s="57" t="s">
        <v>365</v>
      </c>
      <c r="AB25" s="57" t="s">
        <v>365</v>
      </c>
      <c r="AC25" s="57" t="str">
        <f aca="false">IFERROR(INDEX(dp_geo,MATCH(B25,dp_id,0)),"Unmatched")</f>
        <v>Remainder of County</v>
      </c>
      <c r="AD25" s="57" t="n">
        <f aca="false">IF(M25="","",YEAR(M25))</f>
        <v>2020</v>
      </c>
      <c r="AE25" s="57" t="str">
        <f aca="false">IF(O25="","",YEAR(O25))</f>
        <v/>
      </c>
      <c r="AF25" s="57" t="n">
        <f aca="false">IF(N25="","",YEAR(N25))</f>
        <v>2025</v>
      </c>
      <c r="AG25" s="57" t="n">
        <f aca="false">IF(AND(H25="Yes",OR(G25="Complete",G25="Under construction",G25="Permitted – not started",G25="Stalled")),1,0)</f>
        <v>0</v>
      </c>
      <c r="AH25" s="57" t="n">
        <f aca="false">IF(OR(G25="Under construction",G25="Permitted – not started",G25="Stalled"),1,0)</f>
        <v>0</v>
      </c>
    </row>
    <row r="26" customFormat="false" ht="15" hidden="false" customHeight="false" outlineLevel="0" collapsed="false">
      <c r="A26" s="57" t="s">
        <v>1376</v>
      </c>
      <c r="B26" s="57" t="s">
        <v>897</v>
      </c>
      <c r="C26" s="57" t="s">
        <v>1377</v>
      </c>
      <c r="D26" s="57" t="s">
        <v>898</v>
      </c>
      <c r="E26" s="57" t="n">
        <v>15</v>
      </c>
      <c r="F26" s="57"/>
      <c r="G26" s="57" t="s">
        <v>230</v>
      </c>
      <c r="H26" s="57" t="s">
        <v>228</v>
      </c>
      <c r="I26" s="57" t="s">
        <v>1310</v>
      </c>
      <c r="J26" s="57" t="s">
        <v>304</v>
      </c>
      <c r="K26" s="57" t="s">
        <v>308</v>
      </c>
      <c r="L26" s="57" t="s">
        <v>309</v>
      </c>
      <c r="M26" s="58" t="n">
        <v>44111</v>
      </c>
      <c r="N26" s="58" t="n">
        <v>45936</v>
      </c>
      <c r="O26" s="58"/>
      <c r="P26" s="57"/>
      <c r="Q26" s="57"/>
      <c r="R26" s="57" t="s">
        <v>1322</v>
      </c>
      <c r="S26" s="57" t="n">
        <v>0</v>
      </c>
      <c r="T26" s="57" t="n">
        <v>0</v>
      </c>
      <c r="U26" s="57" t="n">
        <v>0</v>
      </c>
      <c r="V26" s="57" t="n">
        <v>0</v>
      </c>
      <c r="W26" s="57" t="n">
        <v>0</v>
      </c>
      <c r="X26" s="57" t="n">
        <v>0</v>
      </c>
      <c r="Y26" s="57" t="s">
        <v>1307</v>
      </c>
      <c r="Z26" s="57"/>
      <c r="AA26" s="57" t="s">
        <v>258</v>
      </c>
      <c r="AB26" s="57" t="s">
        <v>347</v>
      </c>
      <c r="AC26" s="57" t="str">
        <f aca="false">IFERROR(INDEX(dp_geo,MATCH(B26,dp_id,0)),"Unmatched")</f>
        <v>City Centre</v>
      </c>
      <c r="AD26" s="57" t="n">
        <f aca="false">IF(M26="","",YEAR(M26))</f>
        <v>2020</v>
      </c>
      <c r="AE26" s="57" t="str">
        <f aca="false">IF(O26="","",YEAR(O26))</f>
        <v/>
      </c>
      <c r="AF26" s="57" t="n">
        <f aca="false">IF(N26="","",YEAR(N26))</f>
        <v>2025</v>
      </c>
      <c r="AG26" s="57" t="n">
        <f aca="false">IF(AND(H26="Yes",OR(G26="Complete",G26="Under construction",G26="Permitted – not started",G26="Stalled")),1,0)</f>
        <v>0</v>
      </c>
      <c r="AH26" s="57" t="n">
        <f aca="false">IF(OR(G26="Under construction",G26="Permitted – not started",G26="Stalled"),1,0)</f>
        <v>0</v>
      </c>
    </row>
    <row r="27" customFormat="false" ht="15" hidden="false" customHeight="false" outlineLevel="0" collapsed="false">
      <c r="A27" s="57" t="s">
        <v>1378</v>
      </c>
      <c r="B27" s="57" t="s">
        <v>1055</v>
      </c>
      <c r="C27" s="57" t="s">
        <v>1379</v>
      </c>
      <c r="D27" s="57" t="s">
        <v>1056</v>
      </c>
      <c r="E27" s="57" t="n">
        <v>4</v>
      </c>
      <c r="F27" s="57"/>
      <c r="G27" s="57" t="s">
        <v>56</v>
      </c>
      <c r="H27" s="57" t="s">
        <v>228</v>
      </c>
      <c r="I27" s="57" t="s">
        <v>1310</v>
      </c>
      <c r="J27" s="57" t="s">
        <v>304</v>
      </c>
      <c r="K27" s="57" t="s">
        <v>308</v>
      </c>
      <c r="L27" s="57" t="s">
        <v>309</v>
      </c>
      <c r="M27" s="58" t="n">
        <v>44399</v>
      </c>
      <c r="N27" s="58" t="n">
        <v>46224</v>
      </c>
      <c r="O27" s="58" t="n">
        <v>44506</v>
      </c>
      <c r="P27" s="57" t="s">
        <v>1373</v>
      </c>
      <c r="Q27" s="57" t="s">
        <v>1317</v>
      </c>
      <c r="R27" s="57" t="s">
        <v>1318</v>
      </c>
      <c r="S27" s="57" t="n">
        <v>0.9</v>
      </c>
      <c r="T27" s="57" t="n">
        <v>3.1</v>
      </c>
      <c r="U27" s="57" t="n">
        <v>0</v>
      </c>
      <c r="V27" s="57" t="n">
        <v>0</v>
      </c>
      <c r="W27" s="57" t="n">
        <v>0</v>
      </c>
      <c r="X27" s="57" t="n">
        <v>0</v>
      </c>
      <c r="Y27" s="57" t="s">
        <v>1307</v>
      </c>
      <c r="Z27" s="57"/>
      <c r="AA27" s="57" t="s">
        <v>365</v>
      </c>
      <c r="AB27" s="57" t="s">
        <v>365</v>
      </c>
      <c r="AC27" s="57" t="str">
        <f aca="false">IFERROR(INDEX(dp_geo,MATCH(B27,dp_id,0)),"Unmatched")</f>
        <v>Remainder of County</v>
      </c>
      <c r="AD27" s="57" t="n">
        <f aca="false">IF(M27="","",YEAR(M27))</f>
        <v>2021</v>
      </c>
      <c r="AE27" s="57" t="n">
        <f aca="false">IF(O27="","",YEAR(O27))</f>
        <v>2021</v>
      </c>
      <c r="AF27" s="57" t="n">
        <f aca="false">IF(N27="","",YEAR(N27))</f>
        <v>2026</v>
      </c>
      <c r="AG27" s="57" t="n">
        <f aca="false">IF(AND(H27="Yes",OR(G27="Complete",G27="Under construction",G27="Permitted – not started",G27="Stalled")),1,0)</f>
        <v>1</v>
      </c>
      <c r="AH27" s="57" t="n">
        <f aca="false">IF(OR(G27="Under construction",G27="Permitted – not started",G27="Stalled"),1,0)</f>
        <v>1</v>
      </c>
    </row>
    <row r="28" customFormat="false" ht="15" hidden="false" customHeight="false" outlineLevel="0" collapsed="false">
      <c r="A28" s="57" t="s">
        <v>1380</v>
      </c>
      <c r="B28" s="57" t="s">
        <v>626</v>
      </c>
      <c r="C28" s="57" t="s">
        <v>1381</v>
      </c>
      <c r="D28" s="57" t="s">
        <v>1382</v>
      </c>
      <c r="E28" s="57" t="n">
        <v>4</v>
      </c>
      <c r="F28" s="57"/>
      <c r="G28" s="57" t="s">
        <v>230</v>
      </c>
      <c r="H28" s="57" t="s">
        <v>228</v>
      </c>
      <c r="I28" s="57" t="s">
        <v>1310</v>
      </c>
      <c r="J28" s="57" t="s">
        <v>304</v>
      </c>
      <c r="K28" s="57" t="s">
        <v>308</v>
      </c>
      <c r="L28" s="57" t="s">
        <v>309</v>
      </c>
      <c r="M28" s="58" t="n">
        <v>44434</v>
      </c>
      <c r="N28" s="58" t="n">
        <v>46259</v>
      </c>
      <c r="O28" s="58"/>
      <c r="P28" s="57"/>
      <c r="Q28" s="57"/>
      <c r="R28" s="57" t="s">
        <v>1322</v>
      </c>
      <c r="S28" s="57" t="n">
        <v>0</v>
      </c>
      <c r="T28" s="57" t="n">
        <v>0</v>
      </c>
      <c r="U28" s="57" t="n">
        <v>0</v>
      </c>
      <c r="V28" s="57" t="n">
        <v>0</v>
      </c>
      <c r="W28" s="57" t="n">
        <v>0</v>
      </c>
      <c r="X28" s="57" t="n">
        <v>0</v>
      </c>
      <c r="Y28" s="57" t="s">
        <v>1307</v>
      </c>
      <c r="Z28" s="57"/>
      <c r="AA28" s="57" t="s">
        <v>288</v>
      </c>
      <c r="AB28" s="57" t="s">
        <v>347</v>
      </c>
      <c r="AC28" s="57" t="str">
        <f aca="false">IFERROR(INDEX(dp_geo,MATCH(B28,dp_id,0)),"Unmatched")</f>
        <v>Rest of City</v>
      </c>
      <c r="AD28" s="57" t="n">
        <f aca="false">IF(M28="","",YEAR(M28))</f>
        <v>2021</v>
      </c>
      <c r="AE28" s="57" t="str">
        <f aca="false">IF(O28="","",YEAR(O28))</f>
        <v/>
      </c>
      <c r="AF28" s="57" t="n">
        <f aca="false">IF(N28="","",YEAR(N28))</f>
        <v>2026</v>
      </c>
      <c r="AG28" s="57" t="n">
        <f aca="false">IF(AND(H28="Yes",OR(G28="Complete",G28="Under construction",G28="Permitted – not started",G28="Stalled")),1,0)</f>
        <v>0</v>
      </c>
      <c r="AH28" s="57" t="n">
        <f aca="false">IF(OR(G28="Under construction",G28="Permitted – not started",G28="Stalled"),1,0)</f>
        <v>0</v>
      </c>
    </row>
    <row r="29" customFormat="false" ht="15" hidden="false" customHeight="false" outlineLevel="0" collapsed="false">
      <c r="A29" s="57" t="s">
        <v>1383</v>
      </c>
      <c r="B29" s="57" t="s">
        <v>1093</v>
      </c>
      <c r="C29" s="57" t="s">
        <v>1384</v>
      </c>
      <c r="D29" s="57" t="s">
        <v>1094</v>
      </c>
      <c r="E29" s="57" t="n">
        <v>2</v>
      </c>
      <c r="F29" s="57"/>
      <c r="G29" s="57" t="s">
        <v>56</v>
      </c>
      <c r="H29" s="57" t="s">
        <v>228</v>
      </c>
      <c r="I29" s="57" t="s">
        <v>1310</v>
      </c>
      <c r="J29" s="57" t="s">
        <v>304</v>
      </c>
      <c r="K29" s="57" t="s">
        <v>308</v>
      </c>
      <c r="L29" s="57" t="s">
        <v>309</v>
      </c>
      <c r="M29" s="58" t="n">
        <v>44160</v>
      </c>
      <c r="N29" s="58" t="n">
        <v>45985</v>
      </c>
      <c r="O29" s="58" t="n">
        <v>44869</v>
      </c>
      <c r="P29" s="57" t="s">
        <v>1385</v>
      </c>
      <c r="Q29" s="57" t="s">
        <v>1317</v>
      </c>
      <c r="R29" s="57" t="s">
        <v>1318</v>
      </c>
      <c r="S29" s="57" t="n">
        <v>0.5</v>
      </c>
      <c r="T29" s="57" t="n">
        <v>1.5</v>
      </c>
      <c r="U29" s="57" t="n">
        <v>0</v>
      </c>
      <c r="V29" s="57" t="n">
        <v>0</v>
      </c>
      <c r="W29" s="57" t="n">
        <v>0</v>
      </c>
      <c r="X29" s="57" t="n">
        <v>0</v>
      </c>
      <c r="Y29" s="57" t="s">
        <v>1307</v>
      </c>
      <c r="Z29" s="57"/>
      <c r="AA29" s="57" t="s">
        <v>365</v>
      </c>
      <c r="AB29" s="57" t="s">
        <v>365</v>
      </c>
      <c r="AC29" s="57" t="str">
        <f aca="false">IFERROR(INDEX(dp_geo,MATCH(B29,dp_id,0)),"Unmatched")</f>
        <v>Remainder of County</v>
      </c>
      <c r="AD29" s="57" t="n">
        <f aca="false">IF(M29="","",YEAR(M29))</f>
        <v>2020</v>
      </c>
      <c r="AE29" s="57" t="n">
        <f aca="false">IF(O29="","",YEAR(O29))</f>
        <v>2022</v>
      </c>
      <c r="AF29" s="57" t="n">
        <f aca="false">IF(N29="","",YEAR(N29))</f>
        <v>2025</v>
      </c>
      <c r="AG29" s="57" t="n">
        <f aca="false">IF(AND(H29="Yes",OR(G29="Complete",G29="Under construction",G29="Permitted – not started",G29="Stalled")),1,0)</f>
        <v>1</v>
      </c>
      <c r="AH29" s="57" t="n">
        <f aca="false">IF(OR(G29="Under construction",G29="Permitted – not started",G29="Stalled"),1,0)</f>
        <v>1</v>
      </c>
    </row>
    <row r="30" customFormat="false" ht="15" hidden="false" customHeight="false" outlineLevel="0" collapsed="false">
      <c r="A30" s="57" t="s">
        <v>1386</v>
      </c>
      <c r="B30" s="57" t="s">
        <v>782</v>
      </c>
      <c r="C30" s="57" t="s">
        <v>1387</v>
      </c>
      <c r="D30" s="57" t="s">
        <v>783</v>
      </c>
      <c r="E30" s="57" t="n">
        <v>62</v>
      </c>
      <c r="F30" s="57"/>
      <c r="G30" s="57" t="s">
        <v>208</v>
      </c>
      <c r="H30" s="57" t="s">
        <v>228</v>
      </c>
      <c r="I30" s="57" t="s">
        <v>1310</v>
      </c>
      <c r="J30" s="57" t="s">
        <v>304</v>
      </c>
      <c r="K30" s="57" t="s">
        <v>308</v>
      </c>
      <c r="L30" s="57" t="s">
        <v>309</v>
      </c>
      <c r="M30" s="58" t="n">
        <v>44322</v>
      </c>
      <c r="N30" s="58" t="n">
        <v>46147</v>
      </c>
      <c r="O30" s="58" t="n">
        <v>45078</v>
      </c>
      <c r="P30" s="57" t="s">
        <v>1388</v>
      </c>
      <c r="Q30" s="57" t="s">
        <v>1317</v>
      </c>
      <c r="R30" s="57" t="s">
        <v>1318</v>
      </c>
      <c r="S30" s="57" t="n">
        <v>0</v>
      </c>
      <c r="T30" s="57" t="n">
        <v>0</v>
      </c>
      <c r="U30" s="57" t="n">
        <v>0</v>
      </c>
      <c r="V30" s="57" t="n">
        <v>0</v>
      </c>
      <c r="W30" s="57" t="n">
        <v>0</v>
      </c>
      <c r="X30" s="57" t="n">
        <v>0</v>
      </c>
      <c r="Y30" s="57" t="s">
        <v>1337</v>
      </c>
      <c r="Z30" s="57" t="s">
        <v>1338</v>
      </c>
      <c r="AA30" s="57" t="s">
        <v>285</v>
      </c>
      <c r="AB30" s="57" t="s">
        <v>347</v>
      </c>
      <c r="AC30" s="57" t="str">
        <f aca="false">IFERROR(INDEX(dp_geo,MATCH(B30,dp_id,0)),"Unmatched")</f>
        <v>Rest of City</v>
      </c>
      <c r="AD30" s="57" t="n">
        <f aca="false">IF(M30="","",YEAR(M30))</f>
        <v>2021</v>
      </c>
      <c r="AE30" s="57" t="n">
        <f aca="false">IF(O30="","",YEAR(O30))</f>
        <v>2023</v>
      </c>
      <c r="AF30" s="57" t="n">
        <f aca="false">IF(N30="","",YEAR(N30))</f>
        <v>2026</v>
      </c>
      <c r="AG30" s="57" t="n">
        <f aca="false">IF(AND(H30="Yes",OR(G30="Complete",G30="Under construction",G30="Permitted – not started",G30="Stalled")),1,0)</f>
        <v>1</v>
      </c>
      <c r="AH30" s="57" t="n">
        <f aca="false">IF(OR(G30="Under construction",G30="Permitted – not started",G30="Stalled"),1,0)</f>
        <v>0</v>
      </c>
    </row>
    <row r="31" customFormat="false" ht="15" hidden="false" customHeight="false" outlineLevel="0" collapsed="false">
      <c r="A31" s="57" t="s">
        <v>1389</v>
      </c>
      <c r="B31" s="57" t="s">
        <v>1039</v>
      </c>
      <c r="C31" s="57" t="s">
        <v>1390</v>
      </c>
      <c r="D31" s="57" t="s">
        <v>1040</v>
      </c>
      <c r="E31" s="57" t="n">
        <v>5</v>
      </c>
      <c r="F31" s="57"/>
      <c r="G31" s="57" t="s">
        <v>56</v>
      </c>
      <c r="H31" s="57" t="s">
        <v>228</v>
      </c>
      <c r="I31" s="57" t="s">
        <v>1310</v>
      </c>
      <c r="J31" s="57" t="s">
        <v>304</v>
      </c>
      <c r="K31" s="57" t="s">
        <v>308</v>
      </c>
      <c r="L31" s="57" t="s">
        <v>309</v>
      </c>
      <c r="M31" s="58" t="n">
        <v>44333</v>
      </c>
      <c r="N31" s="58" t="n">
        <v>45428</v>
      </c>
      <c r="O31" s="58" t="n">
        <v>45554</v>
      </c>
      <c r="P31" s="57" t="s">
        <v>1391</v>
      </c>
      <c r="Q31" s="57" t="s">
        <v>1317</v>
      </c>
      <c r="R31" s="57" t="s">
        <v>1318</v>
      </c>
      <c r="S31" s="57" t="n">
        <v>1.2</v>
      </c>
      <c r="T31" s="57" t="n">
        <v>3.8</v>
      </c>
      <c r="U31" s="57" t="n">
        <v>0</v>
      </c>
      <c r="V31" s="57" t="n">
        <v>0</v>
      </c>
      <c r="W31" s="57" t="n">
        <v>0</v>
      </c>
      <c r="X31" s="57" t="n">
        <v>0</v>
      </c>
      <c r="Y31" s="57" t="s">
        <v>1307</v>
      </c>
      <c r="Z31" s="57"/>
      <c r="AA31" s="57" t="s">
        <v>355</v>
      </c>
      <c r="AB31" s="57" t="s">
        <v>356</v>
      </c>
      <c r="AC31" s="57" t="str">
        <f aca="false">IFERROR(INDEX(dp_geo,MATCH(B31,dp_id,0)),"Unmatched")</f>
        <v>Settlements</v>
      </c>
      <c r="AD31" s="57" t="n">
        <f aca="false">IF(M31="","",YEAR(M31))</f>
        <v>2021</v>
      </c>
      <c r="AE31" s="57" t="n">
        <f aca="false">IF(O31="","",YEAR(O31))</f>
        <v>2024</v>
      </c>
      <c r="AF31" s="57" t="n">
        <f aca="false">IF(N31="","",YEAR(N31))</f>
        <v>2024</v>
      </c>
      <c r="AG31" s="57" t="n">
        <f aca="false">IF(AND(H31="Yes",OR(G31="Complete",G31="Under construction",G31="Permitted – not started",G31="Stalled")),1,0)</f>
        <v>1</v>
      </c>
      <c r="AH31" s="57" t="n">
        <f aca="false">IF(OR(G31="Under construction",G31="Permitted – not started",G31="Stalled"),1,0)</f>
        <v>1</v>
      </c>
    </row>
    <row r="32" customFormat="false" ht="15" hidden="false" customHeight="false" outlineLevel="0" collapsed="false">
      <c r="A32" s="57" t="s">
        <v>1392</v>
      </c>
      <c r="B32" s="57" t="s">
        <v>1099</v>
      </c>
      <c r="C32" s="57" t="s">
        <v>1393</v>
      </c>
      <c r="D32" s="57" t="s">
        <v>1100</v>
      </c>
      <c r="E32" s="57" t="n">
        <v>0</v>
      </c>
      <c r="F32" s="57"/>
      <c r="G32" s="57" t="s">
        <v>230</v>
      </c>
      <c r="H32" s="57" t="s">
        <v>228</v>
      </c>
      <c r="I32" s="57" t="s">
        <v>1310</v>
      </c>
      <c r="J32" s="57" t="s">
        <v>305</v>
      </c>
      <c r="K32" s="57" t="s">
        <v>308</v>
      </c>
      <c r="L32" s="57" t="s">
        <v>309</v>
      </c>
      <c r="M32" s="58" t="n">
        <v>44460</v>
      </c>
      <c r="N32" s="58" t="n">
        <v>46285</v>
      </c>
      <c r="O32" s="58"/>
      <c r="P32" s="57"/>
      <c r="Q32" s="57"/>
      <c r="R32" s="57" t="s">
        <v>1322</v>
      </c>
      <c r="S32" s="57" t="n">
        <v>0</v>
      </c>
      <c r="T32" s="57" t="n">
        <v>0</v>
      </c>
      <c r="U32" s="57" t="n">
        <v>0</v>
      </c>
      <c r="V32" s="57" t="n">
        <v>0</v>
      </c>
      <c r="W32" s="57" t="n">
        <v>0</v>
      </c>
      <c r="X32" s="57" t="n">
        <v>0</v>
      </c>
      <c r="Y32" s="57" t="s">
        <v>1307</v>
      </c>
      <c r="Z32" s="57"/>
      <c r="AA32" s="57" t="s">
        <v>258</v>
      </c>
      <c r="AB32" s="57" t="s">
        <v>347</v>
      </c>
      <c r="AC32" s="57" t="str">
        <f aca="false">IFERROR(INDEX(dp_geo,MATCH(B32,dp_id,0)),"Unmatched")</f>
        <v>City Centre</v>
      </c>
      <c r="AD32" s="57" t="n">
        <f aca="false">IF(M32="","",YEAR(M32))</f>
        <v>2021</v>
      </c>
      <c r="AE32" s="57" t="str">
        <f aca="false">IF(O32="","",YEAR(O32))</f>
        <v/>
      </c>
      <c r="AF32" s="57" t="n">
        <f aca="false">IF(N32="","",YEAR(N32))</f>
        <v>2026</v>
      </c>
      <c r="AG32" s="57" t="n">
        <f aca="false">IF(AND(H32="Yes",OR(G32="Complete",G32="Under construction",G32="Permitted – not started",G32="Stalled")),1,0)</f>
        <v>0</v>
      </c>
      <c r="AH32" s="57" t="n">
        <f aca="false">IF(OR(G32="Under construction",G32="Permitted – not started",G32="Stalled"),1,0)</f>
        <v>0</v>
      </c>
    </row>
    <row r="33" customFormat="false" ht="15" hidden="false" customHeight="false" outlineLevel="0" collapsed="false">
      <c r="A33" s="57" t="s">
        <v>1394</v>
      </c>
      <c r="B33" s="57" t="s">
        <v>965</v>
      </c>
      <c r="C33" s="57" t="s">
        <v>1395</v>
      </c>
      <c r="D33" s="57" t="s">
        <v>966</v>
      </c>
      <c r="E33" s="57" t="n">
        <v>9</v>
      </c>
      <c r="F33" s="57"/>
      <c r="G33" s="57" t="s">
        <v>208</v>
      </c>
      <c r="H33" s="57" t="s">
        <v>228</v>
      </c>
      <c r="I33" s="57" t="s">
        <v>1310</v>
      </c>
      <c r="J33" s="57" t="s">
        <v>184</v>
      </c>
      <c r="K33" s="57" t="s">
        <v>312</v>
      </c>
      <c r="L33" s="57" t="s">
        <v>309</v>
      </c>
      <c r="M33" s="58" t="n">
        <v>44475</v>
      </c>
      <c r="N33" s="58" t="n">
        <v>46300</v>
      </c>
      <c r="O33" s="58" t="n">
        <v>45250</v>
      </c>
      <c r="P33" s="57"/>
      <c r="Q33" s="57"/>
      <c r="R33" s="57" t="s">
        <v>1306</v>
      </c>
      <c r="S33" s="57" t="n">
        <v>0</v>
      </c>
      <c r="T33" s="57" t="n">
        <v>0</v>
      </c>
      <c r="U33" s="57" t="n">
        <v>0</v>
      </c>
      <c r="V33" s="57" t="n">
        <v>0</v>
      </c>
      <c r="W33" s="57" t="n">
        <v>0</v>
      </c>
      <c r="X33" s="57" t="n">
        <v>0</v>
      </c>
      <c r="Y33" s="57" t="s">
        <v>1307</v>
      </c>
      <c r="Z33" s="57" t="s">
        <v>1396</v>
      </c>
      <c r="AA33" s="57" t="s">
        <v>362</v>
      </c>
      <c r="AB33" s="57" t="s">
        <v>356</v>
      </c>
      <c r="AC33" s="57" t="str">
        <f aca="false">IFERROR(INDEX(dp_geo,MATCH(B33,dp_id,0)),"Unmatched")</f>
        <v>Settlements</v>
      </c>
      <c r="AD33" s="57" t="n">
        <f aca="false">IF(M33="","",YEAR(M33))</f>
        <v>2021</v>
      </c>
      <c r="AE33" s="57" t="n">
        <f aca="false">IF(O33="","",YEAR(O33))</f>
        <v>2023</v>
      </c>
      <c r="AF33" s="57" t="n">
        <f aca="false">IF(N33="","",YEAR(N33))</f>
        <v>2026</v>
      </c>
      <c r="AG33" s="57" t="n">
        <f aca="false">IF(AND(H33="Yes",OR(G33="Complete",G33="Under construction",G33="Permitted – not started",G33="Stalled")),1,0)</f>
        <v>1</v>
      </c>
      <c r="AH33" s="57" t="n">
        <f aca="false">IF(OR(G33="Under construction",G33="Permitted – not started",G33="Stalled"),1,0)</f>
        <v>0</v>
      </c>
    </row>
    <row r="34" customFormat="false" ht="15" hidden="false" customHeight="false" outlineLevel="0" collapsed="false">
      <c r="A34" s="57" t="s">
        <v>1397</v>
      </c>
      <c r="B34" s="57" t="s">
        <v>1041</v>
      </c>
      <c r="C34" s="57" t="s">
        <v>1398</v>
      </c>
      <c r="D34" s="57" t="s">
        <v>1042</v>
      </c>
      <c r="E34" s="57" t="n">
        <v>5</v>
      </c>
      <c r="F34" s="57"/>
      <c r="G34" s="57" t="s">
        <v>208</v>
      </c>
      <c r="H34" s="57" t="s">
        <v>228</v>
      </c>
      <c r="I34" s="57" t="s">
        <v>1310</v>
      </c>
      <c r="J34" s="57" t="s">
        <v>184</v>
      </c>
      <c r="K34" s="57" t="s">
        <v>310</v>
      </c>
      <c r="L34" s="57" t="s">
        <v>309</v>
      </c>
      <c r="M34" s="58" t="n">
        <v>44698</v>
      </c>
      <c r="N34" s="58" t="n">
        <v>46523</v>
      </c>
      <c r="O34" s="58" t="n">
        <v>45128</v>
      </c>
      <c r="P34" s="57"/>
      <c r="Q34" s="57"/>
      <c r="R34" s="57" t="s">
        <v>1306</v>
      </c>
      <c r="S34" s="57" t="n">
        <v>0</v>
      </c>
      <c r="T34" s="57" t="n">
        <v>0</v>
      </c>
      <c r="U34" s="57" t="n">
        <v>0</v>
      </c>
      <c r="V34" s="57" t="n">
        <v>0</v>
      </c>
      <c r="W34" s="57" t="n">
        <v>0</v>
      </c>
      <c r="X34" s="57" t="n">
        <v>0</v>
      </c>
      <c r="Y34" s="57" t="s">
        <v>1307</v>
      </c>
      <c r="Z34" s="57"/>
      <c r="AA34" s="57" t="s">
        <v>365</v>
      </c>
      <c r="AB34" s="57" t="s">
        <v>365</v>
      </c>
      <c r="AC34" s="57" t="str">
        <f aca="false">IFERROR(INDEX(dp_geo,MATCH(B34,dp_id,0)),"Unmatched")</f>
        <v>Remainder of County</v>
      </c>
      <c r="AD34" s="57" t="n">
        <f aca="false">IF(M34="","",YEAR(M34))</f>
        <v>2022</v>
      </c>
      <c r="AE34" s="57" t="n">
        <f aca="false">IF(O34="","",YEAR(O34))</f>
        <v>2023</v>
      </c>
      <c r="AF34" s="57" t="n">
        <f aca="false">IF(N34="","",YEAR(N34))</f>
        <v>2027</v>
      </c>
      <c r="AG34" s="57" t="n">
        <f aca="false">IF(AND(H34="Yes",OR(G34="Complete",G34="Under construction",G34="Permitted – not started",G34="Stalled")),1,0)</f>
        <v>1</v>
      </c>
      <c r="AH34" s="57" t="n">
        <f aca="false">IF(OR(G34="Under construction",G34="Permitted – not started",G34="Stalled"),1,0)</f>
        <v>0</v>
      </c>
    </row>
    <row r="35" customFormat="false" ht="15" hidden="false" customHeight="false" outlineLevel="0" collapsed="false">
      <c r="A35" s="57" t="s">
        <v>1399</v>
      </c>
      <c r="B35" s="57" t="s">
        <v>1013</v>
      </c>
      <c r="C35" s="57" t="s">
        <v>1400</v>
      </c>
      <c r="D35" s="57" t="s">
        <v>1014</v>
      </c>
      <c r="E35" s="57" t="n">
        <v>6</v>
      </c>
      <c r="F35" s="57"/>
      <c r="G35" s="57" t="s">
        <v>208</v>
      </c>
      <c r="H35" s="57" t="s">
        <v>228</v>
      </c>
      <c r="I35" s="57" t="s">
        <v>1310</v>
      </c>
      <c r="J35" s="57" t="s">
        <v>304</v>
      </c>
      <c r="K35" s="57" t="s">
        <v>308</v>
      </c>
      <c r="L35" s="57" t="s">
        <v>309</v>
      </c>
      <c r="M35" s="58" t="n">
        <v>44664</v>
      </c>
      <c r="N35" s="58" t="n">
        <v>46489</v>
      </c>
      <c r="O35" s="58" t="n">
        <v>45005</v>
      </c>
      <c r="P35" s="57"/>
      <c r="Q35" s="57"/>
      <c r="R35" s="57" t="s">
        <v>1306</v>
      </c>
      <c r="S35" s="57" t="n">
        <v>0</v>
      </c>
      <c r="T35" s="57" t="n">
        <v>0</v>
      </c>
      <c r="U35" s="57" t="n">
        <v>0</v>
      </c>
      <c r="V35" s="57" t="n">
        <v>0</v>
      </c>
      <c r="W35" s="57" t="n">
        <v>0</v>
      </c>
      <c r="X35" s="57" t="n">
        <v>0</v>
      </c>
      <c r="Y35" s="57" t="s">
        <v>1307</v>
      </c>
      <c r="Z35" s="57" t="s">
        <v>1331</v>
      </c>
      <c r="AA35" s="57" t="s">
        <v>284</v>
      </c>
      <c r="AB35" s="57" t="s">
        <v>347</v>
      </c>
      <c r="AC35" s="57" t="str">
        <f aca="false">IFERROR(INDEX(dp_geo,MATCH(B35,dp_id,0)),"Unmatched")</f>
        <v>Rest of City</v>
      </c>
      <c r="AD35" s="57" t="n">
        <f aca="false">IF(M35="","",YEAR(M35))</f>
        <v>2022</v>
      </c>
      <c r="AE35" s="57" t="n">
        <f aca="false">IF(O35="","",YEAR(O35))</f>
        <v>2023</v>
      </c>
      <c r="AF35" s="57" t="n">
        <f aca="false">IF(N35="","",YEAR(N35))</f>
        <v>2027</v>
      </c>
      <c r="AG35" s="57" t="n">
        <f aca="false">IF(AND(H35="Yes",OR(G35="Complete",G35="Under construction",G35="Permitted – not started",G35="Stalled")),1,0)</f>
        <v>1</v>
      </c>
      <c r="AH35" s="57" t="n">
        <f aca="false">IF(OR(G35="Under construction",G35="Permitted – not started",G35="Stalled"),1,0)</f>
        <v>0</v>
      </c>
    </row>
    <row r="36" customFormat="false" ht="15" hidden="false" customHeight="false" outlineLevel="0" collapsed="false">
      <c r="A36" s="57" t="s">
        <v>1401</v>
      </c>
      <c r="B36" s="57" t="s">
        <v>612</v>
      </c>
      <c r="C36" s="57" t="s">
        <v>1402</v>
      </c>
      <c r="D36" s="57" t="s">
        <v>1403</v>
      </c>
      <c r="E36" s="57" t="n">
        <v>26</v>
      </c>
      <c r="F36" s="57"/>
      <c r="G36" s="57" t="s">
        <v>56</v>
      </c>
      <c r="H36" s="57" t="s">
        <v>228</v>
      </c>
      <c r="I36" s="57" t="s">
        <v>1310</v>
      </c>
      <c r="J36" s="57" t="s">
        <v>304</v>
      </c>
      <c r="K36" s="57" t="s">
        <v>308</v>
      </c>
      <c r="L36" s="57" t="s">
        <v>309</v>
      </c>
      <c r="M36" s="58" t="n">
        <v>45264</v>
      </c>
      <c r="N36" s="58" t="n">
        <v>47090</v>
      </c>
      <c r="O36" s="58" t="n">
        <v>45490</v>
      </c>
      <c r="P36" s="57" t="s">
        <v>1391</v>
      </c>
      <c r="Q36" s="57" t="s">
        <v>1317</v>
      </c>
      <c r="R36" s="57" t="s">
        <v>1318</v>
      </c>
      <c r="S36" s="57" t="n">
        <v>6.1</v>
      </c>
      <c r="T36" s="57" t="n">
        <v>19.9</v>
      </c>
      <c r="U36" s="57" t="n">
        <v>0</v>
      </c>
      <c r="V36" s="57" t="n">
        <v>0</v>
      </c>
      <c r="W36" s="57" t="n">
        <v>0</v>
      </c>
      <c r="X36" s="57" t="n">
        <v>0</v>
      </c>
      <c r="Y36" s="57" t="s">
        <v>1307</v>
      </c>
      <c r="Z36" s="57"/>
      <c r="AA36" s="57" t="s">
        <v>289</v>
      </c>
      <c r="AB36" s="57" t="s">
        <v>347</v>
      </c>
      <c r="AC36" s="57" t="str">
        <f aca="false">IFERROR(INDEX(dp_geo,MATCH(B36,dp_id,0)),"Unmatched")</f>
        <v>Rest of City</v>
      </c>
      <c r="AD36" s="57" t="n">
        <f aca="false">IF(M36="","",YEAR(M36))</f>
        <v>2023</v>
      </c>
      <c r="AE36" s="57" t="n">
        <f aca="false">IF(O36="","",YEAR(O36))</f>
        <v>2024</v>
      </c>
      <c r="AF36" s="57" t="n">
        <f aca="false">IF(N36="","",YEAR(N36))</f>
        <v>2028</v>
      </c>
      <c r="AG36" s="57" t="n">
        <f aca="false">IF(AND(H36="Yes",OR(G36="Complete",G36="Under construction",G36="Permitted – not started",G36="Stalled")),1,0)</f>
        <v>1</v>
      </c>
      <c r="AH36" s="57" t="n">
        <f aca="false">IF(OR(G36="Under construction",G36="Permitted – not started",G36="Stalled"),1,0)</f>
        <v>1</v>
      </c>
    </row>
    <row r="37" customFormat="false" ht="15" hidden="false" customHeight="false" outlineLevel="0" collapsed="false">
      <c r="A37" s="57" t="s">
        <v>1404</v>
      </c>
      <c r="B37" s="57" t="s">
        <v>635</v>
      </c>
      <c r="C37" s="57" t="s">
        <v>1405</v>
      </c>
      <c r="D37" s="57" t="s">
        <v>1406</v>
      </c>
      <c r="E37" s="57" t="n">
        <v>137</v>
      </c>
      <c r="F37" s="57"/>
      <c r="G37" s="57" t="s">
        <v>230</v>
      </c>
      <c r="H37" s="57" t="s">
        <v>228</v>
      </c>
      <c r="I37" s="57" t="s">
        <v>1310</v>
      </c>
      <c r="J37" s="57" t="s">
        <v>304</v>
      </c>
      <c r="K37" s="57" t="s">
        <v>308</v>
      </c>
      <c r="L37" s="57" t="s">
        <v>315</v>
      </c>
      <c r="M37" s="58" t="n">
        <v>44413</v>
      </c>
      <c r="N37" s="58" t="n">
        <v>46238</v>
      </c>
      <c r="O37" s="58"/>
      <c r="P37" s="57"/>
      <c r="Q37" s="57"/>
      <c r="R37" s="57" t="s">
        <v>1322</v>
      </c>
      <c r="S37" s="57" t="n">
        <v>0</v>
      </c>
      <c r="T37" s="57" t="n">
        <v>0</v>
      </c>
      <c r="U37" s="57" t="n">
        <v>0</v>
      </c>
      <c r="V37" s="57" t="n">
        <v>0</v>
      </c>
      <c r="W37" s="57" t="n">
        <v>0</v>
      </c>
      <c r="X37" s="57" t="n">
        <v>0</v>
      </c>
      <c r="Y37" s="57" t="s">
        <v>1307</v>
      </c>
      <c r="Z37" s="57"/>
      <c r="AA37" s="57" t="s">
        <v>285</v>
      </c>
      <c r="AB37" s="57" t="s">
        <v>347</v>
      </c>
      <c r="AC37" s="57" t="str">
        <f aca="false">IFERROR(INDEX(dp_geo,MATCH(B37,dp_id,0)),"Unmatched")</f>
        <v>Rest of City</v>
      </c>
      <c r="AD37" s="57" t="n">
        <f aca="false">IF(M37="","",YEAR(M37))</f>
        <v>2021</v>
      </c>
      <c r="AE37" s="57" t="str">
        <f aca="false">IF(O37="","",YEAR(O37))</f>
        <v/>
      </c>
      <c r="AF37" s="57" t="n">
        <f aca="false">IF(N37="","",YEAR(N37))</f>
        <v>2026</v>
      </c>
      <c r="AG37" s="57" t="n">
        <f aca="false">IF(AND(H37="Yes",OR(G37="Complete",G37="Under construction",G37="Permitted – not started",G37="Stalled")),1,0)</f>
        <v>0</v>
      </c>
      <c r="AH37" s="57" t="n">
        <f aca="false">IF(OR(G37="Under construction",G37="Permitted – not started",G37="Stalled"),1,0)</f>
        <v>0</v>
      </c>
    </row>
    <row r="38" customFormat="false" ht="15" hidden="false" customHeight="false" outlineLevel="0" collapsed="false">
      <c r="A38" s="57" t="s">
        <v>1407</v>
      </c>
      <c r="B38" s="57" t="s">
        <v>967</v>
      </c>
      <c r="C38" s="57" t="s">
        <v>1408</v>
      </c>
      <c r="D38" s="57" t="s">
        <v>968</v>
      </c>
      <c r="E38" s="57" t="n">
        <v>9</v>
      </c>
      <c r="F38" s="57"/>
      <c r="G38" s="57" t="s">
        <v>208</v>
      </c>
      <c r="H38" s="57" t="s">
        <v>228</v>
      </c>
      <c r="I38" s="57" t="s">
        <v>1310</v>
      </c>
      <c r="J38" s="57" t="s">
        <v>304</v>
      </c>
      <c r="K38" s="57" t="s">
        <v>308</v>
      </c>
      <c r="L38" s="57" t="s">
        <v>309</v>
      </c>
      <c r="M38" s="58" t="n">
        <v>44615</v>
      </c>
      <c r="N38" s="58" t="n">
        <v>46440</v>
      </c>
      <c r="O38" s="58" t="n">
        <v>45393</v>
      </c>
      <c r="P38" s="57"/>
      <c r="Q38" s="57"/>
      <c r="R38" s="57" t="s">
        <v>1306</v>
      </c>
      <c r="S38" s="57" t="n">
        <v>0</v>
      </c>
      <c r="T38" s="57" t="n">
        <v>0</v>
      </c>
      <c r="U38" s="57" t="n">
        <v>0</v>
      </c>
      <c r="V38" s="57" t="n">
        <v>0</v>
      </c>
      <c r="W38" s="57" t="n">
        <v>0</v>
      </c>
      <c r="X38" s="57" t="n">
        <v>0</v>
      </c>
      <c r="Y38" s="57" t="s">
        <v>1307</v>
      </c>
      <c r="Z38" s="57" t="s">
        <v>1331</v>
      </c>
      <c r="AA38" s="57" t="s">
        <v>354</v>
      </c>
      <c r="AB38" s="57" t="s">
        <v>349</v>
      </c>
      <c r="AC38" s="57" t="str">
        <f aca="false">IFERROR(INDEX(dp_geo,MATCH(B38,dp_id,0)),"Unmatched")</f>
        <v>Settlements</v>
      </c>
      <c r="AD38" s="57" t="n">
        <f aca="false">IF(M38="","",YEAR(M38))</f>
        <v>2022</v>
      </c>
      <c r="AE38" s="57" t="n">
        <f aca="false">IF(O38="","",YEAR(O38))</f>
        <v>2024</v>
      </c>
      <c r="AF38" s="57" t="n">
        <f aca="false">IF(N38="","",YEAR(N38))</f>
        <v>2027</v>
      </c>
      <c r="AG38" s="57" t="n">
        <f aca="false">IF(AND(H38="Yes",OR(G38="Complete",G38="Under construction",G38="Permitted – not started",G38="Stalled")),1,0)</f>
        <v>1</v>
      </c>
      <c r="AH38" s="57" t="n">
        <f aca="false">IF(OR(G38="Under construction",G38="Permitted – not started",G38="Stalled"),1,0)</f>
        <v>0</v>
      </c>
    </row>
    <row r="39" customFormat="false" ht="15" hidden="false" customHeight="false" outlineLevel="0" collapsed="false">
      <c r="A39" s="57" t="s">
        <v>1409</v>
      </c>
      <c r="B39" s="57" t="s">
        <v>909</v>
      </c>
      <c r="C39" s="57" t="s">
        <v>1410</v>
      </c>
      <c r="D39" s="57" t="s">
        <v>910</v>
      </c>
      <c r="E39" s="57" t="n">
        <v>14</v>
      </c>
      <c r="F39" s="57"/>
      <c r="G39" s="57" t="s">
        <v>56</v>
      </c>
      <c r="H39" s="57" t="s">
        <v>228</v>
      </c>
      <c r="I39" s="57" t="s">
        <v>1310</v>
      </c>
      <c r="J39" s="57" t="s">
        <v>184</v>
      </c>
      <c r="K39" s="57" t="s">
        <v>310</v>
      </c>
      <c r="L39" s="57" t="s">
        <v>309</v>
      </c>
      <c r="M39" s="58" t="n">
        <v>44820</v>
      </c>
      <c r="N39" s="58" t="n">
        <v>46645</v>
      </c>
      <c r="O39" s="58" t="n">
        <v>45404</v>
      </c>
      <c r="P39" s="57" t="s">
        <v>1364</v>
      </c>
      <c r="Q39" s="57" t="s">
        <v>1317</v>
      </c>
      <c r="R39" s="57" t="s">
        <v>1318</v>
      </c>
      <c r="S39" s="57" t="n">
        <v>3.3</v>
      </c>
      <c r="T39" s="57" t="n">
        <v>10.7</v>
      </c>
      <c r="U39" s="57" t="n">
        <v>0</v>
      </c>
      <c r="V39" s="57" t="n">
        <v>0</v>
      </c>
      <c r="W39" s="57" t="n">
        <v>0</v>
      </c>
      <c r="X39" s="57" t="n">
        <v>0</v>
      </c>
      <c r="Y39" s="57" t="s">
        <v>1307</v>
      </c>
      <c r="Z39" s="57"/>
      <c r="AA39" s="57" t="s">
        <v>362</v>
      </c>
      <c r="AB39" s="57" t="s">
        <v>356</v>
      </c>
      <c r="AC39" s="57" t="str">
        <f aca="false">IFERROR(INDEX(dp_geo,MATCH(B39,dp_id,0)),"Unmatched")</f>
        <v>Settlements</v>
      </c>
      <c r="AD39" s="57" t="n">
        <f aca="false">IF(M39="","",YEAR(M39))</f>
        <v>2022</v>
      </c>
      <c r="AE39" s="57" t="n">
        <f aca="false">IF(O39="","",YEAR(O39))</f>
        <v>2024</v>
      </c>
      <c r="AF39" s="57" t="n">
        <f aca="false">IF(N39="","",YEAR(N39))</f>
        <v>2027</v>
      </c>
      <c r="AG39" s="57" t="n">
        <f aca="false">IF(AND(H39="Yes",OR(G39="Complete",G39="Under construction",G39="Permitted – not started",G39="Stalled")),1,0)</f>
        <v>1</v>
      </c>
      <c r="AH39" s="57" t="n">
        <f aca="false">IF(OR(G39="Under construction",G39="Permitted – not started",G39="Stalled"),1,0)</f>
        <v>1</v>
      </c>
    </row>
    <row r="40" customFormat="false" ht="15" hidden="false" customHeight="false" outlineLevel="0" collapsed="false">
      <c r="A40" s="57" t="s">
        <v>1411</v>
      </c>
      <c r="B40" s="57" t="s">
        <v>899</v>
      </c>
      <c r="C40" s="57" t="s">
        <v>1412</v>
      </c>
      <c r="D40" s="57" t="s">
        <v>900</v>
      </c>
      <c r="E40" s="57" t="n">
        <v>15</v>
      </c>
      <c r="F40" s="57"/>
      <c r="G40" s="57" t="s">
        <v>208</v>
      </c>
      <c r="H40" s="57" t="s">
        <v>228</v>
      </c>
      <c r="I40" s="57" t="s">
        <v>1310</v>
      </c>
      <c r="J40" s="57" t="s">
        <v>184</v>
      </c>
      <c r="K40" s="57" t="s">
        <v>312</v>
      </c>
      <c r="L40" s="57" t="s">
        <v>309</v>
      </c>
      <c r="M40" s="58" t="n">
        <v>45194</v>
      </c>
      <c r="N40" s="58" t="n">
        <v>47020</v>
      </c>
      <c r="O40" s="58" t="n">
        <v>45343</v>
      </c>
      <c r="P40" s="57"/>
      <c r="Q40" s="57"/>
      <c r="R40" s="57" t="s">
        <v>1306</v>
      </c>
      <c r="S40" s="57" t="n">
        <v>0</v>
      </c>
      <c r="T40" s="57" t="n">
        <v>0</v>
      </c>
      <c r="U40" s="57" t="n">
        <v>0</v>
      </c>
      <c r="V40" s="57" t="n">
        <v>0</v>
      </c>
      <c r="W40" s="57" t="n">
        <v>0</v>
      </c>
      <c r="X40" s="57" t="n">
        <v>0</v>
      </c>
      <c r="Y40" s="57" t="s">
        <v>1307</v>
      </c>
      <c r="Z40" s="57"/>
      <c r="AA40" s="57" t="s">
        <v>288</v>
      </c>
      <c r="AB40" s="57" t="s">
        <v>347</v>
      </c>
      <c r="AC40" s="57" t="str">
        <f aca="false">IFERROR(INDEX(dp_geo,MATCH(B40,dp_id,0)),"Unmatched")</f>
        <v>Rest of City</v>
      </c>
      <c r="AD40" s="57" t="n">
        <f aca="false">IF(M40="","",YEAR(M40))</f>
        <v>2023</v>
      </c>
      <c r="AE40" s="57" t="n">
        <f aca="false">IF(O40="","",YEAR(O40))</f>
        <v>2024</v>
      </c>
      <c r="AF40" s="57" t="n">
        <f aca="false">IF(N40="","",YEAR(N40))</f>
        <v>2028</v>
      </c>
      <c r="AG40" s="57" t="n">
        <f aca="false">IF(AND(H40="Yes",OR(G40="Complete",G40="Under construction",G40="Permitted – not started",G40="Stalled")),1,0)</f>
        <v>1</v>
      </c>
      <c r="AH40" s="57" t="n">
        <f aca="false">IF(OR(G40="Under construction",G40="Permitted – not started",G40="Stalled"),1,0)</f>
        <v>0</v>
      </c>
    </row>
    <row r="41" customFormat="false" ht="15" hidden="false" customHeight="false" outlineLevel="0" collapsed="false">
      <c r="A41" s="57" t="s">
        <v>1413</v>
      </c>
      <c r="B41" s="57" t="s">
        <v>1015</v>
      </c>
      <c r="C41" s="57" t="s">
        <v>1414</v>
      </c>
      <c r="D41" s="57" t="s">
        <v>1016</v>
      </c>
      <c r="E41" s="57" t="n">
        <v>6</v>
      </c>
      <c r="F41" s="57"/>
      <c r="G41" s="57" t="s">
        <v>56</v>
      </c>
      <c r="H41" s="57" t="s">
        <v>228</v>
      </c>
      <c r="I41" s="57" t="s">
        <v>1310</v>
      </c>
      <c r="J41" s="57" t="s">
        <v>304</v>
      </c>
      <c r="K41" s="57" t="s">
        <v>308</v>
      </c>
      <c r="L41" s="57" t="s">
        <v>309</v>
      </c>
      <c r="M41" s="58" t="n">
        <v>44733</v>
      </c>
      <c r="N41" s="58" t="n">
        <v>46558</v>
      </c>
      <c r="O41" s="58" t="n">
        <v>46066</v>
      </c>
      <c r="P41" s="57" t="s">
        <v>1415</v>
      </c>
      <c r="Q41" s="57" t="s">
        <v>1317</v>
      </c>
      <c r="R41" s="57" t="s">
        <v>1318</v>
      </c>
      <c r="S41" s="57" t="n">
        <v>0.2</v>
      </c>
      <c r="T41" s="57" t="n">
        <v>5.8</v>
      </c>
      <c r="U41" s="57" t="n">
        <v>0</v>
      </c>
      <c r="V41" s="57" t="n">
        <v>0</v>
      </c>
      <c r="W41" s="57" t="n">
        <v>0</v>
      </c>
      <c r="X41" s="57" t="n">
        <v>0</v>
      </c>
      <c r="Y41" s="57" t="s">
        <v>1307</v>
      </c>
      <c r="Z41" s="57"/>
      <c r="AA41" s="57" t="s">
        <v>288</v>
      </c>
      <c r="AB41" s="57" t="s">
        <v>347</v>
      </c>
      <c r="AC41" s="57" t="str">
        <f aca="false">IFERROR(INDEX(dp_geo,MATCH(B41,dp_id,0)),"Unmatched")</f>
        <v>Rest of City</v>
      </c>
      <c r="AD41" s="57" t="n">
        <f aca="false">IF(M41="","",YEAR(M41))</f>
        <v>2022</v>
      </c>
      <c r="AE41" s="57" t="n">
        <f aca="false">IF(O41="","",YEAR(O41))</f>
        <v>2026</v>
      </c>
      <c r="AF41" s="57" t="n">
        <f aca="false">IF(N41="","",YEAR(N41))</f>
        <v>2027</v>
      </c>
      <c r="AG41" s="57" t="n">
        <f aca="false">IF(AND(H41="Yes",OR(G41="Complete",G41="Under construction",G41="Permitted – not started",G41="Stalled")),1,0)</f>
        <v>1</v>
      </c>
      <c r="AH41" s="57" t="n">
        <f aca="false">IF(OR(G41="Under construction",G41="Permitted – not started",G41="Stalled"),1,0)</f>
        <v>1</v>
      </c>
    </row>
    <row r="42" customFormat="false" ht="15" hidden="false" customHeight="false" outlineLevel="0" collapsed="false">
      <c r="A42" s="57" t="s">
        <v>1416</v>
      </c>
      <c r="B42" s="57" t="s">
        <v>334</v>
      </c>
      <c r="C42" s="57" t="s">
        <v>1417</v>
      </c>
      <c r="D42" s="57" t="s">
        <v>1418</v>
      </c>
      <c r="E42" s="57" t="n">
        <v>371</v>
      </c>
      <c r="F42" s="57"/>
      <c r="G42" s="57" t="s">
        <v>56</v>
      </c>
      <c r="H42" s="57" t="s">
        <v>228</v>
      </c>
      <c r="I42" s="57" t="s">
        <v>1310</v>
      </c>
      <c r="J42" s="57" t="s">
        <v>304</v>
      </c>
      <c r="K42" s="57" t="s">
        <v>308</v>
      </c>
      <c r="L42" s="57" t="s">
        <v>315</v>
      </c>
      <c r="M42" s="58" t="n">
        <v>44650</v>
      </c>
      <c r="N42" s="58" t="n">
        <v>46475</v>
      </c>
      <c r="O42" s="58" t="n">
        <v>45138</v>
      </c>
      <c r="P42" s="57" t="s">
        <v>1359</v>
      </c>
      <c r="Q42" s="57" t="s">
        <v>1419</v>
      </c>
      <c r="R42" s="57" t="s">
        <v>1318</v>
      </c>
      <c r="S42" s="57" t="n">
        <v>20.6</v>
      </c>
      <c r="T42" s="57" t="n">
        <v>88.5</v>
      </c>
      <c r="U42" s="57" t="n">
        <v>88.5</v>
      </c>
      <c r="V42" s="57" t="n">
        <v>88.5</v>
      </c>
      <c r="W42" s="57" t="n">
        <v>84.9</v>
      </c>
      <c r="X42" s="57" t="n">
        <v>0</v>
      </c>
      <c r="Y42" s="57" t="s">
        <v>1307</v>
      </c>
      <c r="Z42" s="57"/>
      <c r="AA42" s="57" t="s">
        <v>290</v>
      </c>
      <c r="AB42" s="57" t="s">
        <v>347</v>
      </c>
      <c r="AC42" s="57" t="str">
        <f aca="false">IFERROR(INDEX(dp_geo,MATCH(B42,dp_id,0)),"Unmatched")</f>
        <v>Rest of City</v>
      </c>
      <c r="AD42" s="57" t="n">
        <f aca="false">IF(M42="","",YEAR(M42))</f>
        <v>2022</v>
      </c>
      <c r="AE42" s="57" t="n">
        <f aca="false">IF(O42="","",YEAR(O42))</f>
        <v>2023</v>
      </c>
      <c r="AF42" s="57" t="n">
        <f aca="false">IF(N42="","",YEAR(N42))</f>
        <v>2027</v>
      </c>
      <c r="AG42" s="57" t="n">
        <f aca="false">IF(AND(H42="Yes",OR(G42="Complete",G42="Under construction",G42="Permitted – not started",G42="Stalled")),1,0)</f>
        <v>1</v>
      </c>
      <c r="AH42" s="57" t="n">
        <f aca="false">IF(OR(G42="Under construction",G42="Permitted – not started",G42="Stalled"),1,0)</f>
        <v>1</v>
      </c>
    </row>
    <row r="43" customFormat="false" ht="15" hidden="false" customHeight="false" outlineLevel="0" collapsed="false">
      <c r="A43" s="57" t="s">
        <v>1420</v>
      </c>
      <c r="B43" s="57" t="s">
        <v>911</v>
      </c>
      <c r="C43" s="57" t="s">
        <v>1421</v>
      </c>
      <c r="D43" s="57" t="s">
        <v>912</v>
      </c>
      <c r="E43" s="57" t="n">
        <v>14</v>
      </c>
      <c r="F43" s="57"/>
      <c r="G43" s="57" t="s">
        <v>58</v>
      </c>
      <c r="H43" s="57" t="s">
        <v>228</v>
      </c>
      <c r="I43" s="57" t="s">
        <v>1310</v>
      </c>
      <c r="J43" s="57" t="s">
        <v>304</v>
      </c>
      <c r="K43" s="57" t="s">
        <v>308</v>
      </c>
      <c r="L43" s="57" t="s">
        <v>309</v>
      </c>
      <c r="M43" s="58" t="n">
        <v>44825</v>
      </c>
      <c r="N43" s="58" t="n">
        <v>46650</v>
      </c>
      <c r="O43" s="58"/>
      <c r="P43" s="57" t="s">
        <v>1311</v>
      </c>
      <c r="Q43" s="57" t="s">
        <v>1312</v>
      </c>
      <c r="R43" s="57" t="s">
        <v>1313</v>
      </c>
      <c r="S43" s="57" t="n">
        <v>0</v>
      </c>
      <c r="T43" s="57" t="n">
        <v>0</v>
      </c>
      <c r="U43" s="57" t="n">
        <v>8.2</v>
      </c>
      <c r="V43" s="57" t="n">
        <v>5.8</v>
      </c>
      <c r="W43" s="57" t="n">
        <v>0</v>
      </c>
      <c r="X43" s="57" t="n">
        <v>0</v>
      </c>
      <c r="Y43" s="57" t="s">
        <v>1307</v>
      </c>
      <c r="Z43" s="57"/>
      <c r="AA43" s="57" t="s">
        <v>258</v>
      </c>
      <c r="AB43" s="57" t="s">
        <v>347</v>
      </c>
      <c r="AC43" s="57" t="str">
        <f aca="false">IFERROR(INDEX(dp_geo,MATCH(B43,dp_id,0)),"Unmatched")</f>
        <v>City Centre</v>
      </c>
      <c r="AD43" s="57" t="n">
        <f aca="false">IF(M43="","",YEAR(M43))</f>
        <v>2022</v>
      </c>
      <c r="AE43" s="57" t="str">
        <f aca="false">IF(O43="","",YEAR(O43))</f>
        <v/>
      </c>
      <c r="AF43" s="57" t="n">
        <f aca="false">IF(N43="","",YEAR(N43))</f>
        <v>2027</v>
      </c>
      <c r="AG43" s="57" t="n">
        <f aca="false">IF(AND(H43="Yes",OR(G43="Complete",G43="Under construction",G43="Permitted – not started",G43="Stalled")),1,0)</f>
        <v>1</v>
      </c>
      <c r="AH43" s="57" t="n">
        <f aca="false">IF(OR(G43="Under construction",G43="Permitted – not started",G43="Stalled"),1,0)</f>
        <v>1</v>
      </c>
    </row>
    <row r="44" customFormat="false" ht="15" hidden="false" customHeight="false" outlineLevel="0" collapsed="false">
      <c r="A44" s="57" t="s">
        <v>1422</v>
      </c>
      <c r="B44" s="57" t="s">
        <v>810</v>
      </c>
      <c r="C44" s="57" t="s">
        <v>1423</v>
      </c>
      <c r="D44" s="57" t="s">
        <v>1424</v>
      </c>
      <c r="E44" s="57" t="n">
        <v>18</v>
      </c>
      <c r="F44" s="57"/>
      <c r="G44" s="57" t="s">
        <v>58</v>
      </c>
      <c r="H44" s="57" t="s">
        <v>228</v>
      </c>
      <c r="I44" s="57" t="s">
        <v>1310</v>
      </c>
      <c r="J44" s="57" t="s">
        <v>184</v>
      </c>
      <c r="K44" s="57" t="s">
        <v>310</v>
      </c>
      <c r="L44" s="57" t="s">
        <v>313</v>
      </c>
      <c r="M44" s="58" t="n">
        <v>44614</v>
      </c>
      <c r="N44" s="58"/>
      <c r="O44" s="58"/>
      <c r="P44" s="57" t="s">
        <v>1311</v>
      </c>
      <c r="Q44" s="57" t="s">
        <v>1425</v>
      </c>
      <c r="R44" s="57" t="s">
        <v>1313</v>
      </c>
      <c r="S44" s="57" t="n">
        <v>0</v>
      </c>
      <c r="T44" s="57" t="n">
        <v>0</v>
      </c>
      <c r="U44" s="57" t="n">
        <v>7.5</v>
      </c>
      <c r="V44" s="57" t="n">
        <v>10.5</v>
      </c>
      <c r="W44" s="57" t="n">
        <v>0</v>
      </c>
      <c r="X44" s="57" t="n">
        <v>0</v>
      </c>
      <c r="Y44" s="57" t="s">
        <v>1307</v>
      </c>
      <c r="Z44" s="57" t="s">
        <v>1323</v>
      </c>
      <c r="AA44" s="57" t="s">
        <v>365</v>
      </c>
      <c r="AB44" s="57" t="s">
        <v>365</v>
      </c>
      <c r="AC44" s="57" t="str">
        <f aca="false">IFERROR(INDEX(dp_geo,MATCH(B44,dp_id,0)),"Unmatched")</f>
        <v>Remainder of County</v>
      </c>
      <c r="AD44" s="57" t="n">
        <f aca="false">IF(M44="","",YEAR(M44))</f>
        <v>2022</v>
      </c>
      <c r="AE44" s="57" t="str">
        <f aca="false">IF(O44="","",YEAR(O44))</f>
        <v/>
      </c>
      <c r="AF44" s="57" t="str">
        <f aca="false">IF(N44="","",YEAR(N44))</f>
        <v/>
      </c>
      <c r="AG44" s="57" t="n">
        <f aca="false">IF(AND(H44="Yes",OR(G44="Complete",G44="Under construction",G44="Permitted – not started",G44="Stalled")),1,0)</f>
        <v>1</v>
      </c>
      <c r="AH44" s="57" t="n">
        <f aca="false">IF(OR(G44="Under construction",G44="Permitted – not started",G44="Stalled"),1,0)</f>
        <v>1</v>
      </c>
    </row>
    <row r="45" customFormat="false" ht="15" hidden="false" customHeight="false" outlineLevel="0" collapsed="false">
      <c r="A45" s="57" t="s">
        <v>1426</v>
      </c>
      <c r="B45" s="57" t="s">
        <v>655</v>
      </c>
      <c r="C45" s="57" t="s">
        <v>1427</v>
      </c>
      <c r="D45" s="57" t="s">
        <v>1428</v>
      </c>
      <c r="E45" s="57" t="n">
        <v>30</v>
      </c>
      <c r="F45" s="57"/>
      <c r="G45" s="57" t="s">
        <v>56</v>
      </c>
      <c r="H45" s="57" t="s">
        <v>228</v>
      </c>
      <c r="I45" s="57" t="s">
        <v>1310</v>
      </c>
      <c r="J45" s="57" t="s">
        <v>184</v>
      </c>
      <c r="K45" s="57" t="s">
        <v>312</v>
      </c>
      <c r="L45" s="57" t="s">
        <v>309</v>
      </c>
      <c r="M45" s="58" t="n">
        <v>44628</v>
      </c>
      <c r="N45" s="58" t="n">
        <v>46453</v>
      </c>
      <c r="O45" s="58" t="n">
        <v>45484</v>
      </c>
      <c r="P45" s="57" t="s">
        <v>1391</v>
      </c>
      <c r="Q45" s="57" t="s">
        <v>1317</v>
      </c>
      <c r="R45" s="57" t="s">
        <v>1318</v>
      </c>
      <c r="S45" s="57" t="n">
        <v>7</v>
      </c>
      <c r="T45" s="57" t="n">
        <v>23</v>
      </c>
      <c r="U45" s="57" t="n">
        <v>0</v>
      </c>
      <c r="V45" s="57" t="n">
        <v>0</v>
      </c>
      <c r="W45" s="57" t="n">
        <v>0</v>
      </c>
      <c r="X45" s="57" t="n">
        <v>0</v>
      </c>
      <c r="Y45" s="57" t="s">
        <v>1307</v>
      </c>
      <c r="Z45" s="57"/>
      <c r="AA45" s="57" t="s">
        <v>288</v>
      </c>
      <c r="AB45" s="57" t="s">
        <v>347</v>
      </c>
      <c r="AC45" s="57" t="str">
        <f aca="false">IFERROR(INDEX(dp_geo,MATCH(B45,dp_id,0)),"Unmatched")</f>
        <v>Rest of City</v>
      </c>
      <c r="AD45" s="57" t="n">
        <f aca="false">IF(M45="","",YEAR(M45))</f>
        <v>2022</v>
      </c>
      <c r="AE45" s="57" t="n">
        <f aca="false">IF(O45="","",YEAR(O45))</f>
        <v>2024</v>
      </c>
      <c r="AF45" s="57" t="n">
        <f aca="false">IF(N45="","",YEAR(N45))</f>
        <v>2027</v>
      </c>
      <c r="AG45" s="57" t="n">
        <f aca="false">IF(AND(H45="Yes",OR(G45="Complete",G45="Under construction",G45="Permitted – not started",G45="Stalled")),1,0)</f>
        <v>1</v>
      </c>
      <c r="AH45" s="57" t="n">
        <f aca="false">IF(OR(G45="Under construction",G45="Permitted – not started",G45="Stalled"),1,0)</f>
        <v>1</v>
      </c>
    </row>
    <row r="46" customFormat="false" ht="15" hidden="false" customHeight="false" outlineLevel="0" collapsed="false">
      <c r="A46" s="57" t="s">
        <v>1429</v>
      </c>
      <c r="B46" s="57" t="s">
        <v>953</v>
      </c>
      <c r="C46" s="57" t="s">
        <v>1430</v>
      </c>
      <c r="D46" s="57" t="s">
        <v>954</v>
      </c>
      <c r="E46" s="57" t="n">
        <v>10</v>
      </c>
      <c r="F46" s="57"/>
      <c r="G46" s="57" t="s">
        <v>208</v>
      </c>
      <c r="H46" s="57" t="s">
        <v>228</v>
      </c>
      <c r="I46" s="57" t="s">
        <v>1310</v>
      </c>
      <c r="J46" s="57" t="s">
        <v>184</v>
      </c>
      <c r="K46" s="57" t="s">
        <v>310</v>
      </c>
      <c r="L46" s="57" t="s">
        <v>313</v>
      </c>
      <c r="M46" s="58" t="n">
        <v>44629</v>
      </c>
      <c r="N46" s="58"/>
      <c r="O46" s="58" t="n">
        <v>45370</v>
      </c>
      <c r="P46" s="57"/>
      <c r="Q46" s="57"/>
      <c r="R46" s="57" t="s">
        <v>1306</v>
      </c>
      <c r="S46" s="57" t="n">
        <v>0</v>
      </c>
      <c r="T46" s="57" t="n">
        <v>0</v>
      </c>
      <c r="U46" s="57" t="n">
        <v>0</v>
      </c>
      <c r="V46" s="57" t="n">
        <v>0</v>
      </c>
      <c r="W46" s="57" t="n">
        <v>0</v>
      </c>
      <c r="X46" s="57" t="n">
        <v>0</v>
      </c>
      <c r="Y46" s="57" t="s">
        <v>1307</v>
      </c>
      <c r="Z46" s="57"/>
      <c r="AA46" s="57" t="s">
        <v>362</v>
      </c>
      <c r="AB46" s="57" t="s">
        <v>356</v>
      </c>
      <c r="AC46" s="57" t="str">
        <f aca="false">IFERROR(INDEX(dp_geo,MATCH(B46,dp_id,0)),"Unmatched")</f>
        <v>Settlements</v>
      </c>
      <c r="AD46" s="57" t="n">
        <f aca="false">IF(M46="","",YEAR(M46))</f>
        <v>2022</v>
      </c>
      <c r="AE46" s="57" t="n">
        <f aca="false">IF(O46="","",YEAR(O46))</f>
        <v>2024</v>
      </c>
      <c r="AF46" s="57" t="str">
        <f aca="false">IF(N46="","",YEAR(N46))</f>
        <v/>
      </c>
      <c r="AG46" s="57" t="n">
        <f aca="false">IF(AND(H46="Yes",OR(G46="Complete",G46="Under construction",G46="Permitted – not started",G46="Stalled")),1,0)</f>
        <v>1</v>
      </c>
      <c r="AH46" s="57" t="n">
        <f aca="false">IF(OR(G46="Under construction",G46="Permitted – not started",G46="Stalled"),1,0)</f>
        <v>0</v>
      </c>
    </row>
    <row r="47" customFormat="false" ht="15" hidden="false" customHeight="false" outlineLevel="0" collapsed="false">
      <c r="A47" s="57" t="s">
        <v>1431</v>
      </c>
      <c r="B47" s="57" t="s">
        <v>969</v>
      </c>
      <c r="C47" s="57" t="s">
        <v>1432</v>
      </c>
      <c r="D47" s="57" t="s">
        <v>970</v>
      </c>
      <c r="E47" s="57" t="n">
        <v>9</v>
      </c>
      <c r="F47" s="57"/>
      <c r="G47" s="57" t="s">
        <v>56</v>
      </c>
      <c r="H47" s="57" t="s">
        <v>228</v>
      </c>
      <c r="I47" s="57" t="s">
        <v>1347</v>
      </c>
      <c r="J47" s="57" t="s">
        <v>184</v>
      </c>
      <c r="K47" s="57" t="s">
        <v>310</v>
      </c>
      <c r="L47" s="57" t="s">
        <v>313</v>
      </c>
      <c r="M47" s="58" t="n">
        <v>44658</v>
      </c>
      <c r="N47" s="58"/>
      <c r="O47" s="58" t="n">
        <v>45769</v>
      </c>
      <c r="P47" s="57" t="s">
        <v>1433</v>
      </c>
      <c r="Q47" s="57" t="s">
        <v>1317</v>
      </c>
      <c r="R47" s="57" t="s">
        <v>1318</v>
      </c>
      <c r="S47" s="57" t="n">
        <v>2.1</v>
      </c>
      <c r="T47" s="57" t="n">
        <v>6.9</v>
      </c>
      <c r="U47" s="57" t="n">
        <v>0</v>
      </c>
      <c r="V47" s="57" t="n">
        <v>0</v>
      </c>
      <c r="W47" s="57" t="n">
        <v>0</v>
      </c>
      <c r="X47" s="57" t="n">
        <v>0</v>
      </c>
      <c r="Y47" s="57" t="s">
        <v>1307</v>
      </c>
      <c r="Z47" s="57"/>
      <c r="AA47" s="57" t="s">
        <v>365</v>
      </c>
      <c r="AB47" s="57" t="s">
        <v>365</v>
      </c>
      <c r="AC47" s="57" t="str">
        <f aca="false">IFERROR(INDEX(dp_geo,MATCH(B47,dp_id,0)),"Unmatched")</f>
        <v>Remainder of County</v>
      </c>
      <c r="AD47" s="57" t="n">
        <f aca="false">IF(M47="","",YEAR(M47))</f>
        <v>2022</v>
      </c>
      <c r="AE47" s="57" t="n">
        <f aca="false">IF(O47="","",YEAR(O47))</f>
        <v>2025</v>
      </c>
      <c r="AF47" s="57" t="str">
        <f aca="false">IF(N47="","",YEAR(N47))</f>
        <v/>
      </c>
      <c r="AG47" s="57" t="n">
        <f aca="false">IF(AND(H47="Yes",OR(G47="Complete",G47="Under construction",G47="Permitted – not started",G47="Stalled")),1,0)</f>
        <v>1</v>
      </c>
      <c r="AH47" s="57" t="n">
        <f aca="false">IF(OR(G47="Under construction",G47="Permitted – not started",G47="Stalled"),1,0)</f>
        <v>1</v>
      </c>
    </row>
    <row r="48" customFormat="false" ht="15" hidden="false" customHeight="false" outlineLevel="0" collapsed="false">
      <c r="A48" s="57" t="s">
        <v>1434</v>
      </c>
      <c r="B48" s="57" t="s">
        <v>568</v>
      </c>
      <c r="C48" s="57" t="s">
        <v>1435</v>
      </c>
      <c r="D48" s="57" t="s">
        <v>1436</v>
      </c>
      <c r="E48" s="57" t="n">
        <v>165</v>
      </c>
      <c r="F48" s="57"/>
      <c r="G48" s="57" t="s">
        <v>58</v>
      </c>
      <c r="H48" s="57" t="s">
        <v>228</v>
      </c>
      <c r="I48" s="57" t="s">
        <v>1310</v>
      </c>
      <c r="J48" s="57" t="s">
        <v>304</v>
      </c>
      <c r="K48" s="57" t="s">
        <v>308</v>
      </c>
      <c r="L48" s="57" t="s">
        <v>315</v>
      </c>
      <c r="M48" s="58" t="n">
        <v>44707</v>
      </c>
      <c r="N48" s="58" t="n">
        <v>46532</v>
      </c>
      <c r="O48" s="58"/>
      <c r="P48" s="57" t="s">
        <v>1311</v>
      </c>
      <c r="Q48" s="57" t="s">
        <v>1419</v>
      </c>
      <c r="R48" s="57" t="s">
        <v>1313</v>
      </c>
      <c r="S48" s="57" t="n">
        <v>0</v>
      </c>
      <c r="T48" s="57" t="n">
        <v>0</v>
      </c>
      <c r="U48" s="57" t="n">
        <v>34.9</v>
      </c>
      <c r="V48" s="57" t="n">
        <v>72.3</v>
      </c>
      <c r="W48" s="57" t="n">
        <v>57.8</v>
      </c>
      <c r="X48" s="57" t="n">
        <v>0</v>
      </c>
      <c r="Y48" s="57" t="s">
        <v>1307</v>
      </c>
      <c r="Z48" s="57"/>
      <c r="AA48" s="57" t="s">
        <v>284</v>
      </c>
      <c r="AB48" s="57" t="s">
        <v>347</v>
      </c>
      <c r="AC48" s="57" t="str">
        <f aca="false">IFERROR(INDEX(dp_geo,MATCH(B48,dp_id,0)),"Unmatched")</f>
        <v>Rest of City</v>
      </c>
      <c r="AD48" s="57" t="n">
        <f aca="false">IF(M48="","",YEAR(M48))</f>
        <v>2022</v>
      </c>
      <c r="AE48" s="57" t="str">
        <f aca="false">IF(O48="","",YEAR(O48))</f>
        <v/>
      </c>
      <c r="AF48" s="57" t="n">
        <f aca="false">IF(N48="","",YEAR(N48))</f>
        <v>2027</v>
      </c>
      <c r="AG48" s="57" t="n">
        <f aca="false">IF(AND(H48="Yes",OR(G48="Complete",G48="Under construction",G48="Permitted – not started",G48="Stalled")),1,0)</f>
        <v>1</v>
      </c>
      <c r="AH48" s="57" t="n">
        <f aca="false">IF(OR(G48="Under construction",G48="Permitted – not started",G48="Stalled"),1,0)</f>
        <v>1</v>
      </c>
    </row>
    <row r="49" customFormat="false" ht="15" hidden="false" customHeight="false" outlineLevel="0" collapsed="false">
      <c r="A49" s="57" t="s">
        <v>1437</v>
      </c>
      <c r="B49" s="57" t="s">
        <v>332</v>
      </c>
      <c r="C49" s="57" t="s">
        <v>1438</v>
      </c>
      <c r="D49" s="57" t="s">
        <v>1439</v>
      </c>
      <c r="E49" s="57" t="n">
        <v>384</v>
      </c>
      <c r="F49" s="57"/>
      <c r="G49" s="57" t="s">
        <v>56</v>
      </c>
      <c r="H49" s="57" t="s">
        <v>228</v>
      </c>
      <c r="I49" s="57" t="s">
        <v>1310</v>
      </c>
      <c r="J49" s="57" t="s">
        <v>304</v>
      </c>
      <c r="K49" s="57" t="s">
        <v>308</v>
      </c>
      <c r="L49" s="57" t="s">
        <v>315</v>
      </c>
      <c r="M49" s="58" t="n">
        <v>44742</v>
      </c>
      <c r="N49" s="58" t="n">
        <v>48394</v>
      </c>
      <c r="O49" s="58" t="n">
        <v>45406</v>
      </c>
      <c r="P49" s="57" t="s">
        <v>1364</v>
      </c>
      <c r="Q49" s="57" t="s">
        <v>1440</v>
      </c>
      <c r="R49" s="57" t="s">
        <v>1318</v>
      </c>
      <c r="S49" s="57" t="n">
        <v>17.2</v>
      </c>
      <c r="T49" s="57" t="n">
        <v>74.1</v>
      </c>
      <c r="U49" s="57" t="n">
        <v>74.1</v>
      </c>
      <c r="V49" s="57" t="n">
        <v>74.1</v>
      </c>
      <c r="W49" s="57" t="n">
        <v>74.1</v>
      </c>
      <c r="X49" s="57" t="n">
        <v>70.4</v>
      </c>
      <c r="Y49" s="57" t="s">
        <v>1307</v>
      </c>
      <c r="Z49" s="57"/>
      <c r="AA49" s="57" t="s">
        <v>286</v>
      </c>
      <c r="AB49" s="57" t="s">
        <v>347</v>
      </c>
      <c r="AC49" s="57" t="str">
        <f aca="false">IFERROR(INDEX(dp_geo,MATCH(B49,dp_id,0)),"Unmatched")</f>
        <v>Rest of City</v>
      </c>
      <c r="AD49" s="57" t="n">
        <f aca="false">IF(M49="","",YEAR(M49))</f>
        <v>2022</v>
      </c>
      <c r="AE49" s="57" t="n">
        <f aca="false">IF(O49="","",YEAR(O49))</f>
        <v>2024</v>
      </c>
      <c r="AF49" s="57" t="n">
        <f aca="false">IF(N49="","",YEAR(N49))</f>
        <v>2032</v>
      </c>
      <c r="AG49" s="57" t="n">
        <f aca="false">IF(AND(H49="Yes",OR(G49="Complete",G49="Under construction",G49="Permitted – not started",G49="Stalled")),1,0)</f>
        <v>1</v>
      </c>
      <c r="AH49" s="57" t="n">
        <f aca="false">IF(OR(G49="Under construction",G49="Permitted – not started",G49="Stalled"),1,0)</f>
        <v>1</v>
      </c>
    </row>
    <row r="50" customFormat="false" ht="15" hidden="false" customHeight="false" outlineLevel="0" collapsed="false">
      <c r="A50" s="57" t="s">
        <v>1441</v>
      </c>
      <c r="B50" s="57" t="s">
        <v>922</v>
      </c>
      <c r="C50" s="57" t="s">
        <v>1442</v>
      </c>
      <c r="D50" s="57" t="s">
        <v>923</v>
      </c>
      <c r="E50" s="57" t="n">
        <v>13</v>
      </c>
      <c r="F50" s="57"/>
      <c r="G50" s="57" t="s">
        <v>208</v>
      </c>
      <c r="H50" s="57" t="s">
        <v>228</v>
      </c>
      <c r="I50" s="57" t="s">
        <v>1310</v>
      </c>
      <c r="J50" s="57" t="s">
        <v>304</v>
      </c>
      <c r="K50" s="57" t="s">
        <v>308</v>
      </c>
      <c r="L50" s="57" t="s">
        <v>309</v>
      </c>
      <c r="M50" s="58" t="n">
        <v>44861</v>
      </c>
      <c r="N50" s="58" t="n">
        <v>46686</v>
      </c>
      <c r="O50" s="58" t="n">
        <v>44902</v>
      </c>
      <c r="P50" s="57"/>
      <c r="Q50" s="57"/>
      <c r="R50" s="57" t="s">
        <v>1306</v>
      </c>
      <c r="S50" s="57" t="n">
        <v>0</v>
      </c>
      <c r="T50" s="57" t="n">
        <v>0</v>
      </c>
      <c r="U50" s="57" t="n">
        <v>0</v>
      </c>
      <c r="V50" s="57" t="n">
        <v>0</v>
      </c>
      <c r="W50" s="57" t="n">
        <v>0</v>
      </c>
      <c r="X50" s="57" t="n">
        <v>0</v>
      </c>
      <c r="Y50" s="57" t="s">
        <v>1307</v>
      </c>
      <c r="Z50" s="57"/>
      <c r="AA50" s="57" t="s">
        <v>353</v>
      </c>
      <c r="AB50" s="57" t="s">
        <v>349</v>
      </c>
      <c r="AC50" s="57" t="str">
        <f aca="false">IFERROR(INDEX(dp_geo,MATCH(B50,dp_id,0)),"Unmatched")</f>
        <v>Settlements</v>
      </c>
      <c r="AD50" s="57" t="n">
        <f aca="false">IF(M50="","",YEAR(M50))</f>
        <v>2022</v>
      </c>
      <c r="AE50" s="57" t="n">
        <f aca="false">IF(O50="","",YEAR(O50))</f>
        <v>2022</v>
      </c>
      <c r="AF50" s="57" t="n">
        <f aca="false">IF(N50="","",YEAR(N50))</f>
        <v>2027</v>
      </c>
      <c r="AG50" s="57" t="n">
        <f aca="false">IF(AND(H50="Yes",OR(G50="Complete",G50="Under construction",G50="Permitted – not started",G50="Stalled")),1,0)</f>
        <v>1</v>
      </c>
      <c r="AH50" s="57" t="n">
        <f aca="false">IF(OR(G50="Under construction",G50="Permitted – not started",G50="Stalled"),1,0)</f>
        <v>0</v>
      </c>
    </row>
    <row r="51" customFormat="false" ht="15" hidden="false" customHeight="false" outlineLevel="0" collapsed="false">
      <c r="A51" s="57" t="s">
        <v>1443</v>
      </c>
      <c r="B51" s="57" t="s">
        <v>816</v>
      </c>
      <c r="C51" s="57" t="s">
        <v>1444</v>
      </c>
      <c r="D51" s="57" t="s">
        <v>817</v>
      </c>
      <c r="E51" s="57" t="n">
        <v>32</v>
      </c>
      <c r="F51" s="57"/>
      <c r="G51" s="57" t="s">
        <v>58</v>
      </c>
      <c r="H51" s="57" t="s">
        <v>228</v>
      </c>
      <c r="I51" s="57" t="s">
        <v>1310</v>
      </c>
      <c r="J51" s="57" t="s">
        <v>304</v>
      </c>
      <c r="K51" s="57" t="s">
        <v>308</v>
      </c>
      <c r="L51" s="57" t="s">
        <v>309</v>
      </c>
      <c r="M51" s="58" t="n">
        <v>44977</v>
      </c>
      <c r="N51" s="58" t="n">
        <v>46802</v>
      </c>
      <c r="O51" s="58"/>
      <c r="P51" s="57" t="s">
        <v>1311</v>
      </c>
      <c r="Q51" s="57" t="s">
        <v>1312</v>
      </c>
      <c r="R51" s="57" t="s">
        <v>1313</v>
      </c>
      <c r="S51" s="57" t="n">
        <v>0</v>
      </c>
      <c r="T51" s="57" t="n">
        <v>0</v>
      </c>
      <c r="U51" s="57" t="n">
        <v>23.6</v>
      </c>
      <c r="V51" s="57" t="n">
        <v>8.4</v>
      </c>
      <c r="W51" s="57" t="n">
        <v>0</v>
      </c>
      <c r="X51" s="57" t="n">
        <v>0</v>
      </c>
      <c r="Y51" s="57" t="s">
        <v>1307</v>
      </c>
      <c r="Z51" s="57"/>
      <c r="AA51" s="57" t="s">
        <v>360</v>
      </c>
      <c r="AB51" s="57" t="s">
        <v>356</v>
      </c>
      <c r="AC51" s="57" t="str">
        <f aca="false">IFERROR(INDEX(dp_geo,MATCH(B51,dp_id,0)),"Unmatched")</f>
        <v>Settlements</v>
      </c>
      <c r="AD51" s="57" t="n">
        <f aca="false">IF(M51="","",YEAR(M51))</f>
        <v>2023</v>
      </c>
      <c r="AE51" s="57" t="str">
        <f aca="false">IF(O51="","",YEAR(O51))</f>
        <v/>
      </c>
      <c r="AF51" s="57" t="n">
        <f aca="false">IF(N51="","",YEAR(N51))</f>
        <v>2028</v>
      </c>
      <c r="AG51" s="57" t="n">
        <f aca="false">IF(AND(H51="Yes",OR(G51="Complete",G51="Under construction",G51="Permitted – not started",G51="Stalled")),1,0)</f>
        <v>1</v>
      </c>
      <c r="AH51" s="57" t="n">
        <f aca="false">IF(OR(G51="Under construction",G51="Permitted – not started",G51="Stalled"),1,0)</f>
        <v>1</v>
      </c>
    </row>
    <row r="52" customFormat="false" ht="15" hidden="false" customHeight="false" outlineLevel="0" collapsed="false">
      <c r="A52" s="57" t="s">
        <v>1445</v>
      </c>
      <c r="B52" s="57" t="s">
        <v>955</v>
      </c>
      <c r="C52" s="57" t="s">
        <v>1446</v>
      </c>
      <c r="D52" s="57" t="s">
        <v>956</v>
      </c>
      <c r="E52" s="57" t="n">
        <v>10</v>
      </c>
      <c r="F52" s="57"/>
      <c r="G52" s="57" t="s">
        <v>56</v>
      </c>
      <c r="H52" s="57" t="s">
        <v>228</v>
      </c>
      <c r="I52" s="57" t="s">
        <v>1310</v>
      </c>
      <c r="J52" s="57" t="s">
        <v>184</v>
      </c>
      <c r="K52" s="57" t="s">
        <v>310</v>
      </c>
      <c r="L52" s="57" t="s">
        <v>313</v>
      </c>
      <c r="M52" s="58" t="n">
        <v>44802</v>
      </c>
      <c r="N52" s="58"/>
      <c r="O52" s="58" t="n">
        <v>45943</v>
      </c>
      <c r="P52" s="57" t="s">
        <v>1447</v>
      </c>
      <c r="Q52" s="57" t="s">
        <v>1317</v>
      </c>
      <c r="R52" s="57" t="s">
        <v>1318</v>
      </c>
      <c r="S52" s="57" t="n">
        <v>2.3</v>
      </c>
      <c r="T52" s="57" t="n">
        <v>7.7</v>
      </c>
      <c r="U52" s="57" t="n">
        <v>0</v>
      </c>
      <c r="V52" s="57" t="n">
        <v>0</v>
      </c>
      <c r="W52" s="57" t="n">
        <v>0</v>
      </c>
      <c r="X52" s="57" t="n">
        <v>0</v>
      </c>
      <c r="Y52" s="57" t="s">
        <v>1307</v>
      </c>
      <c r="Z52" s="57"/>
      <c r="AA52" s="57" t="s">
        <v>365</v>
      </c>
      <c r="AB52" s="57" t="s">
        <v>365</v>
      </c>
      <c r="AC52" s="57" t="str">
        <f aca="false">IFERROR(INDEX(dp_geo,MATCH(B52,dp_id,0)),"Unmatched")</f>
        <v>Remainder of County</v>
      </c>
      <c r="AD52" s="57" t="n">
        <f aca="false">IF(M52="","",YEAR(M52))</f>
        <v>2022</v>
      </c>
      <c r="AE52" s="57" t="n">
        <f aca="false">IF(O52="","",YEAR(O52))</f>
        <v>2025</v>
      </c>
      <c r="AF52" s="57" t="str">
        <f aca="false">IF(N52="","",YEAR(N52))</f>
        <v/>
      </c>
      <c r="AG52" s="57" t="n">
        <f aca="false">IF(AND(H52="Yes",OR(G52="Complete",G52="Under construction",G52="Permitted – not started",G52="Stalled")),1,0)</f>
        <v>1</v>
      </c>
      <c r="AH52" s="57" t="n">
        <f aca="false">IF(OR(G52="Under construction",G52="Permitted – not started",G52="Stalled"),1,0)</f>
        <v>1</v>
      </c>
    </row>
    <row r="53" customFormat="false" ht="15" hidden="false" customHeight="false" outlineLevel="0" collapsed="false">
      <c r="A53" s="57" t="s">
        <v>1448</v>
      </c>
      <c r="B53" s="57" t="s">
        <v>582</v>
      </c>
      <c r="C53" s="57" t="s">
        <v>1449</v>
      </c>
      <c r="D53" s="57" t="s">
        <v>1450</v>
      </c>
      <c r="E53" s="57" t="n">
        <v>86</v>
      </c>
      <c r="F53" s="57"/>
      <c r="G53" s="57" t="s">
        <v>58</v>
      </c>
      <c r="H53" s="57" t="s">
        <v>228</v>
      </c>
      <c r="I53" s="57" t="s">
        <v>1310</v>
      </c>
      <c r="J53" s="57" t="s">
        <v>304</v>
      </c>
      <c r="K53" s="57" t="s">
        <v>308</v>
      </c>
      <c r="L53" s="57" t="s">
        <v>309</v>
      </c>
      <c r="M53" s="58" t="n">
        <v>45111</v>
      </c>
      <c r="N53" s="58" t="n">
        <v>46937</v>
      </c>
      <c r="O53" s="58"/>
      <c r="P53" s="57" t="s">
        <v>1311</v>
      </c>
      <c r="Q53" s="57" t="s">
        <v>1451</v>
      </c>
      <c r="R53" s="57" t="s">
        <v>1313</v>
      </c>
      <c r="S53" s="57" t="n">
        <v>0</v>
      </c>
      <c r="T53" s="57" t="n">
        <v>0</v>
      </c>
      <c r="U53" s="57" t="n">
        <v>27.2</v>
      </c>
      <c r="V53" s="57" t="n">
        <v>56.4</v>
      </c>
      <c r="W53" s="57" t="n">
        <v>2.4</v>
      </c>
      <c r="X53" s="57" t="n">
        <v>0</v>
      </c>
      <c r="Y53" s="57" t="s">
        <v>1307</v>
      </c>
      <c r="Z53" s="57"/>
      <c r="AA53" s="57" t="s">
        <v>284</v>
      </c>
      <c r="AB53" s="57" t="s">
        <v>347</v>
      </c>
      <c r="AC53" s="57" t="str">
        <f aca="false">IFERROR(INDEX(dp_geo,MATCH(B53,dp_id,0)),"Unmatched")</f>
        <v>Rest of City</v>
      </c>
      <c r="AD53" s="57" t="n">
        <f aca="false">IF(M53="","",YEAR(M53))</f>
        <v>2023</v>
      </c>
      <c r="AE53" s="57" t="str">
        <f aca="false">IF(O53="","",YEAR(O53))</f>
        <v/>
      </c>
      <c r="AF53" s="57" t="n">
        <f aca="false">IF(N53="","",YEAR(N53))</f>
        <v>2028</v>
      </c>
      <c r="AG53" s="57" t="n">
        <f aca="false">IF(AND(H53="Yes",OR(G53="Complete",G53="Under construction",G53="Permitted – not started",G53="Stalled")),1,0)</f>
        <v>1</v>
      </c>
      <c r="AH53" s="57" t="n">
        <f aca="false">IF(OR(G53="Under construction",G53="Permitted – not started",G53="Stalled"),1,0)</f>
        <v>1</v>
      </c>
    </row>
    <row r="54" customFormat="false" ht="15" hidden="false" customHeight="false" outlineLevel="0" collapsed="false">
      <c r="A54" s="57" t="s">
        <v>1452</v>
      </c>
      <c r="B54" s="57" t="s">
        <v>762</v>
      </c>
      <c r="C54" s="57" t="s">
        <v>1453</v>
      </c>
      <c r="D54" s="57" t="s">
        <v>763</v>
      </c>
      <c r="E54" s="57" t="n">
        <v>93</v>
      </c>
      <c r="F54" s="57"/>
      <c r="G54" s="57" t="s">
        <v>56</v>
      </c>
      <c r="H54" s="57" t="s">
        <v>228</v>
      </c>
      <c r="I54" s="57" t="s">
        <v>1310</v>
      </c>
      <c r="J54" s="57" t="s">
        <v>304</v>
      </c>
      <c r="K54" s="57" t="s">
        <v>308</v>
      </c>
      <c r="L54" s="57" t="s">
        <v>309</v>
      </c>
      <c r="M54" s="58" t="n">
        <v>45103</v>
      </c>
      <c r="N54" s="58" t="n">
        <v>46929</v>
      </c>
      <c r="O54" s="58" t="n">
        <v>45322</v>
      </c>
      <c r="P54" s="57" t="s">
        <v>1454</v>
      </c>
      <c r="Q54" s="57" t="s">
        <v>1317</v>
      </c>
      <c r="R54" s="57" t="s">
        <v>1318</v>
      </c>
      <c r="S54" s="57" t="n">
        <v>21.7</v>
      </c>
      <c r="T54" s="57" t="n">
        <v>71.3</v>
      </c>
      <c r="U54" s="57" t="n">
        <v>0</v>
      </c>
      <c r="V54" s="57" t="n">
        <v>0</v>
      </c>
      <c r="W54" s="57" t="n">
        <v>0</v>
      </c>
      <c r="X54" s="57" t="n">
        <v>0</v>
      </c>
      <c r="Y54" s="57" t="s">
        <v>1307</v>
      </c>
      <c r="Z54" s="57"/>
      <c r="AA54" s="57" t="s">
        <v>348</v>
      </c>
      <c r="AB54" s="57" t="s">
        <v>349</v>
      </c>
      <c r="AC54" s="57" t="str">
        <f aca="false">IFERROR(INDEX(dp_geo,MATCH(B54,dp_id,0)),"Unmatched")</f>
        <v>Settlements</v>
      </c>
      <c r="AD54" s="57" t="n">
        <f aca="false">IF(M54="","",YEAR(M54))</f>
        <v>2023</v>
      </c>
      <c r="AE54" s="57" t="n">
        <f aca="false">IF(O54="","",YEAR(O54))</f>
        <v>2024</v>
      </c>
      <c r="AF54" s="57" t="n">
        <f aca="false">IF(N54="","",YEAR(N54))</f>
        <v>2028</v>
      </c>
      <c r="AG54" s="57" t="n">
        <f aca="false">IF(AND(H54="Yes",OR(G54="Complete",G54="Under construction",G54="Permitted – not started",G54="Stalled")),1,0)</f>
        <v>1</v>
      </c>
      <c r="AH54" s="57" t="n">
        <f aca="false">IF(OR(G54="Under construction",G54="Permitted – not started",G54="Stalled"),1,0)</f>
        <v>1</v>
      </c>
    </row>
    <row r="55" customFormat="false" ht="15" hidden="false" customHeight="false" outlineLevel="0" collapsed="false">
      <c r="A55" s="57" t="s">
        <v>1455</v>
      </c>
      <c r="B55" s="57" t="s">
        <v>644</v>
      </c>
      <c r="C55" s="57" t="s">
        <v>1456</v>
      </c>
      <c r="D55" s="57" t="s">
        <v>1457</v>
      </c>
      <c r="E55" s="57" t="n">
        <v>48</v>
      </c>
      <c r="F55" s="57"/>
      <c r="G55" s="57" t="s">
        <v>56</v>
      </c>
      <c r="H55" s="57" t="s">
        <v>228</v>
      </c>
      <c r="I55" s="57" t="s">
        <v>1310</v>
      </c>
      <c r="J55" s="57" t="s">
        <v>304</v>
      </c>
      <c r="K55" s="57" t="s">
        <v>308</v>
      </c>
      <c r="L55" s="57" t="s">
        <v>309</v>
      </c>
      <c r="M55" s="58" t="n">
        <v>45174</v>
      </c>
      <c r="N55" s="58" t="n">
        <v>47000</v>
      </c>
      <c r="O55" s="58" t="n">
        <v>45488</v>
      </c>
      <c r="P55" s="57" t="s">
        <v>1391</v>
      </c>
      <c r="Q55" s="57" t="s">
        <v>1317</v>
      </c>
      <c r="R55" s="57" t="s">
        <v>1318</v>
      </c>
      <c r="S55" s="57" t="n">
        <v>11.2</v>
      </c>
      <c r="T55" s="57" t="n">
        <v>36.8</v>
      </c>
      <c r="U55" s="57" t="n">
        <v>0</v>
      </c>
      <c r="V55" s="57" t="n">
        <v>0</v>
      </c>
      <c r="W55" s="57" t="n">
        <v>0</v>
      </c>
      <c r="X55" s="57" t="n">
        <v>0</v>
      </c>
      <c r="Y55" s="57" t="s">
        <v>1307</v>
      </c>
      <c r="Z55" s="57"/>
      <c r="AA55" s="57" t="s">
        <v>285</v>
      </c>
      <c r="AB55" s="57" t="s">
        <v>347</v>
      </c>
      <c r="AC55" s="57" t="str">
        <f aca="false">IFERROR(INDEX(dp_geo,MATCH(B55,dp_id,0)),"Unmatched")</f>
        <v>Rest of City</v>
      </c>
      <c r="AD55" s="57" t="n">
        <f aca="false">IF(M55="","",YEAR(M55))</f>
        <v>2023</v>
      </c>
      <c r="AE55" s="57" t="n">
        <f aca="false">IF(O55="","",YEAR(O55))</f>
        <v>2024</v>
      </c>
      <c r="AF55" s="57" t="n">
        <f aca="false">IF(N55="","",YEAR(N55))</f>
        <v>2028</v>
      </c>
      <c r="AG55" s="57" t="n">
        <f aca="false">IF(AND(H55="Yes",OR(G55="Complete",G55="Under construction",G55="Permitted – not started",G55="Stalled")),1,0)</f>
        <v>1</v>
      </c>
      <c r="AH55" s="57" t="n">
        <f aca="false">IF(OR(G55="Under construction",G55="Permitted – not started",G55="Stalled"),1,0)</f>
        <v>1</v>
      </c>
    </row>
    <row r="56" customFormat="false" ht="15" hidden="false" customHeight="false" outlineLevel="0" collapsed="false">
      <c r="A56" s="57" t="s">
        <v>1458</v>
      </c>
      <c r="B56" s="57" t="s">
        <v>843</v>
      </c>
      <c r="C56" s="57" t="s">
        <v>1459</v>
      </c>
      <c r="D56" s="57" t="s">
        <v>844</v>
      </c>
      <c r="E56" s="57" t="n">
        <v>25</v>
      </c>
      <c r="F56" s="57" t="n">
        <v>116</v>
      </c>
      <c r="G56" s="57" t="s">
        <v>58</v>
      </c>
      <c r="H56" s="57" t="s">
        <v>228</v>
      </c>
      <c r="I56" s="57" t="s">
        <v>1347</v>
      </c>
      <c r="J56" s="57" t="s">
        <v>305</v>
      </c>
      <c r="K56" s="57" t="s">
        <v>308</v>
      </c>
      <c r="L56" s="57" t="s">
        <v>309</v>
      </c>
      <c r="M56" s="58" t="n">
        <v>45442</v>
      </c>
      <c r="N56" s="58" t="n">
        <v>47267</v>
      </c>
      <c r="O56" s="58"/>
      <c r="P56" s="57" t="s">
        <v>1311</v>
      </c>
      <c r="Q56" s="57" t="s">
        <v>1460</v>
      </c>
      <c r="R56" s="57" t="s">
        <v>1313</v>
      </c>
      <c r="S56" s="57" t="n">
        <v>0</v>
      </c>
      <c r="T56" s="57" t="n">
        <v>0</v>
      </c>
      <c r="U56" s="57" t="n">
        <v>25</v>
      </c>
      <c r="V56" s="57" t="n">
        <v>0</v>
      </c>
      <c r="W56" s="57" t="n">
        <v>0</v>
      </c>
      <c r="X56" s="57" t="n">
        <v>0</v>
      </c>
      <c r="Y56" s="57" t="s">
        <v>1307</v>
      </c>
      <c r="Z56" s="57"/>
      <c r="AA56" s="57" t="s">
        <v>258</v>
      </c>
      <c r="AB56" s="57" t="s">
        <v>347</v>
      </c>
      <c r="AC56" s="57" t="str">
        <f aca="false">IFERROR(INDEX(dp_geo,MATCH(B56,dp_id,0)),"Unmatched")</f>
        <v>City Centre</v>
      </c>
      <c r="AD56" s="57" t="n">
        <f aca="false">IF(M56="","",YEAR(M56))</f>
        <v>2024</v>
      </c>
      <c r="AE56" s="57" t="str">
        <f aca="false">IF(O56="","",YEAR(O56))</f>
        <v/>
      </c>
      <c r="AF56" s="57" t="n">
        <f aca="false">IF(N56="","",YEAR(N56))</f>
        <v>2029</v>
      </c>
      <c r="AG56" s="57" t="n">
        <f aca="false">IF(AND(H56="Yes",OR(G56="Complete",G56="Under construction",G56="Permitted – not started",G56="Stalled")),1,0)</f>
        <v>1</v>
      </c>
      <c r="AH56" s="57" t="n">
        <f aca="false">IF(OR(G56="Under construction",G56="Permitted – not started",G56="Stalled"),1,0)</f>
        <v>1</v>
      </c>
    </row>
    <row r="57" customFormat="false" ht="15" hidden="false" customHeight="false" outlineLevel="0" collapsed="false">
      <c r="A57" s="57" t="s">
        <v>1461</v>
      </c>
      <c r="B57" s="57" t="s">
        <v>830</v>
      </c>
      <c r="C57" s="57" t="s">
        <v>1462</v>
      </c>
      <c r="D57" s="57" t="s">
        <v>831</v>
      </c>
      <c r="E57" s="57" t="n">
        <v>28</v>
      </c>
      <c r="F57" s="57"/>
      <c r="G57" s="57" t="s">
        <v>56</v>
      </c>
      <c r="H57" s="57" t="s">
        <v>228</v>
      </c>
      <c r="I57" s="57" t="s">
        <v>1310</v>
      </c>
      <c r="J57" s="57" t="s">
        <v>304</v>
      </c>
      <c r="K57" s="57" t="s">
        <v>308</v>
      </c>
      <c r="L57" s="57" t="s">
        <v>309</v>
      </c>
      <c r="M57" s="58" t="n">
        <v>45645</v>
      </c>
      <c r="N57" s="58" t="n">
        <v>47470</v>
      </c>
      <c r="O57" s="58" t="n">
        <v>46073</v>
      </c>
      <c r="P57" s="57" t="s">
        <v>1415</v>
      </c>
      <c r="Q57" s="57" t="s">
        <v>1317</v>
      </c>
      <c r="R57" s="57" t="s">
        <v>1318</v>
      </c>
      <c r="S57" s="57" t="n">
        <v>3.9</v>
      </c>
      <c r="T57" s="57" t="n">
        <v>24.1</v>
      </c>
      <c r="U57" s="57" t="n">
        <v>0</v>
      </c>
      <c r="V57" s="57" t="n">
        <v>0</v>
      </c>
      <c r="W57" s="57" t="n">
        <v>0</v>
      </c>
      <c r="X57" s="57" t="n">
        <v>0</v>
      </c>
      <c r="Y57" s="57" t="s">
        <v>1307</v>
      </c>
      <c r="Z57" s="57"/>
      <c r="AA57" s="57" t="s">
        <v>284</v>
      </c>
      <c r="AB57" s="57" t="s">
        <v>347</v>
      </c>
      <c r="AC57" s="57" t="str">
        <f aca="false">IFERROR(INDEX(dp_geo,MATCH(B57,dp_id,0)),"Unmatched")</f>
        <v>Rest of City</v>
      </c>
      <c r="AD57" s="57" t="n">
        <f aca="false">IF(M57="","",YEAR(M57))</f>
        <v>2024</v>
      </c>
      <c r="AE57" s="57" t="n">
        <f aca="false">IF(O57="","",YEAR(O57))</f>
        <v>2026</v>
      </c>
      <c r="AF57" s="57" t="n">
        <f aca="false">IF(N57="","",YEAR(N57))</f>
        <v>2029</v>
      </c>
      <c r="AG57" s="57" t="n">
        <f aca="false">IF(AND(H57="Yes",OR(G57="Complete",G57="Under construction",G57="Permitted – not started",G57="Stalled")),1,0)</f>
        <v>1</v>
      </c>
      <c r="AH57" s="57" t="n">
        <f aca="false">IF(OR(G57="Under construction",G57="Permitted – not started",G57="Stalled"),1,0)</f>
        <v>1</v>
      </c>
    </row>
    <row r="58" customFormat="false" ht="15" hidden="false" customHeight="false" outlineLevel="0" collapsed="false">
      <c r="A58" s="57" t="s">
        <v>1463</v>
      </c>
      <c r="B58" s="57" t="s">
        <v>818</v>
      </c>
      <c r="C58" s="57" t="s">
        <v>1464</v>
      </c>
      <c r="D58" s="57" t="s">
        <v>819</v>
      </c>
      <c r="E58" s="57" t="n">
        <v>31</v>
      </c>
      <c r="F58" s="57"/>
      <c r="G58" s="57" t="s">
        <v>58</v>
      </c>
      <c r="H58" s="57" t="s">
        <v>228</v>
      </c>
      <c r="I58" s="57" t="s">
        <v>1310</v>
      </c>
      <c r="J58" s="57" t="s">
        <v>184</v>
      </c>
      <c r="K58" s="57" t="s">
        <v>310</v>
      </c>
      <c r="L58" s="57" t="s">
        <v>313</v>
      </c>
      <c r="M58" s="58" t="n">
        <v>44967</v>
      </c>
      <c r="N58" s="58"/>
      <c r="O58" s="58"/>
      <c r="P58" s="57" t="s">
        <v>1311</v>
      </c>
      <c r="Q58" s="57" t="s">
        <v>1348</v>
      </c>
      <c r="R58" s="57" t="s">
        <v>1313</v>
      </c>
      <c r="S58" s="57" t="n">
        <v>0</v>
      </c>
      <c r="T58" s="57" t="n">
        <v>0</v>
      </c>
      <c r="U58" s="57" t="n">
        <v>23.6</v>
      </c>
      <c r="V58" s="57" t="n">
        <v>7.4</v>
      </c>
      <c r="W58" s="57" t="n">
        <v>0</v>
      </c>
      <c r="X58" s="57" t="n">
        <v>0</v>
      </c>
      <c r="Y58" s="57" t="s">
        <v>1307</v>
      </c>
      <c r="Z58" s="57"/>
      <c r="AA58" s="57" t="s">
        <v>348</v>
      </c>
      <c r="AB58" s="57" t="s">
        <v>349</v>
      </c>
      <c r="AC58" s="57" t="str">
        <f aca="false">IFERROR(INDEX(dp_geo,MATCH(B58,dp_id,0)),"Unmatched")</f>
        <v>Settlements</v>
      </c>
      <c r="AD58" s="57" t="n">
        <f aca="false">IF(M58="","",YEAR(M58))</f>
        <v>2023</v>
      </c>
      <c r="AE58" s="57" t="str">
        <f aca="false">IF(O58="","",YEAR(O58))</f>
        <v/>
      </c>
      <c r="AF58" s="57" t="str">
        <f aca="false">IF(N58="","",YEAR(N58))</f>
        <v/>
      </c>
      <c r="AG58" s="57" t="n">
        <f aca="false">IF(AND(H58="Yes",OR(G58="Complete",G58="Under construction",G58="Permitted – not started",G58="Stalled")),1,0)</f>
        <v>1</v>
      </c>
      <c r="AH58" s="57" t="n">
        <f aca="false">IF(OR(G58="Under construction",G58="Permitted – not started",G58="Stalled"),1,0)</f>
        <v>1</v>
      </c>
    </row>
    <row r="59" customFormat="false" ht="15" hidden="false" customHeight="false" outlineLevel="0" collapsed="false">
      <c r="A59" s="57" t="s">
        <v>1465</v>
      </c>
      <c r="B59" s="57" t="s">
        <v>628</v>
      </c>
      <c r="C59" s="57" t="s">
        <v>1466</v>
      </c>
      <c r="D59" s="57" t="s">
        <v>1467</v>
      </c>
      <c r="E59" s="57" t="n">
        <v>26</v>
      </c>
      <c r="F59" s="57" t="n">
        <v>202</v>
      </c>
      <c r="G59" s="57" t="s">
        <v>56</v>
      </c>
      <c r="H59" s="57" t="s">
        <v>228</v>
      </c>
      <c r="I59" s="57" t="s">
        <v>1310</v>
      </c>
      <c r="J59" s="57" t="s">
        <v>305</v>
      </c>
      <c r="K59" s="57" t="s">
        <v>308</v>
      </c>
      <c r="L59" s="57" t="s">
        <v>311</v>
      </c>
      <c r="M59" s="58" t="n">
        <v>45063</v>
      </c>
      <c r="N59" s="58" t="n">
        <v>46889</v>
      </c>
      <c r="O59" s="58" t="n">
        <v>45653</v>
      </c>
      <c r="P59" s="57" t="s">
        <v>1468</v>
      </c>
      <c r="Q59" s="57" t="s">
        <v>1469</v>
      </c>
      <c r="R59" s="57" t="s">
        <v>1318</v>
      </c>
      <c r="S59" s="57" t="n">
        <v>0</v>
      </c>
      <c r="T59" s="57" t="n">
        <v>26</v>
      </c>
      <c r="U59" s="57" t="n">
        <v>0</v>
      </c>
      <c r="V59" s="57" t="n">
        <v>0</v>
      </c>
      <c r="W59" s="57" t="n">
        <v>0</v>
      </c>
      <c r="X59" s="57" t="n">
        <v>0</v>
      </c>
      <c r="Y59" s="57" t="s">
        <v>1307</v>
      </c>
      <c r="Z59" s="57"/>
      <c r="AA59" s="57" t="s">
        <v>288</v>
      </c>
      <c r="AB59" s="57" t="s">
        <v>347</v>
      </c>
      <c r="AC59" s="57" t="str">
        <f aca="false">IFERROR(INDEX(dp_geo,MATCH(B59,dp_id,0)),"Unmatched")</f>
        <v>Rest of City</v>
      </c>
      <c r="AD59" s="57" t="n">
        <f aca="false">IF(M59="","",YEAR(M59))</f>
        <v>2023</v>
      </c>
      <c r="AE59" s="57" t="n">
        <f aca="false">IF(O59="","",YEAR(O59))</f>
        <v>2024</v>
      </c>
      <c r="AF59" s="57" t="n">
        <f aca="false">IF(N59="","",YEAR(N59))</f>
        <v>2028</v>
      </c>
      <c r="AG59" s="57" t="n">
        <f aca="false">IF(AND(H59="Yes",OR(G59="Complete",G59="Under construction",G59="Permitted – not started",G59="Stalled")),1,0)</f>
        <v>1</v>
      </c>
      <c r="AH59" s="57" t="n">
        <f aca="false">IF(OR(G59="Under construction",G59="Permitted – not started",G59="Stalled"),1,0)</f>
        <v>1</v>
      </c>
    </row>
    <row r="60" customFormat="false" ht="15" hidden="false" customHeight="false" outlineLevel="0" collapsed="false">
      <c r="A60" s="57" t="s">
        <v>1470</v>
      </c>
      <c r="B60" s="57" t="s">
        <v>790</v>
      </c>
      <c r="C60" s="57" t="s">
        <v>1471</v>
      </c>
      <c r="D60" s="57" t="s">
        <v>791</v>
      </c>
      <c r="E60" s="57" t="n">
        <v>52</v>
      </c>
      <c r="F60" s="57"/>
      <c r="G60" s="57" t="s">
        <v>56</v>
      </c>
      <c r="H60" s="57" t="s">
        <v>228</v>
      </c>
      <c r="I60" s="57" t="s">
        <v>1310</v>
      </c>
      <c r="J60" s="57" t="s">
        <v>304</v>
      </c>
      <c r="K60" s="57" t="s">
        <v>308</v>
      </c>
      <c r="L60" s="57" t="s">
        <v>309</v>
      </c>
      <c r="M60" s="58" t="n">
        <v>45223</v>
      </c>
      <c r="N60" s="58" t="n">
        <v>47049</v>
      </c>
      <c r="O60" s="58" t="n">
        <v>45693</v>
      </c>
      <c r="P60" s="57" t="s">
        <v>1472</v>
      </c>
      <c r="Q60" s="57" t="s">
        <v>1317</v>
      </c>
      <c r="R60" s="57" t="s">
        <v>1318</v>
      </c>
      <c r="S60" s="57" t="n">
        <v>12.1</v>
      </c>
      <c r="T60" s="57" t="n">
        <v>39.9</v>
      </c>
      <c r="U60" s="57" t="n">
        <v>0</v>
      </c>
      <c r="V60" s="57" t="n">
        <v>0</v>
      </c>
      <c r="W60" s="57" t="n">
        <v>0</v>
      </c>
      <c r="X60" s="57" t="n">
        <v>0</v>
      </c>
      <c r="Y60" s="57" t="s">
        <v>1307</v>
      </c>
      <c r="Z60" s="57"/>
      <c r="AA60" s="57" t="s">
        <v>364</v>
      </c>
      <c r="AB60" s="57" t="s">
        <v>356</v>
      </c>
      <c r="AC60" s="57" t="str">
        <f aca="false">IFERROR(INDEX(dp_geo,MATCH(B60,dp_id,0)),"Unmatched")</f>
        <v>Settlements</v>
      </c>
      <c r="AD60" s="57" t="n">
        <f aca="false">IF(M60="","",YEAR(M60))</f>
        <v>2023</v>
      </c>
      <c r="AE60" s="57" t="n">
        <f aca="false">IF(O60="","",YEAR(O60))</f>
        <v>2025</v>
      </c>
      <c r="AF60" s="57" t="n">
        <f aca="false">IF(N60="","",YEAR(N60))</f>
        <v>2028</v>
      </c>
      <c r="AG60" s="57" t="n">
        <f aca="false">IF(AND(H60="Yes",OR(G60="Complete",G60="Under construction",G60="Permitted – not started",G60="Stalled")),1,0)</f>
        <v>1</v>
      </c>
      <c r="AH60" s="57" t="n">
        <f aca="false">IF(OR(G60="Under construction",G60="Permitted – not started",G60="Stalled"),1,0)</f>
        <v>1</v>
      </c>
    </row>
    <row r="61" customFormat="false" ht="15" hidden="false" customHeight="false" outlineLevel="0" collapsed="false">
      <c r="A61" s="57" t="s">
        <v>1473</v>
      </c>
      <c r="B61" s="57" t="s">
        <v>602</v>
      </c>
      <c r="C61" s="57" t="s">
        <v>1474</v>
      </c>
      <c r="D61" s="57" t="s">
        <v>1475</v>
      </c>
      <c r="E61" s="57" t="n">
        <v>46</v>
      </c>
      <c r="F61" s="57"/>
      <c r="G61" s="57" t="s">
        <v>58</v>
      </c>
      <c r="H61" s="57" t="s">
        <v>228</v>
      </c>
      <c r="I61" s="57" t="s">
        <v>1310</v>
      </c>
      <c r="J61" s="57" t="s">
        <v>304</v>
      </c>
      <c r="K61" s="57" t="s">
        <v>308</v>
      </c>
      <c r="L61" s="57" t="s">
        <v>309</v>
      </c>
      <c r="M61" s="58" t="n">
        <v>45499</v>
      </c>
      <c r="N61" s="58" t="n">
        <v>47324</v>
      </c>
      <c r="O61" s="58"/>
      <c r="P61" s="57" t="s">
        <v>1311</v>
      </c>
      <c r="Q61" s="57" t="s">
        <v>1425</v>
      </c>
      <c r="R61" s="57" t="s">
        <v>1313</v>
      </c>
      <c r="S61" s="57" t="n">
        <v>0</v>
      </c>
      <c r="T61" s="57" t="n">
        <v>0</v>
      </c>
      <c r="U61" s="57" t="n">
        <v>19.4</v>
      </c>
      <c r="V61" s="57" t="n">
        <v>26.6</v>
      </c>
      <c r="W61" s="57" t="n">
        <v>0</v>
      </c>
      <c r="X61" s="57" t="n">
        <v>0</v>
      </c>
      <c r="Y61" s="57" t="s">
        <v>1307</v>
      </c>
      <c r="Z61" s="57"/>
      <c r="AA61" s="57" t="s">
        <v>284</v>
      </c>
      <c r="AB61" s="57" t="s">
        <v>347</v>
      </c>
      <c r="AC61" s="57" t="str">
        <f aca="false">IFERROR(INDEX(dp_geo,MATCH(B61,dp_id,0)),"Unmatched")</f>
        <v>Rest of City</v>
      </c>
      <c r="AD61" s="57" t="n">
        <f aca="false">IF(M61="","",YEAR(M61))</f>
        <v>2024</v>
      </c>
      <c r="AE61" s="57" t="str">
        <f aca="false">IF(O61="","",YEAR(O61))</f>
        <v/>
      </c>
      <c r="AF61" s="57" t="n">
        <f aca="false">IF(N61="","",YEAR(N61))</f>
        <v>2029</v>
      </c>
      <c r="AG61" s="57" t="n">
        <f aca="false">IF(AND(H61="Yes",OR(G61="Complete",G61="Under construction",G61="Permitted – not started",G61="Stalled")),1,0)</f>
        <v>1</v>
      </c>
      <c r="AH61" s="57" t="n">
        <f aca="false">IF(OR(G61="Under construction",G61="Permitted – not started",G61="Stalled"),1,0)</f>
        <v>1</v>
      </c>
    </row>
    <row r="62" customFormat="false" ht="15" hidden="false" customHeight="false" outlineLevel="0" collapsed="false">
      <c r="A62" s="57" t="s">
        <v>1476</v>
      </c>
      <c r="B62" s="57" t="s">
        <v>832</v>
      </c>
      <c r="C62" s="57" t="s">
        <v>1477</v>
      </c>
      <c r="D62" s="57" t="s">
        <v>833</v>
      </c>
      <c r="E62" s="57" t="n">
        <v>28</v>
      </c>
      <c r="F62" s="57"/>
      <c r="G62" s="57" t="s">
        <v>56</v>
      </c>
      <c r="H62" s="57" t="s">
        <v>228</v>
      </c>
      <c r="I62" s="57" t="s">
        <v>1310</v>
      </c>
      <c r="J62" s="57" t="s">
        <v>304</v>
      </c>
      <c r="K62" s="57" t="s">
        <v>308</v>
      </c>
      <c r="L62" s="57" t="s">
        <v>309</v>
      </c>
      <c r="M62" s="58" t="n">
        <v>45320</v>
      </c>
      <c r="N62" s="58" t="n">
        <v>47146</v>
      </c>
      <c r="O62" s="58" t="n">
        <v>46109</v>
      </c>
      <c r="P62" s="57" t="s">
        <v>1415</v>
      </c>
      <c r="Q62" s="57" t="s">
        <v>1317</v>
      </c>
      <c r="R62" s="57" t="s">
        <v>1318</v>
      </c>
      <c r="S62" s="57" t="n">
        <v>1.2</v>
      </c>
      <c r="T62" s="57" t="n">
        <v>26.8</v>
      </c>
      <c r="U62" s="57" t="n">
        <v>0</v>
      </c>
      <c r="V62" s="57" t="n">
        <v>0</v>
      </c>
      <c r="W62" s="57" t="n">
        <v>0</v>
      </c>
      <c r="X62" s="57" t="n">
        <v>0</v>
      </c>
      <c r="Y62" s="57" t="s">
        <v>1307</v>
      </c>
      <c r="Z62" s="57"/>
      <c r="AA62" s="57" t="s">
        <v>352</v>
      </c>
      <c r="AB62" s="57" t="s">
        <v>349</v>
      </c>
      <c r="AC62" s="57" t="str">
        <f aca="false">IFERROR(INDEX(dp_geo,MATCH(B62,dp_id,0)),"Unmatched")</f>
        <v>Settlements</v>
      </c>
      <c r="AD62" s="57" t="n">
        <f aca="false">IF(M62="","",YEAR(M62))</f>
        <v>2024</v>
      </c>
      <c r="AE62" s="57" t="n">
        <f aca="false">IF(O62="","",YEAR(O62))</f>
        <v>2026</v>
      </c>
      <c r="AF62" s="57" t="n">
        <f aca="false">IF(N62="","",YEAR(N62))</f>
        <v>2029</v>
      </c>
      <c r="AG62" s="57" t="n">
        <f aca="false">IF(AND(H62="Yes",OR(G62="Complete",G62="Under construction",G62="Permitted – not started",G62="Stalled")),1,0)</f>
        <v>1</v>
      </c>
      <c r="AH62" s="57" t="n">
        <f aca="false">IF(OR(G62="Under construction",G62="Permitted – not started",G62="Stalled"),1,0)</f>
        <v>1</v>
      </c>
    </row>
    <row r="63" customFormat="false" ht="15" hidden="false" customHeight="false" outlineLevel="0" collapsed="false">
      <c r="A63" s="57" t="s">
        <v>1478</v>
      </c>
      <c r="B63" s="57" t="s">
        <v>1035</v>
      </c>
      <c r="C63" s="57" t="s">
        <v>1479</v>
      </c>
      <c r="D63" s="57" t="s">
        <v>1480</v>
      </c>
      <c r="E63" s="57" t="n">
        <v>3</v>
      </c>
      <c r="F63" s="57"/>
      <c r="G63" s="57" t="s">
        <v>208</v>
      </c>
      <c r="H63" s="57" t="s">
        <v>228</v>
      </c>
      <c r="I63" s="57" t="s">
        <v>1347</v>
      </c>
      <c r="J63" s="57" t="s">
        <v>304</v>
      </c>
      <c r="K63" s="57" t="s">
        <v>308</v>
      </c>
      <c r="L63" s="57" t="s">
        <v>309</v>
      </c>
      <c r="M63" s="58" t="n">
        <v>45232</v>
      </c>
      <c r="N63" s="58" t="n">
        <v>47058</v>
      </c>
      <c r="O63" s="58" t="n">
        <v>45530</v>
      </c>
      <c r="P63" s="57"/>
      <c r="Q63" s="57"/>
      <c r="R63" s="57" t="s">
        <v>1306</v>
      </c>
      <c r="S63" s="57" t="n">
        <v>0</v>
      </c>
      <c r="T63" s="57" t="n">
        <v>0</v>
      </c>
      <c r="U63" s="57" t="n">
        <v>0</v>
      </c>
      <c r="V63" s="57" t="n">
        <v>0</v>
      </c>
      <c r="W63" s="57" t="n">
        <v>0</v>
      </c>
      <c r="X63" s="57" t="n">
        <v>0</v>
      </c>
      <c r="Y63" s="57" t="s">
        <v>1307</v>
      </c>
      <c r="Z63" s="57" t="s">
        <v>1396</v>
      </c>
      <c r="AA63" s="57" t="s">
        <v>365</v>
      </c>
      <c r="AB63" s="57" t="s">
        <v>365</v>
      </c>
      <c r="AC63" s="57" t="str">
        <f aca="false">IFERROR(INDEX(dp_geo,MATCH(B63,dp_id,0)),"Unmatched")</f>
        <v>Remainder of County</v>
      </c>
      <c r="AD63" s="57" t="n">
        <f aca="false">IF(M63="","",YEAR(M63))</f>
        <v>2023</v>
      </c>
      <c r="AE63" s="57" t="n">
        <f aca="false">IF(O63="","",YEAR(O63))</f>
        <v>2024</v>
      </c>
      <c r="AF63" s="57" t="n">
        <f aca="false">IF(N63="","",YEAR(N63))</f>
        <v>2028</v>
      </c>
      <c r="AG63" s="57" t="n">
        <f aca="false">IF(AND(H63="Yes",OR(G63="Complete",G63="Under construction",G63="Permitted – not started",G63="Stalled")),1,0)</f>
        <v>1</v>
      </c>
      <c r="AH63" s="57" t="n">
        <f aca="false">IF(OR(G63="Under construction",G63="Permitted – not started",G63="Stalled"),1,0)</f>
        <v>0</v>
      </c>
    </row>
    <row r="64" customFormat="false" ht="15" hidden="false" customHeight="false" outlineLevel="0" collapsed="false">
      <c r="A64" s="57" t="s">
        <v>1481</v>
      </c>
      <c r="B64" s="57" t="s">
        <v>1077</v>
      </c>
      <c r="C64" s="57" t="s">
        <v>1482</v>
      </c>
      <c r="D64" s="57" t="s">
        <v>1078</v>
      </c>
      <c r="E64" s="57" t="n">
        <v>3</v>
      </c>
      <c r="F64" s="57"/>
      <c r="G64" s="57" t="s">
        <v>230</v>
      </c>
      <c r="H64" s="57" t="s">
        <v>228</v>
      </c>
      <c r="I64" s="57" t="s">
        <v>1310</v>
      </c>
      <c r="J64" s="57" t="s">
        <v>304</v>
      </c>
      <c r="K64" s="57" t="s">
        <v>308</v>
      </c>
      <c r="L64" s="57" t="s">
        <v>309</v>
      </c>
      <c r="M64" s="58" t="n">
        <v>45187</v>
      </c>
      <c r="N64" s="58" t="n">
        <v>46282</v>
      </c>
      <c r="O64" s="58"/>
      <c r="P64" s="57"/>
      <c r="Q64" s="57"/>
      <c r="R64" s="57" t="s">
        <v>1322</v>
      </c>
      <c r="S64" s="57" t="n">
        <v>0</v>
      </c>
      <c r="T64" s="57" t="n">
        <v>0</v>
      </c>
      <c r="U64" s="57" t="n">
        <v>0</v>
      </c>
      <c r="V64" s="57" t="n">
        <v>0</v>
      </c>
      <c r="W64" s="57" t="n">
        <v>0</v>
      </c>
      <c r="X64" s="57" t="n">
        <v>0</v>
      </c>
      <c r="Y64" s="57" t="s">
        <v>1307</v>
      </c>
      <c r="Z64" s="57"/>
      <c r="AA64" s="57" t="s">
        <v>365</v>
      </c>
      <c r="AB64" s="57" t="s">
        <v>365</v>
      </c>
      <c r="AC64" s="57" t="str">
        <f aca="false">IFERROR(INDEX(dp_geo,MATCH(B64,dp_id,0)),"Unmatched")</f>
        <v>Remainder of County</v>
      </c>
      <c r="AD64" s="57" t="n">
        <f aca="false">IF(M64="","",YEAR(M64))</f>
        <v>2023</v>
      </c>
      <c r="AE64" s="57" t="str">
        <f aca="false">IF(O64="","",YEAR(O64))</f>
        <v/>
      </c>
      <c r="AF64" s="57" t="n">
        <f aca="false">IF(N64="","",YEAR(N64))</f>
        <v>2026</v>
      </c>
      <c r="AG64" s="57" t="n">
        <f aca="false">IF(AND(H64="Yes",OR(G64="Complete",G64="Under construction",G64="Permitted – not started",G64="Stalled")),1,0)</f>
        <v>0</v>
      </c>
      <c r="AH64" s="57" t="n">
        <f aca="false">IF(OR(G64="Under construction",G64="Permitted – not started",G64="Stalled"),1,0)</f>
        <v>0</v>
      </c>
    </row>
    <row r="65" customFormat="false" ht="15" hidden="false" customHeight="false" outlineLevel="0" collapsed="false">
      <c r="A65" s="57" t="s">
        <v>1483</v>
      </c>
      <c r="B65" s="57" t="s">
        <v>913</v>
      </c>
      <c r="C65" s="57" t="s">
        <v>1484</v>
      </c>
      <c r="D65" s="57" t="s">
        <v>914</v>
      </c>
      <c r="E65" s="57" t="n">
        <v>14</v>
      </c>
      <c r="F65" s="57"/>
      <c r="G65" s="57" t="s">
        <v>56</v>
      </c>
      <c r="H65" s="57" t="s">
        <v>228</v>
      </c>
      <c r="I65" s="57" t="s">
        <v>1310</v>
      </c>
      <c r="J65" s="57" t="s">
        <v>304</v>
      </c>
      <c r="K65" s="57" t="s">
        <v>308</v>
      </c>
      <c r="L65" s="57" t="s">
        <v>309</v>
      </c>
      <c r="M65" s="58" t="n">
        <v>45223</v>
      </c>
      <c r="N65" s="58" t="n">
        <v>47049</v>
      </c>
      <c r="O65" s="58" t="n">
        <v>45348</v>
      </c>
      <c r="P65" s="57" t="s">
        <v>1454</v>
      </c>
      <c r="Q65" s="57" t="s">
        <v>1317</v>
      </c>
      <c r="R65" s="57" t="s">
        <v>1318</v>
      </c>
      <c r="S65" s="57" t="n">
        <v>3.3</v>
      </c>
      <c r="T65" s="57" t="n">
        <v>10.7</v>
      </c>
      <c r="U65" s="57" t="n">
        <v>0</v>
      </c>
      <c r="V65" s="57" t="n">
        <v>0</v>
      </c>
      <c r="W65" s="57" t="n">
        <v>0</v>
      </c>
      <c r="X65" s="57" t="n">
        <v>0</v>
      </c>
      <c r="Y65" s="57" t="s">
        <v>1307</v>
      </c>
      <c r="Z65" s="57"/>
      <c r="AA65" s="57" t="s">
        <v>285</v>
      </c>
      <c r="AB65" s="57" t="s">
        <v>347</v>
      </c>
      <c r="AC65" s="57" t="str">
        <f aca="false">IFERROR(INDEX(dp_geo,MATCH(B65,dp_id,0)),"Unmatched")</f>
        <v>Rest of City</v>
      </c>
      <c r="AD65" s="57" t="n">
        <f aca="false">IF(M65="","",YEAR(M65))</f>
        <v>2023</v>
      </c>
      <c r="AE65" s="57" t="n">
        <f aca="false">IF(O65="","",YEAR(O65))</f>
        <v>2024</v>
      </c>
      <c r="AF65" s="57" t="n">
        <f aca="false">IF(N65="","",YEAR(N65))</f>
        <v>2028</v>
      </c>
      <c r="AG65" s="57" t="n">
        <f aca="false">IF(AND(H65="Yes",OR(G65="Complete",G65="Under construction",G65="Permitted – not started",G65="Stalled")),1,0)</f>
        <v>1</v>
      </c>
      <c r="AH65" s="57" t="n">
        <f aca="false">IF(OR(G65="Under construction",G65="Permitted – not started",G65="Stalled"),1,0)</f>
        <v>1</v>
      </c>
    </row>
    <row r="66" customFormat="false" ht="15" hidden="false" customHeight="false" outlineLevel="0" collapsed="false">
      <c r="A66" s="57" t="s">
        <v>1485</v>
      </c>
      <c r="B66" s="57" t="s">
        <v>865</v>
      </c>
      <c r="C66" s="57" t="s">
        <v>1486</v>
      </c>
      <c r="D66" s="57" t="s">
        <v>866</v>
      </c>
      <c r="E66" s="57" t="n">
        <v>21</v>
      </c>
      <c r="F66" s="57"/>
      <c r="G66" s="57" t="s">
        <v>58</v>
      </c>
      <c r="H66" s="57" t="s">
        <v>228</v>
      </c>
      <c r="I66" s="57" t="s">
        <v>1347</v>
      </c>
      <c r="J66" s="57" t="s">
        <v>304</v>
      </c>
      <c r="K66" s="57" t="s">
        <v>308</v>
      </c>
      <c r="L66" s="57" t="s">
        <v>309</v>
      </c>
      <c r="M66" s="58" t="n">
        <v>45482</v>
      </c>
      <c r="N66" s="58" t="n">
        <v>47307</v>
      </c>
      <c r="O66" s="58"/>
      <c r="P66" s="57" t="s">
        <v>1311</v>
      </c>
      <c r="Q66" s="57" t="s">
        <v>1451</v>
      </c>
      <c r="R66" s="57" t="s">
        <v>1313</v>
      </c>
      <c r="S66" s="57" t="n">
        <v>0</v>
      </c>
      <c r="T66" s="57" t="n">
        <v>0</v>
      </c>
      <c r="U66" s="57" t="n">
        <v>6.7</v>
      </c>
      <c r="V66" s="57" t="n">
        <v>13.9</v>
      </c>
      <c r="W66" s="57" t="n">
        <v>0.5</v>
      </c>
      <c r="X66" s="57" t="n">
        <v>-0.1</v>
      </c>
      <c r="Y66" s="57" t="s">
        <v>1307</v>
      </c>
      <c r="Z66" s="57"/>
      <c r="AA66" s="57" t="s">
        <v>258</v>
      </c>
      <c r="AB66" s="57" t="s">
        <v>347</v>
      </c>
      <c r="AC66" s="57" t="str">
        <f aca="false">IFERROR(INDEX(dp_geo,MATCH(B66,dp_id,0)),"Unmatched")</f>
        <v>City Centre</v>
      </c>
      <c r="AD66" s="57" t="n">
        <f aca="false">IF(M66="","",YEAR(M66))</f>
        <v>2024</v>
      </c>
      <c r="AE66" s="57" t="str">
        <f aca="false">IF(O66="","",YEAR(O66))</f>
        <v/>
      </c>
      <c r="AF66" s="57" t="n">
        <f aca="false">IF(N66="","",YEAR(N66))</f>
        <v>2029</v>
      </c>
      <c r="AG66" s="57" t="n">
        <f aca="false">IF(AND(H66="Yes",OR(G66="Complete",G66="Under construction",G66="Permitted – not started",G66="Stalled")),1,0)</f>
        <v>1</v>
      </c>
      <c r="AH66" s="57" t="n">
        <f aca="false">IF(OR(G66="Under construction",G66="Permitted – not started",G66="Stalled"),1,0)</f>
        <v>1</v>
      </c>
    </row>
    <row r="67" customFormat="false" ht="15" hidden="false" customHeight="false" outlineLevel="0" collapsed="false">
      <c r="A67" s="57" t="s">
        <v>1487</v>
      </c>
      <c r="B67" s="57" t="s">
        <v>1057</v>
      </c>
      <c r="C67" s="57" t="s">
        <v>1488</v>
      </c>
      <c r="D67" s="57" t="s">
        <v>1058</v>
      </c>
      <c r="E67" s="57" t="n">
        <v>4</v>
      </c>
      <c r="F67" s="57"/>
      <c r="G67" s="57" t="s">
        <v>58</v>
      </c>
      <c r="H67" s="57" t="s">
        <v>228</v>
      </c>
      <c r="I67" s="57" t="s">
        <v>1310</v>
      </c>
      <c r="J67" s="57" t="s">
        <v>184</v>
      </c>
      <c r="K67" s="57" t="s">
        <v>312</v>
      </c>
      <c r="L67" s="57" t="s">
        <v>309</v>
      </c>
      <c r="M67" s="58" t="n">
        <v>45154</v>
      </c>
      <c r="N67" s="58" t="n">
        <v>46980</v>
      </c>
      <c r="O67" s="58"/>
      <c r="P67" s="57" t="s">
        <v>1311</v>
      </c>
      <c r="Q67" s="57" t="s">
        <v>1312</v>
      </c>
      <c r="R67" s="57" t="s">
        <v>1313</v>
      </c>
      <c r="S67" s="57" t="n">
        <v>0</v>
      </c>
      <c r="T67" s="57" t="n">
        <v>0</v>
      </c>
      <c r="U67" s="57" t="n">
        <v>2.5</v>
      </c>
      <c r="V67" s="57" t="n">
        <v>1.5</v>
      </c>
      <c r="W67" s="57" t="n">
        <v>0</v>
      </c>
      <c r="X67" s="57" t="n">
        <v>0</v>
      </c>
      <c r="Y67" s="57" t="s">
        <v>1307</v>
      </c>
      <c r="Z67" s="57"/>
      <c r="AA67" s="57" t="s">
        <v>258</v>
      </c>
      <c r="AB67" s="57" t="s">
        <v>347</v>
      </c>
      <c r="AC67" s="57" t="str">
        <f aca="false">IFERROR(INDEX(dp_geo,MATCH(B67,dp_id,0)),"Unmatched")</f>
        <v>City Centre</v>
      </c>
      <c r="AD67" s="57" t="n">
        <f aca="false">IF(M67="","",YEAR(M67))</f>
        <v>2023</v>
      </c>
      <c r="AE67" s="57" t="str">
        <f aca="false">IF(O67="","",YEAR(O67))</f>
        <v/>
      </c>
      <c r="AF67" s="57" t="n">
        <f aca="false">IF(N67="","",YEAR(N67))</f>
        <v>2028</v>
      </c>
      <c r="AG67" s="57" t="n">
        <f aca="false">IF(AND(H67="Yes",OR(G67="Complete",G67="Under construction",G67="Permitted – not started",G67="Stalled")),1,0)</f>
        <v>1</v>
      </c>
      <c r="AH67" s="57" t="n">
        <f aca="false">IF(OR(G67="Under construction",G67="Permitted – not started",G67="Stalled"),1,0)</f>
        <v>1</v>
      </c>
    </row>
    <row r="68" customFormat="false" ht="15" hidden="false" customHeight="false" outlineLevel="0" collapsed="false">
      <c r="A68" s="57" t="s">
        <v>1489</v>
      </c>
      <c r="B68" s="57" t="s">
        <v>1079</v>
      </c>
      <c r="C68" s="57" t="s">
        <v>1490</v>
      </c>
      <c r="D68" s="57" t="s">
        <v>1080</v>
      </c>
      <c r="E68" s="57" t="n">
        <v>3</v>
      </c>
      <c r="F68" s="57"/>
      <c r="G68" s="57" t="s">
        <v>56</v>
      </c>
      <c r="H68" s="57" t="s">
        <v>228</v>
      </c>
      <c r="I68" s="57" t="s">
        <v>1310</v>
      </c>
      <c r="J68" s="57" t="s">
        <v>304</v>
      </c>
      <c r="K68" s="57" t="s">
        <v>308</v>
      </c>
      <c r="L68" s="57" t="s">
        <v>309</v>
      </c>
      <c r="M68" s="58" t="n">
        <v>45293</v>
      </c>
      <c r="N68" s="58" t="n">
        <v>47119</v>
      </c>
      <c r="O68" s="58" t="n">
        <v>45383</v>
      </c>
      <c r="P68" s="57" t="s">
        <v>1364</v>
      </c>
      <c r="Q68" s="57" t="s">
        <v>1317</v>
      </c>
      <c r="R68" s="57" t="s">
        <v>1318</v>
      </c>
      <c r="S68" s="57" t="n">
        <v>0.7</v>
      </c>
      <c r="T68" s="57" t="n">
        <v>2.3</v>
      </c>
      <c r="U68" s="57" t="n">
        <v>0</v>
      </c>
      <c r="V68" s="57" t="n">
        <v>0</v>
      </c>
      <c r="W68" s="57" t="n">
        <v>0</v>
      </c>
      <c r="X68" s="57" t="n">
        <v>0</v>
      </c>
      <c r="Y68" s="57" t="s">
        <v>1307</v>
      </c>
      <c r="Z68" s="57"/>
      <c r="AA68" s="57" t="s">
        <v>365</v>
      </c>
      <c r="AB68" s="57" t="s">
        <v>365</v>
      </c>
      <c r="AC68" s="57" t="str">
        <f aca="false">IFERROR(INDEX(dp_geo,MATCH(B68,dp_id,0)),"Unmatched")</f>
        <v>Remainder of County</v>
      </c>
      <c r="AD68" s="57" t="n">
        <f aca="false">IF(M68="","",YEAR(M68))</f>
        <v>2024</v>
      </c>
      <c r="AE68" s="57" t="n">
        <f aca="false">IF(O68="","",YEAR(O68))</f>
        <v>2024</v>
      </c>
      <c r="AF68" s="57" t="n">
        <f aca="false">IF(N68="","",YEAR(N68))</f>
        <v>2029</v>
      </c>
      <c r="AG68" s="57" t="n">
        <f aca="false">IF(AND(H68="Yes",OR(G68="Complete",G68="Under construction",G68="Permitted – not started",G68="Stalled")),1,0)</f>
        <v>1</v>
      </c>
      <c r="AH68" s="57" t="n">
        <f aca="false">IF(OR(G68="Under construction",G68="Permitted – not started",G68="Stalled"),1,0)</f>
        <v>1</v>
      </c>
    </row>
    <row r="69" customFormat="false" ht="15" hidden="false" customHeight="false" outlineLevel="0" collapsed="false">
      <c r="A69" s="57" t="s">
        <v>1491</v>
      </c>
      <c r="B69" s="57" t="s">
        <v>776</v>
      </c>
      <c r="C69" s="57" t="s">
        <v>1492</v>
      </c>
      <c r="D69" s="57" t="s">
        <v>777</v>
      </c>
      <c r="E69" s="57" t="n">
        <v>66</v>
      </c>
      <c r="F69" s="57"/>
      <c r="G69" s="57" t="s">
        <v>56</v>
      </c>
      <c r="H69" s="57" t="s">
        <v>228</v>
      </c>
      <c r="I69" s="57" t="s">
        <v>1310</v>
      </c>
      <c r="J69" s="57" t="s">
        <v>304</v>
      </c>
      <c r="K69" s="57" t="s">
        <v>308</v>
      </c>
      <c r="L69" s="57" t="s">
        <v>309</v>
      </c>
      <c r="M69" s="58" t="n">
        <v>45306</v>
      </c>
      <c r="N69" s="58" t="n">
        <v>47132</v>
      </c>
      <c r="O69" s="58" t="n">
        <v>45404</v>
      </c>
      <c r="P69" s="57" t="s">
        <v>1364</v>
      </c>
      <c r="Q69" s="57" t="s">
        <v>1317</v>
      </c>
      <c r="R69" s="57" t="s">
        <v>1318</v>
      </c>
      <c r="S69" s="57" t="n">
        <v>15.4</v>
      </c>
      <c r="T69" s="57" t="n">
        <v>50.6</v>
      </c>
      <c r="U69" s="57" t="n">
        <v>0</v>
      </c>
      <c r="V69" s="57" t="n">
        <v>0</v>
      </c>
      <c r="W69" s="57" t="n">
        <v>0</v>
      </c>
      <c r="X69" s="57" t="n">
        <v>0</v>
      </c>
      <c r="Y69" s="57" t="s">
        <v>1307</v>
      </c>
      <c r="Z69" s="57"/>
      <c r="AA69" s="57" t="s">
        <v>286</v>
      </c>
      <c r="AB69" s="57" t="s">
        <v>347</v>
      </c>
      <c r="AC69" s="57" t="str">
        <f aca="false">IFERROR(INDEX(dp_geo,MATCH(B69,dp_id,0)),"Unmatched")</f>
        <v>Rest of City</v>
      </c>
      <c r="AD69" s="57" t="n">
        <f aca="false">IF(M69="","",YEAR(M69))</f>
        <v>2024</v>
      </c>
      <c r="AE69" s="57" t="n">
        <f aca="false">IF(O69="","",YEAR(O69))</f>
        <v>2024</v>
      </c>
      <c r="AF69" s="57" t="n">
        <f aca="false">IF(N69="","",YEAR(N69))</f>
        <v>2029</v>
      </c>
      <c r="AG69" s="57" t="n">
        <f aca="false">IF(AND(H69="Yes",OR(G69="Complete",G69="Under construction",G69="Permitted – not started",G69="Stalled")),1,0)</f>
        <v>1</v>
      </c>
      <c r="AH69" s="57" t="n">
        <f aca="false">IF(OR(G69="Under construction",G69="Permitted – not started",G69="Stalled"),1,0)</f>
        <v>1</v>
      </c>
    </row>
    <row r="70" customFormat="false" ht="15" hidden="false" customHeight="false" outlineLevel="0" collapsed="false">
      <c r="A70" s="57" t="s">
        <v>1493</v>
      </c>
      <c r="B70" s="57" t="s">
        <v>786</v>
      </c>
      <c r="C70" s="57" t="s">
        <v>1494</v>
      </c>
      <c r="D70" s="57" t="s">
        <v>787</v>
      </c>
      <c r="E70" s="57" t="n">
        <v>53</v>
      </c>
      <c r="F70" s="57"/>
      <c r="G70" s="57" t="s">
        <v>60</v>
      </c>
      <c r="H70" s="57" t="s">
        <v>228</v>
      </c>
      <c r="I70" s="57" t="s">
        <v>1310</v>
      </c>
      <c r="J70" s="57" t="s">
        <v>304</v>
      </c>
      <c r="K70" s="57" t="s">
        <v>308</v>
      </c>
      <c r="L70" s="57" t="s">
        <v>309</v>
      </c>
      <c r="M70" s="58" t="n">
        <v>45482</v>
      </c>
      <c r="N70" s="58" t="n">
        <v>47307</v>
      </c>
      <c r="O70" s="58"/>
      <c r="P70" s="57"/>
      <c r="Q70" s="57"/>
      <c r="R70" s="57" t="s">
        <v>1322</v>
      </c>
      <c r="S70" s="57" t="n">
        <v>0</v>
      </c>
      <c r="T70" s="57" t="n">
        <v>0</v>
      </c>
      <c r="U70" s="57" t="n">
        <v>0</v>
      </c>
      <c r="V70" s="57" t="n">
        <v>0</v>
      </c>
      <c r="W70" s="57" t="n">
        <v>0</v>
      </c>
      <c r="X70" s="57" t="n">
        <v>0</v>
      </c>
      <c r="Y70" s="57" t="s">
        <v>1307</v>
      </c>
      <c r="Z70" s="57"/>
      <c r="AA70" s="57" t="s">
        <v>348</v>
      </c>
      <c r="AB70" s="57" t="s">
        <v>349</v>
      </c>
      <c r="AC70" s="57" t="str">
        <f aca="false">IFERROR(INDEX(dp_geo,MATCH(B70,dp_id,0)),"Unmatched")</f>
        <v>Settlements</v>
      </c>
      <c r="AD70" s="57" t="n">
        <f aca="false">IF(M70="","",YEAR(M70))</f>
        <v>2024</v>
      </c>
      <c r="AE70" s="57" t="str">
        <f aca="false">IF(O70="","",YEAR(O70))</f>
        <v/>
      </c>
      <c r="AF70" s="57" t="n">
        <f aca="false">IF(N70="","",YEAR(N70))</f>
        <v>2029</v>
      </c>
      <c r="AG70" s="57" t="n">
        <f aca="false">IF(AND(H70="Yes",OR(G70="Complete",G70="Under construction",G70="Permitted – not started",G70="Stalled")),1,0)</f>
        <v>1</v>
      </c>
      <c r="AH70" s="57" t="n">
        <f aca="false">IF(OR(G70="Under construction",G70="Permitted – not started",G70="Stalled"),1,0)</f>
        <v>1</v>
      </c>
    </row>
    <row r="71" customFormat="false" ht="15" hidden="false" customHeight="false" outlineLevel="0" collapsed="false">
      <c r="A71" s="57" t="s">
        <v>1495</v>
      </c>
      <c r="B71" s="57" t="s">
        <v>768</v>
      </c>
      <c r="C71" s="57" t="s">
        <v>1496</v>
      </c>
      <c r="D71" s="57" t="s">
        <v>769</v>
      </c>
      <c r="E71" s="57" t="n">
        <v>74</v>
      </c>
      <c r="F71" s="57"/>
      <c r="G71" s="57" t="s">
        <v>58</v>
      </c>
      <c r="H71" s="57" t="s">
        <v>228</v>
      </c>
      <c r="I71" s="57" t="s">
        <v>1310</v>
      </c>
      <c r="J71" s="57" t="s">
        <v>304</v>
      </c>
      <c r="K71" s="57" t="s">
        <v>308</v>
      </c>
      <c r="L71" s="57" t="s">
        <v>309</v>
      </c>
      <c r="M71" s="58" t="n">
        <v>45419</v>
      </c>
      <c r="N71" s="58" t="n">
        <v>47244</v>
      </c>
      <c r="O71" s="58"/>
      <c r="P71" s="57" t="s">
        <v>1311</v>
      </c>
      <c r="Q71" s="57" t="s">
        <v>1497</v>
      </c>
      <c r="R71" s="57" t="s">
        <v>1313</v>
      </c>
      <c r="S71" s="57" t="n">
        <v>0</v>
      </c>
      <c r="T71" s="57" t="n">
        <v>0</v>
      </c>
      <c r="U71" s="57" t="n">
        <v>28.4</v>
      </c>
      <c r="V71" s="57" t="n">
        <v>45.6</v>
      </c>
      <c r="W71" s="57" t="n">
        <v>0</v>
      </c>
      <c r="X71" s="57" t="n">
        <v>0</v>
      </c>
      <c r="Y71" s="57" t="s">
        <v>1307</v>
      </c>
      <c r="Z71" s="57"/>
      <c r="AA71" s="57" t="s">
        <v>358</v>
      </c>
      <c r="AB71" s="57" t="s">
        <v>356</v>
      </c>
      <c r="AC71" s="57" t="str">
        <f aca="false">IFERROR(INDEX(dp_geo,MATCH(B71,dp_id,0)),"Unmatched")</f>
        <v>Settlements</v>
      </c>
      <c r="AD71" s="57" t="n">
        <f aca="false">IF(M71="","",YEAR(M71))</f>
        <v>2024</v>
      </c>
      <c r="AE71" s="57" t="str">
        <f aca="false">IF(O71="","",YEAR(O71))</f>
        <v/>
      </c>
      <c r="AF71" s="57" t="n">
        <f aca="false">IF(N71="","",YEAR(N71))</f>
        <v>2029</v>
      </c>
      <c r="AG71" s="57" t="n">
        <f aca="false">IF(AND(H71="Yes",OR(G71="Complete",G71="Under construction",G71="Permitted – not started",G71="Stalled")),1,0)</f>
        <v>1</v>
      </c>
      <c r="AH71" s="57" t="n">
        <f aca="false">IF(OR(G71="Under construction",G71="Permitted – not started",G71="Stalled"),1,0)</f>
        <v>1</v>
      </c>
    </row>
    <row r="72" customFormat="false" ht="15" hidden="false" customHeight="false" outlineLevel="0" collapsed="false">
      <c r="A72" s="57" t="s">
        <v>1498</v>
      </c>
      <c r="B72" s="57" t="s">
        <v>859</v>
      </c>
      <c r="C72" s="57" t="s">
        <v>1499</v>
      </c>
      <c r="D72" s="57" t="s">
        <v>860</v>
      </c>
      <c r="E72" s="57" t="n">
        <v>22</v>
      </c>
      <c r="F72" s="57"/>
      <c r="G72" s="57" t="s">
        <v>56</v>
      </c>
      <c r="H72" s="57" t="s">
        <v>228</v>
      </c>
      <c r="I72" s="57" t="s">
        <v>1310</v>
      </c>
      <c r="J72" s="57" t="s">
        <v>304</v>
      </c>
      <c r="K72" s="57" t="s">
        <v>308</v>
      </c>
      <c r="L72" s="57" t="s">
        <v>309</v>
      </c>
      <c r="M72" s="58" t="n">
        <v>45538</v>
      </c>
      <c r="N72" s="58" t="n">
        <v>47363</v>
      </c>
      <c r="O72" s="58" t="n">
        <v>45939</v>
      </c>
      <c r="P72" s="57" t="s">
        <v>1447</v>
      </c>
      <c r="Q72" s="57" t="s">
        <v>1500</v>
      </c>
      <c r="R72" s="57" t="s">
        <v>1318</v>
      </c>
      <c r="S72" s="57" t="n">
        <v>3.1</v>
      </c>
      <c r="T72" s="57" t="n">
        <v>13.5</v>
      </c>
      <c r="U72" s="57" t="n">
        <v>5.4</v>
      </c>
      <c r="V72" s="57" t="n">
        <v>0</v>
      </c>
      <c r="W72" s="57" t="n">
        <v>0</v>
      </c>
      <c r="X72" s="57" t="n">
        <v>0</v>
      </c>
      <c r="Y72" s="57" t="s">
        <v>1307</v>
      </c>
      <c r="Z72" s="57"/>
      <c r="AA72" s="57" t="s">
        <v>359</v>
      </c>
      <c r="AB72" s="57" t="s">
        <v>356</v>
      </c>
      <c r="AC72" s="57" t="str">
        <f aca="false">IFERROR(INDEX(dp_geo,MATCH(B72,dp_id,0)),"Unmatched")</f>
        <v>Settlements</v>
      </c>
      <c r="AD72" s="57" t="n">
        <f aca="false">IF(M72="","",YEAR(M72))</f>
        <v>2024</v>
      </c>
      <c r="AE72" s="57" t="n">
        <f aca="false">IF(O72="","",YEAR(O72))</f>
        <v>2025</v>
      </c>
      <c r="AF72" s="57" t="n">
        <f aca="false">IF(N72="","",YEAR(N72))</f>
        <v>2029</v>
      </c>
      <c r="AG72" s="57" t="n">
        <f aca="false">IF(AND(H72="Yes",OR(G72="Complete",G72="Under construction",G72="Permitted – not started",G72="Stalled")),1,0)</f>
        <v>1</v>
      </c>
      <c r="AH72" s="57" t="n">
        <f aca="false">IF(OR(G72="Under construction",G72="Permitted – not started",G72="Stalled"),1,0)</f>
        <v>1</v>
      </c>
    </row>
    <row r="73" customFormat="false" ht="15" hidden="false" customHeight="false" outlineLevel="0" collapsed="false">
      <c r="A73" s="57" t="s">
        <v>1501</v>
      </c>
      <c r="B73" s="57" t="s">
        <v>915</v>
      </c>
      <c r="C73" s="57" t="s">
        <v>1502</v>
      </c>
      <c r="D73" s="57" t="s">
        <v>916</v>
      </c>
      <c r="E73" s="57" t="n">
        <v>14</v>
      </c>
      <c r="F73" s="57"/>
      <c r="G73" s="57" t="s">
        <v>58</v>
      </c>
      <c r="H73" s="57" t="s">
        <v>228</v>
      </c>
      <c r="I73" s="57" t="s">
        <v>1310</v>
      </c>
      <c r="J73" s="57" t="s">
        <v>304</v>
      </c>
      <c r="K73" s="57" t="s">
        <v>308</v>
      </c>
      <c r="L73" s="57" t="s">
        <v>309</v>
      </c>
      <c r="M73" s="58" t="n">
        <v>45427</v>
      </c>
      <c r="N73" s="58" t="n">
        <v>47252</v>
      </c>
      <c r="O73" s="58"/>
      <c r="P73" s="57" t="s">
        <v>1311</v>
      </c>
      <c r="Q73" s="57" t="s">
        <v>1312</v>
      </c>
      <c r="R73" s="57" t="s">
        <v>1313</v>
      </c>
      <c r="S73" s="57" t="n">
        <v>0</v>
      </c>
      <c r="T73" s="57" t="n">
        <v>0</v>
      </c>
      <c r="U73" s="57" t="n">
        <v>8.2</v>
      </c>
      <c r="V73" s="57" t="n">
        <v>5.8</v>
      </c>
      <c r="W73" s="57" t="n">
        <v>0</v>
      </c>
      <c r="X73" s="57" t="n">
        <v>0</v>
      </c>
      <c r="Y73" s="57" t="s">
        <v>1307</v>
      </c>
      <c r="Z73" s="57"/>
      <c r="AA73" s="57" t="s">
        <v>348</v>
      </c>
      <c r="AB73" s="57" t="s">
        <v>349</v>
      </c>
      <c r="AC73" s="57" t="str">
        <f aca="false">IFERROR(INDEX(dp_geo,MATCH(B73,dp_id,0)),"Unmatched")</f>
        <v>Settlements</v>
      </c>
      <c r="AD73" s="57" t="n">
        <f aca="false">IF(M73="","",YEAR(M73))</f>
        <v>2024</v>
      </c>
      <c r="AE73" s="57" t="str">
        <f aca="false">IF(O73="","",YEAR(O73))</f>
        <v/>
      </c>
      <c r="AF73" s="57" t="n">
        <f aca="false">IF(N73="","",YEAR(N73))</f>
        <v>2029</v>
      </c>
      <c r="AG73" s="57" t="n">
        <f aca="false">IF(AND(H73="Yes",OR(G73="Complete",G73="Under construction",G73="Permitted – not started",G73="Stalled")),1,0)</f>
        <v>1</v>
      </c>
      <c r="AH73" s="57" t="n">
        <f aca="false">IF(OR(G73="Under construction",G73="Permitted – not started",G73="Stalled"),1,0)</f>
        <v>1</v>
      </c>
    </row>
    <row r="74" customFormat="false" ht="15" hidden="false" customHeight="false" outlineLevel="0" collapsed="false">
      <c r="A74" s="57" t="s">
        <v>1503</v>
      </c>
      <c r="B74" s="57" t="s">
        <v>770</v>
      </c>
      <c r="C74" s="57" t="s">
        <v>1504</v>
      </c>
      <c r="D74" s="57" t="s">
        <v>771</v>
      </c>
      <c r="E74" s="57" t="n">
        <v>74</v>
      </c>
      <c r="F74" s="57"/>
      <c r="G74" s="57" t="s">
        <v>56</v>
      </c>
      <c r="H74" s="57" t="s">
        <v>228</v>
      </c>
      <c r="I74" s="57" t="s">
        <v>1310</v>
      </c>
      <c r="J74" s="57" t="s">
        <v>304</v>
      </c>
      <c r="K74" s="57" t="s">
        <v>308</v>
      </c>
      <c r="L74" s="57" t="s">
        <v>309</v>
      </c>
      <c r="M74" s="58" t="n">
        <v>45455</v>
      </c>
      <c r="N74" s="58" t="n">
        <v>47280</v>
      </c>
      <c r="O74" s="58" t="n">
        <v>45657</v>
      </c>
      <c r="P74" s="57" t="s">
        <v>1472</v>
      </c>
      <c r="Q74" s="57" t="s">
        <v>1317</v>
      </c>
      <c r="R74" s="57" t="s">
        <v>1318</v>
      </c>
      <c r="S74" s="57" t="n">
        <v>17.2</v>
      </c>
      <c r="T74" s="57" t="n">
        <v>56.8</v>
      </c>
      <c r="U74" s="57" t="n">
        <v>0</v>
      </c>
      <c r="V74" s="57" t="n">
        <v>0</v>
      </c>
      <c r="W74" s="57" t="n">
        <v>0</v>
      </c>
      <c r="X74" s="57" t="n">
        <v>0</v>
      </c>
      <c r="Y74" s="57" t="s">
        <v>1307</v>
      </c>
      <c r="Z74" s="57"/>
      <c r="AA74" s="57" t="s">
        <v>353</v>
      </c>
      <c r="AB74" s="57" t="s">
        <v>349</v>
      </c>
      <c r="AC74" s="57" t="str">
        <f aca="false">IFERROR(INDEX(dp_geo,MATCH(B74,dp_id,0)),"Unmatched")</f>
        <v>Settlements</v>
      </c>
      <c r="AD74" s="57" t="n">
        <f aca="false">IF(M74="","",YEAR(M74))</f>
        <v>2024</v>
      </c>
      <c r="AE74" s="57" t="n">
        <f aca="false">IF(O74="","",YEAR(O74))</f>
        <v>2024</v>
      </c>
      <c r="AF74" s="57" t="n">
        <f aca="false">IF(N74="","",YEAR(N74))</f>
        <v>2029</v>
      </c>
      <c r="AG74" s="57" t="n">
        <f aca="false">IF(AND(H74="Yes",OR(G74="Complete",G74="Under construction",G74="Permitted – not started",G74="Stalled")),1,0)</f>
        <v>1</v>
      </c>
      <c r="AH74" s="57" t="n">
        <f aca="false">IF(OR(G74="Under construction",G74="Permitted – not started",G74="Stalled"),1,0)</f>
        <v>1</v>
      </c>
    </row>
    <row r="75" customFormat="false" ht="15" hidden="false" customHeight="false" outlineLevel="0" collapsed="false">
      <c r="A75" s="57" t="s">
        <v>1505</v>
      </c>
      <c r="B75" s="57" t="s">
        <v>588</v>
      </c>
      <c r="C75" s="57" t="s">
        <v>1506</v>
      </c>
      <c r="D75" s="57" t="s">
        <v>1507</v>
      </c>
      <c r="E75" s="57" t="n">
        <v>115</v>
      </c>
      <c r="F75" s="57"/>
      <c r="G75" s="57" t="s">
        <v>56</v>
      </c>
      <c r="H75" s="57" t="s">
        <v>228</v>
      </c>
      <c r="I75" s="57" t="s">
        <v>1310</v>
      </c>
      <c r="J75" s="57" t="s">
        <v>184</v>
      </c>
      <c r="K75" s="57" t="s">
        <v>312</v>
      </c>
      <c r="L75" s="57" t="s">
        <v>309</v>
      </c>
      <c r="M75" s="58" t="n">
        <v>45378</v>
      </c>
      <c r="N75" s="58" t="n">
        <v>47203</v>
      </c>
      <c r="O75" s="58" t="n">
        <v>46177</v>
      </c>
      <c r="P75" s="57" t="s">
        <v>1508</v>
      </c>
      <c r="Q75" s="57" t="s">
        <v>1509</v>
      </c>
      <c r="R75" s="57" t="s">
        <v>1318</v>
      </c>
      <c r="S75" s="57" t="n">
        <v>0</v>
      </c>
      <c r="T75" s="57" t="n">
        <v>51.6</v>
      </c>
      <c r="U75" s="57" t="n">
        <v>63.4</v>
      </c>
      <c r="V75" s="57" t="n">
        <v>0</v>
      </c>
      <c r="W75" s="57" t="n">
        <v>0</v>
      </c>
      <c r="X75" s="57" t="n">
        <v>0</v>
      </c>
      <c r="Y75" s="57" t="s">
        <v>1307</v>
      </c>
      <c r="Z75" s="57"/>
      <c r="AA75" s="57" t="s">
        <v>284</v>
      </c>
      <c r="AB75" s="57" t="s">
        <v>347</v>
      </c>
      <c r="AC75" s="57" t="str">
        <f aca="false">IFERROR(INDEX(dp_geo,MATCH(B75,dp_id,0)),"Unmatched")</f>
        <v>Rest of City</v>
      </c>
      <c r="AD75" s="57" t="n">
        <f aca="false">IF(M75="","",YEAR(M75))</f>
        <v>2024</v>
      </c>
      <c r="AE75" s="57" t="n">
        <f aca="false">IF(O75="","",YEAR(O75))</f>
        <v>2026</v>
      </c>
      <c r="AF75" s="57" t="n">
        <f aca="false">IF(N75="","",YEAR(N75))</f>
        <v>2029</v>
      </c>
      <c r="AG75" s="57" t="n">
        <f aca="false">IF(AND(H75="Yes",OR(G75="Complete",G75="Under construction",G75="Permitted – not started",G75="Stalled")),1,0)</f>
        <v>1</v>
      </c>
      <c r="AH75" s="57" t="n">
        <f aca="false">IF(OR(G75="Under construction",G75="Permitted – not started",G75="Stalled"),1,0)</f>
        <v>1</v>
      </c>
    </row>
    <row r="76" customFormat="false" ht="15" hidden="false" customHeight="false" outlineLevel="0" collapsed="false">
      <c r="A76" s="57" t="s">
        <v>1510</v>
      </c>
      <c r="B76" s="57" t="s">
        <v>975</v>
      </c>
      <c r="C76" s="57" t="s">
        <v>1511</v>
      </c>
      <c r="D76" s="57" t="s">
        <v>976</v>
      </c>
      <c r="E76" s="57" t="n">
        <v>8</v>
      </c>
      <c r="F76" s="57"/>
      <c r="G76" s="57" t="s">
        <v>58</v>
      </c>
      <c r="H76" s="57" t="s">
        <v>228</v>
      </c>
      <c r="I76" s="57" t="s">
        <v>1347</v>
      </c>
      <c r="J76" s="57" t="s">
        <v>304</v>
      </c>
      <c r="K76" s="57" t="s">
        <v>308</v>
      </c>
      <c r="L76" s="57" t="s">
        <v>309</v>
      </c>
      <c r="M76" s="58" t="n">
        <v>45490</v>
      </c>
      <c r="N76" s="58" t="n">
        <v>47315</v>
      </c>
      <c r="O76" s="58"/>
      <c r="P76" s="57" t="s">
        <v>1311</v>
      </c>
      <c r="Q76" s="57" t="s">
        <v>1425</v>
      </c>
      <c r="R76" s="57" t="s">
        <v>1313</v>
      </c>
      <c r="S76" s="57" t="n">
        <v>0</v>
      </c>
      <c r="T76" s="57" t="n">
        <v>0</v>
      </c>
      <c r="U76" s="57" t="n">
        <v>4</v>
      </c>
      <c r="V76" s="57" t="n">
        <v>4</v>
      </c>
      <c r="W76" s="57" t="n">
        <v>0</v>
      </c>
      <c r="X76" s="57" t="n">
        <v>0</v>
      </c>
      <c r="Y76" s="57" t="s">
        <v>1307</v>
      </c>
      <c r="Z76" s="57"/>
      <c r="AA76" s="57" t="s">
        <v>258</v>
      </c>
      <c r="AB76" s="57" t="s">
        <v>347</v>
      </c>
      <c r="AC76" s="57" t="str">
        <f aca="false">IFERROR(INDEX(dp_geo,MATCH(B76,dp_id,0)),"Unmatched")</f>
        <v>City Centre</v>
      </c>
      <c r="AD76" s="57" t="n">
        <f aca="false">IF(M76="","",YEAR(M76))</f>
        <v>2024</v>
      </c>
      <c r="AE76" s="57" t="str">
        <f aca="false">IF(O76="","",YEAR(O76))</f>
        <v/>
      </c>
      <c r="AF76" s="57" t="n">
        <f aca="false">IF(N76="","",YEAR(N76))</f>
        <v>2029</v>
      </c>
      <c r="AG76" s="57" t="n">
        <f aca="false">IF(AND(H76="Yes",OR(G76="Complete",G76="Under construction",G76="Permitted – not started",G76="Stalled")),1,0)</f>
        <v>1</v>
      </c>
      <c r="AH76" s="57" t="n">
        <f aca="false">IF(OR(G76="Under construction",G76="Permitted – not started",G76="Stalled"),1,0)</f>
        <v>1</v>
      </c>
    </row>
    <row r="77" customFormat="false" ht="15" hidden="false" customHeight="false" outlineLevel="0" collapsed="false">
      <c r="A77" s="57" t="s">
        <v>1512</v>
      </c>
      <c r="B77" s="57" t="s">
        <v>993</v>
      </c>
      <c r="C77" s="57" t="s">
        <v>1513</v>
      </c>
      <c r="D77" s="57" t="s">
        <v>994</v>
      </c>
      <c r="E77" s="57" t="n">
        <v>7</v>
      </c>
      <c r="F77" s="57"/>
      <c r="G77" s="57" t="s">
        <v>56</v>
      </c>
      <c r="H77" s="57" t="s">
        <v>228</v>
      </c>
      <c r="I77" s="57" t="s">
        <v>1347</v>
      </c>
      <c r="J77" s="57" t="s">
        <v>304</v>
      </c>
      <c r="K77" s="57" t="s">
        <v>308</v>
      </c>
      <c r="L77" s="57" t="s">
        <v>309</v>
      </c>
      <c r="M77" s="58" t="n">
        <v>45524</v>
      </c>
      <c r="N77" s="58" t="n">
        <v>47349</v>
      </c>
      <c r="O77" s="58" t="n">
        <v>46136</v>
      </c>
      <c r="P77" s="57" t="s">
        <v>1508</v>
      </c>
      <c r="Q77" s="57" t="s">
        <v>1514</v>
      </c>
      <c r="R77" s="57" t="s">
        <v>1318</v>
      </c>
      <c r="S77" s="57" t="n">
        <v>0</v>
      </c>
      <c r="T77" s="57" t="n">
        <v>5.8</v>
      </c>
      <c r="U77" s="57" t="n">
        <v>1.2</v>
      </c>
      <c r="V77" s="57" t="n">
        <v>0</v>
      </c>
      <c r="W77" s="57" t="n">
        <v>0</v>
      </c>
      <c r="X77" s="57" t="n">
        <v>0</v>
      </c>
      <c r="Y77" s="57" t="s">
        <v>1307</v>
      </c>
      <c r="Z77" s="57"/>
      <c r="AA77" s="57" t="s">
        <v>258</v>
      </c>
      <c r="AB77" s="57" t="s">
        <v>347</v>
      </c>
      <c r="AC77" s="57" t="str">
        <f aca="false">IFERROR(INDEX(dp_geo,MATCH(B77,dp_id,0)),"Unmatched")</f>
        <v>City Centre</v>
      </c>
      <c r="AD77" s="57" t="n">
        <f aca="false">IF(M77="","",YEAR(M77))</f>
        <v>2024</v>
      </c>
      <c r="AE77" s="57" t="n">
        <f aca="false">IF(O77="","",YEAR(O77))</f>
        <v>2026</v>
      </c>
      <c r="AF77" s="57" t="n">
        <f aca="false">IF(N77="","",YEAR(N77))</f>
        <v>2029</v>
      </c>
      <c r="AG77" s="57" t="n">
        <f aca="false">IF(AND(H77="Yes",OR(G77="Complete",G77="Under construction",G77="Permitted – not started",G77="Stalled")),1,0)</f>
        <v>1</v>
      </c>
      <c r="AH77" s="57" t="n">
        <f aca="false">IF(OR(G77="Under construction",G77="Permitted – not started",G77="Stalled"),1,0)</f>
        <v>1</v>
      </c>
    </row>
    <row r="78" customFormat="false" ht="15" hidden="false" customHeight="false" outlineLevel="0" collapsed="false">
      <c r="A78" s="57" t="s">
        <v>1515</v>
      </c>
      <c r="B78" s="57" t="s">
        <v>1081</v>
      </c>
      <c r="C78" s="57" t="s">
        <v>1516</v>
      </c>
      <c r="D78" s="57" t="s">
        <v>1082</v>
      </c>
      <c r="E78" s="57" t="n">
        <v>3</v>
      </c>
      <c r="F78" s="57"/>
      <c r="G78" s="57" t="s">
        <v>58</v>
      </c>
      <c r="H78" s="57" t="s">
        <v>228</v>
      </c>
      <c r="I78" s="57" t="s">
        <v>1310</v>
      </c>
      <c r="J78" s="57" t="s">
        <v>304</v>
      </c>
      <c r="K78" s="57" t="s">
        <v>308</v>
      </c>
      <c r="L78" s="57" t="s">
        <v>309</v>
      </c>
      <c r="M78" s="58" t="n">
        <v>45475</v>
      </c>
      <c r="N78" s="58" t="n">
        <v>47300</v>
      </c>
      <c r="O78" s="58"/>
      <c r="P78" s="57" t="s">
        <v>1311</v>
      </c>
      <c r="Q78" s="57" t="s">
        <v>1312</v>
      </c>
      <c r="R78" s="57" t="s">
        <v>1313</v>
      </c>
      <c r="S78" s="57" t="n">
        <v>0</v>
      </c>
      <c r="T78" s="57" t="n">
        <v>0</v>
      </c>
      <c r="U78" s="57" t="n">
        <v>1.9</v>
      </c>
      <c r="V78" s="57" t="n">
        <v>1.1</v>
      </c>
      <c r="W78" s="57" t="n">
        <v>0</v>
      </c>
      <c r="X78" s="57" t="n">
        <v>0</v>
      </c>
      <c r="Y78" s="57" t="s">
        <v>1307</v>
      </c>
      <c r="Z78" s="57"/>
      <c r="AA78" s="57" t="s">
        <v>365</v>
      </c>
      <c r="AB78" s="57" t="s">
        <v>365</v>
      </c>
      <c r="AC78" s="57" t="str">
        <f aca="false">IFERROR(INDEX(dp_geo,MATCH(B78,dp_id,0)),"Unmatched")</f>
        <v>Remainder of County</v>
      </c>
      <c r="AD78" s="57" t="n">
        <f aca="false">IF(M78="","",YEAR(M78))</f>
        <v>2024</v>
      </c>
      <c r="AE78" s="57" t="str">
        <f aca="false">IF(O78="","",YEAR(O78))</f>
        <v/>
      </c>
      <c r="AF78" s="57" t="n">
        <f aca="false">IF(N78="","",YEAR(N78))</f>
        <v>2029</v>
      </c>
      <c r="AG78" s="57" t="n">
        <f aca="false">IF(AND(H78="Yes",OR(G78="Complete",G78="Under construction",G78="Permitted – not started",G78="Stalled")),1,0)</f>
        <v>1</v>
      </c>
      <c r="AH78" s="57" t="n">
        <f aca="false">IF(OR(G78="Under construction",G78="Permitted – not started",G78="Stalled"),1,0)</f>
        <v>1</v>
      </c>
    </row>
    <row r="79" customFormat="false" ht="15" hidden="false" customHeight="false" outlineLevel="0" collapsed="false">
      <c r="A79" s="57" t="s">
        <v>1517</v>
      </c>
      <c r="B79" s="57" t="s">
        <v>948</v>
      </c>
      <c r="C79" s="57" t="s">
        <v>1518</v>
      </c>
      <c r="D79" s="57" t="s">
        <v>949</v>
      </c>
      <c r="E79" s="57" t="n">
        <v>11</v>
      </c>
      <c r="F79" s="57"/>
      <c r="G79" s="57" t="s">
        <v>56</v>
      </c>
      <c r="H79" s="57" t="s">
        <v>228</v>
      </c>
      <c r="I79" s="57" t="s">
        <v>1310</v>
      </c>
      <c r="J79" s="57" t="s">
        <v>184</v>
      </c>
      <c r="K79" s="57" t="s">
        <v>310</v>
      </c>
      <c r="L79" s="57" t="s">
        <v>313</v>
      </c>
      <c r="M79" s="58"/>
      <c r="N79" s="58"/>
      <c r="O79" s="58" t="n">
        <v>45614</v>
      </c>
      <c r="P79" s="57" t="s">
        <v>1468</v>
      </c>
      <c r="Q79" s="57" t="s">
        <v>1317</v>
      </c>
      <c r="R79" s="57" t="s">
        <v>1318</v>
      </c>
      <c r="S79" s="57" t="n">
        <v>2.6</v>
      </c>
      <c r="T79" s="57" t="n">
        <v>8.4</v>
      </c>
      <c r="U79" s="57" t="n">
        <v>0</v>
      </c>
      <c r="V79" s="57" t="n">
        <v>0</v>
      </c>
      <c r="W79" s="57" t="n">
        <v>0</v>
      </c>
      <c r="X79" s="57" t="n">
        <v>0</v>
      </c>
      <c r="Y79" s="57" t="s">
        <v>1307</v>
      </c>
      <c r="Z79" s="57"/>
      <c r="AA79" s="57" t="s">
        <v>351</v>
      </c>
      <c r="AB79" s="57" t="s">
        <v>349</v>
      </c>
      <c r="AC79" s="57" t="str">
        <f aca="false">IFERROR(INDEX(dp_geo,MATCH(B79,dp_id,0)),"Unmatched")</f>
        <v>Settlements</v>
      </c>
      <c r="AD79" s="57" t="str">
        <f aca="false">IF(M79="","",YEAR(M79))</f>
        <v/>
      </c>
      <c r="AE79" s="57" t="n">
        <f aca="false">IF(O79="","",YEAR(O79))</f>
        <v>2024</v>
      </c>
      <c r="AF79" s="57" t="str">
        <f aca="false">IF(N79="","",YEAR(N79))</f>
        <v/>
      </c>
      <c r="AG79" s="57" t="n">
        <f aca="false">IF(AND(H79="Yes",OR(G79="Complete",G79="Under construction",G79="Permitted – not started",G79="Stalled")),1,0)</f>
        <v>1</v>
      </c>
      <c r="AH79" s="57" t="n">
        <f aca="false">IF(OR(G79="Under construction",G79="Permitted – not started",G79="Stalled"),1,0)</f>
        <v>1</v>
      </c>
    </row>
    <row r="80" customFormat="false" ht="15" hidden="false" customHeight="false" outlineLevel="0" collapsed="false">
      <c r="A80" s="57" t="s">
        <v>1519</v>
      </c>
      <c r="B80" s="57" t="s">
        <v>877</v>
      </c>
      <c r="C80" s="57" t="s">
        <v>1520</v>
      </c>
      <c r="D80" s="57" t="s">
        <v>878</v>
      </c>
      <c r="E80" s="57" t="n">
        <v>18</v>
      </c>
      <c r="F80" s="57"/>
      <c r="G80" s="57" t="s">
        <v>56</v>
      </c>
      <c r="H80" s="57" t="s">
        <v>228</v>
      </c>
      <c r="I80" s="57" t="s">
        <v>1310</v>
      </c>
      <c r="J80" s="57" t="s">
        <v>304</v>
      </c>
      <c r="K80" s="57" t="s">
        <v>308</v>
      </c>
      <c r="L80" s="57" t="s">
        <v>309</v>
      </c>
      <c r="M80" s="58" t="n">
        <v>45723</v>
      </c>
      <c r="N80" s="58" t="n">
        <v>47548</v>
      </c>
      <c r="O80" s="58" t="n">
        <v>45939</v>
      </c>
      <c r="P80" s="57" t="s">
        <v>1447</v>
      </c>
      <c r="Q80" s="57" t="s">
        <v>1317</v>
      </c>
      <c r="R80" s="57" t="s">
        <v>1318</v>
      </c>
      <c r="S80" s="57" t="n">
        <v>3.6</v>
      </c>
      <c r="T80" s="57" t="n">
        <v>14.4</v>
      </c>
      <c r="U80" s="57" t="n">
        <v>0</v>
      </c>
      <c r="V80" s="57" t="n">
        <v>0</v>
      </c>
      <c r="W80" s="57" t="n">
        <v>0</v>
      </c>
      <c r="X80" s="57" t="n">
        <v>0</v>
      </c>
      <c r="Y80" s="57" t="s">
        <v>1307</v>
      </c>
      <c r="Z80" s="57"/>
      <c r="AA80" s="57" t="s">
        <v>365</v>
      </c>
      <c r="AB80" s="57" t="s">
        <v>365</v>
      </c>
      <c r="AC80" s="57" t="str">
        <f aca="false">IFERROR(INDEX(dp_geo,MATCH(B80,dp_id,0)),"Unmatched")</f>
        <v>Remainder of County</v>
      </c>
      <c r="AD80" s="57" t="n">
        <f aca="false">IF(M80="","",YEAR(M80))</f>
        <v>2025</v>
      </c>
      <c r="AE80" s="57" t="n">
        <f aca="false">IF(O80="","",YEAR(O80))</f>
        <v>2025</v>
      </c>
      <c r="AF80" s="57" t="n">
        <f aca="false">IF(N80="","",YEAR(N80))</f>
        <v>2030</v>
      </c>
      <c r="AG80" s="57" t="n">
        <f aca="false">IF(AND(H80="Yes",OR(G80="Complete",G80="Under construction",G80="Permitted – not started",G80="Stalled")),1,0)</f>
        <v>1</v>
      </c>
      <c r="AH80" s="57" t="n">
        <f aca="false">IF(OR(G80="Under construction",G80="Permitted – not started",G80="Stalled"),1,0)</f>
        <v>1</v>
      </c>
    </row>
    <row r="81" customFormat="false" ht="15" hidden="false" customHeight="false" outlineLevel="0" collapsed="false">
      <c r="A81" s="57" t="s">
        <v>1521</v>
      </c>
      <c r="B81" s="57" t="s">
        <v>806</v>
      </c>
      <c r="C81" s="57" t="s">
        <v>1522</v>
      </c>
      <c r="D81" s="57" t="s">
        <v>807</v>
      </c>
      <c r="E81" s="57" t="n">
        <v>40</v>
      </c>
      <c r="F81" s="57"/>
      <c r="G81" s="57" t="s">
        <v>58</v>
      </c>
      <c r="H81" s="57" t="s">
        <v>228</v>
      </c>
      <c r="I81" s="57" t="s">
        <v>1310</v>
      </c>
      <c r="J81" s="57" t="s">
        <v>304</v>
      </c>
      <c r="K81" s="57" t="s">
        <v>308</v>
      </c>
      <c r="L81" s="57" t="s">
        <v>309</v>
      </c>
      <c r="M81" s="58" t="n">
        <v>45694</v>
      </c>
      <c r="N81" s="58" t="n">
        <v>47519</v>
      </c>
      <c r="O81" s="58"/>
      <c r="P81" s="57" t="s">
        <v>1311</v>
      </c>
      <c r="Q81" s="57" t="s">
        <v>1312</v>
      </c>
      <c r="R81" s="57" t="s">
        <v>1313</v>
      </c>
      <c r="S81" s="57" t="n">
        <v>0</v>
      </c>
      <c r="T81" s="57" t="n">
        <v>0</v>
      </c>
      <c r="U81" s="57" t="n">
        <v>22</v>
      </c>
      <c r="V81" s="57" t="n">
        <v>18</v>
      </c>
      <c r="W81" s="57" t="n">
        <v>0</v>
      </c>
      <c r="X81" s="57" t="n">
        <v>0</v>
      </c>
      <c r="Y81" s="57" t="s">
        <v>1307</v>
      </c>
      <c r="Z81" s="57"/>
      <c r="AA81" s="57" t="s">
        <v>258</v>
      </c>
      <c r="AB81" s="57" t="s">
        <v>347</v>
      </c>
      <c r="AC81" s="57" t="str">
        <f aca="false">IFERROR(INDEX(dp_geo,MATCH(B81,dp_id,0)),"Unmatched")</f>
        <v>City Centre</v>
      </c>
      <c r="AD81" s="57" t="n">
        <f aca="false">IF(M81="","",YEAR(M81))</f>
        <v>2025</v>
      </c>
      <c r="AE81" s="57" t="str">
        <f aca="false">IF(O81="","",YEAR(O81))</f>
        <v/>
      </c>
      <c r="AF81" s="57" t="n">
        <f aca="false">IF(N81="","",YEAR(N81))</f>
        <v>2030</v>
      </c>
      <c r="AG81" s="57" t="n">
        <f aca="false">IF(AND(H81="Yes",OR(G81="Complete",G81="Under construction",G81="Permitted – not started",G81="Stalled")),1,0)</f>
        <v>1</v>
      </c>
      <c r="AH81" s="57" t="n">
        <f aca="false">IF(OR(G81="Under construction",G81="Permitted – not started",G81="Stalled"),1,0)</f>
        <v>1</v>
      </c>
    </row>
    <row r="82" customFormat="false" ht="15" hidden="false" customHeight="false" outlineLevel="0" collapsed="false">
      <c r="A82" s="57" t="s">
        <v>1523</v>
      </c>
      <c r="B82" s="57" t="s">
        <v>625</v>
      </c>
      <c r="C82" s="57" t="s">
        <v>1524</v>
      </c>
      <c r="D82" s="57" t="s">
        <v>1525</v>
      </c>
      <c r="E82" s="57" t="n">
        <v>25</v>
      </c>
      <c r="F82" s="57"/>
      <c r="G82" s="57" t="s">
        <v>58</v>
      </c>
      <c r="H82" s="57" t="s">
        <v>228</v>
      </c>
      <c r="I82" s="57" t="s">
        <v>1310</v>
      </c>
      <c r="J82" s="57" t="s">
        <v>304</v>
      </c>
      <c r="K82" s="57" t="s">
        <v>308</v>
      </c>
      <c r="L82" s="57" t="s">
        <v>309</v>
      </c>
      <c r="M82" s="58" t="n">
        <v>45961</v>
      </c>
      <c r="N82" s="58" t="n">
        <v>47786</v>
      </c>
      <c r="O82" s="58"/>
      <c r="P82" s="57" t="s">
        <v>1469</v>
      </c>
      <c r="Q82" s="57" t="s">
        <v>1348</v>
      </c>
      <c r="R82" s="57" t="s">
        <v>1526</v>
      </c>
      <c r="S82" s="57" t="n">
        <v>0</v>
      </c>
      <c r="T82" s="57" t="n">
        <v>0</v>
      </c>
      <c r="U82" s="57" t="n">
        <v>20.8</v>
      </c>
      <c r="V82" s="57" t="n">
        <v>4.2</v>
      </c>
      <c r="W82" s="57" t="n">
        <v>0</v>
      </c>
      <c r="X82" s="57" t="n">
        <v>0</v>
      </c>
      <c r="Y82" s="57" t="s">
        <v>1307</v>
      </c>
      <c r="Z82" s="57"/>
      <c r="AA82" s="57" t="s">
        <v>288</v>
      </c>
      <c r="AB82" s="57" t="s">
        <v>347</v>
      </c>
      <c r="AC82" s="57" t="str">
        <f aca="false">IFERROR(INDEX(dp_geo,MATCH(B82,dp_id,0)),"Unmatched")</f>
        <v>Rest of City</v>
      </c>
      <c r="AD82" s="57" t="n">
        <f aca="false">IF(M82="","",YEAR(M82))</f>
        <v>2025</v>
      </c>
      <c r="AE82" s="57" t="str">
        <f aca="false">IF(O82="","",YEAR(O82))</f>
        <v/>
      </c>
      <c r="AF82" s="57" t="n">
        <f aca="false">IF(N82="","",YEAR(N82))</f>
        <v>2030</v>
      </c>
      <c r="AG82" s="57" t="n">
        <f aca="false">IF(AND(H82="Yes",OR(G82="Complete",G82="Under construction",G82="Permitted – not started",G82="Stalled")),1,0)</f>
        <v>1</v>
      </c>
      <c r="AH82" s="57" t="n">
        <f aca="false">IF(OR(G82="Under construction",G82="Permitted – not started",G82="Stalled"),1,0)</f>
        <v>1</v>
      </c>
    </row>
    <row r="83" customFormat="false" ht="15" hidden="false" customHeight="false" outlineLevel="0" collapsed="false">
      <c r="A83" s="57" t="s">
        <v>1527</v>
      </c>
      <c r="B83" s="57" t="s">
        <v>1017</v>
      </c>
      <c r="C83" s="57" t="s">
        <v>1528</v>
      </c>
      <c r="D83" s="57" t="s">
        <v>1018</v>
      </c>
      <c r="E83" s="57" t="n">
        <v>6</v>
      </c>
      <c r="F83" s="57"/>
      <c r="G83" s="57" t="s">
        <v>56</v>
      </c>
      <c r="H83" s="57" t="s">
        <v>228</v>
      </c>
      <c r="I83" s="57" t="s">
        <v>1310</v>
      </c>
      <c r="J83" s="57" t="s">
        <v>184</v>
      </c>
      <c r="K83" s="57" t="s">
        <v>310</v>
      </c>
      <c r="L83" s="57" t="s">
        <v>313</v>
      </c>
      <c r="M83" s="58" t="n">
        <v>45630</v>
      </c>
      <c r="N83" s="58"/>
      <c r="O83" s="58" t="n">
        <v>46155</v>
      </c>
      <c r="P83" s="57" t="s">
        <v>1508</v>
      </c>
      <c r="Q83" s="57" t="s">
        <v>1514</v>
      </c>
      <c r="R83" s="57" t="s">
        <v>1318</v>
      </c>
      <c r="S83" s="57" t="n">
        <v>0</v>
      </c>
      <c r="T83" s="57" t="n">
        <v>4.7</v>
      </c>
      <c r="U83" s="57" t="n">
        <v>1.3</v>
      </c>
      <c r="V83" s="57" t="n">
        <v>0</v>
      </c>
      <c r="W83" s="57" t="n">
        <v>0</v>
      </c>
      <c r="X83" s="57" t="n">
        <v>0</v>
      </c>
      <c r="Y83" s="57" t="s">
        <v>1307</v>
      </c>
      <c r="Z83" s="57"/>
      <c r="AA83" s="57" t="s">
        <v>285</v>
      </c>
      <c r="AB83" s="57" t="s">
        <v>347</v>
      </c>
      <c r="AC83" s="57" t="str">
        <f aca="false">IFERROR(INDEX(dp_geo,MATCH(B83,dp_id,0)),"Unmatched")</f>
        <v>Rest of City</v>
      </c>
      <c r="AD83" s="57" t="n">
        <f aca="false">IF(M83="","",YEAR(M83))</f>
        <v>2024</v>
      </c>
      <c r="AE83" s="57" t="n">
        <f aca="false">IF(O83="","",YEAR(O83))</f>
        <v>2026</v>
      </c>
      <c r="AF83" s="57" t="str">
        <f aca="false">IF(N83="","",YEAR(N83))</f>
        <v/>
      </c>
      <c r="AG83" s="57" t="n">
        <f aca="false">IF(AND(H83="Yes",OR(G83="Complete",G83="Under construction",G83="Permitted – not started",G83="Stalled")),1,0)</f>
        <v>1</v>
      </c>
      <c r="AH83" s="57" t="n">
        <f aca="false">IF(OR(G83="Under construction",G83="Permitted – not started",G83="Stalled"),1,0)</f>
        <v>1</v>
      </c>
    </row>
    <row r="84" customFormat="false" ht="15" hidden="false" customHeight="false" outlineLevel="0" collapsed="false">
      <c r="A84" s="57" t="s">
        <v>1529</v>
      </c>
      <c r="B84" s="57" t="s">
        <v>802</v>
      </c>
      <c r="C84" s="57" t="s">
        <v>1530</v>
      </c>
      <c r="D84" s="57" t="s">
        <v>803</v>
      </c>
      <c r="E84" s="57" t="n">
        <v>42</v>
      </c>
      <c r="F84" s="57"/>
      <c r="G84" s="57" t="s">
        <v>56</v>
      </c>
      <c r="H84" s="57" t="s">
        <v>228</v>
      </c>
      <c r="I84" s="57" t="s">
        <v>1310</v>
      </c>
      <c r="J84" s="57" t="s">
        <v>304</v>
      </c>
      <c r="K84" s="57" t="s">
        <v>308</v>
      </c>
      <c r="L84" s="57" t="s">
        <v>309</v>
      </c>
      <c r="M84" s="58" t="n">
        <v>45853</v>
      </c>
      <c r="N84" s="58" t="n">
        <v>47678</v>
      </c>
      <c r="O84" s="58" t="n">
        <v>46118</v>
      </c>
      <c r="P84" s="57" t="s">
        <v>1508</v>
      </c>
      <c r="Q84" s="57" t="s">
        <v>1514</v>
      </c>
      <c r="R84" s="57" t="s">
        <v>1318</v>
      </c>
      <c r="S84" s="57" t="n">
        <v>0</v>
      </c>
      <c r="T84" s="57" t="n">
        <v>32</v>
      </c>
      <c r="U84" s="57" t="n">
        <v>10</v>
      </c>
      <c r="V84" s="57" t="n">
        <v>0</v>
      </c>
      <c r="W84" s="57" t="n">
        <v>0</v>
      </c>
      <c r="X84" s="57" t="n">
        <v>0</v>
      </c>
      <c r="Y84" s="57" t="s">
        <v>1307</v>
      </c>
      <c r="Z84" s="57"/>
      <c r="AA84" s="57" t="s">
        <v>352</v>
      </c>
      <c r="AB84" s="57" t="s">
        <v>349</v>
      </c>
      <c r="AC84" s="57" t="str">
        <f aca="false">IFERROR(INDEX(dp_geo,MATCH(B84,dp_id,0)),"Unmatched")</f>
        <v>Settlements</v>
      </c>
      <c r="AD84" s="57" t="n">
        <f aca="false">IF(M84="","",YEAR(M84))</f>
        <v>2025</v>
      </c>
      <c r="AE84" s="57" t="n">
        <f aca="false">IF(O84="","",YEAR(O84))</f>
        <v>2026</v>
      </c>
      <c r="AF84" s="57" t="n">
        <f aca="false">IF(N84="","",YEAR(N84))</f>
        <v>2030</v>
      </c>
      <c r="AG84" s="57" t="n">
        <f aca="false">IF(AND(H84="Yes",OR(G84="Complete",G84="Under construction",G84="Permitted – not started",G84="Stalled")),1,0)</f>
        <v>1</v>
      </c>
      <c r="AH84" s="57" t="n">
        <f aca="false">IF(OR(G84="Under construction",G84="Permitted – not started",G84="Stalled"),1,0)</f>
        <v>1</v>
      </c>
    </row>
    <row r="85" customFormat="false" ht="15" hidden="false" customHeight="false" outlineLevel="0" collapsed="false">
      <c r="A85" s="57" t="s">
        <v>1531</v>
      </c>
      <c r="B85" s="57" t="s">
        <v>1019</v>
      </c>
      <c r="C85" s="57" t="s">
        <v>1532</v>
      </c>
      <c r="D85" s="57" t="s">
        <v>1020</v>
      </c>
      <c r="E85" s="57" t="n">
        <v>6</v>
      </c>
      <c r="F85" s="57"/>
      <c r="G85" s="57" t="s">
        <v>208</v>
      </c>
      <c r="H85" s="57" t="s">
        <v>228</v>
      </c>
      <c r="I85" s="57" t="s">
        <v>1310</v>
      </c>
      <c r="J85" s="57" t="s">
        <v>184</v>
      </c>
      <c r="K85" s="57" t="s">
        <v>310</v>
      </c>
      <c r="L85" s="57" t="s">
        <v>313</v>
      </c>
      <c r="M85" s="58" t="n">
        <v>45416</v>
      </c>
      <c r="N85" s="58"/>
      <c r="O85" s="58" t="n">
        <v>45523</v>
      </c>
      <c r="P85" s="57"/>
      <c r="Q85" s="57"/>
      <c r="R85" s="57" t="s">
        <v>1306</v>
      </c>
      <c r="S85" s="57" t="n">
        <v>0</v>
      </c>
      <c r="T85" s="57" t="n">
        <v>0</v>
      </c>
      <c r="U85" s="57" t="n">
        <v>0</v>
      </c>
      <c r="V85" s="57" t="n">
        <v>0</v>
      </c>
      <c r="W85" s="57" t="n">
        <v>0</v>
      </c>
      <c r="X85" s="57" t="n">
        <v>0</v>
      </c>
      <c r="Y85" s="57" t="s">
        <v>1307</v>
      </c>
      <c r="Z85" s="57" t="s">
        <v>1396</v>
      </c>
      <c r="AA85" s="57" t="s">
        <v>284</v>
      </c>
      <c r="AB85" s="57" t="s">
        <v>347</v>
      </c>
      <c r="AC85" s="57" t="str">
        <f aca="false">IFERROR(INDEX(dp_geo,MATCH(B85,dp_id,0)),"Unmatched")</f>
        <v>Rest of City</v>
      </c>
      <c r="AD85" s="57" t="n">
        <f aca="false">IF(M85="","",YEAR(M85))</f>
        <v>2024</v>
      </c>
      <c r="AE85" s="57" t="n">
        <f aca="false">IF(O85="","",YEAR(O85))</f>
        <v>2024</v>
      </c>
      <c r="AF85" s="57" t="str">
        <f aca="false">IF(N85="","",YEAR(N85))</f>
        <v/>
      </c>
      <c r="AG85" s="57" t="n">
        <f aca="false">IF(AND(H85="Yes",OR(G85="Complete",G85="Under construction",G85="Permitted – not started",G85="Stalled")),1,0)</f>
        <v>1</v>
      </c>
      <c r="AH85" s="57" t="n">
        <f aca="false">IF(OR(G85="Under construction",G85="Permitted – not started",G85="Stalled"),1,0)</f>
        <v>0</v>
      </c>
    </row>
    <row r="86" customFormat="false" ht="15" hidden="false" customHeight="false" outlineLevel="0" collapsed="false">
      <c r="A86" s="57" t="s">
        <v>1533</v>
      </c>
      <c r="B86" s="57" t="s">
        <v>917</v>
      </c>
      <c r="C86" s="57" t="s">
        <v>1534</v>
      </c>
      <c r="D86" s="57" t="s">
        <v>918</v>
      </c>
      <c r="E86" s="57" t="n">
        <v>14</v>
      </c>
      <c r="F86" s="57"/>
      <c r="G86" s="57" t="s">
        <v>208</v>
      </c>
      <c r="H86" s="57" t="s">
        <v>228</v>
      </c>
      <c r="I86" s="57" t="s">
        <v>1310</v>
      </c>
      <c r="J86" s="57" t="s">
        <v>184</v>
      </c>
      <c r="K86" s="57" t="s">
        <v>310</v>
      </c>
      <c r="L86" s="57" t="s">
        <v>313</v>
      </c>
      <c r="M86" s="58" t="n">
        <v>45413</v>
      </c>
      <c r="N86" s="58"/>
      <c r="O86" s="58" t="n">
        <v>45527</v>
      </c>
      <c r="P86" s="57"/>
      <c r="Q86" s="57"/>
      <c r="R86" s="57" t="s">
        <v>1306</v>
      </c>
      <c r="S86" s="57" t="n">
        <v>0</v>
      </c>
      <c r="T86" s="57" t="n">
        <v>0</v>
      </c>
      <c r="U86" s="57" t="n">
        <v>0</v>
      </c>
      <c r="V86" s="57" t="n">
        <v>0</v>
      </c>
      <c r="W86" s="57" t="n">
        <v>0</v>
      </c>
      <c r="X86" s="57" t="n">
        <v>0</v>
      </c>
      <c r="Y86" s="57" t="s">
        <v>1307</v>
      </c>
      <c r="Z86" s="57" t="s">
        <v>1331</v>
      </c>
      <c r="AA86" s="57" t="s">
        <v>287</v>
      </c>
      <c r="AB86" s="57" t="s">
        <v>347</v>
      </c>
      <c r="AC86" s="57" t="str">
        <f aca="false">IFERROR(INDEX(dp_geo,MATCH(B86,dp_id,0)),"Unmatched")</f>
        <v>Rest of City</v>
      </c>
      <c r="AD86" s="57" t="n">
        <f aca="false">IF(M86="","",YEAR(M86))</f>
        <v>2024</v>
      </c>
      <c r="AE86" s="57" t="n">
        <f aca="false">IF(O86="","",YEAR(O86))</f>
        <v>2024</v>
      </c>
      <c r="AF86" s="57" t="str">
        <f aca="false">IF(N86="","",YEAR(N86))</f>
        <v/>
      </c>
      <c r="AG86" s="57" t="n">
        <f aca="false">IF(AND(H86="Yes",OR(G86="Complete",G86="Under construction",G86="Permitted – not started",G86="Stalled")),1,0)</f>
        <v>1</v>
      </c>
      <c r="AH86" s="57" t="n">
        <f aca="false">IF(OR(G86="Under construction",G86="Permitted – not started",G86="Stalled"),1,0)</f>
        <v>0</v>
      </c>
    </row>
    <row r="87" customFormat="false" ht="15" hidden="false" customHeight="false" outlineLevel="0" collapsed="false">
      <c r="A87" s="57" t="s">
        <v>1535</v>
      </c>
      <c r="B87" s="57" t="s">
        <v>822</v>
      </c>
      <c r="C87" s="57" t="s">
        <v>1536</v>
      </c>
      <c r="D87" s="57" t="s">
        <v>823</v>
      </c>
      <c r="E87" s="57" t="n">
        <v>30</v>
      </c>
      <c r="F87" s="57"/>
      <c r="G87" s="57" t="s">
        <v>56</v>
      </c>
      <c r="H87" s="57" t="s">
        <v>228</v>
      </c>
      <c r="I87" s="57" t="s">
        <v>1310</v>
      </c>
      <c r="J87" s="57" t="s">
        <v>304</v>
      </c>
      <c r="K87" s="57" t="s">
        <v>308</v>
      </c>
      <c r="L87" s="57" t="s">
        <v>309</v>
      </c>
      <c r="M87" s="58" t="n">
        <v>45917</v>
      </c>
      <c r="N87" s="58" t="n">
        <v>47742</v>
      </c>
      <c r="O87" s="58" t="n">
        <v>46013</v>
      </c>
      <c r="P87" s="57" t="s">
        <v>1447</v>
      </c>
      <c r="Q87" s="57" t="s">
        <v>1317</v>
      </c>
      <c r="R87" s="57" t="s">
        <v>1318</v>
      </c>
      <c r="S87" s="57" t="n">
        <v>7</v>
      </c>
      <c r="T87" s="57" t="n">
        <v>23</v>
      </c>
      <c r="U87" s="57" t="n">
        <v>0</v>
      </c>
      <c r="V87" s="57" t="n">
        <v>0</v>
      </c>
      <c r="W87" s="57" t="n">
        <v>0</v>
      </c>
      <c r="X87" s="57" t="n">
        <v>0</v>
      </c>
      <c r="Y87" s="57" t="s">
        <v>1307</v>
      </c>
      <c r="Z87" s="57"/>
      <c r="AA87" s="57" t="s">
        <v>365</v>
      </c>
      <c r="AB87" s="57" t="s">
        <v>365</v>
      </c>
      <c r="AC87" s="57" t="str">
        <f aca="false">IFERROR(INDEX(dp_geo,MATCH(B87,dp_id,0)),"Unmatched")</f>
        <v>Remainder of County</v>
      </c>
      <c r="AD87" s="57" t="n">
        <f aca="false">IF(M87="","",YEAR(M87))</f>
        <v>2025</v>
      </c>
      <c r="AE87" s="57" t="n">
        <f aca="false">IF(O87="","",YEAR(O87))</f>
        <v>2025</v>
      </c>
      <c r="AF87" s="57" t="n">
        <f aca="false">IF(N87="","",YEAR(N87))</f>
        <v>2030</v>
      </c>
      <c r="AG87" s="57" t="n">
        <f aca="false">IF(AND(H87="Yes",OR(G87="Complete",G87="Under construction",G87="Permitted – not started",G87="Stalled")),1,0)</f>
        <v>1</v>
      </c>
      <c r="AH87" s="57" t="n">
        <f aca="false">IF(OR(G87="Under construction",G87="Permitted – not started",G87="Stalled"),1,0)</f>
        <v>1</v>
      </c>
    </row>
    <row r="88" customFormat="false" ht="15" hidden="false" customHeight="false" outlineLevel="0" collapsed="false">
      <c r="A88" s="57" t="s">
        <v>1537</v>
      </c>
      <c r="B88" s="57" t="s">
        <v>839</v>
      </c>
      <c r="C88" s="57" t="s">
        <v>1538</v>
      </c>
      <c r="D88" s="57" t="s">
        <v>840</v>
      </c>
      <c r="E88" s="57" t="n">
        <v>27</v>
      </c>
      <c r="F88" s="57"/>
      <c r="G88" s="57" t="s">
        <v>58</v>
      </c>
      <c r="H88" s="57" t="s">
        <v>228</v>
      </c>
      <c r="I88" s="57" t="s">
        <v>1310</v>
      </c>
      <c r="J88" s="57" t="s">
        <v>304</v>
      </c>
      <c r="K88" s="57" t="s">
        <v>308</v>
      </c>
      <c r="L88" s="57" t="s">
        <v>309</v>
      </c>
      <c r="M88" s="58" t="n">
        <v>46111</v>
      </c>
      <c r="N88" s="58" t="n">
        <v>47936</v>
      </c>
      <c r="O88" s="58"/>
      <c r="P88" s="57" t="s">
        <v>1317</v>
      </c>
      <c r="Q88" s="57" t="s">
        <v>1425</v>
      </c>
      <c r="R88" s="57" t="s">
        <v>1526</v>
      </c>
      <c r="S88" s="57" t="n">
        <v>0</v>
      </c>
      <c r="T88" s="57" t="n">
        <v>0</v>
      </c>
      <c r="U88" s="57" t="n">
        <v>11.4</v>
      </c>
      <c r="V88" s="57" t="n">
        <v>15.6</v>
      </c>
      <c r="W88" s="57" t="n">
        <v>0</v>
      </c>
      <c r="X88" s="57" t="n">
        <v>0</v>
      </c>
      <c r="Y88" s="57" t="s">
        <v>1307</v>
      </c>
      <c r="Z88" s="57"/>
      <c r="AA88" s="57" t="s">
        <v>365</v>
      </c>
      <c r="AB88" s="57" t="s">
        <v>365</v>
      </c>
      <c r="AC88" s="57" t="str">
        <f aca="false">IFERROR(INDEX(dp_geo,MATCH(B88,dp_id,0)),"Unmatched")</f>
        <v>Remainder of County</v>
      </c>
      <c r="AD88" s="57" t="n">
        <f aca="false">IF(M88="","",YEAR(M88))</f>
        <v>2026</v>
      </c>
      <c r="AE88" s="57" t="str">
        <f aca="false">IF(O88="","",YEAR(O88))</f>
        <v/>
      </c>
      <c r="AF88" s="57" t="n">
        <f aca="false">IF(N88="","",YEAR(N88))</f>
        <v>2031</v>
      </c>
      <c r="AG88" s="57" t="n">
        <f aca="false">IF(AND(H88="Yes",OR(G88="Complete",G88="Under construction",G88="Permitted – not started",G88="Stalled")),1,0)</f>
        <v>1</v>
      </c>
      <c r="AH88" s="57" t="n">
        <f aca="false">IF(OR(G88="Under construction",G88="Permitted – not started",G88="Stalled"),1,0)</f>
        <v>1</v>
      </c>
    </row>
    <row r="89" customFormat="false" ht="15" hidden="false" customHeight="false" outlineLevel="0" collapsed="false">
      <c r="A89" s="57" t="s">
        <v>1539</v>
      </c>
      <c r="B89" s="57" t="s">
        <v>704</v>
      </c>
      <c r="C89" s="57" t="s">
        <v>1540</v>
      </c>
      <c r="D89" s="57" t="s">
        <v>1541</v>
      </c>
      <c r="E89" s="57" t="n">
        <v>139</v>
      </c>
      <c r="F89" s="57"/>
      <c r="G89" s="57" t="s">
        <v>58</v>
      </c>
      <c r="H89" s="57" t="s">
        <v>228</v>
      </c>
      <c r="I89" s="57" t="s">
        <v>1310</v>
      </c>
      <c r="J89" s="57" t="s">
        <v>304</v>
      </c>
      <c r="K89" s="57" t="s">
        <v>308</v>
      </c>
      <c r="L89" s="57" t="s">
        <v>311</v>
      </c>
      <c r="M89" s="58" t="n">
        <v>45924</v>
      </c>
      <c r="N89" s="58" t="n">
        <v>47749</v>
      </c>
      <c r="O89" s="58"/>
      <c r="P89" s="57" t="s">
        <v>1469</v>
      </c>
      <c r="Q89" s="57" t="s">
        <v>1451</v>
      </c>
      <c r="R89" s="57" t="s">
        <v>1526</v>
      </c>
      <c r="S89" s="57" t="n">
        <v>0</v>
      </c>
      <c r="T89" s="57" t="n">
        <v>0</v>
      </c>
      <c r="U89" s="57" t="n">
        <v>43.2</v>
      </c>
      <c r="V89" s="57" t="n">
        <v>78.7</v>
      </c>
      <c r="W89" s="57" t="n">
        <v>17</v>
      </c>
      <c r="X89" s="57" t="n">
        <v>0.1</v>
      </c>
      <c r="Y89" s="57" t="s">
        <v>1307</v>
      </c>
      <c r="Z89" s="57"/>
      <c r="AA89" s="57" t="s">
        <v>286</v>
      </c>
      <c r="AB89" s="57" t="s">
        <v>347</v>
      </c>
      <c r="AC89" s="57" t="str">
        <f aca="false">IFERROR(INDEX(dp_geo,MATCH(B89,dp_id,0)),"Unmatched")</f>
        <v>Rest of City</v>
      </c>
      <c r="AD89" s="57" t="n">
        <f aca="false">IF(M89="","",YEAR(M89))</f>
        <v>2025</v>
      </c>
      <c r="AE89" s="57" t="str">
        <f aca="false">IF(O89="","",YEAR(O89))</f>
        <v/>
      </c>
      <c r="AF89" s="57" t="n">
        <f aca="false">IF(N89="","",YEAR(N89))</f>
        <v>2030</v>
      </c>
      <c r="AG89" s="57" t="n">
        <f aca="false">IF(AND(H89="Yes",OR(G89="Complete",G89="Under construction",G89="Permitted – not started",G89="Stalled")),1,0)</f>
        <v>1</v>
      </c>
      <c r="AH89" s="57" t="n">
        <f aca="false">IF(OR(G89="Under construction",G89="Permitted – not started",G89="Stalled"),1,0)</f>
        <v>1</v>
      </c>
    </row>
    <row r="90" customFormat="false" ht="15" hidden="false" customHeight="false" outlineLevel="0" collapsed="false">
      <c r="A90" s="57" t="s">
        <v>1542</v>
      </c>
      <c r="B90" s="57" t="s">
        <v>1021</v>
      </c>
      <c r="C90" s="57" t="s">
        <v>1543</v>
      </c>
      <c r="D90" s="57" t="s">
        <v>1022</v>
      </c>
      <c r="E90" s="57" t="n">
        <v>6</v>
      </c>
      <c r="F90" s="57"/>
      <c r="G90" s="57" t="s">
        <v>56</v>
      </c>
      <c r="H90" s="57" t="s">
        <v>228</v>
      </c>
      <c r="I90" s="57" t="s">
        <v>1310</v>
      </c>
      <c r="J90" s="57" t="s">
        <v>304</v>
      </c>
      <c r="K90" s="57" t="s">
        <v>308</v>
      </c>
      <c r="L90" s="57" t="s">
        <v>309</v>
      </c>
      <c r="M90" s="58" t="n">
        <v>45832</v>
      </c>
      <c r="N90" s="58" t="n">
        <v>47657</v>
      </c>
      <c r="O90" s="58" t="n">
        <v>46076</v>
      </c>
      <c r="P90" s="57" t="s">
        <v>1415</v>
      </c>
      <c r="Q90" s="57" t="s">
        <v>1514</v>
      </c>
      <c r="R90" s="57" t="s">
        <v>1318</v>
      </c>
      <c r="S90" s="57" t="n">
        <v>0</v>
      </c>
      <c r="T90" s="57" t="n">
        <v>6</v>
      </c>
      <c r="U90" s="57" t="n">
        <v>0</v>
      </c>
      <c r="V90" s="57" t="n">
        <v>0</v>
      </c>
      <c r="W90" s="57" t="n">
        <v>0</v>
      </c>
      <c r="X90" s="57" t="n">
        <v>0</v>
      </c>
      <c r="Y90" s="57" t="s">
        <v>1307</v>
      </c>
      <c r="Z90" s="57"/>
      <c r="AA90" s="57" t="s">
        <v>258</v>
      </c>
      <c r="AB90" s="57" t="s">
        <v>347</v>
      </c>
      <c r="AC90" s="57" t="str">
        <f aca="false">IFERROR(INDEX(dp_geo,MATCH(B90,dp_id,0)),"Unmatched")</f>
        <v>City Centre</v>
      </c>
      <c r="AD90" s="57" t="n">
        <f aca="false">IF(M90="","",YEAR(M90))</f>
        <v>2025</v>
      </c>
      <c r="AE90" s="57" t="n">
        <f aca="false">IF(O90="","",YEAR(O90))</f>
        <v>2026</v>
      </c>
      <c r="AF90" s="57" t="n">
        <f aca="false">IF(N90="","",YEAR(N90))</f>
        <v>2030</v>
      </c>
      <c r="AG90" s="57" t="n">
        <f aca="false">IF(AND(H90="Yes",OR(G90="Complete",G90="Under construction",G90="Permitted – not started",G90="Stalled")),1,0)</f>
        <v>1</v>
      </c>
      <c r="AH90" s="57" t="n">
        <f aca="false">IF(OR(G90="Under construction",G90="Permitted – not started",G90="Stalled"),1,0)</f>
        <v>1</v>
      </c>
    </row>
    <row r="91" customFormat="false" ht="15" hidden="false" customHeight="false" outlineLevel="0" collapsed="false">
      <c r="A91" s="57" t="s">
        <v>1544</v>
      </c>
      <c r="B91" s="57" t="s">
        <v>995</v>
      </c>
      <c r="C91" s="57" t="s">
        <v>1545</v>
      </c>
      <c r="D91" s="57" t="s">
        <v>996</v>
      </c>
      <c r="E91" s="57" t="n">
        <v>7</v>
      </c>
      <c r="F91" s="57"/>
      <c r="G91" s="57" t="s">
        <v>56</v>
      </c>
      <c r="H91" s="57" t="s">
        <v>228</v>
      </c>
      <c r="I91" s="57" t="s">
        <v>1310</v>
      </c>
      <c r="J91" s="57" t="s">
        <v>304</v>
      </c>
      <c r="K91" s="57" t="s">
        <v>308</v>
      </c>
      <c r="L91" s="57" t="s">
        <v>309</v>
      </c>
      <c r="M91" s="58" t="n">
        <v>45994</v>
      </c>
      <c r="N91" s="58" t="n">
        <v>47819</v>
      </c>
      <c r="O91" s="58" t="n">
        <v>46097</v>
      </c>
      <c r="P91" s="57" t="s">
        <v>1415</v>
      </c>
      <c r="Q91" s="57" t="s">
        <v>1514</v>
      </c>
      <c r="R91" s="57" t="s">
        <v>1318</v>
      </c>
      <c r="S91" s="57" t="n">
        <v>0</v>
      </c>
      <c r="T91" s="57" t="n">
        <v>6.6</v>
      </c>
      <c r="U91" s="57" t="n">
        <v>0.4</v>
      </c>
      <c r="V91" s="57" t="n">
        <v>0</v>
      </c>
      <c r="W91" s="57" t="n">
        <v>0</v>
      </c>
      <c r="X91" s="57" t="n">
        <v>0</v>
      </c>
      <c r="Y91" s="57" t="s">
        <v>1307</v>
      </c>
      <c r="Z91" s="57"/>
      <c r="AA91" s="57" t="s">
        <v>258</v>
      </c>
      <c r="AB91" s="57" t="s">
        <v>347</v>
      </c>
      <c r="AC91" s="57" t="str">
        <f aca="false">IFERROR(INDEX(dp_geo,MATCH(B91,dp_id,0)),"Unmatched")</f>
        <v>City Centre</v>
      </c>
      <c r="AD91" s="57" t="n">
        <f aca="false">IF(M91="","",YEAR(M91))</f>
        <v>2025</v>
      </c>
      <c r="AE91" s="57" t="n">
        <f aca="false">IF(O91="","",YEAR(O91))</f>
        <v>2026</v>
      </c>
      <c r="AF91" s="57" t="n">
        <f aca="false">IF(N91="","",YEAR(N91))</f>
        <v>2030</v>
      </c>
      <c r="AG91" s="57" t="n">
        <f aca="false">IF(AND(H91="Yes",OR(G91="Complete",G91="Under construction",G91="Permitted – not started",G91="Stalled")),1,0)</f>
        <v>1</v>
      </c>
      <c r="AH91" s="57" t="n">
        <f aca="false">IF(OR(G91="Under construction",G91="Permitted – not started",G91="Stalled"),1,0)</f>
        <v>1</v>
      </c>
    </row>
    <row r="92" customFormat="false" ht="15" hidden="false" customHeight="false" outlineLevel="0" collapsed="false">
      <c r="A92" s="57" t="s">
        <v>1546</v>
      </c>
      <c r="B92" s="57" t="s">
        <v>629</v>
      </c>
      <c r="C92" s="57" t="s">
        <v>1547</v>
      </c>
      <c r="D92" s="57" t="s">
        <v>1548</v>
      </c>
      <c r="E92" s="57" t="n">
        <v>196</v>
      </c>
      <c r="F92" s="57" t="n">
        <v>1400</v>
      </c>
      <c r="G92" s="57" t="s">
        <v>58</v>
      </c>
      <c r="H92" s="57" t="s">
        <v>228</v>
      </c>
      <c r="I92" s="57" t="s">
        <v>1310</v>
      </c>
      <c r="J92" s="57" t="s">
        <v>305</v>
      </c>
      <c r="K92" s="57" t="s">
        <v>308</v>
      </c>
      <c r="L92" s="57" t="s">
        <v>311</v>
      </c>
      <c r="M92" s="58" t="n">
        <v>45959</v>
      </c>
      <c r="N92" s="58" t="n">
        <v>47784</v>
      </c>
      <c r="O92" s="58"/>
      <c r="P92" s="57" t="s">
        <v>1469</v>
      </c>
      <c r="Q92" s="57" t="s">
        <v>1312</v>
      </c>
      <c r="R92" s="57" t="s">
        <v>1526</v>
      </c>
      <c r="S92" s="57" t="n">
        <v>0</v>
      </c>
      <c r="T92" s="57" t="n">
        <v>0</v>
      </c>
      <c r="U92" s="57" t="n">
        <v>0</v>
      </c>
      <c r="V92" s="57" t="n">
        <v>196</v>
      </c>
      <c r="W92" s="57" t="n">
        <v>0</v>
      </c>
      <c r="X92" s="57" t="n">
        <v>0</v>
      </c>
      <c r="Y92" s="57" t="s">
        <v>1307</v>
      </c>
      <c r="Z92" s="57"/>
      <c r="AA92" s="57" t="s">
        <v>285</v>
      </c>
      <c r="AB92" s="57" t="s">
        <v>347</v>
      </c>
      <c r="AC92" s="57" t="str">
        <f aca="false">IFERROR(INDEX(dp_geo,MATCH(B92,dp_id,0)),"Unmatched")</f>
        <v>Rest of City</v>
      </c>
      <c r="AD92" s="57" t="n">
        <f aca="false">IF(M92="","",YEAR(M92))</f>
        <v>2025</v>
      </c>
      <c r="AE92" s="57" t="str">
        <f aca="false">IF(O92="","",YEAR(O92))</f>
        <v/>
      </c>
      <c r="AF92" s="57" t="n">
        <f aca="false">IF(N92="","",YEAR(N92))</f>
        <v>2030</v>
      </c>
      <c r="AG92" s="57" t="n">
        <f aca="false">IF(AND(H92="Yes",OR(G92="Complete",G92="Under construction",G92="Permitted – not started",G92="Stalled")),1,0)</f>
        <v>1</v>
      </c>
      <c r="AH92" s="57" t="n">
        <f aca="false">IF(OR(G92="Under construction",G92="Permitted – not started",G92="Stalled"),1,0)</f>
        <v>1</v>
      </c>
    </row>
    <row r="93" customFormat="false" ht="15" hidden="false" customHeight="false" outlineLevel="0" collapsed="false">
      <c r="A93" s="57" t="s">
        <v>1549</v>
      </c>
      <c r="B93" s="57" t="s">
        <v>879</v>
      </c>
      <c r="C93" s="57" t="s">
        <v>1550</v>
      </c>
      <c r="D93" s="57" t="s">
        <v>880</v>
      </c>
      <c r="E93" s="57" t="n">
        <v>18</v>
      </c>
      <c r="F93" s="57"/>
      <c r="G93" s="57" t="s">
        <v>56</v>
      </c>
      <c r="H93" s="57" t="s">
        <v>228</v>
      </c>
      <c r="I93" s="57" t="s">
        <v>1310</v>
      </c>
      <c r="J93" s="57" t="s">
        <v>184</v>
      </c>
      <c r="K93" s="57" t="s">
        <v>310</v>
      </c>
      <c r="L93" s="57" t="s">
        <v>313</v>
      </c>
      <c r="M93" s="58" t="n">
        <v>45569</v>
      </c>
      <c r="N93" s="58"/>
      <c r="O93" s="58" t="n">
        <v>46150</v>
      </c>
      <c r="P93" s="57" t="s">
        <v>1508</v>
      </c>
      <c r="Q93" s="57" t="s">
        <v>1509</v>
      </c>
      <c r="R93" s="57" t="s">
        <v>1318</v>
      </c>
      <c r="S93" s="57" t="n">
        <v>0</v>
      </c>
      <c r="T93" s="57" t="n">
        <v>10.2</v>
      </c>
      <c r="U93" s="57" t="n">
        <v>7.8</v>
      </c>
      <c r="V93" s="57" t="n">
        <v>0</v>
      </c>
      <c r="W93" s="57" t="n">
        <v>0</v>
      </c>
      <c r="X93" s="57" t="n">
        <v>0</v>
      </c>
      <c r="Y93" s="57" t="s">
        <v>1307</v>
      </c>
      <c r="Z93" s="57"/>
      <c r="AA93" s="57" t="s">
        <v>358</v>
      </c>
      <c r="AB93" s="57" t="s">
        <v>356</v>
      </c>
      <c r="AC93" s="57" t="str">
        <f aca="false">IFERROR(INDEX(dp_geo,MATCH(B93,dp_id,0)),"Unmatched")</f>
        <v>Settlements</v>
      </c>
      <c r="AD93" s="57" t="n">
        <f aca="false">IF(M93="","",YEAR(M93))</f>
        <v>2024</v>
      </c>
      <c r="AE93" s="57" t="n">
        <f aca="false">IF(O93="","",YEAR(O93))</f>
        <v>2026</v>
      </c>
      <c r="AF93" s="57" t="str">
        <f aca="false">IF(N93="","",YEAR(N93))</f>
        <v/>
      </c>
      <c r="AG93" s="57" t="n">
        <f aca="false">IF(AND(H93="Yes",OR(G93="Complete",G93="Under construction",G93="Permitted – not started",G93="Stalled")),1,0)</f>
        <v>1</v>
      </c>
      <c r="AH93" s="57" t="n">
        <f aca="false">IF(OR(G93="Under construction",G93="Permitted – not started",G93="Stalled"),1,0)</f>
        <v>1</v>
      </c>
    </row>
    <row r="94" customFormat="false" ht="15" hidden="false" customHeight="false" outlineLevel="0" collapsed="false">
      <c r="A94" s="57" t="s">
        <v>1551</v>
      </c>
      <c r="B94" s="57" t="s">
        <v>1059</v>
      </c>
      <c r="C94" s="57" t="s">
        <v>1552</v>
      </c>
      <c r="D94" s="57" t="s">
        <v>1060</v>
      </c>
      <c r="E94" s="57" t="n">
        <v>4</v>
      </c>
      <c r="F94" s="57"/>
      <c r="G94" s="57" t="s">
        <v>56</v>
      </c>
      <c r="H94" s="57" t="s">
        <v>228</v>
      </c>
      <c r="I94" s="57" t="s">
        <v>1310</v>
      </c>
      <c r="J94" s="57" t="s">
        <v>304</v>
      </c>
      <c r="K94" s="57" t="s">
        <v>308</v>
      </c>
      <c r="L94" s="57" t="s">
        <v>309</v>
      </c>
      <c r="M94" s="58" t="n">
        <v>45818</v>
      </c>
      <c r="N94" s="58" t="n">
        <v>47643</v>
      </c>
      <c r="O94" s="58" t="n">
        <v>46102</v>
      </c>
      <c r="P94" s="57" t="s">
        <v>1415</v>
      </c>
      <c r="Q94" s="57" t="s">
        <v>1514</v>
      </c>
      <c r="R94" s="57" t="s">
        <v>1318</v>
      </c>
      <c r="S94" s="57" t="n">
        <v>0</v>
      </c>
      <c r="T94" s="57" t="n">
        <v>3.7</v>
      </c>
      <c r="U94" s="57" t="n">
        <v>0.3</v>
      </c>
      <c r="V94" s="57" t="n">
        <v>0</v>
      </c>
      <c r="W94" s="57" t="n">
        <v>0</v>
      </c>
      <c r="X94" s="57" t="n">
        <v>0</v>
      </c>
      <c r="Y94" s="57" t="s">
        <v>1307</v>
      </c>
      <c r="Z94" s="57"/>
      <c r="AA94" s="57" t="s">
        <v>363</v>
      </c>
      <c r="AB94" s="57" t="s">
        <v>356</v>
      </c>
      <c r="AC94" s="57" t="str">
        <f aca="false">IFERROR(INDEX(dp_geo,MATCH(B94,dp_id,0)),"Unmatched")</f>
        <v>Settlements</v>
      </c>
      <c r="AD94" s="57" t="n">
        <f aca="false">IF(M94="","",YEAR(M94))</f>
        <v>2025</v>
      </c>
      <c r="AE94" s="57" t="n">
        <f aca="false">IF(O94="","",YEAR(O94))</f>
        <v>2026</v>
      </c>
      <c r="AF94" s="57" t="n">
        <f aca="false">IF(N94="","",YEAR(N94))</f>
        <v>2030</v>
      </c>
      <c r="AG94" s="57" t="n">
        <f aca="false">IF(AND(H94="Yes",OR(G94="Complete",G94="Under construction",G94="Permitted – not started",G94="Stalled")),1,0)</f>
        <v>1</v>
      </c>
      <c r="AH94" s="57" t="n">
        <f aca="false">IF(OR(G94="Under construction",G94="Permitted – not started",G94="Stalled"),1,0)</f>
        <v>1</v>
      </c>
    </row>
    <row r="95" customFormat="false" ht="15" hidden="false" customHeight="false" outlineLevel="0" collapsed="false">
      <c r="A95" s="57" t="s">
        <v>1553</v>
      </c>
      <c r="B95" s="57" t="s">
        <v>893</v>
      </c>
      <c r="C95" s="57" t="s">
        <v>1554</v>
      </c>
      <c r="D95" s="57" t="s">
        <v>894</v>
      </c>
      <c r="E95" s="57" t="n">
        <v>16</v>
      </c>
      <c r="F95" s="57"/>
      <c r="G95" s="57" t="s">
        <v>58</v>
      </c>
      <c r="H95" s="57" t="s">
        <v>228</v>
      </c>
      <c r="I95" s="57" t="s">
        <v>1347</v>
      </c>
      <c r="J95" s="57" t="s">
        <v>304</v>
      </c>
      <c r="K95" s="57" t="s">
        <v>308</v>
      </c>
      <c r="L95" s="57" t="s">
        <v>309</v>
      </c>
      <c r="M95" s="58" t="n">
        <v>46189</v>
      </c>
      <c r="N95" s="58" t="n">
        <v>48014</v>
      </c>
      <c r="O95" s="58"/>
      <c r="P95" s="57" t="s">
        <v>1317</v>
      </c>
      <c r="Q95" s="57" t="s">
        <v>1497</v>
      </c>
      <c r="R95" s="57" t="s">
        <v>1526</v>
      </c>
      <c r="S95" s="57" t="n">
        <v>0</v>
      </c>
      <c r="T95" s="57" t="n">
        <v>0</v>
      </c>
      <c r="U95" s="57" t="n">
        <v>3.1</v>
      </c>
      <c r="V95" s="57" t="n">
        <v>12.9</v>
      </c>
      <c r="W95" s="57" t="n">
        <v>0</v>
      </c>
      <c r="X95" s="57" t="n">
        <v>0</v>
      </c>
      <c r="Y95" s="57" t="s">
        <v>1307</v>
      </c>
      <c r="Z95" s="57"/>
      <c r="AA95" s="57" t="s">
        <v>258</v>
      </c>
      <c r="AB95" s="57" t="s">
        <v>347</v>
      </c>
      <c r="AC95" s="57" t="str">
        <f aca="false">IFERROR(INDEX(dp_geo,MATCH(B95,dp_id,0)),"Unmatched")</f>
        <v>City Centre</v>
      </c>
      <c r="AD95" s="57" t="n">
        <f aca="false">IF(M95="","",YEAR(M95))</f>
        <v>2026</v>
      </c>
      <c r="AE95" s="57" t="str">
        <f aca="false">IF(O95="","",YEAR(O95))</f>
        <v/>
      </c>
      <c r="AF95" s="57" t="n">
        <f aca="false">IF(N95="","",YEAR(N95))</f>
        <v>2031</v>
      </c>
      <c r="AG95" s="57" t="n">
        <f aca="false">IF(AND(H95="Yes",OR(G95="Complete",G95="Under construction",G95="Permitted – not started",G95="Stalled")),1,0)</f>
        <v>1</v>
      </c>
      <c r="AH95" s="57" t="n">
        <f aca="false">IF(OR(G95="Under construction",G95="Permitted – not started",G95="Stalled"),1,0)</f>
        <v>1</v>
      </c>
    </row>
    <row r="96" customFormat="false" ht="15" hidden="false" customHeight="false" outlineLevel="0" collapsed="false">
      <c r="A96" s="57" t="s">
        <v>1555</v>
      </c>
      <c r="B96" s="57" t="s">
        <v>636</v>
      </c>
      <c r="C96" s="57" t="s">
        <v>1556</v>
      </c>
      <c r="D96" s="57" t="s">
        <v>1557</v>
      </c>
      <c r="E96" s="57" t="n">
        <v>76</v>
      </c>
      <c r="F96" s="57"/>
      <c r="G96" s="57" t="s">
        <v>58</v>
      </c>
      <c r="H96" s="57" t="s">
        <v>228</v>
      </c>
      <c r="I96" s="57" t="s">
        <v>1310</v>
      </c>
      <c r="J96" s="57" t="s">
        <v>304</v>
      </c>
      <c r="K96" s="57" t="s">
        <v>308</v>
      </c>
      <c r="L96" s="57" t="s">
        <v>309</v>
      </c>
      <c r="M96" s="58" t="n">
        <v>46216</v>
      </c>
      <c r="N96" s="58" t="n">
        <v>48041</v>
      </c>
      <c r="O96" s="58"/>
      <c r="P96" s="57" t="s">
        <v>1311</v>
      </c>
      <c r="Q96" s="57" t="s">
        <v>1497</v>
      </c>
      <c r="R96" s="57" t="s">
        <v>1526</v>
      </c>
      <c r="S96" s="57" t="n">
        <v>0</v>
      </c>
      <c r="T96" s="57" t="n">
        <v>0</v>
      </c>
      <c r="U96" s="57" t="n">
        <v>20.9</v>
      </c>
      <c r="V96" s="57" t="n">
        <v>55.1</v>
      </c>
      <c r="W96" s="57" t="n">
        <v>0</v>
      </c>
      <c r="X96" s="57" t="n">
        <v>0</v>
      </c>
      <c r="Y96" s="57" t="s">
        <v>1307</v>
      </c>
      <c r="Z96" s="57"/>
      <c r="AA96" s="57" t="s">
        <v>285</v>
      </c>
      <c r="AB96" s="57" t="s">
        <v>347</v>
      </c>
      <c r="AC96" s="57" t="str">
        <f aca="false">IFERROR(INDEX(dp_geo,MATCH(B96,dp_id,0)),"Unmatched")</f>
        <v>Rest of City</v>
      </c>
      <c r="AD96" s="57" t="n">
        <f aca="false">IF(M96="","",YEAR(M96))</f>
        <v>2026</v>
      </c>
      <c r="AE96" s="57" t="str">
        <f aca="false">IF(O96="","",YEAR(O96))</f>
        <v/>
      </c>
      <c r="AF96" s="57" t="n">
        <f aca="false">IF(N96="","",YEAR(N96))</f>
        <v>2031</v>
      </c>
      <c r="AG96" s="57" t="n">
        <f aca="false">IF(AND(H96="Yes",OR(G96="Complete",G96="Under construction",G96="Permitted – not started",G96="Stalled")),1,0)</f>
        <v>1</v>
      </c>
      <c r="AH96" s="57" t="n">
        <f aca="false">IF(OR(G96="Under construction",G96="Permitted – not started",G96="Stalled"),1,0)</f>
        <v>1</v>
      </c>
    </row>
    <row r="97" customFormat="false" ht="15" hidden="false" customHeight="false" outlineLevel="0" collapsed="false">
      <c r="A97" s="57" t="s">
        <v>1558</v>
      </c>
      <c r="B97" s="57" t="s">
        <v>861</v>
      </c>
      <c r="C97" s="57" t="s">
        <v>1559</v>
      </c>
      <c r="D97" s="57" t="s">
        <v>862</v>
      </c>
      <c r="E97" s="57" t="n">
        <v>22</v>
      </c>
      <c r="F97" s="57"/>
      <c r="G97" s="57" t="s">
        <v>58</v>
      </c>
      <c r="H97" s="57" t="s">
        <v>228</v>
      </c>
      <c r="I97" s="57" t="s">
        <v>1347</v>
      </c>
      <c r="J97" s="57" t="s">
        <v>304</v>
      </c>
      <c r="K97" s="57" t="s">
        <v>308</v>
      </c>
      <c r="L97" s="57" t="s">
        <v>309</v>
      </c>
      <c r="M97" s="58" t="n">
        <v>46181</v>
      </c>
      <c r="N97" s="58" t="n">
        <v>48006</v>
      </c>
      <c r="O97" s="58"/>
      <c r="P97" s="57" t="s">
        <v>1317</v>
      </c>
      <c r="Q97" s="57" t="s">
        <v>1560</v>
      </c>
      <c r="R97" s="57" t="s">
        <v>1526</v>
      </c>
      <c r="S97" s="57" t="n">
        <v>0</v>
      </c>
      <c r="T97" s="57" t="n">
        <v>0</v>
      </c>
      <c r="U97" s="57" t="n">
        <v>2.4</v>
      </c>
      <c r="V97" s="57" t="n">
        <v>13.5</v>
      </c>
      <c r="W97" s="57" t="n">
        <v>6.2</v>
      </c>
      <c r="X97" s="57" t="n">
        <v>-0.1</v>
      </c>
      <c r="Y97" s="57" t="s">
        <v>1307</v>
      </c>
      <c r="Z97" s="57"/>
      <c r="AA97" s="57" t="s">
        <v>258</v>
      </c>
      <c r="AB97" s="57" t="s">
        <v>347</v>
      </c>
      <c r="AC97" s="57" t="str">
        <f aca="false">IFERROR(INDEX(dp_geo,MATCH(B97,dp_id,0)),"Unmatched")</f>
        <v>City Centre</v>
      </c>
      <c r="AD97" s="57" t="n">
        <f aca="false">IF(M97="","",YEAR(M97))</f>
        <v>2026</v>
      </c>
      <c r="AE97" s="57" t="str">
        <f aca="false">IF(O97="","",YEAR(O97))</f>
        <v/>
      </c>
      <c r="AF97" s="57" t="n">
        <f aca="false">IF(N97="","",YEAR(N97))</f>
        <v>2031</v>
      </c>
      <c r="AG97" s="57" t="n">
        <f aca="false">IF(AND(H97="Yes",OR(G97="Complete",G97="Under construction",G97="Permitted – not started",G97="Stalled")),1,0)</f>
        <v>1</v>
      </c>
      <c r="AH97" s="57" t="n">
        <f aca="false">IF(OR(G97="Under construction",G97="Permitted – not started",G97="Stalled"),1,0)</f>
        <v>1</v>
      </c>
    </row>
    <row r="98" customFormat="false" ht="15" hidden="false" customHeight="false" outlineLevel="0" collapsed="false">
      <c r="A98" s="57" t="s">
        <v>1561</v>
      </c>
      <c r="B98" s="57" t="s">
        <v>977</v>
      </c>
      <c r="C98" s="57" t="s">
        <v>1562</v>
      </c>
      <c r="D98" s="57" t="s">
        <v>978</v>
      </c>
      <c r="E98" s="57" t="n">
        <v>8</v>
      </c>
      <c r="F98" s="57"/>
      <c r="G98" s="57" t="s">
        <v>58</v>
      </c>
      <c r="H98" s="57" t="s">
        <v>228</v>
      </c>
      <c r="I98" s="57" t="s">
        <v>1310</v>
      </c>
      <c r="J98" s="57" t="s">
        <v>304</v>
      </c>
      <c r="K98" s="57" t="s">
        <v>308</v>
      </c>
      <c r="L98" s="57" t="s">
        <v>309</v>
      </c>
      <c r="M98" s="58" t="n">
        <v>46267</v>
      </c>
      <c r="N98" s="58" t="n">
        <v>48093</v>
      </c>
      <c r="O98" s="58"/>
      <c r="P98" s="57" t="s">
        <v>1317</v>
      </c>
      <c r="Q98" s="57" t="s">
        <v>1497</v>
      </c>
      <c r="R98" s="57" t="s">
        <v>1526</v>
      </c>
      <c r="S98" s="57" t="n">
        <v>0</v>
      </c>
      <c r="T98" s="57" t="n">
        <v>0</v>
      </c>
      <c r="U98" s="57" t="n">
        <v>0.5</v>
      </c>
      <c r="V98" s="57" t="n">
        <v>7.5</v>
      </c>
      <c r="W98" s="57" t="n">
        <v>0</v>
      </c>
      <c r="X98" s="57" t="n">
        <v>0</v>
      </c>
      <c r="Y98" s="57" t="s">
        <v>1307</v>
      </c>
      <c r="Z98" s="57"/>
      <c r="AA98" s="57" t="s">
        <v>358</v>
      </c>
      <c r="AB98" s="57" t="s">
        <v>356</v>
      </c>
      <c r="AC98" s="57" t="str">
        <f aca="false">IFERROR(INDEX(dp_geo,MATCH(B98,dp_id,0)),"Unmatched")</f>
        <v>Settlements</v>
      </c>
      <c r="AD98" s="57" t="n">
        <f aca="false">IF(M98="","",YEAR(M98))</f>
        <v>2026</v>
      </c>
      <c r="AE98" s="57" t="str">
        <f aca="false">IF(O98="","",YEAR(O98))</f>
        <v/>
      </c>
      <c r="AF98" s="57" t="n">
        <f aca="false">IF(N98="","",YEAR(N98))</f>
        <v>2031</v>
      </c>
      <c r="AG98" s="57" t="n">
        <f aca="false">IF(AND(H98="Yes",OR(G98="Complete",G98="Under construction",G98="Permitted – not started",G98="Stalled")),1,0)</f>
        <v>1</v>
      </c>
      <c r="AH98" s="57" t="n">
        <f aca="false">IF(OR(G98="Under construction",G98="Permitted – not started",G98="Stalled"),1,0)</f>
        <v>1</v>
      </c>
    </row>
    <row r="99" customFormat="false" ht="15" hidden="false" customHeight="false" outlineLevel="0" collapsed="false">
      <c r="A99" s="57" t="s">
        <v>1563</v>
      </c>
      <c r="B99" s="57" t="s">
        <v>611</v>
      </c>
      <c r="C99" s="57" t="s">
        <v>1564</v>
      </c>
      <c r="D99" s="57" t="s">
        <v>1565</v>
      </c>
      <c r="E99" s="57" t="n">
        <v>25</v>
      </c>
      <c r="F99" s="57"/>
      <c r="G99" s="57" t="s">
        <v>58</v>
      </c>
      <c r="H99" s="57" t="s">
        <v>228</v>
      </c>
      <c r="I99" s="57" t="s">
        <v>1310</v>
      </c>
      <c r="J99" s="57" t="s">
        <v>304</v>
      </c>
      <c r="K99" s="57" t="s">
        <v>308</v>
      </c>
      <c r="L99" s="57" t="s">
        <v>309</v>
      </c>
      <c r="M99" s="58" t="n">
        <v>46141</v>
      </c>
      <c r="N99" s="58" t="n">
        <v>47966</v>
      </c>
      <c r="O99" s="58"/>
      <c r="P99" s="57" t="s">
        <v>1317</v>
      </c>
      <c r="Q99" s="57" t="s">
        <v>1425</v>
      </c>
      <c r="R99" s="57" t="s">
        <v>1526</v>
      </c>
      <c r="S99" s="57" t="n">
        <v>0</v>
      </c>
      <c r="T99" s="57" t="n">
        <v>0</v>
      </c>
      <c r="U99" s="57" t="n">
        <v>8.5</v>
      </c>
      <c r="V99" s="57" t="n">
        <v>16.5</v>
      </c>
      <c r="W99" s="57" t="n">
        <v>0</v>
      </c>
      <c r="X99" s="57" t="n">
        <v>0</v>
      </c>
      <c r="Y99" s="57" t="s">
        <v>1307</v>
      </c>
      <c r="Z99" s="57"/>
      <c r="AA99" s="57" t="s">
        <v>289</v>
      </c>
      <c r="AB99" s="57" t="s">
        <v>347</v>
      </c>
      <c r="AC99" s="57" t="str">
        <f aca="false">IFERROR(INDEX(dp_geo,MATCH(B99,dp_id,0)),"Unmatched")</f>
        <v>Rest of City</v>
      </c>
      <c r="AD99" s="57" t="n">
        <f aca="false">IF(M99="","",YEAR(M99))</f>
        <v>2026</v>
      </c>
      <c r="AE99" s="57" t="str">
        <f aca="false">IF(O99="","",YEAR(O99))</f>
        <v/>
      </c>
      <c r="AF99" s="57" t="n">
        <f aca="false">IF(N99="","",YEAR(N99))</f>
        <v>2031</v>
      </c>
      <c r="AG99" s="57" t="n">
        <f aca="false">IF(AND(H99="Yes",OR(G99="Complete",G99="Under construction",G99="Permitted – not started",G99="Stalled")),1,0)</f>
        <v>1</v>
      </c>
      <c r="AH99" s="57" t="n">
        <f aca="false">IF(OR(G99="Under construction",G99="Permitted – not started",G99="Stalled"),1,0)</f>
        <v>1</v>
      </c>
    </row>
    <row r="100" customFormat="false" ht="15" hidden="false" customHeight="false" outlineLevel="0" collapsed="false">
      <c r="A100" s="57" t="s">
        <v>1566</v>
      </c>
      <c r="B100" s="57" t="s">
        <v>1101</v>
      </c>
      <c r="C100" s="57" t="s">
        <v>1567</v>
      </c>
      <c r="D100" s="57" t="s">
        <v>1102</v>
      </c>
      <c r="E100" s="57" t="n">
        <v>0</v>
      </c>
      <c r="F100" s="57" t="n">
        <v>115</v>
      </c>
      <c r="G100" s="57" t="s">
        <v>58</v>
      </c>
      <c r="H100" s="57" t="s">
        <v>228</v>
      </c>
      <c r="I100" s="57" t="s">
        <v>1310</v>
      </c>
      <c r="J100" s="57" t="s">
        <v>305</v>
      </c>
      <c r="K100" s="57" t="s">
        <v>308</v>
      </c>
      <c r="L100" s="57" t="s">
        <v>309</v>
      </c>
      <c r="M100" s="58" t="n">
        <v>46231</v>
      </c>
      <c r="N100" s="58" t="n">
        <v>48056</v>
      </c>
      <c r="O100" s="58"/>
      <c r="P100" s="57" t="s">
        <v>1317</v>
      </c>
      <c r="Q100" s="57" t="s">
        <v>1425</v>
      </c>
      <c r="R100" s="57" t="s">
        <v>1526</v>
      </c>
      <c r="S100" s="57" t="n">
        <v>0</v>
      </c>
      <c r="T100" s="57" t="n">
        <v>0</v>
      </c>
      <c r="U100" s="57" t="n">
        <v>0</v>
      </c>
      <c r="V100" s="57" t="n">
        <v>0</v>
      </c>
      <c r="W100" s="57" t="n">
        <v>0</v>
      </c>
      <c r="X100" s="57" t="n">
        <v>0</v>
      </c>
      <c r="Y100" s="57" t="s">
        <v>1307</v>
      </c>
      <c r="Z100" s="57"/>
      <c r="AA100" s="57" t="s">
        <v>288</v>
      </c>
      <c r="AB100" s="57" t="s">
        <v>347</v>
      </c>
      <c r="AC100" s="57" t="str">
        <f aca="false">IFERROR(INDEX(dp_geo,MATCH(B100,dp_id,0)),"Unmatched")</f>
        <v>Rest of City</v>
      </c>
      <c r="AD100" s="57" t="n">
        <f aca="false">IF(M100="","",YEAR(M100))</f>
        <v>2026</v>
      </c>
      <c r="AE100" s="57" t="str">
        <f aca="false">IF(O100="","",YEAR(O100))</f>
        <v/>
      </c>
      <c r="AF100" s="57" t="n">
        <f aca="false">IF(N100="","",YEAR(N100))</f>
        <v>2031</v>
      </c>
      <c r="AG100" s="57" t="n">
        <f aca="false">IF(AND(H100="Yes",OR(G100="Complete",G100="Under construction",G100="Permitted – not started",G100="Stalled")),1,0)</f>
        <v>1</v>
      </c>
      <c r="AH100" s="57" t="n">
        <f aca="false">IF(OR(G100="Under construction",G100="Permitted – not started",G100="Stalled"),1,0)</f>
        <v>1</v>
      </c>
    </row>
    <row r="101" customFormat="false" ht="15" hidden="false" customHeight="false" outlineLevel="0" collapsed="false">
      <c r="A101" s="57" t="s">
        <v>1568</v>
      </c>
      <c r="B101" s="57" t="s">
        <v>328</v>
      </c>
      <c r="C101" s="57" t="s">
        <v>1569</v>
      </c>
      <c r="D101" s="57" t="s">
        <v>1570</v>
      </c>
      <c r="E101" s="57" t="n">
        <v>465</v>
      </c>
      <c r="F101" s="57" t="n">
        <v>309</v>
      </c>
      <c r="G101" s="57" t="s">
        <v>58</v>
      </c>
      <c r="H101" s="57" t="s">
        <v>228</v>
      </c>
      <c r="I101" s="57" t="s">
        <v>1310</v>
      </c>
      <c r="J101" s="57" t="s">
        <v>305</v>
      </c>
      <c r="K101" s="57" t="s">
        <v>308</v>
      </c>
      <c r="L101" s="57" t="s">
        <v>311</v>
      </c>
      <c r="M101" s="58" t="n">
        <v>46225</v>
      </c>
      <c r="N101" s="58" t="n">
        <v>48050</v>
      </c>
      <c r="O101" s="58"/>
      <c r="P101" s="57" t="s">
        <v>1500</v>
      </c>
      <c r="Q101" s="57" t="s">
        <v>1571</v>
      </c>
      <c r="R101" s="57" t="s">
        <v>1526</v>
      </c>
      <c r="S101" s="57" t="n">
        <v>0</v>
      </c>
      <c r="T101" s="57" t="n">
        <v>0</v>
      </c>
      <c r="U101" s="57" t="n">
        <v>0</v>
      </c>
      <c r="V101" s="57" t="n">
        <v>40.8</v>
      </c>
      <c r="W101" s="57" t="n">
        <v>56.4</v>
      </c>
      <c r="X101" s="57" t="n">
        <v>367.8</v>
      </c>
      <c r="Y101" s="57" t="s">
        <v>1307</v>
      </c>
      <c r="Z101" s="57"/>
      <c r="AA101" s="57" t="s">
        <v>285</v>
      </c>
      <c r="AB101" s="57" t="s">
        <v>347</v>
      </c>
      <c r="AC101" s="57" t="str">
        <f aca="false">IFERROR(INDEX(dp_geo,MATCH(B101,dp_id,0)),"Unmatched")</f>
        <v>Rest of City</v>
      </c>
      <c r="AD101" s="57" t="n">
        <f aca="false">IF(M101="","",YEAR(M101))</f>
        <v>2026</v>
      </c>
      <c r="AE101" s="57" t="str">
        <f aca="false">IF(O101="","",YEAR(O101))</f>
        <v/>
      </c>
      <c r="AF101" s="57" t="n">
        <f aca="false">IF(N101="","",YEAR(N101))</f>
        <v>2031</v>
      </c>
      <c r="AG101" s="57" t="n">
        <f aca="false">IF(AND(H101="Yes",OR(G101="Complete",G101="Under construction",G101="Permitted – not started",G101="Stalled")),1,0)</f>
        <v>1</v>
      </c>
      <c r="AH101" s="57" t="n">
        <f aca="false">IF(OR(G101="Under construction",G101="Permitted – not started",G101="Stalled"),1,0)</f>
        <v>1</v>
      </c>
    </row>
    <row r="102" customFormat="false" ht="15" hidden="false" customHeight="false" outlineLevel="0" collapsed="false">
      <c r="A102" s="57" t="s">
        <v>1572</v>
      </c>
      <c r="B102" s="57" t="s">
        <v>957</v>
      </c>
      <c r="C102" s="57" t="s">
        <v>1573</v>
      </c>
      <c r="D102" s="57" t="s">
        <v>958</v>
      </c>
      <c r="E102" s="57" t="n">
        <v>10</v>
      </c>
      <c r="F102" s="57"/>
      <c r="G102" s="57" t="s">
        <v>56</v>
      </c>
      <c r="H102" s="57" t="s">
        <v>228</v>
      </c>
      <c r="I102" s="57" t="s">
        <v>1310</v>
      </c>
      <c r="J102" s="57" t="s">
        <v>304</v>
      </c>
      <c r="K102" s="57" t="s">
        <v>308</v>
      </c>
      <c r="L102" s="57" t="s">
        <v>309</v>
      </c>
      <c r="M102" s="58" t="n">
        <v>46104</v>
      </c>
      <c r="N102" s="58" t="n">
        <v>47929</v>
      </c>
      <c r="O102" s="58" t="n">
        <v>46174</v>
      </c>
      <c r="P102" s="57" t="s">
        <v>1508</v>
      </c>
      <c r="Q102" s="57" t="s">
        <v>1500</v>
      </c>
      <c r="R102" s="57" t="s">
        <v>1318</v>
      </c>
      <c r="S102" s="57" t="n">
        <v>0</v>
      </c>
      <c r="T102" s="57" t="n">
        <v>6.9</v>
      </c>
      <c r="U102" s="57" t="n">
        <v>3.1</v>
      </c>
      <c r="V102" s="57" t="n">
        <v>0</v>
      </c>
      <c r="W102" s="57" t="n">
        <v>0</v>
      </c>
      <c r="X102" s="57" t="n">
        <v>0</v>
      </c>
      <c r="Y102" s="57" t="s">
        <v>1307</v>
      </c>
      <c r="Z102" s="57"/>
      <c r="AA102" s="57" t="s">
        <v>355</v>
      </c>
      <c r="AB102" s="57" t="s">
        <v>356</v>
      </c>
      <c r="AC102" s="57" t="str">
        <f aca="false">IFERROR(INDEX(dp_geo,MATCH(B102,dp_id,0)),"Unmatched")</f>
        <v>Settlements</v>
      </c>
      <c r="AD102" s="57" t="n">
        <f aca="false">IF(M102="","",YEAR(M102))</f>
        <v>2026</v>
      </c>
      <c r="AE102" s="57" t="n">
        <f aca="false">IF(O102="","",YEAR(O102))</f>
        <v>2026</v>
      </c>
      <c r="AF102" s="57" t="n">
        <f aca="false">IF(N102="","",YEAR(N102))</f>
        <v>2031</v>
      </c>
      <c r="AG102" s="57" t="n">
        <f aca="false">IF(AND(H102="Yes",OR(G102="Complete",G102="Under construction",G102="Permitted – not started",G102="Stalled")),1,0)</f>
        <v>1</v>
      </c>
      <c r="AH102" s="57" t="n">
        <f aca="false">IF(OR(G102="Under construction",G102="Permitted – not started",G102="Stalled"),1,0)</f>
        <v>1</v>
      </c>
    </row>
    <row r="103" customFormat="false" ht="15" hidden="false" customHeight="false" outlineLevel="0" collapsed="false">
      <c r="A103" s="57" t="s">
        <v>1574</v>
      </c>
      <c r="B103" s="57" t="s">
        <v>644</v>
      </c>
      <c r="C103" s="57" t="s">
        <v>1575</v>
      </c>
      <c r="D103" s="57" t="s">
        <v>1576</v>
      </c>
      <c r="E103" s="57" t="n">
        <v>212</v>
      </c>
      <c r="F103" s="57"/>
      <c r="G103" s="57" t="s">
        <v>58</v>
      </c>
      <c r="H103" s="57" t="s">
        <v>228</v>
      </c>
      <c r="I103" s="57" t="s">
        <v>1310</v>
      </c>
      <c r="J103" s="57" t="s">
        <v>304</v>
      </c>
      <c r="K103" s="57" t="s">
        <v>308</v>
      </c>
      <c r="L103" s="57" t="s">
        <v>311</v>
      </c>
      <c r="M103" s="58" t="n">
        <v>46288</v>
      </c>
      <c r="N103" s="58" t="n">
        <v>48113</v>
      </c>
      <c r="O103" s="58"/>
      <c r="P103" s="57" t="s">
        <v>1500</v>
      </c>
      <c r="Q103" s="57" t="s">
        <v>1577</v>
      </c>
      <c r="R103" s="57" t="s">
        <v>1526</v>
      </c>
      <c r="S103" s="57" t="n">
        <v>0</v>
      </c>
      <c r="T103" s="57" t="n">
        <v>0</v>
      </c>
      <c r="U103" s="57" t="n">
        <v>0</v>
      </c>
      <c r="V103" s="57" t="n">
        <v>36.4</v>
      </c>
      <c r="W103" s="57" t="n">
        <v>65.9</v>
      </c>
      <c r="X103" s="57" t="n">
        <v>109.7</v>
      </c>
      <c r="Y103" s="57" t="s">
        <v>1307</v>
      </c>
      <c r="Z103" s="57"/>
      <c r="AA103" s="57" t="s">
        <v>285</v>
      </c>
      <c r="AB103" s="57" t="s">
        <v>347</v>
      </c>
      <c r="AC103" s="57" t="str">
        <f aca="false">IFERROR(INDEX(dp_geo,MATCH(B103,dp_id,0)),"Unmatched")</f>
        <v>Rest of City</v>
      </c>
      <c r="AD103" s="57" t="n">
        <f aca="false">IF(M103="","",YEAR(M103))</f>
        <v>2026</v>
      </c>
      <c r="AE103" s="57" t="str">
        <f aca="false">IF(O103="","",YEAR(O103))</f>
        <v/>
      </c>
      <c r="AF103" s="57" t="n">
        <f aca="false">IF(N103="","",YEAR(N103))</f>
        <v>2031</v>
      </c>
      <c r="AG103" s="57" t="n">
        <f aca="false">IF(AND(H103="Yes",OR(G103="Complete",G103="Under construction",G103="Permitted – not started",G103="Stalled")),1,0)</f>
        <v>1</v>
      </c>
      <c r="AH103" s="57" t="n">
        <f aca="false">IF(OR(G103="Under construction",G103="Permitted – not started",G103="Stalled"),1,0)</f>
        <v>1</v>
      </c>
    </row>
    <row r="104" customFormat="false" ht="15" hidden="false" customHeight="false" outlineLevel="0" collapsed="false">
      <c r="A104" s="57" t="s">
        <v>1578</v>
      </c>
      <c r="B104" s="57" t="s">
        <v>325</v>
      </c>
      <c r="C104" s="57" t="s">
        <v>1579</v>
      </c>
      <c r="D104" s="57" t="s">
        <v>1580</v>
      </c>
      <c r="E104" s="57" t="n">
        <v>182</v>
      </c>
      <c r="F104" s="57"/>
      <c r="G104" s="57" t="s">
        <v>58</v>
      </c>
      <c r="H104" s="57" t="s">
        <v>228</v>
      </c>
      <c r="I104" s="57" t="s">
        <v>1310</v>
      </c>
      <c r="J104" s="57" t="s">
        <v>304</v>
      </c>
      <c r="K104" s="57" t="s">
        <v>308</v>
      </c>
      <c r="L104" s="57" t="s">
        <v>311</v>
      </c>
      <c r="M104" s="58" t="n">
        <v>46280</v>
      </c>
      <c r="N104" s="58" t="n">
        <v>48106</v>
      </c>
      <c r="O104" s="58"/>
      <c r="P104" s="57" t="s">
        <v>1500</v>
      </c>
      <c r="Q104" s="57" t="s">
        <v>1581</v>
      </c>
      <c r="R104" s="57" t="s">
        <v>1526</v>
      </c>
      <c r="S104" s="57" t="n">
        <v>0</v>
      </c>
      <c r="T104" s="57" t="n">
        <v>0</v>
      </c>
      <c r="U104" s="57" t="n">
        <v>0</v>
      </c>
      <c r="V104" s="57" t="n">
        <v>39.8</v>
      </c>
      <c r="W104" s="57" t="n">
        <v>69.4</v>
      </c>
      <c r="X104" s="57" t="n">
        <v>72.8</v>
      </c>
      <c r="Y104" s="57" t="s">
        <v>1307</v>
      </c>
      <c r="Z104" s="57"/>
      <c r="AA104" s="57" t="s">
        <v>286</v>
      </c>
      <c r="AB104" s="57" t="s">
        <v>347</v>
      </c>
      <c r="AC104" s="57" t="str">
        <f aca="false">IFERROR(INDEX(dp_geo,MATCH(B104,dp_id,0)),"Unmatched")</f>
        <v>Rest of City</v>
      </c>
      <c r="AD104" s="57" t="n">
        <f aca="false">IF(M104="","",YEAR(M104))</f>
        <v>2026</v>
      </c>
      <c r="AE104" s="57" t="str">
        <f aca="false">IF(O104="","",YEAR(O104))</f>
        <v/>
      </c>
      <c r="AF104" s="57" t="n">
        <f aca="false">IF(N104="","",YEAR(N104))</f>
        <v>2031</v>
      </c>
      <c r="AG104" s="57" t="n">
        <f aca="false">IF(AND(H104="Yes",OR(G104="Complete",G104="Under construction",G104="Permitted – not started",G104="Stalled")),1,0)</f>
        <v>1</v>
      </c>
      <c r="AH104" s="57" t="n">
        <f aca="false">IF(OR(G104="Under construction",G104="Permitted – not started",G104="Stalled"),1,0)</f>
        <v>1</v>
      </c>
    </row>
    <row r="105" customFormat="false" ht="15" hidden="false" customHeight="false" outlineLevel="0" collapsed="false">
      <c r="A105" s="57" t="s">
        <v>1582</v>
      </c>
      <c r="B105" s="57" t="s">
        <v>331</v>
      </c>
      <c r="C105" s="57" t="s">
        <v>1583</v>
      </c>
      <c r="D105" s="57" t="s">
        <v>1584</v>
      </c>
      <c r="E105" s="57" t="n">
        <v>403</v>
      </c>
      <c r="F105" s="57"/>
      <c r="G105" s="57" t="s">
        <v>58</v>
      </c>
      <c r="H105" s="57" t="s">
        <v>228</v>
      </c>
      <c r="I105" s="57" t="s">
        <v>1310</v>
      </c>
      <c r="J105" s="57" t="s">
        <v>304</v>
      </c>
      <c r="K105" s="57" t="s">
        <v>308</v>
      </c>
      <c r="L105" s="57" t="s">
        <v>311</v>
      </c>
      <c r="M105" s="58" t="n">
        <v>46225</v>
      </c>
      <c r="N105" s="58" t="n">
        <v>48051</v>
      </c>
      <c r="O105" s="58"/>
      <c r="P105" s="57" t="s">
        <v>1500</v>
      </c>
      <c r="Q105" s="57" t="s">
        <v>1585</v>
      </c>
      <c r="R105" s="57" t="s">
        <v>1526</v>
      </c>
      <c r="S105" s="57" t="n">
        <v>0</v>
      </c>
      <c r="T105" s="57" t="n">
        <v>0</v>
      </c>
      <c r="U105" s="57" t="n">
        <v>0</v>
      </c>
      <c r="V105" s="57" t="n">
        <v>41.6</v>
      </c>
      <c r="W105" s="57" t="n">
        <v>57.4</v>
      </c>
      <c r="X105" s="57" t="n">
        <v>304</v>
      </c>
      <c r="Y105" s="57" t="s">
        <v>1307</v>
      </c>
      <c r="Z105" s="57"/>
      <c r="AA105" s="57" t="s">
        <v>287</v>
      </c>
      <c r="AB105" s="57" t="s">
        <v>347</v>
      </c>
      <c r="AC105" s="57" t="str">
        <f aca="false">IFERROR(INDEX(dp_geo,MATCH(B105,dp_id,0)),"Unmatched")</f>
        <v>Rest of City</v>
      </c>
      <c r="AD105" s="57" t="n">
        <f aca="false">IF(M105="","",YEAR(M105))</f>
        <v>2026</v>
      </c>
      <c r="AE105" s="57" t="str">
        <f aca="false">IF(O105="","",YEAR(O105))</f>
        <v/>
      </c>
      <c r="AF105" s="57" t="n">
        <f aca="false">IF(N105="","",YEAR(N105))</f>
        <v>2031</v>
      </c>
      <c r="AG105" s="57" t="n">
        <f aca="false">IF(AND(H105="Yes",OR(G105="Complete",G105="Under construction",G105="Permitted – not started",G105="Stalled")),1,0)</f>
        <v>1</v>
      </c>
      <c r="AH105" s="57" t="n">
        <f aca="false">IF(OR(G105="Under construction",G105="Permitted – not started",G105="Stalled"),1,0)</f>
        <v>1</v>
      </c>
    </row>
    <row r="106" customFormat="false" ht="15" hidden="false" customHeight="false" outlineLevel="0" collapsed="false">
      <c r="A106" s="57" t="s">
        <v>1586</v>
      </c>
      <c r="B106" s="57" t="s">
        <v>834</v>
      </c>
      <c r="C106" s="57" t="s">
        <v>1587</v>
      </c>
      <c r="D106" s="57" t="s">
        <v>835</v>
      </c>
      <c r="E106" s="57" t="n">
        <v>28</v>
      </c>
      <c r="F106" s="57"/>
      <c r="G106" s="57" t="s">
        <v>58</v>
      </c>
      <c r="H106" s="57" t="s">
        <v>228</v>
      </c>
      <c r="I106" s="57" t="s">
        <v>1310</v>
      </c>
      <c r="J106" s="57" t="s">
        <v>304</v>
      </c>
      <c r="K106" s="57" t="s">
        <v>308</v>
      </c>
      <c r="L106" s="57" t="s">
        <v>309</v>
      </c>
      <c r="M106" s="58" t="n">
        <v>46267</v>
      </c>
      <c r="N106" s="58" t="n">
        <v>48093</v>
      </c>
      <c r="O106" s="58"/>
      <c r="P106" s="57" t="s">
        <v>1500</v>
      </c>
      <c r="Q106" s="57" t="s">
        <v>1451</v>
      </c>
      <c r="R106" s="57" t="s">
        <v>1526</v>
      </c>
      <c r="S106" s="57" t="n">
        <v>0</v>
      </c>
      <c r="T106" s="57" t="n">
        <v>0</v>
      </c>
      <c r="U106" s="57" t="n">
        <v>0</v>
      </c>
      <c r="V106" s="57" t="n">
        <v>27.8</v>
      </c>
      <c r="W106" s="57" t="n">
        <v>0.2</v>
      </c>
      <c r="X106" s="57" t="n">
        <v>0</v>
      </c>
      <c r="Y106" s="57" t="s">
        <v>1307</v>
      </c>
      <c r="Z106" s="57"/>
      <c r="AA106" s="57" t="s">
        <v>355</v>
      </c>
      <c r="AB106" s="57" t="s">
        <v>356</v>
      </c>
      <c r="AC106" s="57" t="str">
        <f aca="false">IFERROR(INDEX(dp_geo,MATCH(B106,dp_id,0)),"Unmatched")</f>
        <v>Settlements</v>
      </c>
      <c r="AD106" s="57" t="n">
        <f aca="false">IF(M106="","",YEAR(M106))</f>
        <v>2026</v>
      </c>
      <c r="AE106" s="57" t="str">
        <f aca="false">IF(O106="","",YEAR(O106))</f>
        <v/>
      </c>
      <c r="AF106" s="57" t="n">
        <f aca="false">IF(N106="","",YEAR(N106))</f>
        <v>2031</v>
      </c>
      <c r="AG106" s="57" t="n">
        <f aca="false">IF(AND(H106="Yes",OR(G106="Complete",G106="Under construction",G106="Permitted – not started",G106="Stalled")),1,0)</f>
        <v>1</v>
      </c>
      <c r="AH106" s="57" t="n">
        <f aca="false">IF(OR(G106="Under construction",G106="Permitted – not started",G106="Stalled"),1,0)</f>
        <v>1</v>
      </c>
    </row>
    <row r="107" customFormat="false" ht="15" hidden="false" customHeight="false" outlineLevel="0" collapsed="false">
      <c r="A107" s="57" t="s">
        <v>1588</v>
      </c>
      <c r="B107" s="57" t="s">
        <v>326</v>
      </c>
      <c r="C107" s="57" t="s">
        <v>1589</v>
      </c>
      <c r="D107" s="57" t="s">
        <v>1590</v>
      </c>
      <c r="E107" s="57" t="n">
        <v>523</v>
      </c>
      <c r="F107" s="57"/>
      <c r="G107" s="57" t="s">
        <v>58</v>
      </c>
      <c r="H107" s="57" t="s">
        <v>228</v>
      </c>
      <c r="I107" s="57" t="s">
        <v>1310</v>
      </c>
      <c r="J107" s="57" t="s">
        <v>304</v>
      </c>
      <c r="K107" s="57" t="s">
        <v>308</v>
      </c>
      <c r="L107" s="57" t="s">
        <v>311</v>
      </c>
      <c r="M107" s="58" t="n">
        <v>46140</v>
      </c>
      <c r="N107" s="58" t="n">
        <v>48092</v>
      </c>
      <c r="O107" s="58"/>
      <c r="P107" s="57" t="s">
        <v>1514</v>
      </c>
      <c r="Q107" s="57" t="s">
        <v>1591</v>
      </c>
      <c r="R107" s="57" t="s">
        <v>1526</v>
      </c>
      <c r="S107" s="57" t="n">
        <v>0</v>
      </c>
      <c r="T107" s="57" t="n">
        <v>0</v>
      </c>
      <c r="U107" s="57" t="n">
        <v>0</v>
      </c>
      <c r="V107" s="57" t="n">
        <v>53.2</v>
      </c>
      <c r="W107" s="57" t="n">
        <v>55.6</v>
      </c>
      <c r="X107" s="57" t="n">
        <v>414.2</v>
      </c>
      <c r="Y107" s="57" t="s">
        <v>1307</v>
      </c>
      <c r="Z107" s="57"/>
      <c r="AA107" s="57" t="s">
        <v>285</v>
      </c>
      <c r="AB107" s="57" t="s">
        <v>347</v>
      </c>
      <c r="AC107" s="57" t="str">
        <f aca="false">IFERROR(INDEX(dp_geo,MATCH(B107,dp_id,0)),"Unmatched")</f>
        <v>Rest of City</v>
      </c>
      <c r="AD107" s="57" t="n">
        <f aca="false">IF(M107="","",YEAR(M107))</f>
        <v>2026</v>
      </c>
      <c r="AE107" s="57" t="str">
        <f aca="false">IF(O107="","",YEAR(O107))</f>
        <v/>
      </c>
      <c r="AF107" s="57" t="n">
        <f aca="false">IF(N107="","",YEAR(N107))</f>
        <v>2031</v>
      </c>
      <c r="AG107" s="57" t="n">
        <f aca="false">IF(AND(H107="Yes",OR(G107="Complete",G107="Under construction",G107="Permitted – not started",G107="Stalled")),1,0)</f>
        <v>1</v>
      </c>
      <c r="AH107" s="57" t="n">
        <f aca="false">IF(OR(G107="Under construction",G107="Permitted – not started",G107="Stalled"),1,0)</f>
        <v>1</v>
      </c>
    </row>
    <row r="108" customFormat="false" ht="15" hidden="false" customHeight="false" outlineLevel="0" collapsed="false">
      <c r="A108" s="57" t="s">
        <v>1592</v>
      </c>
      <c r="B108" s="57" t="s">
        <v>812</v>
      </c>
      <c r="C108" s="57" t="s">
        <v>1593</v>
      </c>
      <c r="D108" s="57" t="s">
        <v>813</v>
      </c>
      <c r="E108" s="57" t="n">
        <v>35</v>
      </c>
      <c r="F108" s="57"/>
      <c r="G108" s="57" t="s">
        <v>208</v>
      </c>
      <c r="H108" s="57" t="s">
        <v>228</v>
      </c>
      <c r="I108" s="57" t="s">
        <v>1310</v>
      </c>
      <c r="J108" s="57" t="s">
        <v>304</v>
      </c>
      <c r="K108" s="57" t="s">
        <v>308</v>
      </c>
      <c r="L108" s="57" t="s">
        <v>309</v>
      </c>
      <c r="M108" s="58" t="n">
        <v>43894</v>
      </c>
      <c r="N108" s="58" t="n">
        <v>44730</v>
      </c>
      <c r="O108" s="58" t="n">
        <v>44732</v>
      </c>
      <c r="P108" s="57"/>
      <c r="Q108" s="57"/>
      <c r="R108" s="57" t="s">
        <v>1306</v>
      </c>
      <c r="S108" s="57" t="n">
        <v>0</v>
      </c>
      <c r="T108" s="57" t="n">
        <v>0</v>
      </c>
      <c r="U108" s="57" t="n">
        <v>0</v>
      </c>
      <c r="V108" s="57" t="n">
        <v>0</v>
      </c>
      <c r="W108" s="57" t="n">
        <v>0</v>
      </c>
      <c r="X108" s="57" t="n">
        <v>0</v>
      </c>
      <c r="Y108" s="57" t="s">
        <v>1307</v>
      </c>
      <c r="Z108" s="57" t="s">
        <v>1396</v>
      </c>
      <c r="AA108" s="57" t="s">
        <v>258</v>
      </c>
      <c r="AB108" s="57" t="s">
        <v>347</v>
      </c>
      <c r="AC108" s="57" t="str">
        <f aca="false">IFERROR(INDEX(dp_geo,MATCH(B108,dp_id,0)),"Unmatched")</f>
        <v>City Centre</v>
      </c>
      <c r="AD108" s="57" t="n">
        <f aca="false">IF(M108="","",YEAR(M108))</f>
        <v>2020</v>
      </c>
      <c r="AE108" s="57" t="n">
        <f aca="false">IF(O108="","",YEAR(O108))</f>
        <v>2022</v>
      </c>
      <c r="AF108" s="57" t="n">
        <f aca="false">IF(N108="","",YEAR(N108))</f>
        <v>2022</v>
      </c>
      <c r="AG108" s="57" t="n">
        <f aca="false">IF(AND(H108="Yes",OR(G108="Complete",G108="Under construction",G108="Permitted – not started",G108="Stalled")),1,0)</f>
        <v>1</v>
      </c>
      <c r="AH108" s="57" t="n">
        <f aca="false">IF(OR(G108="Under construction",G108="Permitted – not started",G108="Stalled"),1,0)</f>
        <v>0</v>
      </c>
    </row>
    <row r="109" customFormat="false" ht="15" hidden="false" customHeight="false" outlineLevel="0" collapsed="false">
      <c r="A109" s="57" t="s">
        <v>1594</v>
      </c>
      <c r="B109" s="57" t="s">
        <v>1061</v>
      </c>
      <c r="C109" s="57" t="s">
        <v>1595</v>
      </c>
      <c r="D109" s="57" t="s">
        <v>1062</v>
      </c>
      <c r="E109" s="57" t="n">
        <v>4</v>
      </c>
      <c r="F109" s="57"/>
      <c r="G109" s="57" t="s">
        <v>208</v>
      </c>
      <c r="H109" s="57" t="s">
        <v>228</v>
      </c>
      <c r="I109" s="57" t="s">
        <v>1310</v>
      </c>
      <c r="J109" s="57" t="s">
        <v>304</v>
      </c>
      <c r="K109" s="57" t="s">
        <v>308</v>
      </c>
      <c r="L109" s="57" t="s">
        <v>309</v>
      </c>
      <c r="M109" s="58" t="n">
        <v>43483</v>
      </c>
      <c r="N109" s="58" t="n">
        <v>45308</v>
      </c>
      <c r="O109" s="58" t="n">
        <v>44050</v>
      </c>
      <c r="P109" s="57"/>
      <c r="Q109" s="57"/>
      <c r="R109" s="57" t="s">
        <v>1306</v>
      </c>
      <c r="S109" s="57" t="n">
        <v>0</v>
      </c>
      <c r="T109" s="57" t="n">
        <v>0</v>
      </c>
      <c r="U109" s="57" t="n">
        <v>0</v>
      </c>
      <c r="V109" s="57" t="n">
        <v>0</v>
      </c>
      <c r="W109" s="57" t="n">
        <v>0</v>
      </c>
      <c r="X109" s="57" t="n">
        <v>0</v>
      </c>
      <c r="Y109" s="57" t="s">
        <v>1307</v>
      </c>
      <c r="Z109" s="57"/>
      <c r="AA109" s="57" t="s">
        <v>287</v>
      </c>
      <c r="AB109" s="57" t="s">
        <v>347</v>
      </c>
      <c r="AC109" s="57" t="str">
        <f aca="false">IFERROR(INDEX(dp_geo,MATCH(B109,dp_id,0)),"Unmatched")</f>
        <v>Rest of City</v>
      </c>
      <c r="AD109" s="57" t="n">
        <f aca="false">IF(M109="","",YEAR(M109))</f>
        <v>2019</v>
      </c>
      <c r="AE109" s="57" t="n">
        <f aca="false">IF(O109="","",YEAR(O109))</f>
        <v>2020</v>
      </c>
      <c r="AF109" s="57" t="n">
        <f aca="false">IF(N109="","",YEAR(N109))</f>
        <v>2024</v>
      </c>
      <c r="AG109" s="57" t="n">
        <f aca="false">IF(AND(H109="Yes",OR(G109="Complete",G109="Under construction",G109="Permitted – not started",G109="Stalled")),1,0)</f>
        <v>1</v>
      </c>
      <c r="AH109" s="57" t="n">
        <f aca="false">IF(OR(G109="Under construction",G109="Permitted – not started",G109="Stalled"),1,0)</f>
        <v>0</v>
      </c>
    </row>
    <row r="110" customFormat="false" ht="15" hidden="false" customHeight="false" outlineLevel="0" collapsed="false">
      <c r="A110" s="57" t="s">
        <v>1596</v>
      </c>
      <c r="B110" s="57" t="s">
        <v>667</v>
      </c>
      <c r="C110" s="57" t="s">
        <v>1597</v>
      </c>
      <c r="D110" s="57" t="s">
        <v>1598</v>
      </c>
      <c r="E110" s="57" t="n">
        <v>8</v>
      </c>
      <c r="F110" s="57"/>
      <c r="G110" s="57" t="s">
        <v>230</v>
      </c>
      <c r="H110" s="57" t="s">
        <v>228</v>
      </c>
      <c r="I110" s="57" t="s">
        <v>1310</v>
      </c>
      <c r="J110" s="57" t="s">
        <v>304</v>
      </c>
      <c r="K110" s="57" t="s">
        <v>308</v>
      </c>
      <c r="L110" s="57" t="s">
        <v>309</v>
      </c>
      <c r="M110" s="58" t="n">
        <v>43300</v>
      </c>
      <c r="N110" s="58" t="n">
        <v>45125</v>
      </c>
      <c r="O110" s="58"/>
      <c r="P110" s="57"/>
      <c r="Q110" s="57"/>
      <c r="R110" s="57" t="s">
        <v>1322</v>
      </c>
      <c r="S110" s="57" t="n">
        <v>0</v>
      </c>
      <c r="T110" s="57" t="n">
        <v>0</v>
      </c>
      <c r="U110" s="57" t="n">
        <v>0</v>
      </c>
      <c r="V110" s="57" t="n">
        <v>0</v>
      </c>
      <c r="W110" s="57" t="n">
        <v>0</v>
      </c>
      <c r="X110" s="57" t="n">
        <v>0</v>
      </c>
      <c r="Y110" s="57" t="s">
        <v>1307</v>
      </c>
      <c r="Z110" s="57"/>
      <c r="AA110" s="57" t="s">
        <v>258</v>
      </c>
      <c r="AB110" s="57" t="s">
        <v>347</v>
      </c>
      <c r="AC110" s="57" t="str">
        <f aca="false">IFERROR(INDEX(dp_geo,MATCH(B110,dp_id,0)),"Unmatched")</f>
        <v>City Centre</v>
      </c>
      <c r="AD110" s="57" t="n">
        <f aca="false">IF(M110="","",YEAR(M110))</f>
        <v>2018</v>
      </c>
      <c r="AE110" s="57" t="str">
        <f aca="false">IF(O110="","",YEAR(O110))</f>
        <v/>
      </c>
      <c r="AF110" s="57" t="n">
        <f aca="false">IF(N110="","",YEAR(N110))</f>
        <v>2023</v>
      </c>
      <c r="AG110" s="57" t="n">
        <f aca="false">IF(AND(H110="Yes",OR(G110="Complete",G110="Under construction",G110="Permitted – not started",G110="Stalled")),1,0)</f>
        <v>0</v>
      </c>
      <c r="AH110" s="57" t="n">
        <f aca="false">IF(OR(G110="Under construction",G110="Permitted – not started",G110="Stalled"),1,0)</f>
        <v>0</v>
      </c>
    </row>
    <row r="111" customFormat="false" ht="15" hidden="false" customHeight="false" outlineLevel="0" collapsed="false">
      <c r="A111" s="57" t="s">
        <v>1599</v>
      </c>
      <c r="B111" s="57" t="s">
        <v>919</v>
      </c>
      <c r="C111" s="57" t="s">
        <v>1600</v>
      </c>
      <c r="D111" s="57" t="s">
        <v>908</v>
      </c>
      <c r="E111" s="57" t="n">
        <v>14</v>
      </c>
      <c r="F111" s="57"/>
      <c r="G111" s="57" t="s">
        <v>208</v>
      </c>
      <c r="H111" s="57" t="s">
        <v>228</v>
      </c>
      <c r="I111" s="57" t="s">
        <v>1310</v>
      </c>
      <c r="J111" s="57" t="s">
        <v>304</v>
      </c>
      <c r="K111" s="57" t="s">
        <v>308</v>
      </c>
      <c r="L111" s="57" t="s">
        <v>309</v>
      </c>
      <c r="M111" s="58" t="n">
        <v>43354</v>
      </c>
      <c r="N111" s="58" t="n">
        <v>45179</v>
      </c>
      <c r="O111" s="58" t="n">
        <v>43613</v>
      </c>
      <c r="P111" s="57"/>
      <c r="Q111" s="57"/>
      <c r="R111" s="57" t="s">
        <v>1306</v>
      </c>
      <c r="S111" s="57" t="n">
        <v>0</v>
      </c>
      <c r="T111" s="57" t="n">
        <v>0</v>
      </c>
      <c r="U111" s="57" t="n">
        <v>0</v>
      </c>
      <c r="V111" s="57" t="n">
        <v>0</v>
      </c>
      <c r="W111" s="57" t="n">
        <v>0</v>
      </c>
      <c r="X111" s="57" t="n">
        <v>0</v>
      </c>
      <c r="Y111" s="57" t="s">
        <v>1307</v>
      </c>
      <c r="Z111" s="57" t="s">
        <v>1396</v>
      </c>
      <c r="AA111" s="57" t="s">
        <v>258</v>
      </c>
      <c r="AB111" s="57" t="s">
        <v>347</v>
      </c>
      <c r="AC111" s="57" t="str">
        <f aca="false">IFERROR(INDEX(dp_geo,MATCH(B111,dp_id,0)),"Unmatched")</f>
        <v>City Centre</v>
      </c>
      <c r="AD111" s="57" t="n">
        <f aca="false">IF(M111="","",YEAR(M111))</f>
        <v>2018</v>
      </c>
      <c r="AE111" s="57" t="n">
        <f aca="false">IF(O111="","",YEAR(O111))</f>
        <v>2019</v>
      </c>
      <c r="AF111" s="57" t="n">
        <f aca="false">IF(N111="","",YEAR(N111))</f>
        <v>2023</v>
      </c>
      <c r="AG111" s="57" t="n">
        <f aca="false">IF(AND(H111="Yes",OR(G111="Complete",G111="Under construction",G111="Permitted – not started",G111="Stalled")),1,0)</f>
        <v>1</v>
      </c>
      <c r="AH111" s="57" t="n">
        <f aca="false">IF(OR(G111="Under construction",G111="Permitted – not started",G111="Stalled"),1,0)</f>
        <v>0</v>
      </c>
    </row>
    <row r="112" customFormat="false" ht="15" hidden="false" customHeight="false" outlineLevel="0" collapsed="false">
      <c r="A112" s="57" t="s">
        <v>1601</v>
      </c>
      <c r="B112" s="57" t="s">
        <v>873</v>
      </c>
      <c r="C112" s="57" t="s">
        <v>1602</v>
      </c>
      <c r="D112" s="57" t="s">
        <v>874</v>
      </c>
      <c r="E112" s="57" t="n">
        <v>20</v>
      </c>
      <c r="F112" s="57"/>
      <c r="G112" s="57" t="s">
        <v>208</v>
      </c>
      <c r="H112" s="57" t="s">
        <v>228</v>
      </c>
      <c r="I112" s="57" t="s">
        <v>1310</v>
      </c>
      <c r="J112" s="57" t="s">
        <v>184</v>
      </c>
      <c r="K112" s="57" t="s">
        <v>310</v>
      </c>
      <c r="L112" s="57" t="s">
        <v>313</v>
      </c>
      <c r="M112" s="58" t="n">
        <v>43234</v>
      </c>
      <c r="N112" s="58"/>
      <c r="O112" s="58" t="n">
        <v>43908</v>
      </c>
      <c r="P112" s="57"/>
      <c r="Q112" s="57"/>
      <c r="R112" s="57" t="s">
        <v>1306</v>
      </c>
      <c r="S112" s="57" t="n">
        <v>0</v>
      </c>
      <c r="T112" s="57" t="n">
        <v>0</v>
      </c>
      <c r="U112" s="57" t="n">
        <v>0</v>
      </c>
      <c r="V112" s="57" t="n">
        <v>0</v>
      </c>
      <c r="W112" s="57" t="n">
        <v>0</v>
      </c>
      <c r="X112" s="57" t="n">
        <v>0</v>
      </c>
      <c r="Y112" s="57" t="s">
        <v>1307</v>
      </c>
      <c r="Z112" s="57"/>
      <c r="AA112" s="57" t="s">
        <v>361</v>
      </c>
      <c r="AB112" s="57" t="s">
        <v>356</v>
      </c>
      <c r="AC112" s="57" t="str">
        <f aca="false">IFERROR(INDEX(dp_geo,MATCH(B112,dp_id,0)),"Unmatched")</f>
        <v>Settlements</v>
      </c>
      <c r="AD112" s="57" t="n">
        <f aca="false">IF(M112="","",YEAR(M112))</f>
        <v>2018</v>
      </c>
      <c r="AE112" s="57" t="n">
        <f aca="false">IF(O112="","",YEAR(O112))</f>
        <v>2020</v>
      </c>
      <c r="AF112" s="57" t="str">
        <f aca="false">IF(N112="","",YEAR(N112))</f>
        <v/>
      </c>
      <c r="AG112" s="57" t="n">
        <f aca="false">IF(AND(H112="Yes",OR(G112="Complete",G112="Under construction",G112="Permitted – not started",G112="Stalled")),1,0)</f>
        <v>1</v>
      </c>
      <c r="AH112" s="57" t="n">
        <f aca="false">IF(OR(G112="Under construction",G112="Permitted – not started",G112="Stalled"),1,0)</f>
        <v>0</v>
      </c>
    </row>
    <row r="113" customFormat="false" ht="15" hidden="false" customHeight="false" outlineLevel="0" collapsed="false">
      <c r="A113" s="57" t="s">
        <v>1603</v>
      </c>
      <c r="B113" s="57" t="s">
        <v>934</v>
      </c>
      <c r="C113" s="57" t="s">
        <v>1604</v>
      </c>
      <c r="D113" s="57" t="s">
        <v>935</v>
      </c>
      <c r="E113" s="57" t="n">
        <v>12</v>
      </c>
      <c r="F113" s="57"/>
      <c r="G113" s="57" t="s">
        <v>208</v>
      </c>
      <c r="H113" s="57" t="s">
        <v>228</v>
      </c>
      <c r="I113" s="57" t="s">
        <v>1310</v>
      </c>
      <c r="J113" s="57" t="s">
        <v>304</v>
      </c>
      <c r="K113" s="57" t="s">
        <v>308</v>
      </c>
      <c r="L113" s="57" t="s">
        <v>309</v>
      </c>
      <c r="M113" s="58" t="n">
        <v>43487</v>
      </c>
      <c r="N113" s="58" t="n">
        <v>45312</v>
      </c>
      <c r="O113" s="58" t="n">
        <v>43689</v>
      </c>
      <c r="P113" s="57"/>
      <c r="Q113" s="57"/>
      <c r="R113" s="57" t="s">
        <v>1306</v>
      </c>
      <c r="S113" s="57" t="n">
        <v>0</v>
      </c>
      <c r="T113" s="57" t="n">
        <v>0</v>
      </c>
      <c r="U113" s="57" t="n">
        <v>0</v>
      </c>
      <c r="V113" s="57" t="n">
        <v>0</v>
      </c>
      <c r="W113" s="57" t="n">
        <v>0</v>
      </c>
      <c r="X113" s="57" t="n">
        <v>0</v>
      </c>
      <c r="Y113" s="57" t="s">
        <v>1307</v>
      </c>
      <c r="Z113" s="57"/>
      <c r="AA113" s="57" t="s">
        <v>285</v>
      </c>
      <c r="AB113" s="57" t="s">
        <v>347</v>
      </c>
      <c r="AC113" s="57" t="str">
        <f aca="false">IFERROR(INDEX(dp_geo,MATCH(B113,dp_id,0)),"Unmatched")</f>
        <v>Rest of City</v>
      </c>
      <c r="AD113" s="57" t="n">
        <f aca="false">IF(M113="","",YEAR(M113))</f>
        <v>2019</v>
      </c>
      <c r="AE113" s="57" t="n">
        <f aca="false">IF(O113="","",YEAR(O113))</f>
        <v>2019</v>
      </c>
      <c r="AF113" s="57" t="n">
        <f aca="false">IF(N113="","",YEAR(N113))</f>
        <v>2024</v>
      </c>
      <c r="AG113" s="57" t="n">
        <f aca="false">IF(AND(H113="Yes",OR(G113="Complete",G113="Under construction",G113="Permitted – not started",G113="Stalled")),1,0)</f>
        <v>1</v>
      </c>
      <c r="AH113" s="57" t="n">
        <f aca="false">IF(OR(G113="Under construction",G113="Permitted – not started",G113="Stalled"),1,0)</f>
        <v>0</v>
      </c>
    </row>
    <row r="114" customFormat="false" ht="15" hidden="false" customHeight="false" outlineLevel="0" collapsed="false">
      <c r="A114" s="57" t="s">
        <v>1605</v>
      </c>
      <c r="B114" s="57" t="s">
        <v>1023</v>
      </c>
      <c r="C114" s="57" t="s">
        <v>1606</v>
      </c>
      <c r="D114" s="57" t="s">
        <v>1024</v>
      </c>
      <c r="E114" s="57" t="n">
        <v>6</v>
      </c>
      <c r="F114" s="57"/>
      <c r="G114" s="57" t="s">
        <v>208</v>
      </c>
      <c r="H114" s="57" t="s">
        <v>228</v>
      </c>
      <c r="I114" s="57" t="s">
        <v>1305</v>
      </c>
      <c r="J114" s="57" t="s">
        <v>304</v>
      </c>
      <c r="K114" s="57" t="s">
        <v>308</v>
      </c>
      <c r="L114" s="57" t="s">
        <v>309</v>
      </c>
      <c r="M114" s="58" t="n">
        <v>43320</v>
      </c>
      <c r="N114" s="58" t="n">
        <v>45059</v>
      </c>
      <c r="O114" s="58" t="n">
        <v>43560</v>
      </c>
      <c r="P114" s="57"/>
      <c r="Q114" s="57"/>
      <c r="R114" s="57" t="s">
        <v>1306</v>
      </c>
      <c r="S114" s="57" t="n">
        <v>0</v>
      </c>
      <c r="T114" s="57" t="n">
        <v>0</v>
      </c>
      <c r="U114" s="57" t="n">
        <v>0</v>
      </c>
      <c r="V114" s="57" t="n">
        <v>0</v>
      </c>
      <c r="W114" s="57" t="n">
        <v>0</v>
      </c>
      <c r="X114" s="57" t="n">
        <v>0</v>
      </c>
      <c r="Y114" s="57" t="s">
        <v>1307</v>
      </c>
      <c r="Z114" s="57"/>
      <c r="AA114" s="57" t="s">
        <v>285</v>
      </c>
      <c r="AB114" s="57" t="s">
        <v>347</v>
      </c>
      <c r="AC114" s="57" t="str">
        <f aca="false">IFERROR(INDEX(dp_geo,MATCH(B114,dp_id,0)),"Unmatched")</f>
        <v>Rest of City</v>
      </c>
      <c r="AD114" s="57" t="n">
        <f aca="false">IF(M114="","",YEAR(M114))</f>
        <v>2018</v>
      </c>
      <c r="AE114" s="57" t="n">
        <f aca="false">IF(O114="","",YEAR(O114))</f>
        <v>2019</v>
      </c>
      <c r="AF114" s="57" t="n">
        <f aca="false">IF(N114="","",YEAR(N114))</f>
        <v>2023</v>
      </c>
      <c r="AG114" s="57" t="n">
        <f aca="false">IF(AND(H114="Yes",OR(G114="Complete",G114="Under construction",G114="Permitted – not started",G114="Stalled")),1,0)</f>
        <v>1</v>
      </c>
      <c r="AH114" s="57" t="n">
        <f aca="false">IF(OR(G114="Under construction",G114="Permitted – not started",G114="Stalled"),1,0)</f>
        <v>0</v>
      </c>
    </row>
    <row r="115" customFormat="false" ht="15" hidden="false" customHeight="false" outlineLevel="0" collapsed="false">
      <c r="A115" s="57" t="s">
        <v>1607</v>
      </c>
      <c r="B115" s="57" t="s">
        <v>798</v>
      </c>
      <c r="C115" s="57" t="s">
        <v>1608</v>
      </c>
      <c r="D115" s="57" t="s">
        <v>799</v>
      </c>
      <c r="E115" s="57" t="n">
        <v>43</v>
      </c>
      <c r="F115" s="57"/>
      <c r="G115" s="57" t="s">
        <v>208</v>
      </c>
      <c r="H115" s="57" t="s">
        <v>228</v>
      </c>
      <c r="I115" s="57" t="s">
        <v>1310</v>
      </c>
      <c r="J115" s="57" t="s">
        <v>184</v>
      </c>
      <c r="K115" s="57" t="s">
        <v>310</v>
      </c>
      <c r="L115" s="57" t="s">
        <v>313</v>
      </c>
      <c r="M115" s="58" t="n">
        <v>43355</v>
      </c>
      <c r="N115" s="58"/>
      <c r="O115" s="58" t="n">
        <v>43951</v>
      </c>
      <c r="P115" s="57"/>
      <c r="Q115" s="57"/>
      <c r="R115" s="57" t="s">
        <v>1306</v>
      </c>
      <c r="S115" s="57" t="n">
        <v>0</v>
      </c>
      <c r="T115" s="57" t="n">
        <v>0</v>
      </c>
      <c r="U115" s="57" t="n">
        <v>0</v>
      </c>
      <c r="V115" s="57" t="n">
        <v>0</v>
      </c>
      <c r="W115" s="57" t="n">
        <v>0</v>
      </c>
      <c r="X115" s="57" t="n">
        <v>0</v>
      </c>
      <c r="Y115" s="57" t="s">
        <v>1307</v>
      </c>
      <c r="Z115" s="57"/>
      <c r="AA115" s="57" t="s">
        <v>287</v>
      </c>
      <c r="AB115" s="57" t="s">
        <v>347</v>
      </c>
      <c r="AC115" s="57" t="str">
        <f aca="false">IFERROR(INDEX(dp_geo,MATCH(B115,dp_id,0)),"Unmatched")</f>
        <v>Rest of City</v>
      </c>
      <c r="AD115" s="57" t="n">
        <f aca="false">IF(M115="","",YEAR(M115))</f>
        <v>2018</v>
      </c>
      <c r="AE115" s="57" t="n">
        <f aca="false">IF(O115="","",YEAR(O115))</f>
        <v>2020</v>
      </c>
      <c r="AF115" s="57" t="str">
        <f aca="false">IF(N115="","",YEAR(N115))</f>
        <v/>
      </c>
      <c r="AG115" s="57" t="n">
        <f aca="false">IF(AND(H115="Yes",OR(G115="Complete",G115="Under construction",G115="Permitted – not started",G115="Stalled")),1,0)</f>
        <v>1</v>
      </c>
      <c r="AH115" s="57" t="n">
        <f aca="false">IF(OR(G115="Under construction",G115="Permitted – not started",G115="Stalled"),1,0)</f>
        <v>0</v>
      </c>
    </row>
    <row r="116" customFormat="false" ht="15" hidden="false" customHeight="false" outlineLevel="0" collapsed="false">
      <c r="A116" s="57" t="s">
        <v>1609</v>
      </c>
      <c r="B116" s="57" t="s">
        <v>800</v>
      </c>
      <c r="C116" s="57" t="s">
        <v>1610</v>
      </c>
      <c r="D116" s="57" t="s">
        <v>801</v>
      </c>
      <c r="E116" s="57" t="n">
        <v>43</v>
      </c>
      <c r="F116" s="57"/>
      <c r="G116" s="57" t="s">
        <v>208</v>
      </c>
      <c r="H116" s="57" t="s">
        <v>228</v>
      </c>
      <c r="I116" s="57" t="s">
        <v>1310</v>
      </c>
      <c r="J116" s="57" t="s">
        <v>184</v>
      </c>
      <c r="K116" s="57" t="s">
        <v>310</v>
      </c>
      <c r="L116" s="57" t="s">
        <v>313</v>
      </c>
      <c r="M116" s="58" t="n">
        <v>43355</v>
      </c>
      <c r="N116" s="58"/>
      <c r="O116" s="58" t="n">
        <v>43732</v>
      </c>
      <c r="P116" s="57"/>
      <c r="Q116" s="57"/>
      <c r="R116" s="57" t="s">
        <v>1306</v>
      </c>
      <c r="S116" s="57" t="n">
        <v>0</v>
      </c>
      <c r="T116" s="57" t="n">
        <v>0</v>
      </c>
      <c r="U116" s="57" t="n">
        <v>0</v>
      </c>
      <c r="V116" s="57" t="n">
        <v>0</v>
      </c>
      <c r="W116" s="57" t="n">
        <v>0</v>
      </c>
      <c r="X116" s="57" t="n">
        <v>0</v>
      </c>
      <c r="Y116" s="57" t="s">
        <v>1307</v>
      </c>
      <c r="Z116" s="57"/>
      <c r="AA116" s="57" t="s">
        <v>284</v>
      </c>
      <c r="AB116" s="57" t="s">
        <v>347</v>
      </c>
      <c r="AC116" s="57" t="str">
        <f aca="false">IFERROR(INDEX(dp_geo,MATCH(B116,dp_id,0)),"Unmatched")</f>
        <v>Rest of City</v>
      </c>
      <c r="AD116" s="57" t="n">
        <f aca="false">IF(M116="","",YEAR(M116))</f>
        <v>2018</v>
      </c>
      <c r="AE116" s="57" t="n">
        <f aca="false">IF(O116="","",YEAR(O116))</f>
        <v>2019</v>
      </c>
      <c r="AF116" s="57" t="str">
        <f aca="false">IF(N116="","",YEAR(N116))</f>
        <v/>
      </c>
      <c r="AG116" s="57" t="n">
        <f aca="false">IF(AND(H116="Yes",OR(G116="Complete",G116="Under construction",G116="Permitted – not started",G116="Stalled")),1,0)</f>
        <v>1</v>
      </c>
      <c r="AH116" s="57" t="n">
        <f aca="false">IF(OR(G116="Under construction",G116="Permitted – not started",G116="Stalled"),1,0)</f>
        <v>0</v>
      </c>
    </row>
    <row r="117" customFormat="false" ht="15" hidden="false" customHeight="false" outlineLevel="0" collapsed="false">
      <c r="A117" s="57" t="s">
        <v>1611</v>
      </c>
      <c r="B117" s="57" t="s">
        <v>1043</v>
      </c>
      <c r="C117" s="57" t="s">
        <v>1612</v>
      </c>
      <c r="D117" s="57" t="s">
        <v>1044</v>
      </c>
      <c r="E117" s="57" t="n">
        <v>5</v>
      </c>
      <c r="F117" s="57"/>
      <c r="G117" s="57" t="s">
        <v>208</v>
      </c>
      <c r="H117" s="57" t="s">
        <v>228</v>
      </c>
      <c r="I117" s="57" t="s">
        <v>1310</v>
      </c>
      <c r="J117" s="57" t="s">
        <v>184</v>
      </c>
      <c r="K117" s="57" t="s">
        <v>310</v>
      </c>
      <c r="L117" s="57" t="s">
        <v>313</v>
      </c>
      <c r="M117" s="58" t="n">
        <v>43343</v>
      </c>
      <c r="N117" s="58"/>
      <c r="O117" s="58" t="n">
        <v>44032</v>
      </c>
      <c r="P117" s="57"/>
      <c r="Q117" s="57"/>
      <c r="R117" s="57" t="s">
        <v>1306</v>
      </c>
      <c r="S117" s="57" t="n">
        <v>0</v>
      </c>
      <c r="T117" s="57" t="n">
        <v>0</v>
      </c>
      <c r="U117" s="57" t="n">
        <v>0</v>
      </c>
      <c r="V117" s="57" t="n">
        <v>0</v>
      </c>
      <c r="W117" s="57" t="n">
        <v>0</v>
      </c>
      <c r="X117" s="57" t="n">
        <v>0</v>
      </c>
      <c r="Y117" s="57" t="s">
        <v>1307</v>
      </c>
      <c r="Z117" s="57"/>
      <c r="AA117" s="57" t="s">
        <v>284</v>
      </c>
      <c r="AB117" s="57" t="s">
        <v>347</v>
      </c>
      <c r="AC117" s="57" t="str">
        <f aca="false">IFERROR(INDEX(dp_geo,MATCH(B117,dp_id,0)),"Unmatched")</f>
        <v>Rest of City</v>
      </c>
      <c r="AD117" s="57" t="n">
        <f aca="false">IF(M117="","",YEAR(M117))</f>
        <v>2018</v>
      </c>
      <c r="AE117" s="57" t="n">
        <f aca="false">IF(O117="","",YEAR(O117))</f>
        <v>2020</v>
      </c>
      <c r="AF117" s="57" t="str">
        <f aca="false">IF(N117="","",YEAR(N117))</f>
        <v/>
      </c>
      <c r="AG117" s="57" t="n">
        <f aca="false">IF(AND(H117="Yes",OR(G117="Complete",G117="Under construction",G117="Permitted – not started",G117="Stalled")),1,0)</f>
        <v>1</v>
      </c>
      <c r="AH117" s="57" t="n">
        <f aca="false">IF(OR(G117="Under construction",G117="Permitted – not started",G117="Stalled"),1,0)</f>
        <v>0</v>
      </c>
    </row>
    <row r="118" customFormat="false" ht="15" hidden="false" customHeight="false" outlineLevel="0" collapsed="false">
      <c r="A118" s="57" t="s">
        <v>1613</v>
      </c>
      <c r="B118" s="57" t="s">
        <v>324</v>
      </c>
      <c r="C118" s="57" t="s">
        <v>1614</v>
      </c>
      <c r="D118" s="57" t="s">
        <v>1615</v>
      </c>
      <c r="E118" s="57" t="n">
        <v>11</v>
      </c>
      <c r="F118" s="57"/>
      <c r="G118" s="57" t="s">
        <v>208</v>
      </c>
      <c r="H118" s="57" t="s">
        <v>228</v>
      </c>
      <c r="I118" s="57" t="s">
        <v>1310</v>
      </c>
      <c r="J118" s="57" t="s">
        <v>184</v>
      </c>
      <c r="K118" s="57" t="s">
        <v>310</v>
      </c>
      <c r="L118" s="57" t="s">
        <v>313</v>
      </c>
      <c r="M118" s="58" t="n">
        <v>43343</v>
      </c>
      <c r="N118" s="58"/>
      <c r="O118" s="58" t="n">
        <v>43874</v>
      </c>
      <c r="P118" s="57"/>
      <c r="Q118" s="57"/>
      <c r="R118" s="57" t="s">
        <v>1306</v>
      </c>
      <c r="S118" s="57" t="n">
        <v>0</v>
      </c>
      <c r="T118" s="57" t="n">
        <v>0</v>
      </c>
      <c r="U118" s="57" t="n">
        <v>0</v>
      </c>
      <c r="V118" s="57" t="n">
        <v>0</v>
      </c>
      <c r="W118" s="57" t="n">
        <v>0</v>
      </c>
      <c r="X118" s="57" t="n">
        <v>0</v>
      </c>
      <c r="Y118" s="57" t="s">
        <v>1307</v>
      </c>
      <c r="Z118" s="57"/>
      <c r="AA118" s="57" t="s">
        <v>258</v>
      </c>
      <c r="AB118" s="57" t="s">
        <v>347</v>
      </c>
      <c r="AC118" s="57" t="str">
        <f aca="false">IFERROR(INDEX(dp_geo,MATCH(B118,dp_id,0)),"Unmatched")</f>
        <v>City Centre</v>
      </c>
      <c r="AD118" s="57" t="n">
        <f aca="false">IF(M118="","",YEAR(M118))</f>
        <v>2018</v>
      </c>
      <c r="AE118" s="57" t="n">
        <f aca="false">IF(O118="","",YEAR(O118))</f>
        <v>2020</v>
      </c>
      <c r="AF118" s="57" t="str">
        <f aca="false">IF(N118="","",YEAR(N118))</f>
        <v/>
      </c>
      <c r="AG118" s="57" t="n">
        <f aca="false">IF(AND(H118="Yes",OR(G118="Complete",G118="Under construction",G118="Permitted – not started",G118="Stalled")),1,0)</f>
        <v>1</v>
      </c>
      <c r="AH118" s="57" t="n">
        <f aca="false">IF(OR(G118="Under construction",G118="Permitted – not started",G118="Stalled"),1,0)</f>
        <v>0</v>
      </c>
    </row>
    <row r="119" customFormat="false" ht="15" hidden="false" customHeight="false" outlineLevel="0" collapsed="false">
      <c r="A119" s="57" t="s">
        <v>1616</v>
      </c>
      <c r="B119" s="57" t="s">
        <v>784</v>
      </c>
      <c r="C119" s="57" t="s">
        <v>1617</v>
      </c>
      <c r="D119" s="57" t="s">
        <v>1618</v>
      </c>
      <c r="E119" s="57" t="n">
        <v>0</v>
      </c>
      <c r="F119" s="57"/>
      <c r="G119" s="57" t="s">
        <v>58</v>
      </c>
      <c r="H119" s="57" t="s">
        <v>228</v>
      </c>
      <c r="I119" s="57" t="s">
        <v>1305</v>
      </c>
      <c r="J119" s="57" t="s">
        <v>304</v>
      </c>
      <c r="K119" s="57" t="s">
        <v>308</v>
      </c>
      <c r="L119" s="57" t="s">
        <v>309</v>
      </c>
      <c r="M119" s="58" t="n">
        <v>43200</v>
      </c>
      <c r="N119" s="58" t="n">
        <v>47189</v>
      </c>
      <c r="O119" s="58"/>
      <c r="P119" s="57"/>
      <c r="Q119" s="57"/>
      <c r="R119" s="57" t="s">
        <v>1322</v>
      </c>
      <c r="S119" s="57" t="n">
        <v>0</v>
      </c>
      <c r="T119" s="57" t="n">
        <v>0</v>
      </c>
      <c r="U119" s="57" t="n">
        <v>0</v>
      </c>
      <c r="V119" s="57" t="n">
        <v>0</v>
      </c>
      <c r="W119" s="57" t="n">
        <v>0</v>
      </c>
      <c r="X119" s="57" t="n">
        <v>0</v>
      </c>
      <c r="Y119" s="57" t="s">
        <v>1307</v>
      </c>
      <c r="Z119" s="57" t="s">
        <v>1323</v>
      </c>
      <c r="AA119" s="57" t="s">
        <v>286</v>
      </c>
      <c r="AB119" s="57" t="s">
        <v>347</v>
      </c>
      <c r="AC119" s="57" t="str">
        <f aca="false">IFERROR(INDEX(dp_geo,MATCH(B119,dp_id,0)),"Unmatched")</f>
        <v>Rest of City</v>
      </c>
      <c r="AD119" s="57" t="n">
        <f aca="false">IF(M119="","",YEAR(M119))</f>
        <v>2018</v>
      </c>
      <c r="AE119" s="57" t="str">
        <f aca="false">IF(O119="","",YEAR(O119))</f>
        <v/>
      </c>
      <c r="AF119" s="57" t="n">
        <f aca="false">IF(N119="","",YEAR(N119))</f>
        <v>2029</v>
      </c>
      <c r="AG119" s="57" t="n">
        <f aca="false">IF(AND(H119="Yes",OR(G119="Complete",G119="Under construction",G119="Permitted – not started",G119="Stalled")),1,0)</f>
        <v>1</v>
      </c>
      <c r="AH119" s="57" t="n">
        <f aca="false">IF(OR(G119="Under construction",G119="Permitted – not started",G119="Stalled"),1,0)</f>
        <v>1</v>
      </c>
    </row>
    <row r="120" customFormat="false" ht="15" hidden="false" customHeight="false" outlineLevel="0" collapsed="false">
      <c r="A120" s="57" t="s">
        <v>1619</v>
      </c>
      <c r="B120" s="57" t="s">
        <v>734</v>
      </c>
      <c r="C120" s="57" t="s">
        <v>1620</v>
      </c>
      <c r="D120" s="57" t="s">
        <v>735</v>
      </c>
      <c r="E120" s="57" t="n">
        <v>96</v>
      </c>
      <c r="F120" s="57"/>
      <c r="G120" s="57" t="s">
        <v>56</v>
      </c>
      <c r="H120" s="57" t="s">
        <v>228</v>
      </c>
      <c r="I120" s="57" t="s">
        <v>1347</v>
      </c>
      <c r="J120" s="57" t="s">
        <v>304</v>
      </c>
      <c r="K120" s="57" t="s">
        <v>308</v>
      </c>
      <c r="L120" s="57" t="s">
        <v>309</v>
      </c>
      <c r="M120" s="58" t="n">
        <v>44343</v>
      </c>
      <c r="N120" s="58" t="n">
        <v>47308</v>
      </c>
      <c r="O120" s="58" t="n">
        <v>46119</v>
      </c>
      <c r="P120" s="57" t="s">
        <v>1508</v>
      </c>
      <c r="Q120" s="57" t="s">
        <v>1348</v>
      </c>
      <c r="R120" s="57" t="s">
        <v>1318</v>
      </c>
      <c r="S120" s="57" t="n">
        <v>0</v>
      </c>
      <c r="T120" s="57" t="n">
        <v>38.9</v>
      </c>
      <c r="U120" s="57" t="n">
        <v>52.8</v>
      </c>
      <c r="V120" s="57" t="n">
        <v>4.3</v>
      </c>
      <c r="W120" s="57" t="n">
        <v>0</v>
      </c>
      <c r="X120" s="57" t="n">
        <v>0</v>
      </c>
      <c r="Y120" s="57" t="s">
        <v>1307</v>
      </c>
      <c r="Z120" s="57"/>
      <c r="AA120" s="57" t="s">
        <v>286</v>
      </c>
      <c r="AB120" s="57" t="s">
        <v>347</v>
      </c>
      <c r="AC120" s="57" t="str">
        <f aca="false">IFERROR(INDEX(dp_geo,MATCH(B120,dp_id,0)),"Unmatched")</f>
        <v>Rest of City</v>
      </c>
      <c r="AD120" s="57" t="n">
        <f aca="false">IF(M120="","",YEAR(M120))</f>
        <v>2021</v>
      </c>
      <c r="AE120" s="57" t="n">
        <f aca="false">IF(O120="","",YEAR(O120))</f>
        <v>2026</v>
      </c>
      <c r="AF120" s="57" t="n">
        <f aca="false">IF(N120="","",YEAR(N120))</f>
        <v>2029</v>
      </c>
      <c r="AG120" s="57" t="n">
        <f aca="false">IF(AND(H120="Yes",OR(G120="Complete",G120="Under construction",G120="Permitted – not started",G120="Stalled")),1,0)</f>
        <v>1</v>
      </c>
      <c r="AH120" s="57" t="n">
        <f aca="false">IF(OR(G120="Under construction",G120="Permitted – not started",G120="Stalled"),1,0)</f>
        <v>1</v>
      </c>
    </row>
    <row r="121" customFormat="false" ht="15" hidden="false" customHeight="false" outlineLevel="0" collapsed="false">
      <c r="A121" s="57" t="s">
        <v>1621</v>
      </c>
      <c r="B121" s="57" t="s">
        <v>734</v>
      </c>
      <c r="C121" s="57" t="s">
        <v>1622</v>
      </c>
      <c r="D121" s="57" t="s">
        <v>1623</v>
      </c>
      <c r="E121" s="57" t="n">
        <v>96</v>
      </c>
      <c r="F121" s="57"/>
      <c r="G121" s="57" t="s">
        <v>56</v>
      </c>
      <c r="H121" s="57" t="s">
        <v>228</v>
      </c>
      <c r="I121" s="57" t="s">
        <v>1347</v>
      </c>
      <c r="J121" s="57" t="s">
        <v>304</v>
      </c>
      <c r="K121" s="57" t="s">
        <v>308</v>
      </c>
      <c r="L121" s="57" t="s">
        <v>309</v>
      </c>
      <c r="M121" s="58" t="n">
        <v>44343</v>
      </c>
      <c r="N121" s="58" t="n">
        <v>46168</v>
      </c>
      <c r="O121" s="58" t="n">
        <v>44613</v>
      </c>
      <c r="P121" s="57" t="s">
        <v>1624</v>
      </c>
      <c r="Q121" s="57" t="s">
        <v>1317</v>
      </c>
      <c r="R121" s="57" t="s">
        <v>1318</v>
      </c>
      <c r="S121" s="57" t="n">
        <v>22.4</v>
      </c>
      <c r="T121" s="57" t="n">
        <v>73.6</v>
      </c>
      <c r="U121" s="57" t="n">
        <v>0</v>
      </c>
      <c r="V121" s="57" t="n">
        <v>0</v>
      </c>
      <c r="W121" s="57" t="n">
        <v>0</v>
      </c>
      <c r="X121" s="57" t="n">
        <v>0</v>
      </c>
      <c r="Y121" s="57" t="s">
        <v>1307</v>
      </c>
      <c r="Z121" s="57"/>
      <c r="AA121" s="57" t="s">
        <v>286</v>
      </c>
      <c r="AB121" s="57" t="s">
        <v>347</v>
      </c>
      <c r="AC121" s="57" t="str">
        <f aca="false">IFERROR(INDEX(dp_geo,MATCH(B121,dp_id,0)),"Unmatched")</f>
        <v>Rest of City</v>
      </c>
      <c r="AD121" s="57" t="n">
        <f aca="false">IF(M121="","",YEAR(M121))</f>
        <v>2021</v>
      </c>
      <c r="AE121" s="57" t="n">
        <f aca="false">IF(O121="","",YEAR(O121))</f>
        <v>2022</v>
      </c>
      <c r="AF121" s="57" t="n">
        <f aca="false">IF(N121="","",YEAR(N121))</f>
        <v>2026</v>
      </c>
      <c r="AG121" s="57" t="n">
        <f aca="false">IF(AND(H121="Yes",OR(G121="Complete",G121="Under construction",G121="Permitted – not started",G121="Stalled")),1,0)</f>
        <v>1</v>
      </c>
      <c r="AH121" s="57" t="n">
        <f aca="false">IF(OR(G121="Under construction",G121="Permitted – not started",G121="Stalled"),1,0)</f>
        <v>1</v>
      </c>
    </row>
    <row r="122" customFormat="false" ht="15" hidden="false" customHeight="false" outlineLevel="0" collapsed="false">
      <c r="A122" s="57" t="s">
        <v>1625</v>
      </c>
      <c r="B122" s="57" t="s">
        <v>632</v>
      </c>
      <c r="C122" s="57" t="s">
        <v>1626</v>
      </c>
      <c r="D122" s="57" t="s">
        <v>1627</v>
      </c>
      <c r="E122" s="57" t="n">
        <v>32</v>
      </c>
      <c r="F122" s="57"/>
      <c r="G122" s="57" t="s">
        <v>56</v>
      </c>
      <c r="H122" s="57" t="s">
        <v>228</v>
      </c>
      <c r="I122" s="57" t="s">
        <v>1310</v>
      </c>
      <c r="J122" s="57" t="s">
        <v>304</v>
      </c>
      <c r="K122" s="57" t="s">
        <v>308</v>
      </c>
      <c r="L122" s="57" t="s">
        <v>309</v>
      </c>
      <c r="M122" s="58" t="n">
        <v>43285</v>
      </c>
      <c r="N122" s="58" t="n">
        <v>45110</v>
      </c>
      <c r="O122" s="58" t="n">
        <v>43320</v>
      </c>
      <c r="P122" s="57" t="s">
        <v>1628</v>
      </c>
      <c r="Q122" s="57" t="s">
        <v>1317</v>
      </c>
      <c r="R122" s="57" t="s">
        <v>1318</v>
      </c>
      <c r="S122" s="57" t="n">
        <v>7.5</v>
      </c>
      <c r="T122" s="57" t="n">
        <v>24.5</v>
      </c>
      <c r="U122" s="57" t="n">
        <v>0</v>
      </c>
      <c r="V122" s="57" t="n">
        <v>0</v>
      </c>
      <c r="W122" s="57" t="n">
        <v>0</v>
      </c>
      <c r="X122" s="57" t="n">
        <v>0</v>
      </c>
      <c r="Y122" s="57" t="s">
        <v>1307</v>
      </c>
      <c r="Z122" s="57"/>
      <c r="AA122" s="57" t="s">
        <v>285</v>
      </c>
      <c r="AB122" s="57" t="s">
        <v>347</v>
      </c>
      <c r="AC122" s="57" t="str">
        <f aca="false">IFERROR(INDEX(dp_geo,MATCH(B122,dp_id,0)),"Unmatched")</f>
        <v>Rest of City</v>
      </c>
      <c r="AD122" s="57" t="n">
        <f aca="false">IF(M122="","",YEAR(M122))</f>
        <v>2018</v>
      </c>
      <c r="AE122" s="57" t="n">
        <f aca="false">IF(O122="","",YEAR(O122))</f>
        <v>2018</v>
      </c>
      <c r="AF122" s="57" t="n">
        <f aca="false">IF(N122="","",YEAR(N122))</f>
        <v>2023</v>
      </c>
      <c r="AG122" s="57" t="n">
        <f aca="false">IF(AND(H122="Yes",OR(G122="Complete",G122="Under construction",G122="Permitted – not started",G122="Stalled")),1,0)</f>
        <v>1</v>
      </c>
      <c r="AH122" s="57" t="n">
        <f aca="false">IF(OR(G122="Under construction",G122="Permitted – not started",G122="Stalled"),1,0)</f>
        <v>1</v>
      </c>
    </row>
    <row r="123" customFormat="false" ht="15" hidden="false" customHeight="false" outlineLevel="0" collapsed="false">
      <c r="A123" s="57" t="s">
        <v>1629</v>
      </c>
      <c r="B123" s="57" t="s">
        <v>1083</v>
      </c>
      <c r="C123" s="57" t="s">
        <v>1630</v>
      </c>
      <c r="D123" s="57" t="s">
        <v>1084</v>
      </c>
      <c r="E123" s="57" t="n">
        <v>3</v>
      </c>
      <c r="F123" s="57"/>
      <c r="G123" s="57" t="s">
        <v>208</v>
      </c>
      <c r="H123" s="57" t="s">
        <v>228</v>
      </c>
      <c r="I123" s="57" t="s">
        <v>1347</v>
      </c>
      <c r="J123" s="57" t="s">
        <v>304</v>
      </c>
      <c r="K123" s="57" t="s">
        <v>308</v>
      </c>
      <c r="L123" s="57" t="s">
        <v>309</v>
      </c>
      <c r="M123" s="58" t="n">
        <v>44362</v>
      </c>
      <c r="N123" s="58" t="n">
        <v>46187</v>
      </c>
      <c r="O123" s="58" t="n">
        <v>44830</v>
      </c>
      <c r="P123" s="57" t="s">
        <v>1336</v>
      </c>
      <c r="Q123" s="57" t="s">
        <v>1317</v>
      </c>
      <c r="R123" s="57" t="s">
        <v>1318</v>
      </c>
      <c r="S123" s="57" t="n">
        <v>0</v>
      </c>
      <c r="T123" s="57" t="n">
        <v>0</v>
      </c>
      <c r="U123" s="57" t="n">
        <v>0</v>
      </c>
      <c r="V123" s="57" t="n">
        <v>0</v>
      </c>
      <c r="W123" s="57" t="n">
        <v>0</v>
      </c>
      <c r="X123" s="57" t="n">
        <v>0</v>
      </c>
      <c r="Y123" s="57" t="s">
        <v>1337</v>
      </c>
      <c r="Z123" s="57" t="s">
        <v>1338</v>
      </c>
      <c r="AA123" s="57" t="s">
        <v>285</v>
      </c>
      <c r="AB123" s="57" t="s">
        <v>347</v>
      </c>
      <c r="AC123" s="57" t="str">
        <f aca="false">IFERROR(INDEX(dp_geo,MATCH(B123,dp_id,0)),"Unmatched")</f>
        <v>Rest of City</v>
      </c>
      <c r="AD123" s="57" t="n">
        <f aca="false">IF(M123="","",YEAR(M123))</f>
        <v>2021</v>
      </c>
      <c r="AE123" s="57" t="n">
        <f aca="false">IF(O123="","",YEAR(O123))</f>
        <v>2022</v>
      </c>
      <c r="AF123" s="57" t="n">
        <f aca="false">IF(N123="","",YEAR(N123))</f>
        <v>2026</v>
      </c>
      <c r="AG123" s="57" t="n">
        <f aca="false">IF(AND(H123="Yes",OR(G123="Complete",G123="Under construction",G123="Permitted – not started",G123="Stalled")),1,0)</f>
        <v>1</v>
      </c>
      <c r="AH123" s="57" t="n">
        <f aca="false">IF(OR(G123="Under construction",G123="Permitted – not started",G123="Stalled"),1,0)</f>
        <v>0</v>
      </c>
    </row>
    <row r="124" customFormat="false" ht="15" hidden="false" customHeight="false" outlineLevel="0" collapsed="false">
      <c r="A124" s="57" t="s">
        <v>1631</v>
      </c>
      <c r="B124" s="57" t="s">
        <v>1095</v>
      </c>
      <c r="C124" s="57" t="s">
        <v>1632</v>
      </c>
      <c r="D124" s="57" t="s">
        <v>1096</v>
      </c>
      <c r="E124" s="57" t="n">
        <v>2</v>
      </c>
      <c r="F124" s="57"/>
      <c r="G124" s="57" t="s">
        <v>56</v>
      </c>
      <c r="H124" s="57" t="s">
        <v>228</v>
      </c>
      <c r="I124" s="57" t="s">
        <v>1347</v>
      </c>
      <c r="J124" s="57" t="s">
        <v>304</v>
      </c>
      <c r="K124" s="57" t="s">
        <v>308</v>
      </c>
      <c r="L124" s="57" t="s">
        <v>309</v>
      </c>
      <c r="M124" s="58" t="n">
        <v>44545</v>
      </c>
      <c r="N124" s="58" t="n">
        <v>46370</v>
      </c>
      <c r="O124" s="58" t="n">
        <v>45194</v>
      </c>
      <c r="P124" s="57" t="s">
        <v>1359</v>
      </c>
      <c r="Q124" s="57" t="s">
        <v>1317</v>
      </c>
      <c r="R124" s="57" t="s">
        <v>1318</v>
      </c>
      <c r="S124" s="57" t="n">
        <v>0.5</v>
      </c>
      <c r="T124" s="57" t="n">
        <v>1.5</v>
      </c>
      <c r="U124" s="57" t="n">
        <v>0</v>
      </c>
      <c r="V124" s="57" t="n">
        <v>0</v>
      </c>
      <c r="W124" s="57" t="n">
        <v>0</v>
      </c>
      <c r="X124" s="57" t="n">
        <v>0</v>
      </c>
      <c r="Y124" s="57" t="s">
        <v>1307</v>
      </c>
      <c r="Z124" s="57"/>
      <c r="AA124" s="57" t="s">
        <v>285</v>
      </c>
      <c r="AB124" s="57" t="s">
        <v>347</v>
      </c>
      <c r="AC124" s="57" t="str">
        <f aca="false">IFERROR(INDEX(dp_geo,MATCH(B124,dp_id,0)),"Unmatched")</f>
        <v>Rest of City</v>
      </c>
      <c r="AD124" s="57" t="n">
        <f aca="false">IF(M124="","",YEAR(M124))</f>
        <v>2021</v>
      </c>
      <c r="AE124" s="57" t="n">
        <f aca="false">IF(O124="","",YEAR(O124))</f>
        <v>2023</v>
      </c>
      <c r="AF124" s="57" t="n">
        <f aca="false">IF(N124="","",YEAR(N124))</f>
        <v>2026</v>
      </c>
      <c r="AG124" s="57" t="n">
        <f aca="false">IF(AND(H124="Yes",OR(G124="Complete",G124="Under construction",G124="Permitted – not started",G124="Stalled")),1,0)</f>
        <v>1</v>
      </c>
      <c r="AH124" s="57" t="n">
        <f aca="false">IF(OR(G124="Under construction",G124="Permitted – not started",G124="Stalled"),1,0)</f>
        <v>1</v>
      </c>
    </row>
    <row r="125" customFormat="false" ht="15" hidden="false" customHeight="false" outlineLevel="0" collapsed="false">
      <c r="A125" s="57" t="s">
        <v>1633</v>
      </c>
      <c r="B125" s="57" t="s">
        <v>632</v>
      </c>
      <c r="C125" s="57" t="s">
        <v>1634</v>
      </c>
      <c r="D125" s="57" t="s">
        <v>1635</v>
      </c>
      <c r="E125" s="57" t="n">
        <v>114</v>
      </c>
      <c r="F125" s="57"/>
      <c r="G125" s="57" t="s">
        <v>58</v>
      </c>
      <c r="H125" s="57" t="s">
        <v>228</v>
      </c>
      <c r="I125" s="57" t="s">
        <v>1347</v>
      </c>
      <c r="J125" s="57" t="s">
        <v>304</v>
      </c>
      <c r="K125" s="57" t="s">
        <v>308</v>
      </c>
      <c r="L125" s="57" t="s">
        <v>311</v>
      </c>
      <c r="M125" s="58" t="n">
        <v>46127</v>
      </c>
      <c r="N125" s="58" t="n">
        <v>47952</v>
      </c>
      <c r="O125" s="58"/>
      <c r="P125" s="57" t="s">
        <v>1514</v>
      </c>
      <c r="Q125" s="57" t="s">
        <v>1560</v>
      </c>
      <c r="R125" s="57" t="s">
        <v>1526</v>
      </c>
      <c r="S125" s="57" t="n">
        <v>0</v>
      </c>
      <c r="T125" s="57" t="n">
        <v>0</v>
      </c>
      <c r="U125" s="57" t="n">
        <v>0</v>
      </c>
      <c r="V125" s="57" t="n">
        <v>89.3</v>
      </c>
      <c r="W125" s="57" t="n">
        <v>24.7</v>
      </c>
      <c r="X125" s="57" t="n">
        <v>0</v>
      </c>
      <c r="Y125" s="57" t="s">
        <v>1307</v>
      </c>
      <c r="Z125" s="57"/>
      <c r="AA125" s="57" t="s">
        <v>285</v>
      </c>
      <c r="AB125" s="57" t="s">
        <v>347</v>
      </c>
      <c r="AC125" s="57" t="str">
        <f aca="false">IFERROR(INDEX(dp_geo,MATCH(B125,dp_id,0)),"Unmatched")</f>
        <v>Rest of City</v>
      </c>
      <c r="AD125" s="57" t="n">
        <f aca="false">IF(M125="","",YEAR(M125))</f>
        <v>2026</v>
      </c>
      <c r="AE125" s="57" t="str">
        <f aca="false">IF(O125="","",YEAR(O125))</f>
        <v/>
      </c>
      <c r="AF125" s="57" t="n">
        <f aca="false">IF(N125="","",YEAR(N125))</f>
        <v>2031</v>
      </c>
      <c r="AG125" s="57" t="n">
        <f aca="false">IF(AND(H125="Yes",OR(G125="Complete",G125="Under construction",G125="Permitted – not started",G125="Stalled")),1,0)</f>
        <v>1</v>
      </c>
      <c r="AH125" s="57" t="n">
        <f aca="false">IF(OR(G125="Under construction",G125="Permitted – not started",G125="Stalled"),1,0)</f>
        <v>1</v>
      </c>
    </row>
    <row r="126" customFormat="false" ht="15" hidden="false" customHeight="false" outlineLevel="0" collapsed="false">
      <c r="A126" s="57" t="s">
        <v>1636</v>
      </c>
      <c r="B126" s="57" t="s">
        <v>750</v>
      </c>
      <c r="C126" s="57" t="s">
        <v>1637</v>
      </c>
      <c r="D126" s="57" t="s">
        <v>1638</v>
      </c>
      <c r="E126" s="57" t="n">
        <v>49</v>
      </c>
      <c r="F126" s="57"/>
      <c r="G126" s="57" t="s">
        <v>208</v>
      </c>
      <c r="H126" s="57" t="s">
        <v>228</v>
      </c>
      <c r="I126" s="57" t="s">
        <v>1310</v>
      </c>
      <c r="J126" s="57" t="s">
        <v>304</v>
      </c>
      <c r="K126" s="57" t="s">
        <v>308</v>
      </c>
      <c r="L126" s="57" t="s">
        <v>309</v>
      </c>
      <c r="M126" s="58" t="n">
        <v>43445</v>
      </c>
      <c r="N126" s="58" t="n">
        <v>46364</v>
      </c>
      <c r="O126" s="58" t="n">
        <v>44904</v>
      </c>
      <c r="P126" s="57" t="s">
        <v>1385</v>
      </c>
      <c r="Q126" s="57" t="s">
        <v>1317</v>
      </c>
      <c r="R126" s="57" t="s">
        <v>1318</v>
      </c>
      <c r="S126" s="57" t="n">
        <v>0</v>
      </c>
      <c r="T126" s="57" t="n">
        <v>0</v>
      </c>
      <c r="U126" s="57" t="n">
        <v>0</v>
      </c>
      <c r="V126" s="57" t="n">
        <v>0</v>
      </c>
      <c r="W126" s="57" t="n">
        <v>0</v>
      </c>
      <c r="X126" s="57" t="n">
        <v>0</v>
      </c>
      <c r="Y126" s="57" t="s">
        <v>1337</v>
      </c>
      <c r="Z126" s="57" t="s">
        <v>1338</v>
      </c>
      <c r="AA126" s="57" t="s">
        <v>364</v>
      </c>
      <c r="AB126" s="57" t="s">
        <v>356</v>
      </c>
      <c r="AC126" s="57" t="str">
        <f aca="false">IFERROR(INDEX(dp_geo,MATCH(B126,dp_id,0)),"Unmatched")</f>
        <v>Settlements</v>
      </c>
      <c r="AD126" s="57" t="n">
        <f aca="false">IF(M126="","",YEAR(M126))</f>
        <v>2018</v>
      </c>
      <c r="AE126" s="57" t="n">
        <f aca="false">IF(O126="","",YEAR(O126))</f>
        <v>2022</v>
      </c>
      <c r="AF126" s="57" t="n">
        <f aca="false">IF(N126="","",YEAR(N126))</f>
        <v>2026</v>
      </c>
      <c r="AG126" s="57" t="n">
        <f aca="false">IF(AND(H126="Yes",OR(G126="Complete",G126="Under construction",G126="Permitted – not started",G126="Stalled")),1,0)</f>
        <v>1</v>
      </c>
      <c r="AH126" s="57" t="n">
        <f aca="false">IF(OR(G126="Under construction",G126="Permitted – not started",G126="Stalled"),1,0)</f>
        <v>0</v>
      </c>
    </row>
    <row r="127" customFormat="false" ht="15" hidden="false" customHeight="false" outlineLevel="0" collapsed="false">
      <c r="A127" s="57" t="s">
        <v>1639</v>
      </c>
      <c r="B127" s="57" t="s">
        <v>750</v>
      </c>
      <c r="C127" s="57" t="s">
        <v>1640</v>
      </c>
      <c r="D127" s="57" t="s">
        <v>751</v>
      </c>
      <c r="E127" s="57" t="n">
        <v>58</v>
      </c>
      <c r="F127" s="57"/>
      <c r="G127" s="57" t="s">
        <v>56</v>
      </c>
      <c r="H127" s="57" t="s">
        <v>228</v>
      </c>
      <c r="I127" s="57" t="s">
        <v>1347</v>
      </c>
      <c r="J127" s="57" t="s">
        <v>304</v>
      </c>
      <c r="K127" s="57" t="s">
        <v>308</v>
      </c>
      <c r="L127" s="57" t="s">
        <v>309</v>
      </c>
      <c r="M127" s="58" t="n">
        <v>43613</v>
      </c>
      <c r="N127" s="58" t="n">
        <v>46533</v>
      </c>
      <c r="O127" s="58" t="n">
        <v>45406</v>
      </c>
      <c r="P127" s="57" t="s">
        <v>1364</v>
      </c>
      <c r="Q127" s="57" t="s">
        <v>1317</v>
      </c>
      <c r="R127" s="57" t="s">
        <v>1318</v>
      </c>
      <c r="S127" s="57" t="n">
        <v>13.5</v>
      </c>
      <c r="T127" s="57" t="n">
        <v>44.5</v>
      </c>
      <c r="U127" s="57" t="n">
        <v>0</v>
      </c>
      <c r="V127" s="57" t="n">
        <v>0</v>
      </c>
      <c r="W127" s="57" t="n">
        <v>0</v>
      </c>
      <c r="X127" s="57" t="n">
        <v>0</v>
      </c>
      <c r="Y127" s="57" t="s">
        <v>1307</v>
      </c>
      <c r="Z127" s="57"/>
      <c r="AA127" s="57" t="s">
        <v>364</v>
      </c>
      <c r="AB127" s="57" t="s">
        <v>356</v>
      </c>
      <c r="AC127" s="57" t="str">
        <f aca="false">IFERROR(INDEX(dp_geo,MATCH(B127,dp_id,0)),"Unmatched")</f>
        <v>Settlements</v>
      </c>
      <c r="AD127" s="57" t="n">
        <f aca="false">IF(M127="","",YEAR(M127))</f>
        <v>2019</v>
      </c>
      <c r="AE127" s="57" t="n">
        <f aca="false">IF(O127="","",YEAR(O127))</f>
        <v>2024</v>
      </c>
      <c r="AF127" s="57" t="n">
        <f aca="false">IF(N127="","",YEAR(N127))</f>
        <v>2027</v>
      </c>
      <c r="AG127" s="57" t="n">
        <f aca="false">IF(AND(H127="Yes",OR(G127="Complete",G127="Under construction",G127="Permitted – not started",G127="Stalled")),1,0)</f>
        <v>1</v>
      </c>
      <c r="AH127" s="57" t="n">
        <f aca="false">IF(OR(G127="Under construction",G127="Permitted – not started",G127="Stalled"),1,0)</f>
        <v>1</v>
      </c>
    </row>
    <row r="128" customFormat="false" ht="15" hidden="false" customHeight="false" outlineLevel="0" collapsed="false">
      <c r="A128" s="57" t="s">
        <v>1641</v>
      </c>
      <c r="B128" s="57" t="s">
        <v>750</v>
      </c>
      <c r="C128" s="57" t="s">
        <v>1642</v>
      </c>
      <c r="D128" s="57" t="s">
        <v>1643</v>
      </c>
      <c r="E128" s="57" t="n">
        <v>5</v>
      </c>
      <c r="F128" s="57"/>
      <c r="G128" s="57" t="s">
        <v>208</v>
      </c>
      <c r="H128" s="57" t="s">
        <v>228</v>
      </c>
      <c r="I128" s="57" t="s">
        <v>1347</v>
      </c>
      <c r="J128" s="57" t="s">
        <v>304</v>
      </c>
      <c r="K128" s="57" t="s">
        <v>308</v>
      </c>
      <c r="L128" s="57" t="s">
        <v>309</v>
      </c>
      <c r="M128" s="58" t="n">
        <v>43774</v>
      </c>
      <c r="N128" s="58" t="n">
        <v>45600</v>
      </c>
      <c r="O128" s="58" t="n">
        <v>45406</v>
      </c>
      <c r="P128" s="57" t="s">
        <v>1364</v>
      </c>
      <c r="Q128" s="57" t="s">
        <v>1317</v>
      </c>
      <c r="R128" s="57" t="s">
        <v>1318</v>
      </c>
      <c r="S128" s="57" t="n">
        <v>0</v>
      </c>
      <c r="T128" s="57" t="n">
        <v>0</v>
      </c>
      <c r="U128" s="57" t="n">
        <v>0</v>
      </c>
      <c r="V128" s="57" t="n">
        <v>0</v>
      </c>
      <c r="W128" s="57" t="n">
        <v>0</v>
      </c>
      <c r="X128" s="57" t="n">
        <v>0</v>
      </c>
      <c r="Y128" s="57" t="s">
        <v>1337</v>
      </c>
      <c r="Z128" s="57" t="s">
        <v>1338</v>
      </c>
      <c r="AA128" s="57" t="s">
        <v>364</v>
      </c>
      <c r="AB128" s="57" t="s">
        <v>356</v>
      </c>
      <c r="AC128" s="57" t="str">
        <f aca="false">IFERROR(INDEX(dp_geo,MATCH(B128,dp_id,0)),"Unmatched")</f>
        <v>Settlements</v>
      </c>
      <c r="AD128" s="57" t="n">
        <f aca="false">IF(M128="","",YEAR(M128))</f>
        <v>2019</v>
      </c>
      <c r="AE128" s="57" t="n">
        <f aca="false">IF(O128="","",YEAR(O128))</f>
        <v>2024</v>
      </c>
      <c r="AF128" s="57" t="n">
        <f aca="false">IF(N128="","",YEAR(N128))</f>
        <v>2024</v>
      </c>
      <c r="AG128" s="57" t="n">
        <f aca="false">IF(AND(H128="Yes",OR(G128="Complete",G128="Under construction",G128="Permitted – not started",G128="Stalled")),1,0)</f>
        <v>1</v>
      </c>
      <c r="AH128" s="57" t="n">
        <f aca="false">IF(OR(G128="Under construction",G128="Permitted – not started",G128="Stalled"),1,0)</f>
        <v>0</v>
      </c>
    </row>
    <row r="129" customFormat="false" ht="15" hidden="false" customHeight="false" outlineLevel="0" collapsed="false">
      <c r="A129" s="57" t="s">
        <v>1644</v>
      </c>
      <c r="B129" s="57" t="s">
        <v>738</v>
      </c>
      <c r="C129" s="57" t="s">
        <v>1645</v>
      </c>
      <c r="D129" s="57" t="s">
        <v>1646</v>
      </c>
      <c r="E129" s="57" t="n">
        <v>49</v>
      </c>
      <c r="F129" s="57"/>
      <c r="G129" s="57" t="s">
        <v>230</v>
      </c>
      <c r="H129" s="57" t="s">
        <v>228</v>
      </c>
      <c r="I129" s="57" t="s">
        <v>1310</v>
      </c>
      <c r="J129" s="57" t="s">
        <v>304</v>
      </c>
      <c r="K129" s="57" t="s">
        <v>308</v>
      </c>
      <c r="L129" s="57" t="s">
        <v>309</v>
      </c>
      <c r="M129" s="58" t="n">
        <v>43396</v>
      </c>
      <c r="N129" s="58" t="n">
        <v>45221</v>
      </c>
      <c r="O129" s="58"/>
      <c r="P129" s="57"/>
      <c r="Q129" s="57"/>
      <c r="R129" s="57" t="s">
        <v>1322</v>
      </c>
      <c r="S129" s="57" t="n">
        <v>0</v>
      </c>
      <c r="T129" s="57" t="n">
        <v>0</v>
      </c>
      <c r="U129" s="57" t="n">
        <v>0</v>
      </c>
      <c r="V129" s="57" t="n">
        <v>0</v>
      </c>
      <c r="W129" s="57" t="n">
        <v>0</v>
      </c>
      <c r="X129" s="57" t="n">
        <v>0</v>
      </c>
      <c r="Y129" s="57" t="s">
        <v>1307</v>
      </c>
      <c r="Z129" s="57"/>
      <c r="AA129" s="57" t="s">
        <v>364</v>
      </c>
      <c r="AB129" s="57" t="s">
        <v>356</v>
      </c>
      <c r="AC129" s="57" t="str">
        <f aca="false">IFERROR(INDEX(dp_geo,MATCH(B129,dp_id,0)),"Unmatched")</f>
        <v>Settlements</v>
      </c>
      <c r="AD129" s="57" t="n">
        <f aca="false">IF(M129="","",YEAR(M129))</f>
        <v>2018</v>
      </c>
      <c r="AE129" s="57" t="str">
        <f aca="false">IF(O129="","",YEAR(O129))</f>
        <v/>
      </c>
      <c r="AF129" s="57" t="n">
        <f aca="false">IF(N129="","",YEAR(N129))</f>
        <v>2023</v>
      </c>
      <c r="AG129" s="57" t="n">
        <f aca="false">IF(AND(H129="Yes",OR(G129="Complete",G129="Under construction",G129="Permitted – not started",G129="Stalled")),1,0)</f>
        <v>0</v>
      </c>
      <c r="AH129" s="57" t="n">
        <f aca="false">IF(OR(G129="Under construction",G129="Permitted – not started",G129="Stalled"),1,0)</f>
        <v>0</v>
      </c>
    </row>
    <row r="130" customFormat="false" ht="15" hidden="false" customHeight="false" outlineLevel="0" collapsed="false">
      <c r="A130" s="57" t="s">
        <v>1647</v>
      </c>
      <c r="B130" s="57" t="s">
        <v>971</v>
      </c>
      <c r="C130" s="57" t="s">
        <v>1648</v>
      </c>
      <c r="D130" s="57" t="s">
        <v>972</v>
      </c>
      <c r="E130" s="57" t="n">
        <v>9</v>
      </c>
      <c r="F130" s="57"/>
      <c r="G130" s="57" t="s">
        <v>56</v>
      </c>
      <c r="H130" s="57" t="s">
        <v>228</v>
      </c>
      <c r="I130" s="57" t="s">
        <v>1347</v>
      </c>
      <c r="J130" s="57" t="s">
        <v>304</v>
      </c>
      <c r="K130" s="57" t="s">
        <v>308</v>
      </c>
      <c r="L130" s="57" t="s">
        <v>309</v>
      </c>
      <c r="M130" s="58" t="n">
        <v>43888</v>
      </c>
      <c r="N130" s="58" t="n">
        <v>46270</v>
      </c>
      <c r="O130" s="58" t="n">
        <v>45372</v>
      </c>
      <c r="P130" s="57" t="s">
        <v>1454</v>
      </c>
      <c r="Q130" s="57" t="s">
        <v>1317</v>
      </c>
      <c r="R130" s="57" t="s">
        <v>1318</v>
      </c>
      <c r="S130" s="57" t="n">
        <v>2.1</v>
      </c>
      <c r="T130" s="57" t="n">
        <v>6.9</v>
      </c>
      <c r="U130" s="57" t="n">
        <v>0</v>
      </c>
      <c r="V130" s="57" t="n">
        <v>0</v>
      </c>
      <c r="W130" s="57" t="n">
        <v>0</v>
      </c>
      <c r="X130" s="57" t="n">
        <v>0</v>
      </c>
      <c r="Y130" s="57" t="s">
        <v>1307</v>
      </c>
      <c r="Z130" s="57"/>
      <c r="AA130" s="57" t="s">
        <v>364</v>
      </c>
      <c r="AB130" s="57" t="s">
        <v>356</v>
      </c>
      <c r="AC130" s="57" t="str">
        <f aca="false">IFERROR(INDEX(dp_geo,MATCH(B130,dp_id,0)),"Unmatched")</f>
        <v>Settlements</v>
      </c>
      <c r="AD130" s="57" t="n">
        <f aca="false">IF(M130="","",YEAR(M130))</f>
        <v>2020</v>
      </c>
      <c r="AE130" s="57" t="n">
        <f aca="false">IF(O130="","",YEAR(O130))</f>
        <v>2024</v>
      </c>
      <c r="AF130" s="57" t="n">
        <f aca="false">IF(N130="","",YEAR(N130))</f>
        <v>2026</v>
      </c>
      <c r="AG130" s="57" t="n">
        <f aca="false">IF(AND(H130="Yes",OR(G130="Complete",G130="Under construction",G130="Permitted – not started",G130="Stalled")),1,0)</f>
        <v>1</v>
      </c>
      <c r="AH130" s="57" t="n">
        <f aca="false">IF(OR(G130="Under construction",G130="Permitted – not started",G130="Stalled"),1,0)</f>
        <v>1</v>
      </c>
    </row>
    <row r="131" customFormat="false" ht="15" hidden="false" customHeight="false" outlineLevel="0" collapsed="false">
      <c r="A131" s="57" t="s">
        <v>1649</v>
      </c>
      <c r="B131" s="57" t="s">
        <v>766</v>
      </c>
      <c r="C131" s="57" t="s">
        <v>1650</v>
      </c>
      <c r="D131" s="57" t="s">
        <v>1651</v>
      </c>
      <c r="E131" s="57" t="n">
        <v>36</v>
      </c>
      <c r="F131" s="57"/>
      <c r="G131" s="57" t="s">
        <v>56</v>
      </c>
      <c r="H131" s="57" t="s">
        <v>228</v>
      </c>
      <c r="I131" s="57" t="s">
        <v>1347</v>
      </c>
      <c r="J131" s="57" t="s">
        <v>304</v>
      </c>
      <c r="K131" s="57" t="s">
        <v>308</v>
      </c>
      <c r="L131" s="57" t="s">
        <v>309</v>
      </c>
      <c r="M131" s="58" t="n">
        <v>44211</v>
      </c>
      <c r="N131" s="58" t="n">
        <v>45992</v>
      </c>
      <c r="O131" s="58" t="n">
        <v>45086</v>
      </c>
      <c r="P131" s="57" t="s">
        <v>1388</v>
      </c>
      <c r="Q131" s="57" t="s">
        <v>1317</v>
      </c>
      <c r="R131" s="57" t="s">
        <v>1318</v>
      </c>
      <c r="S131" s="57" t="n">
        <v>8.4</v>
      </c>
      <c r="T131" s="57" t="n">
        <v>27.6</v>
      </c>
      <c r="U131" s="57" t="n">
        <v>0</v>
      </c>
      <c r="V131" s="57" t="n">
        <v>0</v>
      </c>
      <c r="W131" s="57" t="n">
        <v>0</v>
      </c>
      <c r="X131" s="57" t="n">
        <v>0</v>
      </c>
      <c r="Y131" s="57" t="s">
        <v>1307</v>
      </c>
      <c r="Z131" s="57"/>
      <c r="AA131" s="57" t="s">
        <v>364</v>
      </c>
      <c r="AB131" s="57" t="s">
        <v>356</v>
      </c>
      <c r="AC131" s="57" t="str">
        <f aca="false">IFERROR(INDEX(dp_geo,MATCH(B131,dp_id,0)),"Unmatched")</f>
        <v>Settlements</v>
      </c>
      <c r="AD131" s="57" t="n">
        <f aca="false">IF(M131="","",YEAR(M131))</f>
        <v>2021</v>
      </c>
      <c r="AE131" s="57" t="n">
        <f aca="false">IF(O131="","",YEAR(O131))</f>
        <v>2023</v>
      </c>
      <c r="AF131" s="57" t="n">
        <f aca="false">IF(N131="","",YEAR(N131))</f>
        <v>2025</v>
      </c>
      <c r="AG131" s="57" t="n">
        <f aca="false">IF(AND(H131="Yes",OR(G131="Complete",G131="Under construction",G131="Permitted – not started",G131="Stalled")),1,0)</f>
        <v>1</v>
      </c>
      <c r="AH131" s="57" t="n">
        <f aca="false">IF(OR(G131="Under construction",G131="Permitted – not started",G131="Stalled"),1,0)</f>
        <v>1</v>
      </c>
    </row>
    <row r="132" customFormat="false" ht="15" hidden="false" customHeight="false" outlineLevel="0" collapsed="false">
      <c r="A132" s="57" t="s">
        <v>1652</v>
      </c>
      <c r="B132" s="57" t="s">
        <v>973</v>
      </c>
      <c r="C132" s="57" t="s">
        <v>1653</v>
      </c>
      <c r="D132" s="57" t="s">
        <v>974</v>
      </c>
      <c r="E132" s="57" t="n">
        <v>9</v>
      </c>
      <c r="F132" s="57"/>
      <c r="G132" s="57" t="s">
        <v>208</v>
      </c>
      <c r="H132" s="57" t="s">
        <v>228</v>
      </c>
      <c r="I132" s="57" t="s">
        <v>1347</v>
      </c>
      <c r="J132" s="57" t="s">
        <v>304</v>
      </c>
      <c r="K132" s="57" t="s">
        <v>308</v>
      </c>
      <c r="L132" s="57" t="s">
        <v>309</v>
      </c>
      <c r="M132" s="58" t="n">
        <v>44756</v>
      </c>
      <c r="N132" s="58" t="n">
        <v>46581</v>
      </c>
      <c r="O132" s="58" t="n">
        <v>45369</v>
      </c>
      <c r="P132" s="57"/>
      <c r="Q132" s="57"/>
      <c r="R132" s="57" t="s">
        <v>1306</v>
      </c>
      <c r="S132" s="57" t="n">
        <v>0</v>
      </c>
      <c r="T132" s="57" t="n">
        <v>0</v>
      </c>
      <c r="U132" s="57" t="n">
        <v>0</v>
      </c>
      <c r="V132" s="57" t="n">
        <v>0</v>
      </c>
      <c r="W132" s="57" t="n">
        <v>0</v>
      </c>
      <c r="X132" s="57" t="n">
        <v>0</v>
      </c>
      <c r="Y132" s="57" t="s">
        <v>1307</v>
      </c>
      <c r="Z132" s="57" t="s">
        <v>1331</v>
      </c>
      <c r="AA132" s="57" t="s">
        <v>364</v>
      </c>
      <c r="AB132" s="57" t="s">
        <v>356</v>
      </c>
      <c r="AC132" s="57" t="str">
        <f aca="false">IFERROR(INDEX(dp_geo,MATCH(B132,dp_id,0)),"Unmatched")</f>
        <v>Settlements</v>
      </c>
      <c r="AD132" s="57" t="n">
        <f aca="false">IF(M132="","",YEAR(M132))</f>
        <v>2022</v>
      </c>
      <c r="AE132" s="57" t="n">
        <f aca="false">IF(O132="","",YEAR(O132))</f>
        <v>2024</v>
      </c>
      <c r="AF132" s="57" t="n">
        <f aca="false">IF(N132="","",YEAR(N132))</f>
        <v>2027</v>
      </c>
      <c r="AG132" s="57" t="n">
        <f aca="false">IF(AND(H132="Yes",OR(G132="Complete",G132="Under construction",G132="Permitted – not started",G132="Stalled")),1,0)</f>
        <v>1</v>
      </c>
      <c r="AH132" s="57" t="n">
        <f aca="false">IF(OR(G132="Under construction",G132="Permitted – not started",G132="Stalled"),1,0)</f>
        <v>0</v>
      </c>
    </row>
    <row r="133" customFormat="false" ht="15" hidden="false" customHeight="false" outlineLevel="0" collapsed="false">
      <c r="A133" s="57" t="s">
        <v>1654</v>
      </c>
      <c r="B133" s="57" t="s">
        <v>794</v>
      </c>
      <c r="C133" s="57" t="s">
        <v>1655</v>
      </c>
      <c r="D133" s="57" t="s">
        <v>795</v>
      </c>
      <c r="E133" s="57" t="n">
        <v>24</v>
      </c>
      <c r="F133" s="57"/>
      <c r="G133" s="57" t="s">
        <v>56</v>
      </c>
      <c r="H133" s="57" t="s">
        <v>228</v>
      </c>
      <c r="I133" s="57" t="s">
        <v>1347</v>
      </c>
      <c r="J133" s="57" t="s">
        <v>184</v>
      </c>
      <c r="K133" s="57" t="s">
        <v>310</v>
      </c>
      <c r="L133" s="57" t="s">
        <v>313</v>
      </c>
      <c r="M133" s="58" t="n">
        <v>44907</v>
      </c>
      <c r="N133" s="58"/>
      <c r="O133" s="58" t="n">
        <v>46220</v>
      </c>
      <c r="P133" s="57" t="s">
        <v>1656</v>
      </c>
      <c r="Q133" s="57" t="s">
        <v>1312</v>
      </c>
      <c r="R133" s="57" t="s">
        <v>1318</v>
      </c>
      <c r="S133" s="57" t="n">
        <v>0</v>
      </c>
      <c r="T133" s="57" t="n">
        <v>5.9</v>
      </c>
      <c r="U133" s="57" t="n">
        <v>12.8</v>
      </c>
      <c r="V133" s="57" t="n">
        <v>5.3</v>
      </c>
      <c r="W133" s="57" t="n">
        <v>0</v>
      </c>
      <c r="X133" s="57" t="n">
        <v>0</v>
      </c>
      <c r="Y133" s="57" t="s">
        <v>1307</v>
      </c>
      <c r="Z133" s="57"/>
      <c r="AA133" s="57" t="s">
        <v>364</v>
      </c>
      <c r="AB133" s="57" t="s">
        <v>356</v>
      </c>
      <c r="AC133" s="57" t="str">
        <f aca="false">IFERROR(INDEX(dp_geo,MATCH(B133,dp_id,0)),"Unmatched")</f>
        <v>Settlements</v>
      </c>
      <c r="AD133" s="57" t="n">
        <f aca="false">IF(M133="","",YEAR(M133))</f>
        <v>2022</v>
      </c>
      <c r="AE133" s="57" t="n">
        <f aca="false">IF(O133="","",YEAR(O133))</f>
        <v>2026</v>
      </c>
      <c r="AF133" s="57" t="str">
        <f aca="false">IF(N133="","",YEAR(N133))</f>
        <v/>
      </c>
      <c r="AG133" s="57" t="n">
        <f aca="false">IF(AND(H133="Yes",OR(G133="Complete",G133="Under construction",G133="Permitted – not started",G133="Stalled")),1,0)</f>
        <v>1</v>
      </c>
      <c r="AH133" s="57" t="n">
        <f aca="false">IF(OR(G133="Under construction",G133="Permitted – not started",G133="Stalled"),1,0)</f>
        <v>1</v>
      </c>
    </row>
    <row r="134" customFormat="false" ht="15" hidden="false" customHeight="false" outlineLevel="0" collapsed="false">
      <c r="A134" s="57" t="s">
        <v>1657</v>
      </c>
      <c r="B134" s="57" t="s">
        <v>849</v>
      </c>
      <c r="C134" s="57" t="s">
        <v>1658</v>
      </c>
      <c r="D134" s="57" t="s">
        <v>850</v>
      </c>
      <c r="E134" s="57" t="n">
        <v>24</v>
      </c>
      <c r="F134" s="57"/>
      <c r="G134" s="57" t="s">
        <v>58</v>
      </c>
      <c r="H134" s="57" t="s">
        <v>228</v>
      </c>
      <c r="I134" s="57" t="s">
        <v>1347</v>
      </c>
      <c r="J134" s="57" t="s">
        <v>184</v>
      </c>
      <c r="K134" s="57" t="s">
        <v>310</v>
      </c>
      <c r="L134" s="57" t="s">
        <v>313</v>
      </c>
      <c r="M134" s="58" t="n">
        <v>44950</v>
      </c>
      <c r="N134" s="58"/>
      <c r="O134" s="58"/>
      <c r="P134" s="57" t="s">
        <v>1311</v>
      </c>
      <c r="Q134" s="57" t="s">
        <v>1560</v>
      </c>
      <c r="R134" s="57" t="s">
        <v>1313</v>
      </c>
      <c r="S134" s="57" t="n">
        <v>0</v>
      </c>
      <c r="T134" s="57" t="n">
        <v>0</v>
      </c>
      <c r="U134" s="57" t="n">
        <v>6.2</v>
      </c>
      <c r="V134" s="57" t="n">
        <v>12.8</v>
      </c>
      <c r="W134" s="57" t="n">
        <v>5</v>
      </c>
      <c r="X134" s="57" t="n">
        <v>0</v>
      </c>
      <c r="Y134" s="57" t="s">
        <v>1307</v>
      </c>
      <c r="Z134" s="57"/>
      <c r="AA134" s="57" t="s">
        <v>364</v>
      </c>
      <c r="AB134" s="57" t="s">
        <v>356</v>
      </c>
      <c r="AC134" s="57" t="str">
        <f aca="false">IFERROR(INDEX(dp_geo,MATCH(B134,dp_id,0)),"Unmatched")</f>
        <v>Settlements</v>
      </c>
      <c r="AD134" s="57" t="n">
        <f aca="false">IF(M134="","",YEAR(M134))</f>
        <v>2023</v>
      </c>
      <c r="AE134" s="57" t="str">
        <f aca="false">IF(O134="","",YEAR(O134))</f>
        <v/>
      </c>
      <c r="AF134" s="57" t="str">
        <f aca="false">IF(N134="","",YEAR(N134))</f>
        <v/>
      </c>
      <c r="AG134" s="57" t="n">
        <f aca="false">IF(AND(H134="Yes",OR(G134="Complete",G134="Under construction",G134="Permitted – not started",G134="Stalled")),1,0)</f>
        <v>1</v>
      </c>
      <c r="AH134" s="57" t="n">
        <f aca="false">IF(OR(G134="Under construction",G134="Permitted – not started",G134="Stalled"),1,0)</f>
        <v>1</v>
      </c>
    </row>
    <row r="135" customFormat="false" ht="15" hidden="false" customHeight="false" outlineLevel="0" collapsed="false">
      <c r="A135" s="57" t="s">
        <v>1659</v>
      </c>
      <c r="B135" s="57" t="s">
        <v>738</v>
      </c>
      <c r="C135" s="57" t="s">
        <v>1660</v>
      </c>
      <c r="D135" s="57" t="s">
        <v>740</v>
      </c>
      <c r="E135" s="57" t="n">
        <v>63</v>
      </c>
      <c r="F135" s="57"/>
      <c r="G135" s="57" t="s">
        <v>58</v>
      </c>
      <c r="H135" s="57" t="s">
        <v>228</v>
      </c>
      <c r="I135" s="57" t="s">
        <v>1347</v>
      </c>
      <c r="J135" s="57" t="s">
        <v>304</v>
      </c>
      <c r="K135" s="57" t="s">
        <v>308</v>
      </c>
      <c r="L135" s="57" t="s">
        <v>309</v>
      </c>
      <c r="M135" s="58" t="n">
        <v>45972</v>
      </c>
      <c r="N135" s="58" t="n">
        <v>47797</v>
      </c>
      <c r="O135" s="58"/>
      <c r="P135" s="57" t="s">
        <v>1311</v>
      </c>
      <c r="Q135" s="57" t="s">
        <v>1497</v>
      </c>
      <c r="R135" s="57" t="s">
        <v>1313</v>
      </c>
      <c r="S135" s="57" t="n">
        <v>0</v>
      </c>
      <c r="T135" s="57" t="n">
        <v>0</v>
      </c>
      <c r="U135" s="57" t="n">
        <v>24.1</v>
      </c>
      <c r="V135" s="57" t="n">
        <v>38.9</v>
      </c>
      <c r="W135" s="57" t="n">
        <v>0</v>
      </c>
      <c r="X135" s="57" t="n">
        <v>0</v>
      </c>
      <c r="Y135" s="57" t="s">
        <v>1307</v>
      </c>
      <c r="Z135" s="57"/>
      <c r="AA135" s="57" t="s">
        <v>364</v>
      </c>
      <c r="AB135" s="57" t="s">
        <v>356</v>
      </c>
      <c r="AC135" s="57" t="str">
        <f aca="false">IFERROR(INDEX(dp_geo,MATCH(B135,dp_id,0)),"Unmatched")</f>
        <v>Settlements</v>
      </c>
      <c r="AD135" s="57" t="n">
        <f aca="false">IF(M135="","",YEAR(M135))</f>
        <v>2025</v>
      </c>
      <c r="AE135" s="57" t="str">
        <f aca="false">IF(O135="","",YEAR(O135))</f>
        <v/>
      </c>
      <c r="AF135" s="57" t="n">
        <f aca="false">IF(N135="","",YEAR(N135))</f>
        <v>2030</v>
      </c>
      <c r="AG135" s="57" t="n">
        <f aca="false">IF(AND(H135="Yes",OR(G135="Complete",G135="Under construction",G135="Permitted – not started",G135="Stalled")),1,0)</f>
        <v>1</v>
      </c>
      <c r="AH135" s="57" t="n">
        <f aca="false">IF(OR(G135="Under construction",G135="Permitted – not started",G135="Stalled"),1,0)</f>
        <v>1</v>
      </c>
    </row>
    <row r="136" customFormat="false" ht="15" hidden="false" customHeight="false" outlineLevel="0" collapsed="false">
      <c r="A136" s="57" t="s">
        <v>1661</v>
      </c>
      <c r="B136" s="57" t="s">
        <v>1025</v>
      </c>
      <c r="C136" s="57" t="s">
        <v>1662</v>
      </c>
      <c r="D136" s="57" t="s">
        <v>1026</v>
      </c>
      <c r="E136" s="57" t="n">
        <v>6</v>
      </c>
      <c r="F136" s="57"/>
      <c r="G136" s="57" t="s">
        <v>58</v>
      </c>
      <c r="H136" s="57" t="s">
        <v>228</v>
      </c>
      <c r="I136" s="57" t="s">
        <v>1347</v>
      </c>
      <c r="J136" s="57" t="s">
        <v>304</v>
      </c>
      <c r="K136" s="57" t="s">
        <v>308</v>
      </c>
      <c r="L136" s="57" t="s">
        <v>309</v>
      </c>
      <c r="M136" s="58" t="n">
        <v>46113</v>
      </c>
      <c r="N136" s="58" t="n">
        <v>47938</v>
      </c>
      <c r="O136" s="58"/>
      <c r="P136" s="57" t="s">
        <v>1311</v>
      </c>
      <c r="Q136" s="57" t="s">
        <v>1312</v>
      </c>
      <c r="R136" s="57" t="s">
        <v>1526</v>
      </c>
      <c r="S136" s="57" t="n">
        <v>0</v>
      </c>
      <c r="T136" s="57" t="n">
        <v>0</v>
      </c>
      <c r="U136" s="57" t="n">
        <v>3.7</v>
      </c>
      <c r="V136" s="57" t="n">
        <v>2.3</v>
      </c>
      <c r="W136" s="57" t="n">
        <v>0</v>
      </c>
      <c r="X136" s="57" t="n">
        <v>0</v>
      </c>
      <c r="Y136" s="57" t="s">
        <v>1307</v>
      </c>
      <c r="Z136" s="57"/>
      <c r="AA136" s="57" t="s">
        <v>364</v>
      </c>
      <c r="AB136" s="57" t="s">
        <v>356</v>
      </c>
      <c r="AC136" s="57" t="str">
        <f aca="false">IFERROR(INDEX(dp_geo,MATCH(B136,dp_id,0)),"Unmatched")</f>
        <v>Settlements</v>
      </c>
      <c r="AD136" s="57" t="n">
        <f aca="false">IF(M136="","",YEAR(M136))</f>
        <v>2026</v>
      </c>
      <c r="AE136" s="57" t="str">
        <f aca="false">IF(O136="","",YEAR(O136))</f>
        <v/>
      </c>
      <c r="AF136" s="57" t="n">
        <f aca="false">IF(N136="","",YEAR(N136))</f>
        <v>2031</v>
      </c>
      <c r="AG136" s="57" t="n">
        <f aca="false">IF(AND(H136="Yes",OR(G136="Complete",G136="Under construction",G136="Permitted – not started",G136="Stalled")),1,0)</f>
        <v>1</v>
      </c>
      <c r="AH136" s="57" t="n">
        <f aca="false">IF(OR(G136="Under construction",G136="Permitted – not started",G136="Stalled"),1,0)</f>
        <v>1</v>
      </c>
    </row>
    <row r="137" customFormat="false" ht="15" hidden="false" customHeight="false" outlineLevel="0" collapsed="false">
      <c r="A137" s="57" t="s">
        <v>1663</v>
      </c>
      <c r="B137" s="57" t="s">
        <v>738</v>
      </c>
      <c r="C137" s="57" t="s">
        <v>1664</v>
      </c>
      <c r="D137" s="57" t="s">
        <v>1665</v>
      </c>
      <c r="E137" s="57" t="n">
        <v>40</v>
      </c>
      <c r="F137" s="57"/>
      <c r="G137" s="57" t="s">
        <v>60</v>
      </c>
      <c r="H137" s="57" t="s">
        <v>228</v>
      </c>
      <c r="I137" s="57" t="s">
        <v>1347</v>
      </c>
      <c r="J137" s="57" t="s">
        <v>304</v>
      </c>
      <c r="K137" s="57" t="s">
        <v>308</v>
      </c>
      <c r="L137" s="57" t="s">
        <v>309</v>
      </c>
      <c r="M137" s="58" t="n">
        <v>46042</v>
      </c>
      <c r="N137" s="58" t="n">
        <v>47867</v>
      </c>
      <c r="O137" s="58"/>
      <c r="P137" s="57"/>
      <c r="Q137" s="57"/>
      <c r="R137" s="57" t="s">
        <v>1322</v>
      </c>
      <c r="S137" s="57" t="n">
        <v>0</v>
      </c>
      <c r="T137" s="57" t="n">
        <v>0</v>
      </c>
      <c r="U137" s="57" t="n">
        <v>0</v>
      </c>
      <c r="V137" s="57" t="n">
        <v>0</v>
      </c>
      <c r="W137" s="57" t="n">
        <v>0</v>
      </c>
      <c r="X137" s="57" t="n">
        <v>0</v>
      </c>
      <c r="Y137" s="57" t="s">
        <v>1307</v>
      </c>
      <c r="Z137" s="57"/>
      <c r="AA137" s="57" t="s">
        <v>364</v>
      </c>
      <c r="AB137" s="57" t="s">
        <v>356</v>
      </c>
      <c r="AC137" s="57" t="str">
        <f aca="false">IFERROR(INDEX(dp_geo,MATCH(B137,dp_id,0)),"Unmatched")</f>
        <v>Settlements</v>
      </c>
      <c r="AD137" s="57" t="n">
        <f aca="false">IF(M137="","",YEAR(M137))</f>
        <v>2026</v>
      </c>
      <c r="AE137" s="57" t="str">
        <f aca="false">IF(O137="","",YEAR(O137))</f>
        <v/>
      </c>
      <c r="AF137" s="57" t="n">
        <f aca="false">IF(N137="","",YEAR(N137))</f>
        <v>2031</v>
      </c>
      <c r="AG137" s="57" t="n">
        <f aca="false">IF(AND(H137="Yes",OR(G137="Complete",G137="Under construction",G137="Permitted – not started",G137="Stalled")),1,0)</f>
        <v>1</v>
      </c>
      <c r="AH137" s="57" t="n">
        <f aca="false">IF(OR(G137="Under construction",G137="Permitted – not started",G137="Stalled"),1,0)</f>
        <v>1</v>
      </c>
    </row>
    <row r="138" customFormat="false" ht="15" hidden="false" customHeight="false" outlineLevel="0" collapsed="false">
      <c r="A138" s="57" t="s">
        <v>1666</v>
      </c>
      <c r="B138" s="57" t="s">
        <v>766</v>
      </c>
      <c r="C138" s="57" t="s">
        <v>1667</v>
      </c>
      <c r="D138" s="57" t="s">
        <v>767</v>
      </c>
      <c r="E138" s="57" t="n">
        <v>54</v>
      </c>
      <c r="F138" s="57"/>
      <c r="G138" s="57" t="s">
        <v>56</v>
      </c>
      <c r="H138" s="57" t="s">
        <v>228</v>
      </c>
      <c r="I138" s="57" t="s">
        <v>1347</v>
      </c>
      <c r="J138" s="57" t="s">
        <v>304</v>
      </c>
      <c r="K138" s="57" t="s">
        <v>308</v>
      </c>
      <c r="L138" s="57" t="s">
        <v>309</v>
      </c>
      <c r="M138" s="58" t="n">
        <v>46148</v>
      </c>
      <c r="N138" s="58" t="n">
        <v>47973</v>
      </c>
      <c r="O138" s="58" t="n">
        <v>46217</v>
      </c>
      <c r="P138" s="57" t="s">
        <v>1656</v>
      </c>
      <c r="Q138" s="57" t="s">
        <v>1460</v>
      </c>
      <c r="R138" s="57" t="s">
        <v>1318</v>
      </c>
      <c r="S138" s="57" t="n">
        <v>0</v>
      </c>
      <c r="T138" s="57" t="n">
        <v>20.1</v>
      </c>
      <c r="U138" s="57" t="n">
        <v>33.9</v>
      </c>
      <c r="V138" s="57" t="n">
        <v>0</v>
      </c>
      <c r="W138" s="57" t="n">
        <v>0</v>
      </c>
      <c r="X138" s="57" t="n">
        <v>0</v>
      </c>
      <c r="Y138" s="57" t="s">
        <v>1307</v>
      </c>
      <c r="Z138" s="57"/>
      <c r="AA138" s="57" t="s">
        <v>364</v>
      </c>
      <c r="AB138" s="57" t="s">
        <v>356</v>
      </c>
      <c r="AC138" s="57" t="str">
        <f aca="false">IFERROR(INDEX(dp_geo,MATCH(B138,dp_id,0)),"Unmatched")</f>
        <v>Settlements</v>
      </c>
      <c r="AD138" s="57" t="n">
        <f aca="false">IF(M138="","",YEAR(M138))</f>
        <v>2026</v>
      </c>
      <c r="AE138" s="57" t="n">
        <f aca="false">IF(O138="","",YEAR(O138))</f>
        <v>2026</v>
      </c>
      <c r="AF138" s="57" t="n">
        <f aca="false">IF(N138="","",YEAR(N138))</f>
        <v>2031</v>
      </c>
      <c r="AG138" s="57" t="n">
        <f aca="false">IF(AND(H138="Yes",OR(G138="Complete",G138="Under construction",G138="Permitted – not started",G138="Stalled")),1,0)</f>
        <v>1</v>
      </c>
      <c r="AH138" s="57" t="n">
        <f aca="false">IF(OR(G138="Under construction",G138="Permitted – not started",G138="Stalled"),1,0)</f>
        <v>1</v>
      </c>
    </row>
    <row r="139" customFormat="false" ht="15" hidden="false" customHeight="false" outlineLevel="0" collapsed="false">
      <c r="A139" s="57" t="s">
        <v>1668</v>
      </c>
      <c r="B139" s="57" t="s">
        <v>736</v>
      </c>
      <c r="C139" s="57" t="s">
        <v>1669</v>
      </c>
      <c r="D139" s="57" t="s">
        <v>737</v>
      </c>
      <c r="E139" s="57" t="n">
        <v>133</v>
      </c>
      <c r="F139" s="57"/>
      <c r="G139" s="57" t="s">
        <v>208</v>
      </c>
      <c r="H139" s="57" t="s">
        <v>228</v>
      </c>
      <c r="I139" s="57" t="s">
        <v>1310</v>
      </c>
      <c r="J139" s="57" t="s">
        <v>304</v>
      </c>
      <c r="K139" s="57" t="s">
        <v>308</v>
      </c>
      <c r="L139" s="57" t="s">
        <v>309</v>
      </c>
      <c r="M139" s="58" t="n">
        <v>43410</v>
      </c>
      <c r="N139" s="58" t="n">
        <v>45235</v>
      </c>
      <c r="O139" s="58" t="n">
        <v>44004</v>
      </c>
      <c r="P139" s="57"/>
      <c r="Q139" s="57"/>
      <c r="R139" s="57" t="s">
        <v>1306</v>
      </c>
      <c r="S139" s="57" t="n">
        <v>0</v>
      </c>
      <c r="T139" s="57" t="n">
        <v>0</v>
      </c>
      <c r="U139" s="57" t="n">
        <v>0</v>
      </c>
      <c r="V139" s="57" t="n">
        <v>0</v>
      </c>
      <c r="W139" s="57" t="n">
        <v>0</v>
      </c>
      <c r="X139" s="57" t="n">
        <v>0</v>
      </c>
      <c r="Y139" s="57" t="s">
        <v>1307</v>
      </c>
      <c r="Z139" s="57" t="s">
        <v>1331</v>
      </c>
      <c r="AA139" s="57" t="s">
        <v>287</v>
      </c>
      <c r="AB139" s="57" t="s">
        <v>347</v>
      </c>
      <c r="AC139" s="57" t="str">
        <f aca="false">IFERROR(INDEX(dp_geo,MATCH(B139,dp_id,0)),"Unmatched")</f>
        <v>Rest of City</v>
      </c>
      <c r="AD139" s="57" t="n">
        <f aca="false">IF(M139="","",YEAR(M139))</f>
        <v>2018</v>
      </c>
      <c r="AE139" s="57" t="n">
        <f aca="false">IF(O139="","",YEAR(O139))</f>
        <v>2020</v>
      </c>
      <c r="AF139" s="57" t="n">
        <f aca="false">IF(N139="","",YEAR(N139))</f>
        <v>2023</v>
      </c>
      <c r="AG139" s="57" t="n">
        <f aca="false">IF(AND(H139="Yes",OR(G139="Complete",G139="Under construction",G139="Permitted – not started",G139="Stalled")),1,0)</f>
        <v>1</v>
      </c>
      <c r="AH139" s="57" t="n">
        <f aca="false">IF(OR(G139="Under construction",G139="Permitted – not started",G139="Stalled"),1,0)</f>
        <v>0</v>
      </c>
    </row>
    <row r="140" customFormat="false" ht="15" hidden="false" customHeight="false" outlineLevel="0" collapsed="false">
      <c r="A140" s="57" t="s">
        <v>1670</v>
      </c>
      <c r="B140" s="57" t="s">
        <v>736</v>
      </c>
      <c r="C140" s="57" t="s">
        <v>1671</v>
      </c>
      <c r="D140" s="57" t="s">
        <v>1672</v>
      </c>
      <c r="E140" s="57" t="n">
        <v>37</v>
      </c>
      <c r="F140" s="57"/>
      <c r="G140" s="57" t="s">
        <v>208</v>
      </c>
      <c r="H140" s="57" t="s">
        <v>228</v>
      </c>
      <c r="I140" s="57" t="s">
        <v>1347</v>
      </c>
      <c r="J140" s="57" t="s">
        <v>184</v>
      </c>
      <c r="K140" s="57" t="s">
        <v>312</v>
      </c>
      <c r="L140" s="57" t="s">
        <v>309</v>
      </c>
      <c r="M140" s="58" t="n">
        <v>43614</v>
      </c>
      <c r="N140" s="58" t="n">
        <v>45440</v>
      </c>
      <c r="O140" s="58" t="n">
        <v>44341</v>
      </c>
      <c r="P140" s="57"/>
      <c r="Q140" s="57"/>
      <c r="R140" s="57" t="s">
        <v>1306</v>
      </c>
      <c r="S140" s="57" t="n">
        <v>0</v>
      </c>
      <c r="T140" s="57" t="n">
        <v>0</v>
      </c>
      <c r="U140" s="57" t="n">
        <v>0</v>
      </c>
      <c r="V140" s="57" t="n">
        <v>0</v>
      </c>
      <c r="W140" s="57" t="n">
        <v>0</v>
      </c>
      <c r="X140" s="57" t="n">
        <v>0</v>
      </c>
      <c r="Y140" s="57" t="s">
        <v>1307</v>
      </c>
      <c r="Z140" s="57" t="s">
        <v>1331</v>
      </c>
      <c r="AA140" s="57" t="s">
        <v>287</v>
      </c>
      <c r="AB140" s="57" t="s">
        <v>347</v>
      </c>
      <c r="AC140" s="57" t="str">
        <f aca="false">IFERROR(INDEX(dp_geo,MATCH(B140,dp_id,0)),"Unmatched")</f>
        <v>Rest of City</v>
      </c>
      <c r="AD140" s="57" t="n">
        <f aca="false">IF(M140="","",YEAR(M140))</f>
        <v>2019</v>
      </c>
      <c r="AE140" s="57" t="n">
        <f aca="false">IF(O140="","",YEAR(O140))</f>
        <v>2021</v>
      </c>
      <c r="AF140" s="57" t="n">
        <f aca="false">IF(N140="","",YEAR(N140))</f>
        <v>2024</v>
      </c>
      <c r="AG140" s="57" t="n">
        <f aca="false">IF(AND(H140="Yes",OR(G140="Complete",G140="Under construction",G140="Permitted – not started",G140="Stalled")),1,0)</f>
        <v>1</v>
      </c>
      <c r="AH140" s="57" t="n">
        <f aca="false">IF(OR(G140="Under construction",G140="Permitted – not started",G140="Stalled"),1,0)</f>
        <v>0</v>
      </c>
    </row>
    <row r="141" customFormat="false" ht="15" hidden="false" customHeight="false" outlineLevel="0" collapsed="false">
      <c r="A141" s="57" t="s">
        <v>1673</v>
      </c>
      <c r="B141" s="57" t="s">
        <v>784</v>
      </c>
      <c r="C141" s="57" t="s">
        <v>1674</v>
      </c>
      <c r="D141" s="57" t="s">
        <v>1675</v>
      </c>
      <c r="E141" s="57" t="n">
        <v>25</v>
      </c>
      <c r="F141" s="57"/>
      <c r="G141" s="57" t="s">
        <v>208</v>
      </c>
      <c r="H141" s="57" t="s">
        <v>228</v>
      </c>
      <c r="I141" s="57" t="s">
        <v>1676</v>
      </c>
      <c r="J141" s="57" t="s">
        <v>304</v>
      </c>
      <c r="K141" s="57" t="s">
        <v>308</v>
      </c>
      <c r="L141" s="57" t="s">
        <v>309</v>
      </c>
      <c r="M141" s="58" t="n">
        <v>43361</v>
      </c>
      <c r="N141" s="58" t="n">
        <v>45186</v>
      </c>
      <c r="O141" s="58" t="n">
        <v>44028</v>
      </c>
      <c r="P141" s="57"/>
      <c r="Q141" s="57"/>
      <c r="R141" s="57" t="s">
        <v>1306</v>
      </c>
      <c r="S141" s="57" t="n">
        <v>0</v>
      </c>
      <c r="T141" s="57" t="n">
        <v>0</v>
      </c>
      <c r="U141" s="57" t="n">
        <v>0</v>
      </c>
      <c r="V141" s="57" t="n">
        <v>0</v>
      </c>
      <c r="W141" s="57" t="n">
        <v>0</v>
      </c>
      <c r="X141" s="57" t="n">
        <v>0</v>
      </c>
      <c r="Y141" s="57" t="s">
        <v>1307</v>
      </c>
      <c r="Z141" s="57" t="s">
        <v>1396</v>
      </c>
      <c r="AA141" s="57" t="s">
        <v>286</v>
      </c>
      <c r="AB141" s="57" t="s">
        <v>347</v>
      </c>
      <c r="AC141" s="57" t="str">
        <f aca="false">IFERROR(INDEX(dp_geo,MATCH(B141,dp_id,0)),"Unmatched")</f>
        <v>Rest of City</v>
      </c>
      <c r="AD141" s="57" t="n">
        <f aca="false">IF(M141="","",YEAR(M141))</f>
        <v>2018</v>
      </c>
      <c r="AE141" s="57" t="n">
        <f aca="false">IF(O141="","",YEAR(O141))</f>
        <v>2020</v>
      </c>
      <c r="AF141" s="57" t="n">
        <f aca="false">IF(N141="","",YEAR(N141))</f>
        <v>2023</v>
      </c>
      <c r="AG141" s="57" t="n">
        <f aca="false">IF(AND(H141="Yes",OR(G141="Complete",G141="Under construction",G141="Permitted – not started",G141="Stalled")),1,0)</f>
        <v>1</v>
      </c>
      <c r="AH141" s="57" t="n">
        <f aca="false">IF(OR(G141="Under construction",G141="Permitted – not started",G141="Stalled"),1,0)</f>
        <v>0</v>
      </c>
    </row>
    <row r="142" customFormat="false" ht="15" hidden="false" customHeight="false" outlineLevel="0" collapsed="false">
      <c r="A142" s="57" t="s">
        <v>1677</v>
      </c>
      <c r="B142" s="57" t="s">
        <v>784</v>
      </c>
      <c r="C142" s="57" t="s">
        <v>1678</v>
      </c>
      <c r="D142" s="57" t="s">
        <v>785</v>
      </c>
      <c r="E142" s="57" t="n">
        <v>29</v>
      </c>
      <c r="F142" s="57"/>
      <c r="G142" s="57" t="s">
        <v>56</v>
      </c>
      <c r="H142" s="57" t="s">
        <v>228</v>
      </c>
      <c r="I142" s="57" t="s">
        <v>1676</v>
      </c>
      <c r="J142" s="57" t="s">
        <v>304</v>
      </c>
      <c r="K142" s="57" t="s">
        <v>308</v>
      </c>
      <c r="L142" s="57" t="s">
        <v>309</v>
      </c>
      <c r="M142" s="58" t="n">
        <v>44225</v>
      </c>
      <c r="N142" s="58" t="n">
        <v>47189</v>
      </c>
      <c r="O142" s="58" t="n">
        <v>44480</v>
      </c>
      <c r="P142" s="57" t="s">
        <v>1373</v>
      </c>
      <c r="Q142" s="57" t="s">
        <v>1317</v>
      </c>
      <c r="R142" s="57" t="s">
        <v>1318</v>
      </c>
      <c r="S142" s="57" t="n">
        <v>6.8</v>
      </c>
      <c r="T142" s="57" t="n">
        <v>22.2</v>
      </c>
      <c r="U142" s="57" t="n">
        <v>0</v>
      </c>
      <c r="V142" s="57" t="n">
        <v>0</v>
      </c>
      <c r="W142" s="57" t="n">
        <v>0</v>
      </c>
      <c r="X142" s="57" t="n">
        <v>0</v>
      </c>
      <c r="Y142" s="57" t="s">
        <v>1307</v>
      </c>
      <c r="Z142" s="57"/>
      <c r="AA142" s="57" t="s">
        <v>286</v>
      </c>
      <c r="AB142" s="57" t="s">
        <v>347</v>
      </c>
      <c r="AC142" s="57" t="str">
        <f aca="false">IFERROR(INDEX(dp_geo,MATCH(B142,dp_id,0)),"Unmatched")</f>
        <v>Rest of City</v>
      </c>
      <c r="AD142" s="57" t="n">
        <f aca="false">IF(M142="","",YEAR(M142))</f>
        <v>2021</v>
      </c>
      <c r="AE142" s="57" t="n">
        <f aca="false">IF(O142="","",YEAR(O142))</f>
        <v>2021</v>
      </c>
      <c r="AF142" s="57" t="n">
        <f aca="false">IF(N142="","",YEAR(N142))</f>
        <v>2029</v>
      </c>
      <c r="AG142" s="57" t="n">
        <f aca="false">IF(AND(H142="Yes",OR(G142="Complete",G142="Under construction",G142="Permitted – not started",G142="Stalled")),1,0)</f>
        <v>1</v>
      </c>
      <c r="AH142" s="57" t="n">
        <f aca="false">IF(OR(G142="Under construction",G142="Permitted – not started",G142="Stalled"),1,0)</f>
        <v>1</v>
      </c>
    </row>
    <row r="143" customFormat="false" ht="15" hidden="false" customHeight="false" outlineLevel="0" collapsed="false">
      <c r="A143" s="57" t="s">
        <v>1679</v>
      </c>
      <c r="B143" s="57" t="s">
        <v>1063</v>
      </c>
      <c r="C143" s="57" t="s">
        <v>1680</v>
      </c>
      <c r="D143" s="57" t="s">
        <v>1064</v>
      </c>
      <c r="E143" s="57" t="n">
        <v>4</v>
      </c>
      <c r="F143" s="57"/>
      <c r="G143" s="57" t="s">
        <v>56</v>
      </c>
      <c r="H143" s="57" t="s">
        <v>228</v>
      </c>
      <c r="I143" s="57" t="s">
        <v>1310</v>
      </c>
      <c r="J143" s="57" t="s">
        <v>304</v>
      </c>
      <c r="K143" s="57" t="s">
        <v>308</v>
      </c>
      <c r="L143" s="57" t="s">
        <v>309</v>
      </c>
      <c r="M143" s="58" t="n">
        <v>43431</v>
      </c>
      <c r="N143" s="58" t="n">
        <v>45256</v>
      </c>
      <c r="O143" s="58" t="n">
        <v>43665</v>
      </c>
      <c r="P143" s="57" t="s">
        <v>1316</v>
      </c>
      <c r="Q143" s="57" t="s">
        <v>1317</v>
      </c>
      <c r="R143" s="57" t="s">
        <v>1318</v>
      </c>
      <c r="S143" s="57" t="n">
        <v>0.9</v>
      </c>
      <c r="T143" s="57" t="n">
        <v>3.1</v>
      </c>
      <c r="U143" s="57" t="n">
        <v>0</v>
      </c>
      <c r="V143" s="57" t="n">
        <v>0</v>
      </c>
      <c r="W143" s="57" t="n">
        <v>0</v>
      </c>
      <c r="X143" s="57" t="n">
        <v>0</v>
      </c>
      <c r="Y143" s="57" t="s">
        <v>1307</v>
      </c>
      <c r="Z143" s="57"/>
      <c r="AA143" s="57" t="s">
        <v>287</v>
      </c>
      <c r="AB143" s="57" t="s">
        <v>347</v>
      </c>
      <c r="AC143" s="57" t="str">
        <f aca="false">IFERROR(INDEX(dp_geo,MATCH(B143,dp_id,0)),"Unmatched")</f>
        <v>Rest of City</v>
      </c>
      <c r="AD143" s="57" t="n">
        <f aca="false">IF(M143="","",YEAR(M143))</f>
        <v>2018</v>
      </c>
      <c r="AE143" s="57" t="n">
        <f aca="false">IF(O143="","",YEAR(O143))</f>
        <v>2019</v>
      </c>
      <c r="AF143" s="57" t="n">
        <f aca="false">IF(N143="","",YEAR(N143))</f>
        <v>2023</v>
      </c>
      <c r="AG143" s="57" t="n">
        <f aca="false">IF(AND(H143="Yes",OR(G143="Complete",G143="Under construction",G143="Permitted – not started",G143="Stalled")),1,0)</f>
        <v>1</v>
      </c>
      <c r="AH143" s="57" t="n">
        <f aca="false">IF(OR(G143="Under construction",G143="Permitted – not started",G143="Stalled"),1,0)</f>
        <v>1</v>
      </c>
    </row>
    <row r="144" customFormat="false" ht="15" hidden="false" customHeight="false" outlineLevel="0" collapsed="false">
      <c r="A144" s="57" t="s">
        <v>1681</v>
      </c>
      <c r="B144" s="57" t="s">
        <v>788</v>
      </c>
      <c r="C144" s="57" t="s">
        <v>1682</v>
      </c>
      <c r="D144" s="57" t="s">
        <v>789</v>
      </c>
      <c r="E144" s="57" t="n">
        <v>53</v>
      </c>
      <c r="F144" s="57"/>
      <c r="G144" s="57" t="s">
        <v>208</v>
      </c>
      <c r="H144" s="57" t="s">
        <v>228</v>
      </c>
      <c r="I144" s="57" t="s">
        <v>1347</v>
      </c>
      <c r="J144" s="57" t="s">
        <v>304</v>
      </c>
      <c r="K144" s="57" t="s">
        <v>308</v>
      </c>
      <c r="L144" s="57" t="s">
        <v>309</v>
      </c>
      <c r="M144" s="58" t="n">
        <v>43712</v>
      </c>
      <c r="N144" s="58" t="n">
        <v>45538</v>
      </c>
      <c r="O144" s="58" t="n">
        <v>44314</v>
      </c>
      <c r="P144" s="57"/>
      <c r="Q144" s="57"/>
      <c r="R144" s="57" t="s">
        <v>1306</v>
      </c>
      <c r="S144" s="57" t="n">
        <v>0</v>
      </c>
      <c r="T144" s="57" t="n">
        <v>0</v>
      </c>
      <c r="U144" s="57" t="n">
        <v>0</v>
      </c>
      <c r="V144" s="57" t="n">
        <v>0</v>
      </c>
      <c r="W144" s="57" t="n">
        <v>0</v>
      </c>
      <c r="X144" s="57" t="n">
        <v>0</v>
      </c>
      <c r="Y144" s="57" t="s">
        <v>1307</v>
      </c>
      <c r="Z144" s="57"/>
      <c r="AA144" s="57" t="s">
        <v>287</v>
      </c>
      <c r="AB144" s="57" t="s">
        <v>347</v>
      </c>
      <c r="AC144" s="57" t="str">
        <f aca="false">IFERROR(INDEX(dp_geo,MATCH(B144,dp_id,0)),"Unmatched")</f>
        <v>Rest of City</v>
      </c>
      <c r="AD144" s="57" t="n">
        <f aca="false">IF(M144="","",YEAR(M144))</f>
        <v>2019</v>
      </c>
      <c r="AE144" s="57" t="n">
        <f aca="false">IF(O144="","",YEAR(O144))</f>
        <v>2021</v>
      </c>
      <c r="AF144" s="57" t="n">
        <f aca="false">IF(N144="","",YEAR(N144))</f>
        <v>2024</v>
      </c>
      <c r="AG144" s="57" t="n">
        <f aca="false">IF(AND(H144="Yes",OR(G144="Complete",G144="Under construction",G144="Permitted – not started",G144="Stalled")),1,0)</f>
        <v>1</v>
      </c>
      <c r="AH144" s="57" t="n">
        <f aca="false">IF(OR(G144="Under construction",G144="Permitted – not started",G144="Stalled"),1,0)</f>
        <v>0</v>
      </c>
    </row>
    <row r="145" customFormat="false" ht="15" hidden="false" customHeight="false" outlineLevel="0" collapsed="false">
      <c r="A145" s="57" t="s">
        <v>1683</v>
      </c>
      <c r="B145" s="57" t="s">
        <v>936</v>
      </c>
      <c r="C145" s="57" t="s">
        <v>1684</v>
      </c>
      <c r="D145" s="57" t="s">
        <v>937</v>
      </c>
      <c r="E145" s="57" t="n">
        <v>12</v>
      </c>
      <c r="F145" s="57"/>
      <c r="G145" s="57" t="s">
        <v>56</v>
      </c>
      <c r="H145" s="57" t="s">
        <v>228</v>
      </c>
      <c r="I145" s="57" t="s">
        <v>1347</v>
      </c>
      <c r="J145" s="57" t="s">
        <v>304</v>
      </c>
      <c r="K145" s="57" t="s">
        <v>308</v>
      </c>
      <c r="L145" s="57" t="s">
        <v>309</v>
      </c>
      <c r="M145" s="58" t="n">
        <v>45589</v>
      </c>
      <c r="N145" s="58" t="n">
        <v>47414</v>
      </c>
      <c r="O145" s="58" t="n">
        <v>45665</v>
      </c>
      <c r="P145" s="57" t="s">
        <v>1472</v>
      </c>
      <c r="Q145" s="57" t="s">
        <v>1317</v>
      </c>
      <c r="R145" s="57" t="s">
        <v>1318</v>
      </c>
      <c r="S145" s="57" t="n">
        <v>2.8</v>
      </c>
      <c r="T145" s="57" t="n">
        <v>9.2</v>
      </c>
      <c r="U145" s="57" t="n">
        <v>0</v>
      </c>
      <c r="V145" s="57" t="n">
        <v>0</v>
      </c>
      <c r="W145" s="57" t="n">
        <v>0</v>
      </c>
      <c r="X145" s="57" t="n">
        <v>0</v>
      </c>
      <c r="Y145" s="57" t="s">
        <v>1307</v>
      </c>
      <c r="Z145" s="57"/>
      <c r="AA145" s="57" t="s">
        <v>287</v>
      </c>
      <c r="AB145" s="57" t="s">
        <v>347</v>
      </c>
      <c r="AC145" s="57" t="str">
        <f aca="false">IFERROR(INDEX(dp_geo,MATCH(B145,dp_id,0)),"Unmatched")</f>
        <v>Rest of City</v>
      </c>
      <c r="AD145" s="57" t="n">
        <f aca="false">IF(M145="","",YEAR(M145))</f>
        <v>2024</v>
      </c>
      <c r="AE145" s="57" t="n">
        <f aca="false">IF(O145="","",YEAR(O145))</f>
        <v>2025</v>
      </c>
      <c r="AF145" s="57" t="n">
        <f aca="false">IF(N145="","",YEAR(N145))</f>
        <v>2029</v>
      </c>
      <c r="AG145" s="57" t="n">
        <f aca="false">IF(AND(H145="Yes",OR(G145="Complete",G145="Under construction",G145="Permitted – not started",G145="Stalled")),1,0)</f>
        <v>1</v>
      </c>
      <c r="AH145" s="57" t="n">
        <f aca="false">IF(OR(G145="Under construction",G145="Permitted – not started",G145="Stalled"),1,0)</f>
        <v>1</v>
      </c>
    </row>
    <row r="146" customFormat="false" ht="15" hidden="false" customHeight="false" outlineLevel="0" collapsed="false">
      <c r="A146" s="57" t="s">
        <v>1685</v>
      </c>
      <c r="B146" s="57" t="s">
        <v>756</v>
      </c>
      <c r="C146" s="57" t="s">
        <v>1686</v>
      </c>
      <c r="D146" s="57" t="s">
        <v>1687</v>
      </c>
      <c r="E146" s="57" t="n">
        <v>38</v>
      </c>
      <c r="F146" s="57"/>
      <c r="G146" s="57" t="s">
        <v>208</v>
      </c>
      <c r="H146" s="57" t="s">
        <v>228</v>
      </c>
      <c r="I146" s="57" t="s">
        <v>1310</v>
      </c>
      <c r="J146" s="57" t="s">
        <v>304</v>
      </c>
      <c r="K146" s="57" t="s">
        <v>308</v>
      </c>
      <c r="L146" s="57" t="s">
        <v>309</v>
      </c>
      <c r="M146" s="58" t="n">
        <v>43425</v>
      </c>
      <c r="N146" s="58" t="n">
        <v>47141</v>
      </c>
      <c r="O146" s="58" t="n">
        <v>43726</v>
      </c>
      <c r="P146" s="57"/>
      <c r="Q146" s="57"/>
      <c r="R146" s="57" t="s">
        <v>1306</v>
      </c>
      <c r="S146" s="57" t="n">
        <v>0</v>
      </c>
      <c r="T146" s="57" t="n">
        <v>0</v>
      </c>
      <c r="U146" s="57" t="n">
        <v>0</v>
      </c>
      <c r="V146" s="57" t="n">
        <v>0</v>
      </c>
      <c r="W146" s="57" t="n">
        <v>0</v>
      </c>
      <c r="X146" s="57" t="n">
        <v>0</v>
      </c>
      <c r="Y146" s="57" t="s">
        <v>1307</v>
      </c>
      <c r="Z146" s="57"/>
      <c r="AA146" s="57" t="s">
        <v>285</v>
      </c>
      <c r="AB146" s="57" t="s">
        <v>347</v>
      </c>
      <c r="AC146" s="57" t="str">
        <f aca="false">IFERROR(INDEX(dp_geo,MATCH(B146,dp_id,0)),"Unmatched")</f>
        <v>Rest of City</v>
      </c>
      <c r="AD146" s="57" t="n">
        <f aca="false">IF(M146="","",YEAR(M146))</f>
        <v>2018</v>
      </c>
      <c r="AE146" s="57" t="n">
        <f aca="false">IF(O146="","",YEAR(O146))</f>
        <v>2019</v>
      </c>
      <c r="AF146" s="57" t="n">
        <f aca="false">IF(N146="","",YEAR(N146))</f>
        <v>2029</v>
      </c>
      <c r="AG146" s="57" t="n">
        <f aca="false">IF(AND(H146="Yes",OR(G146="Complete",G146="Under construction",G146="Permitted – not started",G146="Stalled")),1,0)</f>
        <v>1</v>
      </c>
      <c r="AH146" s="57" t="n">
        <f aca="false">IF(OR(G146="Under construction",G146="Permitted – not started",G146="Stalled"),1,0)</f>
        <v>0</v>
      </c>
    </row>
    <row r="147" customFormat="false" ht="15" hidden="false" customHeight="false" outlineLevel="0" collapsed="false">
      <c r="A147" s="57" t="s">
        <v>1688</v>
      </c>
      <c r="B147" s="57" t="s">
        <v>744</v>
      </c>
      <c r="C147" s="57" t="s">
        <v>1689</v>
      </c>
      <c r="D147" s="57" t="s">
        <v>745</v>
      </c>
      <c r="E147" s="57" t="n">
        <v>99</v>
      </c>
      <c r="F147" s="57"/>
      <c r="G147" s="57" t="s">
        <v>56</v>
      </c>
      <c r="H147" s="57" t="s">
        <v>228</v>
      </c>
      <c r="I147" s="57" t="s">
        <v>1347</v>
      </c>
      <c r="J147" s="57" t="s">
        <v>304</v>
      </c>
      <c r="K147" s="57" t="s">
        <v>308</v>
      </c>
      <c r="L147" s="57" t="s">
        <v>309</v>
      </c>
      <c r="M147" s="58" t="n">
        <v>43620</v>
      </c>
      <c r="N147" s="58" t="n">
        <v>46540</v>
      </c>
      <c r="O147" s="58" t="n">
        <v>45114</v>
      </c>
      <c r="P147" s="57" t="s">
        <v>1359</v>
      </c>
      <c r="Q147" s="57" t="s">
        <v>1317</v>
      </c>
      <c r="R147" s="57" t="s">
        <v>1318</v>
      </c>
      <c r="S147" s="57" t="n">
        <v>23.1</v>
      </c>
      <c r="T147" s="57" t="n">
        <v>75.9</v>
      </c>
      <c r="U147" s="57" t="n">
        <v>0</v>
      </c>
      <c r="V147" s="57" t="n">
        <v>0</v>
      </c>
      <c r="W147" s="57" t="n">
        <v>0</v>
      </c>
      <c r="X147" s="57" t="n">
        <v>0</v>
      </c>
      <c r="Y147" s="57" t="s">
        <v>1307</v>
      </c>
      <c r="Z147" s="57"/>
      <c r="AA147" s="57" t="s">
        <v>285</v>
      </c>
      <c r="AB147" s="57" t="s">
        <v>347</v>
      </c>
      <c r="AC147" s="57" t="str">
        <f aca="false">IFERROR(INDEX(dp_geo,MATCH(B147,dp_id,0)),"Unmatched")</f>
        <v>Rest of City</v>
      </c>
      <c r="AD147" s="57" t="n">
        <f aca="false">IF(M147="","",YEAR(M147))</f>
        <v>2019</v>
      </c>
      <c r="AE147" s="57" t="n">
        <f aca="false">IF(O147="","",YEAR(O147))</f>
        <v>2023</v>
      </c>
      <c r="AF147" s="57" t="n">
        <f aca="false">IF(N147="","",YEAR(N147))</f>
        <v>2027</v>
      </c>
      <c r="AG147" s="57" t="n">
        <f aca="false">IF(AND(H147="Yes",OR(G147="Complete",G147="Under construction",G147="Permitted – not started",G147="Stalled")),1,0)</f>
        <v>1</v>
      </c>
      <c r="AH147" s="57" t="n">
        <f aca="false">IF(OR(G147="Under construction",G147="Permitted – not started",G147="Stalled"),1,0)</f>
        <v>1</v>
      </c>
    </row>
    <row r="148" customFormat="false" ht="15" hidden="false" customHeight="false" outlineLevel="0" collapsed="false">
      <c r="A148" s="57" t="s">
        <v>1690</v>
      </c>
      <c r="B148" s="57" t="s">
        <v>744</v>
      </c>
      <c r="C148" s="57" t="s">
        <v>1691</v>
      </c>
      <c r="D148" s="57" t="s">
        <v>1692</v>
      </c>
      <c r="E148" s="57" t="n">
        <v>23</v>
      </c>
      <c r="F148" s="57"/>
      <c r="G148" s="57" t="s">
        <v>56</v>
      </c>
      <c r="H148" s="57" t="s">
        <v>228</v>
      </c>
      <c r="I148" s="57" t="s">
        <v>1347</v>
      </c>
      <c r="J148" s="57" t="s">
        <v>304</v>
      </c>
      <c r="K148" s="57" t="s">
        <v>308</v>
      </c>
      <c r="L148" s="57" t="s">
        <v>309</v>
      </c>
      <c r="M148" s="58" t="n">
        <v>43727</v>
      </c>
      <c r="N148" s="58" t="n">
        <v>45553</v>
      </c>
      <c r="O148" s="58" t="n">
        <v>45113</v>
      </c>
      <c r="P148" s="57" t="s">
        <v>1359</v>
      </c>
      <c r="Q148" s="57" t="s">
        <v>1317</v>
      </c>
      <c r="R148" s="57" t="s">
        <v>1318</v>
      </c>
      <c r="S148" s="57" t="n">
        <v>5.4</v>
      </c>
      <c r="T148" s="57" t="n">
        <v>17.6</v>
      </c>
      <c r="U148" s="57" t="n">
        <v>0</v>
      </c>
      <c r="V148" s="57" t="n">
        <v>0</v>
      </c>
      <c r="W148" s="57" t="n">
        <v>0</v>
      </c>
      <c r="X148" s="57" t="n">
        <v>0</v>
      </c>
      <c r="Y148" s="57" t="s">
        <v>1307</v>
      </c>
      <c r="Z148" s="57"/>
      <c r="AA148" s="57" t="s">
        <v>285</v>
      </c>
      <c r="AB148" s="57" t="s">
        <v>347</v>
      </c>
      <c r="AC148" s="57" t="str">
        <f aca="false">IFERROR(INDEX(dp_geo,MATCH(B148,dp_id,0)),"Unmatched")</f>
        <v>Rest of City</v>
      </c>
      <c r="AD148" s="57" t="n">
        <f aca="false">IF(M148="","",YEAR(M148))</f>
        <v>2019</v>
      </c>
      <c r="AE148" s="57" t="n">
        <f aca="false">IF(O148="","",YEAR(O148))</f>
        <v>2023</v>
      </c>
      <c r="AF148" s="57" t="n">
        <f aca="false">IF(N148="","",YEAR(N148))</f>
        <v>2024</v>
      </c>
      <c r="AG148" s="57" t="n">
        <f aca="false">IF(AND(H148="Yes",OR(G148="Complete",G148="Under construction",G148="Permitted – not started",G148="Stalled")),1,0)</f>
        <v>1</v>
      </c>
      <c r="AH148" s="57" t="n">
        <f aca="false">IF(OR(G148="Under construction",G148="Permitted – not started",G148="Stalled"),1,0)</f>
        <v>1</v>
      </c>
    </row>
    <row r="149" customFormat="false" ht="15" hidden="false" customHeight="false" outlineLevel="0" collapsed="false">
      <c r="A149" s="57" t="s">
        <v>1693</v>
      </c>
      <c r="B149" s="57" t="s">
        <v>729</v>
      </c>
      <c r="C149" s="57" t="s">
        <v>1694</v>
      </c>
      <c r="D149" s="57" t="s">
        <v>1695</v>
      </c>
      <c r="E149" s="57" t="n">
        <v>90</v>
      </c>
      <c r="F149" s="57"/>
      <c r="G149" s="57" t="s">
        <v>56</v>
      </c>
      <c r="H149" s="57" t="s">
        <v>228</v>
      </c>
      <c r="I149" s="57" t="s">
        <v>1347</v>
      </c>
      <c r="J149" s="57" t="s">
        <v>304</v>
      </c>
      <c r="K149" s="57" t="s">
        <v>308</v>
      </c>
      <c r="L149" s="57" t="s">
        <v>309</v>
      </c>
      <c r="M149" s="58" t="n">
        <v>43979</v>
      </c>
      <c r="N149" s="58" t="n">
        <v>45804</v>
      </c>
      <c r="O149" s="58" t="n">
        <v>44707</v>
      </c>
      <c r="P149" s="57" t="s">
        <v>1696</v>
      </c>
      <c r="Q149" s="57" t="s">
        <v>1317</v>
      </c>
      <c r="R149" s="57" t="s">
        <v>1318</v>
      </c>
      <c r="S149" s="57" t="n">
        <v>21</v>
      </c>
      <c r="T149" s="57" t="n">
        <v>69</v>
      </c>
      <c r="U149" s="57" t="n">
        <v>0</v>
      </c>
      <c r="V149" s="57" t="n">
        <v>0</v>
      </c>
      <c r="W149" s="57" t="n">
        <v>0</v>
      </c>
      <c r="X149" s="57" t="n">
        <v>0</v>
      </c>
      <c r="Y149" s="57" t="s">
        <v>1307</v>
      </c>
      <c r="Z149" s="57"/>
      <c r="AA149" s="57" t="s">
        <v>285</v>
      </c>
      <c r="AB149" s="57" t="s">
        <v>347</v>
      </c>
      <c r="AC149" s="57" t="str">
        <f aca="false">IFERROR(INDEX(dp_geo,MATCH(B149,dp_id,0)),"Unmatched")</f>
        <v>Rest of City</v>
      </c>
      <c r="AD149" s="57" t="n">
        <f aca="false">IF(M149="","",YEAR(M149))</f>
        <v>2020</v>
      </c>
      <c r="AE149" s="57" t="n">
        <f aca="false">IF(O149="","",YEAR(O149))</f>
        <v>2022</v>
      </c>
      <c r="AF149" s="57" t="n">
        <f aca="false">IF(N149="","",YEAR(N149))</f>
        <v>2025</v>
      </c>
      <c r="AG149" s="57" t="n">
        <f aca="false">IF(AND(H149="Yes",OR(G149="Complete",G149="Under construction",G149="Permitted – not started",G149="Stalled")),1,0)</f>
        <v>1</v>
      </c>
      <c r="AH149" s="57" t="n">
        <f aca="false">IF(OR(G149="Under construction",G149="Permitted – not started",G149="Stalled"),1,0)</f>
        <v>1</v>
      </c>
    </row>
    <row r="150" customFormat="false" ht="15" hidden="false" customHeight="false" outlineLevel="0" collapsed="false">
      <c r="A150" s="57" t="s">
        <v>1697</v>
      </c>
      <c r="B150" s="57" t="s">
        <v>729</v>
      </c>
      <c r="C150" s="57" t="s">
        <v>1698</v>
      </c>
      <c r="D150" s="57" t="s">
        <v>1699</v>
      </c>
      <c r="E150" s="57" t="n">
        <v>92</v>
      </c>
      <c r="F150" s="57"/>
      <c r="G150" s="57" t="s">
        <v>208</v>
      </c>
      <c r="H150" s="57" t="s">
        <v>228</v>
      </c>
      <c r="I150" s="57" t="s">
        <v>1347</v>
      </c>
      <c r="J150" s="57" t="s">
        <v>304</v>
      </c>
      <c r="K150" s="57" t="s">
        <v>308</v>
      </c>
      <c r="L150" s="57" t="s">
        <v>309</v>
      </c>
      <c r="M150" s="58" t="n">
        <v>44259</v>
      </c>
      <c r="N150" s="58" t="n">
        <v>46084</v>
      </c>
      <c r="O150" s="58" t="n">
        <v>44866</v>
      </c>
      <c r="P150" s="57"/>
      <c r="Q150" s="57"/>
      <c r="R150" s="57" t="s">
        <v>1306</v>
      </c>
      <c r="S150" s="57" t="n">
        <v>0</v>
      </c>
      <c r="T150" s="57" t="n">
        <v>0</v>
      </c>
      <c r="U150" s="57" t="n">
        <v>0</v>
      </c>
      <c r="V150" s="57" t="n">
        <v>0</v>
      </c>
      <c r="W150" s="57" t="n">
        <v>0</v>
      </c>
      <c r="X150" s="57" t="n">
        <v>0</v>
      </c>
      <c r="Y150" s="57" t="s">
        <v>1307</v>
      </c>
      <c r="Z150" s="57" t="s">
        <v>1331</v>
      </c>
      <c r="AA150" s="57" t="s">
        <v>285</v>
      </c>
      <c r="AB150" s="57" t="s">
        <v>347</v>
      </c>
      <c r="AC150" s="57" t="str">
        <f aca="false">IFERROR(INDEX(dp_geo,MATCH(B150,dp_id,0)),"Unmatched")</f>
        <v>Rest of City</v>
      </c>
      <c r="AD150" s="57" t="n">
        <f aca="false">IF(M150="","",YEAR(M150))</f>
        <v>2021</v>
      </c>
      <c r="AE150" s="57" t="n">
        <f aca="false">IF(O150="","",YEAR(O150))</f>
        <v>2022</v>
      </c>
      <c r="AF150" s="57" t="n">
        <f aca="false">IF(N150="","",YEAR(N150))</f>
        <v>2026</v>
      </c>
      <c r="AG150" s="57" t="n">
        <f aca="false">IF(AND(H150="Yes",OR(G150="Complete",G150="Under construction",G150="Permitted – not started",G150="Stalled")),1,0)</f>
        <v>1</v>
      </c>
      <c r="AH150" s="57" t="n">
        <f aca="false">IF(OR(G150="Under construction",G150="Permitted – not started",G150="Stalled"),1,0)</f>
        <v>0</v>
      </c>
    </row>
    <row r="151" customFormat="false" ht="15" hidden="false" customHeight="false" outlineLevel="0" collapsed="false">
      <c r="A151" s="57" t="s">
        <v>1700</v>
      </c>
      <c r="B151" s="57" t="s">
        <v>756</v>
      </c>
      <c r="C151" s="57" t="s">
        <v>1701</v>
      </c>
      <c r="D151" s="57" t="s">
        <v>757</v>
      </c>
      <c r="E151" s="57" t="n">
        <v>62</v>
      </c>
      <c r="F151" s="57"/>
      <c r="G151" s="57" t="s">
        <v>56</v>
      </c>
      <c r="H151" s="57" t="s">
        <v>228</v>
      </c>
      <c r="I151" s="57" t="s">
        <v>1702</v>
      </c>
      <c r="J151" s="57" t="s">
        <v>304</v>
      </c>
      <c r="K151" s="57" t="s">
        <v>308</v>
      </c>
      <c r="L151" s="57" t="s">
        <v>309</v>
      </c>
      <c r="M151" s="58" t="n">
        <v>44533</v>
      </c>
      <c r="N151" s="58" t="n">
        <v>46358</v>
      </c>
      <c r="O151" s="58" t="n">
        <v>44645</v>
      </c>
      <c r="P151" s="57" t="s">
        <v>1624</v>
      </c>
      <c r="Q151" s="57" t="s">
        <v>1317</v>
      </c>
      <c r="R151" s="57" t="s">
        <v>1318</v>
      </c>
      <c r="S151" s="57" t="n">
        <v>14.4</v>
      </c>
      <c r="T151" s="57" t="n">
        <v>47.6</v>
      </c>
      <c r="U151" s="57" t="n">
        <v>0</v>
      </c>
      <c r="V151" s="57" t="n">
        <v>0</v>
      </c>
      <c r="W151" s="57" t="n">
        <v>0</v>
      </c>
      <c r="X151" s="57" t="n">
        <v>0</v>
      </c>
      <c r="Y151" s="57" t="s">
        <v>1307</v>
      </c>
      <c r="Z151" s="57"/>
      <c r="AA151" s="57" t="s">
        <v>285</v>
      </c>
      <c r="AB151" s="57" t="s">
        <v>347</v>
      </c>
      <c r="AC151" s="57" t="str">
        <f aca="false">IFERROR(INDEX(dp_geo,MATCH(B151,dp_id,0)),"Unmatched")</f>
        <v>Rest of City</v>
      </c>
      <c r="AD151" s="57" t="n">
        <f aca="false">IF(M151="","",YEAR(M151))</f>
        <v>2021</v>
      </c>
      <c r="AE151" s="57" t="n">
        <f aca="false">IF(O151="","",YEAR(O151))</f>
        <v>2022</v>
      </c>
      <c r="AF151" s="57" t="n">
        <f aca="false">IF(N151="","",YEAR(N151))</f>
        <v>2026</v>
      </c>
      <c r="AG151" s="57" t="n">
        <f aca="false">IF(AND(H151="Yes",OR(G151="Complete",G151="Under construction",G151="Permitted – not started",G151="Stalled")),1,0)</f>
        <v>1</v>
      </c>
      <c r="AH151" s="57" t="n">
        <f aca="false">IF(OR(G151="Under construction",G151="Permitted – not started",G151="Stalled"),1,0)</f>
        <v>1</v>
      </c>
    </row>
    <row r="152" customFormat="false" ht="15" hidden="false" customHeight="false" outlineLevel="0" collapsed="false">
      <c r="A152" s="57" t="s">
        <v>1703</v>
      </c>
      <c r="B152" s="57" t="s">
        <v>729</v>
      </c>
      <c r="C152" s="57" t="s">
        <v>1704</v>
      </c>
      <c r="D152" s="57" t="s">
        <v>730</v>
      </c>
      <c r="E152" s="57" t="n">
        <v>105</v>
      </c>
      <c r="F152" s="57"/>
      <c r="G152" s="57" t="s">
        <v>208</v>
      </c>
      <c r="H152" s="57" t="s">
        <v>228</v>
      </c>
      <c r="I152" s="57" t="s">
        <v>1347</v>
      </c>
      <c r="J152" s="57" t="s">
        <v>304</v>
      </c>
      <c r="K152" s="57" t="s">
        <v>308</v>
      </c>
      <c r="L152" s="57" t="s">
        <v>309</v>
      </c>
      <c r="M152" s="58" t="n">
        <v>44671</v>
      </c>
      <c r="N152" s="58" t="n">
        <v>46496</v>
      </c>
      <c r="O152" s="58" t="n">
        <v>45393</v>
      </c>
      <c r="P152" s="57"/>
      <c r="Q152" s="57"/>
      <c r="R152" s="57" t="s">
        <v>1306</v>
      </c>
      <c r="S152" s="57" t="n">
        <v>0</v>
      </c>
      <c r="T152" s="57" t="n">
        <v>0</v>
      </c>
      <c r="U152" s="57" t="n">
        <v>0</v>
      </c>
      <c r="V152" s="57" t="n">
        <v>0</v>
      </c>
      <c r="W152" s="57" t="n">
        <v>0</v>
      </c>
      <c r="X152" s="57" t="n">
        <v>0</v>
      </c>
      <c r="Y152" s="57" t="s">
        <v>1307</v>
      </c>
      <c r="Z152" s="57" t="s">
        <v>1331</v>
      </c>
      <c r="AA152" s="57" t="s">
        <v>285</v>
      </c>
      <c r="AB152" s="57" t="s">
        <v>347</v>
      </c>
      <c r="AC152" s="57" t="str">
        <f aca="false">IFERROR(INDEX(dp_geo,MATCH(B152,dp_id,0)),"Unmatched")</f>
        <v>Rest of City</v>
      </c>
      <c r="AD152" s="57" t="n">
        <f aca="false">IF(M152="","",YEAR(M152))</f>
        <v>2022</v>
      </c>
      <c r="AE152" s="57" t="n">
        <f aca="false">IF(O152="","",YEAR(O152))</f>
        <v>2024</v>
      </c>
      <c r="AF152" s="57" t="n">
        <f aca="false">IF(N152="","",YEAR(N152))</f>
        <v>2027</v>
      </c>
      <c r="AG152" s="57" t="n">
        <f aca="false">IF(AND(H152="Yes",OR(G152="Complete",G152="Under construction",G152="Permitted – not started",G152="Stalled")),1,0)</f>
        <v>1</v>
      </c>
      <c r="AH152" s="57" t="n">
        <f aca="false">IF(OR(G152="Under construction",G152="Permitted – not started",G152="Stalled"),1,0)</f>
        <v>0</v>
      </c>
    </row>
    <row r="153" customFormat="false" ht="15" hidden="false" customHeight="false" outlineLevel="0" collapsed="false">
      <c r="A153" s="57" t="s">
        <v>1705</v>
      </c>
      <c r="B153" s="57" t="s">
        <v>729</v>
      </c>
      <c r="C153" s="57" t="s">
        <v>1706</v>
      </c>
      <c r="D153" s="57" t="s">
        <v>1707</v>
      </c>
      <c r="E153" s="57" t="n">
        <v>98</v>
      </c>
      <c r="F153" s="57"/>
      <c r="G153" s="57" t="s">
        <v>56</v>
      </c>
      <c r="H153" s="57" t="s">
        <v>228</v>
      </c>
      <c r="I153" s="57" t="s">
        <v>1347</v>
      </c>
      <c r="J153" s="57" t="s">
        <v>304</v>
      </c>
      <c r="K153" s="57" t="s">
        <v>308</v>
      </c>
      <c r="L153" s="57" t="s">
        <v>309</v>
      </c>
      <c r="M153" s="58" t="n">
        <v>44721</v>
      </c>
      <c r="N153" s="58" t="n">
        <v>46546</v>
      </c>
      <c r="O153" s="58" t="n">
        <v>45474</v>
      </c>
      <c r="P153" s="57" t="s">
        <v>1391</v>
      </c>
      <c r="Q153" s="57" t="s">
        <v>1317</v>
      </c>
      <c r="R153" s="57" t="s">
        <v>1318</v>
      </c>
      <c r="S153" s="57" t="n">
        <v>22.8</v>
      </c>
      <c r="T153" s="57" t="n">
        <v>75.2</v>
      </c>
      <c r="U153" s="57" t="n">
        <v>0</v>
      </c>
      <c r="V153" s="57" t="n">
        <v>0</v>
      </c>
      <c r="W153" s="57" t="n">
        <v>0</v>
      </c>
      <c r="X153" s="57" t="n">
        <v>0</v>
      </c>
      <c r="Y153" s="57" t="s">
        <v>1307</v>
      </c>
      <c r="Z153" s="57"/>
      <c r="AA153" s="57" t="s">
        <v>285</v>
      </c>
      <c r="AB153" s="57" t="s">
        <v>347</v>
      </c>
      <c r="AC153" s="57" t="str">
        <f aca="false">IFERROR(INDEX(dp_geo,MATCH(B153,dp_id,0)),"Unmatched")</f>
        <v>Rest of City</v>
      </c>
      <c r="AD153" s="57" t="n">
        <f aca="false">IF(M153="","",YEAR(M153))</f>
        <v>2022</v>
      </c>
      <c r="AE153" s="57" t="n">
        <f aca="false">IF(O153="","",YEAR(O153))</f>
        <v>2024</v>
      </c>
      <c r="AF153" s="57" t="n">
        <f aca="false">IF(N153="","",YEAR(N153))</f>
        <v>2027</v>
      </c>
      <c r="AG153" s="57" t="n">
        <f aca="false">IF(AND(H153="Yes",OR(G153="Complete",G153="Under construction",G153="Permitted – not started",G153="Stalled")),1,0)</f>
        <v>1</v>
      </c>
      <c r="AH153" s="57" t="n">
        <f aca="false">IF(OR(G153="Under construction",G153="Permitted – not started",G153="Stalled"),1,0)</f>
        <v>1</v>
      </c>
    </row>
    <row r="154" customFormat="false" ht="15" hidden="false" customHeight="false" outlineLevel="0" collapsed="false">
      <c r="A154" s="57" t="s">
        <v>1708</v>
      </c>
      <c r="B154" s="57" t="s">
        <v>732</v>
      </c>
      <c r="C154" s="57" t="s">
        <v>1709</v>
      </c>
      <c r="D154" s="57" t="s">
        <v>1710</v>
      </c>
      <c r="E154" s="57" t="n">
        <v>54</v>
      </c>
      <c r="F154" s="57"/>
      <c r="G154" s="57" t="s">
        <v>208</v>
      </c>
      <c r="H154" s="57" t="s">
        <v>228</v>
      </c>
      <c r="I154" s="57" t="s">
        <v>1305</v>
      </c>
      <c r="J154" s="57" t="s">
        <v>304</v>
      </c>
      <c r="K154" s="57" t="s">
        <v>308</v>
      </c>
      <c r="L154" s="57" t="s">
        <v>309</v>
      </c>
      <c r="M154" s="58" t="n">
        <v>43396</v>
      </c>
      <c r="N154" s="58" t="n">
        <v>44561</v>
      </c>
      <c r="O154" s="58" t="n">
        <v>44298</v>
      </c>
      <c r="P154" s="57" t="s">
        <v>1356</v>
      </c>
      <c r="Q154" s="57" t="s">
        <v>1317</v>
      </c>
      <c r="R154" s="57" t="s">
        <v>1318</v>
      </c>
      <c r="S154" s="57" t="n">
        <v>0</v>
      </c>
      <c r="T154" s="57" t="n">
        <v>0</v>
      </c>
      <c r="U154" s="57" t="n">
        <v>0</v>
      </c>
      <c r="V154" s="57" t="n">
        <v>0</v>
      </c>
      <c r="W154" s="57" t="n">
        <v>0</v>
      </c>
      <c r="X154" s="57" t="n">
        <v>0</v>
      </c>
      <c r="Y154" s="57" t="s">
        <v>1337</v>
      </c>
      <c r="Z154" s="57" t="s">
        <v>1338</v>
      </c>
      <c r="AA154" s="57" t="s">
        <v>285</v>
      </c>
      <c r="AB154" s="57" t="s">
        <v>347</v>
      </c>
      <c r="AC154" s="57" t="str">
        <f aca="false">IFERROR(INDEX(dp_geo,MATCH(B154,dp_id,0)),"Unmatched")</f>
        <v>Rest of City</v>
      </c>
      <c r="AD154" s="57" t="n">
        <f aca="false">IF(M154="","",YEAR(M154))</f>
        <v>2018</v>
      </c>
      <c r="AE154" s="57" t="n">
        <f aca="false">IF(O154="","",YEAR(O154))</f>
        <v>2021</v>
      </c>
      <c r="AF154" s="57" t="n">
        <f aca="false">IF(N154="","",YEAR(N154))</f>
        <v>2021</v>
      </c>
      <c r="AG154" s="57" t="n">
        <f aca="false">IF(AND(H154="Yes",OR(G154="Complete",G154="Under construction",G154="Permitted – not started",G154="Stalled")),1,0)</f>
        <v>1</v>
      </c>
      <c r="AH154" s="57" t="n">
        <f aca="false">IF(OR(G154="Under construction",G154="Permitted – not started",G154="Stalled"),1,0)</f>
        <v>0</v>
      </c>
    </row>
    <row r="155" customFormat="false" ht="15" hidden="false" customHeight="false" outlineLevel="0" collapsed="false">
      <c r="A155" s="57" t="s">
        <v>1711</v>
      </c>
      <c r="B155" s="57" t="s">
        <v>732</v>
      </c>
      <c r="C155" s="57" t="s">
        <v>1712</v>
      </c>
      <c r="D155" s="57" t="s">
        <v>1713</v>
      </c>
      <c r="E155" s="57" t="n">
        <v>21</v>
      </c>
      <c r="F155" s="57"/>
      <c r="G155" s="57" t="s">
        <v>208</v>
      </c>
      <c r="H155" s="57" t="s">
        <v>228</v>
      </c>
      <c r="I155" s="57" t="s">
        <v>1347</v>
      </c>
      <c r="J155" s="57" t="s">
        <v>304</v>
      </c>
      <c r="K155" s="57" t="s">
        <v>308</v>
      </c>
      <c r="L155" s="57" t="s">
        <v>309</v>
      </c>
      <c r="M155" s="58" t="n">
        <v>44313</v>
      </c>
      <c r="N155" s="58" t="n">
        <v>46138</v>
      </c>
      <c r="O155" s="58" t="n">
        <v>44587</v>
      </c>
      <c r="P155" s="57"/>
      <c r="Q155" s="57"/>
      <c r="R155" s="57" t="s">
        <v>1306</v>
      </c>
      <c r="S155" s="57" t="n">
        <v>0</v>
      </c>
      <c r="T155" s="57" t="n">
        <v>0</v>
      </c>
      <c r="U155" s="57" t="n">
        <v>0</v>
      </c>
      <c r="V155" s="57" t="n">
        <v>0</v>
      </c>
      <c r="W155" s="57" t="n">
        <v>0</v>
      </c>
      <c r="X155" s="57" t="n">
        <v>0</v>
      </c>
      <c r="Y155" s="57" t="s">
        <v>1307</v>
      </c>
      <c r="Z155" s="57"/>
      <c r="AA155" s="57" t="s">
        <v>285</v>
      </c>
      <c r="AB155" s="57" t="s">
        <v>347</v>
      </c>
      <c r="AC155" s="57" t="str">
        <f aca="false">IFERROR(INDEX(dp_geo,MATCH(B155,dp_id,0)),"Unmatched")</f>
        <v>Rest of City</v>
      </c>
      <c r="AD155" s="57" t="n">
        <f aca="false">IF(M155="","",YEAR(M155))</f>
        <v>2021</v>
      </c>
      <c r="AE155" s="57" t="n">
        <f aca="false">IF(O155="","",YEAR(O155))</f>
        <v>2022</v>
      </c>
      <c r="AF155" s="57" t="n">
        <f aca="false">IF(N155="","",YEAR(N155))</f>
        <v>2026</v>
      </c>
      <c r="AG155" s="57" t="n">
        <f aca="false">IF(AND(H155="Yes",OR(G155="Complete",G155="Under construction",G155="Permitted – not started",G155="Stalled")),1,0)</f>
        <v>1</v>
      </c>
      <c r="AH155" s="57" t="n">
        <f aca="false">IF(OR(G155="Under construction",G155="Permitted – not started",G155="Stalled"),1,0)</f>
        <v>0</v>
      </c>
    </row>
    <row r="156" customFormat="false" ht="15" hidden="false" customHeight="false" outlineLevel="0" collapsed="false">
      <c r="A156" s="57" t="s">
        <v>1714</v>
      </c>
      <c r="B156" s="57" t="s">
        <v>780</v>
      </c>
      <c r="C156" s="57" t="s">
        <v>1715</v>
      </c>
      <c r="D156" s="57" t="s">
        <v>781</v>
      </c>
      <c r="E156" s="57" t="n">
        <v>51</v>
      </c>
      <c r="F156" s="57"/>
      <c r="G156" s="57" t="s">
        <v>208</v>
      </c>
      <c r="H156" s="57" t="s">
        <v>228</v>
      </c>
      <c r="I156" s="57" t="s">
        <v>1310</v>
      </c>
      <c r="J156" s="57" t="s">
        <v>304</v>
      </c>
      <c r="K156" s="57" t="s">
        <v>308</v>
      </c>
      <c r="L156" s="57" t="s">
        <v>309</v>
      </c>
      <c r="M156" s="58" t="n">
        <v>44186</v>
      </c>
      <c r="N156" s="58" t="n">
        <v>46011</v>
      </c>
      <c r="O156" s="58" t="n">
        <v>44575</v>
      </c>
      <c r="P156" s="57" t="s">
        <v>1624</v>
      </c>
      <c r="Q156" s="57" t="s">
        <v>1317</v>
      </c>
      <c r="R156" s="57" t="s">
        <v>1318</v>
      </c>
      <c r="S156" s="57" t="n">
        <v>0</v>
      </c>
      <c r="T156" s="57" t="n">
        <v>0</v>
      </c>
      <c r="U156" s="57" t="n">
        <v>0</v>
      </c>
      <c r="V156" s="57" t="n">
        <v>0</v>
      </c>
      <c r="W156" s="57" t="n">
        <v>0</v>
      </c>
      <c r="X156" s="57" t="n">
        <v>0</v>
      </c>
      <c r="Y156" s="57" t="s">
        <v>1337</v>
      </c>
      <c r="Z156" s="57" t="s">
        <v>1338</v>
      </c>
      <c r="AA156" s="57" t="s">
        <v>353</v>
      </c>
      <c r="AB156" s="57" t="s">
        <v>349</v>
      </c>
      <c r="AC156" s="57" t="str">
        <f aca="false">IFERROR(INDEX(dp_geo,MATCH(B156,dp_id,0)),"Unmatched")</f>
        <v>Settlements</v>
      </c>
      <c r="AD156" s="57" t="n">
        <f aca="false">IF(M156="","",YEAR(M156))</f>
        <v>2020</v>
      </c>
      <c r="AE156" s="57" t="n">
        <f aca="false">IF(O156="","",YEAR(O156))</f>
        <v>2022</v>
      </c>
      <c r="AF156" s="57" t="n">
        <f aca="false">IF(N156="","",YEAR(N156))</f>
        <v>2025</v>
      </c>
      <c r="AG156" s="57" t="n">
        <f aca="false">IF(AND(H156="Yes",OR(G156="Complete",G156="Under construction",G156="Permitted – not started",G156="Stalled")),1,0)</f>
        <v>1</v>
      </c>
      <c r="AH156" s="57" t="n">
        <f aca="false">IF(OR(G156="Under construction",G156="Permitted – not started",G156="Stalled"),1,0)</f>
        <v>0</v>
      </c>
    </row>
    <row r="157" customFormat="false" ht="15" hidden="false" customHeight="false" outlineLevel="0" collapsed="false">
      <c r="A157" s="57" t="s">
        <v>1716</v>
      </c>
      <c r="B157" s="57" t="s">
        <v>780</v>
      </c>
      <c r="C157" s="57" t="s">
        <v>1717</v>
      </c>
      <c r="D157" s="57" t="s">
        <v>1718</v>
      </c>
      <c r="E157" s="57" t="n">
        <v>14</v>
      </c>
      <c r="F157" s="57"/>
      <c r="G157" s="57" t="s">
        <v>58</v>
      </c>
      <c r="H157" s="57" t="s">
        <v>228</v>
      </c>
      <c r="I157" s="57" t="s">
        <v>1347</v>
      </c>
      <c r="J157" s="57" t="s">
        <v>304</v>
      </c>
      <c r="K157" s="57" t="s">
        <v>308</v>
      </c>
      <c r="L157" s="57" t="s">
        <v>309</v>
      </c>
      <c r="M157" s="58" t="n">
        <v>45728</v>
      </c>
      <c r="N157" s="58" t="n">
        <v>47553</v>
      </c>
      <c r="O157" s="58"/>
      <c r="P157" s="57" t="s">
        <v>1311</v>
      </c>
      <c r="Q157" s="57" t="s">
        <v>1312</v>
      </c>
      <c r="R157" s="57" t="s">
        <v>1313</v>
      </c>
      <c r="S157" s="57" t="n">
        <v>0</v>
      </c>
      <c r="T157" s="57" t="n">
        <v>0</v>
      </c>
      <c r="U157" s="57" t="n">
        <v>8.2</v>
      </c>
      <c r="V157" s="57" t="n">
        <v>5.8</v>
      </c>
      <c r="W157" s="57" t="n">
        <v>0</v>
      </c>
      <c r="X157" s="57" t="n">
        <v>0</v>
      </c>
      <c r="Y157" s="57" t="s">
        <v>1307</v>
      </c>
      <c r="Z157" s="57"/>
      <c r="AA157" s="57" t="s">
        <v>353</v>
      </c>
      <c r="AB157" s="57" t="s">
        <v>349</v>
      </c>
      <c r="AC157" s="57" t="str">
        <f aca="false">IFERROR(INDEX(dp_geo,MATCH(B157,dp_id,0)),"Unmatched")</f>
        <v>Settlements</v>
      </c>
      <c r="AD157" s="57" t="n">
        <f aca="false">IF(M157="","",YEAR(M157))</f>
        <v>2025</v>
      </c>
      <c r="AE157" s="57" t="str">
        <f aca="false">IF(O157="","",YEAR(O157))</f>
        <v/>
      </c>
      <c r="AF157" s="57" t="n">
        <f aca="false">IF(N157="","",YEAR(N157))</f>
        <v>2030</v>
      </c>
      <c r="AG157" s="57" t="n">
        <f aca="false">IF(AND(H157="Yes",OR(G157="Complete",G157="Under construction",G157="Permitted – not started",G157="Stalled")),1,0)</f>
        <v>1</v>
      </c>
      <c r="AH157" s="57" t="n">
        <f aca="false">IF(OR(G157="Under construction",G157="Permitted – not started",G157="Stalled"),1,0)</f>
        <v>1</v>
      </c>
    </row>
    <row r="158" customFormat="false" ht="15" hidden="false" customHeight="false" outlineLevel="0" collapsed="false">
      <c r="A158" s="57" t="s">
        <v>1719</v>
      </c>
      <c r="B158" s="57" t="s">
        <v>1045</v>
      </c>
      <c r="C158" s="57" t="s">
        <v>1720</v>
      </c>
      <c r="D158" s="57" t="s">
        <v>1046</v>
      </c>
      <c r="E158" s="57" t="n">
        <v>5</v>
      </c>
      <c r="F158" s="57"/>
      <c r="G158" s="57" t="s">
        <v>56</v>
      </c>
      <c r="H158" s="57" t="s">
        <v>228</v>
      </c>
      <c r="I158" s="57" t="s">
        <v>1310</v>
      </c>
      <c r="J158" s="57" t="s">
        <v>184</v>
      </c>
      <c r="K158" s="57" t="s">
        <v>312</v>
      </c>
      <c r="L158" s="57" t="s">
        <v>309</v>
      </c>
      <c r="M158" s="58" t="n">
        <v>43768</v>
      </c>
      <c r="N158" s="58" t="n">
        <v>45958</v>
      </c>
      <c r="O158" s="58" t="n">
        <v>44277</v>
      </c>
      <c r="P158" s="57" t="s">
        <v>1721</v>
      </c>
      <c r="Q158" s="57" t="s">
        <v>1317</v>
      </c>
      <c r="R158" s="57" t="s">
        <v>1318</v>
      </c>
      <c r="S158" s="57" t="n">
        <v>1.2</v>
      </c>
      <c r="T158" s="57" t="n">
        <v>3.8</v>
      </c>
      <c r="U158" s="57" t="n">
        <v>0</v>
      </c>
      <c r="V158" s="57" t="n">
        <v>0</v>
      </c>
      <c r="W158" s="57" t="n">
        <v>0</v>
      </c>
      <c r="X158" s="57" t="n">
        <v>0</v>
      </c>
      <c r="Y158" s="57" t="s">
        <v>1307</v>
      </c>
      <c r="Z158" s="57"/>
      <c r="AA158" s="57" t="s">
        <v>258</v>
      </c>
      <c r="AB158" s="57" t="s">
        <v>347</v>
      </c>
      <c r="AC158" s="57" t="str">
        <f aca="false">IFERROR(INDEX(dp_geo,MATCH(B158,dp_id,0)),"Unmatched")</f>
        <v>City Centre</v>
      </c>
      <c r="AD158" s="57" t="n">
        <f aca="false">IF(M158="","",YEAR(M158))</f>
        <v>2019</v>
      </c>
      <c r="AE158" s="57" t="n">
        <f aca="false">IF(O158="","",YEAR(O158))</f>
        <v>2021</v>
      </c>
      <c r="AF158" s="57" t="n">
        <f aca="false">IF(N158="","",YEAR(N158))</f>
        <v>2025</v>
      </c>
      <c r="AG158" s="57" t="n">
        <f aca="false">IF(AND(H158="Yes",OR(G158="Complete",G158="Under construction",G158="Permitted – not started",G158="Stalled")),1,0)</f>
        <v>1</v>
      </c>
      <c r="AH158" s="57" t="n">
        <f aca="false">IF(OR(G158="Under construction",G158="Permitted – not started",G158="Stalled"),1,0)</f>
        <v>1</v>
      </c>
    </row>
    <row r="159" customFormat="false" ht="15" hidden="false" customHeight="false" outlineLevel="0" collapsed="false">
      <c r="A159" s="57" t="s">
        <v>1722</v>
      </c>
      <c r="B159" s="57" t="s">
        <v>764</v>
      </c>
      <c r="C159" s="57" t="s">
        <v>1723</v>
      </c>
      <c r="D159" s="57" t="s">
        <v>765</v>
      </c>
      <c r="E159" s="57" t="n">
        <v>92</v>
      </c>
      <c r="F159" s="57"/>
      <c r="G159" s="57" t="s">
        <v>56</v>
      </c>
      <c r="H159" s="57" t="s">
        <v>228</v>
      </c>
      <c r="I159" s="57" t="s">
        <v>1310</v>
      </c>
      <c r="J159" s="57" t="s">
        <v>304</v>
      </c>
      <c r="K159" s="57" t="s">
        <v>308</v>
      </c>
      <c r="L159" s="57" t="s">
        <v>309</v>
      </c>
      <c r="M159" s="58" t="n">
        <v>44151</v>
      </c>
      <c r="N159" s="58" t="n">
        <v>47071</v>
      </c>
      <c r="O159" s="58" t="n">
        <v>45026</v>
      </c>
      <c r="P159" s="57" t="s">
        <v>1388</v>
      </c>
      <c r="Q159" s="57" t="s">
        <v>1317</v>
      </c>
      <c r="R159" s="57" t="s">
        <v>1318</v>
      </c>
      <c r="S159" s="57" t="n">
        <v>21.4</v>
      </c>
      <c r="T159" s="57" t="n">
        <v>70.6</v>
      </c>
      <c r="U159" s="57" t="n">
        <v>0</v>
      </c>
      <c r="V159" s="57" t="n">
        <v>0</v>
      </c>
      <c r="W159" s="57" t="n">
        <v>0</v>
      </c>
      <c r="X159" s="57" t="n">
        <v>0</v>
      </c>
      <c r="Y159" s="57" t="s">
        <v>1307</v>
      </c>
      <c r="Z159" s="57"/>
      <c r="AA159" s="57" t="s">
        <v>284</v>
      </c>
      <c r="AB159" s="57" t="s">
        <v>347</v>
      </c>
      <c r="AC159" s="57" t="str">
        <f aca="false">IFERROR(INDEX(dp_geo,MATCH(B159,dp_id,0)),"Unmatched")</f>
        <v>Rest of City</v>
      </c>
      <c r="AD159" s="57" t="n">
        <f aca="false">IF(M159="","",YEAR(M159))</f>
        <v>2020</v>
      </c>
      <c r="AE159" s="57" t="n">
        <f aca="false">IF(O159="","",YEAR(O159))</f>
        <v>2023</v>
      </c>
      <c r="AF159" s="57" t="n">
        <f aca="false">IF(N159="","",YEAR(N159))</f>
        <v>2028</v>
      </c>
      <c r="AG159" s="57" t="n">
        <f aca="false">IF(AND(H159="Yes",OR(G159="Complete",G159="Under construction",G159="Permitted – not started",G159="Stalled")),1,0)</f>
        <v>1</v>
      </c>
      <c r="AH159" s="57" t="n">
        <f aca="false">IF(OR(G159="Under construction",G159="Permitted – not started",G159="Stalled"),1,0)</f>
        <v>1</v>
      </c>
    </row>
    <row r="160" customFormat="false" ht="15" hidden="false" customHeight="false" outlineLevel="0" collapsed="false">
      <c r="A160" s="57" t="s">
        <v>1724</v>
      </c>
      <c r="B160" s="57" t="s">
        <v>1103</v>
      </c>
      <c r="C160" s="57" t="s">
        <v>1725</v>
      </c>
      <c r="D160" s="57" t="s">
        <v>1104</v>
      </c>
      <c r="E160" s="57" t="n">
        <v>0</v>
      </c>
      <c r="F160" s="57"/>
      <c r="G160" s="57" t="s">
        <v>208</v>
      </c>
      <c r="H160" s="57" t="s">
        <v>228</v>
      </c>
      <c r="I160" s="57" t="s">
        <v>1310</v>
      </c>
      <c r="J160" s="57" t="s">
        <v>304</v>
      </c>
      <c r="K160" s="57" t="s">
        <v>308</v>
      </c>
      <c r="L160" s="57" t="s">
        <v>309</v>
      </c>
      <c r="M160" s="58" t="n">
        <v>43840</v>
      </c>
      <c r="N160" s="58" t="n">
        <v>44983</v>
      </c>
      <c r="O160" s="58" t="n">
        <v>44169</v>
      </c>
      <c r="P160" s="57"/>
      <c r="Q160" s="57"/>
      <c r="R160" s="57" t="s">
        <v>1306</v>
      </c>
      <c r="S160" s="57" t="n">
        <v>0</v>
      </c>
      <c r="T160" s="57" t="n">
        <v>0</v>
      </c>
      <c r="U160" s="57" t="n">
        <v>0</v>
      </c>
      <c r="V160" s="57" t="n">
        <v>0</v>
      </c>
      <c r="W160" s="57" t="n">
        <v>0</v>
      </c>
      <c r="X160" s="57" t="n">
        <v>0</v>
      </c>
      <c r="Y160" s="57" t="s">
        <v>1307</v>
      </c>
      <c r="Z160" s="57" t="s">
        <v>1331</v>
      </c>
      <c r="AA160" s="57" t="s">
        <v>286</v>
      </c>
      <c r="AB160" s="57" t="s">
        <v>347</v>
      </c>
      <c r="AC160" s="57" t="str">
        <f aca="false">IFERROR(INDEX(dp_geo,MATCH(B160,dp_id,0)),"Unmatched")</f>
        <v>Rest of City</v>
      </c>
      <c r="AD160" s="57" t="n">
        <f aca="false">IF(M160="","",YEAR(M160))</f>
        <v>2020</v>
      </c>
      <c r="AE160" s="57" t="n">
        <f aca="false">IF(O160="","",YEAR(O160))</f>
        <v>2020</v>
      </c>
      <c r="AF160" s="57" t="n">
        <f aca="false">IF(N160="","",YEAR(N160))</f>
        <v>2023</v>
      </c>
      <c r="AG160" s="57" t="n">
        <f aca="false">IF(AND(H160="Yes",OR(G160="Complete",G160="Under construction",G160="Permitted – not started",G160="Stalled")),1,0)</f>
        <v>1</v>
      </c>
      <c r="AH160" s="57" t="n">
        <f aca="false">IF(OR(G160="Under construction",G160="Permitted – not started",G160="Stalled"),1,0)</f>
        <v>0</v>
      </c>
    </row>
    <row r="161" customFormat="false" ht="15" hidden="false" customHeight="false" outlineLevel="0" collapsed="false">
      <c r="A161" s="57" t="s">
        <v>1726</v>
      </c>
      <c r="B161" s="57" t="s">
        <v>778</v>
      </c>
      <c r="C161" s="57" t="s">
        <v>1727</v>
      </c>
      <c r="D161" s="57" t="s">
        <v>779</v>
      </c>
      <c r="E161" s="57" t="n">
        <v>66</v>
      </c>
      <c r="F161" s="57"/>
      <c r="G161" s="57" t="s">
        <v>208</v>
      </c>
      <c r="H161" s="57" t="s">
        <v>228</v>
      </c>
      <c r="I161" s="57" t="s">
        <v>1347</v>
      </c>
      <c r="J161" s="57" t="s">
        <v>304</v>
      </c>
      <c r="K161" s="57" t="s">
        <v>308</v>
      </c>
      <c r="L161" s="57" t="s">
        <v>309</v>
      </c>
      <c r="M161" s="58" t="n">
        <v>44370</v>
      </c>
      <c r="N161" s="58" t="n">
        <v>46195</v>
      </c>
      <c r="O161" s="58" t="n">
        <v>44659</v>
      </c>
      <c r="P161" s="57"/>
      <c r="Q161" s="57"/>
      <c r="R161" s="57" t="s">
        <v>1306</v>
      </c>
      <c r="S161" s="57" t="n">
        <v>0</v>
      </c>
      <c r="T161" s="57" t="n">
        <v>0</v>
      </c>
      <c r="U161" s="57" t="n">
        <v>0</v>
      </c>
      <c r="V161" s="57" t="n">
        <v>0</v>
      </c>
      <c r="W161" s="57" t="n">
        <v>0</v>
      </c>
      <c r="X161" s="57" t="n">
        <v>0</v>
      </c>
      <c r="Y161" s="57" t="s">
        <v>1307</v>
      </c>
      <c r="Z161" s="57"/>
      <c r="AA161" s="57" t="s">
        <v>286</v>
      </c>
      <c r="AB161" s="57" t="s">
        <v>347</v>
      </c>
      <c r="AC161" s="57" t="str">
        <f aca="false">IFERROR(INDEX(dp_geo,MATCH(B161,dp_id,0)),"Unmatched")</f>
        <v>Rest of City</v>
      </c>
      <c r="AD161" s="57" t="n">
        <f aca="false">IF(M161="","",YEAR(M161))</f>
        <v>2021</v>
      </c>
      <c r="AE161" s="57" t="n">
        <f aca="false">IF(O161="","",YEAR(O161))</f>
        <v>2022</v>
      </c>
      <c r="AF161" s="57" t="n">
        <f aca="false">IF(N161="","",YEAR(N161))</f>
        <v>2026</v>
      </c>
      <c r="AG161" s="57" t="n">
        <f aca="false">IF(AND(H161="Yes",OR(G161="Complete",G161="Under construction",G161="Permitted – not started",G161="Stalled")),1,0)</f>
        <v>1</v>
      </c>
      <c r="AH161" s="57" t="n">
        <f aca="false">IF(OR(G161="Under construction",G161="Permitted – not started",G161="Stalled"),1,0)</f>
        <v>0</v>
      </c>
    </row>
    <row r="162" customFormat="false" ht="15" hidden="false" customHeight="false" outlineLevel="0" collapsed="false">
      <c r="A162" s="57" t="s">
        <v>1728</v>
      </c>
      <c r="B162" s="57" t="s">
        <v>997</v>
      </c>
      <c r="C162" s="57" t="s">
        <v>1729</v>
      </c>
      <c r="D162" s="57" t="s">
        <v>998</v>
      </c>
      <c r="E162" s="57" t="n">
        <v>7</v>
      </c>
      <c r="F162" s="57"/>
      <c r="G162" s="57" t="s">
        <v>208</v>
      </c>
      <c r="H162" s="57" t="s">
        <v>228</v>
      </c>
      <c r="I162" s="57" t="s">
        <v>1347</v>
      </c>
      <c r="J162" s="57" t="s">
        <v>304</v>
      </c>
      <c r="K162" s="57" t="s">
        <v>308</v>
      </c>
      <c r="L162" s="57" t="s">
        <v>309</v>
      </c>
      <c r="M162" s="58" t="n">
        <v>44574</v>
      </c>
      <c r="N162" s="58" t="n">
        <v>46399</v>
      </c>
      <c r="O162" s="58" t="n">
        <v>44650</v>
      </c>
      <c r="P162" s="57"/>
      <c r="Q162" s="57"/>
      <c r="R162" s="57" t="s">
        <v>1306</v>
      </c>
      <c r="S162" s="57" t="n">
        <v>0</v>
      </c>
      <c r="T162" s="57" t="n">
        <v>0</v>
      </c>
      <c r="U162" s="57" t="n">
        <v>0</v>
      </c>
      <c r="V162" s="57" t="n">
        <v>0</v>
      </c>
      <c r="W162" s="57" t="n">
        <v>0</v>
      </c>
      <c r="X162" s="57" t="n">
        <v>0</v>
      </c>
      <c r="Y162" s="57" t="s">
        <v>1307</v>
      </c>
      <c r="Z162" s="57"/>
      <c r="AA162" s="57" t="s">
        <v>286</v>
      </c>
      <c r="AB162" s="57" t="s">
        <v>347</v>
      </c>
      <c r="AC162" s="57" t="str">
        <f aca="false">IFERROR(INDEX(dp_geo,MATCH(B162,dp_id,0)),"Unmatched")</f>
        <v>Rest of City</v>
      </c>
      <c r="AD162" s="57" t="n">
        <f aca="false">IF(M162="","",YEAR(M162))</f>
        <v>2022</v>
      </c>
      <c r="AE162" s="57" t="n">
        <f aca="false">IF(O162="","",YEAR(O162))</f>
        <v>2022</v>
      </c>
      <c r="AF162" s="57" t="n">
        <f aca="false">IF(N162="","",YEAR(N162))</f>
        <v>2027</v>
      </c>
      <c r="AG162" s="57" t="n">
        <f aca="false">IF(AND(H162="Yes",OR(G162="Complete",G162="Under construction",G162="Permitted – not started",G162="Stalled")),1,0)</f>
        <v>1</v>
      </c>
      <c r="AH162" s="57" t="n">
        <f aca="false">IF(OR(G162="Under construction",G162="Permitted – not started",G162="Stalled"),1,0)</f>
        <v>0</v>
      </c>
    </row>
    <row r="163" customFormat="false" ht="15" hidden="false" customHeight="false" outlineLevel="0" collapsed="false">
      <c r="A163" s="57" t="s">
        <v>1730</v>
      </c>
      <c r="B163" s="57" t="s">
        <v>754</v>
      </c>
      <c r="C163" s="57" t="s">
        <v>1731</v>
      </c>
      <c r="D163" s="57" t="s">
        <v>755</v>
      </c>
      <c r="E163" s="57" t="n">
        <v>101</v>
      </c>
      <c r="F163" s="57"/>
      <c r="G163" s="57" t="s">
        <v>56</v>
      </c>
      <c r="H163" s="57" t="s">
        <v>228</v>
      </c>
      <c r="I163" s="57" t="s">
        <v>1347</v>
      </c>
      <c r="J163" s="57" t="s">
        <v>304</v>
      </c>
      <c r="K163" s="57" t="s">
        <v>308</v>
      </c>
      <c r="L163" s="57" t="s">
        <v>309</v>
      </c>
      <c r="M163" s="58" t="n">
        <v>45135</v>
      </c>
      <c r="N163" s="58" t="n">
        <v>46961</v>
      </c>
      <c r="O163" s="58" t="n">
        <v>45335</v>
      </c>
      <c r="P163" s="57" t="s">
        <v>1454</v>
      </c>
      <c r="Q163" s="57" t="s">
        <v>1317</v>
      </c>
      <c r="R163" s="57" t="s">
        <v>1318</v>
      </c>
      <c r="S163" s="57" t="n">
        <v>23.5</v>
      </c>
      <c r="T163" s="57" t="n">
        <v>77.5</v>
      </c>
      <c r="U163" s="57" t="n">
        <v>0</v>
      </c>
      <c r="V163" s="57" t="n">
        <v>0</v>
      </c>
      <c r="W163" s="57" t="n">
        <v>0</v>
      </c>
      <c r="X163" s="57" t="n">
        <v>0</v>
      </c>
      <c r="Y163" s="57" t="s">
        <v>1307</v>
      </c>
      <c r="Z163" s="57"/>
      <c r="AA163" s="57" t="s">
        <v>286</v>
      </c>
      <c r="AB163" s="57" t="s">
        <v>347</v>
      </c>
      <c r="AC163" s="57" t="str">
        <f aca="false">IFERROR(INDEX(dp_geo,MATCH(B163,dp_id,0)),"Unmatched")</f>
        <v>Rest of City</v>
      </c>
      <c r="AD163" s="57" t="n">
        <f aca="false">IF(M163="","",YEAR(M163))</f>
        <v>2023</v>
      </c>
      <c r="AE163" s="57" t="n">
        <f aca="false">IF(O163="","",YEAR(O163))</f>
        <v>2024</v>
      </c>
      <c r="AF163" s="57" t="n">
        <f aca="false">IF(N163="","",YEAR(N163))</f>
        <v>2028</v>
      </c>
      <c r="AG163" s="57" t="n">
        <f aca="false">IF(AND(H163="Yes",OR(G163="Complete",G163="Under construction",G163="Permitted – not started",G163="Stalled")),1,0)</f>
        <v>1</v>
      </c>
      <c r="AH163" s="57" t="n">
        <f aca="false">IF(OR(G163="Under construction",G163="Permitted – not started",G163="Stalled"),1,0)</f>
        <v>1</v>
      </c>
    </row>
    <row r="164" customFormat="false" ht="15" hidden="false" customHeight="false" outlineLevel="0" collapsed="false">
      <c r="A164" s="57" t="s">
        <v>1732</v>
      </c>
      <c r="B164" s="57" t="s">
        <v>760</v>
      </c>
      <c r="C164" s="57" t="s">
        <v>1733</v>
      </c>
      <c r="D164" s="57" t="s">
        <v>761</v>
      </c>
      <c r="E164" s="57" t="n">
        <v>99</v>
      </c>
      <c r="F164" s="57"/>
      <c r="G164" s="57" t="s">
        <v>56</v>
      </c>
      <c r="H164" s="57" t="s">
        <v>228</v>
      </c>
      <c r="I164" s="57" t="s">
        <v>1347</v>
      </c>
      <c r="J164" s="57" t="s">
        <v>304</v>
      </c>
      <c r="K164" s="57" t="s">
        <v>308</v>
      </c>
      <c r="L164" s="57" t="s">
        <v>309</v>
      </c>
      <c r="M164" s="58" t="n">
        <v>45135</v>
      </c>
      <c r="N164" s="58" t="n">
        <v>46961</v>
      </c>
      <c r="O164" s="58" t="n">
        <v>45402</v>
      </c>
      <c r="P164" s="57" t="s">
        <v>1364</v>
      </c>
      <c r="Q164" s="57" t="s">
        <v>1317</v>
      </c>
      <c r="R164" s="57" t="s">
        <v>1318</v>
      </c>
      <c r="S164" s="57" t="n">
        <v>23.1</v>
      </c>
      <c r="T164" s="57" t="n">
        <v>75.9</v>
      </c>
      <c r="U164" s="57" t="n">
        <v>0</v>
      </c>
      <c r="V164" s="57" t="n">
        <v>0</v>
      </c>
      <c r="W164" s="57" t="n">
        <v>0</v>
      </c>
      <c r="X164" s="57" t="n">
        <v>0</v>
      </c>
      <c r="Y164" s="57" t="s">
        <v>1307</v>
      </c>
      <c r="Z164" s="57"/>
      <c r="AA164" s="57" t="s">
        <v>286</v>
      </c>
      <c r="AB164" s="57" t="s">
        <v>347</v>
      </c>
      <c r="AC164" s="57" t="str">
        <f aca="false">IFERROR(INDEX(dp_geo,MATCH(B164,dp_id,0)),"Unmatched")</f>
        <v>Rest of City</v>
      </c>
      <c r="AD164" s="57" t="n">
        <f aca="false">IF(M164="","",YEAR(M164))</f>
        <v>2023</v>
      </c>
      <c r="AE164" s="57" t="n">
        <f aca="false">IF(O164="","",YEAR(O164))</f>
        <v>2024</v>
      </c>
      <c r="AF164" s="57" t="n">
        <f aca="false">IF(N164="","",YEAR(N164))</f>
        <v>2028</v>
      </c>
      <c r="AG164" s="57" t="n">
        <f aca="false">IF(AND(H164="Yes",OR(G164="Complete",G164="Under construction",G164="Permitted – not started",G164="Stalled")),1,0)</f>
        <v>1</v>
      </c>
      <c r="AH164" s="57" t="n">
        <f aca="false">IF(OR(G164="Under construction",G164="Permitted – not started",G164="Stalled"),1,0)</f>
        <v>1</v>
      </c>
    </row>
    <row r="165" customFormat="false" ht="15" hidden="false" customHeight="false" outlineLevel="0" collapsed="false">
      <c r="A165" s="57" t="s">
        <v>1734</v>
      </c>
      <c r="B165" s="57" t="s">
        <v>979</v>
      </c>
      <c r="C165" s="57" t="s">
        <v>1735</v>
      </c>
      <c r="D165" s="57" t="s">
        <v>980</v>
      </c>
      <c r="E165" s="57" t="n">
        <v>8</v>
      </c>
      <c r="F165" s="57"/>
      <c r="G165" s="57" t="s">
        <v>56</v>
      </c>
      <c r="H165" s="57" t="s">
        <v>228</v>
      </c>
      <c r="I165" s="57" t="s">
        <v>1310</v>
      </c>
      <c r="J165" s="57" t="s">
        <v>304</v>
      </c>
      <c r="K165" s="57" t="s">
        <v>308</v>
      </c>
      <c r="L165" s="57" t="s">
        <v>309</v>
      </c>
      <c r="M165" s="58" t="n">
        <v>44117</v>
      </c>
      <c r="N165" s="58" t="n">
        <v>45942</v>
      </c>
      <c r="O165" s="58" t="n">
        <v>45400</v>
      </c>
      <c r="P165" s="57" t="s">
        <v>1364</v>
      </c>
      <c r="Q165" s="57" t="s">
        <v>1317</v>
      </c>
      <c r="R165" s="57" t="s">
        <v>1318</v>
      </c>
      <c r="S165" s="57" t="n">
        <v>1.9</v>
      </c>
      <c r="T165" s="57" t="n">
        <v>6.1</v>
      </c>
      <c r="U165" s="57" t="n">
        <v>0</v>
      </c>
      <c r="V165" s="57" t="n">
        <v>0</v>
      </c>
      <c r="W165" s="57" t="n">
        <v>0</v>
      </c>
      <c r="X165" s="57" t="n">
        <v>0</v>
      </c>
      <c r="Y165" s="57" t="s">
        <v>1307</v>
      </c>
      <c r="Z165" s="57"/>
      <c r="AA165" s="57" t="s">
        <v>285</v>
      </c>
      <c r="AB165" s="57" t="s">
        <v>347</v>
      </c>
      <c r="AC165" s="57" t="str">
        <f aca="false">IFERROR(INDEX(dp_geo,MATCH(B165,dp_id,0)),"Unmatched")</f>
        <v>Rest of City</v>
      </c>
      <c r="AD165" s="57" t="n">
        <f aca="false">IF(M165="","",YEAR(M165))</f>
        <v>2020</v>
      </c>
      <c r="AE165" s="57" t="n">
        <f aca="false">IF(O165="","",YEAR(O165))</f>
        <v>2024</v>
      </c>
      <c r="AF165" s="57" t="n">
        <f aca="false">IF(N165="","",YEAR(N165))</f>
        <v>2025</v>
      </c>
      <c r="AG165" s="57" t="n">
        <f aca="false">IF(AND(H165="Yes",OR(G165="Complete",G165="Under construction",G165="Permitted – not started",G165="Stalled")),1,0)</f>
        <v>1</v>
      </c>
      <c r="AH165" s="57" t="n">
        <f aca="false">IF(OR(G165="Under construction",G165="Permitted – not started",G165="Stalled"),1,0)</f>
        <v>1</v>
      </c>
    </row>
    <row r="166" customFormat="false" ht="15" hidden="false" customHeight="false" outlineLevel="0" collapsed="false">
      <c r="A166" s="57" t="s">
        <v>1736</v>
      </c>
      <c r="B166" s="57" t="s">
        <v>938</v>
      </c>
      <c r="C166" s="57" t="s">
        <v>1737</v>
      </c>
      <c r="D166" s="57" t="s">
        <v>939</v>
      </c>
      <c r="E166" s="57" t="n">
        <v>12</v>
      </c>
      <c r="F166" s="57"/>
      <c r="G166" s="57" t="s">
        <v>230</v>
      </c>
      <c r="H166" s="57" t="s">
        <v>228</v>
      </c>
      <c r="I166" s="57" t="s">
        <v>1305</v>
      </c>
      <c r="J166" s="57" t="s">
        <v>304</v>
      </c>
      <c r="K166" s="57" t="s">
        <v>308</v>
      </c>
      <c r="L166" s="57" t="s">
        <v>309</v>
      </c>
      <c r="M166" s="58" t="n">
        <v>43868</v>
      </c>
      <c r="N166" s="58" t="n">
        <v>45627</v>
      </c>
      <c r="O166" s="58"/>
      <c r="P166" s="57"/>
      <c r="Q166" s="57"/>
      <c r="R166" s="57" t="s">
        <v>1322</v>
      </c>
      <c r="S166" s="57" t="n">
        <v>0</v>
      </c>
      <c r="T166" s="57" t="n">
        <v>0</v>
      </c>
      <c r="U166" s="57" t="n">
        <v>0</v>
      </c>
      <c r="V166" s="57" t="n">
        <v>0</v>
      </c>
      <c r="W166" s="57" t="n">
        <v>0</v>
      </c>
      <c r="X166" s="57" t="n">
        <v>0</v>
      </c>
      <c r="Y166" s="57" t="s">
        <v>1307</v>
      </c>
      <c r="Z166" s="57"/>
      <c r="AA166" s="57" t="s">
        <v>285</v>
      </c>
      <c r="AB166" s="57" t="s">
        <v>347</v>
      </c>
      <c r="AC166" s="57" t="str">
        <f aca="false">IFERROR(INDEX(dp_geo,MATCH(B166,dp_id,0)),"Unmatched")</f>
        <v>Rest of City</v>
      </c>
      <c r="AD166" s="57" t="n">
        <f aca="false">IF(M166="","",YEAR(M166))</f>
        <v>2020</v>
      </c>
      <c r="AE166" s="57" t="str">
        <f aca="false">IF(O166="","",YEAR(O166))</f>
        <v/>
      </c>
      <c r="AF166" s="57" t="n">
        <f aca="false">IF(N166="","",YEAR(N166))</f>
        <v>2024</v>
      </c>
      <c r="AG166" s="57" t="n">
        <f aca="false">IF(AND(H166="Yes",OR(G166="Complete",G166="Under construction",G166="Permitted – not started",G166="Stalled")),1,0)</f>
        <v>0</v>
      </c>
      <c r="AH166" s="57" t="n">
        <f aca="false">IF(OR(G166="Under construction",G166="Permitted – not started",G166="Stalled"),1,0)</f>
        <v>0</v>
      </c>
    </row>
    <row r="167" customFormat="false" ht="15" hidden="false" customHeight="false" outlineLevel="0" collapsed="false">
      <c r="A167" s="57" t="s">
        <v>1738</v>
      </c>
      <c r="B167" s="57" t="s">
        <v>820</v>
      </c>
      <c r="C167" s="57" t="s">
        <v>1739</v>
      </c>
      <c r="D167" s="57" t="s">
        <v>821</v>
      </c>
      <c r="E167" s="57" t="n">
        <v>31</v>
      </c>
      <c r="F167" s="57"/>
      <c r="G167" s="57" t="s">
        <v>58</v>
      </c>
      <c r="H167" s="57" t="s">
        <v>228</v>
      </c>
      <c r="I167" s="57" t="s">
        <v>1310</v>
      </c>
      <c r="J167" s="57" t="s">
        <v>303</v>
      </c>
      <c r="K167" s="57" t="s">
        <v>310</v>
      </c>
      <c r="L167" s="57" t="s">
        <v>313</v>
      </c>
      <c r="M167" s="58" t="n">
        <v>43857</v>
      </c>
      <c r="N167" s="58"/>
      <c r="O167" s="58"/>
      <c r="P167" s="57" t="s">
        <v>1311</v>
      </c>
      <c r="Q167" s="57" t="s">
        <v>1348</v>
      </c>
      <c r="R167" s="57" t="s">
        <v>1313</v>
      </c>
      <c r="S167" s="57" t="n">
        <v>0</v>
      </c>
      <c r="T167" s="57" t="n">
        <v>0</v>
      </c>
      <c r="U167" s="57" t="n">
        <v>23.6</v>
      </c>
      <c r="V167" s="57" t="n">
        <v>7.4</v>
      </c>
      <c r="W167" s="57" t="n">
        <v>0</v>
      </c>
      <c r="X167" s="57" t="n">
        <v>0</v>
      </c>
      <c r="Y167" s="57" t="s">
        <v>1307</v>
      </c>
      <c r="Z167" s="57" t="s">
        <v>1323</v>
      </c>
      <c r="AA167" s="57" t="s">
        <v>355</v>
      </c>
      <c r="AB167" s="57" t="s">
        <v>356</v>
      </c>
      <c r="AC167" s="57" t="str">
        <f aca="false">IFERROR(INDEX(dp_geo,MATCH(B167,dp_id,0)),"Unmatched")</f>
        <v>Settlements</v>
      </c>
      <c r="AD167" s="57" t="n">
        <f aca="false">IF(M167="","",YEAR(M167))</f>
        <v>2020</v>
      </c>
      <c r="AE167" s="57" t="str">
        <f aca="false">IF(O167="","",YEAR(O167))</f>
        <v/>
      </c>
      <c r="AF167" s="57" t="str">
        <f aca="false">IF(N167="","",YEAR(N167))</f>
        <v/>
      </c>
      <c r="AG167" s="57" t="n">
        <f aca="false">IF(AND(H167="Yes",OR(G167="Complete",G167="Under construction",G167="Permitted – not started",G167="Stalled")),1,0)</f>
        <v>1</v>
      </c>
      <c r="AH167" s="57" t="n">
        <f aca="false">IF(OR(G167="Under construction",G167="Permitted – not started",G167="Stalled"),1,0)</f>
        <v>1</v>
      </c>
    </row>
    <row r="168" customFormat="false" ht="15" hidden="false" customHeight="false" outlineLevel="0" collapsed="false">
      <c r="A168" s="57" t="s">
        <v>1740</v>
      </c>
      <c r="B168" s="57" t="s">
        <v>741</v>
      </c>
      <c r="C168" s="57" t="s">
        <v>1741</v>
      </c>
      <c r="D168" s="57" t="s">
        <v>742</v>
      </c>
      <c r="E168" s="57" t="n">
        <v>99</v>
      </c>
      <c r="F168" s="57"/>
      <c r="G168" s="57" t="s">
        <v>58</v>
      </c>
      <c r="H168" s="57" t="s">
        <v>228</v>
      </c>
      <c r="I168" s="57" t="s">
        <v>1347</v>
      </c>
      <c r="J168" s="57" t="s">
        <v>304</v>
      </c>
      <c r="K168" s="57" t="s">
        <v>308</v>
      </c>
      <c r="L168" s="57" t="s">
        <v>309</v>
      </c>
      <c r="M168" s="58" t="n">
        <v>45713</v>
      </c>
      <c r="N168" s="58" t="n">
        <v>47538</v>
      </c>
      <c r="O168" s="58"/>
      <c r="P168" s="57" t="s">
        <v>1311</v>
      </c>
      <c r="Q168" s="57" t="s">
        <v>1560</v>
      </c>
      <c r="R168" s="57" t="s">
        <v>1313</v>
      </c>
      <c r="S168" s="57" t="n">
        <v>0</v>
      </c>
      <c r="T168" s="57" t="n">
        <v>0</v>
      </c>
      <c r="U168" s="57" t="n">
        <v>25.1</v>
      </c>
      <c r="V168" s="57" t="n">
        <v>51.9</v>
      </c>
      <c r="W168" s="57" t="n">
        <v>22</v>
      </c>
      <c r="X168" s="57" t="n">
        <v>0</v>
      </c>
      <c r="Y168" s="57" t="s">
        <v>1307</v>
      </c>
      <c r="Z168" s="57"/>
      <c r="AA168" s="57" t="s">
        <v>355</v>
      </c>
      <c r="AB168" s="57" t="s">
        <v>356</v>
      </c>
      <c r="AC168" s="57" t="str">
        <f aca="false">IFERROR(INDEX(dp_geo,MATCH(B168,dp_id,0)),"Unmatched")</f>
        <v>Settlements</v>
      </c>
      <c r="AD168" s="57" t="n">
        <f aca="false">IF(M168="","",YEAR(M168))</f>
        <v>2025</v>
      </c>
      <c r="AE168" s="57" t="str">
        <f aca="false">IF(O168="","",YEAR(O168))</f>
        <v/>
      </c>
      <c r="AF168" s="57" t="n">
        <f aca="false">IF(N168="","",YEAR(N168))</f>
        <v>2030</v>
      </c>
      <c r="AG168" s="57" t="n">
        <f aca="false">IF(AND(H168="Yes",OR(G168="Complete",G168="Under construction",G168="Permitted – not started",G168="Stalled")),1,0)</f>
        <v>1</v>
      </c>
      <c r="AH168" s="57" t="n">
        <f aca="false">IF(OR(G168="Under construction",G168="Permitted – not started",G168="Stalled"),1,0)</f>
        <v>1</v>
      </c>
    </row>
    <row r="169" customFormat="false" ht="15" hidden="false" customHeight="false" outlineLevel="0" collapsed="false">
      <c r="A169" s="57" t="s">
        <v>1742</v>
      </c>
      <c r="B169" s="57" t="s">
        <v>741</v>
      </c>
      <c r="C169" s="57" t="s">
        <v>1743</v>
      </c>
      <c r="D169" s="57" t="s">
        <v>1744</v>
      </c>
      <c r="E169" s="57" t="n">
        <v>28</v>
      </c>
      <c r="F169" s="57"/>
      <c r="G169" s="57" t="s">
        <v>58</v>
      </c>
      <c r="H169" s="57" t="s">
        <v>228</v>
      </c>
      <c r="I169" s="57" t="s">
        <v>1676</v>
      </c>
      <c r="J169" s="57" t="s">
        <v>304</v>
      </c>
      <c r="K169" s="57" t="s">
        <v>308</v>
      </c>
      <c r="L169" s="57" t="s">
        <v>309</v>
      </c>
      <c r="M169" s="58" t="n">
        <v>45737</v>
      </c>
      <c r="N169" s="58" t="n">
        <v>47562</v>
      </c>
      <c r="O169" s="58"/>
      <c r="P169" s="57" t="s">
        <v>1311</v>
      </c>
      <c r="Q169" s="57" t="s">
        <v>1348</v>
      </c>
      <c r="R169" s="57" t="s">
        <v>1313</v>
      </c>
      <c r="S169" s="57" t="n">
        <v>0</v>
      </c>
      <c r="T169" s="57" t="n">
        <v>0</v>
      </c>
      <c r="U169" s="57" t="n">
        <v>21.3</v>
      </c>
      <c r="V169" s="57" t="n">
        <v>6.7</v>
      </c>
      <c r="W169" s="57" t="n">
        <v>0</v>
      </c>
      <c r="X169" s="57" t="n">
        <v>0</v>
      </c>
      <c r="Y169" s="57" t="s">
        <v>1307</v>
      </c>
      <c r="Z169" s="57"/>
      <c r="AA169" s="57" t="s">
        <v>355</v>
      </c>
      <c r="AB169" s="57" t="s">
        <v>356</v>
      </c>
      <c r="AC169" s="57" t="str">
        <f aca="false">IFERROR(INDEX(dp_geo,MATCH(B169,dp_id,0)),"Unmatched")</f>
        <v>Settlements</v>
      </c>
      <c r="AD169" s="57" t="n">
        <f aca="false">IF(M169="","",YEAR(M169))</f>
        <v>2025</v>
      </c>
      <c r="AE169" s="57" t="str">
        <f aca="false">IF(O169="","",YEAR(O169))</f>
        <v/>
      </c>
      <c r="AF169" s="57" t="n">
        <f aca="false">IF(N169="","",YEAR(N169))</f>
        <v>2030</v>
      </c>
      <c r="AG169" s="57" t="n">
        <f aca="false">IF(AND(H169="Yes",OR(G169="Complete",G169="Under construction",G169="Permitted – not started",G169="Stalled")),1,0)</f>
        <v>1</v>
      </c>
      <c r="AH169" s="57" t="n">
        <f aca="false">IF(OR(G169="Under construction",G169="Permitted – not started",G169="Stalled"),1,0)</f>
        <v>1</v>
      </c>
    </row>
    <row r="170" customFormat="false" ht="15" hidden="false" customHeight="false" outlineLevel="0" collapsed="false">
      <c r="A170" s="57" t="s">
        <v>1745</v>
      </c>
      <c r="B170" s="57" t="s">
        <v>845</v>
      </c>
      <c r="C170" s="57" t="s">
        <v>1746</v>
      </c>
      <c r="D170" s="57" t="s">
        <v>846</v>
      </c>
      <c r="E170" s="57" t="n">
        <v>25</v>
      </c>
      <c r="F170" s="57"/>
      <c r="G170" s="57" t="s">
        <v>58</v>
      </c>
      <c r="H170" s="57" t="s">
        <v>228</v>
      </c>
      <c r="I170" s="57" t="s">
        <v>1676</v>
      </c>
      <c r="J170" s="57" t="s">
        <v>304</v>
      </c>
      <c r="K170" s="57" t="s">
        <v>308</v>
      </c>
      <c r="L170" s="57" t="s">
        <v>309</v>
      </c>
      <c r="M170" s="58" t="n">
        <v>45737</v>
      </c>
      <c r="N170" s="58" t="n">
        <v>47562</v>
      </c>
      <c r="O170" s="58"/>
      <c r="P170" s="57" t="s">
        <v>1311</v>
      </c>
      <c r="Q170" s="57" t="s">
        <v>1348</v>
      </c>
      <c r="R170" s="57" t="s">
        <v>1313</v>
      </c>
      <c r="S170" s="57" t="n">
        <v>0</v>
      </c>
      <c r="T170" s="57" t="n">
        <v>0</v>
      </c>
      <c r="U170" s="57" t="n">
        <v>19</v>
      </c>
      <c r="V170" s="57" t="n">
        <v>6</v>
      </c>
      <c r="W170" s="57" t="n">
        <v>0</v>
      </c>
      <c r="X170" s="57" t="n">
        <v>0</v>
      </c>
      <c r="Y170" s="57" t="s">
        <v>1307</v>
      </c>
      <c r="Z170" s="57"/>
      <c r="AA170" s="57" t="s">
        <v>355</v>
      </c>
      <c r="AB170" s="57" t="s">
        <v>356</v>
      </c>
      <c r="AC170" s="57" t="str">
        <f aca="false">IFERROR(INDEX(dp_geo,MATCH(B170,dp_id,0)),"Unmatched")</f>
        <v>Settlements</v>
      </c>
      <c r="AD170" s="57" t="n">
        <f aca="false">IF(M170="","",YEAR(M170))</f>
        <v>2025</v>
      </c>
      <c r="AE170" s="57" t="str">
        <f aca="false">IF(O170="","",YEAR(O170))</f>
        <v/>
      </c>
      <c r="AF170" s="57" t="n">
        <f aca="false">IF(N170="","",YEAR(N170))</f>
        <v>2030</v>
      </c>
      <c r="AG170" s="57" t="n">
        <f aca="false">IF(AND(H170="Yes",OR(G170="Complete",G170="Under construction",G170="Permitted – not started",G170="Stalled")),1,0)</f>
        <v>1</v>
      </c>
      <c r="AH170" s="57" t="n">
        <f aca="false">IF(OR(G170="Under construction",G170="Permitted – not started",G170="Stalled"),1,0)</f>
        <v>1</v>
      </c>
    </row>
    <row r="171" customFormat="false" ht="15" hidden="false" customHeight="false" outlineLevel="0" collapsed="false">
      <c r="A171" s="57" t="s">
        <v>1747</v>
      </c>
      <c r="B171" s="57" t="s">
        <v>885</v>
      </c>
      <c r="C171" s="57" t="s">
        <v>1748</v>
      </c>
      <c r="D171" s="57" t="s">
        <v>1749</v>
      </c>
      <c r="E171" s="57" t="n">
        <v>5</v>
      </c>
      <c r="F171" s="57"/>
      <c r="G171" s="57" t="s">
        <v>208</v>
      </c>
      <c r="H171" s="57" t="s">
        <v>228</v>
      </c>
      <c r="I171" s="57" t="s">
        <v>1347</v>
      </c>
      <c r="J171" s="57" t="s">
        <v>304</v>
      </c>
      <c r="K171" s="57" t="s">
        <v>308</v>
      </c>
      <c r="L171" s="57" t="s">
        <v>309</v>
      </c>
      <c r="M171" s="58" t="n">
        <v>44040</v>
      </c>
      <c r="N171" s="58" t="n">
        <v>45865</v>
      </c>
      <c r="O171" s="58" t="n">
        <v>44321</v>
      </c>
      <c r="P171" s="57" t="s">
        <v>1356</v>
      </c>
      <c r="Q171" s="57" t="s">
        <v>1317</v>
      </c>
      <c r="R171" s="57" t="s">
        <v>1318</v>
      </c>
      <c r="S171" s="57" t="n">
        <v>0</v>
      </c>
      <c r="T171" s="57" t="n">
        <v>0</v>
      </c>
      <c r="U171" s="57" t="n">
        <v>0</v>
      </c>
      <c r="V171" s="57" t="n">
        <v>0</v>
      </c>
      <c r="W171" s="57" t="n">
        <v>0</v>
      </c>
      <c r="X171" s="57" t="n">
        <v>0</v>
      </c>
      <c r="Y171" s="57" t="s">
        <v>1337</v>
      </c>
      <c r="Z171" s="57" t="s">
        <v>1338</v>
      </c>
      <c r="AA171" s="57" t="s">
        <v>365</v>
      </c>
      <c r="AB171" s="57" t="s">
        <v>365</v>
      </c>
      <c r="AC171" s="57" t="str">
        <f aca="false">IFERROR(INDEX(dp_geo,MATCH(B171,dp_id,0)),"Unmatched")</f>
        <v>Remainder of County</v>
      </c>
      <c r="AD171" s="57" t="n">
        <f aca="false">IF(M171="","",YEAR(M171))</f>
        <v>2020</v>
      </c>
      <c r="AE171" s="57" t="n">
        <f aca="false">IF(O171="","",YEAR(O171))</f>
        <v>2021</v>
      </c>
      <c r="AF171" s="57" t="n">
        <f aca="false">IF(N171="","",YEAR(N171))</f>
        <v>2025</v>
      </c>
      <c r="AG171" s="57" t="n">
        <f aca="false">IF(AND(H171="Yes",OR(G171="Complete",G171="Under construction",G171="Permitted – not started",G171="Stalled")),1,0)</f>
        <v>1</v>
      </c>
      <c r="AH171" s="57" t="n">
        <f aca="false">IF(OR(G171="Under construction",G171="Permitted – not started",G171="Stalled"),1,0)</f>
        <v>0</v>
      </c>
    </row>
    <row r="172" customFormat="false" ht="15" hidden="false" customHeight="false" outlineLevel="0" collapsed="false">
      <c r="A172" s="57" t="s">
        <v>1750</v>
      </c>
      <c r="B172" s="57" t="s">
        <v>981</v>
      </c>
      <c r="C172" s="57" t="s">
        <v>1751</v>
      </c>
      <c r="D172" s="57" t="s">
        <v>982</v>
      </c>
      <c r="E172" s="57" t="n">
        <v>8</v>
      </c>
      <c r="F172" s="57"/>
      <c r="G172" s="57" t="s">
        <v>208</v>
      </c>
      <c r="H172" s="57" t="s">
        <v>228</v>
      </c>
      <c r="I172" s="57" t="s">
        <v>1347</v>
      </c>
      <c r="J172" s="57" t="s">
        <v>304</v>
      </c>
      <c r="K172" s="57" t="s">
        <v>308</v>
      </c>
      <c r="L172" s="57" t="s">
        <v>309</v>
      </c>
      <c r="M172" s="58" t="n">
        <v>45265</v>
      </c>
      <c r="N172" s="58" t="n">
        <v>47091</v>
      </c>
      <c r="O172" s="58" t="n">
        <v>45565</v>
      </c>
      <c r="P172" s="57"/>
      <c r="Q172" s="57"/>
      <c r="R172" s="57" t="s">
        <v>1306</v>
      </c>
      <c r="S172" s="57" t="n">
        <v>0</v>
      </c>
      <c r="T172" s="57" t="n">
        <v>0</v>
      </c>
      <c r="U172" s="57" t="n">
        <v>0</v>
      </c>
      <c r="V172" s="57" t="n">
        <v>0</v>
      </c>
      <c r="W172" s="57" t="n">
        <v>0</v>
      </c>
      <c r="X172" s="57" t="n">
        <v>0</v>
      </c>
      <c r="Y172" s="57" t="s">
        <v>1307</v>
      </c>
      <c r="Z172" s="57" t="s">
        <v>1331</v>
      </c>
      <c r="AA172" s="57" t="s">
        <v>365</v>
      </c>
      <c r="AB172" s="57" t="s">
        <v>365</v>
      </c>
      <c r="AC172" s="57" t="str">
        <f aca="false">IFERROR(INDEX(dp_geo,MATCH(B172,dp_id,0)),"Unmatched")</f>
        <v>Remainder of County</v>
      </c>
      <c r="AD172" s="57" t="n">
        <f aca="false">IF(M172="","",YEAR(M172))</f>
        <v>2023</v>
      </c>
      <c r="AE172" s="57" t="n">
        <f aca="false">IF(O172="","",YEAR(O172))</f>
        <v>2024</v>
      </c>
      <c r="AF172" s="57" t="n">
        <f aca="false">IF(N172="","",YEAR(N172))</f>
        <v>2028</v>
      </c>
      <c r="AG172" s="57" t="n">
        <f aca="false">IF(AND(H172="Yes",OR(G172="Complete",G172="Under construction",G172="Permitted – not started",G172="Stalled")),1,0)</f>
        <v>1</v>
      </c>
      <c r="AH172" s="57" t="n">
        <f aca="false">IF(OR(G172="Under construction",G172="Permitted – not started",G172="Stalled"),1,0)</f>
        <v>0</v>
      </c>
    </row>
    <row r="173" customFormat="false" ht="15" hidden="false" customHeight="false" outlineLevel="0" collapsed="false">
      <c r="A173" s="57" t="s">
        <v>1752</v>
      </c>
      <c r="B173" s="57" t="s">
        <v>758</v>
      </c>
      <c r="C173" s="57" t="s">
        <v>1753</v>
      </c>
      <c r="D173" s="57" t="s">
        <v>1754</v>
      </c>
      <c r="E173" s="57" t="n">
        <v>24</v>
      </c>
      <c r="F173" s="57"/>
      <c r="G173" s="57" t="s">
        <v>230</v>
      </c>
      <c r="H173" s="57" t="s">
        <v>228</v>
      </c>
      <c r="I173" s="57" t="s">
        <v>1310</v>
      </c>
      <c r="J173" s="57" t="s">
        <v>304</v>
      </c>
      <c r="K173" s="57" t="s">
        <v>308</v>
      </c>
      <c r="L173" s="57" t="s">
        <v>309</v>
      </c>
      <c r="M173" s="58" t="n">
        <v>44202</v>
      </c>
      <c r="N173" s="58" t="n">
        <v>46027</v>
      </c>
      <c r="O173" s="58"/>
      <c r="P173" s="57"/>
      <c r="Q173" s="57"/>
      <c r="R173" s="57" t="s">
        <v>1322</v>
      </c>
      <c r="S173" s="57" t="n">
        <v>0</v>
      </c>
      <c r="T173" s="57" t="n">
        <v>0</v>
      </c>
      <c r="U173" s="57" t="n">
        <v>0</v>
      </c>
      <c r="V173" s="57" t="n">
        <v>0</v>
      </c>
      <c r="W173" s="57" t="n">
        <v>0</v>
      </c>
      <c r="X173" s="57" t="n">
        <v>0</v>
      </c>
      <c r="Y173" s="57" t="s">
        <v>1307</v>
      </c>
      <c r="Z173" s="57"/>
      <c r="AA173" s="57" t="s">
        <v>258</v>
      </c>
      <c r="AB173" s="57" t="s">
        <v>347</v>
      </c>
      <c r="AC173" s="57" t="str">
        <f aca="false">IFERROR(INDEX(dp_geo,MATCH(B173,dp_id,0)),"Unmatched")</f>
        <v>City Centre</v>
      </c>
      <c r="AD173" s="57" t="n">
        <f aca="false">IF(M173="","",YEAR(M173))</f>
        <v>2021</v>
      </c>
      <c r="AE173" s="57" t="str">
        <f aca="false">IF(O173="","",YEAR(O173))</f>
        <v/>
      </c>
      <c r="AF173" s="57" t="n">
        <f aca="false">IF(N173="","",YEAR(N173))</f>
        <v>2026</v>
      </c>
      <c r="AG173" s="57" t="n">
        <f aca="false">IF(AND(H173="Yes",OR(G173="Complete",G173="Under construction",G173="Permitted – not started",G173="Stalled")),1,0)</f>
        <v>0</v>
      </c>
      <c r="AH173" s="57" t="n">
        <f aca="false">IF(OR(G173="Under construction",G173="Permitted – not started",G173="Stalled"),1,0)</f>
        <v>0</v>
      </c>
    </row>
    <row r="174" customFormat="false" ht="15" hidden="false" customHeight="false" outlineLevel="0" collapsed="false">
      <c r="A174" s="57" t="s">
        <v>1755</v>
      </c>
      <c r="B174" s="57" t="s">
        <v>758</v>
      </c>
      <c r="C174" s="57" t="s">
        <v>1756</v>
      </c>
      <c r="D174" s="57" t="s">
        <v>759</v>
      </c>
      <c r="E174" s="57" t="n">
        <v>76</v>
      </c>
      <c r="F174" s="57"/>
      <c r="G174" s="57" t="s">
        <v>58</v>
      </c>
      <c r="H174" s="57" t="s">
        <v>228</v>
      </c>
      <c r="I174" s="57" t="s">
        <v>1347</v>
      </c>
      <c r="J174" s="57" t="s">
        <v>304</v>
      </c>
      <c r="K174" s="57" t="s">
        <v>308</v>
      </c>
      <c r="L174" s="57" t="s">
        <v>309</v>
      </c>
      <c r="M174" s="58" t="n">
        <v>46183</v>
      </c>
      <c r="N174" s="58" t="n">
        <v>48008</v>
      </c>
      <c r="O174" s="58"/>
      <c r="P174" s="57" t="s">
        <v>1311</v>
      </c>
      <c r="Q174" s="57" t="s">
        <v>1497</v>
      </c>
      <c r="R174" s="57" t="s">
        <v>1526</v>
      </c>
      <c r="S174" s="57" t="n">
        <v>0</v>
      </c>
      <c r="T174" s="57" t="n">
        <v>0</v>
      </c>
      <c r="U174" s="57" t="n">
        <v>26.3</v>
      </c>
      <c r="V174" s="57" t="n">
        <v>49.7</v>
      </c>
      <c r="W174" s="57" t="n">
        <v>0</v>
      </c>
      <c r="X174" s="57" t="n">
        <v>0</v>
      </c>
      <c r="Y174" s="57" t="s">
        <v>1307</v>
      </c>
      <c r="Z174" s="57"/>
      <c r="AA174" s="57" t="s">
        <v>258</v>
      </c>
      <c r="AB174" s="57" t="s">
        <v>347</v>
      </c>
      <c r="AC174" s="57" t="str">
        <f aca="false">IFERROR(INDEX(dp_geo,MATCH(B174,dp_id,0)),"Unmatched")</f>
        <v>City Centre</v>
      </c>
      <c r="AD174" s="57" t="n">
        <f aca="false">IF(M174="","",YEAR(M174))</f>
        <v>2026</v>
      </c>
      <c r="AE174" s="57" t="str">
        <f aca="false">IF(O174="","",YEAR(O174))</f>
        <v/>
      </c>
      <c r="AF174" s="57" t="n">
        <f aca="false">IF(N174="","",YEAR(N174))</f>
        <v>2031</v>
      </c>
      <c r="AG174" s="57" t="n">
        <f aca="false">IF(AND(H174="Yes",OR(G174="Complete",G174="Under construction",G174="Permitted – not started",G174="Stalled")),1,0)</f>
        <v>1</v>
      </c>
      <c r="AH174" s="57" t="n">
        <f aca="false">IF(OR(G174="Under construction",G174="Permitted – not started",G174="Stalled"),1,0)</f>
        <v>1</v>
      </c>
    </row>
    <row r="175" customFormat="false" ht="15" hidden="false" customHeight="false" outlineLevel="0" collapsed="false">
      <c r="A175" s="57" t="s">
        <v>1757</v>
      </c>
      <c r="B175" s="57" t="s">
        <v>887</v>
      </c>
      <c r="C175" s="57" t="s">
        <v>1758</v>
      </c>
      <c r="D175" s="57" t="s">
        <v>1759</v>
      </c>
      <c r="E175" s="57" t="n">
        <v>8</v>
      </c>
      <c r="F175" s="57"/>
      <c r="G175" s="57" t="s">
        <v>230</v>
      </c>
      <c r="H175" s="57" t="s">
        <v>228</v>
      </c>
      <c r="I175" s="57" t="s">
        <v>1310</v>
      </c>
      <c r="J175" s="57" t="s">
        <v>304</v>
      </c>
      <c r="K175" s="57" t="s">
        <v>308</v>
      </c>
      <c r="L175" s="57" t="s">
        <v>309</v>
      </c>
      <c r="M175" s="58" t="n">
        <v>44306</v>
      </c>
      <c r="N175" s="58" t="n">
        <v>46131</v>
      </c>
      <c r="O175" s="58"/>
      <c r="P175" s="57"/>
      <c r="Q175" s="57"/>
      <c r="R175" s="57" t="s">
        <v>1322</v>
      </c>
      <c r="S175" s="57" t="n">
        <v>0</v>
      </c>
      <c r="T175" s="57" t="n">
        <v>0</v>
      </c>
      <c r="U175" s="57" t="n">
        <v>0</v>
      </c>
      <c r="V175" s="57" t="n">
        <v>0</v>
      </c>
      <c r="W175" s="57" t="n">
        <v>0</v>
      </c>
      <c r="X175" s="57" t="n">
        <v>0</v>
      </c>
      <c r="Y175" s="57" t="s">
        <v>1307</v>
      </c>
      <c r="Z175" s="57"/>
      <c r="AA175" s="57" t="s">
        <v>258</v>
      </c>
      <c r="AB175" s="57" t="s">
        <v>347</v>
      </c>
      <c r="AC175" s="57" t="str">
        <f aca="false">IFERROR(INDEX(dp_geo,MATCH(B175,dp_id,0)),"Unmatched")</f>
        <v>City Centre</v>
      </c>
      <c r="AD175" s="57" t="n">
        <f aca="false">IF(M175="","",YEAR(M175))</f>
        <v>2021</v>
      </c>
      <c r="AE175" s="57" t="str">
        <f aca="false">IF(O175="","",YEAR(O175))</f>
        <v/>
      </c>
      <c r="AF175" s="57" t="n">
        <f aca="false">IF(N175="","",YEAR(N175))</f>
        <v>2026</v>
      </c>
      <c r="AG175" s="57" t="n">
        <f aca="false">IF(AND(H175="Yes",OR(G175="Complete",G175="Under construction",G175="Permitted – not started",G175="Stalled")),1,0)</f>
        <v>0</v>
      </c>
      <c r="AH175" s="57" t="n">
        <f aca="false">IF(OR(G175="Under construction",G175="Permitted – not started",G175="Stalled"),1,0)</f>
        <v>0</v>
      </c>
    </row>
    <row r="176" customFormat="false" ht="15" hidden="false" customHeight="false" outlineLevel="0" collapsed="false">
      <c r="A176" s="57" t="s">
        <v>1760</v>
      </c>
      <c r="B176" s="57" t="s">
        <v>887</v>
      </c>
      <c r="C176" s="57" t="s">
        <v>1761</v>
      </c>
      <c r="D176" s="57" t="s">
        <v>888</v>
      </c>
      <c r="E176" s="57" t="n">
        <v>9</v>
      </c>
      <c r="F176" s="57"/>
      <c r="G176" s="57" t="s">
        <v>208</v>
      </c>
      <c r="H176" s="57" t="s">
        <v>228</v>
      </c>
      <c r="I176" s="57" t="s">
        <v>1347</v>
      </c>
      <c r="J176" s="57" t="s">
        <v>304</v>
      </c>
      <c r="K176" s="57" t="s">
        <v>308</v>
      </c>
      <c r="L176" s="57" t="s">
        <v>309</v>
      </c>
      <c r="M176" s="58" t="n">
        <v>45167</v>
      </c>
      <c r="N176" s="58" t="n">
        <v>46993</v>
      </c>
      <c r="O176" s="58" t="n">
        <v>45397</v>
      </c>
      <c r="P176" s="57"/>
      <c r="Q176" s="57"/>
      <c r="R176" s="57" t="s">
        <v>1306</v>
      </c>
      <c r="S176" s="57" t="n">
        <v>0</v>
      </c>
      <c r="T176" s="57" t="n">
        <v>0</v>
      </c>
      <c r="U176" s="57" t="n">
        <v>0</v>
      </c>
      <c r="V176" s="57" t="n">
        <v>0</v>
      </c>
      <c r="W176" s="57" t="n">
        <v>0</v>
      </c>
      <c r="X176" s="57" t="n">
        <v>0</v>
      </c>
      <c r="Y176" s="57" t="s">
        <v>1307</v>
      </c>
      <c r="Z176" s="57" t="s">
        <v>1396</v>
      </c>
      <c r="AA176" s="57" t="s">
        <v>258</v>
      </c>
      <c r="AB176" s="57" t="s">
        <v>347</v>
      </c>
      <c r="AC176" s="57" t="str">
        <f aca="false">IFERROR(INDEX(dp_geo,MATCH(B176,dp_id,0)),"Unmatched")</f>
        <v>City Centre</v>
      </c>
      <c r="AD176" s="57" t="n">
        <f aca="false">IF(M176="","",YEAR(M176))</f>
        <v>2023</v>
      </c>
      <c r="AE176" s="57" t="n">
        <f aca="false">IF(O176="","",YEAR(O176))</f>
        <v>2024</v>
      </c>
      <c r="AF176" s="57" t="n">
        <f aca="false">IF(N176="","",YEAR(N176))</f>
        <v>2028</v>
      </c>
      <c r="AG176" s="57" t="n">
        <f aca="false">IF(AND(H176="Yes",OR(G176="Complete",G176="Under construction",G176="Permitted – not started",G176="Stalled")),1,0)</f>
        <v>1</v>
      </c>
      <c r="AH176" s="57" t="n">
        <f aca="false">IF(OR(G176="Under construction",G176="Permitted – not started",G176="Stalled"),1,0)</f>
        <v>0</v>
      </c>
    </row>
    <row r="177" customFormat="false" ht="15" hidden="false" customHeight="false" outlineLevel="0" collapsed="false">
      <c r="A177" s="57" t="s">
        <v>1762</v>
      </c>
      <c r="B177" s="57" t="s">
        <v>732</v>
      </c>
      <c r="C177" s="57" t="s">
        <v>1763</v>
      </c>
      <c r="D177" s="57" t="s">
        <v>733</v>
      </c>
      <c r="E177" s="57" t="n">
        <v>200</v>
      </c>
      <c r="F177" s="57"/>
      <c r="G177" s="57" t="s">
        <v>208</v>
      </c>
      <c r="H177" s="57" t="s">
        <v>228</v>
      </c>
      <c r="I177" s="57" t="s">
        <v>1310</v>
      </c>
      <c r="J177" s="57" t="s">
        <v>304</v>
      </c>
      <c r="K177" s="57" t="s">
        <v>308</v>
      </c>
      <c r="L177" s="57" t="s">
        <v>315</v>
      </c>
      <c r="M177" s="58" t="n">
        <v>44137</v>
      </c>
      <c r="N177" s="58" t="n">
        <v>45962</v>
      </c>
      <c r="O177" s="58" t="n">
        <v>44803</v>
      </c>
      <c r="P177" s="57"/>
      <c r="Q177" s="57"/>
      <c r="R177" s="57" t="s">
        <v>1306</v>
      </c>
      <c r="S177" s="57" t="n">
        <v>0</v>
      </c>
      <c r="T177" s="57" t="n">
        <v>0</v>
      </c>
      <c r="U177" s="57" t="n">
        <v>0</v>
      </c>
      <c r="V177" s="57" t="n">
        <v>0</v>
      </c>
      <c r="W177" s="57" t="n">
        <v>0</v>
      </c>
      <c r="X177" s="57" t="n">
        <v>0</v>
      </c>
      <c r="Y177" s="57" t="s">
        <v>1307</v>
      </c>
      <c r="Z177" s="57"/>
      <c r="AA177" s="57" t="s">
        <v>285</v>
      </c>
      <c r="AB177" s="57" t="s">
        <v>347</v>
      </c>
      <c r="AC177" s="57" t="str">
        <f aca="false">IFERROR(INDEX(dp_geo,MATCH(B177,dp_id,0)),"Unmatched")</f>
        <v>Rest of City</v>
      </c>
      <c r="AD177" s="57" t="n">
        <f aca="false">IF(M177="","",YEAR(M177))</f>
        <v>2020</v>
      </c>
      <c r="AE177" s="57" t="n">
        <f aca="false">IF(O177="","",YEAR(O177))</f>
        <v>2022</v>
      </c>
      <c r="AF177" s="57" t="n">
        <f aca="false">IF(N177="","",YEAR(N177))</f>
        <v>2025</v>
      </c>
      <c r="AG177" s="57" t="n">
        <f aca="false">IF(AND(H177="Yes",OR(G177="Complete",G177="Under construction",G177="Permitted – not started",G177="Stalled")),1,0)</f>
        <v>1</v>
      </c>
      <c r="AH177" s="57" t="n">
        <f aca="false">IF(OR(G177="Under construction",G177="Permitted – not started",G177="Stalled"),1,0)</f>
        <v>0</v>
      </c>
    </row>
    <row r="178" customFormat="false" ht="15" hidden="false" customHeight="false" outlineLevel="0" collapsed="false">
      <c r="A178" s="57" t="s">
        <v>1764</v>
      </c>
      <c r="B178" s="57" t="s">
        <v>732</v>
      </c>
      <c r="C178" s="57" t="s">
        <v>1765</v>
      </c>
      <c r="D178" s="57" t="s">
        <v>1766</v>
      </c>
      <c r="E178" s="57" t="n">
        <v>23</v>
      </c>
      <c r="F178" s="57"/>
      <c r="G178" s="57" t="s">
        <v>208</v>
      </c>
      <c r="H178" s="57" t="s">
        <v>228</v>
      </c>
      <c r="I178" s="57" t="s">
        <v>1347</v>
      </c>
      <c r="J178" s="57" t="s">
        <v>304</v>
      </c>
      <c r="K178" s="57" t="s">
        <v>308</v>
      </c>
      <c r="L178" s="57" t="s">
        <v>309</v>
      </c>
      <c r="M178" s="58" t="n">
        <v>44684</v>
      </c>
      <c r="N178" s="58" t="n">
        <v>46509</v>
      </c>
      <c r="O178" s="58" t="n">
        <v>44788</v>
      </c>
      <c r="P178" s="57" t="s">
        <v>1336</v>
      </c>
      <c r="Q178" s="57" t="s">
        <v>1317</v>
      </c>
      <c r="R178" s="57" t="s">
        <v>1318</v>
      </c>
      <c r="S178" s="57" t="n">
        <v>0</v>
      </c>
      <c r="T178" s="57" t="n">
        <v>0</v>
      </c>
      <c r="U178" s="57" t="n">
        <v>0</v>
      </c>
      <c r="V178" s="57" t="n">
        <v>0</v>
      </c>
      <c r="W178" s="57" t="n">
        <v>0</v>
      </c>
      <c r="X178" s="57" t="n">
        <v>0</v>
      </c>
      <c r="Y178" s="57" t="s">
        <v>1337</v>
      </c>
      <c r="Z178" s="57" t="s">
        <v>1338</v>
      </c>
      <c r="AA178" s="57" t="s">
        <v>285</v>
      </c>
      <c r="AB178" s="57" t="s">
        <v>347</v>
      </c>
      <c r="AC178" s="57" t="str">
        <f aca="false">IFERROR(INDEX(dp_geo,MATCH(B178,dp_id,0)),"Unmatched")</f>
        <v>Rest of City</v>
      </c>
      <c r="AD178" s="57" t="n">
        <f aca="false">IF(M178="","",YEAR(M178))</f>
        <v>2022</v>
      </c>
      <c r="AE178" s="57" t="n">
        <f aca="false">IF(O178="","",YEAR(O178))</f>
        <v>2022</v>
      </c>
      <c r="AF178" s="57" t="n">
        <f aca="false">IF(N178="","",YEAR(N178))</f>
        <v>2027</v>
      </c>
      <c r="AG178" s="57" t="n">
        <f aca="false">IF(AND(H178="Yes",OR(G178="Complete",G178="Under construction",G178="Permitted – not started",G178="Stalled")),1,0)</f>
        <v>1</v>
      </c>
      <c r="AH178" s="57" t="n">
        <f aca="false">IF(OR(G178="Under construction",G178="Permitted – not started",G178="Stalled"),1,0)</f>
        <v>0</v>
      </c>
    </row>
    <row r="179" customFormat="false" ht="15" hidden="false" customHeight="false" outlineLevel="0" collapsed="false">
      <c r="A179" s="57" t="s">
        <v>1767</v>
      </c>
      <c r="B179" s="57" t="s">
        <v>1065</v>
      </c>
      <c r="C179" s="57" t="s">
        <v>1768</v>
      </c>
      <c r="D179" s="57" t="s">
        <v>1066</v>
      </c>
      <c r="E179" s="57" t="n">
        <v>4</v>
      </c>
      <c r="F179" s="57"/>
      <c r="G179" s="57" t="s">
        <v>58</v>
      </c>
      <c r="H179" s="57" t="s">
        <v>228</v>
      </c>
      <c r="I179" s="57" t="s">
        <v>1347</v>
      </c>
      <c r="J179" s="57" t="s">
        <v>304</v>
      </c>
      <c r="K179" s="57" t="s">
        <v>308</v>
      </c>
      <c r="L179" s="57" t="s">
        <v>309</v>
      </c>
      <c r="M179" s="58" t="n">
        <v>46233</v>
      </c>
      <c r="N179" s="58" t="n">
        <v>48059</v>
      </c>
      <c r="O179" s="58"/>
      <c r="P179" s="57" t="s">
        <v>1317</v>
      </c>
      <c r="Q179" s="57" t="s">
        <v>1425</v>
      </c>
      <c r="R179" s="57" t="s">
        <v>1526</v>
      </c>
      <c r="S179" s="57" t="n">
        <v>0</v>
      </c>
      <c r="T179" s="57" t="n">
        <v>0</v>
      </c>
      <c r="U179" s="57" t="n">
        <v>1.2</v>
      </c>
      <c r="V179" s="57" t="n">
        <v>2.8</v>
      </c>
      <c r="W179" s="57" t="n">
        <v>0</v>
      </c>
      <c r="X179" s="57" t="n">
        <v>0</v>
      </c>
      <c r="Y179" s="57" t="s">
        <v>1307</v>
      </c>
      <c r="Z179" s="57"/>
      <c r="AA179" s="57" t="s">
        <v>285</v>
      </c>
      <c r="AB179" s="57" t="s">
        <v>347</v>
      </c>
      <c r="AC179" s="57" t="str">
        <f aca="false">IFERROR(INDEX(dp_geo,MATCH(B179,dp_id,0)),"Unmatched")</f>
        <v>Rest of City</v>
      </c>
      <c r="AD179" s="57" t="n">
        <f aca="false">IF(M179="","",YEAR(M179))</f>
        <v>2026</v>
      </c>
      <c r="AE179" s="57" t="str">
        <f aca="false">IF(O179="","",YEAR(O179))</f>
        <v/>
      </c>
      <c r="AF179" s="57" t="n">
        <f aca="false">IF(N179="","",YEAR(N179))</f>
        <v>2031</v>
      </c>
      <c r="AG179" s="57" t="n">
        <f aca="false">IF(AND(H179="Yes",OR(G179="Complete",G179="Under construction",G179="Permitted – not started",G179="Stalled")),1,0)</f>
        <v>1</v>
      </c>
      <c r="AH179" s="57" t="n">
        <f aca="false">IF(OR(G179="Under construction",G179="Permitted – not started",G179="Stalled"),1,0)</f>
        <v>1</v>
      </c>
    </row>
    <row r="180" customFormat="false" ht="15" hidden="false" customHeight="false" outlineLevel="0" collapsed="false">
      <c r="A180" s="57" t="s">
        <v>1769</v>
      </c>
      <c r="B180" s="57" t="s">
        <v>709</v>
      </c>
      <c r="C180" s="57" t="s">
        <v>1770</v>
      </c>
      <c r="D180" s="57" t="s">
        <v>1771</v>
      </c>
      <c r="E180" s="57" t="n">
        <v>250</v>
      </c>
      <c r="F180" s="57"/>
      <c r="G180" s="57" t="s">
        <v>56</v>
      </c>
      <c r="H180" s="57" t="s">
        <v>228</v>
      </c>
      <c r="I180" s="57" t="s">
        <v>1310</v>
      </c>
      <c r="J180" s="57" t="s">
        <v>184</v>
      </c>
      <c r="K180" s="57" t="s">
        <v>310</v>
      </c>
      <c r="L180" s="57" t="s">
        <v>313</v>
      </c>
      <c r="M180" s="58" t="n">
        <v>44390</v>
      </c>
      <c r="N180" s="58"/>
      <c r="O180" s="58" t="n">
        <v>46232</v>
      </c>
      <c r="P180" s="57" t="s">
        <v>1656</v>
      </c>
      <c r="Q180" s="57" t="s">
        <v>1772</v>
      </c>
      <c r="R180" s="57" t="s">
        <v>1318</v>
      </c>
      <c r="S180" s="57" t="n">
        <v>0</v>
      </c>
      <c r="T180" s="57" t="n">
        <v>26.9</v>
      </c>
      <c r="U180" s="57" t="n">
        <v>62.9</v>
      </c>
      <c r="V180" s="57" t="n">
        <v>62.9</v>
      </c>
      <c r="W180" s="57" t="n">
        <v>62.9</v>
      </c>
      <c r="X180" s="57" t="n">
        <v>34.4</v>
      </c>
      <c r="Y180" s="57" t="s">
        <v>1307</v>
      </c>
      <c r="Z180" s="57"/>
      <c r="AA180" s="57" t="s">
        <v>286</v>
      </c>
      <c r="AB180" s="57" t="s">
        <v>347</v>
      </c>
      <c r="AC180" s="57" t="str">
        <f aca="false">IFERROR(INDEX(dp_geo,MATCH(B180,dp_id,0)),"Unmatched")</f>
        <v>Rest of City</v>
      </c>
      <c r="AD180" s="57" t="n">
        <f aca="false">IF(M180="","",YEAR(M180))</f>
        <v>2021</v>
      </c>
      <c r="AE180" s="57" t="n">
        <f aca="false">IF(O180="","",YEAR(O180))</f>
        <v>2026</v>
      </c>
      <c r="AF180" s="57" t="str">
        <f aca="false">IF(N180="","",YEAR(N180))</f>
        <v/>
      </c>
      <c r="AG180" s="57" t="n">
        <f aca="false">IF(AND(H180="Yes",OR(G180="Complete",G180="Under construction",G180="Permitted – not started",G180="Stalled")),1,0)</f>
        <v>1</v>
      </c>
      <c r="AH180" s="57" t="n">
        <f aca="false">IF(OR(G180="Under construction",G180="Permitted – not started",G180="Stalled"),1,0)</f>
        <v>1</v>
      </c>
    </row>
    <row r="181" customFormat="false" ht="15" hidden="false" customHeight="false" outlineLevel="0" collapsed="false">
      <c r="A181" s="57" t="s">
        <v>1773</v>
      </c>
      <c r="B181" s="57" t="s">
        <v>325</v>
      </c>
      <c r="C181" s="57" t="s">
        <v>1774</v>
      </c>
      <c r="D181" s="57" t="s">
        <v>1775</v>
      </c>
      <c r="E181" s="57" t="n">
        <v>169</v>
      </c>
      <c r="F181" s="57"/>
      <c r="G181" s="57" t="s">
        <v>58</v>
      </c>
      <c r="H181" s="57" t="s">
        <v>228</v>
      </c>
      <c r="I181" s="57" t="s">
        <v>1347</v>
      </c>
      <c r="J181" s="57" t="s">
        <v>304</v>
      </c>
      <c r="K181" s="57" t="s">
        <v>308</v>
      </c>
      <c r="L181" s="57" t="s">
        <v>311</v>
      </c>
      <c r="M181" s="58" t="n">
        <v>46233</v>
      </c>
      <c r="N181" s="58" t="n">
        <v>48059</v>
      </c>
      <c r="O181" s="58"/>
      <c r="P181" s="57" t="s">
        <v>1500</v>
      </c>
      <c r="Q181" s="57" t="s">
        <v>1772</v>
      </c>
      <c r="R181" s="57" t="s">
        <v>1526</v>
      </c>
      <c r="S181" s="57" t="n">
        <v>0</v>
      </c>
      <c r="T181" s="57" t="n">
        <v>0</v>
      </c>
      <c r="U181" s="57" t="n">
        <v>0</v>
      </c>
      <c r="V181" s="57" t="n">
        <v>50.3</v>
      </c>
      <c r="W181" s="57" t="n">
        <v>71.5</v>
      </c>
      <c r="X181" s="57" t="n">
        <v>47.2</v>
      </c>
      <c r="Y181" s="57" t="s">
        <v>1307</v>
      </c>
      <c r="Z181" s="57"/>
      <c r="AA181" s="57" t="s">
        <v>286</v>
      </c>
      <c r="AB181" s="57" t="s">
        <v>347</v>
      </c>
      <c r="AC181" s="57" t="str">
        <f aca="false">IFERROR(INDEX(dp_geo,MATCH(B181,dp_id,0)),"Unmatched")</f>
        <v>Rest of City</v>
      </c>
      <c r="AD181" s="57" t="n">
        <f aca="false">IF(M181="","",YEAR(M181))</f>
        <v>2026</v>
      </c>
      <c r="AE181" s="57" t="str">
        <f aca="false">IF(O181="","",YEAR(O181))</f>
        <v/>
      </c>
      <c r="AF181" s="57" t="n">
        <f aca="false">IF(N181="","",YEAR(N181))</f>
        <v>2031</v>
      </c>
      <c r="AG181" s="57" t="n">
        <f aca="false">IF(AND(H181="Yes",OR(G181="Complete",G181="Under construction",G181="Permitted – not started",G181="Stalled")),1,0)</f>
        <v>1</v>
      </c>
      <c r="AH181" s="57" t="n">
        <f aca="false">IF(OR(G181="Under construction",G181="Permitted – not started",G181="Stalled"),1,0)</f>
        <v>1</v>
      </c>
    </row>
    <row r="182" customFormat="false" ht="15" hidden="false" customHeight="false" outlineLevel="0" collapsed="false">
      <c r="A182" s="57" t="s">
        <v>1776</v>
      </c>
      <c r="B182" s="57" t="s">
        <v>950</v>
      </c>
      <c r="C182" s="57" t="s">
        <v>1777</v>
      </c>
      <c r="D182" s="57" t="s">
        <v>886</v>
      </c>
      <c r="E182" s="57" t="n">
        <v>11</v>
      </c>
      <c r="F182" s="57"/>
      <c r="G182" s="57" t="s">
        <v>58</v>
      </c>
      <c r="H182" s="57" t="s">
        <v>228</v>
      </c>
      <c r="I182" s="57" t="s">
        <v>1310</v>
      </c>
      <c r="J182" s="57" t="s">
        <v>304</v>
      </c>
      <c r="K182" s="57" t="s">
        <v>308</v>
      </c>
      <c r="L182" s="57" t="s">
        <v>309</v>
      </c>
      <c r="M182" s="58" t="n">
        <v>44599</v>
      </c>
      <c r="N182" s="58" t="n">
        <v>46424</v>
      </c>
      <c r="O182" s="58"/>
      <c r="P182" s="57" t="s">
        <v>1311</v>
      </c>
      <c r="Q182" s="57" t="s">
        <v>1312</v>
      </c>
      <c r="R182" s="57" t="s">
        <v>1313</v>
      </c>
      <c r="S182" s="57" t="n">
        <v>0</v>
      </c>
      <c r="T182" s="57" t="n">
        <v>0</v>
      </c>
      <c r="U182" s="57" t="n">
        <v>6.4</v>
      </c>
      <c r="V182" s="57" t="n">
        <v>4.6</v>
      </c>
      <c r="W182" s="57" t="n">
        <v>0</v>
      </c>
      <c r="X182" s="57" t="n">
        <v>0</v>
      </c>
      <c r="Y182" s="57" t="s">
        <v>1307</v>
      </c>
      <c r="Z182" s="57"/>
      <c r="AA182" s="57" t="s">
        <v>284</v>
      </c>
      <c r="AB182" s="57" t="s">
        <v>347</v>
      </c>
      <c r="AC182" s="57" t="str">
        <f aca="false">IFERROR(INDEX(dp_geo,MATCH(B182,dp_id,0)),"Unmatched")</f>
        <v>Rest of City</v>
      </c>
      <c r="AD182" s="57" t="n">
        <f aca="false">IF(M182="","",YEAR(M182))</f>
        <v>2022</v>
      </c>
      <c r="AE182" s="57" t="str">
        <f aca="false">IF(O182="","",YEAR(O182))</f>
        <v/>
      </c>
      <c r="AF182" s="57" t="n">
        <f aca="false">IF(N182="","",YEAR(N182))</f>
        <v>2027</v>
      </c>
      <c r="AG182" s="57" t="n">
        <f aca="false">IF(AND(H182="Yes",OR(G182="Complete",G182="Under construction",G182="Permitted – not started",G182="Stalled")),1,0)</f>
        <v>1</v>
      </c>
      <c r="AH182" s="57" t="n">
        <f aca="false">IF(OR(G182="Under construction",G182="Permitted – not started",G182="Stalled"),1,0)</f>
        <v>1</v>
      </c>
    </row>
    <row r="183" customFormat="false" ht="15" hidden="false" customHeight="false" outlineLevel="0" collapsed="false">
      <c r="A183" s="57" t="s">
        <v>1778</v>
      </c>
      <c r="B183" s="57" t="s">
        <v>774</v>
      </c>
      <c r="C183" s="57" t="s">
        <v>1779</v>
      </c>
      <c r="D183" s="57" t="s">
        <v>775</v>
      </c>
      <c r="E183" s="57" t="n">
        <v>61</v>
      </c>
      <c r="F183" s="57"/>
      <c r="G183" s="57" t="s">
        <v>56</v>
      </c>
      <c r="H183" s="57" t="s">
        <v>228</v>
      </c>
      <c r="I183" s="57" t="s">
        <v>1310</v>
      </c>
      <c r="J183" s="57" t="s">
        <v>304</v>
      </c>
      <c r="K183" s="57" t="s">
        <v>308</v>
      </c>
      <c r="L183" s="57" t="s">
        <v>309</v>
      </c>
      <c r="M183" s="58" t="n">
        <v>44684</v>
      </c>
      <c r="N183" s="58" t="n">
        <v>46509</v>
      </c>
      <c r="O183" s="58" t="n">
        <v>44820</v>
      </c>
      <c r="P183" s="57" t="s">
        <v>1336</v>
      </c>
      <c r="Q183" s="57" t="s">
        <v>1317</v>
      </c>
      <c r="R183" s="57" t="s">
        <v>1318</v>
      </c>
      <c r="S183" s="57" t="n">
        <v>14.2</v>
      </c>
      <c r="T183" s="57" t="n">
        <v>46.8</v>
      </c>
      <c r="U183" s="57" t="n">
        <v>0</v>
      </c>
      <c r="V183" s="57" t="n">
        <v>0</v>
      </c>
      <c r="W183" s="57" t="n">
        <v>0</v>
      </c>
      <c r="X183" s="57" t="n">
        <v>0</v>
      </c>
      <c r="Y183" s="57" t="s">
        <v>1307</v>
      </c>
      <c r="Z183" s="57"/>
      <c r="AA183" s="57" t="s">
        <v>348</v>
      </c>
      <c r="AB183" s="57" t="s">
        <v>349</v>
      </c>
      <c r="AC183" s="57" t="str">
        <f aca="false">IFERROR(INDEX(dp_geo,MATCH(B183,dp_id,0)),"Unmatched")</f>
        <v>Settlements</v>
      </c>
      <c r="AD183" s="57" t="n">
        <f aca="false">IF(M183="","",YEAR(M183))</f>
        <v>2022</v>
      </c>
      <c r="AE183" s="57" t="n">
        <f aca="false">IF(O183="","",YEAR(O183))</f>
        <v>2022</v>
      </c>
      <c r="AF183" s="57" t="n">
        <f aca="false">IF(N183="","",YEAR(N183))</f>
        <v>2027</v>
      </c>
      <c r="AG183" s="57" t="n">
        <f aca="false">IF(AND(H183="Yes",OR(G183="Complete",G183="Under construction",G183="Permitted – not started",G183="Stalled")),1,0)</f>
        <v>1</v>
      </c>
      <c r="AH183" s="57" t="n">
        <f aca="false">IF(OR(G183="Under construction",G183="Permitted – not started",G183="Stalled"),1,0)</f>
        <v>1</v>
      </c>
    </row>
    <row r="184" customFormat="false" ht="15" hidden="false" customHeight="false" outlineLevel="0" collapsed="false">
      <c r="A184" s="57" t="s">
        <v>1780</v>
      </c>
      <c r="B184" s="57" t="s">
        <v>774</v>
      </c>
      <c r="C184" s="57" t="s">
        <v>1781</v>
      </c>
      <c r="D184" s="57" t="s">
        <v>1782</v>
      </c>
      <c r="E184" s="57" t="n">
        <v>12</v>
      </c>
      <c r="F184" s="57"/>
      <c r="G184" s="57" t="s">
        <v>56</v>
      </c>
      <c r="H184" s="57" t="s">
        <v>228</v>
      </c>
      <c r="I184" s="57" t="s">
        <v>1347</v>
      </c>
      <c r="J184" s="57" t="s">
        <v>304</v>
      </c>
      <c r="K184" s="57" t="s">
        <v>308</v>
      </c>
      <c r="L184" s="57" t="s">
        <v>309</v>
      </c>
      <c r="M184" s="58" t="n">
        <v>45413</v>
      </c>
      <c r="N184" s="58" t="n">
        <v>46509</v>
      </c>
      <c r="O184" s="58" t="n">
        <v>45565</v>
      </c>
      <c r="P184" s="57" t="s">
        <v>1468</v>
      </c>
      <c r="Q184" s="57" t="s">
        <v>1317</v>
      </c>
      <c r="R184" s="57" t="s">
        <v>1318</v>
      </c>
      <c r="S184" s="57" t="n">
        <v>2.8</v>
      </c>
      <c r="T184" s="57" t="n">
        <v>9.2</v>
      </c>
      <c r="U184" s="57" t="n">
        <v>0</v>
      </c>
      <c r="V184" s="57" t="n">
        <v>0</v>
      </c>
      <c r="W184" s="57" t="n">
        <v>0</v>
      </c>
      <c r="X184" s="57" t="n">
        <v>0</v>
      </c>
      <c r="Y184" s="57" t="s">
        <v>1307</v>
      </c>
      <c r="Z184" s="57"/>
      <c r="AA184" s="57" t="s">
        <v>348</v>
      </c>
      <c r="AB184" s="57" t="s">
        <v>349</v>
      </c>
      <c r="AC184" s="57" t="str">
        <f aca="false">IFERROR(INDEX(dp_geo,MATCH(B184,dp_id,0)),"Unmatched")</f>
        <v>Settlements</v>
      </c>
      <c r="AD184" s="57" t="n">
        <f aca="false">IF(M184="","",YEAR(M184))</f>
        <v>2024</v>
      </c>
      <c r="AE184" s="57" t="n">
        <f aca="false">IF(O184="","",YEAR(O184))</f>
        <v>2024</v>
      </c>
      <c r="AF184" s="57" t="n">
        <f aca="false">IF(N184="","",YEAR(N184))</f>
        <v>2027</v>
      </c>
      <c r="AG184" s="57" t="n">
        <f aca="false">IF(AND(H184="Yes",OR(G184="Complete",G184="Under construction",G184="Permitted – not started",G184="Stalled")),1,0)</f>
        <v>1</v>
      </c>
      <c r="AH184" s="57" t="n">
        <f aca="false">IF(OR(G184="Under construction",G184="Permitted – not started",G184="Stalled"),1,0)</f>
        <v>1</v>
      </c>
    </row>
    <row r="185" customFormat="false" ht="15" hidden="false" customHeight="false" outlineLevel="0" collapsed="false">
      <c r="A185" s="57" t="s">
        <v>1783</v>
      </c>
      <c r="B185" s="57" t="s">
        <v>810</v>
      </c>
      <c r="C185" s="57" t="s">
        <v>1784</v>
      </c>
      <c r="D185" s="57" t="s">
        <v>811</v>
      </c>
      <c r="E185" s="57" t="n">
        <v>18</v>
      </c>
      <c r="F185" s="57"/>
      <c r="G185" s="57" t="s">
        <v>56</v>
      </c>
      <c r="H185" s="57" t="s">
        <v>228</v>
      </c>
      <c r="I185" s="57" t="s">
        <v>1347</v>
      </c>
      <c r="J185" s="57" t="s">
        <v>184</v>
      </c>
      <c r="K185" s="57" t="s">
        <v>310</v>
      </c>
      <c r="L185" s="57" t="s">
        <v>313</v>
      </c>
      <c r="M185" s="58" t="n">
        <v>44617</v>
      </c>
      <c r="N185" s="58"/>
      <c r="O185" s="58" t="n">
        <v>45834</v>
      </c>
      <c r="P185" s="57" t="s">
        <v>1433</v>
      </c>
      <c r="Q185" s="57" t="s">
        <v>1317</v>
      </c>
      <c r="R185" s="57" t="s">
        <v>1318</v>
      </c>
      <c r="S185" s="57" t="n">
        <v>4.2</v>
      </c>
      <c r="T185" s="57" t="n">
        <v>13.8</v>
      </c>
      <c r="U185" s="57" t="n">
        <v>0</v>
      </c>
      <c r="V185" s="57" t="n">
        <v>0</v>
      </c>
      <c r="W185" s="57" t="n">
        <v>0</v>
      </c>
      <c r="X185" s="57" t="n">
        <v>0</v>
      </c>
      <c r="Y185" s="57" t="s">
        <v>1307</v>
      </c>
      <c r="Z185" s="57"/>
      <c r="AA185" s="57" t="s">
        <v>365</v>
      </c>
      <c r="AB185" s="57" t="s">
        <v>365</v>
      </c>
      <c r="AC185" s="57" t="str">
        <f aca="false">IFERROR(INDEX(dp_geo,MATCH(B185,dp_id,0)),"Unmatched")</f>
        <v>Remainder of County</v>
      </c>
      <c r="AD185" s="57" t="n">
        <f aca="false">IF(M185="","",YEAR(M185))</f>
        <v>2022</v>
      </c>
      <c r="AE185" s="57" t="n">
        <f aca="false">IF(O185="","",YEAR(O185))</f>
        <v>2025</v>
      </c>
      <c r="AF185" s="57" t="str">
        <f aca="false">IF(N185="","",YEAR(N185))</f>
        <v/>
      </c>
      <c r="AG185" s="57" t="n">
        <f aca="false">IF(AND(H185="Yes",OR(G185="Complete",G185="Under construction",G185="Permitted – not started",G185="Stalled")),1,0)</f>
        <v>1</v>
      </c>
      <c r="AH185" s="57" t="n">
        <f aca="false">IF(OR(G185="Under construction",G185="Permitted – not started",G185="Stalled"),1,0)</f>
        <v>1</v>
      </c>
    </row>
    <row r="186" customFormat="false" ht="15" hidden="false" customHeight="false" outlineLevel="0" collapsed="false">
      <c r="A186" s="57" t="s">
        <v>1785</v>
      </c>
      <c r="B186" s="57" t="s">
        <v>576</v>
      </c>
      <c r="C186" s="57" t="s">
        <v>1786</v>
      </c>
      <c r="D186" s="57" t="s">
        <v>1787</v>
      </c>
      <c r="E186" s="57" t="n">
        <v>65</v>
      </c>
      <c r="F186" s="57"/>
      <c r="G186" s="57" t="s">
        <v>208</v>
      </c>
      <c r="H186" s="57" t="s">
        <v>228</v>
      </c>
      <c r="I186" s="57" t="s">
        <v>1305</v>
      </c>
      <c r="J186" s="57" t="s">
        <v>304</v>
      </c>
      <c r="K186" s="57" t="s">
        <v>308</v>
      </c>
      <c r="L186" s="57" t="s">
        <v>309</v>
      </c>
      <c r="M186" s="58" t="n">
        <v>44391</v>
      </c>
      <c r="N186" s="58" t="n">
        <v>46345</v>
      </c>
      <c r="O186" s="58" t="n">
        <v>44802</v>
      </c>
      <c r="P186" s="57"/>
      <c r="Q186" s="57"/>
      <c r="R186" s="57" t="s">
        <v>1306</v>
      </c>
      <c r="S186" s="57" t="n">
        <v>0</v>
      </c>
      <c r="T186" s="57" t="n">
        <v>0</v>
      </c>
      <c r="U186" s="57" t="n">
        <v>0</v>
      </c>
      <c r="V186" s="57" t="n">
        <v>0</v>
      </c>
      <c r="W186" s="57" t="n">
        <v>0</v>
      </c>
      <c r="X186" s="57" t="n">
        <v>0</v>
      </c>
      <c r="Y186" s="57" t="s">
        <v>1307</v>
      </c>
      <c r="Z186" s="57" t="s">
        <v>1331</v>
      </c>
      <c r="AA186" s="57" t="s">
        <v>284</v>
      </c>
      <c r="AB186" s="57" t="s">
        <v>347</v>
      </c>
      <c r="AC186" s="57" t="str">
        <f aca="false">IFERROR(INDEX(dp_geo,MATCH(B186,dp_id,0)),"Unmatched")</f>
        <v>Rest of City</v>
      </c>
      <c r="AD186" s="57" t="n">
        <f aca="false">IF(M186="","",YEAR(M186))</f>
        <v>2021</v>
      </c>
      <c r="AE186" s="57" t="n">
        <f aca="false">IF(O186="","",YEAR(O186))</f>
        <v>2022</v>
      </c>
      <c r="AF186" s="57" t="n">
        <f aca="false">IF(N186="","",YEAR(N186))</f>
        <v>2026</v>
      </c>
      <c r="AG186" s="57" t="n">
        <f aca="false">IF(AND(H186="Yes",OR(G186="Complete",G186="Under construction",G186="Permitted – not started",G186="Stalled")),1,0)</f>
        <v>1</v>
      </c>
      <c r="AH186" s="57" t="n">
        <f aca="false">IF(OR(G186="Under construction",G186="Permitted – not started",G186="Stalled"),1,0)</f>
        <v>0</v>
      </c>
    </row>
    <row r="187" customFormat="false" ht="15" hidden="false" customHeight="false" outlineLevel="0" collapsed="false">
      <c r="A187" s="57" t="s">
        <v>1788</v>
      </c>
      <c r="B187" s="57" t="s">
        <v>576</v>
      </c>
      <c r="C187" s="57" t="s">
        <v>1789</v>
      </c>
      <c r="D187" s="57" t="s">
        <v>1790</v>
      </c>
      <c r="E187" s="57" t="n">
        <v>167</v>
      </c>
      <c r="F187" s="57"/>
      <c r="G187" s="57" t="s">
        <v>56</v>
      </c>
      <c r="H187" s="57" t="s">
        <v>228</v>
      </c>
      <c r="I187" s="57" t="s">
        <v>1676</v>
      </c>
      <c r="J187" s="57" t="s">
        <v>304</v>
      </c>
      <c r="K187" s="57" t="s">
        <v>308</v>
      </c>
      <c r="L187" s="57" t="s">
        <v>311</v>
      </c>
      <c r="M187" s="58" t="n">
        <v>45527</v>
      </c>
      <c r="N187" s="58" t="n">
        <v>47352</v>
      </c>
      <c r="O187" s="58" t="n">
        <v>45904</v>
      </c>
      <c r="P187" s="57" t="s">
        <v>1791</v>
      </c>
      <c r="Q187" s="57" t="s">
        <v>1348</v>
      </c>
      <c r="R187" s="57" t="s">
        <v>1318</v>
      </c>
      <c r="S187" s="57" t="n">
        <v>17.4</v>
      </c>
      <c r="T187" s="57" t="n">
        <v>74.9</v>
      </c>
      <c r="U187" s="57" t="n">
        <v>74.6</v>
      </c>
      <c r="V187" s="57" t="n">
        <v>0</v>
      </c>
      <c r="W187" s="57" t="n">
        <v>0</v>
      </c>
      <c r="X187" s="57" t="n">
        <v>0.1</v>
      </c>
      <c r="Y187" s="57" t="s">
        <v>1307</v>
      </c>
      <c r="Z187" s="57"/>
      <c r="AA187" s="57" t="s">
        <v>284</v>
      </c>
      <c r="AB187" s="57" t="s">
        <v>347</v>
      </c>
      <c r="AC187" s="57" t="str">
        <f aca="false">IFERROR(INDEX(dp_geo,MATCH(B187,dp_id,0)),"Unmatched")</f>
        <v>Rest of City</v>
      </c>
      <c r="AD187" s="57" t="n">
        <f aca="false">IF(M187="","",YEAR(M187))</f>
        <v>2024</v>
      </c>
      <c r="AE187" s="57" t="n">
        <f aca="false">IF(O187="","",YEAR(O187))</f>
        <v>2025</v>
      </c>
      <c r="AF187" s="57" t="n">
        <f aca="false">IF(N187="","",YEAR(N187))</f>
        <v>2029</v>
      </c>
      <c r="AG187" s="57" t="n">
        <f aca="false">IF(AND(H187="Yes",OR(G187="Complete",G187="Under construction",G187="Permitted – not started",G187="Stalled")),1,0)</f>
        <v>1</v>
      </c>
      <c r="AH187" s="57" t="n">
        <f aca="false">IF(OR(G187="Under construction",G187="Permitted – not started",G187="Stalled"),1,0)</f>
        <v>1</v>
      </c>
    </row>
    <row r="188" customFormat="false" ht="15" hidden="false" customHeight="false" outlineLevel="0" collapsed="false">
      <c r="A188" s="57" t="s">
        <v>1792</v>
      </c>
      <c r="B188" s="57" t="s">
        <v>654</v>
      </c>
      <c r="C188" s="57" t="s">
        <v>1793</v>
      </c>
      <c r="D188" s="57" t="s">
        <v>1794</v>
      </c>
      <c r="E188" s="57" t="n">
        <v>14</v>
      </c>
      <c r="F188" s="57"/>
      <c r="G188" s="57" t="s">
        <v>58</v>
      </c>
      <c r="H188" s="57" t="s">
        <v>228</v>
      </c>
      <c r="I188" s="57" t="s">
        <v>1310</v>
      </c>
      <c r="J188" s="57" t="s">
        <v>304</v>
      </c>
      <c r="K188" s="57" t="s">
        <v>308</v>
      </c>
      <c r="L188" s="57" t="s">
        <v>309</v>
      </c>
      <c r="M188" s="58" t="n">
        <v>44609</v>
      </c>
      <c r="N188" s="58" t="n">
        <v>46434</v>
      </c>
      <c r="O188" s="58"/>
      <c r="P188" s="57" t="s">
        <v>1311</v>
      </c>
      <c r="Q188" s="57" t="s">
        <v>1312</v>
      </c>
      <c r="R188" s="57" t="s">
        <v>1313</v>
      </c>
      <c r="S188" s="57" t="n">
        <v>0</v>
      </c>
      <c r="T188" s="57" t="n">
        <v>0</v>
      </c>
      <c r="U188" s="57" t="n">
        <v>8.2</v>
      </c>
      <c r="V188" s="57" t="n">
        <v>5.8</v>
      </c>
      <c r="W188" s="57" t="n">
        <v>0</v>
      </c>
      <c r="X188" s="57" t="n">
        <v>0</v>
      </c>
      <c r="Y188" s="57" t="s">
        <v>1307</v>
      </c>
      <c r="Z188" s="57"/>
      <c r="AA188" s="57" t="s">
        <v>288</v>
      </c>
      <c r="AB188" s="57" t="s">
        <v>347</v>
      </c>
      <c r="AC188" s="57" t="str">
        <f aca="false">IFERROR(INDEX(dp_geo,MATCH(B188,dp_id,0)),"Unmatched")</f>
        <v>Rest of City</v>
      </c>
      <c r="AD188" s="57" t="n">
        <f aca="false">IF(M188="","",YEAR(M188))</f>
        <v>2022</v>
      </c>
      <c r="AE188" s="57" t="str">
        <f aca="false">IF(O188="","",YEAR(O188))</f>
        <v/>
      </c>
      <c r="AF188" s="57" t="n">
        <f aca="false">IF(N188="","",YEAR(N188))</f>
        <v>2027</v>
      </c>
      <c r="AG188" s="57" t="n">
        <f aca="false">IF(AND(H188="Yes",OR(G188="Complete",G188="Under construction",G188="Permitted – not started",G188="Stalled")),1,0)</f>
        <v>1</v>
      </c>
      <c r="AH188" s="57" t="n">
        <f aca="false">IF(OR(G188="Under construction",G188="Permitted – not started",G188="Stalled"),1,0)</f>
        <v>1</v>
      </c>
    </row>
    <row r="189" customFormat="false" ht="15" hidden="false" customHeight="false" outlineLevel="0" collapsed="false">
      <c r="A189" s="57" t="s">
        <v>1795</v>
      </c>
      <c r="B189" s="57" t="s">
        <v>983</v>
      </c>
      <c r="C189" s="57" t="s">
        <v>1796</v>
      </c>
      <c r="D189" s="57" t="s">
        <v>984</v>
      </c>
      <c r="E189" s="57" t="n">
        <v>8</v>
      </c>
      <c r="F189" s="57"/>
      <c r="G189" s="57" t="s">
        <v>58</v>
      </c>
      <c r="H189" s="57" t="s">
        <v>228</v>
      </c>
      <c r="I189" s="57" t="s">
        <v>1347</v>
      </c>
      <c r="J189" s="57" t="s">
        <v>304</v>
      </c>
      <c r="K189" s="57" t="s">
        <v>308</v>
      </c>
      <c r="L189" s="57" t="s">
        <v>309</v>
      </c>
      <c r="M189" s="58" t="n">
        <v>45490</v>
      </c>
      <c r="N189" s="58" t="n">
        <v>47315</v>
      </c>
      <c r="O189" s="58"/>
      <c r="P189" s="57" t="s">
        <v>1311</v>
      </c>
      <c r="Q189" s="57" t="s">
        <v>1425</v>
      </c>
      <c r="R189" s="57" t="s">
        <v>1313</v>
      </c>
      <c r="S189" s="57" t="n">
        <v>0</v>
      </c>
      <c r="T189" s="57" t="n">
        <v>0</v>
      </c>
      <c r="U189" s="57" t="n">
        <v>4</v>
      </c>
      <c r="V189" s="57" t="n">
        <v>4</v>
      </c>
      <c r="W189" s="57" t="n">
        <v>0</v>
      </c>
      <c r="X189" s="57" t="n">
        <v>0</v>
      </c>
      <c r="Y189" s="57" t="s">
        <v>1307</v>
      </c>
      <c r="Z189" s="57"/>
      <c r="AA189" s="57" t="s">
        <v>288</v>
      </c>
      <c r="AB189" s="57" t="s">
        <v>347</v>
      </c>
      <c r="AC189" s="57" t="str">
        <f aca="false">IFERROR(INDEX(dp_geo,MATCH(B189,dp_id,0)),"Unmatched")</f>
        <v>Rest of City</v>
      </c>
      <c r="AD189" s="57" t="n">
        <f aca="false">IF(M189="","",YEAR(M189))</f>
        <v>2024</v>
      </c>
      <c r="AE189" s="57" t="str">
        <f aca="false">IF(O189="","",YEAR(O189))</f>
        <v/>
      </c>
      <c r="AF189" s="57" t="n">
        <f aca="false">IF(N189="","",YEAR(N189))</f>
        <v>2029</v>
      </c>
      <c r="AG189" s="57" t="n">
        <f aca="false">IF(AND(H189="Yes",OR(G189="Complete",G189="Under construction",G189="Permitted – not started",G189="Stalled")),1,0)</f>
        <v>1</v>
      </c>
      <c r="AH189" s="57" t="n">
        <f aca="false">IF(OR(G189="Under construction",G189="Permitted – not started",G189="Stalled"),1,0)</f>
        <v>1</v>
      </c>
    </row>
    <row r="190" customFormat="false" ht="15" hidden="false" customHeight="false" outlineLevel="0" collapsed="false">
      <c r="A190" s="57" t="s">
        <v>1797</v>
      </c>
      <c r="B190" s="57" t="s">
        <v>772</v>
      </c>
      <c r="C190" s="57" t="s">
        <v>1798</v>
      </c>
      <c r="D190" s="57" t="s">
        <v>1799</v>
      </c>
      <c r="E190" s="57" t="n">
        <v>37</v>
      </c>
      <c r="F190" s="57"/>
      <c r="G190" s="57" t="s">
        <v>58</v>
      </c>
      <c r="H190" s="57" t="s">
        <v>228</v>
      </c>
      <c r="I190" s="57" t="s">
        <v>1310</v>
      </c>
      <c r="J190" s="57" t="s">
        <v>304</v>
      </c>
      <c r="K190" s="57" t="s">
        <v>308</v>
      </c>
      <c r="L190" s="57" t="s">
        <v>309</v>
      </c>
      <c r="M190" s="58" t="n">
        <v>44706</v>
      </c>
      <c r="N190" s="58" t="n">
        <v>46531</v>
      </c>
      <c r="O190" s="58"/>
      <c r="P190" s="57" t="s">
        <v>1311</v>
      </c>
      <c r="Q190" s="57" t="s">
        <v>1312</v>
      </c>
      <c r="R190" s="57" t="s">
        <v>1313</v>
      </c>
      <c r="S190" s="57" t="n">
        <v>0</v>
      </c>
      <c r="T190" s="57" t="n">
        <v>0</v>
      </c>
      <c r="U190" s="57" t="n">
        <v>23</v>
      </c>
      <c r="V190" s="57" t="n">
        <v>14</v>
      </c>
      <c r="W190" s="57" t="n">
        <v>0</v>
      </c>
      <c r="X190" s="57" t="n">
        <v>0</v>
      </c>
      <c r="Y190" s="57" t="s">
        <v>1307</v>
      </c>
      <c r="Z190" s="57"/>
      <c r="AA190" s="57" t="s">
        <v>258</v>
      </c>
      <c r="AB190" s="57" t="s">
        <v>347</v>
      </c>
      <c r="AC190" s="57" t="str">
        <f aca="false">IFERROR(INDEX(dp_geo,MATCH(B190,dp_id,0)),"Unmatched")</f>
        <v>City Centre</v>
      </c>
      <c r="AD190" s="57" t="n">
        <f aca="false">IF(M190="","",YEAR(M190))</f>
        <v>2022</v>
      </c>
      <c r="AE190" s="57" t="str">
        <f aca="false">IF(O190="","",YEAR(O190))</f>
        <v/>
      </c>
      <c r="AF190" s="57" t="n">
        <f aca="false">IF(N190="","",YEAR(N190))</f>
        <v>2027</v>
      </c>
      <c r="AG190" s="57" t="n">
        <f aca="false">IF(AND(H190="Yes",OR(G190="Complete",G190="Under construction",G190="Permitted – not started",G190="Stalled")),1,0)</f>
        <v>1</v>
      </c>
      <c r="AH190" s="57" t="n">
        <f aca="false">IF(OR(G190="Under construction",G190="Permitted – not started",G190="Stalled"),1,0)</f>
        <v>1</v>
      </c>
    </row>
    <row r="191" customFormat="false" ht="15" hidden="false" customHeight="false" outlineLevel="0" collapsed="false">
      <c r="A191" s="57" t="s">
        <v>1800</v>
      </c>
      <c r="B191" s="57" t="s">
        <v>772</v>
      </c>
      <c r="C191" s="57" t="s">
        <v>1801</v>
      </c>
      <c r="D191" s="57" t="s">
        <v>773</v>
      </c>
      <c r="E191" s="57" t="n">
        <v>37</v>
      </c>
      <c r="F191" s="57"/>
      <c r="G191" s="57" t="s">
        <v>58</v>
      </c>
      <c r="H191" s="57" t="s">
        <v>228</v>
      </c>
      <c r="I191" s="57" t="s">
        <v>1347</v>
      </c>
      <c r="J191" s="57" t="s">
        <v>304</v>
      </c>
      <c r="K191" s="57" t="s">
        <v>308</v>
      </c>
      <c r="L191" s="57" t="s">
        <v>309</v>
      </c>
      <c r="M191" s="58" t="n">
        <v>45904</v>
      </c>
      <c r="N191" s="58" t="n">
        <v>47729</v>
      </c>
      <c r="O191" s="58"/>
      <c r="P191" s="57" t="s">
        <v>1469</v>
      </c>
      <c r="Q191" s="57" t="s">
        <v>1348</v>
      </c>
      <c r="R191" s="57" t="s">
        <v>1526</v>
      </c>
      <c r="S191" s="57" t="n">
        <v>0</v>
      </c>
      <c r="T191" s="57" t="n">
        <v>0</v>
      </c>
      <c r="U191" s="57" t="n">
        <v>31.4</v>
      </c>
      <c r="V191" s="57" t="n">
        <v>5.6</v>
      </c>
      <c r="W191" s="57" t="n">
        <v>0</v>
      </c>
      <c r="X191" s="57" t="n">
        <v>0</v>
      </c>
      <c r="Y191" s="57" t="s">
        <v>1307</v>
      </c>
      <c r="Z191" s="57"/>
      <c r="AA191" s="57" t="s">
        <v>258</v>
      </c>
      <c r="AB191" s="57" t="s">
        <v>347</v>
      </c>
      <c r="AC191" s="57" t="str">
        <f aca="false">IFERROR(INDEX(dp_geo,MATCH(B191,dp_id,0)),"Unmatched")</f>
        <v>City Centre</v>
      </c>
      <c r="AD191" s="57" t="n">
        <f aca="false">IF(M191="","",YEAR(M191))</f>
        <v>2025</v>
      </c>
      <c r="AE191" s="57" t="str">
        <f aca="false">IF(O191="","",YEAR(O191))</f>
        <v/>
      </c>
      <c r="AF191" s="57" t="n">
        <f aca="false">IF(N191="","",YEAR(N191))</f>
        <v>2030</v>
      </c>
      <c r="AG191" s="57" t="n">
        <f aca="false">IF(AND(H191="Yes",OR(G191="Complete",G191="Under construction",G191="Permitted – not started",G191="Stalled")),1,0)</f>
        <v>1</v>
      </c>
      <c r="AH191" s="57" t="n">
        <f aca="false">IF(OR(G191="Under construction",G191="Permitted – not started",G191="Stalled"),1,0)</f>
        <v>1</v>
      </c>
    </row>
    <row r="192" customFormat="false" ht="15" hidden="false" customHeight="false" outlineLevel="0" collapsed="false">
      <c r="A192" s="57" t="s">
        <v>1802</v>
      </c>
      <c r="B192" s="57" t="s">
        <v>330</v>
      </c>
      <c r="C192" s="57" t="s">
        <v>1803</v>
      </c>
      <c r="D192" s="57" t="s">
        <v>1804</v>
      </c>
      <c r="E192" s="57" t="n">
        <v>99</v>
      </c>
      <c r="F192" s="57"/>
      <c r="G192" s="57" t="s">
        <v>58</v>
      </c>
      <c r="H192" s="57" t="s">
        <v>228</v>
      </c>
      <c r="I192" s="57" t="s">
        <v>1310</v>
      </c>
      <c r="J192" s="57" t="s">
        <v>304</v>
      </c>
      <c r="K192" s="57" t="s">
        <v>308</v>
      </c>
      <c r="L192" s="57" t="s">
        <v>309</v>
      </c>
      <c r="M192" s="58" t="n">
        <v>45390</v>
      </c>
      <c r="N192" s="58" t="n">
        <v>47215</v>
      </c>
      <c r="O192" s="58"/>
      <c r="P192" s="57" t="s">
        <v>1311</v>
      </c>
      <c r="Q192" s="57" t="s">
        <v>1560</v>
      </c>
      <c r="R192" s="57" t="s">
        <v>1313</v>
      </c>
      <c r="S192" s="57" t="n">
        <v>0</v>
      </c>
      <c r="T192" s="57" t="n">
        <v>0</v>
      </c>
      <c r="U192" s="57" t="n">
        <v>25.1</v>
      </c>
      <c r="V192" s="57" t="n">
        <v>51.9</v>
      </c>
      <c r="W192" s="57" t="n">
        <v>22</v>
      </c>
      <c r="X192" s="57" t="n">
        <v>0</v>
      </c>
      <c r="Y192" s="57" t="s">
        <v>1307</v>
      </c>
      <c r="Z192" s="57"/>
      <c r="AA192" s="57" t="s">
        <v>284</v>
      </c>
      <c r="AB192" s="57" t="s">
        <v>347</v>
      </c>
      <c r="AC192" s="57" t="str">
        <f aca="false">IFERROR(INDEX(dp_geo,MATCH(B192,dp_id,0)),"Unmatched")</f>
        <v>Rest of City</v>
      </c>
      <c r="AD192" s="57" t="n">
        <f aca="false">IF(M192="","",YEAR(M192))</f>
        <v>2024</v>
      </c>
      <c r="AE192" s="57" t="str">
        <f aca="false">IF(O192="","",YEAR(O192))</f>
        <v/>
      </c>
      <c r="AF192" s="57" t="n">
        <f aca="false">IF(N192="","",YEAR(N192))</f>
        <v>2029</v>
      </c>
      <c r="AG192" s="57" t="n">
        <f aca="false">IF(AND(H192="Yes",OR(G192="Complete",G192="Under construction",G192="Permitted – not started",G192="Stalled")),1,0)</f>
        <v>1</v>
      </c>
      <c r="AH192" s="57" t="n">
        <f aca="false">IF(OR(G192="Under construction",G192="Permitted – not started",G192="Stalled"),1,0)</f>
        <v>1</v>
      </c>
    </row>
    <row r="193" customFormat="false" ht="15" hidden="false" customHeight="false" outlineLevel="0" collapsed="false">
      <c r="A193" s="57" t="s">
        <v>1805</v>
      </c>
      <c r="B193" s="57" t="s">
        <v>580</v>
      </c>
      <c r="C193" s="57" t="s">
        <v>1806</v>
      </c>
      <c r="D193" s="57" t="s">
        <v>1807</v>
      </c>
      <c r="E193" s="57" t="n">
        <v>12</v>
      </c>
      <c r="F193" s="57"/>
      <c r="G193" s="57" t="s">
        <v>58</v>
      </c>
      <c r="H193" s="57" t="s">
        <v>228</v>
      </c>
      <c r="I193" s="57" t="s">
        <v>1347</v>
      </c>
      <c r="J193" s="57" t="s">
        <v>304</v>
      </c>
      <c r="K193" s="57" t="s">
        <v>308</v>
      </c>
      <c r="L193" s="57" t="s">
        <v>309</v>
      </c>
      <c r="M193" s="58" t="n">
        <v>45202</v>
      </c>
      <c r="N193" s="58" t="n">
        <v>47028</v>
      </c>
      <c r="O193" s="58"/>
      <c r="P193" s="57" t="s">
        <v>1311</v>
      </c>
      <c r="Q193" s="57" t="s">
        <v>1312</v>
      </c>
      <c r="R193" s="57" t="s">
        <v>1313</v>
      </c>
      <c r="S193" s="57" t="n">
        <v>0</v>
      </c>
      <c r="T193" s="57" t="n">
        <v>0</v>
      </c>
      <c r="U193" s="57" t="n">
        <v>7</v>
      </c>
      <c r="V193" s="57" t="n">
        <v>5</v>
      </c>
      <c r="W193" s="57" t="n">
        <v>0</v>
      </c>
      <c r="X193" s="57" t="n">
        <v>0</v>
      </c>
      <c r="Y193" s="57" t="s">
        <v>1307</v>
      </c>
      <c r="Z193" s="57"/>
      <c r="AA193" s="57" t="s">
        <v>284</v>
      </c>
      <c r="AB193" s="57" t="s">
        <v>347</v>
      </c>
      <c r="AC193" s="57" t="str">
        <f aca="false">IFERROR(INDEX(dp_geo,MATCH(B193,dp_id,0)),"Unmatched")</f>
        <v>Rest of City</v>
      </c>
      <c r="AD193" s="57" t="n">
        <f aca="false">IF(M193="","",YEAR(M193))</f>
        <v>2023</v>
      </c>
      <c r="AE193" s="57" t="str">
        <f aca="false">IF(O193="","",YEAR(O193))</f>
        <v/>
      </c>
      <c r="AF193" s="57" t="n">
        <f aca="false">IF(N193="","",YEAR(N193))</f>
        <v>2028</v>
      </c>
      <c r="AG193" s="57" t="n">
        <f aca="false">IF(AND(H193="Yes",OR(G193="Complete",G193="Under construction",G193="Permitted – not started",G193="Stalled")),1,0)</f>
        <v>1</v>
      </c>
      <c r="AH193" s="57" t="n">
        <f aca="false">IF(OR(G193="Under construction",G193="Permitted – not started",G193="Stalled"),1,0)</f>
        <v>1</v>
      </c>
    </row>
    <row r="194" customFormat="false" ht="15" hidden="false" customHeight="false" outlineLevel="0" collapsed="false">
      <c r="A194" s="57" t="s">
        <v>1808</v>
      </c>
      <c r="B194" s="57" t="s">
        <v>330</v>
      </c>
      <c r="C194" s="57" t="s">
        <v>1809</v>
      </c>
      <c r="D194" s="57" t="s">
        <v>1810</v>
      </c>
      <c r="E194" s="57" t="n">
        <v>98</v>
      </c>
      <c r="F194" s="57"/>
      <c r="G194" s="57" t="s">
        <v>58</v>
      </c>
      <c r="H194" s="57" t="s">
        <v>228</v>
      </c>
      <c r="I194" s="57" t="s">
        <v>1347</v>
      </c>
      <c r="J194" s="57" t="s">
        <v>304</v>
      </c>
      <c r="K194" s="57" t="s">
        <v>308</v>
      </c>
      <c r="L194" s="57" t="s">
        <v>309</v>
      </c>
      <c r="M194" s="58" t="n">
        <v>45617</v>
      </c>
      <c r="N194" s="58" t="n">
        <v>47442</v>
      </c>
      <c r="O194" s="58"/>
      <c r="P194" s="57" t="s">
        <v>1311</v>
      </c>
      <c r="Q194" s="57" t="s">
        <v>1560</v>
      </c>
      <c r="R194" s="57" t="s">
        <v>1313</v>
      </c>
      <c r="S194" s="57" t="n">
        <v>0</v>
      </c>
      <c r="T194" s="57" t="n">
        <v>0</v>
      </c>
      <c r="U194" s="57" t="n">
        <v>25.2</v>
      </c>
      <c r="V194" s="57" t="n">
        <v>52.2</v>
      </c>
      <c r="W194" s="57" t="n">
        <v>20.6</v>
      </c>
      <c r="X194" s="57" t="n">
        <v>0</v>
      </c>
      <c r="Y194" s="57" t="s">
        <v>1307</v>
      </c>
      <c r="Z194" s="57"/>
      <c r="AA194" s="57" t="s">
        <v>284</v>
      </c>
      <c r="AB194" s="57" t="s">
        <v>347</v>
      </c>
      <c r="AC194" s="57" t="str">
        <f aca="false">IFERROR(INDEX(dp_geo,MATCH(B194,dp_id,0)),"Unmatched")</f>
        <v>Rest of City</v>
      </c>
      <c r="AD194" s="57" t="n">
        <f aca="false">IF(M194="","",YEAR(M194))</f>
        <v>2024</v>
      </c>
      <c r="AE194" s="57" t="str">
        <f aca="false">IF(O194="","",YEAR(O194))</f>
        <v/>
      </c>
      <c r="AF194" s="57" t="n">
        <f aca="false">IF(N194="","",YEAR(N194))</f>
        <v>2029</v>
      </c>
      <c r="AG194" s="57" t="n">
        <f aca="false">IF(AND(H194="Yes",OR(G194="Complete",G194="Under construction",G194="Permitted – not started",G194="Stalled")),1,0)</f>
        <v>1</v>
      </c>
      <c r="AH194" s="57" t="n">
        <f aca="false">IF(OR(G194="Under construction",G194="Permitted – not started",G194="Stalled"),1,0)</f>
        <v>1</v>
      </c>
    </row>
    <row r="195" customFormat="false" ht="15" hidden="false" customHeight="false" outlineLevel="0" collapsed="false">
      <c r="A195" s="57" t="s">
        <v>1811</v>
      </c>
      <c r="B195" s="57" t="s">
        <v>330</v>
      </c>
      <c r="C195" s="57" t="s">
        <v>1812</v>
      </c>
      <c r="D195" s="57" t="s">
        <v>1813</v>
      </c>
      <c r="E195" s="57" t="n">
        <v>54</v>
      </c>
      <c r="F195" s="57"/>
      <c r="G195" s="57" t="s">
        <v>58</v>
      </c>
      <c r="H195" s="57" t="s">
        <v>228</v>
      </c>
      <c r="I195" s="57" t="s">
        <v>1347</v>
      </c>
      <c r="J195" s="57" t="s">
        <v>304</v>
      </c>
      <c r="K195" s="57" t="s">
        <v>308</v>
      </c>
      <c r="L195" s="57" t="s">
        <v>309</v>
      </c>
      <c r="M195" s="58" t="n">
        <v>45583</v>
      </c>
      <c r="N195" s="58" t="n">
        <v>47408</v>
      </c>
      <c r="O195" s="58"/>
      <c r="P195" s="57" t="s">
        <v>1311</v>
      </c>
      <c r="Q195" s="57" t="s">
        <v>1497</v>
      </c>
      <c r="R195" s="57" t="s">
        <v>1313</v>
      </c>
      <c r="S195" s="57" t="n">
        <v>0</v>
      </c>
      <c r="T195" s="57" t="n">
        <v>0</v>
      </c>
      <c r="U195" s="57" t="n">
        <v>20.7</v>
      </c>
      <c r="V195" s="57" t="n">
        <v>33.3</v>
      </c>
      <c r="W195" s="57" t="n">
        <v>0</v>
      </c>
      <c r="X195" s="57" t="n">
        <v>0</v>
      </c>
      <c r="Y195" s="57" t="s">
        <v>1307</v>
      </c>
      <c r="Z195" s="57"/>
      <c r="AA195" s="57" t="s">
        <v>284</v>
      </c>
      <c r="AB195" s="57" t="s">
        <v>347</v>
      </c>
      <c r="AC195" s="57" t="str">
        <f aca="false">IFERROR(INDEX(dp_geo,MATCH(B195,dp_id,0)),"Unmatched")</f>
        <v>Rest of City</v>
      </c>
      <c r="AD195" s="57" t="n">
        <f aca="false">IF(M195="","",YEAR(M195))</f>
        <v>2024</v>
      </c>
      <c r="AE195" s="57" t="str">
        <f aca="false">IF(O195="","",YEAR(O195))</f>
        <v/>
      </c>
      <c r="AF195" s="57" t="n">
        <f aca="false">IF(N195="","",YEAR(N195))</f>
        <v>2029</v>
      </c>
      <c r="AG195" s="57" t="n">
        <f aca="false">IF(AND(H195="Yes",OR(G195="Complete",G195="Under construction",G195="Permitted – not started",G195="Stalled")),1,0)</f>
        <v>1</v>
      </c>
      <c r="AH195" s="57" t="n">
        <f aca="false">IF(OR(G195="Under construction",G195="Permitted – not started",G195="Stalled"),1,0)</f>
        <v>1</v>
      </c>
    </row>
    <row r="196" customFormat="false" ht="15" hidden="false" customHeight="false" outlineLevel="0" collapsed="false">
      <c r="A196" s="57" t="s">
        <v>1814</v>
      </c>
      <c r="B196" s="57" t="s">
        <v>579</v>
      </c>
      <c r="C196" s="57" t="s">
        <v>1815</v>
      </c>
      <c r="D196" s="57" t="s">
        <v>1816</v>
      </c>
      <c r="E196" s="57" t="n">
        <v>99</v>
      </c>
      <c r="F196" s="57"/>
      <c r="G196" s="57" t="s">
        <v>56</v>
      </c>
      <c r="H196" s="57" t="s">
        <v>228</v>
      </c>
      <c r="I196" s="57" t="s">
        <v>1347</v>
      </c>
      <c r="J196" s="57" t="s">
        <v>304</v>
      </c>
      <c r="K196" s="57" t="s">
        <v>308</v>
      </c>
      <c r="L196" s="57" t="s">
        <v>309</v>
      </c>
      <c r="M196" s="58" t="n">
        <v>45524</v>
      </c>
      <c r="N196" s="58" t="n">
        <v>47349</v>
      </c>
      <c r="O196" s="58" t="n">
        <v>45889</v>
      </c>
      <c r="P196" s="57" t="s">
        <v>1791</v>
      </c>
      <c r="Q196" s="57" t="s">
        <v>1509</v>
      </c>
      <c r="R196" s="57" t="s">
        <v>1318</v>
      </c>
      <c r="S196" s="57" t="n">
        <v>13</v>
      </c>
      <c r="T196" s="57" t="n">
        <v>55.8</v>
      </c>
      <c r="U196" s="57" t="n">
        <v>30.2</v>
      </c>
      <c r="V196" s="57" t="n">
        <v>0</v>
      </c>
      <c r="W196" s="57" t="n">
        <v>0</v>
      </c>
      <c r="X196" s="57" t="n">
        <v>0</v>
      </c>
      <c r="Y196" s="57" t="s">
        <v>1307</v>
      </c>
      <c r="Z196" s="57"/>
      <c r="AA196" s="57" t="s">
        <v>284</v>
      </c>
      <c r="AB196" s="57" t="s">
        <v>347</v>
      </c>
      <c r="AC196" s="57" t="str">
        <f aca="false">IFERROR(INDEX(dp_geo,MATCH(B196,dp_id,0)),"Unmatched")</f>
        <v>Rest of City</v>
      </c>
      <c r="AD196" s="57" t="n">
        <f aca="false">IF(M196="","",YEAR(M196))</f>
        <v>2024</v>
      </c>
      <c r="AE196" s="57" t="n">
        <f aca="false">IF(O196="","",YEAR(O196))</f>
        <v>2025</v>
      </c>
      <c r="AF196" s="57" t="n">
        <f aca="false">IF(N196="","",YEAR(N196))</f>
        <v>2029</v>
      </c>
      <c r="AG196" s="57" t="n">
        <f aca="false">IF(AND(H196="Yes",OR(G196="Complete",G196="Under construction",G196="Permitted – not started",G196="Stalled")),1,0)</f>
        <v>1</v>
      </c>
      <c r="AH196" s="57" t="n">
        <f aca="false">IF(OR(G196="Under construction",G196="Permitted – not started",G196="Stalled"),1,0)</f>
        <v>1</v>
      </c>
    </row>
    <row r="197" customFormat="false" ht="15" hidden="false" customHeight="false" outlineLevel="0" collapsed="false">
      <c r="A197" s="57" t="s">
        <v>1817</v>
      </c>
      <c r="B197" s="57" t="s">
        <v>867</v>
      </c>
      <c r="C197" s="57" t="s">
        <v>1818</v>
      </c>
      <c r="D197" s="57" t="s">
        <v>868</v>
      </c>
      <c r="E197" s="57" t="n">
        <v>21</v>
      </c>
      <c r="F197" s="57"/>
      <c r="G197" s="57" t="s">
        <v>56</v>
      </c>
      <c r="H197" s="57" t="s">
        <v>228</v>
      </c>
      <c r="I197" s="57" t="s">
        <v>1310</v>
      </c>
      <c r="J197" s="57" t="s">
        <v>184</v>
      </c>
      <c r="K197" s="57" t="s">
        <v>312</v>
      </c>
      <c r="L197" s="57" t="s">
        <v>309</v>
      </c>
      <c r="M197" s="58" t="n">
        <v>45532</v>
      </c>
      <c r="N197" s="58" t="n">
        <v>47357</v>
      </c>
      <c r="O197" s="58" t="n">
        <v>45953</v>
      </c>
      <c r="P197" s="57" t="s">
        <v>1447</v>
      </c>
      <c r="Q197" s="57" t="s">
        <v>1500</v>
      </c>
      <c r="R197" s="57" t="s">
        <v>1318</v>
      </c>
      <c r="S197" s="57" t="n">
        <v>2.7</v>
      </c>
      <c r="T197" s="57" t="n">
        <v>13.9</v>
      </c>
      <c r="U197" s="57" t="n">
        <v>4.5</v>
      </c>
      <c r="V197" s="57" t="n">
        <v>0</v>
      </c>
      <c r="W197" s="57" t="n">
        <v>0</v>
      </c>
      <c r="X197" s="57" t="n">
        <v>-0.1</v>
      </c>
      <c r="Y197" s="57" t="s">
        <v>1307</v>
      </c>
      <c r="Z197" s="57"/>
      <c r="AA197" s="57" t="s">
        <v>290</v>
      </c>
      <c r="AB197" s="57" t="s">
        <v>347</v>
      </c>
      <c r="AC197" s="57" t="str">
        <f aca="false">IFERROR(INDEX(dp_geo,MATCH(B197,dp_id,0)),"Unmatched")</f>
        <v>Rest of City</v>
      </c>
      <c r="AD197" s="57" t="n">
        <f aca="false">IF(M197="","",YEAR(M197))</f>
        <v>2024</v>
      </c>
      <c r="AE197" s="57" t="n">
        <f aca="false">IF(O197="","",YEAR(O197))</f>
        <v>2025</v>
      </c>
      <c r="AF197" s="57" t="n">
        <f aca="false">IF(N197="","",YEAR(N197))</f>
        <v>2029</v>
      </c>
      <c r="AG197" s="57" t="n">
        <f aca="false">IF(AND(H197="Yes",OR(G197="Complete",G197="Under construction",G197="Permitted – not started",G197="Stalled")),1,0)</f>
        <v>1</v>
      </c>
      <c r="AH197" s="57" t="n">
        <f aca="false">IF(OR(G197="Under construction",G197="Permitted – not started",G197="Stalled"),1,0)</f>
        <v>1</v>
      </c>
    </row>
    <row r="198" customFormat="false" ht="15" hidden="false" customHeight="false" outlineLevel="0" collapsed="false">
      <c r="A198" s="57" t="s">
        <v>1819</v>
      </c>
      <c r="B198" s="57" t="s">
        <v>671</v>
      </c>
      <c r="C198" s="57" t="s">
        <v>1820</v>
      </c>
      <c r="D198" s="57" t="s">
        <v>1821</v>
      </c>
      <c r="E198" s="57" t="n">
        <v>36</v>
      </c>
      <c r="F198" s="57"/>
      <c r="G198" s="57" t="s">
        <v>56</v>
      </c>
      <c r="H198" s="57" t="s">
        <v>228</v>
      </c>
      <c r="I198" s="57" t="s">
        <v>1347</v>
      </c>
      <c r="J198" s="57" t="s">
        <v>184</v>
      </c>
      <c r="K198" s="57" t="s">
        <v>310</v>
      </c>
      <c r="L198" s="57" t="s">
        <v>313</v>
      </c>
      <c r="M198" s="58" t="n">
        <v>44886</v>
      </c>
      <c r="N198" s="58"/>
      <c r="O198" s="58" t="n">
        <v>45560</v>
      </c>
      <c r="P198" s="57" t="s">
        <v>1391</v>
      </c>
      <c r="Q198" s="57" t="s">
        <v>1317</v>
      </c>
      <c r="R198" s="57" t="s">
        <v>1318</v>
      </c>
      <c r="S198" s="57" t="n">
        <v>8.4</v>
      </c>
      <c r="T198" s="57" t="n">
        <v>27.6</v>
      </c>
      <c r="U198" s="57" t="n">
        <v>0</v>
      </c>
      <c r="V198" s="57" t="n">
        <v>0</v>
      </c>
      <c r="W198" s="57" t="n">
        <v>0</v>
      </c>
      <c r="X198" s="57" t="n">
        <v>0</v>
      </c>
      <c r="Y198" s="57" t="s">
        <v>1307</v>
      </c>
      <c r="Z198" s="57"/>
      <c r="AA198" s="57" t="s">
        <v>258</v>
      </c>
      <c r="AB198" s="57" t="s">
        <v>347</v>
      </c>
      <c r="AC198" s="57" t="str">
        <f aca="false">IFERROR(INDEX(dp_geo,MATCH(B198,dp_id,0)),"Unmatched")</f>
        <v>City Centre</v>
      </c>
      <c r="AD198" s="57" t="n">
        <f aca="false">IF(M198="","",YEAR(M198))</f>
        <v>2022</v>
      </c>
      <c r="AE198" s="57" t="n">
        <f aca="false">IF(O198="","",YEAR(O198))</f>
        <v>2024</v>
      </c>
      <c r="AF198" s="57" t="str">
        <f aca="false">IF(N198="","",YEAR(N198))</f>
        <v/>
      </c>
      <c r="AG198" s="57" t="n">
        <f aca="false">IF(AND(H198="Yes",OR(G198="Complete",G198="Under construction",G198="Permitted – not started",G198="Stalled")),1,0)</f>
        <v>1</v>
      </c>
      <c r="AH198" s="57" t="n">
        <f aca="false">IF(OR(G198="Under construction",G198="Permitted – not started",G198="Stalled"),1,0)</f>
        <v>1</v>
      </c>
    </row>
    <row r="199" customFormat="false" ht="15" hidden="false" customHeight="false" outlineLevel="0" collapsed="false">
      <c r="A199" s="57" t="s">
        <v>1822</v>
      </c>
      <c r="B199" s="57" t="s">
        <v>889</v>
      </c>
      <c r="C199" s="57" t="s">
        <v>1823</v>
      </c>
      <c r="D199" s="57" t="s">
        <v>890</v>
      </c>
      <c r="E199" s="57" t="n">
        <v>17</v>
      </c>
      <c r="F199" s="57"/>
      <c r="G199" s="57" t="s">
        <v>208</v>
      </c>
      <c r="H199" s="57" t="s">
        <v>228</v>
      </c>
      <c r="I199" s="57" t="s">
        <v>1310</v>
      </c>
      <c r="J199" s="57" t="s">
        <v>184</v>
      </c>
      <c r="K199" s="57" t="s">
        <v>312</v>
      </c>
      <c r="L199" s="57" t="s">
        <v>309</v>
      </c>
      <c r="M199" s="58" t="n">
        <v>45118</v>
      </c>
      <c r="N199" s="58" t="n">
        <v>46944</v>
      </c>
      <c r="O199" s="58" t="n">
        <v>45734</v>
      </c>
      <c r="P199" s="57"/>
      <c r="Q199" s="57"/>
      <c r="R199" s="57" t="s">
        <v>1306</v>
      </c>
      <c r="S199" s="57" t="n">
        <v>0</v>
      </c>
      <c r="T199" s="57" t="n">
        <v>0</v>
      </c>
      <c r="U199" s="57" t="n">
        <v>0</v>
      </c>
      <c r="V199" s="57" t="n">
        <v>0</v>
      </c>
      <c r="W199" s="57" t="n">
        <v>0</v>
      </c>
      <c r="X199" s="57" t="n">
        <v>0</v>
      </c>
      <c r="Y199" s="57" t="s">
        <v>1307</v>
      </c>
      <c r="Z199" s="57" t="s">
        <v>1331</v>
      </c>
      <c r="AA199" s="57" t="s">
        <v>359</v>
      </c>
      <c r="AB199" s="57" t="s">
        <v>356</v>
      </c>
      <c r="AC199" s="57" t="str">
        <f aca="false">IFERROR(INDEX(dp_geo,MATCH(B199,dp_id,0)),"Unmatched")</f>
        <v>Settlements</v>
      </c>
      <c r="AD199" s="57" t="n">
        <f aca="false">IF(M199="","",YEAR(M199))</f>
        <v>2023</v>
      </c>
      <c r="AE199" s="57" t="n">
        <f aca="false">IF(O199="","",YEAR(O199))</f>
        <v>2025</v>
      </c>
      <c r="AF199" s="57" t="n">
        <f aca="false">IF(N199="","",YEAR(N199))</f>
        <v>2028</v>
      </c>
      <c r="AG199" s="57" t="n">
        <f aca="false">IF(AND(H199="Yes",OR(G199="Complete",G199="Under construction",G199="Permitted – not started",G199="Stalled")),1,0)</f>
        <v>1</v>
      </c>
      <c r="AH199" s="57" t="n">
        <f aca="false">IF(OR(G199="Under construction",G199="Permitted – not started",G199="Stalled"),1,0)</f>
        <v>0</v>
      </c>
    </row>
    <row r="200" customFormat="false" ht="15" hidden="false" customHeight="false" outlineLevel="0" collapsed="false">
      <c r="A200" s="57" t="s">
        <v>1824</v>
      </c>
      <c r="B200" s="57" t="s">
        <v>999</v>
      </c>
      <c r="C200" s="57" t="s">
        <v>1825</v>
      </c>
      <c r="D200" s="57" t="s">
        <v>1000</v>
      </c>
      <c r="E200" s="57" t="n">
        <v>7</v>
      </c>
      <c r="F200" s="57"/>
      <c r="G200" s="57" t="s">
        <v>58</v>
      </c>
      <c r="H200" s="57" t="s">
        <v>228</v>
      </c>
      <c r="I200" s="57" t="s">
        <v>1702</v>
      </c>
      <c r="J200" s="57" t="s">
        <v>304</v>
      </c>
      <c r="K200" s="57" t="s">
        <v>308</v>
      </c>
      <c r="L200" s="57" t="s">
        <v>309</v>
      </c>
      <c r="M200" s="58" t="n">
        <v>45868</v>
      </c>
      <c r="N200" s="58" t="n">
        <v>47042</v>
      </c>
      <c r="O200" s="58"/>
      <c r="P200" s="57" t="s">
        <v>1311</v>
      </c>
      <c r="Q200" s="57" t="s">
        <v>1312</v>
      </c>
      <c r="R200" s="57" t="s">
        <v>1313</v>
      </c>
      <c r="S200" s="57" t="n">
        <v>0</v>
      </c>
      <c r="T200" s="57" t="n">
        <v>0</v>
      </c>
      <c r="U200" s="57" t="n">
        <v>4.4</v>
      </c>
      <c r="V200" s="57" t="n">
        <v>2.6</v>
      </c>
      <c r="W200" s="57" t="n">
        <v>0</v>
      </c>
      <c r="X200" s="57" t="n">
        <v>0</v>
      </c>
      <c r="Y200" s="57" t="s">
        <v>1307</v>
      </c>
      <c r="Z200" s="57"/>
      <c r="AA200" s="57" t="s">
        <v>359</v>
      </c>
      <c r="AB200" s="57" t="s">
        <v>356</v>
      </c>
      <c r="AC200" s="57" t="str">
        <f aca="false">IFERROR(INDEX(dp_geo,MATCH(B200,dp_id,0)),"Unmatched")</f>
        <v>Settlements</v>
      </c>
      <c r="AD200" s="57" t="n">
        <f aca="false">IF(M200="","",YEAR(M200))</f>
        <v>2025</v>
      </c>
      <c r="AE200" s="57" t="str">
        <f aca="false">IF(O200="","",YEAR(O200))</f>
        <v/>
      </c>
      <c r="AF200" s="57" t="n">
        <f aca="false">IF(N200="","",YEAR(N200))</f>
        <v>2028</v>
      </c>
      <c r="AG200" s="57" t="n">
        <f aca="false">IF(AND(H200="Yes",OR(G200="Complete",G200="Under construction",G200="Permitted – not started",G200="Stalled")),1,0)</f>
        <v>1</v>
      </c>
      <c r="AH200" s="57" t="n">
        <f aca="false">IF(OR(G200="Under construction",G200="Permitted – not started",G200="Stalled"),1,0)</f>
        <v>1</v>
      </c>
    </row>
    <row r="201" customFormat="false" ht="15" hidden="false" customHeight="false" outlineLevel="0" collapsed="false">
      <c r="A201" s="57" t="s">
        <v>1826</v>
      </c>
      <c r="B201" s="57" t="s">
        <v>851</v>
      </c>
      <c r="C201" s="57" t="s">
        <v>1827</v>
      </c>
      <c r="D201" s="57" t="s">
        <v>852</v>
      </c>
      <c r="E201" s="57" t="n">
        <v>24</v>
      </c>
      <c r="F201" s="57"/>
      <c r="G201" s="57" t="s">
        <v>58</v>
      </c>
      <c r="H201" s="57" t="s">
        <v>228</v>
      </c>
      <c r="I201" s="57" t="s">
        <v>1310</v>
      </c>
      <c r="J201" s="57" t="s">
        <v>304</v>
      </c>
      <c r="K201" s="57" t="s">
        <v>308</v>
      </c>
      <c r="L201" s="57" t="s">
        <v>309</v>
      </c>
      <c r="M201" s="58" t="n">
        <v>45182</v>
      </c>
      <c r="N201" s="58" t="n">
        <v>47008</v>
      </c>
      <c r="O201" s="58"/>
      <c r="P201" s="57" t="s">
        <v>1311</v>
      </c>
      <c r="Q201" s="57" t="s">
        <v>1560</v>
      </c>
      <c r="R201" s="57" t="s">
        <v>1313</v>
      </c>
      <c r="S201" s="57" t="n">
        <v>0</v>
      </c>
      <c r="T201" s="57" t="n">
        <v>0</v>
      </c>
      <c r="U201" s="57" t="n">
        <v>6.2</v>
      </c>
      <c r="V201" s="57" t="n">
        <v>12.8</v>
      </c>
      <c r="W201" s="57" t="n">
        <v>5</v>
      </c>
      <c r="X201" s="57" t="n">
        <v>0</v>
      </c>
      <c r="Y201" s="57" t="s">
        <v>1307</v>
      </c>
      <c r="Z201" s="57"/>
      <c r="AA201" s="57" t="s">
        <v>258</v>
      </c>
      <c r="AB201" s="57" t="s">
        <v>347</v>
      </c>
      <c r="AC201" s="57" t="str">
        <f aca="false">IFERROR(INDEX(dp_geo,MATCH(B201,dp_id,0)),"Unmatched")</f>
        <v>City Centre</v>
      </c>
      <c r="AD201" s="57" t="n">
        <f aca="false">IF(M201="","",YEAR(M201))</f>
        <v>2023</v>
      </c>
      <c r="AE201" s="57" t="str">
        <f aca="false">IF(O201="","",YEAR(O201))</f>
        <v/>
      </c>
      <c r="AF201" s="57" t="n">
        <f aca="false">IF(N201="","",YEAR(N201))</f>
        <v>2028</v>
      </c>
      <c r="AG201" s="57" t="n">
        <f aca="false">IF(AND(H201="Yes",OR(G201="Complete",G201="Under construction",G201="Permitted – not started",G201="Stalled")),1,0)</f>
        <v>1</v>
      </c>
      <c r="AH201" s="57" t="n">
        <f aca="false">IF(OR(G201="Under construction",G201="Permitted – not started",G201="Stalled"),1,0)</f>
        <v>1</v>
      </c>
    </row>
    <row r="202" customFormat="false" ht="15" hidden="false" customHeight="false" outlineLevel="0" collapsed="false">
      <c r="A202" s="57" t="s">
        <v>1828</v>
      </c>
      <c r="B202" s="57" t="s">
        <v>985</v>
      </c>
      <c r="C202" s="57" t="s">
        <v>1829</v>
      </c>
      <c r="D202" s="57" t="s">
        <v>986</v>
      </c>
      <c r="E202" s="57" t="n">
        <v>8</v>
      </c>
      <c r="F202" s="57"/>
      <c r="G202" s="57" t="s">
        <v>58</v>
      </c>
      <c r="H202" s="57" t="s">
        <v>228</v>
      </c>
      <c r="I202" s="57" t="s">
        <v>1347</v>
      </c>
      <c r="J202" s="57" t="s">
        <v>184</v>
      </c>
      <c r="K202" s="57" t="s">
        <v>310</v>
      </c>
      <c r="L202" s="57" t="s">
        <v>313</v>
      </c>
      <c r="M202" s="58" t="n">
        <v>44659</v>
      </c>
      <c r="N202" s="58"/>
      <c r="O202" s="58"/>
      <c r="P202" s="57" t="s">
        <v>1311</v>
      </c>
      <c r="Q202" s="57" t="s">
        <v>1425</v>
      </c>
      <c r="R202" s="57" t="s">
        <v>1313</v>
      </c>
      <c r="S202" s="57" t="n">
        <v>0</v>
      </c>
      <c r="T202" s="57" t="n">
        <v>0</v>
      </c>
      <c r="U202" s="57" t="n">
        <v>4</v>
      </c>
      <c r="V202" s="57" t="n">
        <v>4</v>
      </c>
      <c r="W202" s="57" t="n">
        <v>0</v>
      </c>
      <c r="X202" s="57" t="n">
        <v>0</v>
      </c>
      <c r="Y202" s="57" t="s">
        <v>1307</v>
      </c>
      <c r="Z202" s="57"/>
      <c r="AA202" s="57" t="s">
        <v>258</v>
      </c>
      <c r="AB202" s="57" t="s">
        <v>347</v>
      </c>
      <c r="AC202" s="57" t="str">
        <f aca="false">IFERROR(INDEX(dp_geo,MATCH(B202,dp_id,0)),"Unmatched")</f>
        <v>City Centre</v>
      </c>
      <c r="AD202" s="57" t="n">
        <f aca="false">IF(M202="","",YEAR(M202))</f>
        <v>2022</v>
      </c>
      <c r="AE202" s="57" t="str">
        <f aca="false">IF(O202="","",YEAR(O202))</f>
        <v/>
      </c>
      <c r="AF202" s="57" t="str">
        <f aca="false">IF(N202="","",YEAR(N202))</f>
        <v/>
      </c>
      <c r="AG202" s="57" t="n">
        <f aca="false">IF(AND(H202="Yes",OR(G202="Complete",G202="Under construction",G202="Permitted – not started",G202="Stalled")),1,0)</f>
        <v>1</v>
      </c>
      <c r="AH202" s="57" t="n">
        <f aca="false">IF(OR(G202="Under construction",G202="Permitted – not started",G202="Stalled"),1,0)</f>
        <v>1</v>
      </c>
    </row>
    <row r="203" customFormat="false" ht="15" hidden="false" customHeight="false" outlineLevel="0" collapsed="false">
      <c r="A203" s="57" t="s">
        <v>1830</v>
      </c>
      <c r="B203" s="57" t="s">
        <v>924</v>
      </c>
      <c r="C203" s="57" t="s">
        <v>1831</v>
      </c>
      <c r="D203" s="57" t="s">
        <v>925</v>
      </c>
      <c r="E203" s="57" t="n">
        <v>13</v>
      </c>
      <c r="F203" s="57"/>
      <c r="G203" s="57" t="s">
        <v>56</v>
      </c>
      <c r="H203" s="57" t="s">
        <v>228</v>
      </c>
      <c r="I203" s="57" t="s">
        <v>1310</v>
      </c>
      <c r="J203" s="57" t="s">
        <v>184</v>
      </c>
      <c r="K203" s="57" t="s">
        <v>310</v>
      </c>
      <c r="L203" s="57" t="s">
        <v>313</v>
      </c>
      <c r="M203" s="58" t="n">
        <v>45005</v>
      </c>
      <c r="N203" s="58"/>
      <c r="O203" s="58" t="n">
        <v>46062</v>
      </c>
      <c r="P203" s="57" t="s">
        <v>1415</v>
      </c>
      <c r="Q203" s="57" t="s">
        <v>1514</v>
      </c>
      <c r="R203" s="57" t="s">
        <v>1318</v>
      </c>
      <c r="S203" s="57" t="n">
        <v>0</v>
      </c>
      <c r="T203" s="57" t="n">
        <v>13</v>
      </c>
      <c r="U203" s="57" t="n">
        <v>0</v>
      </c>
      <c r="V203" s="57" t="n">
        <v>0</v>
      </c>
      <c r="W203" s="57" t="n">
        <v>0</v>
      </c>
      <c r="X203" s="57" t="n">
        <v>0</v>
      </c>
      <c r="Y203" s="57" t="s">
        <v>1307</v>
      </c>
      <c r="Z203" s="57"/>
      <c r="AA203" s="57" t="s">
        <v>258</v>
      </c>
      <c r="AB203" s="57" t="s">
        <v>347</v>
      </c>
      <c r="AC203" s="57" t="str">
        <f aca="false">IFERROR(INDEX(dp_geo,MATCH(B203,dp_id,0)),"Unmatched")</f>
        <v>City Centre</v>
      </c>
      <c r="AD203" s="57" t="n">
        <f aca="false">IF(M203="","",YEAR(M203))</f>
        <v>2023</v>
      </c>
      <c r="AE203" s="57" t="n">
        <f aca="false">IF(O203="","",YEAR(O203))</f>
        <v>2026</v>
      </c>
      <c r="AF203" s="57" t="str">
        <f aca="false">IF(N203="","",YEAR(N203))</f>
        <v/>
      </c>
      <c r="AG203" s="57" t="n">
        <f aca="false">IF(AND(H203="Yes",OR(G203="Complete",G203="Under construction",G203="Permitted – not started",G203="Stalled")),1,0)</f>
        <v>1</v>
      </c>
      <c r="AH203" s="57" t="n">
        <f aca="false">IF(OR(G203="Under construction",G203="Permitted – not started",G203="Stalled"),1,0)</f>
        <v>1</v>
      </c>
    </row>
    <row r="204" customFormat="false" ht="15" hidden="false" customHeight="false" outlineLevel="0" collapsed="false">
      <c r="A204" s="57" t="s">
        <v>1832</v>
      </c>
      <c r="B204" s="57" t="s">
        <v>1027</v>
      </c>
      <c r="C204" s="57" t="s">
        <v>1833</v>
      </c>
      <c r="D204" s="57" t="s">
        <v>1028</v>
      </c>
      <c r="E204" s="57" t="n">
        <v>6</v>
      </c>
      <c r="F204" s="57"/>
      <c r="G204" s="57" t="s">
        <v>58</v>
      </c>
      <c r="H204" s="57" t="s">
        <v>228</v>
      </c>
      <c r="I204" s="57" t="s">
        <v>1347</v>
      </c>
      <c r="J204" s="57" t="s">
        <v>304</v>
      </c>
      <c r="K204" s="57" t="s">
        <v>308</v>
      </c>
      <c r="L204" s="57" t="s">
        <v>309</v>
      </c>
      <c r="M204" s="58" t="n">
        <v>46064</v>
      </c>
      <c r="N204" s="58" t="n">
        <v>47889</v>
      </c>
      <c r="O204" s="58"/>
      <c r="P204" s="57" t="s">
        <v>1469</v>
      </c>
      <c r="Q204" s="57" t="s">
        <v>1312</v>
      </c>
      <c r="R204" s="57" t="s">
        <v>1526</v>
      </c>
      <c r="S204" s="57" t="n">
        <v>0</v>
      </c>
      <c r="T204" s="57" t="n">
        <v>0</v>
      </c>
      <c r="U204" s="57" t="n">
        <v>4.5</v>
      </c>
      <c r="V204" s="57" t="n">
        <v>1.5</v>
      </c>
      <c r="W204" s="57" t="n">
        <v>0</v>
      </c>
      <c r="X204" s="57" t="n">
        <v>0</v>
      </c>
      <c r="Y204" s="57" t="s">
        <v>1307</v>
      </c>
      <c r="Z204" s="57"/>
      <c r="AA204" s="57" t="s">
        <v>258</v>
      </c>
      <c r="AB204" s="57" t="s">
        <v>347</v>
      </c>
      <c r="AC204" s="57" t="str">
        <f aca="false">IFERROR(INDEX(dp_geo,MATCH(B204,dp_id,0)),"Unmatched")</f>
        <v>City Centre</v>
      </c>
      <c r="AD204" s="57" t="n">
        <f aca="false">IF(M204="","",YEAR(M204))</f>
        <v>2026</v>
      </c>
      <c r="AE204" s="57" t="str">
        <f aca="false">IF(O204="","",YEAR(O204))</f>
        <v/>
      </c>
      <c r="AF204" s="57" t="n">
        <f aca="false">IF(N204="","",YEAR(N204))</f>
        <v>2031</v>
      </c>
      <c r="AG204" s="57" t="n">
        <f aca="false">IF(AND(H204="Yes",OR(G204="Complete",G204="Under construction",G204="Permitted – not started",G204="Stalled")),1,0)</f>
        <v>1</v>
      </c>
      <c r="AH204" s="57" t="n">
        <f aca="false">IF(OR(G204="Under construction",G204="Permitted – not started",G204="Stalled"),1,0)</f>
        <v>1</v>
      </c>
    </row>
    <row r="205" customFormat="false" ht="15" hidden="false" customHeight="false" outlineLevel="0" collapsed="false">
      <c r="A205" s="57" t="s">
        <v>1834</v>
      </c>
      <c r="B205" s="57" t="s">
        <v>1067</v>
      </c>
      <c r="C205" s="57" t="s">
        <v>1835</v>
      </c>
      <c r="D205" s="57" t="s">
        <v>1068</v>
      </c>
      <c r="E205" s="57" t="n">
        <v>4</v>
      </c>
      <c r="F205" s="57"/>
      <c r="G205" s="57" t="s">
        <v>208</v>
      </c>
      <c r="H205" s="57" t="s">
        <v>228</v>
      </c>
      <c r="I205" s="57" t="s">
        <v>1310</v>
      </c>
      <c r="J205" s="57" t="s">
        <v>304</v>
      </c>
      <c r="K205" s="57" t="s">
        <v>308</v>
      </c>
      <c r="L205" s="57" t="s">
        <v>309</v>
      </c>
      <c r="M205" s="58" t="n">
        <v>45223</v>
      </c>
      <c r="N205" s="58" t="n">
        <v>47049</v>
      </c>
      <c r="O205" s="58" t="n">
        <v>45315</v>
      </c>
      <c r="P205" s="57"/>
      <c r="Q205" s="57"/>
      <c r="R205" s="57" t="s">
        <v>1306</v>
      </c>
      <c r="S205" s="57" t="n">
        <v>0</v>
      </c>
      <c r="T205" s="57" t="n">
        <v>0</v>
      </c>
      <c r="U205" s="57" t="n">
        <v>0</v>
      </c>
      <c r="V205" s="57" t="n">
        <v>0</v>
      </c>
      <c r="W205" s="57" t="n">
        <v>0</v>
      </c>
      <c r="X205" s="57" t="n">
        <v>0</v>
      </c>
      <c r="Y205" s="57" t="s">
        <v>1307</v>
      </c>
      <c r="Z205" s="57"/>
      <c r="AA205" s="57" t="s">
        <v>365</v>
      </c>
      <c r="AB205" s="57" t="s">
        <v>365</v>
      </c>
      <c r="AC205" s="57" t="str">
        <f aca="false">IFERROR(INDEX(dp_geo,MATCH(B205,dp_id,0)),"Unmatched")</f>
        <v>Remainder of County</v>
      </c>
      <c r="AD205" s="57" t="n">
        <f aca="false">IF(M205="","",YEAR(M205))</f>
        <v>2023</v>
      </c>
      <c r="AE205" s="57" t="n">
        <f aca="false">IF(O205="","",YEAR(O205))</f>
        <v>2024</v>
      </c>
      <c r="AF205" s="57" t="n">
        <f aca="false">IF(N205="","",YEAR(N205))</f>
        <v>2028</v>
      </c>
      <c r="AG205" s="57" t="n">
        <f aca="false">IF(AND(H205="Yes",OR(G205="Complete",G205="Under construction",G205="Permitted – not started",G205="Stalled")),1,0)</f>
        <v>1</v>
      </c>
      <c r="AH205" s="57" t="n">
        <f aca="false">IF(OR(G205="Under construction",G205="Permitted – not started",G205="Stalled"),1,0)</f>
        <v>0</v>
      </c>
    </row>
    <row r="206" customFormat="false" ht="15" hidden="false" customHeight="false" outlineLevel="0" collapsed="false">
      <c r="A206" s="57" t="s">
        <v>1836</v>
      </c>
      <c r="B206" s="57" t="s">
        <v>1029</v>
      </c>
      <c r="C206" s="57" t="s">
        <v>1837</v>
      </c>
      <c r="D206" s="57" t="s">
        <v>1030</v>
      </c>
      <c r="E206" s="57" t="n">
        <v>6</v>
      </c>
      <c r="F206" s="57"/>
      <c r="G206" s="57" t="s">
        <v>56</v>
      </c>
      <c r="H206" s="57" t="s">
        <v>228</v>
      </c>
      <c r="I206" s="57" t="s">
        <v>1676</v>
      </c>
      <c r="J206" s="57" t="s">
        <v>304</v>
      </c>
      <c r="K206" s="57" t="s">
        <v>308</v>
      </c>
      <c r="L206" s="57" t="s">
        <v>309</v>
      </c>
      <c r="M206" s="58" t="n">
        <v>45596</v>
      </c>
      <c r="N206" s="58" t="n">
        <v>47421</v>
      </c>
      <c r="O206" s="58" t="n">
        <v>45845</v>
      </c>
      <c r="P206" s="57" t="s">
        <v>1791</v>
      </c>
      <c r="Q206" s="57" t="s">
        <v>1317</v>
      </c>
      <c r="R206" s="57" t="s">
        <v>1318</v>
      </c>
      <c r="S206" s="57" t="n">
        <v>1.4</v>
      </c>
      <c r="T206" s="57" t="n">
        <v>4.6</v>
      </c>
      <c r="U206" s="57" t="n">
        <v>0</v>
      </c>
      <c r="V206" s="57" t="n">
        <v>0</v>
      </c>
      <c r="W206" s="57" t="n">
        <v>0</v>
      </c>
      <c r="X206" s="57" t="n">
        <v>0</v>
      </c>
      <c r="Y206" s="57" t="s">
        <v>1307</v>
      </c>
      <c r="Z206" s="57"/>
      <c r="AA206" s="57" t="s">
        <v>365</v>
      </c>
      <c r="AB206" s="57" t="s">
        <v>365</v>
      </c>
      <c r="AC206" s="57" t="str">
        <f aca="false">IFERROR(INDEX(dp_geo,MATCH(B206,dp_id,0)),"Unmatched")</f>
        <v>Remainder of County</v>
      </c>
      <c r="AD206" s="57" t="n">
        <f aca="false">IF(M206="","",YEAR(M206))</f>
        <v>2024</v>
      </c>
      <c r="AE206" s="57" t="n">
        <f aca="false">IF(O206="","",YEAR(O206))</f>
        <v>2025</v>
      </c>
      <c r="AF206" s="57" t="n">
        <f aca="false">IF(N206="","",YEAR(N206))</f>
        <v>2029</v>
      </c>
      <c r="AG206" s="57" t="n">
        <f aca="false">IF(AND(H206="Yes",OR(G206="Complete",G206="Under construction",G206="Permitted – not started",G206="Stalled")),1,0)</f>
        <v>1</v>
      </c>
      <c r="AH206" s="57" t="n">
        <f aca="false">IF(OR(G206="Under construction",G206="Permitted – not started",G206="Stalled"),1,0)</f>
        <v>1</v>
      </c>
    </row>
    <row r="207" customFormat="false" ht="15" hidden="false" customHeight="false" outlineLevel="0" collapsed="false">
      <c r="A207" s="57" t="s">
        <v>1838</v>
      </c>
      <c r="B207" s="57" t="s">
        <v>1085</v>
      </c>
      <c r="C207" s="57" t="s">
        <v>1839</v>
      </c>
      <c r="D207" s="57" t="s">
        <v>1086</v>
      </c>
      <c r="E207" s="57" t="n">
        <v>3</v>
      </c>
      <c r="F207" s="57"/>
      <c r="G207" s="57" t="s">
        <v>56</v>
      </c>
      <c r="H207" s="57" t="s">
        <v>228</v>
      </c>
      <c r="I207" s="57" t="s">
        <v>1310</v>
      </c>
      <c r="J207" s="57" t="s">
        <v>304</v>
      </c>
      <c r="K207" s="57" t="s">
        <v>308</v>
      </c>
      <c r="L207" s="57" t="s">
        <v>309</v>
      </c>
      <c r="M207" s="58" t="n">
        <v>45378</v>
      </c>
      <c r="N207" s="58" t="n">
        <v>47203</v>
      </c>
      <c r="O207" s="58" t="n">
        <v>45656</v>
      </c>
      <c r="P207" s="57" t="s">
        <v>1468</v>
      </c>
      <c r="Q207" s="57" t="s">
        <v>1317</v>
      </c>
      <c r="R207" s="57" t="s">
        <v>1318</v>
      </c>
      <c r="S207" s="57" t="n">
        <v>0.7</v>
      </c>
      <c r="T207" s="57" t="n">
        <v>2.3</v>
      </c>
      <c r="U207" s="57" t="n">
        <v>0</v>
      </c>
      <c r="V207" s="57" t="n">
        <v>0</v>
      </c>
      <c r="W207" s="57" t="n">
        <v>0</v>
      </c>
      <c r="X207" s="57" t="n">
        <v>0</v>
      </c>
      <c r="Y207" s="57" t="s">
        <v>1307</v>
      </c>
      <c r="Z207" s="57"/>
      <c r="AA207" s="57" t="s">
        <v>258</v>
      </c>
      <c r="AB207" s="57" t="s">
        <v>347</v>
      </c>
      <c r="AC207" s="57" t="str">
        <f aca="false">IFERROR(INDEX(dp_geo,MATCH(B207,dp_id,0)),"Unmatched")</f>
        <v>City Centre</v>
      </c>
      <c r="AD207" s="57" t="n">
        <f aca="false">IF(M207="","",YEAR(M207))</f>
        <v>2024</v>
      </c>
      <c r="AE207" s="57" t="n">
        <f aca="false">IF(O207="","",YEAR(O207))</f>
        <v>2024</v>
      </c>
      <c r="AF207" s="57" t="n">
        <f aca="false">IF(N207="","",YEAR(N207))</f>
        <v>2029</v>
      </c>
      <c r="AG207" s="57" t="n">
        <f aca="false">IF(AND(H207="Yes",OR(G207="Complete",G207="Under construction",G207="Permitted – not started",G207="Stalled")),1,0)</f>
        <v>1</v>
      </c>
      <c r="AH207" s="57" t="n">
        <f aca="false">IF(OR(G207="Under construction",G207="Permitted – not started",G207="Stalled"),1,0)</f>
        <v>1</v>
      </c>
    </row>
    <row r="208" customFormat="false" ht="15" hidden="false" customHeight="false" outlineLevel="0" collapsed="false">
      <c r="A208" s="57" t="s">
        <v>1840</v>
      </c>
      <c r="B208" s="57" t="s">
        <v>987</v>
      </c>
      <c r="C208" s="57" t="s">
        <v>1841</v>
      </c>
      <c r="D208" s="57" t="s">
        <v>988</v>
      </c>
      <c r="E208" s="57" t="n">
        <v>8</v>
      </c>
      <c r="F208" s="57"/>
      <c r="G208" s="57" t="s">
        <v>56</v>
      </c>
      <c r="H208" s="57" t="s">
        <v>228</v>
      </c>
      <c r="I208" s="57" t="s">
        <v>1347</v>
      </c>
      <c r="J208" s="57" t="s">
        <v>304</v>
      </c>
      <c r="K208" s="57" t="s">
        <v>308</v>
      </c>
      <c r="L208" s="57" t="s">
        <v>309</v>
      </c>
      <c r="M208" s="58" t="n">
        <v>45386</v>
      </c>
      <c r="N208" s="58" t="n">
        <v>47211</v>
      </c>
      <c r="O208" s="58" t="n">
        <v>45784</v>
      </c>
      <c r="P208" s="57" t="s">
        <v>1433</v>
      </c>
      <c r="Q208" s="57" t="s">
        <v>1317</v>
      </c>
      <c r="R208" s="57" t="s">
        <v>1318</v>
      </c>
      <c r="S208" s="57" t="n">
        <v>1.9</v>
      </c>
      <c r="T208" s="57" t="n">
        <v>6.1</v>
      </c>
      <c r="U208" s="57" t="n">
        <v>0</v>
      </c>
      <c r="V208" s="57" t="n">
        <v>0</v>
      </c>
      <c r="W208" s="57" t="n">
        <v>0</v>
      </c>
      <c r="X208" s="57" t="n">
        <v>0</v>
      </c>
      <c r="Y208" s="57" t="s">
        <v>1307</v>
      </c>
      <c r="Z208" s="57"/>
      <c r="AA208" s="57" t="s">
        <v>258</v>
      </c>
      <c r="AB208" s="57" t="s">
        <v>347</v>
      </c>
      <c r="AC208" s="57" t="str">
        <f aca="false">IFERROR(INDEX(dp_geo,MATCH(B208,dp_id,0)),"Unmatched")</f>
        <v>City Centre</v>
      </c>
      <c r="AD208" s="57" t="n">
        <f aca="false">IF(M208="","",YEAR(M208))</f>
        <v>2024</v>
      </c>
      <c r="AE208" s="57" t="n">
        <f aca="false">IF(O208="","",YEAR(O208))</f>
        <v>2025</v>
      </c>
      <c r="AF208" s="57" t="n">
        <f aca="false">IF(N208="","",YEAR(N208))</f>
        <v>2029</v>
      </c>
      <c r="AG208" s="57" t="n">
        <f aca="false">IF(AND(H208="Yes",OR(G208="Complete",G208="Under construction",G208="Permitted – not started",G208="Stalled")),1,0)</f>
        <v>1</v>
      </c>
      <c r="AH208" s="57" t="n">
        <f aca="false">IF(OR(G208="Under construction",G208="Permitted – not started",G208="Stalled"),1,0)</f>
        <v>1</v>
      </c>
    </row>
    <row r="209" customFormat="false" ht="15" hidden="false" customHeight="false" outlineLevel="0" collapsed="false">
      <c r="A209" s="57" t="s">
        <v>1842</v>
      </c>
      <c r="B209" s="57" t="s">
        <v>875</v>
      </c>
      <c r="C209" s="57" t="s">
        <v>1843</v>
      </c>
      <c r="D209" s="57" t="s">
        <v>876</v>
      </c>
      <c r="E209" s="57" t="n">
        <v>20</v>
      </c>
      <c r="F209" s="57"/>
      <c r="G209" s="57" t="s">
        <v>58</v>
      </c>
      <c r="H209" s="57" t="s">
        <v>228</v>
      </c>
      <c r="I209" s="57" t="s">
        <v>1702</v>
      </c>
      <c r="J209" s="57" t="s">
        <v>184</v>
      </c>
      <c r="K209" s="57" t="s">
        <v>310</v>
      </c>
      <c r="L209" s="57" t="s">
        <v>313</v>
      </c>
      <c r="M209" s="58" t="n">
        <v>45677</v>
      </c>
      <c r="N209" s="58"/>
      <c r="O209" s="58"/>
      <c r="P209" s="57" t="s">
        <v>1311</v>
      </c>
      <c r="Q209" s="57" t="s">
        <v>1497</v>
      </c>
      <c r="R209" s="57" t="s">
        <v>1313</v>
      </c>
      <c r="S209" s="57" t="n">
        <v>0</v>
      </c>
      <c r="T209" s="57" t="n">
        <v>0</v>
      </c>
      <c r="U209" s="57" t="n">
        <v>6.9</v>
      </c>
      <c r="V209" s="57" t="n">
        <v>13.1</v>
      </c>
      <c r="W209" s="57" t="n">
        <v>0</v>
      </c>
      <c r="X209" s="57" t="n">
        <v>0</v>
      </c>
      <c r="Y209" s="57" t="s">
        <v>1307</v>
      </c>
      <c r="Z209" s="57"/>
      <c r="AA209" s="57" t="s">
        <v>286</v>
      </c>
      <c r="AB209" s="57" t="s">
        <v>347</v>
      </c>
      <c r="AC209" s="57" t="str">
        <f aca="false">IFERROR(INDEX(dp_geo,MATCH(B209,dp_id,0)),"Unmatched")</f>
        <v>Rest of City</v>
      </c>
      <c r="AD209" s="57" t="n">
        <f aca="false">IF(M209="","",YEAR(M209))</f>
        <v>2025</v>
      </c>
      <c r="AE209" s="57" t="str">
        <f aca="false">IF(O209="","",YEAR(O209))</f>
        <v/>
      </c>
      <c r="AF209" s="57" t="str">
        <f aca="false">IF(N209="","",YEAR(N209))</f>
        <v/>
      </c>
      <c r="AG209" s="57" t="n">
        <f aca="false">IF(AND(H209="Yes",OR(G209="Complete",G209="Under construction",G209="Permitted – not started",G209="Stalled")),1,0)</f>
        <v>1</v>
      </c>
      <c r="AH209" s="57" t="n">
        <f aca="false">IF(OR(G209="Under construction",G209="Permitted – not started",G209="Stalled"),1,0)</f>
        <v>1</v>
      </c>
    </row>
    <row r="210" customFormat="false" ht="15" hidden="false" customHeight="false" outlineLevel="0" collapsed="false">
      <c r="A210" s="57" t="s">
        <v>1844</v>
      </c>
      <c r="B210" s="57" t="s">
        <v>853</v>
      </c>
      <c r="C210" s="57" t="s">
        <v>1845</v>
      </c>
      <c r="D210" s="57" t="s">
        <v>854</v>
      </c>
      <c r="E210" s="57" t="n">
        <v>24</v>
      </c>
      <c r="F210" s="57"/>
      <c r="G210" s="57" t="s">
        <v>58</v>
      </c>
      <c r="H210" s="57" t="s">
        <v>228</v>
      </c>
      <c r="I210" s="57" t="s">
        <v>1347</v>
      </c>
      <c r="J210" s="57" t="s">
        <v>304</v>
      </c>
      <c r="K210" s="57" t="s">
        <v>308</v>
      </c>
      <c r="L210" s="57" t="s">
        <v>309</v>
      </c>
      <c r="M210" s="58" t="n">
        <v>46126</v>
      </c>
      <c r="N210" s="58" t="n">
        <v>47951</v>
      </c>
      <c r="O210" s="58"/>
      <c r="P210" s="57" t="s">
        <v>1311</v>
      </c>
      <c r="Q210" s="57" t="s">
        <v>1846</v>
      </c>
      <c r="R210" s="57" t="s">
        <v>1526</v>
      </c>
      <c r="S210" s="57" t="n">
        <v>0</v>
      </c>
      <c r="T210" s="57" t="n">
        <v>0</v>
      </c>
      <c r="U210" s="57" t="n">
        <v>4.2</v>
      </c>
      <c r="V210" s="57" t="n">
        <v>12.8</v>
      </c>
      <c r="W210" s="57" t="n">
        <v>7</v>
      </c>
      <c r="X210" s="57" t="n">
        <v>0</v>
      </c>
      <c r="Y210" s="57" t="s">
        <v>1307</v>
      </c>
      <c r="Z210" s="57"/>
      <c r="AA210" s="57" t="s">
        <v>286</v>
      </c>
      <c r="AB210" s="57" t="s">
        <v>347</v>
      </c>
      <c r="AC210" s="57" t="str">
        <f aca="false">IFERROR(INDEX(dp_geo,MATCH(B210,dp_id,0)),"Unmatched")</f>
        <v>Rest of City</v>
      </c>
      <c r="AD210" s="57" t="n">
        <f aca="false">IF(M210="","",YEAR(M210))</f>
        <v>2026</v>
      </c>
      <c r="AE210" s="57" t="str">
        <f aca="false">IF(O210="","",YEAR(O210))</f>
        <v/>
      </c>
      <c r="AF210" s="57" t="n">
        <f aca="false">IF(N210="","",YEAR(N210))</f>
        <v>2031</v>
      </c>
      <c r="AG210" s="57" t="n">
        <f aca="false">IF(AND(H210="Yes",OR(G210="Complete",G210="Under construction",G210="Permitted – not started",G210="Stalled")),1,0)</f>
        <v>1</v>
      </c>
      <c r="AH210" s="57" t="n">
        <f aca="false">IF(OR(G210="Under construction",G210="Permitted – not started",G210="Stalled"),1,0)</f>
        <v>1</v>
      </c>
    </row>
    <row r="211" customFormat="false" ht="15" hidden="false" customHeight="false" outlineLevel="0" collapsed="false">
      <c r="A211" s="57" t="s">
        <v>1847</v>
      </c>
      <c r="B211" s="57" t="s">
        <v>1069</v>
      </c>
      <c r="C211" s="57" t="s">
        <v>1848</v>
      </c>
      <c r="D211" s="57" t="s">
        <v>1070</v>
      </c>
      <c r="E211" s="57" t="n">
        <v>4</v>
      </c>
      <c r="F211" s="57"/>
      <c r="G211" s="57" t="s">
        <v>208</v>
      </c>
      <c r="H211" s="57" t="s">
        <v>228</v>
      </c>
      <c r="I211" s="57" t="s">
        <v>1310</v>
      </c>
      <c r="J211" s="57" t="s">
        <v>184</v>
      </c>
      <c r="K211" s="57" t="s">
        <v>310</v>
      </c>
      <c r="L211" s="57" t="s">
        <v>313</v>
      </c>
      <c r="M211" s="58" t="n">
        <v>43264</v>
      </c>
      <c r="N211" s="58"/>
      <c r="O211" s="58" t="n">
        <v>43704</v>
      </c>
      <c r="P211" s="57" t="s">
        <v>1316</v>
      </c>
      <c r="Q211" s="57" t="s">
        <v>1317</v>
      </c>
      <c r="R211" s="57" t="s">
        <v>1318</v>
      </c>
      <c r="S211" s="57" t="n">
        <v>0</v>
      </c>
      <c r="T211" s="57" t="n">
        <v>0</v>
      </c>
      <c r="U211" s="57" t="n">
        <v>0</v>
      </c>
      <c r="V211" s="57" t="n">
        <v>0</v>
      </c>
      <c r="W211" s="57" t="n">
        <v>0</v>
      </c>
      <c r="X211" s="57" t="n">
        <v>0</v>
      </c>
      <c r="Y211" s="57" t="s">
        <v>1337</v>
      </c>
      <c r="Z211" s="57" t="s">
        <v>1338</v>
      </c>
      <c r="AA211" s="57" t="s">
        <v>353</v>
      </c>
      <c r="AB211" s="57" t="s">
        <v>349</v>
      </c>
      <c r="AC211" s="57" t="str">
        <f aca="false">IFERROR(INDEX(dp_geo,MATCH(B211,dp_id,0)),"Unmatched")</f>
        <v>Settlements</v>
      </c>
      <c r="AD211" s="57" t="n">
        <f aca="false">IF(M211="","",YEAR(M211))</f>
        <v>2018</v>
      </c>
      <c r="AE211" s="57" t="n">
        <f aca="false">IF(O211="","",YEAR(O211))</f>
        <v>2019</v>
      </c>
      <c r="AF211" s="57" t="str">
        <f aca="false">IF(N211="","",YEAR(N211))</f>
        <v/>
      </c>
      <c r="AG211" s="57" t="n">
        <f aca="false">IF(AND(H211="Yes",OR(G211="Complete",G211="Under construction",G211="Permitted – not started",G211="Stalled")),1,0)</f>
        <v>1</v>
      </c>
      <c r="AH211" s="57" t="n">
        <f aca="false">IF(OR(G211="Under construction",G211="Permitted – not started",G211="Stalled"),1,0)</f>
        <v>0</v>
      </c>
    </row>
    <row r="212" customFormat="false" ht="15" hidden="false" customHeight="false" outlineLevel="0" collapsed="false">
      <c r="A212" s="57" t="s">
        <v>1849</v>
      </c>
      <c r="B212" s="57" t="s">
        <v>869</v>
      </c>
      <c r="C212" s="57" t="s">
        <v>1850</v>
      </c>
      <c r="D212" s="57" t="s">
        <v>870</v>
      </c>
      <c r="E212" s="57" t="n">
        <v>21</v>
      </c>
      <c r="F212" s="57"/>
      <c r="G212" s="57" t="s">
        <v>230</v>
      </c>
      <c r="H212" s="57" t="s">
        <v>228</v>
      </c>
      <c r="I212" s="57" t="s">
        <v>1310</v>
      </c>
      <c r="J212" s="57" t="s">
        <v>184</v>
      </c>
      <c r="K212" s="57" t="s">
        <v>312</v>
      </c>
      <c r="L212" s="57" t="s">
        <v>309</v>
      </c>
      <c r="M212" s="58" t="n">
        <v>43719</v>
      </c>
      <c r="N212" s="58" t="n">
        <v>45545</v>
      </c>
      <c r="O212" s="58"/>
      <c r="P212" s="57"/>
      <c r="Q212" s="57"/>
      <c r="R212" s="57" t="s">
        <v>1322</v>
      </c>
      <c r="S212" s="57" t="n">
        <v>0</v>
      </c>
      <c r="T212" s="57" t="n">
        <v>0</v>
      </c>
      <c r="U212" s="57" t="n">
        <v>0</v>
      </c>
      <c r="V212" s="57" t="n">
        <v>0</v>
      </c>
      <c r="W212" s="57" t="n">
        <v>0</v>
      </c>
      <c r="X212" s="57" t="n">
        <v>0</v>
      </c>
      <c r="Y212" s="57" t="s">
        <v>1307</v>
      </c>
      <c r="Z212" s="57"/>
      <c r="AA212" s="57" t="s">
        <v>365</v>
      </c>
      <c r="AB212" s="57" t="s">
        <v>365</v>
      </c>
      <c r="AC212" s="57" t="str">
        <f aca="false">IFERROR(INDEX(dp_geo,MATCH(B212,dp_id,0)),"Unmatched")</f>
        <v>Remainder of County</v>
      </c>
      <c r="AD212" s="57" t="n">
        <f aca="false">IF(M212="","",YEAR(M212))</f>
        <v>2019</v>
      </c>
      <c r="AE212" s="57" t="str">
        <f aca="false">IF(O212="","",YEAR(O212))</f>
        <v/>
      </c>
      <c r="AF212" s="57" t="n">
        <f aca="false">IF(N212="","",YEAR(N212))</f>
        <v>2024</v>
      </c>
      <c r="AG212" s="57" t="n">
        <f aca="false">IF(AND(H212="Yes",OR(G212="Complete",G212="Under construction",G212="Permitted – not started",G212="Stalled")),1,0)</f>
        <v>0</v>
      </c>
      <c r="AH212" s="57" t="n">
        <f aca="false">IF(OR(G212="Under construction",G212="Permitted – not started",G212="Stalled"),1,0)</f>
        <v>0</v>
      </c>
    </row>
    <row r="213" customFormat="false" ht="15" hidden="false" customHeight="false" outlineLevel="0" collapsed="false">
      <c r="A213" s="57" t="s">
        <v>1851</v>
      </c>
      <c r="B213" s="57" t="s">
        <v>940</v>
      </c>
      <c r="C213" s="57" t="s">
        <v>1852</v>
      </c>
      <c r="D213" s="57" t="s">
        <v>941</v>
      </c>
      <c r="E213" s="57" t="n">
        <v>12</v>
      </c>
      <c r="F213" s="57"/>
      <c r="G213" s="57" t="s">
        <v>230</v>
      </c>
      <c r="H213" s="57" t="s">
        <v>228</v>
      </c>
      <c r="I213" s="57" t="s">
        <v>1310</v>
      </c>
      <c r="J213" s="57" t="s">
        <v>184</v>
      </c>
      <c r="K213" s="57" t="s">
        <v>312</v>
      </c>
      <c r="L213" s="57" t="s">
        <v>309</v>
      </c>
      <c r="M213" s="58" t="n">
        <v>43635</v>
      </c>
      <c r="N213" s="58" t="n">
        <v>45461</v>
      </c>
      <c r="O213" s="58"/>
      <c r="P213" s="57"/>
      <c r="Q213" s="57"/>
      <c r="R213" s="57" t="s">
        <v>1322</v>
      </c>
      <c r="S213" s="57" t="n">
        <v>0</v>
      </c>
      <c r="T213" s="57" t="n">
        <v>0</v>
      </c>
      <c r="U213" s="57" t="n">
        <v>0</v>
      </c>
      <c r="V213" s="57" t="n">
        <v>0</v>
      </c>
      <c r="W213" s="57" t="n">
        <v>0</v>
      </c>
      <c r="X213" s="57" t="n">
        <v>0</v>
      </c>
      <c r="Y213" s="57" t="s">
        <v>1307</v>
      </c>
      <c r="Z213" s="57"/>
      <c r="AA213" s="57" t="s">
        <v>284</v>
      </c>
      <c r="AB213" s="57" t="s">
        <v>347</v>
      </c>
      <c r="AC213" s="57" t="str">
        <f aca="false">IFERROR(INDEX(dp_geo,MATCH(B213,dp_id,0)),"Unmatched")</f>
        <v>Rest of City</v>
      </c>
      <c r="AD213" s="57" t="n">
        <f aca="false">IF(M213="","",YEAR(M213))</f>
        <v>2019</v>
      </c>
      <c r="AE213" s="57" t="str">
        <f aca="false">IF(O213="","",YEAR(O213))</f>
        <v/>
      </c>
      <c r="AF213" s="57" t="n">
        <f aca="false">IF(N213="","",YEAR(N213))</f>
        <v>2024</v>
      </c>
      <c r="AG213" s="57" t="n">
        <f aca="false">IF(AND(H213="Yes",OR(G213="Complete",G213="Under construction",G213="Permitted – not started",G213="Stalled")),1,0)</f>
        <v>0</v>
      </c>
      <c r="AH213" s="57" t="n">
        <f aca="false">IF(OR(G213="Under construction",G213="Permitted – not started",G213="Stalled"),1,0)</f>
        <v>0</v>
      </c>
    </row>
    <row r="214" customFormat="false" ht="15" hidden="false" customHeight="false" outlineLevel="0" collapsed="false">
      <c r="A214" s="57" t="s">
        <v>1853</v>
      </c>
      <c r="B214" s="57" t="s">
        <v>942</v>
      </c>
      <c r="C214" s="57" t="s">
        <v>1854</v>
      </c>
      <c r="D214" s="57" t="s">
        <v>943</v>
      </c>
      <c r="E214" s="57" t="n">
        <v>12</v>
      </c>
      <c r="F214" s="57"/>
      <c r="G214" s="57" t="s">
        <v>208</v>
      </c>
      <c r="H214" s="57" t="s">
        <v>228</v>
      </c>
      <c r="I214" s="57" t="s">
        <v>1310</v>
      </c>
      <c r="J214" s="57" t="s">
        <v>304</v>
      </c>
      <c r="K214" s="57" t="s">
        <v>308</v>
      </c>
      <c r="L214" s="57" t="s">
        <v>309</v>
      </c>
      <c r="M214" s="58" t="n">
        <v>45099</v>
      </c>
      <c r="N214" s="58" t="n">
        <v>46925</v>
      </c>
      <c r="O214" s="58" t="n">
        <v>45406</v>
      </c>
      <c r="P214" s="57" t="s">
        <v>1364</v>
      </c>
      <c r="Q214" s="57" t="s">
        <v>1317</v>
      </c>
      <c r="R214" s="57" t="s">
        <v>1318</v>
      </c>
      <c r="S214" s="57" t="n">
        <v>0</v>
      </c>
      <c r="T214" s="57" t="n">
        <v>0</v>
      </c>
      <c r="U214" s="57" t="n">
        <v>0</v>
      </c>
      <c r="V214" s="57" t="n">
        <v>0</v>
      </c>
      <c r="W214" s="57" t="n">
        <v>0</v>
      </c>
      <c r="X214" s="57" t="n">
        <v>0</v>
      </c>
      <c r="Y214" s="57" t="s">
        <v>1337</v>
      </c>
      <c r="Z214" s="57" t="s">
        <v>1338</v>
      </c>
      <c r="AA214" s="57" t="s">
        <v>286</v>
      </c>
      <c r="AB214" s="57" t="s">
        <v>347</v>
      </c>
      <c r="AC214" s="57" t="str">
        <f aca="false">IFERROR(INDEX(dp_geo,MATCH(B214,dp_id,0)),"Unmatched")</f>
        <v>Rest of City</v>
      </c>
      <c r="AD214" s="57" t="n">
        <f aca="false">IF(M214="","",YEAR(M214))</f>
        <v>2023</v>
      </c>
      <c r="AE214" s="57" t="n">
        <f aca="false">IF(O214="","",YEAR(O214))</f>
        <v>2024</v>
      </c>
      <c r="AF214" s="57" t="n">
        <f aca="false">IF(N214="","",YEAR(N214))</f>
        <v>2028</v>
      </c>
      <c r="AG214" s="57" t="n">
        <f aca="false">IF(AND(H214="Yes",OR(G214="Complete",G214="Under construction",G214="Permitted – not started",G214="Stalled")),1,0)</f>
        <v>1</v>
      </c>
      <c r="AH214" s="57" t="n">
        <f aca="false">IF(OR(G214="Under construction",G214="Permitted – not started",G214="Stalled"),1,0)</f>
        <v>0</v>
      </c>
    </row>
    <row r="215" customFormat="false" ht="15" hidden="false" customHeight="false" outlineLevel="0" collapsed="false">
      <c r="A215" s="57" t="s">
        <v>1855</v>
      </c>
      <c r="B215" s="57" t="s">
        <v>650</v>
      </c>
      <c r="C215" s="57" t="s">
        <v>1856</v>
      </c>
      <c r="D215" s="57" t="s">
        <v>1857</v>
      </c>
      <c r="E215" s="57" t="n">
        <v>55</v>
      </c>
      <c r="F215" s="57"/>
      <c r="G215" s="57" t="s">
        <v>58</v>
      </c>
      <c r="H215" s="57" t="s">
        <v>228</v>
      </c>
      <c r="I215" s="57" t="s">
        <v>1310</v>
      </c>
      <c r="J215" s="57" t="s">
        <v>304</v>
      </c>
      <c r="K215" s="57" t="s">
        <v>308</v>
      </c>
      <c r="L215" s="57" t="s">
        <v>309</v>
      </c>
      <c r="M215" s="58" t="n">
        <v>45790</v>
      </c>
      <c r="N215" s="58" t="n">
        <v>47615</v>
      </c>
      <c r="O215" s="58"/>
      <c r="P215" s="57" t="s">
        <v>1858</v>
      </c>
      <c r="Q215" s="57" t="s">
        <v>1312</v>
      </c>
      <c r="R215" s="57" t="s">
        <v>1526</v>
      </c>
      <c r="S215" s="57" t="n">
        <v>0</v>
      </c>
      <c r="T215" s="57" t="n">
        <v>0</v>
      </c>
      <c r="U215" s="57" t="n">
        <v>42.9</v>
      </c>
      <c r="V215" s="57" t="n">
        <v>12.1</v>
      </c>
      <c r="W215" s="57" t="n">
        <v>0</v>
      </c>
      <c r="X215" s="57" t="n">
        <v>0</v>
      </c>
      <c r="Y215" s="57" t="s">
        <v>1307</v>
      </c>
      <c r="Z215" s="57"/>
      <c r="AA215" s="57" t="s">
        <v>288</v>
      </c>
      <c r="AB215" s="57" t="s">
        <v>347</v>
      </c>
      <c r="AC215" s="57" t="str">
        <f aca="false">IFERROR(INDEX(dp_geo,MATCH(B215,dp_id,0)),"Unmatched")</f>
        <v>Rest of City</v>
      </c>
      <c r="AD215" s="57" t="n">
        <f aca="false">IF(M215="","",YEAR(M215))</f>
        <v>2025</v>
      </c>
      <c r="AE215" s="57" t="str">
        <f aca="false">IF(O215="","",YEAR(O215))</f>
        <v/>
      </c>
      <c r="AF215" s="57" t="n">
        <f aca="false">IF(N215="","",YEAR(N215))</f>
        <v>2030</v>
      </c>
      <c r="AG215" s="57" t="n">
        <f aca="false">IF(AND(H215="Yes",OR(G215="Complete",G215="Under construction",G215="Permitted – not started",G215="Stalled")),1,0)</f>
        <v>1</v>
      </c>
      <c r="AH215" s="57" t="n">
        <f aca="false">IF(OR(G215="Under construction",G215="Permitted – not started",G215="Stalled"),1,0)</f>
        <v>1</v>
      </c>
    </row>
    <row r="216" customFormat="false" ht="15" hidden="false" customHeight="false" outlineLevel="0" collapsed="false">
      <c r="A216" s="57" t="s">
        <v>1859</v>
      </c>
      <c r="B216" s="57" t="s">
        <v>748</v>
      </c>
      <c r="C216" s="57" t="s">
        <v>1860</v>
      </c>
      <c r="D216" s="57" t="s">
        <v>749</v>
      </c>
      <c r="E216" s="57" t="n">
        <v>68</v>
      </c>
      <c r="F216" s="57"/>
      <c r="G216" s="57" t="s">
        <v>58</v>
      </c>
      <c r="H216" s="57" t="s">
        <v>228</v>
      </c>
      <c r="I216" s="57" t="s">
        <v>1310</v>
      </c>
      <c r="J216" s="57" t="s">
        <v>304</v>
      </c>
      <c r="K216" s="57" t="s">
        <v>308</v>
      </c>
      <c r="L216" s="57" t="s">
        <v>309</v>
      </c>
      <c r="M216" s="58" t="n">
        <v>44810</v>
      </c>
      <c r="N216" s="58" t="n">
        <v>46635</v>
      </c>
      <c r="O216" s="58"/>
      <c r="P216" s="57" t="s">
        <v>1858</v>
      </c>
      <c r="Q216" s="57" t="s">
        <v>1312</v>
      </c>
      <c r="R216" s="57" t="s">
        <v>1526</v>
      </c>
      <c r="S216" s="57" t="n">
        <v>0</v>
      </c>
      <c r="T216" s="57" t="n">
        <v>0</v>
      </c>
      <c r="U216" s="57" t="n">
        <v>53</v>
      </c>
      <c r="V216" s="57" t="n">
        <v>15</v>
      </c>
      <c r="W216" s="57" t="n">
        <v>0</v>
      </c>
      <c r="X216" s="57" t="n">
        <v>0</v>
      </c>
      <c r="Y216" s="57" t="s">
        <v>1307</v>
      </c>
      <c r="Z216" s="57"/>
      <c r="AA216" s="57" t="s">
        <v>350</v>
      </c>
      <c r="AB216" s="57" t="s">
        <v>349</v>
      </c>
      <c r="AC216" s="57" t="str">
        <f aca="false">IFERROR(INDEX(dp_geo,MATCH(B216,dp_id,0)),"Unmatched")</f>
        <v>Settlements</v>
      </c>
      <c r="AD216" s="57" t="n">
        <f aca="false">IF(M216="","",YEAR(M216))</f>
        <v>2022</v>
      </c>
      <c r="AE216" s="57" t="str">
        <f aca="false">IF(O216="","",YEAR(O216))</f>
        <v/>
      </c>
      <c r="AF216" s="57" t="n">
        <f aca="false">IF(N216="","",YEAR(N216))</f>
        <v>2027</v>
      </c>
      <c r="AG216" s="57" t="n">
        <f aca="false">IF(AND(H216="Yes",OR(G216="Complete",G216="Under construction",G216="Permitted – not started",G216="Stalled")),1,0)</f>
        <v>1</v>
      </c>
      <c r="AH216" s="57" t="n">
        <f aca="false">IF(OR(G216="Under construction",G216="Permitted – not started",G216="Stalled"),1,0)</f>
        <v>1</v>
      </c>
    </row>
    <row r="217" customFormat="false" ht="15" hidden="false" customHeight="false" outlineLevel="0" collapsed="false">
      <c r="A217" s="57" t="s">
        <v>1861</v>
      </c>
      <c r="B217" s="57" t="s">
        <v>792</v>
      </c>
      <c r="C217" s="57" t="s">
        <v>1862</v>
      </c>
      <c r="D217" s="57" t="s">
        <v>793</v>
      </c>
      <c r="E217" s="57" t="n">
        <v>51</v>
      </c>
      <c r="F217" s="57"/>
      <c r="G217" s="57" t="s">
        <v>58</v>
      </c>
      <c r="H217" s="57" t="s">
        <v>228</v>
      </c>
      <c r="I217" s="57" t="s">
        <v>1310</v>
      </c>
      <c r="J217" s="57" t="s">
        <v>304</v>
      </c>
      <c r="K217" s="57" t="s">
        <v>308</v>
      </c>
      <c r="L217" s="57" t="s">
        <v>309</v>
      </c>
      <c r="M217" s="58" t="n">
        <v>44693</v>
      </c>
      <c r="N217" s="58" t="n">
        <v>46518</v>
      </c>
      <c r="O217" s="58"/>
      <c r="P217" s="57" t="s">
        <v>1858</v>
      </c>
      <c r="Q217" s="57" t="s">
        <v>1312</v>
      </c>
      <c r="R217" s="57" t="s">
        <v>1526</v>
      </c>
      <c r="S217" s="57" t="n">
        <v>0</v>
      </c>
      <c r="T217" s="57" t="n">
        <v>0</v>
      </c>
      <c r="U217" s="57" t="n">
        <v>39.8</v>
      </c>
      <c r="V217" s="57" t="n">
        <v>11.2</v>
      </c>
      <c r="W217" s="57" t="n">
        <v>0</v>
      </c>
      <c r="X217" s="57" t="n">
        <v>0</v>
      </c>
      <c r="Y217" s="57" t="s">
        <v>1307</v>
      </c>
      <c r="Z217" s="57"/>
      <c r="AA217" s="57" t="s">
        <v>360</v>
      </c>
      <c r="AB217" s="57" t="s">
        <v>356</v>
      </c>
      <c r="AC217" s="57" t="str">
        <f aca="false">IFERROR(INDEX(dp_geo,MATCH(B217,dp_id,0)),"Unmatched")</f>
        <v>Settlements</v>
      </c>
      <c r="AD217" s="57" t="n">
        <f aca="false">IF(M217="","",YEAR(M217))</f>
        <v>2022</v>
      </c>
      <c r="AE217" s="57" t="str">
        <f aca="false">IF(O217="","",YEAR(O217))</f>
        <v/>
      </c>
      <c r="AF217" s="57" t="n">
        <f aca="false">IF(N217="","",YEAR(N217))</f>
        <v>2027</v>
      </c>
      <c r="AG217" s="57" t="n">
        <f aca="false">IF(AND(H217="Yes",OR(G217="Complete",G217="Under construction",G217="Permitted – not started",G217="Stalled")),1,0)</f>
        <v>1</v>
      </c>
      <c r="AH217" s="57" t="n">
        <f aca="false">IF(OR(G217="Under construction",G217="Permitted – not started",G217="Stalled"),1,0)</f>
        <v>1</v>
      </c>
    </row>
    <row r="218" customFormat="false" ht="15" hidden="false" customHeight="false" outlineLevel="0" collapsed="false">
      <c r="A218" s="57" t="s">
        <v>1863</v>
      </c>
      <c r="B218" s="57" t="s">
        <v>871</v>
      </c>
      <c r="C218" s="57" t="s">
        <v>1864</v>
      </c>
      <c r="D218" s="57" t="s">
        <v>872</v>
      </c>
      <c r="E218" s="57" t="n">
        <v>21</v>
      </c>
      <c r="F218" s="57"/>
      <c r="G218" s="57" t="s">
        <v>58</v>
      </c>
      <c r="H218" s="57" t="s">
        <v>228</v>
      </c>
      <c r="I218" s="57" t="s">
        <v>1310</v>
      </c>
      <c r="J218" s="57" t="s">
        <v>304</v>
      </c>
      <c r="K218" s="57" t="s">
        <v>308</v>
      </c>
      <c r="L218" s="57" t="s">
        <v>309</v>
      </c>
      <c r="M218" s="58" t="n">
        <v>45313</v>
      </c>
      <c r="N218" s="58" t="n">
        <v>47139</v>
      </c>
      <c r="O218" s="58"/>
      <c r="P218" s="57" t="s">
        <v>1311</v>
      </c>
      <c r="Q218" s="57" t="s">
        <v>1451</v>
      </c>
      <c r="R218" s="57" t="s">
        <v>1313</v>
      </c>
      <c r="S218" s="57" t="n">
        <v>0</v>
      </c>
      <c r="T218" s="57" t="n">
        <v>0</v>
      </c>
      <c r="U218" s="57" t="n">
        <v>6.7</v>
      </c>
      <c r="V218" s="57" t="n">
        <v>13.9</v>
      </c>
      <c r="W218" s="57" t="n">
        <v>0.5</v>
      </c>
      <c r="X218" s="57" t="n">
        <v>-0.1</v>
      </c>
      <c r="Y218" s="57" t="s">
        <v>1307</v>
      </c>
      <c r="Z218" s="57"/>
      <c r="AA218" s="57" t="s">
        <v>286</v>
      </c>
      <c r="AB218" s="57" t="s">
        <v>347</v>
      </c>
      <c r="AC218" s="57" t="str">
        <f aca="false">IFERROR(INDEX(dp_geo,MATCH(B218,dp_id,0)),"Unmatched")</f>
        <v>Rest of City</v>
      </c>
      <c r="AD218" s="57" t="n">
        <f aca="false">IF(M218="","",YEAR(M218))</f>
        <v>2024</v>
      </c>
      <c r="AE218" s="57" t="str">
        <f aca="false">IF(O218="","",YEAR(O218))</f>
        <v/>
      </c>
      <c r="AF218" s="57" t="n">
        <f aca="false">IF(N218="","",YEAR(N218))</f>
        <v>2029</v>
      </c>
      <c r="AG218" s="57" t="n">
        <f aca="false">IF(AND(H218="Yes",OR(G218="Complete",G218="Under construction",G218="Permitted – not started",G218="Stalled")),1,0)</f>
        <v>1</v>
      </c>
      <c r="AH218" s="57" t="n">
        <f aca="false">IF(OR(G218="Under construction",G218="Permitted – not started",G218="Stalled"),1,0)</f>
        <v>1</v>
      </c>
    </row>
    <row r="219" customFormat="false" ht="15" hidden="false" customHeight="false" outlineLevel="0" collapsed="false">
      <c r="A219" s="57" t="s">
        <v>1865</v>
      </c>
      <c r="B219" s="57" t="s">
        <v>652</v>
      </c>
      <c r="C219" s="57" t="s">
        <v>1866</v>
      </c>
      <c r="D219" s="57" t="s">
        <v>1867</v>
      </c>
      <c r="E219" s="57" t="n">
        <v>20</v>
      </c>
      <c r="F219" s="57"/>
      <c r="G219" s="57" t="s">
        <v>56</v>
      </c>
      <c r="H219" s="57" t="s">
        <v>228</v>
      </c>
      <c r="I219" s="57" t="s">
        <v>1310</v>
      </c>
      <c r="J219" s="57" t="s">
        <v>304</v>
      </c>
      <c r="K219" s="57" t="s">
        <v>308</v>
      </c>
      <c r="L219" s="57" t="s">
        <v>309</v>
      </c>
      <c r="M219" s="58" t="n">
        <v>45323</v>
      </c>
      <c r="N219" s="58" t="n">
        <v>47149</v>
      </c>
      <c r="O219" s="58" t="n">
        <v>45657</v>
      </c>
      <c r="P219" s="57" t="s">
        <v>1472</v>
      </c>
      <c r="Q219" s="57" t="s">
        <v>1317</v>
      </c>
      <c r="R219" s="57" t="s">
        <v>1318</v>
      </c>
      <c r="S219" s="57" t="n">
        <v>4.7</v>
      </c>
      <c r="T219" s="57" t="n">
        <v>15.3</v>
      </c>
      <c r="U219" s="57" t="n">
        <v>0</v>
      </c>
      <c r="V219" s="57" t="n">
        <v>0</v>
      </c>
      <c r="W219" s="57" t="n">
        <v>0</v>
      </c>
      <c r="X219" s="57" t="n">
        <v>0</v>
      </c>
      <c r="Y219" s="57" t="s">
        <v>1307</v>
      </c>
      <c r="Z219" s="57"/>
      <c r="AA219" s="57" t="s">
        <v>288</v>
      </c>
      <c r="AB219" s="57" t="s">
        <v>347</v>
      </c>
      <c r="AC219" s="57" t="str">
        <f aca="false">IFERROR(INDEX(dp_geo,MATCH(B219,dp_id,0)),"Unmatched")</f>
        <v>Rest of City</v>
      </c>
      <c r="AD219" s="57" t="n">
        <f aca="false">IF(M219="","",YEAR(M219))</f>
        <v>2024</v>
      </c>
      <c r="AE219" s="57" t="n">
        <f aca="false">IF(O219="","",YEAR(O219))</f>
        <v>2024</v>
      </c>
      <c r="AF219" s="57" t="n">
        <f aca="false">IF(N219="","",YEAR(N219))</f>
        <v>2029</v>
      </c>
      <c r="AG219" s="57" t="n">
        <f aca="false">IF(AND(H219="Yes",OR(G219="Complete",G219="Under construction",G219="Permitted – not started",G219="Stalled")),1,0)</f>
        <v>1</v>
      </c>
      <c r="AH219" s="57" t="n">
        <f aca="false">IF(OR(G219="Under construction",G219="Permitted – not started",G219="Stalled"),1,0)</f>
        <v>1</v>
      </c>
    </row>
    <row r="220" customFormat="false" ht="15" hidden="false" customHeight="false" outlineLevel="0" collapsed="false">
      <c r="A220" s="57" t="s">
        <v>1868</v>
      </c>
      <c r="B220" s="57" t="s">
        <v>828</v>
      </c>
      <c r="C220" s="57" t="s">
        <v>1869</v>
      </c>
      <c r="D220" s="57" t="s">
        <v>829</v>
      </c>
      <c r="E220" s="57" t="n">
        <v>29</v>
      </c>
      <c r="F220" s="57"/>
      <c r="G220" s="57" t="s">
        <v>58</v>
      </c>
      <c r="H220" s="57" t="s">
        <v>228</v>
      </c>
      <c r="I220" s="57" t="s">
        <v>1347</v>
      </c>
      <c r="J220" s="57" t="s">
        <v>304</v>
      </c>
      <c r="K220" s="57" t="s">
        <v>308</v>
      </c>
      <c r="L220" s="57" t="s">
        <v>309</v>
      </c>
      <c r="M220" s="58" t="n">
        <v>45119</v>
      </c>
      <c r="N220" s="58" t="n">
        <v>46945</v>
      </c>
      <c r="O220" s="58"/>
      <c r="P220" s="57" t="s">
        <v>1311</v>
      </c>
      <c r="Q220" s="57" t="s">
        <v>1348</v>
      </c>
      <c r="R220" s="57" t="s">
        <v>1313</v>
      </c>
      <c r="S220" s="57" t="n">
        <v>0</v>
      </c>
      <c r="T220" s="57" t="n">
        <v>0</v>
      </c>
      <c r="U220" s="57" t="n">
        <v>22</v>
      </c>
      <c r="V220" s="57" t="n">
        <v>7</v>
      </c>
      <c r="W220" s="57" t="n">
        <v>0</v>
      </c>
      <c r="X220" s="57" t="n">
        <v>0</v>
      </c>
      <c r="Y220" s="57" t="s">
        <v>1307</v>
      </c>
      <c r="Z220" s="57"/>
      <c r="AA220" s="57" t="s">
        <v>258</v>
      </c>
      <c r="AB220" s="57" t="s">
        <v>347</v>
      </c>
      <c r="AC220" s="57" t="str">
        <f aca="false">IFERROR(INDEX(dp_geo,MATCH(B220,dp_id,0)),"Unmatched")</f>
        <v>City Centre</v>
      </c>
      <c r="AD220" s="57" t="n">
        <f aca="false">IF(M220="","",YEAR(M220))</f>
        <v>2023</v>
      </c>
      <c r="AE220" s="57" t="str">
        <f aca="false">IF(O220="","",YEAR(O220))</f>
        <v/>
      </c>
      <c r="AF220" s="57" t="n">
        <f aca="false">IF(N220="","",YEAR(N220))</f>
        <v>2028</v>
      </c>
      <c r="AG220" s="57" t="n">
        <f aca="false">IF(AND(H220="Yes",OR(G220="Complete",G220="Under construction",G220="Permitted – not started",G220="Stalled")),1,0)</f>
        <v>1</v>
      </c>
      <c r="AH220" s="57" t="n">
        <f aca="false">IF(OR(G220="Under construction",G220="Permitted – not started",G220="Stalled"),1,0)</f>
        <v>1</v>
      </c>
    </row>
    <row r="221" customFormat="false" ht="15" hidden="false" customHeight="false" outlineLevel="0" collapsed="false">
      <c r="A221" s="57" t="s">
        <v>1870</v>
      </c>
      <c r="B221" s="57" t="s">
        <v>824</v>
      </c>
      <c r="C221" s="57" t="s">
        <v>1871</v>
      </c>
      <c r="D221" s="57" t="s">
        <v>825</v>
      </c>
      <c r="E221" s="57" t="n">
        <v>30</v>
      </c>
      <c r="F221" s="57"/>
      <c r="G221" s="57" t="s">
        <v>58</v>
      </c>
      <c r="H221" s="57" t="s">
        <v>228</v>
      </c>
      <c r="I221" s="57" t="s">
        <v>1310</v>
      </c>
      <c r="J221" s="57" t="s">
        <v>304</v>
      </c>
      <c r="K221" s="57" t="s">
        <v>308</v>
      </c>
      <c r="L221" s="57" t="s">
        <v>309</v>
      </c>
      <c r="M221" s="58" t="n">
        <v>45091</v>
      </c>
      <c r="N221" s="58" t="n">
        <v>46917</v>
      </c>
      <c r="O221" s="58"/>
      <c r="P221" s="57" t="s">
        <v>1311</v>
      </c>
      <c r="Q221" s="57" t="s">
        <v>1348</v>
      </c>
      <c r="R221" s="57" t="s">
        <v>1313</v>
      </c>
      <c r="S221" s="57" t="n">
        <v>0</v>
      </c>
      <c r="T221" s="57" t="n">
        <v>0</v>
      </c>
      <c r="U221" s="57" t="n">
        <v>22.8</v>
      </c>
      <c r="V221" s="57" t="n">
        <v>7.2</v>
      </c>
      <c r="W221" s="57" t="n">
        <v>0</v>
      </c>
      <c r="X221" s="57" t="n">
        <v>0</v>
      </c>
      <c r="Y221" s="57" t="s">
        <v>1307</v>
      </c>
      <c r="Z221" s="57"/>
      <c r="AA221" s="57" t="s">
        <v>286</v>
      </c>
      <c r="AB221" s="57" t="s">
        <v>347</v>
      </c>
      <c r="AC221" s="57" t="str">
        <f aca="false">IFERROR(INDEX(dp_geo,MATCH(B221,dp_id,0)),"Unmatched")</f>
        <v>Rest of City</v>
      </c>
      <c r="AD221" s="57" t="n">
        <f aca="false">IF(M221="","",YEAR(M221))</f>
        <v>2023</v>
      </c>
      <c r="AE221" s="57" t="str">
        <f aca="false">IF(O221="","",YEAR(O221))</f>
        <v/>
      </c>
      <c r="AF221" s="57" t="n">
        <f aca="false">IF(N221="","",YEAR(N221))</f>
        <v>2028</v>
      </c>
      <c r="AG221" s="57" t="n">
        <f aca="false">IF(AND(H221="Yes",OR(G221="Complete",G221="Under construction",G221="Permitted – not started",G221="Stalled")),1,0)</f>
        <v>1</v>
      </c>
      <c r="AH221" s="57" t="n">
        <f aca="false">IF(OR(G221="Under construction",G221="Permitted – not started",G221="Stalled"),1,0)</f>
        <v>1</v>
      </c>
    </row>
    <row r="222" customFormat="false" ht="15" hidden="false" customHeight="false" outlineLevel="0" collapsed="false">
      <c r="A222" s="57" t="s">
        <v>1872</v>
      </c>
      <c r="B222" s="57" t="s">
        <v>804</v>
      </c>
      <c r="C222" s="57" t="s">
        <v>1873</v>
      </c>
      <c r="D222" s="57" t="s">
        <v>805</v>
      </c>
      <c r="E222" s="57" t="n">
        <v>41</v>
      </c>
      <c r="F222" s="57"/>
      <c r="G222" s="57" t="s">
        <v>58</v>
      </c>
      <c r="H222" s="57" t="s">
        <v>228</v>
      </c>
      <c r="I222" s="57" t="s">
        <v>1347</v>
      </c>
      <c r="J222" s="57" t="s">
        <v>304</v>
      </c>
      <c r="K222" s="57" t="s">
        <v>308</v>
      </c>
      <c r="L222" s="57" t="s">
        <v>309</v>
      </c>
      <c r="M222" s="58" t="n">
        <v>45245</v>
      </c>
      <c r="N222" s="58" t="n">
        <v>47071</v>
      </c>
      <c r="O222" s="58"/>
      <c r="P222" s="57" t="s">
        <v>1858</v>
      </c>
      <c r="Q222" s="57" t="s">
        <v>1460</v>
      </c>
      <c r="R222" s="57" t="s">
        <v>1526</v>
      </c>
      <c r="S222" s="57" t="n">
        <v>0</v>
      </c>
      <c r="T222" s="57" t="n">
        <v>1.1</v>
      </c>
      <c r="U222" s="57" t="n">
        <v>39.9</v>
      </c>
      <c r="V222" s="57" t="n">
        <v>0</v>
      </c>
      <c r="W222" s="57" t="n">
        <v>0</v>
      </c>
      <c r="X222" s="57" t="n">
        <v>0</v>
      </c>
      <c r="Y222" s="57" t="s">
        <v>1307</v>
      </c>
      <c r="Z222" s="57"/>
      <c r="AA222" s="57" t="s">
        <v>364</v>
      </c>
      <c r="AB222" s="57" t="s">
        <v>356</v>
      </c>
      <c r="AC222" s="57" t="str">
        <f aca="false">IFERROR(INDEX(dp_geo,MATCH(B222,dp_id,0)),"Unmatched")</f>
        <v>Settlements</v>
      </c>
      <c r="AD222" s="57" t="n">
        <f aca="false">IF(M222="","",YEAR(M222))</f>
        <v>2023</v>
      </c>
      <c r="AE222" s="57" t="str">
        <f aca="false">IF(O222="","",YEAR(O222))</f>
        <v/>
      </c>
      <c r="AF222" s="57" t="n">
        <f aca="false">IF(N222="","",YEAR(N222))</f>
        <v>2028</v>
      </c>
      <c r="AG222" s="57" t="n">
        <f aca="false">IF(AND(H222="Yes",OR(G222="Complete",G222="Under construction",G222="Permitted – not started",G222="Stalled")),1,0)</f>
        <v>1</v>
      </c>
      <c r="AH222" s="57" t="n">
        <f aca="false">IF(OR(G222="Under construction",G222="Permitted – not started",G222="Stalled"),1,0)</f>
        <v>1</v>
      </c>
    </row>
    <row r="223" customFormat="false" ht="15" hidden="false" customHeight="false" outlineLevel="0" collapsed="false">
      <c r="A223" s="57" t="s">
        <v>1874</v>
      </c>
      <c r="B223" s="57" t="s">
        <v>855</v>
      </c>
      <c r="C223" s="57" t="s">
        <v>1875</v>
      </c>
      <c r="D223" s="57" t="s">
        <v>856</v>
      </c>
      <c r="E223" s="57" t="n">
        <v>24</v>
      </c>
      <c r="F223" s="57"/>
      <c r="G223" s="57" t="s">
        <v>56</v>
      </c>
      <c r="H223" s="57" t="s">
        <v>228</v>
      </c>
      <c r="I223" s="57" t="s">
        <v>1310</v>
      </c>
      <c r="J223" s="57" t="s">
        <v>304</v>
      </c>
      <c r="K223" s="57" t="s">
        <v>308</v>
      </c>
      <c r="L223" s="57" t="s">
        <v>309</v>
      </c>
      <c r="M223" s="58" t="n">
        <v>45160</v>
      </c>
      <c r="N223" s="58" t="n">
        <v>46986</v>
      </c>
      <c r="O223" s="58" t="n">
        <v>45992</v>
      </c>
      <c r="P223" s="57" t="s">
        <v>1447</v>
      </c>
      <c r="Q223" s="57" t="s">
        <v>1460</v>
      </c>
      <c r="R223" s="57" t="s">
        <v>1318</v>
      </c>
      <c r="S223" s="57" t="n">
        <v>1.1</v>
      </c>
      <c r="T223" s="57" t="n">
        <v>12.8</v>
      </c>
      <c r="U223" s="57" t="n">
        <v>10.1</v>
      </c>
      <c r="V223" s="57" t="n">
        <v>0</v>
      </c>
      <c r="W223" s="57" t="n">
        <v>0</v>
      </c>
      <c r="X223" s="57" t="n">
        <v>0</v>
      </c>
      <c r="Y223" s="57" t="s">
        <v>1307</v>
      </c>
      <c r="Z223" s="57"/>
      <c r="AA223" s="57" t="s">
        <v>258</v>
      </c>
      <c r="AB223" s="57" t="s">
        <v>347</v>
      </c>
      <c r="AC223" s="57" t="str">
        <f aca="false">IFERROR(INDEX(dp_geo,MATCH(B223,dp_id,0)),"Unmatched")</f>
        <v>City Centre</v>
      </c>
      <c r="AD223" s="57" t="n">
        <f aca="false">IF(M223="","",YEAR(M223))</f>
        <v>2023</v>
      </c>
      <c r="AE223" s="57" t="n">
        <f aca="false">IF(O223="","",YEAR(O223))</f>
        <v>2025</v>
      </c>
      <c r="AF223" s="57" t="n">
        <f aca="false">IF(N223="","",YEAR(N223))</f>
        <v>2028</v>
      </c>
      <c r="AG223" s="57" t="n">
        <f aca="false">IF(AND(H223="Yes",OR(G223="Complete",G223="Under construction",G223="Permitted – not started",G223="Stalled")),1,0)</f>
        <v>1</v>
      </c>
      <c r="AH223" s="57" t="n">
        <f aca="false">IF(OR(G223="Under construction",G223="Permitted – not started",G223="Stalled"),1,0)</f>
        <v>1</v>
      </c>
    </row>
    <row r="224" customFormat="false" ht="15" hidden="false" customHeight="false" outlineLevel="0" collapsed="false">
      <c r="A224" s="57" t="s">
        <v>1876</v>
      </c>
      <c r="B224" s="57" t="s">
        <v>752</v>
      </c>
      <c r="C224" s="57" t="s">
        <v>1877</v>
      </c>
      <c r="D224" s="57" t="s">
        <v>753</v>
      </c>
      <c r="E224" s="57" t="n">
        <v>104</v>
      </c>
      <c r="F224" s="57"/>
      <c r="G224" s="57" t="s">
        <v>58</v>
      </c>
      <c r="H224" s="57" t="s">
        <v>228</v>
      </c>
      <c r="I224" s="57" t="s">
        <v>1310</v>
      </c>
      <c r="J224" s="57" t="s">
        <v>304</v>
      </c>
      <c r="K224" s="57" t="s">
        <v>308</v>
      </c>
      <c r="L224" s="57" t="s">
        <v>309</v>
      </c>
      <c r="M224" s="58" t="n">
        <v>45761</v>
      </c>
      <c r="N224" s="58" t="n">
        <v>47586</v>
      </c>
      <c r="O224" s="58"/>
      <c r="P224" s="57" t="s">
        <v>1469</v>
      </c>
      <c r="Q224" s="57" t="s">
        <v>1312</v>
      </c>
      <c r="R224" s="57" t="s">
        <v>1526</v>
      </c>
      <c r="S224" s="57" t="n">
        <v>0</v>
      </c>
      <c r="T224" s="57" t="n">
        <v>0</v>
      </c>
      <c r="U224" s="57" t="n">
        <v>70</v>
      </c>
      <c r="V224" s="57" t="n">
        <v>34</v>
      </c>
      <c r="W224" s="57" t="n">
        <v>0</v>
      </c>
      <c r="X224" s="57" t="n">
        <v>0</v>
      </c>
      <c r="Y224" s="57" t="s">
        <v>1307</v>
      </c>
      <c r="Z224" s="57"/>
      <c r="AA224" s="57" t="s">
        <v>286</v>
      </c>
      <c r="AB224" s="57" t="s">
        <v>347</v>
      </c>
      <c r="AC224" s="57" t="str">
        <f aca="false">IFERROR(INDEX(dp_geo,MATCH(B224,dp_id,0)),"Unmatched")</f>
        <v>Rest of City</v>
      </c>
      <c r="AD224" s="57" t="n">
        <f aca="false">IF(M224="","",YEAR(M224))</f>
        <v>2025</v>
      </c>
      <c r="AE224" s="57" t="str">
        <f aca="false">IF(O224="","",YEAR(O224))</f>
        <v/>
      </c>
      <c r="AF224" s="57" t="n">
        <f aca="false">IF(N224="","",YEAR(N224))</f>
        <v>2030</v>
      </c>
      <c r="AG224" s="57" t="n">
        <f aca="false">IF(AND(H224="Yes",OR(G224="Complete",G224="Under construction",G224="Permitted – not started",G224="Stalled")),1,0)</f>
        <v>1</v>
      </c>
      <c r="AH224" s="57" t="n">
        <f aca="false">IF(OR(G224="Under construction",G224="Permitted – not started",G224="Stalled"),1,0)</f>
        <v>1</v>
      </c>
    </row>
    <row r="225" customFormat="false" ht="15" hidden="false" customHeight="false" outlineLevel="0" collapsed="false">
      <c r="A225" s="57" t="s">
        <v>1878</v>
      </c>
      <c r="B225" s="57" t="s">
        <v>1071</v>
      </c>
      <c r="C225" s="57" t="s">
        <v>1879</v>
      </c>
      <c r="D225" s="57" t="s">
        <v>1072</v>
      </c>
      <c r="E225" s="57" t="n">
        <v>4</v>
      </c>
      <c r="F225" s="57"/>
      <c r="G225" s="57" t="s">
        <v>58</v>
      </c>
      <c r="H225" s="57" t="s">
        <v>228</v>
      </c>
      <c r="I225" s="57" t="s">
        <v>1310</v>
      </c>
      <c r="J225" s="57" t="s">
        <v>184</v>
      </c>
      <c r="K225" s="57" t="s">
        <v>310</v>
      </c>
      <c r="L225" s="57" t="s">
        <v>313</v>
      </c>
      <c r="M225" s="58" t="n">
        <v>45335</v>
      </c>
      <c r="N225" s="58"/>
      <c r="O225" s="58"/>
      <c r="P225" s="57" t="s">
        <v>1469</v>
      </c>
      <c r="Q225" s="57" t="s">
        <v>1348</v>
      </c>
      <c r="R225" s="57" t="s">
        <v>1526</v>
      </c>
      <c r="S225" s="57" t="n">
        <v>0</v>
      </c>
      <c r="T225" s="57" t="n">
        <v>0</v>
      </c>
      <c r="U225" s="57" t="n">
        <v>3.5</v>
      </c>
      <c r="V225" s="57" t="n">
        <v>0.5</v>
      </c>
      <c r="W225" s="57" t="n">
        <v>0</v>
      </c>
      <c r="X225" s="57" t="n">
        <v>0</v>
      </c>
      <c r="Y225" s="57" t="s">
        <v>1307</v>
      </c>
      <c r="Z225" s="57"/>
      <c r="AA225" s="57" t="s">
        <v>365</v>
      </c>
      <c r="AB225" s="57" t="s">
        <v>365</v>
      </c>
      <c r="AC225" s="57" t="str">
        <f aca="false">IFERROR(INDEX(dp_geo,MATCH(B225,dp_id,0)),"Unmatched")</f>
        <v>Remainder of County</v>
      </c>
      <c r="AD225" s="57" t="n">
        <f aca="false">IF(M225="","",YEAR(M225))</f>
        <v>2024</v>
      </c>
      <c r="AE225" s="57" t="str">
        <f aca="false">IF(O225="","",YEAR(O225))</f>
        <v/>
      </c>
      <c r="AF225" s="57" t="str">
        <f aca="false">IF(N225="","",YEAR(N225))</f>
        <v/>
      </c>
      <c r="AG225" s="57" t="n">
        <f aca="false">IF(AND(H225="Yes",OR(G225="Complete",G225="Under construction",G225="Permitted – not started",G225="Stalled")),1,0)</f>
        <v>1</v>
      </c>
      <c r="AH225" s="57" t="n">
        <f aca="false">IF(OR(G225="Under construction",G225="Permitted – not started",G225="Stalled"),1,0)</f>
        <v>1</v>
      </c>
    </row>
    <row r="226" customFormat="false" ht="15" hidden="false" customHeight="false" outlineLevel="0" collapsed="false">
      <c r="A226" s="57" t="s">
        <v>1880</v>
      </c>
      <c r="B226" s="57" t="s">
        <v>746</v>
      </c>
      <c r="C226" s="57" t="s">
        <v>1881</v>
      </c>
      <c r="D226" s="57" t="s">
        <v>747</v>
      </c>
      <c r="E226" s="57" t="n">
        <v>122</v>
      </c>
      <c r="F226" s="57"/>
      <c r="G226" s="57" t="s">
        <v>56</v>
      </c>
      <c r="H226" s="57" t="s">
        <v>228</v>
      </c>
      <c r="I226" s="57" t="s">
        <v>1310</v>
      </c>
      <c r="J226" s="57" t="s">
        <v>304</v>
      </c>
      <c r="K226" s="57" t="s">
        <v>308</v>
      </c>
      <c r="L226" s="57" t="s">
        <v>311</v>
      </c>
      <c r="M226" s="58" t="n">
        <v>45435</v>
      </c>
      <c r="N226" s="58" t="n">
        <v>47260</v>
      </c>
      <c r="O226" s="58" t="n">
        <v>45646</v>
      </c>
      <c r="P226" s="57" t="s">
        <v>1468</v>
      </c>
      <c r="Q226" s="57" t="s">
        <v>1317</v>
      </c>
      <c r="R226" s="57" t="s">
        <v>1318</v>
      </c>
      <c r="S226" s="57" t="n">
        <v>28.4</v>
      </c>
      <c r="T226" s="57" t="n">
        <v>93.6</v>
      </c>
      <c r="U226" s="57" t="n">
        <v>0</v>
      </c>
      <c r="V226" s="57" t="n">
        <v>0</v>
      </c>
      <c r="W226" s="57" t="n">
        <v>0</v>
      </c>
      <c r="X226" s="57" t="n">
        <v>0</v>
      </c>
      <c r="Y226" s="57" t="s">
        <v>1307</v>
      </c>
      <c r="Z226" s="57"/>
      <c r="AA226" s="57" t="s">
        <v>285</v>
      </c>
      <c r="AB226" s="57" t="s">
        <v>347</v>
      </c>
      <c r="AC226" s="57" t="str">
        <f aca="false">IFERROR(INDEX(dp_geo,MATCH(B226,dp_id,0)),"Unmatched")</f>
        <v>Rest of City</v>
      </c>
      <c r="AD226" s="57" t="n">
        <f aca="false">IF(M226="","",YEAR(M226))</f>
        <v>2024</v>
      </c>
      <c r="AE226" s="57" t="n">
        <f aca="false">IF(O226="","",YEAR(O226))</f>
        <v>2024</v>
      </c>
      <c r="AF226" s="57" t="n">
        <f aca="false">IF(N226="","",YEAR(N226))</f>
        <v>2029</v>
      </c>
      <c r="AG226" s="57" t="n">
        <f aca="false">IF(AND(H226="Yes",OR(G226="Complete",G226="Under construction",G226="Permitted – not started",G226="Stalled")),1,0)</f>
        <v>1</v>
      </c>
      <c r="AH226" s="57" t="n">
        <f aca="false">IF(OR(G226="Under construction",G226="Permitted – not started",G226="Stalled"),1,0)</f>
        <v>1</v>
      </c>
    </row>
    <row r="227" customFormat="false" ht="15" hidden="false" customHeight="false" outlineLevel="0" collapsed="false">
      <c r="A227" s="57" t="s">
        <v>1882</v>
      </c>
      <c r="B227" s="57" t="s">
        <v>959</v>
      </c>
      <c r="C227" s="57" t="s">
        <v>1883</v>
      </c>
      <c r="D227" s="57" t="s">
        <v>960</v>
      </c>
      <c r="E227" s="57" t="n">
        <v>10</v>
      </c>
      <c r="F227" s="57"/>
      <c r="G227" s="57" t="s">
        <v>58</v>
      </c>
      <c r="H227" s="57" t="s">
        <v>228</v>
      </c>
      <c r="I227" s="57" t="s">
        <v>1310</v>
      </c>
      <c r="J227" s="57" t="s">
        <v>184</v>
      </c>
      <c r="K227" s="57" t="s">
        <v>312</v>
      </c>
      <c r="L227" s="57" t="s">
        <v>309</v>
      </c>
      <c r="M227" s="58" t="n">
        <v>45537</v>
      </c>
      <c r="N227" s="58" t="n">
        <v>47362</v>
      </c>
      <c r="O227" s="58"/>
      <c r="P227" s="57" t="s">
        <v>1469</v>
      </c>
      <c r="Q227" s="57" t="s">
        <v>1348</v>
      </c>
      <c r="R227" s="57" t="s">
        <v>1526</v>
      </c>
      <c r="S227" s="57" t="n">
        <v>0</v>
      </c>
      <c r="T227" s="57" t="n">
        <v>0</v>
      </c>
      <c r="U227" s="57" t="n">
        <v>8.4</v>
      </c>
      <c r="V227" s="57" t="n">
        <v>1.6</v>
      </c>
      <c r="W227" s="57" t="n">
        <v>0</v>
      </c>
      <c r="X227" s="57" t="n">
        <v>0</v>
      </c>
      <c r="Y227" s="57" t="s">
        <v>1307</v>
      </c>
      <c r="Z227" s="57"/>
      <c r="AA227" s="57" t="s">
        <v>365</v>
      </c>
      <c r="AB227" s="57" t="s">
        <v>365</v>
      </c>
      <c r="AC227" s="57" t="str">
        <f aca="false">IFERROR(INDEX(dp_geo,MATCH(B227,dp_id,0)),"Unmatched")</f>
        <v>Remainder of County</v>
      </c>
      <c r="AD227" s="57" t="n">
        <f aca="false">IF(M227="","",YEAR(M227))</f>
        <v>2024</v>
      </c>
      <c r="AE227" s="57" t="str">
        <f aca="false">IF(O227="","",YEAR(O227))</f>
        <v/>
      </c>
      <c r="AF227" s="57" t="n">
        <f aca="false">IF(N227="","",YEAR(N227))</f>
        <v>2029</v>
      </c>
      <c r="AG227" s="57" t="n">
        <f aca="false">IF(AND(H227="Yes",OR(G227="Complete",G227="Under construction",G227="Permitted – not started",G227="Stalled")),1,0)</f>
        <v>1</v>
      </c>
      <c r="AH227" s="57" t="n">
        <f aca="false">IF(OR(G227="Under construction",G227="Permitted – not started",G227="Stalled"),1,0)</f>
        <v>1</v>
      </c>
    </row>
    <row r="228" customFormat="false" ht="15" hidden="false" customHeight="false" outlineLevel="0" collapsed="false">
      <c r="A228" s="57" t="s">
        <v>1884</v>
      </c>
      <c r="B228" s="57" t="s">
        <v>1001</v>
      </c>
      <c r="C228" s="57" t="s">
        <v>1885</v>
      </c>
      <c r="D228" s="57" t="s">
        <v>1002</v>
      </c>
      <c r="E228" s="57" t="n">
        <v>7</v>
      </c>
      <c r="F228" s="57"/>
      <c r="G228" s="57" t="s">
        <v>58</v>
      </c>
      <c r="H228" s="57" t="s">
        <v>228</v>
      </c>
      <c r="I228" s="57" t="s">
        <v>1347</v>
      </c>
      <c r="J228" s="57" t="s">
        <v>184</v>
      </c>
      <c r="K228" s="57" t="s">
        <v>312</v>
      </c>
      <c r="L228" s="57" t="s">
        <v>309</v>
      </c>
      <c r="M228" s="58" t="n">
        <v>45520</v>
      </c>
      <c r="N228" s="58" t="n">
        <v>47345</v>
      </c>
      <c r="O228" s="58"/>
      <c r="P228" s="57" t="s">
        <v>1469</v>
      </c>
      <c r="Q228" s="57" t="s">
        <v>1348</v>
      </c>
      <c r="R228" s="57" t="s">
        <v>1526</v>
      </c>
      <c r="S228" s="57" t="n">
        <v>0</v>
      </c>
      <c r="T228" s="57" t="n">
        <v>0</v>
      </c>
      <c r="U228" s="57" t="n">
        <v>6.1</v>
      </c>
      <c r="V228" s="57" t="n">
        <v>0.9</v>
      </c>
      <c r="W228" s="57" t="n">
        <v>0</v>
      </c>
      <c r="X228" s="57" t="n">
        <v>0</v>
      </c>
      <c r="Y228" s="57" t="s">
        <v>1307</v>
      </c>
      <c r="Z228" s="57"/>
      <c r="AA228" s="57" t="s">
        <v>365</v>
      </c>
      <c r="AB228" s="57" t="s">
        <v>365</v>
      </c>
      <c r="AC228" s="57" t="str">
        <f aca="false">IFERROR(INDEX(dp_geo,MATCH(B228,dp_id,0)),"Unmatched")</f>
        <v>Remainder of County</v>
      </c>
      <c r="AD228" s="57" t="n">
        <f aca="false">IF(M228="","",YEAR(M228))</f>
        <v>2024</v>
      </c>
      <c r="AE228" s="57" t="str">
        <f aca="false">IF(O228="","",YEAR(O228))</f>
        <v/>
      </c>
      <c r="AF228" s="57" t="n">
        <f aca="false">IF(N228="","",YEAR(N228))</f>
        <v>2029</v>
      </c>
      <c r="AG228" s="57" t="n">
        <f aca="false">IF(AND(H228="Yes",OR(G228="Complete",G228="Under construction",G228="Permitted – not started",G228="Stalled")),1,0)</f>
        <v>1</v>
      </c>
      <c r="AH228" s="57" t="n">
        <f aca="false">IF(OR(G228="Under construction",G228="Permitted – not started",G228="Stalled"),1,0)</f>
        <v>1</v>
      </c>
    </row>
    <row r="229" customFormat="false" ht="15" hidden="false" customHeight="false" outlineLevel="0" collapsed="false">
      <c r="A229" s="57" t="s">
        <v>1886</v>
      </c>
      <c r="B229" s="57" t="s">
        <v>901</v>
      </c>
      <c r="C229" s="57" t="s">
        <v>1887</v>
      </c>
      <c r="D229" s="57" t="s">
        <v>902</v>
      </c>
      <c r="E229" s="57" t="n">
        <v>15</v>
      </c>
      <c r="F229" s="57"/>
      <c r="G229" s="57" t="s">
        <v>58</v>
      </c>
      <c r="H229" s="57" t="s">
        <v>228</v>
      </c>
      <c r="I229" s="57" t="s">
        <v>1310</v>
      </c>
      <c r="J229" s="57" t="s">
        <v>304</v>
      </c>
      <c r="K229" s="57" t="s">
        <v>308</v>
      </c>
      <c r="L229" s="57" t="s">
        <v>309</v>
      </c>
      <c r="M229" s="58" t="n">
        <v>45771</v>
      </c>
      <c r="N229" s="58" t="n">
        <v>47596</v>
      </c>
      <c r="O229" s="58"/>
      <c r="P229" s="57" t="s">
        <v>1311</v>
      </c>
      <c r="Q229" s="57" t="s">
        <v>1312</v>
      </c>
      <c r="R229" s="57" t="s">
        <v>1313</v>
      </c>
      <c r="S229" s="57" t="n">
        <v>0</v>
      </c>
      <c r="T229" s="57" t="n">
        <v>0</v>
      </c>
      <c r="U229" s="57" t="n">
        <v>8.8</v>
      </c>
      <c r="V229" s="57" t="n">
        <v>6.2</v>
      </c>
      <c r="W229" s="57" t="n">
        <v>0</v>
      </c>
      <c r="X229" s="57" t="n">
        <v>0</v>
      </c>
      <c r="Y229" s="57" t="s">
        <v>1307</v>
      </c>
      <c r="Z229" s="57"/>
      <c r="AA229" s="57" t="s">
        <v>258</v>
      </c>
      <c r="AB229" s="57" t="s">
        <v>347</v>
      </c>
      <c r="AC229" s="57" t="str">
        <f aca="false">IFERROR(INDEX(dp_geo,MATCH(B229,dp_id,0)),"Unmatched")</f>
        <v>City Centre</v>
      </c>
      <c r="AD229" s="57" t="n">
        <f aca="false">IF(M229="","",YEAR(M229))</f>
        <v>2025</v>
      </c>
      <c r="AE229" s="57" t="str">
        <f aca="false">IF(O229="","",YEAR(O229))</f>
        <v/>
      </c>
      <c r="AF229" s="57" t="n">
        <f aca="false">IF(N229="","",YEAR(N229))</f>
        <v>2030</v>
      </c>
      <c r="AG229" s="57" t="n">
        <f aca="false">IF(AND(H229="Yes",OR(G229="Complete",G229="Under construction",G229="Permitted – not started",G229="Stalled")),1,0)</f>
        <v>1</v>
      </c>
      <c r="AH229" s="57" t="n">
        <f aca="false">IF(OR(G229="Under construction",G229="Permitted – not started",G229="Stalled"),1,0)</f>
        <v>1</v>
      </c>
    </row>
    <row r="230" customFormat="false" ht="15" hidden="false" customHeight="false" outlineLevel="0" collapsed="false">
      <c r="A230" s="57" t="s">
        <v>1888</v>
      </c>
      <c r="B230" s="57" t="s">
        <v>826</v>
      </c>
      <c r="C230" s="57" t="s">
        <v>1889</v>
      </c>
      <c r="D230" s="57" t="s">
        <v>827</v>
      </c>
      <c r="E230" s="57" t="n">
        <v>30</v>
      </c>
      <c r="F230" s="57"/>
      <c r="G230" s="57" t="s">
        <v>231</v>
      </c>
      <c r="H230" s="57" t="s">
        <v>228</v>
      </c>
      <c r="I230" s="57" t="s">
        <v>1310</v>
      </c>
      <c r="J230" s="57" t="s">
        <v>304</v>
      </c>
      <c r="K230" s="57" t="s">
        <v>308</v>
      </c>
      <c r="L230" s="57" t="s">
        <v>309</v>
      </c>
      <c r="M230" s="58"/>
      <c r="N230" s="58"/>
      <c r="O230" s="58"/>
      <c r="P230" s="57"/>
      <c r="Q230" s="57"/>
      <c r="R230" s="57" t="s">
        <v>1322</v>
      </c>
      <c r="S230" s="57" t="n">
        <v>0</v>
      </c>
      <c r="T230" s="57" t="n">
        <v>0</v>
      </c>
      <c r="U230" s="57" t="n">
        <v>0</v>
      </c>
      <c r="V230" s="57" t="n">
        <v>0</v>
      </c>
      <c r="W230" s="57" t="n">
        <v>0</v>
      </c>
      <c r="X230" s="57" t="n">
        <v>0</v>
      </c>
      <c r="Y230" s="57" t="s">
        <v>1307</v>
      </c>
      <c r="Z230" s="57"/>
      <c r="AA230" s="57" t="s">
        <v>348</v>
      </c>
      <c r="AB230" s="57" t="s">
        <v>349</v>
      </c>
      <c r="AC230" s="57" t="str">
        <f aca="false">IFERROR(INDEX(dp_geo,MATCH(B230,dp_id,0)),"Unmatched")</f>
        <v>Settlements</v>
      </c>
      <c r="AD230" s="57" t="str">
        <f aca="false">IF(M230="","",YEAR(M230))</f>
        <v/>
      </c>
      <c r="AE230" s="57" t="str">
        <f aca="false">IF(O230="","",YEAR(O230))</f>
        <v/>
      </c>
      <c r="AF230" s="57" t="str">
        <f aca="false">IF(N230="","",YEAR(N230))</f>
        <v/>
      </c>
      <c r="AG230" s="57" t="n">
        <f aca="false">IF(AND(H230="Yes",OR(G230="Complete",G230="Under construction",G230="Permitted – not started",G230="Stalled")),1,0)</f>
        <v>0</v>
      </c>
      <c r="AH230" s="57" t="n">
        <f aca="false">IF(OR(G230="Under construction",G230="Permitted – not started",G230="Stalled"),1,0)</f>
        <v>0</v>
      </c>
    </row>
    <row r="231" customFormat="false" ht="15" hidden="false" customHeight="false" outlineLevel="0" collapsed="false">
      <c r="A231" s="57" t="s">
        <v>1890</v>
      </c>
      <c r="B231" s="57" t="s">
        <v>903</v>
      </c>
      <c r="C231" s="57" t="s">
        <v>1891</v>
      </c>
      <c r="D231" s="57" t="s">
        <v>904</v>
      </c>
      <c r="E231" s="57" t="n">
        <v>15</v>
      </c>
      <c r="F231" s="57"/>
      <c r="G231" s="57" t="s">
        <v>58</v>
      </c>
      <c r="H231" s="57" t="s">
        <v>228</v>
      </c>
      <c r="I231" s="57" t="s">
        <v>1310</v>
      </c>
      <c r="J231" s="57" t="s">
        <v>304</v>
      </c>
      <c r="K231" s="57" t="s">
        <v>308</v>
      </c>
      <c r="L231" s="57" t="s">
        <v>309</v>
      </c>
      <c r="M231" s="58" t="n">
        <v>45918</v>
      </c>
      <c r="N231" s="58" t="n">
        <v>47743</v>
      </c>
      <c r="O231" s="58"/>
      <c r="P231" s="57" t="s">
        <v>1858</v>
      </c>
      <c r="Q231" s="57" t="s">
        <v>1348</v>
      </c>
      <c r="R231" s="57" t="s">
        <v>1526</v>
      </c>
      <c r="S231" s="57" t="n">
        <v>0</v>
      </c>
      <c r="T231" s="57" t="n">
        <v>0</v>
      </c>
      <c r="U231" s="57" t="n">
        <v>15</v>
      </c>
      <c r="V231" s="57" t="n">
        <v>0</v>
      </c>
      <c r="W231" s="57" t="n">
        <v>0</v>
      </c>
      <c r="X231" s="57" t="n">
        <v>0</v>
      </c>
      <c r="Y231" s="57" t="s">
        <v>1307</v>
      </c>
      <c r="Z231" s="57"/>
      <c r="AA231" s="57" t="s">
        <v>289</v>
      </c>
      <c r="AB231" s="57" t="s">
        <v>347</v>
      </c>
      <c r="AC231" s="57" t="str">
        <f aca="false">IFERROR(INDEX(dp_geo,MATCH(B231,dp_id,0)),"Unmatched")</f>
        <v>Rest of City</v>
      </c>
      <c r="AD231" s="57" t="n">
        <f aca="false">IF(M231="","",YEAR(M231))</f>
        <v>2025</v>
      </c>
      <c r="AE231" s="57" t="str">
        <f aca="false">IF(O231="","",YEAR(O231))</f>
        <v/>
      </c>
      <c r="AF231" s="57" t="n">
        <f aca="false">IF(N231="","",YEAR(N231))</f>
        <v>2030</v>
      </c>
      <c r="AG231" s="57" t="n">
        <f aca="false">IF(AND(H231="Yes",OR(G231="Complete",G231="Under construction",G231="Permitted – not started",G231="Stalled")),1,0)</f>
        <v>1</v>
      </c>
      <c r="AH231" s="57" t="n">
        <f aca="false">IF(OR(G231="Under construction",G231="Permitted – not started",G231="Stalled"),1,0)</f>
        <v>1</v>
      </c>
    </row>
    <row r="232" customFormat="false" ht="15" hidden="false" customHeight="false" outlineLevel="0" collapsed="false">
      <c r="A232" s="57" t="s">
        <v>1892</v>
      </c>
      <c r="B232" s="57" t="s">
        <v>1073</v>
      </c>
      <c r="C232" s="57" t="s">
        <v>1893</v>
      </c>
      <c r="D232" s="57" t="s">
        <v>1074</v>
      </c>
      <c r="E232" s="57" t="n">
        <v>4</v>
      </c>
      <c r="F232" s="57"/>
      <c r="G232" s="57" t="s">
        <v>231</v>
      </c>
      <c r="H232" s="57" t="s">
        <v>228</v>
      </c>
      <c r="I232" s="57" t="s">
        <v>1310</v>
      </c>
      <c r="J232" s="57" t="s">
        <v>184</v>
      </c>
      <c r="K232" s="57" t="s">
        <v>310</v>
      </c>
      <c r="L232" s="57" t="s">
        <v>313</v>
      </c>
      <c r="M232" s="58"/>
      <c r="N232" s="58"/>
      <c r="O232" s="58"/>
      <c r="P232" s="57"/>
      <c r="Q232" s="57"/>
      <c r="R232" s="57" t="s">
        <v>1322</v>
      </c>
      <c r="S232" s="57" t="n">
        <v>0</v>
      </c>
      <c r="T232" s="57" t="n">
        <v>0</v>
      </c>
      <c r="U232" s="57" t="n">
        <v>0</v>
      </c>
      <c r="V232" s="57" t="n">
        <v>0</v>
      </c>
      <c r="W232" s="57" t="n">
        <v>0</v>
      </c>
      <c r="X232" s="57" t="n">
        <v>0</v>
      </c>
      <c r="Y232" s="57" t="s">
        <v>1307</v>
      </c>
      <c r="Z232" s="57"/>
      <c r="AA232" s="57" t="s">
        <v>287</v>
      </c>
      <c r="AB232" s="57" t="s">
        <v>347</v>
      </c>
      <c r="AC232" s="57" t="str">
        <f aca="false">IFERROR(INDEX(dp_geo,MATCH(B232,dp_id,0)),"Unmatched")</f>
        <v>Rest of City</v>
      </c>
      <c r="AD232" s="57" t="str">
        <f aca="false">IF(M232="","",YEAR(M232))</f>
        <v/>
      </c>
      <c r="AE232" s="57" t="str">
        <f aca="false">IF(O232="","",YEAR(O232))</f>
        <v/>
      </c>
      <c r="AF232" s="57" t="str">
        <f aca="false">IF(N232="","",YEAR(N232))</f>
        <v/>
      </c>
      <c r="AG232" s="57" t="n">
        <f aca="false">IF(AND(H232="Yes",OR(G232="Complete",G232="Under construction",G232="Permitted – not started",G232="Stalled")),1,0)</f>
        <v>0</v>
      </c>
      <c r="AH232" s="57" t="n">
        <f aca="false">IF(OR(G232="Under construction",G232="Permitted – not started",G232="Stalled"),1,0)</f>
        <v>0</v>
      </c>
    </row>
    <row r="233" customFormat="false" ht="15" hidden="false" customHeight="false" outlineLevel="0" collapsed="false">
      <c r="A233" s="57" t="s">
        <v>1894</v>
      </c>
      <c r="B233" s="57" t="s">
        <v>1075</v>
      </c>
      <c r="C233" s="57" t="s">
        <v>1895</v>
      </c>
      <c r="D233" s="57" t="s">
        <v>1076</v>
      </c>
      <c r="E233" s="57" t="n">
        <v>4</v>
      </c>
      <c r="F233" s="57"/>
      <c r="G233" s="57" t="s">
        <v>231</v>
      </c>
      <c r="H233" s="57" t="s">
        <v>228</v>
      </c>
      <c r="I233" s="57" t="s">
        <v>1310</v>
      </c>
      <c r="J233" s="57" t="s">
        <v>184</v>
      </c>
      <c r="K233" s="57" t="s">
        <v>310</v>
      </c>
      <c r="L233" s="57" t="s">
        <v>313</v>
      </c>
      <c r="M233" s="58"/>
      <c r="N233" s="58"/>
      <c r="O233" s="58"/>
      <c r="P233" s="57"/>
      <c r="Q233" s="57"/>
      <c r="R233" s="57" t="s">
        <v>1322</v>
      </c>
      <c r="S233" s="57" t="n">
        <v>0</v>
      </c>
      <c r="T233" s="57" t="n">
        <v>0</v>
      </c>
      <c r="U233" s="57" t="n">
        <v>0</v>
      </c>
      <c r="V233" s="57" t="n">
        <v>0</v>
      </c>
      <c r="W233" s="57" t="n">
        <v>0</v>
      </c>
      <c r="X233" s="57" t="n">
        <v>0</v>
      </c>
      <c r="Y233" s="57" t="s">
        <v>1307</v>
      </c>
      <c r="Z233" s="57"/>
      <c r="AA233" s="57" t="s">
        <v>365</v>
      </c>
      <c r="AB233" s="57" t="s">
        <v>365</v>
      </c>
      <c r="AC233" s="57" t="str">
        <f aca="false">IFERROR(INDEX(dp_geo,MATCH(B233,dp_id,0)),"Unmatched")</f>
        <v>Remainder of County</v>
      </c>
      <c r="AD233" s="57" t="str">
        <f aca="false">IF(M233="","",YEAR(M233))</f>
        <v/>
      </c>
      <c r="AE233" s="57" t="str">
        <f aca="false">IF(O233="","",YEAR(O233))</f>
        <v/>
      </c>
      <c r="AF233" s="57" t="str">
        <f aca="false">IF(N233="","",YEAR(N233))</f>
        <v/>
      </c>
      <c r="AG233" s="57" t="n">
        <f aca="false">IF(AND(H233="Yes",OR(G233="Complete",G233="Under construction",G233="Permitted – not started",G233="Stalled")),1,0)</f>
        <v>0</v>
      </c>
      <c r="AH233" s="57" t="n">
        <f aca="false">IF(OR(G233="Under construction",G233="Permitted – not started",G233="Stalled"),1,0)</f>
        <v>0</v>
      </c>
    </row>
    <row r="234" customFormat="false" ht="15" hidden="false" customHeight="false" outlineLevel="0" collapsed="false">
      <c r="A234" s="57" t="s">
        <v>1896</v>
      </c>
      <c r="B234" s="57" t="s">
        <v>645</v>
      </c>
      <c r="C234" s="57" t="s">
        <v>1897</v>
      </c>
      <c r="D234" s="57" t="s">
        <v>1898</v>
      </c>
      <c r="E234" s="57" t="n">
        <v>31</v>
      </c>
      <c r="F234" s="57"/>
      <c r="G234" s="57" t="s">
        <v>56</v>
      </c>
      <c r="H234" s="57" t="s">
        <v>228</v>
      </c>
      <c r="I234" s="57" t="s">
        <v>1310</v>
      </c>
      <c r="J234" s="57" t="s">
        <v>304</v>
      </c>
      <c r="K234" s="57" t="s">
        <v>308</v>
      </c>
      <c r="L234" s="57" t="s">
        <v>309</v>
      </c>
      <c r="M234" s="58" t="n">
        <v>45988</v>
      </c>
      <c r="N234" s="58" t="n">
        <v>47813</v>
      </c>
      <c r="O234" s="58" t="n">
        <v>46154</v>
      </c>
      <c r="P234" s="57" t="s">
        <v>1508</v>
      </c>
      <c r="Q234" s="57" t="s">
        <v>1514</v>
      </c>
      <c r="R234" s="57" t="s">
        <v>1318</v>
      </c>
      <c r="S234" s="57" t="n">
        <v>0</v>
      </c>
      <c r="T234" s="57" t="n">
        <v>28.5</v>
      </c>
      <c r="U234" s="57" t="n">
        <v>2.5</v>
      </c>
      <c r="V234" s="57" t="n">
        <v>0</v>
      </c>
      <c r="W234" s="57" t="n">
        <v>0</v>
      </c>
      <c r="X234" s="57" t="n">
        <v>0</v>
      </c>
      <c r="Y234" s="57" t="s">
        <v>1307</v>
      </c>
      <c r="Z234" s="57"/>
      <c r="AA234" s="57" t="s">
        <v>287</v>
      </c>
      <c r="AB234" s="57" t="s">
        <v>347</v>
      </c>
      <c r="AC234" s="57" t="str">
        <f aca="false">IFERROR(INDEX(dp_geo,MATCH(B234,dp_id,0)),"Unmatched")</f>
        <v>Rest of City</v>
      </c>
      <c r="AD234" s="57" t="n">
        <f aca="false">IF(M234="","",YEAR(M234))</f>
        <v>2025</v>
      </c>
      <c r="AE234" s="57" t="n">
        <f aca="false">IF(O234="","",YEAR(O234))</f>
        <v>2026</v>
      </c>
      <c r="AF234" s="57" t="n">
        <f aca="false">IF(N234="","",YEAR(N234))</f>
        <v>2030</v>
      </c>
      <c r="AG234" s="57" t="n">
        <f aca="false">IF(AND(H234="Yes",OR(G234="Complete",G234="Under construction",G234="Permitted – not started",G234="Stalled")),1,0)</f>
        <v>1</v>
      </c>
      <c r="AH234" s="57" t="n">
        <f aca="false">IF(OR(G234="Under construction",G234="Permitted – not started",G234="Stalled"),1,0)</f>
        <v>1</v>
      </c>
    </row>
    <row r="235" customFormat="false" ht="15" hidden="false" customHeight="false" outlineLevel="0" collapsed="false">
      <c r="A235" s="57" t="s">
        <v>1899</v>
      </c>
      <c r="B235" s="57" t="s">
        <v>654</v>
      </c>
      <c r="C235" s="57" t="s">
        <v>1900</v>
      </c>
      <c r="D235" s="57" t="s">
        <v>1901</v>
      </c>
      <c r="E235" s="57" t="n">
        <v>30</v>
      </c>
      <c r="F235" s="57"/>
      <c r="G235" s="57" t="s">
        <v>58</v>
      </c>
      <c r="H235" s="57" t="s">
        <v>228</v>
      </c>
      <c r="I235" s="57" t="s">
        <v>1347</v>
      </c>
      <c r="J235" s="57" t="s">
        <v>304</v>
      </c>
      <c r="K235" s="57" t="s">
        <v>308</v>
      </c>
      <c r="L235" s="57" t="s">
        <v>309</v>
      </c>
      <c r="M235" s="58" t="n">
        <v>45882</v>
      </c>
      <c r="N235" s="58" t="n">
        <v>47707</v>
      </c>
      <c r="O235" s="58"/>
      <c r="P235" s="57" t="s">
        <v>1858</v>
      </c>
      <c r="Q235" s="57" t="s">
        <v>1460</v>
      </c>
      <c r="R235" s="57" t="s">
        <v>1526</v>
      </c>
      <c r="S235" s="57" t="n">
        <v>0</v>
      </c>
      <c r="T235" s="57" t="n">
        <v>1.4</v>
      </c>
      <c r="U235" s="57" t="n">
        <v>28.6</v>
      </c>
      <c r="V235" s="57" t="n">
        <v>0</v>
      </c>
      <c r="W235" s="57" t="n">
        <v>0</v>
      </c>
      <c r="X235" s="57" t="n">
        <v>0</v>
      </c>
      <c r="Y235" s="57" t="s">
        <v>1307</v>
      </c>
      <c r="Z235" s="57"/>
      <c r="AA235" s="57" t="s">
        <v>288</v>
      </c>
      <c r="AB235" s="57" t="s">
        <v>347</v>
      </c>
      <c r="AC235" s="57" t="str">
        <f aca="false">IFERROR(INDEX(dp_geo,MATCH(B235,dp_id,0)),"Unmatched")</f>
        <v>Rest of City</v>
      </c>
      <c r="AD235" s="57" t="n">
        <f aca="false">IF(M235="","",YEAR(M235))</f>
        <v>2025</v>
      </c>
      <c r="AE235" s="57" t="str">
        <f aca="false">IF(O235="","",YEAR(O235))</f>
        <v/>
      </c>
      <c r="AF235" s="57" t="n">
        <f aca="false">IF(N235="","",YEAR(N235))</f>
        <v>2030</v>
      </c>
      <c r="AG235" s="57" t="n">
        <f aca="false">IF(AND(H235="Yes",OR(G235="Complete",G235="Under construction",G235="Permitted – not started",G235="Stalled")),1,0)</f>
        <v>1</v>
      </c>
      <c r="AH235" s="57" t="n">
        <f aca="false">IF(OR(G235="Under construction",G235="Permitted – not started",G235="Stalled"),1,0)</f>
        <v>1</v>
      </c>
    </row>
    <row r="236" customFormat="false" ht="15" hidden="false" customHeight="false" outlineLevel="0" collapsed="false">
      <c r="A236" s="57" t="s">
        <v>1902</v>
      </c>
      <c r="B236" s="57" t="s">
        <v>796</v>
      </c>
      <c r="C236" s="57" t="s">
        <v>1903</v>
      </c>
      <c r="D236" s="57" t="s">
        <v>797</v>
      </c>
      <c r="E236" s="57" t="n">
        <v>48</v>
      </c>
      <c r="F236" s="57"/>
      <c r="G236" s="57" t="s">
        <v>58</v>
      </c>
      <c r="H236" s="57" t="s">
        <v>228</v>
      </c>
      <c r="I236" s="57" t="s">
        <v>1310</v>
      </c>
      <c r="J236" s="57" t="s">
        <v>304</v>
      </c>
      <c r="K236" s="57" t="s">
        <v>308</v>
      </c>
      <c r="L236" s="57" t="s">
        <v>309</v>
      </c>
      <c r="M236" s="58" t="n">
        <v>45971</v>
      </c>
      <c r="N236" s="58" t="n">
        <v>47796</v>
      </c>
      <c r="O236" s="58"/>
      <c r="P236" s="57" t="s">
        <v>1469</v>
      </c>
      <c r="Q236" s="57" t="s">
        <v>1425</v>
      </c>
      <c r="R236" s="57" t="s">
        <v>1526</v>
      </c>
      <c r="S236" s="57" t="n">
        <v>0</v>
      </c>
      <c r="T236" s="57" t="n">
        <v>0</v>
      </c>
      <c r="U236" s="57" t="n">
        <v>20.5</v>
      </c>
      <c r="V236" s="57" t="n">
        <v>27.5</v>
      </c>
      <c r="W236" s="57" t="n">
        <v>0</v>
      </c>
      <c r="X236" s="57" t="n">
        <v>0</v>
      </c>
      <c r="Y236" s="57" t="s">
        <v>1307</v>
      </c>
      <c r="Z236" s="57"/>
      <c r="AA236" s="57" t="s">
        <v>258</v>
      </c>
      <c r="AB236" s="57" t="s">
        <v>347</v>
      </c>
      <c r="AC236" s="57" t="str">
        <f aca="false">IFERROR(INDEX(dp_geo,MATCH(B236,dp_id,0)),"Unmatched")</f>
        <v>City Centre</v>
      </c>
      <c r="AD236" s="57" t="n">
        <f aca="false">IF(M236="","",YEAR(M236))</f>
        <v>2025</v>
      </c>
      <c r="AE236" s="57" t="str">
        <f aca="false">IF(O236="","",YEAR(O236))</f>
        <v/>
      </c>
      <c r="AF236" s="57" t="n">
        <f aca="false">IF(N236="","",YEAR(N236))</f>
        <v>2030</v>
      </c>
      <c r="AG236" s="57" t="n">
        <f aca="false">IF(AND(H236="Yes",OR(G236="Complete",G236="Under construction",G236="Permitted – not started",G236="Stalled")),1,0)</f>
        <v>1</v>
      </c>
      <c r="AH236" s="57" t="n">
        <f aca="false">IF(OR(G236="Under construction",G236="Permitted – not started",G236="Stalled"),1,0)</f>
        <v>1</v>
      </c>
    </row>
    <row r="237" customFormat="false" ht="15" hidden="false" customHeight="false" outlineLevel="0" collapsed="false">
      <c r="A237" s="57" t="s">
        <v>1904</v>
      </c>
      <c r="B237" s="57" t="s">
        <v>660</v>
      </c>
      <c r="C237" s="57" t="s">
        <v>1905</v>
      </c>
      <c r="D237" s="57" t="s">
        <v>1906</v>
      </c>
      <c r="E237" s="57" t="n">
        <v>285</v>
      </c>
      <c r="F237" s="57"/>
      <c r="G237" s="57" t="s">
        <v>58</v>
      </c>
      <c r="H237" s="57" t="s">
        <v>228</v>
      </c>
      <c r="I237" s="57" t="s">
        <v>1310</v>
      </c>
      <c r="J237" s="57" t="s">
        <v>303</v>
      </c>
      <c r="K237" s="57" t="s">
        <v>314</v>
      </c>
      <c r="L237" s="57" t="s">
        <v>311</v>
      </c>
      <c r="M237" s="58" t="n">
        <v>46064</v>
      </c>
      <c r="N237" s="58" t="n">
        <v>47889</v>
      </c>
      <c r="O237" s="58"/>
      <c r="P237" s="57" t="s">
        <v>1317</v>
      </c>
      <c r="Q237" s="57" t="s">
        <v>1907</v>
      </c>
      <c r="R237" s="57" t="s">
        <v>1526</v>
      </c>
      <c r="S237" s="57" t="n">
        <v>0</v>
      </c>
      <c r="T237" s="57" t="n">
        <v>0</v>
      </c>
      <c r="U237" s="57" t="n">
        <v>10.1</v>
      </c>
      <c r="V237" s="57" t="n">
        <v>61</v>
      </c>
      <c r="W237" s="57" t="n">
        <v>61</v>
      </c>
      <c r="X237" s="57" t="n">
        <v>152.9</v>
      </c>
      <c r="Y237" s="57" t="s">
        <v>1307</v>
      </c>
      <c r="Z237" s="57"/>
      <c r="AA237" s="57" t="s">
        <v>258</v>
      </c>
      <c r="AB237" s="57" t="s">
        <v>347</v>
      </c>
      <c r="AC237" s="57" t="str">
        <f aca="false">IFERROR(INDEX(dp_geo,MATCH(B237,dp_id,0)),"Unmatched")</f>
        <v>City Centre</v>
      </c>
      <c r="AD237" s="57" t="n">
        <f aca="false">IF(M237="","",YEAR(M237))</f>
        <v>2026</v>
      </c>
      <c r="AE237" s="57" t="str">
        <f aca="false">IF(O237="","",YEAR(O237))</f>
        <v/>
      </c>
      <c r="AF237" s="57" t="n">
        <f aca="false">IF(N237="","",YEAR(N237))</f>
        <v>2031</v>
      </c>
      <c r="AG237" s="57" t="n">
        <f aca="false">IF(AND(H237="Yes",OR(G237="Complete",G237="Under construction",G237="Permitted – not started",G237="Stalled")),1,0)</f>
        <v>1</v>
      </c>
      <c r="AH237" s="57" t="n">
        <f aca="false">IF(OR(G237="Under construction",G237="Permitted – not started",G237="Stalled"),1,0)</f>
        <v>1</v>
      </c>
    </row>
    <row r="238" customFormat="false" ht="15" hidden="false" customHeight="false" outlineLevel="0" collapsed="false">
      <c r="A238" s="57" t="s">
        <v>1908</v>
      </c>
      <c r="B238" s="57" t="s">
        <v>676</v>
      </c>
      <c r="C238" s="57" t="s">
        <v>1909</v>
      </c>
      <c r="D238" s="57" t="s">
        <v>1910</v>
      </c>
      <c r="E238" s="57" t="n">
        <v>10</v>
      </c>
      <c r="F238" s="57"/>
      <c r="G238" s="57" t="s">
        <v>58</v>
      </c>
      <c r="H238" s="57" t="s">
        <v>228</v>
      </c>
      <c r="I238" s="57" t="s">
        <v>1310</v>
      </c>
      <c r="J238" s="57" t="s">
        <v>304</v>
      </c>
      <c r="K238" s="57" t="s">
        <v>308</v>
      </c>
      <c r="L238" s="57" t="s">
        <v>309</v>
      </c>
      <c r="M238" s="58" t="n">
        <v>46077</v>
      </c>
      <c r="N238" s="58" t="n">
        <v>47902</v>
      </c>
      <c r="O238" s="58"/>
      <c r="P238" s="57" t="s">
        <v>1469</v>
      </c>
      <c r="Q238" s="57" t="s">
        <v>1348</v>
      </c>
      <c r="R238" s="57" t="s">
        <v>1526</v>
      </c>
      <c r="S238" s="57" t="n">
        <v>0</v>
      </c>
      <c r="T238" s="57" t="n">
        <v>0</v>
      </c>
      <c r="U238" s="57" t="n">
        <v>8.4</v>
      </c>
      <c r="V238" s="57" t="n">
        <v>1.6</v>
      </c>
      <c r="W238" s="57" t="n">
        <v>0</v>
      </c>
      <c r="X238" s="57" t="n">
        <v>0</v>
      </c>
      <c r="Y238" s="57" t="s">
        <v>1307</v>
      </c>
      <c r="Z238" s="57"/>
      <c r="AA238" s="57" t="s">
        <v>287</v>
      </c>
      <c r="AB238" s="57" t="s">
        <v>347</v>
      </c>
      <c r="AC238" s="57" t="str">
        <f aca="false">IFERROR(INDEX(dp_geo,MATCH(B238,dp_id,0)),"Unmatched")</f>
        <v>Rest of City</v>
      </c>
      <c r="AD238" s="57" t="n">
        <f aca="false">IF(M238="","",YEAR(M238))</f>
        <v>2026</v>
      </c>
      <c r="AE238" s="57" t="str">
        <f aca="false">IF(O238="","",YEAR(O238))</f>
        <v/>
      </c>
      <c r="AF238" s="57" t="n">
        <f aca="false">IF(N238="","",YEAR(N238))</f>
        <v>2031</v>
      </c>
      <c r="AG238" s="57" t="n">
        <f aca="false">IF(AND(H238="Yes",OR(G238="Complete",G238="Under construction",G238="Permitted – not started",G238="Stalled")),1,0)</f>
        <v>1</v>
      </c>
      <c r="AH238" s="57" t="n">
        <f aca="false">IF(OR(G238="Under construction",G238="Permitted – not started",G238="Stalled"),1,0)</f>
        <v>1</v>
      </c>
    </row>
    <row r="239" customFormat="false" ht="15" hidden="false" customHeight="false" outlineLevel="0" collapsed="false">
      <c r="A239" s="57" t="s">
        <v>1911</v>
      </c>
      <c r="B239" s="57" t="s">
        <v>1047</v>
      </c>
      <c r="C239" s="57" t="s">
        <v>1912</v>
      </c>
      <c r="D239" s="57" t="s">
        <v>1048</v>
      </c>
      <c r="E239" s="57" t="n">
        <v>5</v>
      </c>
      <c r="F239" s="57"/>
      <c r="G239" s="57" t="s">
        <v>58</v>
      </c>
      <c r="H239" s="57" t="s">
        <v>228</v>
      </c>
      <c r="I239" s="57" t="s">
        <v>1310</v>
      </c>
      <c r="J239" s="57" t="s">
        <v>184</v>
      </c>
      <c r="K239" s="57" t="s">
        <v>310</v>
      </c>
      <c r="L239" s="57" t="s">
        <v>313</v>
      </c>
      <c r="M239" s="58" t="n">
        <v>46006</v>
      </c>
      <c r="N239" s="58"/>
      <c r="O239" s="58"/>
      <c r="P239" s="57" t="s">
        <v>1469</v>
      </c>
      <c r="Q239" s="57" t="s">
        <v>1348</v>
      </c>
      <c r="R239" s="57" t="s">
        <v>1526</v>
      </c>
      <c r="S239" s="57" t="n">
        <v>0</v>
      </c>
      <c r="T239" s="57" t="n">
        <v>0</v>
      </c>
      <c r="U239" s="57" t="n">
        <v>4.4</v>
      </c>
      <c r="V239" s="57" t="n">
        <v>0.6</v>
      </c>
      <c r="W239" s="57" t="n">
        <v>0</v>
      </c>
      <c r="X239" s="57" t="n">
        <v>0</v>
      </c>
      <c r="Y239" s="57" t="s">
        <v>1307</v>
      </c>
      <c r="Z239" s="57"/>
      <c r="AA239" s="57" t="s">
        <v>287</v>
      </c>
      <c r="AB239" s="57" t="s">
        <v>347</v>
      </c>
      <c r="AC239" s="57" t="str">
        <f aca="false">IFERROR(INDEX(dp_geo,MATCH(B239,dp_id,0)),"Unmatched")</f>
        <v>Rest of City</v>
      </c>
      <c r="AD239" s="57" t="n">
        <f aca="false">IF(M239="","",YEAR(M239))</f>
        <v>2025</v>
      </c>
      <c r="AE239" s="57" t="str">
        <f aca="false">IF(O239="","",YEAR(O239))</f>
        <v/>
      </c>
      <c r="AF239" s="57" t="str">
        <f aca="false">IF(N239="","",YEAR(N239))</f>
        <v/>
      </c>
      <c r="AG239" s="57" t="n">
        <f aca="false">IF(AND(H239="Yes",OR(G239="Complete",G239="Under construction",G239="Permitted – not started",G239="Stalled")),1,0)</f>
        <v>1</v>
      </c>
      <c r="AH239" s="57" t="n">
        <f aca="false">IF(OR(G239="Under construction",G239="Permitted – not started",G239="Stalled"),1,0)</f>
        <v>1</v>
      </c>
    </row>
    <row r="240" customFormat="false" ht="15" hidden="false" customHeight="false" outlineLevel="0" collapsed="false">
      <c r="A240" s="57" t="s">
        <v>1913</v>
      </c>
      <c r="B240" s="57" t="s">
        <v>863</v>
      </c>
      <c r="C240" s="57" t="s">
        <v>1914</v>
      </c>
      <c r="D240" s="57" t="s">
        <v>864</v>
      </c>
      <c r="E240" s="57" t="n">
        <v>22</v>
      </c>
      <c r="F240" s="57"/>
      <c r="G240" s="57" t="s">
        <v>231</v>
      </c>
      <c r="H240" s="57" t="s">
        <v>228</v>
      </c>
      <c r="I240" s="57" t="s">
        <v>1310</v>
      </c>
      <c r="J240" s="57" t="s">
        <v>184</v>
      </c>
      <c r="K240" s="57" t="s">
        <v>310</v>
      </c>
      <c r="L240" s="57" t="s">
        <v>313</v>
      </c>
      <c r="M240" s="58"/>
      <c r="N240" s="58"/>
      <c r="O240" s="58"/>
      <c r="P240" s="57"/>
      <c r="Q240" s="57"/>
      <c r="R240" s="57" t="s">
        <v>1322</v>
      </c>
      <c r="S240" s="57" t="n">
        <v>0</v>
      </c>
      <c r="T240" s="57" t="n">
        <v>0</v>
      </c>
      <c r="U240" s="57" t="n">
        <v>0</v>
      </c>
      <c r="V240" s="57" t="n">
        <v>0</v>
      </c>
      <c r="W240" s="57" t="n">
        <v>0</v>
      </c>
      <c r="X240" s="57" t="n">
        <v>0</v>
      </c>
      <c r="Y240" s="57" t="s">
        <v>1307</v>
      </c>
      <c r="Z240" s="57"/>
      <c r="AA240" s="57" t="s">
        <v>284</v>
      </c>
      <c r="AB240" s="57" t="s">
        <v>347</v>
      </c>
      <c r="AC240" s="57" t="str">
        <f aca="false">IFERROR(INDEX(dp_geo,MATCH(B240,dp_id,0)),"Unmatched")</f>
        <v>Rest of City</v>
      </c>
      <c r="AD240" s="57" t="str">
        <f aca="false">IF(M240="","",YEAR(M240))</f>
        <v/>
      </c>
      <c r="AE240" s="57" t="str">
        <f aca="false">IF(O240="","",YEAR(O240))</f>
        <v/>
      </c>
      <c r="AF240" s="57" t="str">
        <f aca="false">IF(N240="","",YEAR(N240))</f>
        <v/>
      </c>
      <c r="AG240" s="57" t="n">
        <f aca="false">IF(AND(H240="Yes",OR(G240="Complete",G240="Under construction",G240="Permitted – not started",G240="Stalled")),1,0)</f>
        <v>0</v>
      </c>
      <c r="AH240" s="57" t="n">
        <f aca="false">IF(OR(G240="Under construction",G240="Permitted – not started",G240="Stalled"),1,0)</f>
        <v>0</v>
      </c>
    </row>
    <row r="241" customFormat="false" ht="15" hidden="false" customHeight="false" outlineLevel="0" collapsed="false">
      <c r="A241" s="57" t="s">
        <v>1915</v>
      </c>
      <c r="B241" s="57" t="s">
        <v>944</v>
      </c>
      <c r="C241" s="57" t="s">
        <v>1916</v>
      </c>
      <c r="D241" s="57" t="s">
        <v>945</v>
      </c>
      <c r="E241" s="57" t="n">
        <v>12</v>
      </c>
      <c r="F241" s="57"/>
      <c r="G241" s="57" t="s">
        <v>58</v>
      </c>
      <c r="H241" s="57" t="s">
        <v>228</v>
      </c>
      <c r="I241" s="57" t="s">
        <v>1310</v>
      </c>
      <c r="J241" s="57" t="s">
        <v>184</v>
      </c>
      <c r="K241" s="57" t="s">
        <v>312</v>
      </c>
      <c r="L241" s="57" t="s">
        <v>313</v>
      </c>
      <c r="M241" s="58"/>
      <c r="N241" s="58"/>
      <c r="O241" s="58"/>
      <c r="P241" s="57" t="s">
        <v>1514</v>
      </c>
      <c r="Q241" s="57" t="s">
        <v>1451</v>
      </c>
      <c r="R241" s="57" t="s">
        <v>1526</v>
      </c>
      <c r="S241" s="57" t="n">
        <v>0</v>
      </c>
      <c r="T241" s="57" t="n">
        <v>0</v>
      </c>
      <c r="U241" s="57" t="n">
        <v>0</v>
      </c>
      <c r="V241" s="57" t="n">
        <v>11.3</v>
      </c>
      <c r="W241" s="57" t="n">
        <v>0.7</v>
      </c>
      <c r="X241" s="57" t="n">
        <v>0</v>
      </c>
      <c r="Y241" s="57" t="s">
        <v>1307</v>
      </c>
      <c r="Z241" s="57"/>
      <c r="AA241" s="57" t="s">
        <v>350</v>
      </c>
      <c r="AB241" s="57" t="s">
        <v>349</v>
      </c>
      <c r="AC241" s="57" t="str">
        <f aca="false">IFERROR(INDEX(dp_geo,MATCH(B241,dp_id,0)),"Unmatched")</f>
        <v>Settlements</v>
      </c>
      <c r="AD241" s="57" t="str">
        <f aca="false">IF(M241="","",YEAR(M241))</f>
        <v/>
      </c>
      <c r="AE241" s="57" t="str">
        <f aca="false">IF(O241="","",YEAR(O241))</f>
        <v/>
      </c>
      <c r="AF241" s="57" t="str">
        <f aca="false">IF(N241="","",YEAR(N241))</f>
        <v/>
      </c>
      <c r="AG241" s="57" t="n">
        <f aca="false">IF(AND(H241="Yes",OR(G241="Complete",G241="Under construction",G241="Permitted – not started",G241="Stalled")),1,0)</f>
        <v>1</v>
      </c>
      <c r="AH241" s="57" t="n">
        <f aca="false">IF(OR(G241="Under construction",G241="Permitted – not started",G241="Stalled"),1,0)</f>
        <v>1</v>
      </c>
    </row>
    <row r="242" customFormat="false" ht="15" hidden="false" customHeight="false" outlineLevel="0" collapsed="false">
      <c r="A242" s="57" t="s">
        <v>1917</v>
      </c>
      <c r="B242" s="57" t="s">
        <v>1105</v>
      </c>
      <c r="C242" s="57"/>
      <c r="D242" s="57" t="s">
        <v>1918</v>
      </c>
      <c r="E242" s="57" t="n">
        <v>0</v>
      </c>
      <c r="F242" s="57"/>
      <c r="G242" s="57" t="s">
        <v>58</v>
      </c>
      <c r="H242" s="57" t="s">
        <v>228</v>
      </c>
      <c r="I242" s="57" t="s">
        <v>1310</v>
      </c>
      <c r="J242" s="57" t="s">
        <v>184</v>
      </c>
      <c r="K242" s="57" t="s">
        <v>310</v>
      </c>
      <c r="L242" s="57" t="s">
        <v>309</v>
      </c>
      <c r="M242" s="58"/>
      <c r="N242" s="58"/>
      <c r="O242" s="58"/>
      <c r="P242" s="57"/>
      <c r="Q242" s="57"/>
      <c r="R242" s="57" t="s">
        <v>1322</v>
      </c>
      <c r="S242" s="57" t="n">
        <v>0</v>
      </c>
      <c r="T242" s="57" t="n">
        <v>0</v>
      </c>
      <c r="U242" s="57" t="n">
        <v>0</v>
      </c>
      <c r="V242" s="57" t="n">
        <v>0</v>
      </c>
      <c r="W242" s="57" t="n">
        <v>0</v>
      </c>
      <c r="X242" s="57" t="n">
        <v>0</v>
      </c>
      <c r="Y242" s="57" t="s">
        <v>1307</v>
      </c>
      <c r="Z242" s="57"/>
      <c r="AA242" s="57" t="s">
        <v>284</v>
      </c>
      <c r="AB242" s="57" t="s">
        <v>347</v>
      </c>
      <c r="AC242" s="57" t="str">
        <f aca="false">IFERROR(INDEX(dp_geo,MATCH(B242,dp_id,0)),"Unmatched")</f>
        <v>Rest of City</v>
      </c>
      <c r="AD242" s="57" t="str">
        <f aca="false">IF(M242="","",YEAR(M242))</f>
        <v/>
      </c>
      <c r="AE242" s="57" t="str">
        <f aca="false">IF(O242="","",YEAR(O242))</f>
        <v/>
      </c>
      <c r="AF242" s="57" t="str">
        <f aca="false">IF(N242="","",YEAR(N242))</f>
        <v/>
      </c>
      <c r="AG242" s="57" t="n">
        <f aca="false">IF(AND(H242="Yes",OR(G242="Complete",G242="Under construction",G242="Permitted – not started",G242="Stalled")),1,0)</f>
        <v>1</v>
      </c>
      <c r="AH242" s="57" t="n">
        <f aca="false">IF(OR(G242="Under construction",G242="Permitted – not started",G242="Stalled"),1,0)</f>
        <v>1</v>
      </c>
    </row>
    <row r="243" customFormat="false" ht="15" hidden="false" customHeight="false" outlineLevel="0" collapsed="false">
      <c r="A243" s="57" t="s">
        <v>1919</v>
      </c>
      <c r="B243" s="57" t="s">
        <v>961</v>
      </c>
      <c r="C243" s="57" t="s">
        <v>1920</v>
      </c>
      <c r="D243" s="57" t="s">
        <v>962</v>
      </c>
      <c r="E243" s="57" t="n">
        <v>10</v>
      </c>
      <c r="F243" s="57"/>
      <c r="G243" s="57" t="s">
        <v>58</v>
      </c>
      <c r="H243" s="57" t="s">
        <v>228</v>
      </c>
      <c r="I243" s="57" t="s">
        <v>1310</v>
      </c>
      <c r="J243" s="57" t="s">
        <v>304</v>
      </c>
      <c r="K243" s="57" t="s">
        <v>308</v>
      </c>
      <c r="L243" s="57" t="s">
        <v>309</v>
      </c>
      <c r="M243" s="58" t="n">
        <v>46079</v>
      </c>
      <c r="N243" s="58" t="n">
        <v>47904</v>
      </c>
      <c r="O243" s="58"/>
      <c r="P243" s="57" t="s">
        <v>1469</v>
      </c>
      <c r="Q243" s="57" t="s">
        <v>1348</v>
      </c>
      <c r="R243" s="57" t="s">
        <v>1526</v>
      </c>
      <c r="S243" s="57" t="n">
        <v>0</v>
      </c>
      <c r="T243" s="57" t="n">
        <v>0</v>
      </c>
      <c r="U243" s="57" t="n">
        <v>8.4</v>
      </c>
      <c r="V243" s="57" t="n">
        <v>1.6</v>
      </c>
      <c r="W243" s="57" t="n">
        <v>0</v>
      </c>
      <c r="X243" s="57" t="n">
        <v>0</v>
      </c>
      <c r="Y243" s="57" t="s">
        <v>1307</v>
      </c>
      <c r="Z243" s="57"/>
      <c r="AA243" s="57" t="s">
        <v>348</v>
      </c>
      <c r="AB243" s="57" t="s">
        <v>349</v>
      </c>
      <c r="AC243" s="57" t="str">
        <f aca="false">IFERROR(INDEX(dp_geo,MATCH(B243,dp_id,0)),"Unmatched")</f>
        <v>Settlements</v>
      </c>
      <c r="AD243" s="57" t="n">
        <f aca="false">IF(M243="","",YEAR(M243))</f>
        <v>2026</v>
      </c>
      <c r="AE243" s="57" t="str">
        <f aca="false">IF(O243="","",YEAR(O243))</f>
        <v/>
      </c>
      <c r="AF243" s="57" t="n">
        <f aca="false">IF(N243="","",YEAR(N243))</f>
        <v>2031</v>
      </c>
      <c r="AG243" s="57" t="n">
        <f aca="false">IF(AND(H243="Yes",OR(G243="Complete",G243="Under construction",G243="Permitted – not started",G243="Stalled")),1,0)</f>
        <v>1</v>
      </c>
      <c r="AH243" s="57" t="n">
        <f aca="false">IF(OR(G243="Under construction",G243="Permitted – not started",G243="Stalled"),1,0)</f>
        <v>1</v>
      </c>
    </row>
    <row r="244" customFormat="false" ht="15" hidden="false" customHeight="false" outlineLevel="0" collapsed="false">
      <c r="A244" s="57" t="s">
        <v>1921</v>
      </c>
      <c r="B244" s="57" t="s">
        <v>946</v>
      </c>
      <c r="C244" s="57"/>
      <c r="D244" s="57" t="s">
        <v>947</v>
      </c>
      <c r="E244" s="57" t="n">
        <v>12</v>
      </c>
      <c r="F244" s="57"/>
      <c r="G244" s="57" t="s">
        <v>231</v>
      </c>
      <c r="H244" s="57" t="s">
        <v>228</v>
      </c>
      <c r="I244" s="57" t="s">
        <v>1310</v>
      </c>
      <c r="J244" s="57" t="s">
        <v>184</v>
      </c>
      <c r="K244" s="57" t="s">
        <v>310</v>
      </c>
      <c r="L244" s="57" t="s">
        <v>313</v>
      </c>
      <c r="M244" s="58"/>
      <c r="N244" s="58"/>
      <c r="O244" s="58"/>
      <c r="P244" s="57"/>
      <c r="Q244" s="57"/>
      <c r="R244" s="57" t="s">
        <v>1322</v>
      </c>
      <c r="S244" s="57" t="n">
        <v>0</v>
      </c>
      <c r="T244" s="57" t="n">
        <v>0</v>
      </c>
      <c r="U244" s="57" t="n">
        <v>0</v>
      </c>
      <c r="V244" s="57" t="n">
        <v>0</v>
      </c>
      <c r="W244" s="57" t="n">
        <v>0</v>
      </c>
      <c r="X244" s="57" t="n">
        <v>0</v>
      </c>
      <c r="Y244" s="57" t="s">
        <v>1307</v>
      </c>
      <c r="Z244" s="57"/>
      <c r="AA244" s="57" t="s">
        <v>287</v>
      </c>
      <c r="AB244" s="57" t="s">
        <v>347</v>
      </c>
      <c r="AC244" s="57" t="str">
        <f aca="false">IFERROR(INDEX(dp_geo,MATCH(B244,dp_id,0)),"Unmatched")</f>
        <v>Rest of City</v>
      </c>
      <c r="AD244" s="57" t="str">
        <f aca="false">IF(M244="","",YEAR(M244))</f>
        <v/>
      </c>
      <c r="AE244" s="57" t="str">
        <f aca="false">IF(O244="","",YEAR(O244))</f>
        <v/>
      </c>
      <c r="AF244" s="57" t="str">
        <f aca="false">IF(N244="","",YEAR(N244))</f>
        <v/>
      </c>
      <c r="AG244" s="57" t="n">
        <f aca="false">IF(AND(H244="Yes",OR(G244="Complete",G244="Under construction",G244="Permitted – not started",G244="Stalled")),1,0)</f>
        <v>0</v>
      </c>
      <c r="AH244" s="57" t="n">
        <f aca="false">IF(OR(G244="Under construction",G244="Permitted – not started",G244="Stalled"),1,0)</f>
        <v>0</v>
      </c>
    </row>
    <row r="245" customFormat="false" ht="15" hidden="false" customHeight="false" outlineLevel="0" collapsed="false">
      <c r="A245" s="57" t="s">
        <v>1922</v>
      </c>
      <c r="B245" s="57" t="s">
        <v>619</v>
      </c>
      <c r="C245" s="57" t="s">
        <v>1923</v>
      </c>
      <c r="D245" s="57" t="s">
        <v>1924</v>
      </c>
      <c r="E245" s="57" t="n">
        <v>30</v>
      </c>
      <c r="F245" s="57"/>
      <c r="G245" s="57" t="s">
        <v>231</v>
      </c>
      <c r="H245" s="57" t="s">
        <v>228</v>
      </c>
      <c r="I245" s="57" t="s">
        <v>1347</v>
      </c>
      <c r="J245" s="57" t="s">
        <v>184</v>
      </c>
      <c r="K245" s="57" t="s">
        <v>310</v>
      </c>
      <c r="L245" s="57" t="s">
        <v>313</v>
      </c>
      <c r="M245" s="58"/>
      <c r="N245" s="58"/>
      <c r="O245" s="58"/>
      <c r="P245" s="57"/>
      <c r="Q245" s="57"/>
      <c r="R245" s="57" t="s">
        <v>1322</v>
      </c>
      <c r="S245" s="57" t="n">
        <v>0</v>
      </c>
      <c r="T245" s="57" t="n">
        <v>0</v>
      </c>
      <c r="U245" s="57" t="n">
        <v>0</v>
      </c>
      <c r="V245" s="57" t="n">
        <v>0</v>
      </c>
      <c r="W245" s="57" t="n">
        <v>0</v>
      </c>
      <c r="X245" s="57" t="n">
        <v>0</v>
      </c>
      <c r="Y245" s="57" t="s">
        <v>1307</v>
      </c>
      <c r="Z245" s="57"/>
      <c r="AA245" s="57" t="s">
        <v>291</v>
      </c>
      <c r="AB245" s="57" t="s">
        <v>347</v>
      </c>
      <c r="AC245" s="57" t="str">
        <f aca="false">IFERROR(INDEX(dp_geo,MATCH(B245,dp_id,0)),"Unmatched")</f>
        <v>Rest of City</v>
      </c>
      <c r="AD245" s="57" t="str">
        <f aca="false">IF(M245="","",YEAR(M245))</f>
        <v/>
      </c>
      <c r="AE245" s="57" t="str">
        <f aca="false">IF(O245="","",YEAR(O245))</f>
        <v/>
      </c>
      <c r="AF245" s="57" t="str">
        <f aca="false">IF(N245="","",YEAR(N245))</f>
        <v/>
      </c>
      <c r="AG245" s="57" t="n">
        <f aca="false">IF(AND(H245="Yes",OR(G245="Complete",G245="Under construction",G245="Permitted – not started",G245="Stalled")),1,0)</f>
        <v>0</v>
      </c>
      <c r="AH245" s="57" t="n">
        <f aca="false">IF(OR(G245="Under construction",G245="Permitted – not started",G245="Stalled"),1,0)</f>
        <v>0</v>
      </c>
    </row>
    <row r="246" customFormat="false" ht="15" hidden="false" customHeight="false" outlineLevel="0" collapsed="false">
      <c r="A246" s="57" t="s">
        <v>1925</v>
      </c>
      <c r="B246" s="57" t="s">
        <v>857</v>
      </c>
      <c r="C246" s="57"/>
      <c r="D246" s="57" t="s">
        <v>1926</v>
      </c>
      <c r="E246" s="57" t="n">
        <v>23</v>
      </c>
      <c r="F246" s="57"/>
      <c r="G246" s="57" t="s">
        <v>58</v>
      </c>
      <c r="H246" s="57" t="s">
        <v>228</v>
      </c>
      <c r="I246" s="57" t="s">
        <v>1347</v>
      </c>
      <c r="J246" s="57" t="s">
        <v>184</v>
      </c>
      <c r="K246" s="57" t="s">
        <v>310</v>
      </c>
      <c r="L246" s="57" t="s">
        <v>309</v>
      </c>
      <c r="M246" s="58"/>
      <c r="N246" s="58"/>
      <c r="O246" s="58"/>
      <c r="P246" s="57" t="s">
        <v>1469</v>
      </c>
      <c r="Q246" s="57" t="s">
        <v>1451</v>
      </c>
      <c r="R246" s="57" t="s">
        <v>1526</v>
      </c>
      <c r="S246" s="57" t="n">
        <v>0</v>
      </c>
      <c r="T246" s="57" t="n">
        <v>0</v>
      </c>
      <c r="U246" s="57" t="n">
        <v>9.6</v>
      </c>
      <c r="V246" s="57" t="n">
        <v>13.1</v>
      </c>
      <c r="W246" s="57" t="n">
        <v>0.3</v>
      </c>
      <c r="X246" s="57" t="n">
        <v>0</v>
      </c>
      <c r="Y246" s="57" t="s">
        <v>1307</v>
      </c>
      <c r="Z246" s="57"/>
      <c r="AA246" s="57" t="s">
        <v>291</v>
      </c>
      <c r="AB246" s="57" t="s">
        <v>347</v>
      </c>
      <c r="AC246" s="57" t="str">
        <f aca="false">IFERROR(INDEX(dp_geo,MATCH(B246,dp_id,0)),"Unmatched")</f>
        <v>Rest of City</v>
      </c>
      <c r="AD246" s="57" t="str">
        <f aca="false">IF(M246="","",YEAR(M246))</f>
        <v/>
      </c>
      <c r="AE246" s="57" t="str">
        <f aca="false">IF(O246="","",YEAR(O246))</f>
        <v/>
      </c>
      <c r="AF246" s="57" t="str">
        <f aca="false">IF(N246="","",YEAR(N246))</f>
        <v/>
      </c>
      <c r="AG246" s="57" t="n">
        <f aca="false">IF(AND(H246="Yes",OR(G246="Complete",G246="Under construction",G246="Permitted – not started",G246="Stalled")),1,0)</f>
        <v>1</v>
      </c>
      <c r="AH246" s="57" t="n">
        <f aca="false">IF(OR(G246="Under construction",G246="Permitted – not started",G246="Stalled"),1,0)</f>
        <v>1</v>
      </c>
    </row>
    <row r="247" customFormat="false" ht="15" hidden="false" customHeight="false" outlineLevel="0" collapsed="false">
      <c r="A247" s="57" t="s">
        <v>1927</v>
      </c>
      <c r="B247" s="57" t="s">
        <v>989</v>
      </c>
      <c r="C247" s="57" t="s">
        <v>1928</v>
      </c>
      <c r="D247" s="57" t="s">
        <v>990</v>
      </c>
      <c r="E247" s="57" t="n">
        <v>8</v>
      </c>
      <c r="F247" s="57"/>
      <c r="G247" s="57" t="s">
        <v>231</v>
      </c>
      <c r="H247" s="57" t="s">
        <v>228</v>
      </c>
      <c r="I247" s="57" t="s">
        <v>1310</v>
      </c>
      <c r="J247" s="57" t="s">
        <v>184</v>
      </c>
      <c r="K247" s="57" t="s">
        <v>312</v>
      </c>
      <c r="L247" s="57" t="s">
        <v>309</v>
      </c>
      <c r="M247" s="58"/>
      <c r="N247" s="58"/>
      <c r="O247" s="58"/>
      <c r="P247" s="57"/>
      <c r="Q247" s="57"/>
      <c r="R247" s="57" t="s">
        <v>1322</v>
      </c>
      <c r="S247" s="57" t="n">
        <v>0</v>
      </c>
      <c r="T247" s="57" t="n">
        <v>0</v>
      </c>
      <c r="U247" s="57" t="n">
        <v>0</v>
      </c>
      <c r="V247" s="57" t="n">
        <v>0</v>
      </c>
      <c r="W247" s="57" t="n">
        <v>0</v>
      </c>
      <c r="X247" s="57" t="n">
        <v>0</v>
      </c>
      <c r="Y247" s="57" t="s">
        <v>1307</v>
      </c>
      <c r="Z247" s="57"/>
      <c r="AA247" s="57" t="s">
        <v>365</v>
      </c>
      <c r="AB247" s="57" t="s">
        <v>365</v>
      </c>
      <c r="AC247" s="57" t="str">
        <f aca="false">IFERROR(INDEX(dp_geo,MATCH(B247,dp_id,0)),"Unmatched")</f>
        <v>Remainder of County</v>
      </c>
      <c r="AD247" s="57" t="str">
        <f aca="false">IF(M247="","",YEAR(M247))</f>
        <v/>
      </c>
      <c r="AE247" s="57" t="str">
        <f aca="false">IF(O247="","",YEAR(O247))</f>
        <v/>
      </c>
      <c r="AF247" s="57" t="str">
        <f aca="false">IF(N247="","",YEAR(N247))</f>
        <v/>
      </c>
      <c r="AG247" s="57" t="n">
        <f aca="false">IF(AND(H247="Yes",OR(G247="Complete",G247="Under construction",G247="Permitted – not started",G247="Stalled")),1,0)</f>
        <v>0</v>
      </c>
      <c r="AH247" s="57" t="n">
        <f aca="false">IF(OR(G247="Under construction",G247="Permitted – not started",G247="Stalled"),1,0)</f>
        <v>0</v>
      </c>
    </row>
    <row r="248" customFormat="false" ht="15" hidden="false" customHeight="false" outlineLevel="0" collapsed="false">
      <c r="A248" s="57" t="s">
        <v>1929</v>
      </c>
      <c r="B248" s="57" t="s">
        <v>691</v>
      </c>
      <c r="C248" s="57" t="s">
        <v>1930</v>
      </c>
      <c r="D248" s="57" t="s">
        <v>1931</v>
      </c>
      <c r="E248" s="57" t="n">
        <v>57</v>
      </c>
      <c r="F248" s="57"/>
      <c r="G248" s="57" t="s">
        <v>231</v>
      </c>
      <c r="H248" s="57" t="s">
        <v>228</v>
      </c>
      <c r="I248" s="57" t="s">
        <v>1310</v>
      </c>
      <c r="J248" s="57" t="s">
        <v>184</v>
      </c>
      <c r="K248" s="57" t="s">
        <v>310</v>
      </c>
      <c r="L248" s="57" t="s">
        <v>313</v>
      </c>
      <c r="M248" s="58"/>
      <c r="N248" s="58"/>
      <c r="O248" s="58"/>
      <c r="P248" s="57"/>
      <c r="Q248" s="57"/>
      <c r="R248" s="57" t="s">
        <v>1322</v>
      </c>
      <c r="S248" s="57" t="n">
        <v>0</v>
      </c>
      <c r="T248" s="57" t="n">
        <v>0</v>
      </c>
      <c r="U248" s="57" t="n">
        <v>0</v>
      </c>
      <c r="V248" s="57" t="n">
        <v>0</v>
      </c>
      <c r="W248" s="57" t="n">
        <v>0</v>
      </c>
      <c r="X248" s="57" t="n">
        <v>0</v>
      </c>
      <c r="Y248" s="57" t="s">
        <v>1307</v>
      </c>
      <c r="Z248" s="57"/>
      <c r="AA248" s="57" t="s">
        <v>287</v>
      </c>
      <c r="AB248" s="57" t="s">
        <v>347</v>
      </c>
      <c r="AC248" s="57" t="str">
        <f aca="false">IFERROR(INDEX(dp_geo,MATCH(B248,dp_id,0)),"Unmatched")</f>
        <v>Rest of City</v>
      </c>
      <c r="AD248" s="57" t="str">
        <f aca="false">IF(M248="","",YEAR(M248))</f>
        <v/>
      </c>
      <c r="AE248" s="57" t="str">
        <f aca="false">IF(O248="","",YEAR(O248))</f>
        <v/>
      </c>
      <c r="AF248" s="57" t="str">
        <f aca="false">IF(N248="","",YEAR(N248))</f>
        <v/>
      </c>
      <c r="AG248" s="57" t="n">
        <f aca="false">IF(AND(H248="Yes",OR(G248="Complete",G248="Under construction",G248="Permitted – not started",G248="Stalled")),1,0)</f>
        <v>0</v>
      </c>
      <c r="AH248" s="57" t="n">
        <f aca="false">IF(OR(G248="Under construction",G248="Permitted – not started",G248="Stalled"),1,0)</f>
        <v>0</v>
      </c>
    </row>
    <row r="249" customFormat="false" ht="15" hidden="false" customHeight="false" outlineLevel="0" collapsed="false">
      <c r="A249" s="57" t="s">
        <v>1932</v>
      </c>
      <c r="B249" s="57" t="s">
        <v>926</v>
      </c>
      <c r="C249" s="57" t="s">
        <v>1933</v>
      </c>
      <c r="D249" s="57" t="s">
        <v>927</v>
      </c>
      <c r="E249" s="57" t="n">
        <v>13</v>
      </c>
      <c r="F249" s="57"/>
      <c r="G249" s="57" t="s">
        <v>231</v>
      </c>
      <c r="H249" s="57" t="s">
        <v>228</v>
      </c>
      <c r="I249" s="57" t="s">
        <v>1310</v>
      </c>
      <c r="J249" s="57" t="s">
        <v>184</v>
      </c>
      <c r="K249" s="57" t="s">
        <v>310</v>
      </c>
      <c r="L249" s="57" t="s">
        <v>313</v>
      </c>
      <c r="M249" s="58"/>
      <c r="N249" s="58"/>
      <c r="O249" s="58"/>
      <c r="P249" s="57"/>
      <c r="Q249" s="57"/>
      <c r="R249" s="57" t="s">
        <v>1322</v>
      </c>
      <c r="S249" s="57" t="n">
        <v>0</v>
      </c>
      <c r="T249" s="57" t="n">
        <v>0</v>
      </c>
      <c r="U249" s="57" t="n">
        <v>0</v>
      </c>
      <c r="V249" s="57" t="n">
        <v>0</v>
      </c>
      <c r="W249" s="57" t="n">
        <v>0</v>
      </c>
      <c r="X249" s="57" t="n">
        <v>0</v>
      </c>
      <c r="Y249" s="57" t="s">
        <v>1307</v>
      </c>
      <c r="Z249" s="57"/>
      <c r="AA249" s="57" t="s">
        <v>258</v>
      </c>
      <c r="AB249" s="57" t="s">
        <v>347</v>
      </c>
      <c r="AC249" s="57" t="str">
        <f aca="false">IFERROR(INDEX(dp_geo,MATCH(B249,dp_id,0)),"Unmatched")</f>
        <v>City Centre</v>
      </c>
      <c r="AD249" s="57" t="str">
        <f aca="false">IF(M249="","",YEAR(M249))</f>
        <v/>
      </c>
      <c r="AE249" s="57" t="str">
        <f aca="false">IF(O249="","",YEAR(O249))</f>
        <v/>
      </c>
      <c r="AF249" s="57" t="str">
        <f aca="false">IF(N249="","",YEAR(N249))</f>
        <v/>
      </c>
      <c r="AG249" s="57" t="n">
        <f aca="false">IF(AND(H249="Yes",OR(G249="Complete",G249="Under construction",G249="Permitted – not started",G249="Stalled")),1,0)</f>
        <v>0</v>
      </c>
      <c r="AH249" s="57" t="n">
        <f aca="false">IF(OR(G249="Under construction",G249="Permitted – not started",G249="Stalled"),1,0)</f>
        <v>0</v>
      </c>
    </row>
    <row r="250" customFormat="false" ht="15" hidden="false" customHeight="false" outlineLevel="0" collapsed="false">
      <c r="A250" s="57" t="s">
        <v>1934</v>
      </c>
      <c r="B250" s="57" t="s">
        <v>928</v>
      </c>
      <c r="C250" s="57" t="s">
        <v>1935</v>
      </c>
      <c r="D250" s="57" t="s">
        <v>929</v>
      </c>
      <c r="E250" s="57" t="n">
        <v>13</v>
      </c>
      <c r="F250" s="57"/>
      <c r="G250" s="57" t="s">
        <v>231</v>
      </c>
      <c r="H250" s="57" t="s">
        <v>228</v>
      </c>
      <c r="I250" s="57" t="s">
        <v>1347</v>
      </c>
      <c r="J250" s="57" t="s">
        <v>184</v>
      </c>
      <c r="K250" s="57" t="s">
        <v>310</v>
      </c>
      <c r="L250" s="57" t="s">
        <v>313</v>
      </c>
      <c r="M250" s="58"/>
      <c r="N250" s="58"/>
      <c r="O250" s="58"/>
      <c r="P250" s="57"/>
      <c r="Q250" s="57"/>
      <c r="R250" s="57" t="s">
        <v>1322</v>
      </c>
      <c r="S250" s="57" t="n">
        <v>0</v>
      </c>
      <c r="T250" s="57" t="n">
        <v>0</v>
      </c>
      <c r="U250" s="57" t="n">
        <v>0</v>
      </c>
      <c r="V250" s="57" t="n">
        <v>0</v>
      </c>
      <c r="W250" s="57" t="n">
        <v>0</v>
      </c>
      <c r="X250" s="57" t="n">
        <v>0</v>
      </c>
      <c r="Y250" s="57" t="s">
        <v>1307</v>
      </c>
      <c r="Z250" s="57"/>
      <c r="AA250" s="57" t="s">
        <v>258</v>
      </c>
      <c r="AB250" s="57" t="s">
        <v>347</v>
      </c>
      <c r="AC250" s="57" t="str">
        <f aca="false">IFERROR(INDEX(dp_geo,MATCH(B250,dp_id,0)),"Unmatched")</f>
        <v>City Centre</v>
      </c>
      <c r="AD250" s="57" t="str">
        <f aca="false">IF(M250="","",YEAR(M250))</f>
        <v/>
      </c>
      <c r="AE250" s="57" t="str">
        <f aca="false">IF(O250="","",YEAR(O250))</f>
        <v/>
      </c>
      <c r="AF250" s="57" t="str">
        <f aca="false">IF(N250="","",YEAR(N250))</f>
        <v/>
      </c>
      <c r="AG250" s="57" t="n">
        <f aca="false">IF(AND(H250="Yes",OR(G250="Complete",G250="Under construction",G250="Permitted – not started",G250="Stalled")),1,0)</f>
        <v>0</v>
      </c>
      <c r="AH250" s="57" t="n">
        <f aca="false">IF(OR(G250="Under construction",G250="Permitted – not started",G250="Stalled"),1,0)</f>
        <v>0</v>
      </c>
    </row>
    <row r="251" customFormat="false" ht="15" hidden="false" customHeight="false" outlineLevel="0" collapsed="false">
      <c r="A251" s="57" t="s">
        <v>1936</v>
      </c>
      <c r="B251" s="57" t="s">
        <v>1031</v>
      </c>
      <c r="C251" s="57" t="s">
        <v>1937</v>
      </c>
      <c r="D251" s="57" t="s">
        <v>1032</v>
      </c>
      <c r="E251" s="57" t="n">
        <v>6</v>
      </c>
      <c r="F251" s="57"/>
      <c r="G251" s="57" t="s">
        <v>231</v>
      </c>
      <c r="H251" s="57" t="s">
        <v>228</v>
      </c>
      <c r="I251" s="57" t="s">
        <v>1310</v>
      </c>
      <c r="J251" s="57" t="s">
        <v>184</v>
      </c>
      <c r="K251" s="57" t="s">
        <v>310</v>
      </c>
      <c r="L251" s="57" t="s">
        <v>313</v>
      </c>
      <c r="M251" s="58"/>
      <c r="N251" s="58"/>
      <c r="O251" s="58"/>
      <c r="P251" s="57"/>
      <c r="Q251" s="57"/>
      <c r="R251" s="57" t="s">
        <v>1322</v>
      </c>
      <c r="S251" s="57" t="n">
        <v>0</v>
      </c>
      <c r="T251" s="57" t="n">
        <v>0</v>
      </c>
      <c r="U251" s="57" t="n">
        <v>0</v>
      </c>
      <c r="V251" s="57" t="n">
        <v>0</v>
      </c>
      <c r="W251" s="57" t="n">
        <v>0</v>
      </c>
      <c r="X251" s="57" t="n">
        <v>0</v>
      </c>
      <c r="Y251" s="57" t="s">
        <v>1307</v>
      </c>
      <c r="Z251" s="57"/>
      <c r="AA251" s="57" t="s">
        <v>289</v>
      </c>
      <c r="AB251" s="57" t="s">
        <v>347</v>
      </c>
      <c r="AC251" s="57" t="str">
        <f aca="false">IFERROR(INDEX(dp_geo,MATCH(B251,dp_id,0)),"Unmatched")</f>
        <v>Rest of City</v>
      </c>
      <c r="AD251" s="57" t="str">
        <f aca="false">IF(M251="","",YEAR(M251))</f>
        <v/>
      </c>
      <c r="AE251" s="57" t="str">
        <f aca="false">IF(O251="","",YEAR(O251))</f>
        <v/>
      </c>
      <c r="AF251" s="57" t="str">
        <f aca="false">IF(N251="","",YEAR(N251))</f>
        <v/>
      </c>
      <c r="AG251" s="57" t="n">
        <f aca="false">IF(AND(H251="Yes",OR(G251="Complete",G251="Under construction",G251="Permitted – not started",G251="Stalled")),1,0)</f>
        <v>0</v>
      </c>
      <c r="AH251" s="57" t="n">
        <f aca="false">IF(OR(G251="Under construction",G251="Permitted – not started",G251="Stalled"),1,0)</f>
        <v>0</v>
      </c>
    </row>
    <row r="252" customFormat="false" ht="15" hidden="false" customHeight="false" outlineLevel="0" collapsed="false">
      <c r="A252" s="57" t="s">
        <v>1938</v>
      </c>
      <c r="B252" s="57" t="s">
        <v>1033</v>
      </c>
      <c r="C252" s="57" t="s">
        <v>1939</v>
      </c>
      <c r="D252" s="57" t="s">
        <v>1034</v>
      </c>
      <c r="E252" s="57" t="n">
        <v>6</v>
      </c>
      <c r="F252" s="57"/>
      <c r="G252" s="57" t="s">
        <v>231</v>
      </c>
      <c r="H252" s="57" t="s">
        <v>228</v>
      </c>
      <c r="I252" s="57" t="s">
        <v>1310</v>
      </c>
      <c r="J252" s="57" t="s">
        <v>184</v>
      </c>
      <c r="K252" s="57" t="s">
        <v>310</v>
      </c>
      <c r="L252" s="57" t="s">
        <v>313</v>
      </c>
      <c r="M252" s="58"/>
      <c r="N252" s="58"/>
      <c r="O252" s="58"/>
      <c r="P252" s="57"/>
      <c r="Q252" s="57"/>
      <c r="R252" s="57" t="s">
        <v>1322</v>
      </c>
      <c r="S252" s="57" t="n">
        <v>0</v>
      </c>
      <c r="T252" s="57" t="n">
        <v>0</v>
      </c>
      <c r="U252" s="57" t="n">
        <v>0</v>
      </c>
      <c r="V252" s="57" t="n">
        <v>0</v>
      </c>
      <c r="W252" s="57" t="n">
        <v>0</v>
      </c>
      <c r="X252" s="57" t="n">
        <v>0</v>
      </c>
      <c r="Y252" s="57" t="s">
        <v>1307</v>
      </c>
      <c r="Z252" s="57"/>
      <c r="AA252" s="57" t="s">
        <v>284</v>
      </c>
      <c r="AB252" s="57" t="s">
        <v>347</v>
      </c>
      <c r="AC252" s="57" t="str">
        <f aca="false">IFERROR(INDEX(dp_geo,MATCH(B252,dp_id,0)),"Unmatched")</f>
        <v>Rest of City</v>
      </c>
      <c r="AD252" s="57" t="str">
        <f aca="false">IF(M252="","",YEAR(M252))</f>
        <v/>
      </c>
      <c r="AE252" s="57" t="str">
        <f aca="false">IF(O252="","",YEAR(O252))</f>
        <v/>
      </c>
      <c r="AF252" s="57" t="str">
        <f aca="false">IF(N252="","",YEAR(N252))</f>
        <v/>
      </c>
      <c r="AG252" s="57" t="n">
        <f aca="false">IF(AND(H252="Yes",OR(G252="Complete",G252="Under construction",G252="Permitted – not started",G252="Stalled")),1,0)</f>
        <v>0</v>
      </c>
      <c r="AH252" s="57" t="n">
        <f aca="false">IF(OR(G252="Under construction",G252="Permitted – not started",G252="Stalled"),1,0)</f>
        <v>0</v>
      </c>
    </row>
    <row r="253" customFormat="false" ht="15" hidden="false" customHeight="false" outlineLevel="0" collapsed="false">
      <c r="A253" s="57" t="s">
        <v>1940</v>
      </c>
      <c r="B253" s="57" t="s">
        <v>324</v>
      </c>
      <c r="C253" s="57" t="s">
        <v>1941</v>
      </c>
      <c r="D253" s="57" t="s">
        <v>1942</v>
      </c>
      <c r="E253" s="57" t="n">
        <v>4</v>
      </c>
      <c r="F253" s="57"/>
      <c r="G253" s="57" t="s">
        <v>231</v>
      </c>
      <c r="H253" s="57" t="s">
        <v>228</v>
      </c>
      <c r="I253" s="57" t="s">
        <v>1310</v>
      </c>
      <c r="J253" s="57" t="s">
        <v>304</v>
      </c>
      <c r="K253" s="57" t="s">
        <v>308</v>
      </c>
      <c r="L253" s="57" t="s">
        <v>309</v>
      </c>
      <c r="M253" s="58"/>
      <c r="N253" s="58"/>
      <c r="O253" s="58"/>
      <c r="P253" s="57"/>
      <c r="Q253" s="57"/>
      <c r="R253" s="57" t="s">
        <v>1322</v>
      </c>
      <c r="S253" s="57" t="n">
        <v>0</v>
      </c>
      <c r="T253" s="57" t="n">
        <v>0</v>
      </c>
      <c r="U253" s="57" t="n">
        <v>0</v>
      </c>
      <c r="V253" s="57" t="n">
        <v>0</v>
      </c>
      <c r="W253" s="57" t="n">
        <v>0</v>
      </c>
      <c r="X253" s="57" t="n">
        <v>0</v>
      </c>
      <c r="Y253" s="57" t="s">
        <v>1307</v>
      </c>
      <c r="Z253" s="57"/>
      <c r="AA253" s="57" t="s">
        <v>258</v>
      </c>
      <c r="AB253" s="57" t="s">
        <v>347</v>
      </c>
      <c r="AC253" s="57" t="str">
        <f aca="false">IFERROR(INDEX(dp_geo,MATCH(B253,dp_id,0)),"Unmatched")</f>
        <v>City Centre</v>
      </c>
      <c r="AD253" s="57" t="str">
        <f aca="false">IF(M253="","",YEAR(M253))</f>
        <v/>
      </c>
      <c r="AE253" s="57" t="str">
        <f aca="false">IF(O253="","",YEAR(O253))</f>
        <v/>
      </c>
      <c r="AF253" s="57" t="str">
        <f aca="false">IF(N253="","",YEAR(N253))</f>
        <v/>
      </c>
      <c r="AG253" s="57" t="n">
        <f aca="false">IF(AND(H253="Yes",OR(G253="Complete",G253="Under construction",G253="Permitted – not started",G253="Stalled")),1,0)</f>
        <v>0</v>
      </c>
      <c r="AH253" s="57" t="n">
        <f aca="false">IF(OR(G253="Under construction",G253="Permitted – not started",G253="Stalled"),1,0)</f>
        <v>0</v>
      </c>
    </row>
    <row r="254" customFormat="false" ht="15" hidden="false" customHeight="false" outlineLevel="0" collapsed="false">
      <c r="A254" s="57" t="s">
        <v>1943</v>
      </c>
      <c r="B254" s="57" t="s">
        <v>748</v>
      </c>
      <c r="C254" s="57" t="s">
        <v>1944</v>
      </c>
      <c r="D254" s="57" t="s">
        <v>1945</v>
      </c>
      <c r="E254" s="57" t="n">
        <v>48</v>
      </c>
      <c r="F254" s="57"/>
      <c r="G254" s="57" t="s">
        <v>231</v>
      </c>
      <c r="H254" s="57" t="s">
        <v>228</v>
      </c>
      <c r="I254" s="57" t="s">
        <v>1347</v>
      </c>
      <c r="J254" s="57" t="s">
        <v>304</v>
      </c>
      <c r="K254" s="57" t="s">
        <v>308</v>
      </c>
      <c r="L254" s="57" t="s">
        <v>309</v>
      </c>
      <c r="M254" s="58"/>
      <c r="N254" s="58"/>
      <c r="O254" s="58"/>
      <c r="P254" s="57"/>
      <c r="Q254" s="57"/>
      <c r="R254" s="57" t="s">
        <v>1322</v>
      </c>
      <c r="S254" s="57" t="n">
        <v>0</v>
      </c>
      <c r="T254" s="57" t="n">
        <v>0</v>
      </c>
      <c r="U254" s="57" t="n">
        <v>0</v>
      </c>
      <c r="V254" s="57" t="n">
        <v>0</v>
      </c>
      <c r="W254" s="57" t="n">
        <v>0</v>
      </c>
      <c r="X254" s="57" t="n">
        <v>0</v>
      </c>
      <c r="Y254" s="57" t="s">
        <v>1307</v>
      </c>
      <c r="Z254" s="57"/>
      <c r="AA254" s="57" t="s">
        <v>350</v>
      </c>
      <c r="AB254" s="57" t="s">
        <v>349</v>
      </c>
      <c r="AC254" s="57" t="str">
        <f aca="false">IFERROR(INDEX(dp_geo,MATCH(B254,dp_id,0)),"Unmatched")</f>
        <v>Settlements</v>
      </c>
      <c r="AD254" s="57" t="str">
        <f aca="false">IF(M254="","",YEAR(M254))</f>
        <v/>
      </c>
      <c r="AE254" s="57" t="str">
        <f aca="false">IF(O254="","",YEAR(O254))</f>
        <v/>
      </c>
      <c r="AF254" s="57" t="str">
        <f aca="false">IF(N254="","",YEAR(N254))</f>
        <v/>
      </c>
      <c r="AG254" s="57" t="n">
        <f aca="false">IF(AND(H254="Yes",OR(G254="Complete",G254="Under construction",G254="Permitted – not started",G254="Stalled")),1,0)</f>
        <v>0</v>
      </c>
      <c r="AH254" s="57" t="n">
        <f aca="false">IF(OR(G254="Under construction",G254="Permitted – not started",G254="Stalled"),1,0)</f>
        <v>0</v>
      </c>
    </row>
    <row r="255" customFormat="false" ht="15" hidden="false" customHeight="false" outlineLevel="0" collapsed="false">
      <c r="A255" s="57" t="s">
        <v>1946</v>
      </c>
      <c r="B255" s="57" t="s">
        <v>603</v>
      </c>
      <c r="C255" s="57" t="s">
        <v>1947</v>
      </c>
      <c r="D255" s="57" t="s">
        <v>1948</v>
      </c>
      <c r="E255" s="57" t="n">
        <v>6</v>
      </c>
      <c r="F255" s="57"/>
      <c r="G255" s="57" t="s">
        <v>231</v>
      </c>
      <c r="H255" s="57" t="s">
        <v>228</v>
      </c>
      <c r="I255" s="57" t="s">
        <v>1347</v>
      </c>
      <c r="J255" s="57" t="s">
        <v>184</v>
      </c>
      <c r="K255" s="57" t="s">
        <v>310</v>
      </c>
      <c r="L255" s="57" t="s">
        <v>313</v>
      </c>
      <c r="M255" s="58"/>
      <c r="N255" s="58"/>
      <c r="O255" s="58"/>
      <c r="P255" s="57"/>
      <c r="Q255" s="57"/>
      <c r="R255" s="57" t="s">
        <v>1322</v>
      </c>
      <c r="S255" s="57" t="n">
        <v>0</v>
      </c>
      <c r="T255" s="57" t="n">
        <v>0</v>
      </c>
      <c r="U255" s="57" t="n">
        <v>0</v>
      </c>
      <c r="V255" s="57" t="n">
        <v>0</v>
      </c>
      <c r="W255" s="57" t="n">
        <v>0</v>
      </c>
      <c r="X255" s="57" t="n">
        <v>0</v>
      </c>
      <c r="Y255" s="57" t="s">
        <v>1307</v>
      </c>
      <c r="Z255" s="57"/>
      <c r="AA255" s="57" t="s">
        <v>284</v>
      </c>
      <c r="AB255" s="57" t="s">
        <v>347</v>
      </c>
      <c r="AC255" s="57" t="str">
        <f aca="false">IFERROR(INDEX(dp_geo,MATCH(B255,dp_id,0)),"Unmatched")</f>
        <v>Rest of City</v>
      </c>
      <c r="AD255" s="57" t="str">
        <f aca="false">IF(M255="","",YEAR(M255))</f>
        <v/>
      </c>
      <c r="AE255" s="57" t="str">
        <f aca="false">IF(O255="","",YEAR(O255))</f>
        <v/>
      </c>
      <c r="AF255" s="57" t="str">
        <f aca="false">IF(N255="","",YEAR(N255))</f>
        <v/>
      </c>
      <c r="AG255" s="57" t="n">
        <f aca="false">IF(AND(H255="Yes",OR(G255="Complete",G255="Under construction",G255="Permitted – not started",G255="Stalled")),1,0)</f>
        <v>0</v>
      </c>
      <c r="AH255" s="57" t="n">
        <f aca="false">IF(OR(G255="Under construction",G255="Permitted – not started",G255="Stalled"),1,0)</f>
        <v>0</v>
      </c>
    </row>
    <row r="256" customFormat="false" ht="15" hidden="false" customHeight="false" outlineLevel="0" collapsed="false">
      <c r="A256" s="57" t="s">
        <v>1949</v>
      </c>
      <c r="B256" s="57" t="s">
        <v>1035</v>
      </c>
      <c r="C256" s="57" t="s">
        <v>1950</v>
      </c>
      <c r="D256" s="57" t="s">
        <v>1036</v>
      </c>
      <c r="E256" s="57" t="n">
        <v>3</v>
      </c>
      <c r="F256" s="57"/>
      <c r="G256" s="57" t="s">
        <v>208</v>
      </c>
      <c r="H256" s="57" t="s">
        <v>228</v>
      </c>
      <c r="I256" s="57" t="s">
        <v>1310</v>
      </c>
      <c r="J256" s="57" t="s">
        <v>184</v>
      </c>
      <c r="K256" s="57" t="s">
        <v>310</v>
      </c>
      <c r="L256" s="57" t="s">
        <v>313</v>
      </c>
      <c r="M256" s="58" t="n">
        <v>42256</v>
      </c>
      <c r="N256" s="58"/>
      <c r="O256" s="58"/>
      <c r="P256" s="57" t="s">
        <v>1469</v>
      </c>
      <c r="Q256" s="57" t="s">
        <v>1348</v>
      </c>
      <c r="R256" s="57" t="s">
        <v>1526</v>
      </c>
      <c r="S256" s="57" t="n">
        <v>0</v>
      </c>
      <c r="T256" s="57" t="n">
        <v>0</v>
      </c>
      <c r="U256" s="57" t="n">
        <v>0</v>
      </c>
      <c r="V256" s="57" t="n">
        <v>0</v>
      </c>
      <c r="W256" s="57" t="n">
        <v>0</v>
      </c>
      <c r="X256" s="57" t="n">
        <v>0</v>
      </c>
      <c r="Y256" s="57" t="s">
        <v>1337</v>
      </c>
      <c r="Z256" s="57" t="s">
        <v>1338</v>
      </c>
      <c r="AA256" s="57" t="s">
        <v>365</v>
      </c>
      <c r="AB256" s="57" t="s">
        <v>365</v>
      </c>
      <c r="AC256" s="57" t="str">
        <f aca="false">IFERROR(INDEX(dp_geo,MATCH(B256,dp_id,0)),"Unmatched")</f>
        <v>Remainder of County</v>
      </c>
      <c r="AD256" s="57" t="n">
        <f aca="false">IF(M256="","",YEAR(M256))</f>
        <v>2015</v>
      </c>
      <c r="AE256" s="57" t="str">
        <f aca="false">IF(O256="","",YEAR(O256))</f>
        <v/>
      </c>
      <c r="AF256" s="57" t="str">
        <f aca="false">IF(N256="","",YEAR(N256))</f>
        <v/>
      </c>
      <c r="AG256" s="57" t="n">
        <f aca="false">IF(AND(H256="Yes",OR(G256="Complete",G256="Under construction",G256="Permitted – not started",G256="Stalled")),1,0)</f>
        <v>1</v>
      </c>
      <c r="AH256" s="57" t="n">
        <f aca="false">IF(OR(G256="Under construction",G256="Permitted – not started",G256="Stalled"),1,0)</f>
        <v>0</v>
      </c>
    </row>
    <row r="257" customFormat="false" ht="15" hidden="false" customHeight="false" outlineLevel="0" collapsed="false">
      <c r="A257" s="57" t="s">
        <v>1951</v>
      </c>
      <c r="B257" s="57" t="s">
        <v>895</v>
      </c>
      <c r="C257" s="57" t="s">
        <v>1952</v>
      </c>
      <c r="D257" s="57" t="s">
        <v>896</v>
      </c>
      <c r="E257" s="57" t="n">
        <v>16</v>
      </c>
      <c r="F257" s="57"/>
      <c r="G257" s="57" t="s">
        <v>208</v>
      </c>
      <c r="H257" s="57" t="s">
        <v>228</v>
      </c>
      <c r="I257" s="57" t="s">
        <v>1310</v>
      </c>
      <c r="J257" s="57" t="s">
        <v>184</v>
      </c>
      <c r="K257" s="57" t="s">
        <v>310</v>
      </c>
      <c r="L257" s="57" t="s">
        <v>313</v>
      </c>
      <c r="M257" s="58" t="n">
        <v>43082</v>
      </c>
      <c r="N257" s="58"/>
      <c r="O257" s="58" t="n">
        <v>43567</v>
      </c>
      <c r="P257" s="57" t="s">
        <v>1953</v>
      </c>
      <c r="Q257" s="57" t="s">
        <v>1317</v>
      </c>
      <c r="R257" s="57" t="s">
        <v>1318</v>
      </c>
      <c r="S257" s="57" t="n">
        <v>0</v>
      </c>
      <c r="T257" s="57" t="n">
        <v>0</v>
      </c>
      <c r="U257" s="57" t="n">
        <v>0</v>
      </c>
      <c r="V257" s="57" t="n">
        <v>0</v>
      </c>
      <c r="W257" s="57" t="n">
        <v>0</v>
      </c>
      <c r="X257" s="57" t="n">
        <v>0</v>
      </c>
      <c r="Y257" s="57" t="s">
        <v>1337</v>
      </c>
      <c r="Z257" s="57" t="s">
        <v>1338</v>
      </c>
      <c r="AA257" s="57" t="s">
        <v>364</v>
      </c>
      <c r="AB257" s="57" t="s">
        <v>356</v>
      </c>
      <c r="AC257" s="57" t="str">
        <f aca="false">IFERROR(INDEX(dp_geo,MATCH(B257,dp_id,0)),"Unmatched")</f>
        <v>Settlements</v>
      </c>
      <c r="AD257" s="57" t="n">
        <f aca="false">IF(M257="","",YEAR(M257))</f>
        <v>2017</v>
      </c>
      <c r="AE257" s="57" t="n">
        <f aca="false">IF(O257="","",YEAR(O257))</f>
        <v>2019</v>
      </c>
      <c r="AF257" s="57" t="str">
        <f aca="false">IF(N257="","",YEAR(N257))</f>
        <v/>
      </c>
      <c r="AG257" s="57" t="n">
        <f aca="false">IF(AND(H257="Yes",OR(G257="Complete",G257="Under construction",G257="Permitted – not started",G257="Stalled")),1,0)</f>
        <v>1</v>
      </c>
      <c r="AH257" s="57" t="n">
        <f aca="false">IF(OR(G257="Under construction",G257="Permitted – not started",G257="Stalled"),1,0)</f>
        <v>0</v>
      </c>
    </row>
    <row r="258" customFormat="false" ht="15" hidden="false" customHeight="false" outlineLevel="0" collapsed="false">
      <c r="A258" s="57" t="s">
        <v>1954</v>
      </c>
      <c r="B258" s="57" t="s">
        <v>1049</v>
      </c>
      <c r="C258" s="57" t="s">
        <v>1955</v>
      </c>
      <c r="D258" s="57" t="s">
        <v>1050</v>
      </c>
      <c r="E258" s="57" t="n">
        <v>5</v>
      </c>
      <c r="F258" s="57"/>
      <c r="G258" s="57" t="s">
        <v>208</v>
      </c>
      <c r="H258" s="57" t="s">
        <v>228</v>
      </c>
      <c r="I258" s="57" t="s">
        <v>1310</v>
      </c>
      <c r="J258" s="57" t="s">
        <v>184</v>
      </c>
      <c r="K258" s="57" t="s">
        <v>310</v>
      </c>
      <c r="L258" s="57" t="s">
        <v>313</v>
      </c>
      <c r="M258" s="58"/>
      <c r="N258" s="58"/>
      <c r="O258" s="58" t="n">
        <v>43472</v>
      </c>
      <c r="P258" s="57" t="s">
        <v>1956</v>
      </c>
      <c r="Q258" s="57" t="s">
        <v>1317</v>
      </c>
      <c r="R258" s="57" t="s">
        <v>1318</v>
      </c>
      <c r="S258" s="57" t="n">
        <v>0</v>
      </c>
      <c r="T258" s="57" t="n">
        <v>0</v>
      </c>
      <c r="U258" s="57" t="n">
        <v>0</v>
      </c>
      <c r="V258" s="57" t="n">
        <v>0</v>
      </c>
      <c r="W258" s="57" t="n">
        <v>0</v>
      </c>
      <c r="X258" s="57" t="n">
        <v>0</v>
      </c>
      <c r="Y258" s="57" t="s">
        <v>1337</v>
      </c>
      <c r="Z258" s="57" t="s">
        <v>1338</v>
      </c>
      <c r="AA258" s="57" t="s">
        <v>287</v>
      </c>
      <c r="AB258" s="57" t="s">
        <v>347</v>
      </c>
      <c r="AC258" s="57" t="str">
        <f aca="false">IFERROR(INDEX(dp_geo,MATCH(B258,dp_id,0)),"Unmatched")</f>
        <v>Rest of City</v>
      </c>
      <c r="AD258" s="57" t="str">
        <f aca="false">IF(M258="","",YEAR(M258))</f>
        <v/>
      </c>
      <c r="AE258" s="57" t="n">
        <f aca="false">IF(O258="","",YEAR(O258))</f>
        <v>2019</v>
      </c>
      <c r="AF258" s="57" t="str">
        <f aca="false">IF(N258="","",YEAR(N258))</f>
        <v/>
      </c>
      <c r="AG258" s="57" t="n">
        <f aca="false">IF(AND(H258="Yes",OR(G258="Complete",G258="Under construction",G258="Permitted – not started",G258="Stalled")),1,0)</f>
        <v>1</v>
      </c>
      <c r="AH258" s="57" t="n">
        <f aca="false">IF(OR(G258="Under construction",G258="Permitted – not started",G258="Stalled"),1,0)</f>
        <v>0</v>
      </c>
    </row>
    <row r="259" customFormat="false" ht="15" hidden="false" customHeight="false" outlineLevel="0" collapsed="false">
      <c r="A259" s="57" t="s">
        <v>1957</v>
      </c>
      <c r="B259" s="57" t="s">
        <v>930</v>
      </c>
      <c r="C259" s="57" t="s">
        <v>1958</v>
      </c>
      <c r="D259" s="57" t="s">
        <v>931</v>
      </c>
      <c r="E259" s="57" t="n">
        <v>13</v>
      </c>
      <c r="F259" s="57"/>
      <c r="G259" s="57" t="s">
        <v>208</v>
      </c>
      <c r="H259" s="57" t="s">
        <v>228</v>
      </c>
      <c r="I259" s="57" t="s">
        <v>1310</v>
      </c>
      <c r="J259" s="57" t="s">
        <v>184</v>
      </c>
      <c r="K259" s="57" t="s">
        <v>310</v>
      </c>
      <c r="L259" s="57" t="s">
        <v>313</v>
      </c>
      <c r="M259" s="58"/>
      <c r="N259" s="58"/>
      <c r="O259" s="58" t="n">
        <v>43600</v>
      </c>
      <c r="P259" s="57" t="s">
        <v>1953</v>
      </c>
      <c r="Q259" s="57" t="s">
        <v>1317</v>
      </c>
      <c r="R259" s="57" t="s">
        <v>1318</v>
      </c>
      <c r="S259" s="57" t="n">
        <v>0</v>
      </c>
      <c r="T259" s="57" t="n">
        <v>0</v>
      </c>
      <c r="U259" s="57" t="n">
        <v>0</v>
      </c>
      <c r="V259" s="57" t="n">
        <v>0</v>
      </c>
      <c r="W259" s="57" t="n">
        <v>0</v>
      </c>
      <c r="X259" s="57" t="n">
        <v>0</v>
      </c>
      <c r="Y259" s="57" t="s">
        <v>1337</v>
      </c>
      <c r="Z259" s="57" t="s">
        <v>1338</v>
      </c>
      <c r="AA259" s="57" t="s">
        <v>258</v>
      </c>
      <c r="AB259" s="57" t="s">
        <v>347</v>
      </c>
      <c r="AC259" s="57" t="str">
        <f aca="false">IFERROR(INDEX(dp_geo,MATCH(B259,dp_id,0)),"Unmatched")</f>
        <v>City Centre</v>
      </c>
      <c r="AD259" s="57" t="str">
        <f aca="false">IF(M259="","",YEAR(M259))</f>
        <v/>
      </c>
      <c r="AE259" s="57" t="n">
        <f aca="false">IF(O259="","",YEAR(O259))</f>
        <v>2019</v>
      </c>
      <c r="AF259" s="57" t="str">
        <f aca="false">IF(N259="","",YEAR(N259))</f>
        <v/>
      </c>
      <c r="AG259" s="57" t="n">
        <f aca="false">IF(AND(H259="Yes",OR(G259="Complete",G259="Under construction",G259="Permitted – not started",G259="Stalled")),1,0)</f>
        <v>1</v>
      </c>
      <c r="AH259" s="57" t="n">
        <f aca="false">IF(OR(G259="Under construction",G259="Permitted – not started",G259="Stalled"),1,0)</f>
        <v>0</v>
      </c>
    </row>
    <row r="260" customFormat="false" ht="15" hidden="false" customHeight="false" outlineLevel="0" collapsed="false">
      <c r="A260" s="57" t="s">
        <v>1959</v>
      </c>
      <c r="B260" s="57" t="s">
        <v>1003</v>
      </c>
      <c r="C260" s="57" t="s">
        <v>1960</v>
      </c>
      <c r="D260" s="57" t="s">
        <v>1004</v>
      </c>
      <c r="E260" s="57" t="n">
        <v>7</v>
      </c>
      <c r="F260" s="57"/>
      <c r="G260" s="57" t="s">
        <v>208</v>
      </c>
      <c r="H260" s="57" t="s">
        <v>228</v>
      </c>
      <c r="I260" s="57" t="s">
        <v>1310</v>
      </c>
      <c r="J260" s="57" t="s">
        <v>184</v>
      </c>
      <c r="K260" s="57" t="s">
        <v>310</v>
      </c>
      <c r="L260" s="57" t="s">
        <v>313</v>
      </c>
      <c r="M260" s="58"/>
      <c r="N260" s="58"/>
      <c r="O260" s="58" t="n">
        <v>43367</v>
      </c>
      <c r="P260" s="57" t="s">
        <v>1628</v>
      </c>
      <c r="Q260" s="57" t="s">
        <v>1317</v>
      </c>
      <c r="R260" s="57" t="s">
        <v>1318</v>
      </c>
      <c r="S260" s="57" t="n">
        <v>0</v>
      </c>
      <c r="T260" s="57" t="n">
        <v>0</v>
      </c>
      <c r="U260" s="57" t="n">
        <v>0</v>
      </c>
      <c r="V260" s="57" t="n">
        <v>0</v>
      </c>
      <c r="W260" s="57" t="n">
        <v>0</v>
      </c>
      <c r="X260" s="57" t="n">
        <v>0</v>
      </c>
      <c r="Y260" s="57" t="s">
        <v>1337</v>
      </c>
      <c r="Z260" s="57" t="s">
        <v>1338</v>
      </c>
      <c r="AA260" s="57" t="s">
        <v>288</v>
      </c>
      <c r="AB260" s="57" t="s">
        <v>347</v>
      </c>
      <c r="AC260" s="57" t="str">
        <f aca="false">IFERROR(INDEX(dp_geo,MATCH(B260,dp_id,0)),"Unmatched")</f>
        <v>Rest of City</v>
      </c>
      <c r="AD260" s="57" t="str">
        <f aca="false">IF(M260="","",YEAR(M260))</f>
        <v/>
      </c>
      <c r="AE260" s="57" t="n">
        <f aca="false">IF(O260="","",YEAR(O260))</f>
        <v>2018</v>
      </c>
      <c r="AF260" s="57" t="str">
        <f aca="false">IF(N260="","",YEAR(N260))</f>
        <v/>
      </c>
      <c r="AG260" s="57" t="n">
        <f aca="false">IF(AND(H260="Yes",OR(G260="Complete",G260="Under construction",G260="Permitted – not started",G260="Stalled")),1,0)</f>
        <v>1</v>
      </c>
      <c r="AH260" s="57" t="n">
        <f aca="false">IF(OR(G260="Under construction",G260="Permitted – not started",G260="Stalled"),1,0)</f>
        <v>0</v>
      </c>
    </row>
    <row r="261" customFormat="false" ht="15" hidden="false" customHeight="false" outlineLevel="0" collapsed="false">
      <c r="A261" s="57" t="s">
        <v>1961</v>
      </c>
      <c r="B261" s="57" t="s">
        <v>1087</v>
      </c>
      <c r="C261" s="57" t="s">
        <v>1962</v>
      </c>
      <c r="D261" s="57" t="s">
        <v>1088</v>
      </c>
      <c r="E261" s="57" t="n">
        <v>3</v>
      </c>
      <c r="F261" s="57"/>
      <c r="G261" s="57" t="s">
        <v>208</v>
      </c>
      <c r="H261" s="57" t="s">
        <v>228</v>
      </c>
      <c r="I261" s="57" t="s">
        <v>1310</v>
      </c>
      <c r="J261" s="57" t="s">
        <v>184</v>
      </c>
      <c r="K261" s="57" t="s">
        <v>310</v>
      </c>
      <c r="L261" s="57" t="s">
        <v>313</v>
      </c>
      <c r="M261" s="58" t="n">
        <v>43811</v>
      </c>
      <c r="N261" s="58"/>
      <c r="O261" s="58" t="n">
        <v>43942</v>
      </c>
      <c r="P261" s="57" t="s">
        <v>1963</v>
      </c>
      <c r="Q261" s="57" t="s">
        <v>1317</v>
      </c>
      <c r="R261" s="57" t="s">
        <v>1318</v>
      </c>
      <c r="S261" s="57" t="n">
        <v>0</v>
      </c>
      <c r="T261" s="57" t="n">
        <v>0</v>
      </c>
      <c r="U261" s="57" t="n">
        <v>0</v>
      </c>
      <c r="V261" s="57" t="n">
        <v>0</v>
      </c>
      <c r="W261" s="57" t="n">
        <v>0</v>
      </c>
      <c r="X261" s="57" t="n">
        <v>0</v>
      </c>
      <c r="Y261" s="57" t="s">
        <v>1337</v>
      </c>
      <c r="Z261" s="57" t="s">
        <v>1338</v>
      </c>
      <c r="AA261" s="57" t="s">
        <v>258</v>
      </c>
      <c r="AB261" s="57" t="s">
        <v>347</v>
      </c>
      <c r="AC261" s="57" t="str">
        <f aca="false">IFERROR(INDEX(dp_geo,MATCH(B261,dp_id,0)),"Unmatched")</f>
        <v>City Centre</v>
      </c>
      <c r="AD261" s="57" t="n">
        <f aca="false">IF(M261="","",YEAR(M261))</f>
        <v>2019</v>
      </c>
      <c r="AE261" s="57" t="n">
        <f aca="false">IF(O261="","",YEAR(O261))</f>
        <v>2020</v>
      </c>
      <c r="AF261" s="57" t="str">
        <f aca="false">IF(N261="","",YEAR(N261))</f>
        <v/>
      </c>
      <c r="AG261" s="57" t="n">
        <f aca="false">IF(AND(H261="Yes",OR(G261="Complete",G261="Under construction",G261="Permitted – not started",G261="Stalled")),1,0)</f>
        <v>1</v>
      </c>
      <c r="AH261" s="57" t="n">
        <f aca="false">IF(OR(G261="Under construction",G261="Permitted – not started",G261="Stalled"),1,0)</f>
        <v>0</v>
      </c>
    </row>
    <row r="262" customFormat="false" ht="15" hidden="false" customHeight="false" outlineLevel="0" collapsed="false">
      <c r="A262" s="57" t="s">
        <v>1964</v>
      </c>
      <c r="B262" s="57" t="s">
        <v>794</v>
      </c>
      <c r="C262" s="57" t="s">
        <v>1965</v>
      </c>
      <c r="D262" s="57" t="s">
        <v>1966</v>
      </c>
      <c r="E262" s="57" t="n">
        <v>24</v>
      </c>
      <c r="F262" s="57"/>
      <c r="G262" s="57" t="s">
        <v>56</v>
      </c>
      <c r="H262" s="57" t="s">
        <v>228</v>
      </c>
      <c r="I262" s="57" t="s">
        <v>1310</v>
      </c>
      <c r="J262" s="57" t="s">
        <v>184</v>
      </c>
      <c r="K262" s="57" t="s">
        <v>310</v>
      </c>
      <c r="L262" s="57" t="s">
        <v>313</v>
      </c>
      <c r="M262" s="58" t="n">
        <v>43384</v>
      </c>
      <c r="N262" s="58"/>
      <c r="O262" s="58"/>
      <c r="P262" s="57" t="s">
        <v>1967</v>
      </c>
      <c r="Q262" s="57" t="s">
        <v>1425</v>
      </c>
      <c r="R262" s="57" t="s">
        <v>1318</v>
      </c>
      <c r="S262" s="57" t="n">
        <v>0</v>
      </c>
      <c r="T262" s="57" t="n">
        <v>3</v>
      </c>
      <c r="U262" s="57" t="n">
        <v>12.8</v>
      </c>
      <c r="V262" s="57" t="n">
        <v>8.2</v>
      </c>
      <c r="W262" s="57" t="n">
        <v>0</v>
      </c>
      <c r="X262" s="57" t="n">
        <v>0</v>
      </c>
      <c r="Y262" s="57" t="s">
        <v>1307</v>
      </c>
      <c r="Z262" s="57"/>
      <c r="AA262" s="57" t="s">
        <v>364</v>
      </c>
      <c r="AB262" s="57" t="s">
        <v>356</v>
      </c>
      <c r="AC262" s="57" t="str">
        <f aca="false">IFERROR(INDEX(dp_geo,MATCH(B262,dp_id,0)),"Unmatched")</f>
        <v>Settlements</v>
      </c>
      <c r="AD262" s="57" t="n">
        <f aca="false">IF(M262="","",YEAR(M262))</f>
        <v>2018</v>
      </c>
      <c r="AE262" s="57" t="str">
        <f aca="false">IF(O262="","",YEAR(O262))</f>
        <v/>
      </c>
      <c r="AF262" s="57" t="str">
        <f aca="false">IF(N262="","",YEAR(N262))</f>
        <v/>
      </c>
      <c r="AG262" s="57" t="n">
        <f aca="false">IF(AND(H262="Yes",OR(G262="Complete",G262="Under construction",G262="Permitted – not started",G262="Stalled")),1,0)</f>
        <v>1</v>
      </c>
      <c r="AH262" s="57" t="n">
        <f aca="false">IF(OR(G262="Under construction",G262="Permitted – not started",G262="Stalled"),1,0)</f>
        <v>1</v>
      </c>
    </row>
    <row r="263" customFormat="false" ht="15" hidden="false" customHeight="false" outlineLevel="0" collapsed="false">
      <c r="A263" s="57" t="s">
        <v>1968</v>
      </c>
      <c r="B263" s="57" t="s">
        <v>1051</v>
      </c>
      <c r="C263" s="57" t="s">
        <v>1969</v>
      </c>
      <c r="D263" s="57" t="s">
        <v>1052</v>
      </c>
      <c r="E263" s="57" t="n">
        <v>5</v>
      </c>
      <c r="F263" s="57"/>
      <c r="G263" s="57" t="s">
        <v>58</v>
      </c>
      <c r="H263" s="57" t="s">
        <v>228</v>
      </c>
      <c r="I263" s="57" t="s">
        <v>1310</v>
      </c>
      <c r="J263" s="57" t="s">
        <v>184</v>
      </c>
      <c r="K263" s="57" t="s">
        <v>310</v>
      </c>
      <c r="L263" s="57" t="s">
        <v>313</v>
      </c>
      <c r="M263" s="58" t="n">
        <v>43264</v>
      </c>
      <c r="N263" s="58"/>
      <c r="O263" s="58"/>
      <c r="P263" s="57" t="s">
        <v>1311</v>
      </c>
      <c r="Q263" s="57" t="s">
        <v>1312</v>
      </c>
      <c r="R263" s="57" t="s">
        <v>1313</v>
      </c>
      <c r="S263" s="57" t="n">
        <v>0</v>
      </c>
      <c r="T263" s="57" t="n">
        <v>0</v>
      </c>
      <c r="U263" s="57" t="n">
        <v>3.2</v>
      </c>
      <c r="V263" s="57" t="n">
        <v>1.8</v>
      </c>
      <c r="W263" s="57" t="n">
        <v>0</v>
      </c>
      <c r="X263" s="57" t="n">
        <v>0</v>
      </c>
      <c r="Y263" s="57" t="s">
        <v>1307</v>
      </c>
      <c r="Z263" s="57"/>
      <c r="AA263" s="57" t="s">
        <v>284</v>
      </c>
      <c r="AB263" s="57" t="s">
        <v>347</v>
      </c>
      <c r="AC263" s="57" t="str">
        <f aca="false">IFERROR(INDEX(dp_geo,MATCH(B263,dp_id,0)),"Unmatched")</f>
        <v>Rest of City</v>
      </c>
      <c r="AD263" s="57" t="n">
        <f aca="false">IF(M263="","",YEAR(M263))</f>
        <v>2018</v>
      </c>
      <c r="AE263" s="57" t="str">
        <f aca="false">IF(O263="","",YEAR(O263))</f>
        <v/>
      </c>
      <c r="AF263" s="57" t="str">
        <f aca="false">IF(N263="","",YEAR(N263))</f>
        <v/>
      </c>
      <c r="AG263" s="57" t="n">
        <f aca="false">IF(AND(H263="Yes",OR(G263="Complete",G263="Under construction",G263="Permitted – not started",G263="Stalled")),1,0)</f>
        <v>1</v>
      </c>
      <c r="AH263" s="57" t="n">
        <f aca="false">IF(OR(G263="Under construction",G263="Permitted – not started",G263="Stalled"),1,0)</f>
        <v>1</v>
      </c>
    </row>
    <row r="264" customFormat="false" ht="15" hidden="false" customHeight="false" outlineLevel="0" collapsed="false">
      <c r="A264" s="57" t="s">
        <v>1970</v>
      </c>
      <c r="B264" s="57" t="s">
        <v>1005</v>
      </c>
      <c r="C264" s="57" t="s">
        <v>1971</v>
      </c>
      <c r="D264" s="57" t="s">
        <v>1006</v>
      </c>
      <c r="E264" s="57" t="n">
        <v>7</v>
      </c>
      <c r="F264" s="57"/>
      <c r="G264" s="57" t="s">
        <v>208</v>
      </c>
      <c r="H264" s="57" t="s">
        <v>228</v>
      </c>
      <c r="I264" s="57" t="s">
        <v>1310</v>
      </c>
      <c r="J264" s="57" t="s">
        <v>184</v>
      </c>
      <c r="K264" s="57" t="s">
        <v>310</v>
      </c>
      <c r="L264" s="57" t="s">
        <v>313</v>
      </c>
      <c r="M264" s="58"/>
      <c r="N264" s="58"/>
      <c r="O264" s="58" t="n">
        <v>45657</v>
      </c>
      <c r="P264" s="57"/>
      <c r="Q264" s="57"/>
      <c r="R264" s="57" t="s">
        <v>1306</v>
      </c>
      <c r="S264" s="57" t="n">
        <v>0</v>
      </c>
      <c r="T264" s="57" t="n">
        <v>0</v>
      </c>
      <c r="U264" s="57" t="n">
        <v>0</v>
      </c>
      <c r="V264" s="57" t="n">
        <v>0</v>
      </c>
      <c r="W264" s="57" t="n">
        <v>0</v>
      </c>
      <c r="X264" s="57" t="n">
        <v>0</v>
      </c>
      <c r="Y264" s="57" t="s">
        <v>1307</v>
      </c>
      <c r="Z264" s="57" t="s">
        <v>1331</v>
      </c>
      <c r="AA264" s="57" t="s">
        <v>288</v>
      </c>
      <c r="AB264" s="57" t="s">
        <v>347</v>
      </c>
      <c r="AC264" s="57" t="str">
        <f aca="false">IFERROR(INDEX(dp_geo,MATCH(B264,dp_id,0)),"Unmatched")</f>
        <v>Rest of City</v>
      </c>
      <c r="AD264" s="57" t="str">
        <f aca="false">IF(M264="","",YEAR(M264))</f>
        <v/>
      </c>
      <c r="AE264" s="57" t="n">
        <f aca="false">IF(O264="","",YEAR(O264))</f>
        <v>2024</v>
      </c>
      <c r="AF264" s="57" t="str">
        <f aca="false">IF(N264="","",YEAR(N264))</f>
        <v/>
      </c>
      <c r="AG264" s="57" t="n">
        <f aca="false">IF(AND(H264="Yes",OR(G264="Complete",G264="Under construction",G264="Permitted – not started",G264="Stalled")),1,0)</f>
        <v>1</v>
      </c>
      <c r="AH264" s="57" t="n">
        <f aca="false">IF(OR(G264="Under construction",G264="Permitted – not started",G264="Stalled"),1,0)</f>
        <v>0</v>
      </c>
    </row>
    <row r="265" customFormat="false" ht="15" hidden="false" customHeight="false" outlineLevel="0" collapsed="false">
      <c r="A265" s="57" t="s">
        <v>1972</v>
      </c>
      <c r="B265" s="57" t="s">
        <v>920</v>
      </c>
      <c r="C265" s="57" t="s">
        <v>1973</v>
      </c>
      <c r="D265" s="57" t="s">
        <v>921</v>
      </c>
      <c r="E265" s="57" t="n">
        <v>14</v>
      </c>
      <c r="F265" s="57"/>
      <c r="G265" s="57" t="s">
        <v>58</v>
      </c>
      <c r="H265" s="57" t="s">
        <v>228</v>
      </c>
      <c r="I265" s="57" t="s">
        <v>1310</v>
      </c>
      <c r="J265" s="57" t="s">
        <v>304</v>
      </c>
      <c r="K265" s="57" t="s">
        <v>308</v>
      </c>
      <c r="L265" s="57" t="s">
        <v>309</v>
      </c>
      <c r="M265" s="58" t="n">
        <v>44532</v>
      </c>
      <c r="N265" s="58" t="n">
        <v>46357</v>
      </c>
      <c r="O265" s="58"/>
      <c r="P265" s="57" t="s">
        <v>1311</v>
      </c>
      <c r="Q265" s="57" t="s">
        <v>1312</v>
      </c>
      <c r="R265" s="57" t="s">
        <v>1313</v>
      </c>
      <c r="S265" s="57" t="n">
        <v>0</v>
      </c>
      <c r="T265" s="57" t="n">
        <v>0</v>
      </c>
      <c r="U265" s="57" t="n">
        <v>8.2</v>
      </c>
      <c r="V265" s="57" t="n">
        <v>5.8</v>
      </c>
      <c r="W265" s="57" t="n">
        <v>0</v>
      </c>
      <c r="X265" s="57" t="n">
        <v>0</v>
      </c>
      <c r="Y265" s="57" t="s">
        <v>1307</v>
      </c>
      <c r="Z265" s="57"/>
      <c r="AA265" s="57" t="s">
        <v>360</v>
      </c>
      <c r="AB265" s="57" t="s">
        <v>356</v>
      </c>
      <c r="AC265" s="57" t="str">
        <f aca="false">IFERROR(INDEX(dp_geo,MATCH(B265,dp_id,0)),"Unmatched")</f>
        <v>Settlements</v>
      </c>
      <c r="AD265" s="57" t="n">
        <f aca="false">IF(M265="","",YEAR(M265))</f>
        <v>2021</v>
      </c>
      <c r="AE265" s="57" t="str">
        <f aca="false">IF(O265="","",YEAR(O265))</f>
        <v/>
      </c>
      <c r="AF265" s="57" t="n">
        <f aca="false">IF(N265="","",YEAR(N265))</f>
        <v>2026</v>
      </c>
      <c r="AG265" s="57" t="n">
        <f aca="false">IF(AND(H265="Yes",OR(G265="Complete",G265="Under construction",G265="Permitted – not started",G265="Stalled")),1,0)</f>
        <v>1</v>
      </c>
      <c r="AH265" s="57" t="n">
        <f aca="false">IF(OR(G265="Under construction",G265="Permitted – not started",G265="Stalled"),1,0)</f>
        <v>1</v>
      </c>
    </row>
    <row r="266" customFormat="false" ht="15" hidden="false" customHeight="false" outlineLevel="0" collapsed="false">
      <c r="A266" s="57" t="s">
        <v>1974</v>
      </c>
      <c r="B266" s="57" t="s">
        <v>963</v>
      </c>
      <c r="C266" s="57" t="s">
        <v>1975</v>
      </c>
      <c r="D266" s="57" t="s">
        <v>964</v>
      </c>
      <c r="E266" s="57" t="n">
        <v>10</v>
      </c>
      <c r="F266" s="57"/>
      <c r="G266" s="57" t="s">
        <v>58</v>
      </c>
      <c r="H266" s="57" t="s">
        <v>228</v>
      </c>
      <c r="I266" s="57" t="s">
        <v>1310</v>
      </c>
      <c r="J266" s="57" t="s">
        <v>304</v>
      </c>
      <c r="K266" s="57" t="s">
        <v>308</v>
      </c>
      <c r="L266" s="57" t="s">
        <v>309</v>
      </c>
      <c r="M266" s="58" t="n">
        <v>45672</v>
      </c>
      <c r="N266" s="58" t="n">
        <v>47497</v>
      </c>
      <c r="O266" s="58"/>
      <c r="P266" s="57" t="s">
        <v>1311</v>
      </c>
      <c r="Q266" s="57" t="s">
        <v>1312</v>
      </c>
      <c r="R266" s="57" t="s">
        <v>1313</v>
      </c>
      <c r="S266" s="57" t="n">
        <v>0</v>
      </c>
      <c r="T266" s="57" t="n">
        <v>0</v>
      </c>
      <c r="U266" s="57" t="n">
        <v>5.9</v>
      </c>
      <c r="V266" s="57" t="n">
        <v>4.1</v>
      </c>
      <c r="W266" s="57" t="n">
        <v>0</v>
      </c>
      <c r="X266" s="57" t="n">
        <v>0</v>
      </c>
      <c r="Y266" s="57" t="s">
        <v>1307</v>
      </c>
      <c r="Z266" s="57"/>
      <c r="AA266" s="57" t="s">
        <v>360</v>
      </c>
      <c r="AB266" s="57" t="s">
        <v>356</v>
      </c>
      <c r="AC266" s="57" t="str">
        <f aca="false">IFERROR(INDEX(dp_geo,MATCH(B266,dp_id,0)),"Unmatched")</f>
        <v>Settlements</v>
      </c>
      <c r="AD266" s="57" t="n">
        <f aca="false">IF(M266="","",YEAR(M266))</f>
        <v>2025</v>
      </c>
      <c r="AE266" s="57" t="str">
        <f aca="false">IF(O266="","",YEAR(O266))</f>
        <v/>
      </c>
      <c r="AF266" s="57" t="n">
        <f aca="false">IF(N266="","",YEAR(N266))</f>
        <v>2030</v>
      </c>
      <c r="AG266" s="57" t="n">
        <f aca="false">IF(AND(H266="Yes",OR(G266="Complete",G266="Under construction",G266="Permitted – not started",G266="Stalled")),1,0)</f>
        <v>1</v>
      </c>
      <c r="AH266" s="57" t="n">
        <f aca="false">IF(OR(G266="Under construction",G266="Permitted – not started",G266="Stalled"),1,0)</f>
        <v>1</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2026-10-15T14:22:00Z</dcterms:created>
  <dc:creator>openpyxl</dc:creator>
  <dc:description/>
  <dc:language>en-US</dc:language>
  <cp:lastModifiedBy/>
  <dcterms:modified xsi:type="dcterms:W3CDTF">2026-10-15T14:22:05Z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