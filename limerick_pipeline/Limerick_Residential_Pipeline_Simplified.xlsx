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 sheetId="1" state="visible" r:id="rId3"/>
    <sheet name="Summary" sheetId="2" state="visible" r:id="rId4"/>
    <sheet name="Sites" sheetId="3" state="visible" r:id="rId5"/>
    <sheet name="Review Queue" sheetId="4" state="visible" r:id="rId6"/>
    <sheet name="Applications" sheetId="5" state="visible" r:id="rId7"/>
    <sheet name="Register Not in CIS" sheetId="6" state="visible" r:id="rId8"/>
  </sheets>
  <definedNames>
    <definedName function="false" hidden="true" localSheetId="4" name="_xlnm._FilterDatabase" vbProcedure="false">Applications!$A$1:$BX$293</definedName>
    <definedName function="false" hidden="true" localSheetId="5" name="_xlnm._FilterDatabase" vbProcedure="false">'Register Not in CIS'!$A$1:$K$10</definedName>
    <definedName function="false" hidden="true" localSheetId="3" name="_xlnm._FilterDatabase" vbProcedure="false">'Review Queue'!$A$1:$I$104</definedName>
    <definedName function="false" hidden="true" localSheetId="2" name="_xlnm._FilterDatabase" vbProcedure="false">Sites!$A$1:$V$217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<sst xmlns="http://schemas.openxmlformats.org/spreadsheetml/2006/main" count="8791" uniqueCount="2113">
  <si>
    <t xml:space="preserve">Limerick Residential Pipeline – Method and Assumptions</t>
  </si>
  <si>
    <t xml:space="preserve">Assumptions (edit the yellow cells)</t>
  </si>
  <si>
    <t xml:space="preserve">Report date</t>
  </si>
  <si>
    <t xml:space="preserve">Date the register was queried. Used for staleness and expiry tests.</t>
  </si>
  <si>
    <t xml:space="preserve">Stale threshold (months)</t>
  </si>
  <si>
    <t xml:space="preserve">A counted Permission Granted / Commencement Expected application with no CIS update for longer than this is reported as Constrained / uncertain until checked.</t>
  </si>
  <si>
    <t xml:space="preserve">Overlap search radius (m)</t>
  </si>
  <si>
    <t xml:space="preserve">Used at build time to flag upstream records near another record. Changing it does not re-run the search.</t>
  </si>
  <si>
    <t xml:space="preserve">Location mismatch threshold (m)</t>
  </si>
  <si>
    <t xml:space="preserve">Register point more than this far from the CIS point is flagged as a possible reference mismatch.</t>
  </si>
  <si>
    <t xml:space="preserve">Sources</t>
  </si>
  <si>
    <t xml:space="preserve">CIS granted/delivery export</t>
  </si>
  <si>
    <t xml:space="preserve">Granted/delivery records and their site grouping from the Existing Site Pipeline tab of Limerick_Residential_Pipeline_Full_Build.xlsx (226 records in 153 sites).</t>
  </si>
  <si>
    <t xml:space="preserve">CIS upstream export</t>
  </si>
  <si>
    <t xml:space="preserve">Export 20260923095518.xls as de-duplicated in the source workbook (55 records; 3 non-residential frameworks excluded).</t>
  </si>
  <si>
    <t xml:space="preserve">Planning register</t>
  </si>
  <si>
    <t xml:space="preserve">National Planning Applications dataset (Department of Housing, Local Government and Heritage), ArcGIS feature service IrishPlanningApplications, Limerick County Council records (12,835, received 2017 onwards). Queried 29/09/2026.</t>
  </si>
  <si>
    <t xml:space="preserve">An Coimisiún Pleanála</t>
  </si>
  <si>
    <t xml:space="preserve">SHD case pages at pleanala.ie/en-ie/case/&lt;number&gt;, read 29/09/2026 for the 6 records with ABP references.</t>
  </si>
  <si>
    <t xml:space="preserve">Counting (primacy)</t>
  </si>
  <si>
    <t xml:space="preserve">Counting unit</t>
  </si>
  <si>
    <t xml:space="preserve">The application. Each application gets a Relationship; only Primary, Additional phase, Additional application on site, Replaces earlier and Extension of duration (parent not in CIS) count. Sites group applications for review; site totals are sums of counted applications.</t>
  </si>
  <si>
    <t xml:space="preserve">Extension of duration</t>
  </si>
  <si>
    <t xml:space="preserve">Register EoD applications, or descriptions starting "extension of permission/duration", link to the parent file number in the description (or to the most similar earlier application on the site). Units stay on the parent; the parent expiry is extended.</t>
  </si>
  <si>
    <t xml:space="preserve">Replaces earlier</t>
  </si>
  <si>
    <t xml:space="preserve">A later application that (a) modifies a quoted earlier permission and restates at least half its units, (b) is consequent on a quoted outline permission, or (c) repeats an earlier live application nearby (description text match &gt;= 85% with units within 25%, or units within 10% with text match &gt;= 50%). The earlier application becomes Superseded.</t>
  </si>
  <si>
    <t xml:space="preserve">Amendment within parent</t>
  </si>
  <si>
    <t xml:space="preserve">Modifies a quoted earlier permission but covers less than half its units. Its units are treated as already counted in the parent.</t>
  </si>
  <si>
    <t xml:space="preserve">Additional phase</t>
  </si>
  <si>
    <t xml:space="preserve">Quotes an earlier permission without modification wording (e.g. phase 2, connecting to services of), or modifies a completed scheme or one with no unit count. Counted.</t>
  </si>
  <si>
    <t xml:space="preserve">Additional application on site</t>
  </si>
  <si>
    <t xml:space="preserve">Other live applications exist on the same site or within 100m, but no link could be found in the descriptions. Counted by default and marked Low confidence – these are the main remaining double-count risk and are in the Review Queue.</t>
  </si>
  <si>
    <t xml:space="preserve">Not live</t>
  </si>
  <si>
    <t xml:space="preserve">Refused, refused on appeal, withdrawn or invalid in the register. Not counted.</t>
  </si>
  <si>
    <t xml:space="preserve">Analyst override</t>
  </si>
  <si>
    <t xml:space="preserve">Set Analyst Relationship on the Applications tab to override the automatic relationship. Final Relationship and all totals update.</t>
  </si>
  <si>
    <t xml:space="preserve">Reporting tier and units</t>
  </si>
  <si>
    <t xml:space="preserve">Reporting Tier</t>
  </si>
  <si>
    <t xml:space="preserve">Per counted application. Analyst Status overrides. Otherwise Complete = Delivered; Permission Granted or Commencement Expected that is past expiry or stale = Constrained / uncertain; else the CIS tier.</t>
  </si>
  <si>
    <t xml:space="preserve">Units</t>
  </si>
  <si>
    <t xml:space="preserve">CIS units. Remaining = units less stated completions (completions recorded on the site are assigned to its largest Part Complete application). Delivered = units on Complete applications plus stated completions.</t>
  </si>
  <si>
    <t xml:space="preserve">Student accommodation</t>
  </si>
  <si>
    <t xml:space="preserve">Student units and bedspaces reported separately and never added to general dwellings.</t>
  </si>
  <si>
    <t xml:space="preserve">Expiry</t>
  </si>
  <si>
    <t xml:space="preserve">Register expiry date, replaced by a granted Extension of Duration expiry where one quotes the parent file number; ABP expiry = date signed + 5 (or 10) years; CIS decision date + 5 years as fallback.</t>
  </si>
  <si>
    <t xml:space="preserve">Bedroom mix</t>
  </si>
  <si>
    <t xml:space="preserve">Priority</t>
  </si>
  <si>
    <t xml:space="preserve">CIS / KPMG bedroom mix where present. Otherwise the register development description is parsed for "N no. X-bed ..." patterns.</t>
  </si>
  <si>
    <t xml:space="preserve">Acceptance rule</t>
  </si>
  <si>
    <t xml:space="preserve">A parsed mix is used only when the bedrooms found add up exactly to the stated unit total (description header, CIS units or register units). Partial parses are shown in Mix Note but not used.</t>
  </si>
  <si>
    <t xml:space="preserve">Coverage</t>
  </si>
  <si>
    <t xml:space="preserve">Mix Coverage on the Summary is the share of counted units with a known bedroom split. Descriptions that only say "N houses" carry no bedroom data; those need the planning drawings or schedule of accommodation.</t>
  </si>
  <si>
    <t xml:space="preserve">Limitations</t>
  </si>
  <si>
    <t xml:space="preserve">Part 8 and pre-2017</t>
  </si>
  <si>
    <t xml:space="preserve">Part 8 references and applications before 2017 are not in the national dataset and stay unverified.</t>
  </si>
  <si>
    <t xml:space="preserve">Register unit counts</t>
  </si>
  <si>
    <t xml:space="preserve">NumResidentialUnits is blank or zero on many register records.</t>
  </si>
  <si>
    <t xml:space="preserve">Automatic relationships</t>
  </si>
  <si>
    <t xml:space="preserve">Rules read the text of descriptions. They cannot see drawings, so phase boundaries and repeat applications on different parts of a large landholding can be misread. Check Low and Medium confidence rows.</t>
  </si>
  <si>
    <t xml:space="preserve">Legal position</t>
  </si>
  <si>
    <t xml:space="preserve">Screening only. It does not confirm the legal status of any permission.</t>
  </si>
  <si>
    <t xml:space="preserve">Social housing report</t>
  </si>
  <si>
    <t xml:space="preserve">Social Housing Construction Projects Status Report Q1 2026 (Department of Housing, Limerick pages). The report has no planning references or coordinates; only schemes matched with confidence on name, address and units (and consistent dates) are shown in the Social Housing columns. Unmatched and uncertain rows are omitted.</t>
  </si>
  <si>
    <t xml:space="preserve">Contacts</t>
  </si>
  <si>
    <t xml:space="preserve">CIS project team names and emails are not carried into this file.</t>
  </si>
  <si>
    <t xml:space="preserve">Limerick Residential Pipeline – Summary</t>
  </si>
  <si>
    <t xml:space="preserve">Headline pipeline</t>
  </si>
  <si>
    <t xml:space="preserve">Pipeline general dwellings (units remaining)</t>
  </si>
  <si>
    <t xml:space="preserve">Pipeline student units</t>
  </si>
  <si>
    <t xml:space="preserve">Pipeline student bedspaces</t>
  </si>
  <si>
    <t xml:space="preserve">Of which firm (Committed, Committed Pre-Construction, Advanced Pre-Construction)</t>
  </si>
  <si>
    <t xml:space="preserve">Delivered units (Complete applications + stated completions)</t>
  </si>
  <si>
    <t xml:space="preserve">Counted applications</t>
  </si>
  <si>
    <t xml:space="preserve">Applications not counted (superseded, amendments, extensions, not live, excluded)</t>
  </si>
  <si>
    <t xml:space="preserve">Reconciliation to the previous workbook</t>
  </si>
  <si>
    <t xml:space="preserve">Previous headline units (Pipeline Summary tab, application-level, all stages)</t>
  </si>
  <si>
    <t xml:space="preserve">Source: Pipeline Summary tab of Limerick_Residential_Pipeline_Full_Build.xlsx (sum of Units).</t>
  </si>
  <si>
    <t xml:space="preserve">Units on applications not counted (primacy / not live)</t>
  </si>
  <si>
    <t xml:space="preserve">Units on counted applications reported as Excluded by analyst</t>
  </si>
  <si>
    <t xml:space="preserve">New total: pipeline general + student units + delivered</t>
  </si>
  <si>
    <t xml:space="preserve">Difference to previous headline</t>
  </si>
  <si>
    <t xml:space="preserve">Pipeline by reporting tier</t>
  </si>
  <si>
    <t xml:space="preserve">Applications</t>
  </si>
  <si>
    <t xml:space="preserve">General Dwellings</t>
  </si>
  <si>
    <t xml:space="preserve">Student Units</t>
  </si>
  <si>
    <t xml:space="preserve">Student Bedspaces</t>
  </si>
  <si>
    <t xml:space="preserve">Known Bedroom Mix</t>
  </si>
  <si>
    <t xml:space="preserve">Mix Coverage</t>
  </si>
  <si>
    <t xml:space="preserve">Committed</t>
  </si>
  <si>
    <t xml:space="preserve">Committed Pre-Construction</t>
  </si>
  <si>
    <t xml:space="preserve">Advanced Pre-Construction</t>
  </si>
  <si>
    <t xml:space="preserve">Likely</t>
  </si>
  <si>
    <t xml:space="preserve">Potential</t>
  </si>
  <si>
    <t xml:space="preserve">Application Pipeline</t>
  </si>
  <si>
    <t xml:space="preserve">Constrained / uncertain</t>
  </si>
  <si>
    <t xml:space="preserve">Pipeline total</t>
  </si>
  <si>
    <t xml:space="preserve">Delivered</t>
  </si>
  <si>
    <t xml:space="preserve">Excluded</t>
  </si>
  <si>
    <t xml:space="preserve">Mix coverage = counted general units with a known bedroom split, as a share of counted general units in the tier.</t>
  </si>
  <si>
    <t xml:space="preserve">Pipeline bedroom mix (general dwellings, counted applications with known mix)</t>
  </si>
  <si>
    <t xml:space="preserve">Bedrooms</t>
  </si>
  <si>
    <t xml:space="preserve">Share</t>
  </si>
  <si>
    <t xml:space="preserve">Of which from CIS / KPMG</t>
  </si>
  <si>
    <t xml:space="preserve">Of which from register description</t>
  </si>
  <si>
    <t xml:space="preserve">Of which from planning file documents</t>
  </si>
  <si>
    <t xml:space="preserve">Studio</t>
  </si>
  <si>
    <t xml:space="preserve">1 Bed</t>
  </si>
  <si>
    <t xml:space="preserve">2 Bed</t>
  </si>
  <si>
    <t xml:space="preserve">3 Bed</t>
  </si>
  <si>
    <t xml:space="preserve">4 Bed</t>
  </si>
  <si>
    <t xml:space="preserve">5+ Bed</t>
  </si>
  <si>
    <t xml:space="preserve">Total with known mix</t>
  </si>
  <si>
    <t xml:space="preserve">Counted general units in pipeline (all, incl. unknown mix)</t>
  </si>
  <si>
    <t xml:space="preserve">Mix coverage</t>
  </si>
  <si>
    <t xml:space="preserve">Shares describe permitted units on applications with a known mix, not the whole pipeline. Treat as indicative where coverage is low.</t>
  </si>
  <si>
    <t xml:space="preserve">Application relationships (primacy)</t>
  </si>
  <si>
    <t xml:space="preserve">Final Relationship</t>
  </si>
  <si>
    <t xml:space="preserve">Units (CIS)</t>
  </si>
  <si>
    <t xml:space="preserve">Counted?</t>
  </si>
  <si>
    <t xml:space="preserve">Unreviewed Low / Medium confidence</t>
  </si>
  <si>
    <t xml:space="preserve">Primary</t>
  </si>
  <si>
    <t xml:space="preserve">Yes</t>
  </si>
  <si>
    <t xml:space="preserve">Extension of duration (parent not in CIS)</t>
  </si>
  <si>
    <t xml:space="preserve">Superseded</t>
  </si>
  <si>
    <t xml:space="preserve">No</t>
  </si>
  <si>
    <t xml:space="preserve">Duplicate</t>
  </si>
  <si>
    <t xml:space="preserve">Pipeline by settlement (general dwellings)</t>
  </si>
  <si>
    <t xml:space="preserve">Settlement</t>
  </si>
  <si>
    <t xml:space="preserve">Firm</t>
  </si>
  <si>
    <t xml:space="preserve">Likely + Potential</t>
  </si>
  <si>
    <t xml:space="preserve">Total</t>
  </si>
  <si>
    <t xml:space="preserve">Abbeyfeale</t>
  </si>
  <si>
    <t xml:space="preserve">Adare</t>
  </si>
  <si>
    <t xml:space="preserve">Annacotty</t>
  </si>
  <si>
    <t xml:space="preserve">Bruff</t>
  </si>
  <si>
    <t xml:space="preserve">Caherconlish</t>
  </si>
  <si>
    <t xml:space="preserve">Cappamore</t>
  </si>
  <si>
    <t xml:space="preserve">Castleconnell</t>
  </si>
  <si>
    <t xml:space="preserve">Kilmallock</t>
  </si>
  <si>
    <t xml:space="preserve">Limerick City and Suburbs</t>
  </si>
  <si>
    <t xml:space="preserve">Mungret</t>
  </si>
  <si>
    <t xml:space="preserve">Newcastle West</t>
  </si>
  <si>
    <t xml:space="preserve">Patrickswell</t>
  </si>
  <si>
    <t xml:space="preserve">Rathkeale</t>
  </si>
  <si>
    <t xml:space="preserve">Other County Limerick</t>
  </si>
  <si>
    <t xml:space="preserve">Settlement for upstream records is assigned from address text; check before using at settlement level.</t>
  </si>
  <si>
    <t xml:space="preserve">Register validation (applications)</t>
  </si>
  <si>
    <t xml:space="preserve">Check Result</t>
  </si>
  <si>
    <t xml:space="preserve">Consistent</t>
  </si>
  <si>
    <t xml:space="preserve">Consistent – decision date differs</t>
  </si>
  <si>
    <t xml:space="preserve">Stage out of date – now granted</t>
  </si>
  <si>
    <t xml:space="preserve">Check – register still pending</t>
  </si>
  <si>
    <t xml:space="preserve">Check – location differs</t>
  </si>
  <si>
    <t xml:space="preserve">Conflict – not live in register</t>
  </si>
  <si>
    <t xml:space="preserve">Conflict – register not live but CIS says built</t>
  </si>
  <si>
    <t xml:space="preserve">Unverified – not in register (Part 8 / other)</t>
  </si>
  <si>
    <t xml:space="preserve">Unverified – no reference</t>
  </si>
  <si>
    <t xml:space="preserve">Excluded (non-residential)</t>
  </si>
  <si>
    <t xml:space="preserve">Review status</t>
  </si>
  <si>
    <t xml:space="preserve">Sites needing review</t>
  </si>
  <si>
    <t xml:space="preserve">Sites marked reviewed</t>
  </si>
  <si>
    <t xml:space="preserve">Counted units on sites needing review</t>
  </si>
  <si>
    <t xml:space="preserve">Unreviewed low-confidence counted applications</t>
  </si>
  <si>
    <t xml:space="preserve">Site ID</t>
  </si>
  <si>
    <t xml:space="preserve">Origin</t>
  </si>
  <si>
    <t xml:space="preserve">Site / Project Heading</t>
  </si>
  <si>
    <t xml:space="preserve">Address</t>
  </si>
  <si>
    <t xml:space="preserve">Latitude</t>
  </si>
  <si>
    <t xml:space="preserve">Longitude</t>
  </si>
  <si>
    <t xml:space="preserve">Most Advanced CIS Stage</t>
  </si>
  <si>
    <t xml:space="preserve">Counted Applications</t>
  </si>
  <si>
    <t xml:space="preserve">Counted Units</t>
  </si>
  <si>
    <t xml:space="preserve">Pipeline General Dwellings</t>
  </si>
  <si>
    <t xml:space="preserve">Pipeline Student Units</t>
  </si>
  <si>
    <t xml:space="preserve">Delivered Units</t>
  </si>
  <si>
    <t xml:space="preserve">Not-Counted Applications</t>
  </si>
  <si>
    <t xml:space="preserve">Low-Confidence Links (unreviewed)</t>
  </si>
  <si>
    <t xml:space="preserve">Stale / Expired (counted)</t>
  </si>
  <si>
    <t xml:space="preserve">Possible Overlap</t>
  </si>
  <si>
    <t xml:space="preserve">Low-Confidence Grouping</t>
  </si>
  <si>
    <t xml:space="preserve">Review Required</t>
  </si>
  <si>
    <t xml:space="preserve">Site Reviewed</t>
  </si>
  <si>
    <t xml:space="preserve">Site Note</t>
  </si>
  <si>
    <t xml:space="preserve">P-1432711</t>
  </si>
  <si>
    <t xml:space="preserve">Granted/delivery export (grouped)</t>
  </si>
  <si>
    <t xml:space="preserve">€39m - Large Residential Development, Mungret</t>
  </si>
  <si>
    <t xml:space="preserve">Mungret Park Road, Caheranardrish, Mungret</t>
  </si>
  <si>
    <t xml:space="preserve">Permission Granted</t>
  </si>
  <si>
    <t xml:space="preserve">P-1446288</t>
  </si>
  <si>
    <t xml:space="preserve">€125.6m - Large Residential Development, Castletroy</t>
  </si>
  <si>
    <t xml:space="preserve">Lands at Monaleen Road, Castletroy</t>
  </si>
  <si>
    <t xml:space="preserve">P-1350850</t>
  </si>
  <si>
    <t xml:space="preserve">€3.9m - Residential Development, Castlemahon</t>
  </si>
  <si>
    <t xml:space="preserve">Main Street, Castlemahon</t>
  </si>
  <si>
    <t xml:space="preserve">Commencement Expected</t>
  </si>
  <si>
    <t xml:space="preserve">SG-004</t>
  </si>
  <si>
    <t xml:space="preserve">€6.3m - Residential Development, Patrickswell</t>
  </si>
  <si>
    <t xml:space="preserve">Barnakyle, Patrickswell</t>
  </si>
  <si>
    <t xml:space="preserve">On Site</t>
  </si>
  <si>
    <t xml:space="preserve">P-1444384</t>
  </si>
  <si>
    <t xml:space="preserve">€8.6m - Staff Accommodation/8Apartments, Adare</t>
  </si>
  <si>
    <t xml:space="preserve">Fitzgerald's Woodlands House Hotel, Knockanes, Adare</t>
  </si>
  <si>
    <t xml:space="preserve">P-1414007</t>
  </si>
  <si>
    <t xml:space="preserve">€1m - 8 Houses, Bruff</t>
  </si>
  <si>
    <t xml:space="preserve">Ardykeohane, Bruff</t>
  </si>
  <si>
    <t xml:space="preserve">SG-023</t>
  </si>
  <si>
    <t xml:space="preserve">€4m - Residential Development</t>
  </si>
  <si>
    <t xml:space="preserve">Broadford</t>
  </si>
  <si>
    <t xml:space="preserve">Part Complete</t>
  </si>
  <si>
    <t xml:space="preserve">SG-003</t>
  </si>
  <si>
    <t xml:space="preserve">€5.9m - Residential Development, Patrickswell</t>
  </si>
  <si>
    <t xml:space="preserve">Ballyanrahan East, Patrickswell</t>
  </si>
  <si>
    <t xml:space="preserve">SG-019</t>
  </si>
  <si>
    <t xml:space="preserve">€44m - Residential Development, Castletroy</t>
  </si>
  <si>
    <t xml:space="preserve">Newcastle, Castletroy</t>
  </si>
  <si>
    <t xml:space="preserve">P-1437215</t>
  </si>
  <si>
    <t xml:space="preserve">€84m - Parkway Valley LRD, Singland</t>
  </si>
  <si>
    <t xml:space="preserve">Site known as "Parkway Valley", Dublin Road (R445), Singland</t>
  </si>
  <si>
    <t xml:space="preserve">P-1428325</t>
  </si>
  <si>
    <t xml:space="preserve">€42m - Large Residential Development,Limerick</t>
  </si>
  <si>
    <t xml:space="preserve">Towlerton , Ballysimon, Limerick</t>
  </si>
  <si>
    <t xml:space="preserve">SG-020</t>
  </si>
  <si>
    <t xml:space="preserve">€47m - The Mungret Project</t>
  </si>
  <si>
    <t xml:space="preserve">Dromdarrig, Mungret</t>
  </si>
  <si>
    <t xml:space="preserve">P-1286254</t>
  </si>
  <si>
    <t xml:space="preserve">€3.8m - Housing Development, Castletroy</t>
  </si>
  <si>
    <t xml:space="preserve">Monaleen Heights, Newcastle, Castletroy</t>
  </si>
  <si>
    <t xml:space="preserve">P-1243349</t>
  </si>
  <si>
    <t xml:space="preserve">€21m - Residential Development, Newcastle West</t>
  </si>
  <si>
    <t xml:space="preserve">Churchtown, Newcastle West</t>
  </si>
  <si>
    <t xml:space="preserve">SG-013</t>
  </si>
  <si>
    <t xml:space="preserve">€521k - 8 Houses </t>
  </si>
  <si>
    <t xml:space="preserve">Mungret Gate, Baunacloka, Mungret</t>
  </si>
  <si>
    <t xml:space="preserve">P-1194302</t>
  </si>
  <si>
    <t xml:space="preserve">€66m - Greenpark SHD Residential Development, Dock Road, Limerick </t>
  </si>
  <si>
    <t xml:space="preserve">Lands at the Former Greenpark Racecourse, Dock Road, Limerick </t>
  </si>
  <si>
    <t xml:space="preserve">SG-030</t>
  </si>
  <si>
    <t xml:space="preserve">€5.5m - Housing Development, Cappamore</t>
  </si>
  <si>
    <t xml:space="preserve">Turagh Crescent, Cappamore</t>
  </si>
  <si>
    <t xml:space="preserve">P-1423228</t>
  </si>
  <si>
    <t xml:space="preserve">€42m - Large Residential Development, Castletroy</t>
  </si>
  <si>
    <t xml:space="preserve">Groody Road &amp; Caisleán Na hAbhann, Kilbane, Castletroy</t>
  </si>
  <si>
    <t xml:space="preserve">P-1402906</t>
  </si>
  <si>
    <t xml:space="preserve">€16.4m - Residential Development </t>
  </si>
  <si>
    <t xml:space="preserve">Rivers, Annacotty</t>
  </si>
  <si>
    <t xml:space="preserve">SG-008</t>
  </si>
  <si>
    <t xml:space="preserve">€4.6m - Residential Development </t>
  </si>
  <si>
    <t xml:space="preserve">Newtown, Castletroy</t>
  </si>
  <si>
    <t xml:space="preserve">P-1164066</t>
  </si>
  <si>
    <t xml:space="preserve">€1.9m - 9 Houses </t>
  </si>
  <si>
    <t xml:space="preserve">Templemichael, Caherconlish</t>
  </si>
  <si>
    <t xml:space="preserve">Complete</t>
  </si>
  <si>
    <t xml:space="preserve">P-1325143</t>
  </si>
  <si>
    <t xml:space="preserve">€28m - Mixed Use Development, Moyross</t>
  </si>
  <si>
    <t xml:space="preserve">Ballygrennan, Moyross Avenue, Moyross</t>
  </si>
  <si>
    <t xml:space="preserve">P-1424781</t>
  </si>
  <si>
    <t xml:space="preserve">€2.7m - Self Catering Accommodation Lodges, Adare</t>
  </si>
  <si>
    <t xml:space="preserve">Graigue, Rathkeale Road, Adare</t>
  </si>
  <si>
    <t xml:space="preserve">P-1360553</t>
  </si>
  <si>
    <t xml:space="preserve">€1.4m - 6 Houses, Annacotty</t>
  </si>
  <si>
    <t xml:space="preserve">Mulcair Drive, Rivers, Annacotty</t>
  </si>
  <si>
    <t xml:space="preserve">P-1014706</t>
  </si>
  <si>
    <t xml:space="preserve">€553k - 6 Houses</t>
  </si>
  <si>
    <t xml:space="preserve">Daar River Walk, Newcastle West</t>
  </si>
  <si>
    <t xml:space="preserve">P-1392454</t>
  </si>
  <si>
    <t xml:space="preserve">€5.9m - Residential Development, Bruff</t>
  </si>
  <si>
    <t xml:space="preserve">Brugh na Deise, Bruff</t>
  </si>
  <si>
    <t xml:space="preserve">P-1258052</t>
  </si>
  <si>
    <t xml:space="preserve">€6.3m - Apartment Development, Limerick</t>
  </si>
  <si>
    <t xml:space="preserve">Sexton Street North, Limerick</t>
  </si>
  <si>
    <t xml:space="preserve">P-1205019</t>
  </si>
  <si>
    <t xml:space="preserve">€3m - Housing Development</t>
  </si>
  <si>
    <t xml:space="preserve">Radharc Cillin, Kilfinane</t>
  </si>
  <si>
    <t xml:space="preserve">SG-017</t>
  </si>
  <si>
    <t xml:space="preserve">€8.9m - Mixed Use Development, 34-41 Catherine Street</t>
  </si>
  <si>
    <t xml:space="preserve">34-41 Catherine Street, Limerick</t>
  </si>
  <si>
    <t xml:space="preserve">P-1411773</t>
  </si>
  <si>
    <t xml:space="preserve">€4.5m - Mixed Use Development</t>
  </si>
  <si>
    <t xml:space="preserve">Michael Street, Limerick City</t>
  </si>
  <si>
    <t xml:space="preserve">P-1389800</t>
  </si>
  <si>
    <t xml:space="preserve">€87m - Student Accommodation, Castletroy</t>
  </si>
  <si>
    <t xml:space="preserve">Groody Road, Newcastle, Castletroy</t>
  </si>
  <si>
    <t xml:space="preserve">P-1333345</t>
  </si>
  <si>
    <t xml:space="preserve">€1.6m - Change of Use to 7 Apartments, Limerick</t>
  </si>
  <si>
    <t xml:space="preserve">66 O'Connell Street, Limerick City</t>
  </si>
  <si>
    <t xml:space="preserve">SG-002</t>
  </si>
  <si>
    <t xml:space="preserve">€4.8m - Residential Development, Castletroy</t>
  </si>
  <si>
    <t xml:space="preserve">Caislean Nua, Golf Links Road, Castletroy</t>
  </si>
  <si>
    <t xml:space="preserve">SG-035</t>
  </si>
  <si>
    <t xml:space="preserve">€4.9m - Residential Development, Raheen</t>
  </si>
  <si>
    <t xml:space="preserve">Ballycummin Road, Raheen</t>
  </si>
  <si>
    <t xml:space="preserve">P-1379266</t>
  </si>
  <si>
    <t xml:space="preserve">€5.4m - Residential Development </t>
  </si>
  <si>
    <t xml:space="preserve">Bottle Hill, Doon</t>
  </si>
  <si>
    <t xml:space="preserve">P-1162677</t>
  </si>
  <si>
    <t xml:space="preserve">€6.5m - Housing Development Limerick</t>
  </si>
  <si>
    <t xml:space="preserve">Lower Park Road, Corbally, Limerick</t>
  </si>
  <si>
    <t xml:space="preserve">SG-001</t>
  </si>
  <si>
    <t xml:space="preserve">€18.9m - Housing Development </t>
  </si>
  <si>
    <t xml:space="preserve">Skehacreggaun, Mungret</t>
  </si>
  <si>
    <t xml:space="preserve">P-1360674</t>
  </si>
  <si>
    <t xml:space="preserve">€7.4m - Residential Development, Kilmallock</t>
  </si>
  <si>
    <t xml:space="preserve">Ash Hill, Kilmallock</t>
  </si>
  <si>
    <t xml:space="preserve">SG-026</t>
  </si>
  <si>
    <t xml:space="preserve">€5.8m - Apartment/Retail Development, Limerick </t>
  </si>
  <si>
    <t xml:space="preserve">48-50 Parnell Street, ,Limerick</t>
  </si>
  <si>
    <t xml:space="preserve">P-1417746</t>
  </si>
  <si>
    <t xml:space="preserve">€9.4m - Student Accommodation Development, Limerick</t>
  </si>
  <si>
    <t xml:space="preserve">New Road / Pennywell Road, Old Clare Street, Limerick</t>
  </si>
  <si>
    <t xml:space="preserve">P-1414128</t>
  </si>
  <si>
    <t xml:space="preserve">€4.8m - Residential Development, Limerick</t>
  </si>
  <si>
    <t xml:space="preserve">Corbally Road, Limerick</t>
  </si>
  <si>
    <t xml:space="preserve">P-1363541</t>
  </si>
  <si>
    <t xml:space="preserve">€1.5m - Housing Development</t>
  </si>
  <si>
    <t xml:space="preserve">Delmege Park, Limerick</t>
  </si>
  <si>
    <t xml:space="preserve">P-1266613</t>
  </si>
  <si>
    <t xml:space="preserve">€6.3m - Housing Development, Kilmallock</t>
  </si>
  <si>
    <t xml:space="preserve">Glenfield, Kilmallock</t>
  </si>
  <si>
    <t xml:space="preserve">P-1363543</t>
  </si>
  <si>
    <t xml:space="preserve">€4m - Housing Development</t>
  </si>
  <si>
    <t xml:space="preserve">De Vere Court, Limerick</t>
  </si>
  <si>
    <t xml:space="preserve">P-1395070</t>
  </si>
  <si>
    <t xml:space="preserve">€800k - 4 Apartments </t>
  </si>
  <si>
    <t xml:space="preserve">Crokers of Murroe', Main Street, Murroe</t>
  </si>
  <si>
    <t xml:space="preserve">P-1384661</t>
  </si>
  <si>
    <t xml:space="preserve">€1.3m - 6 Apartments, Thomondgate</t>
  </si>
  <si>
    <t xml:space="preserve">Junction of Cross Road &amp; New Road, Thomondgate</t>
  </si>
  <si>
    <t xml:space="preserve">SG-032</t>
  </si>
  <si>
    <t xml:space="preserve">€5.45m - Apartment Development, Limerick</t>
  </si>
  <si>
    <t xml:space="preserve">33 &amp; 34 Thomas Street, Limerick</t>
  </si>
  <si>
    <t xml:space="preserve">P-1214059</t>
  </si>
  <si>
    <t xml:space="preserve">€27.5m - Clonmacken Gardens Housing Development, Limerick</t>
  </si>
  <si>
    <t xml:space="preserve">Lands to the West of Condell Road, R527, Clonmacken</t>
  </si>
  <si>
    <t xml:space="preserve">P-1383405</t>
  </si>
  <si>
    <t xml:space="preserve">€975k - Change of Use to Restaurant/Apartments</t>
  </si>
  <si>
    <t xml:space="preserve">6 William Street, Limerick</t>
  </si>
  <si>
    <t xml:space="preserve">P-1193931</t>
  </si>
  <si>
    <t xml:space="preserve">€1.3m - 6 Houses </t>
  </si>
  <si>
    <t xml:space="preserve">Rhebogue Road, Rhebogue, Limerick</t>
  </si>
  <si>
    <t xml:space="preserve">P-1366163</t>
  </si>
  <si>
    <t xml:space="preserve">€7.3m - Residential Development</t>
  </si>
  <si>
    <t xml:space="preserve">Pallas, Pallaskenry</t>
  </si>
  <si>
    <t xml:space="preserve">P-1058813</t>
  </si>
  <si>
    <t xml:space="preserve">€1.7m - Residential Development </t>
  </si>
  <si>
    <t xml:space="preserve">Towerfield, Croom</t>
  </si>
  <si>
    <t xml:space="preserve">SG-024</t>
  </si>
  <si>
    <t xml:space="preserve">€3.7m - Ardhú Apartments Refurbishment, Ennis Road</t>
  </si>
  <si>
    <t xml:space="preserve">Ardhu House (formerly known as the Clarion Suites), Ennis Road, Roses Avenue &amp; North Circular Road, Limerick</t>
  </si>
  <si>
    <t xml:space="preserve">P-1036712</t>
  </si>
  <si>
    <t xml:space="preserve">€931k - 5 Houses </t>
  </si>
  <si>
    <t xml:space="preserve">Castlecourt, Off Sheares Road, Kilmallock</t>
  </si>
  <si>
    <t xml:space="preserve">P-1278179</t>
  </si>
  <si>
    <t xml:space="preserve">€1.5m - 3 Community Houses</t>
  </si>
  <si>
    <t xml:space="preserve">Site Adjacent to soccer club at Garrane Beg and accessed off the Grove , Garrane Beg, Pallasgreen</t>
  </si>
  <si>
    <t xml:space="preserve">P-1357447</t>
  </si>
  <si>
    <t xml:space="preserve">€4.2m - Apartment Development, Limerick City</t>
  </si>
  <si>
    <t xml:space="preserve">Phebogue Road, Rhebogue, Limerick City</t>
  </si>
  <si>
    <t xml:space="preserve">SG-033</t>
  </si>
  <si>
    <t xml:space="preserve">€686k - 4 Dwellings</t>
  </si>
  <si>
    <t xml:space="preserve">Bridge Street, Knocklong</t>
  </si>
  <si>
    <t xml:space="preserve">SG-028</t>
  </si>
  <si>
    <t xml:space="preserve">€4.2m - Apartment Development, Rosbrien</t>
  </si>
  <si>
    <t xml:space="preserve">Childers Road/ Greenfield Road, Rosbrien</t>
  </si>
  <si>
    <t xml:space="preserve">P-1237333</t>
  </si>
  <si>
    <t xml:space="preserve">€2.2m - Housing Development, Ardagh</t>
  </si>
  <si>
    <t xml:space="preserve">O'Connor Park, Reerasta North, Ardagh</t>
  </si>
  <si>
    <t xml:space="preserve">SG-015</t>
  </si>
  <si>
    <t xml:space="preserve">€5m - Housing Development </t>
  </si>
  <si>
    <t xml:space="preserve">Deerpark &amp; Rathkeale Road, Adare</t>
  </si>
  <si>
    <t xml:space="preserve">P-1382991</t>
  </si>
  <si>
    <t xml:space="preserve">€32m - LRD, Mungret</t>
  </si>
  <si>
    <t xml:space="preserve">Lands at Rathmale, Mungret</t>
  </si>
  <si>
    <t xml:space="preserve">P-1317302</t>
  </si>
  <si>
    <t xml:space="preserve">€4.4m - Housing Development</t>
  </si>
  <si>
    <t xml:space="preserve">Moore Street, Turagh, Cappamore</t>
  </si>
  <si>
    <t xml:space="preserve">P-1213266</t>
  </si>
  <si>
    <t xml:space="preserve">€2.5m - 9 Houses</t>
  </si>
  <si>
    <t xml:space="preserve">Churchglen, Glennahaglish, Ballylanders</t>
  </si>
  <si>
    <t xml:space="preserve">SG-010</t>
  </si>
  <si>
    <t xml:space="preserve">€11m - Mixed Use Development, Castleconnell</t>
  </si>
  <si>
    <t xml:space="preserve">Coolbane, Castleconnell</t>
  </si>
  <si>
    <t xml:space="preserve">SG-034</t>
  </si>
  <si>
    <t xml:space="preserve">€755k - Change of Use to 3 Apartments </t>
  </si>
  <si>
    <t xml:space="preserve">39 Cecil Street, Limerick</t>
  </si>
  <si>
    <t xml:space="preserve">P-1306162</t>
  </si>
  <si>
    <t xml:space="preserve">€11.3m - Housing Development, Mungret</t>
  </si>
  <si>
    <t xml:space="preserve">Skehacreggan, Mungret, Limerick City</t>
  </si>
  <si>
    <t xml:space="preserve">SG-027</t>
  </si>
  <si>
    <t xml:space="preserve">€21m - Residential Development, Old Cratloe Road</t>
  </si>
  <si>
    <t xml:space="preserve">Old Cratloe Road, Clonconane</t>
  </si>
  <si>
    <t xml:space="preserve">P-1005377</t>
  </si>
  <si>
    <t xml:space="preserve">€1.9m - Housing Development </t>
  </si>
  <si>
    <t xml:space="preserve">Laurelville, Mill Road, Corbally</t>
  </si>
  <si>
    <t xml:space="preserve">P-1065293</t>
  </si>
  <si>
    <t xml:space="preserve">€1.3m - Care Residential Units </t>
  </si>
  <si>
    <t xml:space="preserve">Turagh, Cappamore</t>
  </si>
  <si>
    <t xml:space="preserve">P-1188558</t>
  </si>
  <si>
    <t xml:space="preserve">€1.8m - Social Housing Development, Limerick</t>
  </si>
  <si>
    <t xml:space="preserve">Land at corner of Ballysimon Road/Woodlawn Park, Limerick</t>
  </si>
  <si>
    <t xml:space="preserve">SG-012</t>
  </si>
  <si>
    <t xml:space="preserve">€16m - Residential Development, Ennis Road</t>
  </si>
  <si>
    <t xml:space="preserve">Knockhill, Ennis Road</t>
  </si>
  <si>
    <t xml:space="preserve">P-1262614</t>
  </si>
  <si>
    <t xml:space="preserve">€10.9m - Residential Development, Patrickswell</t>
  </si>
  <si>
    <t xml:space="preserve">Ballyveloge, Patrickswell</t>
  </si>
  <si>
    <t xml:space="preserve">P-1401743</t>
  </si>
  <si>
    <t xml:space="preserve">€2.4m - Apartment Development</t>
  </si>
  <si>
    <t xml:space="preserve">3-4 Robert Street, Prior's Land</t>
  </si>
  <si>
    <t xml:space="preserve">P-1247398</t>
  </si>
  <si>
    <t xml:space="preserve">€13.9m - Lidl Mixed Use Development , Ballysimon</t>
  </si>
  <si>
    <t xml:space="preserve">Towlerton, Ballysimon</t>
  </si>
  <si>
    <t xml:space="preserve">SG-018</t>
  </si>
  <si>
    <t xml:space="preserve">€1.7m - 8 Apartments</t>
  </si>
  <si>
    <t xml:space="preserve">Site adjacent to 16 &amp; 17A, Bourke Avenue</t>
  </si>
  <si>
    <t xml:space="preserve">P-1350852</t>
  </si>
  <si>
    <t xml:space="preserve">€4.5m - Apartment Development, Limerick City</t>
  </si>
  <si>
    <t xml:space="preserve">69-72 Mungret Street, Limerick City</t>
  </si>
  <si>
    <t xml:space="preserve">P-1320420</t>
  </si>
  <si>
    <t xml:space="preserve">€16.8m - Residential Development, Castleconnell</t>
  </si>
  <si>
    <t xml:space="preserve">Coolbane &amp; Coolreiry, Castleconnell</t>
  </si>
  <si>
    <t xml:space="preserve">P-1259753</t>
  </si>
  <si>
    <t xml:space="preserve">€14m - Old Dublin Road Student Village LRD, Limerick City</t>
  </si>
  <si>
    <t xml:space="preserve">Old Dublin Road, Rhebogue, Limerick City</t>
  </si>
  <si>
    <t xml:space="preserve">SG-007</t>
  </si>
  <si>
    <t xml:space="preserve">€529k - 4 Houses </t>
  </si>
  <si>
    <t xml:space="preserve">Ros Mor Estate, Kilmallock Road, Crossagalla</t>
  </si>
  <si>
    <t xml:space="preserve">P-1221693</t>
  </si>
  <si>
    <t xml:space="preserve">€76m - Residential Development, Raheen</t>
  </si>
  <si>
    <t xml:space="preserve">Ballykeefe, Raheen</t>
  </si>
  <si>
    <t xml:space="preserve">P-999956</t>
  </si>
  <si>
    <t xml:space="preserve">€7m - Residential Development, Condell Road</t>
  </si>
  <si>
    <t xml:space="preserve">Clonmacken, Condell Road</t>
  </si>
  <si>
    <t xml:space="preserve">P-1081912</t>
  </si>
  <si>
    <t xml:space="preserve">€572k - Residential Development, Kilmallock</t>
  </si>
  <si>
    <t xml:space="preserve">Ballycampion, Bruff, Kilmallock</t>
  </si>
  <si>
    <t xml:space="preserve">P-1345677</t>
  </si>
  <si>
    <t xml:space="preserve">€1.5m - New Traveller Welfare Units, Hillview Park</t>
  </si>
  <si>
    <t xml:space="preserve">Hillview Park halting site,  Rathkeale</t>
  </si>
  <si>
    <t xml:space="preserve">SG-016</t>
  </si>
  <si>
    <t xml:space="preserve">€790k -  5 Houses </t>
  </si>
  <si>
    <t xml:space="preserve">Knocklong</t>
  </si>
  <si>
    <t xml:space="preserve">SG-011</t>
  </si>
  <si>
    <t xml:space="preserve">€782k - Apartment Change of Use, Henry Street</t>
  </si>
  <si>
    <t xml:space="preserve">58 Henry Street, Limerick</t>
  </si>
  <si>
    <t xml:space="preserve">SG-022</t>
  </si>
  <si>
    <t xml:space="preserve">€9.7m - Housing Development, Newcastle West</t>
  </si>
  <si>
    <t xml:space="preserve">Woodfield Manor, Cloonyscrehane, Newcastle West</t>
  </si>
  <si>
    <t xml:space="preserve">SG-029</t>
  </si>
  <si>
    <t xml:space="preserve">€6m - Apartment Development, Limerick</t>
  </si>
  <si>
    <t xml:space="preserve">Speakers Corner, Lower Careys Road, Limerick</t>
  </si>
  <si>
    <t xml:space="preserve">P-1310783</t>
  </si>
  <si>
    <t xml:space="preserve">€8.9m - Housing Development, Newcastle West</t>
  </si>
  <si>
    <t xml:space="preserve">Carrig Desmond, Churchtown Road, Newcastle West</t>
  </si>
  <si>
    <t xml:space="preserve">Stalled or Suspended</t>
  </si>
  <si>
    <t xml:space="preserve">P-1130829</t>
  </si>
  <si>
    <t xml:space="preserve">€1m - 5 Houses </t>
  </si>
  <si>
    <t xml:space="preserve">Manor Brook, Graigue, Adare</t>
  </si>
  <si>
    <t xml:space="preserve">P-1316492</t>
  </si>
  <si>
    <t xml:space="preserve">€15.3m - Residential Development, Bruff</t>
  </si>
  <si>
    <t xml:space="preserve">Ballygrennan, Bruff</t>
  </si>
  <si>
    <t xml:space="preserve">P-1265188</t>
  </si>
  <si>
    <t xml:space="preserve">€10.4m - Residential Development, Thomondgate</t>
  </si>
  <si>
    <t xml:space="preserve">Prior's Land, New Road, Thomondgate</t>
  </si>
  <si>
    <t xml:space="preserve">P-1202244</t>
  </si>
  <si>
    <t xml:space="preserve">€3.8m - Residential Development, Curry Lane</t>
  </si>
  <si>
    <t xml:space="preserve">Flag Lane, Sullivans Lane, Curry Lane</t>
  </si>
  <si>
    <t xml:space="preserve">SG-025</t>
  </si>
  <si>
    <t xml:space="preserve">€3.5m - Apartment Development, Limerick</t>
  </si>
  <si>
    <t xml:space="preserve">Old Clare Street/Saint Lelia Street/Moores Lane</t>
  </si>
  <si>
    <t xml:space="preserve">P-1329797</t>
  </si>
  <si>
    <t xml:space="preserve">€816k - 8 Apartment </t>
  </si>
  <si>
    <t xml:space="preserve">11/12 Clontarf Place, 1-4 Wellesley Place</t>
  </si>
  <si>
    <t xml:space="preserve">P-1256924</t>
  </si>
  <si>
    <t xml:space="preserve">€5.9m - Student Accommodation Development </t>
  </si>
  <si>
    <t xml:space="preserve">McEnery's Shop and Railway Hotel, Parnell Street and Davis Street, Limerick</t>
  </si>
  <si>
    <t xml:space="preserve">P-895586</t>
  </si>
  <si>
    <t xml:space="preserve">€50m - 1 BQ Development, Limerick City</t>
  </si>
  <si>
    <t xml:space="preserve">Bishop's Quay, Lower Cecil Street, &amp; Henry Street, Limerick City</t>
  </si>
  <si>
    <t xml:space="preserve">P-1339954</t>
  </si>
  <si>
    <t xml:space="preserve">€884k - 3 Houses</t>
  </si>
  <si>
    <t xml:space="preserve">Granagh, Limerick</t>
  </si>
  <si>
    <t xml:space="preserve">P-1184979</t>
  </si>
  <si>
    <t xml:space="preserve">€3m - Modifications to Housing Development, Kilfinane</t>
  </si>
  <si>
    <t xml:space="preserve">Treada na Ri, Kilfinane</t>
  </si>
  <si>
    <t xml:space="preserve">SG-014</t>
  </si>
  <si>
    <t xml:space="preserve">€2.3m - 8 Residential Units </t>
  </si>
  <si>
    <t xml:space="preserve">Foxhollow, Golf Links Road, Castletroy</t>
  </si>
  <si>
    <t xml:space="preserve">P-1318536</t>
  </si>
  <si>
    <t xml:space="preserve">€2.2m - Residential Development, Newcastle West</t>
  </si>
  <si>
    <t xml:space="preserve">Cois Teampaill, Newcastle West</t>
  </si>
  <si>
    <t xml:space="preserve">P-1299520</t>
  </si>
  <si>
    <t xml:space="preserve">€1.4m - 3 Houses </t>
  </si>
  <si>
    <t xml:space="preserve">Roxborough, Ballysheedy</t>
  </si>
  <si>
    <t xml:space="preserve">P-1065269</t>
  </si>
  <si>
    <t xml:space="preserve">€1.4m - Housing Development </t>
  </si>
  <si>
    <t xml:space="preserve">Station Close, Knocklong</t>
  </si>
  <si>
    <t xml:space="preserve">P-981494</t>
  </si>
  <si>
    <t xml:space="preserve">€1.9m - Residential Development </t>
  </si>
  <si>
    <t xml:space="preserve">Glenview, Hospital</t>
  </si>
  <si>
    <t xml:space="preserve">P-1164656</t>
  </si>
  <si>
    <t xml:space="preserve">€50m - Punches Cross Student Accommodation - Limerick </t>
  </si>
  <si>
    <t xml:space="preserve">Punches Cross, Punches Cross</t>
  </si>
  <si>
    <t xml:space="preserve">P-1223809</t>
  </si>
  <si>
    <t xml:space="preserve">€2.9m - Housing Development, Castleconnell</t>
  </si>
  <si>
    <t xml:space="preserve">Coolbawn Meadows, Coolreiry, Castleconell</t>
  </si>
  <si>
    <t xml:space="preserve">P-1144674</t>
  </si>
  <si>
    <t xml:space="preserve">€1.9m - Change of Use to 9 Apartments, St. Paul's Convent</t>
  </si>
  <si>
    <t xml:space="preserve">St. Paul's Convent, Castle Lane, Kilfinane</t>
  </si>
  <si>
    <t xml:space="preserve">P-1163033</t>
  </si>
  <si>
    <t xml:space="preserve">€30m - Residential Development, Annacotty</t>
  </si>
  <si>
    <t xml:space="preserve">Walker's Lane, Annacotty</t>
  </si>
  <si>
    <t xml:space="preserve">P-1129627</t>
  </si>
  <si>
    <t xml:space="preserve">€13m - Residential Development, Castletroy</t>
  </si>
  <si>
    <t xml:space="preserve">Bru na Gruadan, Castletroy</t>
  </si>
  <si>
    <t xml:space="preserve">P-1084266</t>
  </si>
  <si>
    <t xml:space="preserve">€5.6m - Housing Development</t>
  </si>
  <si>
    <t xml:space="preserve">Liscreagh, Murroe</t>
  </si>
  <si>
    <t xml:space="preserve">P-1064271</t>
  </si>
  <si>
    <t xml:space="preserve">€618k - 2 Apartments </t>
  </si>
  <si>
    <t xml:space="preserve">39 &amp; 40 Lord Edward St.</t>
  </si>
  <si>
    <t xml:space="preserve">SG-005</t>
  </si>
  <si>
    <t xml:space="preserve">€10m - Residential Development, Singland</t>
  </si>
  <si>
    <t xml:space="preserve">Bloodmill Road, Singland</t>
  </si>
  <si>
    <t xml:space="preserve">P-1290708</t>
  </si>
  <si>
    <t xml:space="preserve">€3.7m - Residential Development, Limerick City</t>
  </si>
  <si>
    <t xml:space="preserve">No. 1–4 James Street and 6 and 7 Upper Mallow Street, Limerick City</t>
  </si>
  <si>
    <t xml:space="preserve">P-1283723</t>
  </si>
  <si>
    <t xml:space="preserve">€680k - 3 Houses </t>
  </si>
  <si>
    <t xml:space="preserve">Loughill, Limerick</t>
  </si>
  <si>
    <t xml:space="preserve">SG-031</t>
  </si>
  <si>
    <t xml:space="preserve">€5.2m - Residential Development, Limerick</t>
  </si>
  <si>
    <t xml:space="preserve">94 O'Connell Street, Limerick</t>
  </si>
  <si>
    <t xml:space="preserve">P-1152091</t>
  </si>
  <si>
    <t xml:space="preserve">€561k - Main Street Housing Development, Ballylanders </t>
  </si>
  <si>
    <t xml:space="preserve">Main Street, Ballylanders</t>
  </si>
  <si>
    <t xml:space="preserve">P-1292276</t>
  </si>
  <si>
    <t xml:space="preserve">€907k - Change of Use to 4 Apartments </t>
  </si>
  <si>
    <t xml:space="preserve">28-29 Gerald Griffin Street, Limerick</t>
  </si>
  <si>
    <t xml:space="preserve">P-1242233</t>
  </si>
  <si>
    <t xml:space="preserve">€11m - Residential Development, Limerick</t>
  </si>
  <si>
    <t xml:space="preserve">Clonconane, between Old Cratloe Road (L3102) and Pass (Meelick) Road, Limerick</t>
  </si>
  <si>
    <t xml:space="preserve">P-1015932</t>
  </si>
  <si>
    <t xml:space="preserve">€1.7m - Residential Development, Rosbrien Road</t>
  </si>
  <si>
    <t xml:space="preserve">Gough Place, Rosbrien Road</t>
  </si>
  <si>
    <t xml:space="preserve">P-1156999</t>
  </si>
  <si>
    <t xml:space="preserve">€864k - 6 Dwellings</t>
  </si>
  <si>
    <t xml:space="preserve">Davin Gardens, Redgate Road, Caherdavin</t>
  </si>
  <si>
    <t xml:space="preserve">P-1054214</t>
  </si>
  <si>
    <t xml:space="preserve">€6m - Residential Development, King's Island</t>
  </si>
  <si>
    <t xml:space="preserve">Orchard Site (bounded by Castle Street, Island gate, Old Dominick Street and Church Street), King's Island</t>
  </si>
  <si>
    <t xml:space="preserve">P-1258895</t>
  </si>
  <si>
    <t xml:space="preserve">€4.9m - Residential Development, Newcastle West</t>
  </si>
  <si>
    <t xml:space="preserve">Sycamore Crescent, Gortboy, Newcastle West</t>
  </si>
  <si>
    <t xml:space="preserve">P-1225380</t>
  </si>
  <si>
    <t xml:space="preserve">€18.8m - Nursing Home Development, Croom</t>
  </si>
  <si>
    <t xml:space="preserve">Skagh, Croom</t>
  </si>
  <si>
    <t xml:space="preserve">P-1121263</t>
  </si>
  <si>
    <t xml:space="preserve">€543k - 2 Houses </t>
  </si>
  <si>
    <t xml:space="preserve">Gortnagross, Athea</t>
  </si>
  <si>
    <t xml:space="preserve">P-1058796</t>
  </si>
  <si>
    <t xml:space="preserve">€8.5m - Student Accommodation Development, Former Hassett’s Bar</t>
  </si>
  <si>
    <t xml:space="preserve">Hassett's Cross, Former Hassett’s Bar, Hassett's Cross</t>
  </si>
  <si>
    <t xml:space="preserve">P-1195465</t>
  </si>
  <si>
    <t xml:space="preserve">€2.1m - Apartment Development </t>
  </si>
  <si>
    <t xml:space="preserve">37 Windmill Street</t>
  </si>
  <si>
    <t xml:space="preserve">SG-009</t>
  </si>
  <si>
    <t xml:space="preserve">€11m - Residential Development, Castletroy</t>
  </si>
  <si>
    <t xml:space="preserve">Walkers Road (Phase 2), Castlebrook Manor , Newcastle, Castletroy</t>
  </si>
  <si>
    <t xml:space="preserve">P-1050624</t>
  </si>
  <si>
    <t xml:space="preserve">€3.9m - Residential Development, Moyross</t>
  </si>
  <si>
    <t xml:space="preserve">Dalgaish Park, Moyross</t>
  </si>
  <si>
    <t xml:space="preserve">SG-021</t>
  </si>
  <si>
    <t xml:space="preserve">New Link Road, Shanabooly, Caherdavin</t>
  </si>
  <si>
    <t xml:space="preserve">P-1053166</t>
  </si>
  <si>
    <t xml:space="preserve">€800k - Residential Development, Ballingarry</t>
  </si>
  <si>
    <t xml:space="preserve">Knight Street, Ballingarry</t>
  </si>
  <si>
    <t xml:space="preserve">P-1045472</t>
  </si>
  <si>
    <t xml:space="preserve">€3m - Residential Development, Mulgrave Street</t>
  </si>
  <si>
    <t xml:space="preserve">Mulgrave Street</t>
  </si>
  <si>
    <t xml:space="preserve">P-1098119</t>
  </si>
  <si>
    <t xml:space="preserve">€1.1m - 6 Houses </t>
  </si>
  <si>
    <t xml:space="preserve">Kilgobbin, Adare</t>
  </si>
  <si>
    <t xml:space="preserve">P-1022341</t>
  </si>
  <si>
    <t xml:space="preserve">€5.7m - Residential Development, Rhebogue</t>
  </si>
  <si>
    <t xml:space="preserve">Rhebogue Road, Rhebogue</t>
  </si>
  <si>
    <t xml:space="preserve">P-1201358</t>
  </si>
  <si>
    <t xml:space="preserve">€2.4m - Residential Development, Broadford </t>
  </si>
  <si>
    <t xml:space="preserve">Broadford , Broadford </t>
  </si>
  <si>
    <t xml:space="preserve">P-1114096</t>
  </si>
  <si>
    <t xml:space="preserve">€864k - Residential Development, Tournafulla</t>
  </si>
  <si>
    <t xml:space="preserve">Tournafulla</t>
  </si>
  <si>
    <t xml:space="preserve">SG-006</t>
  </si>
  <si>
    <t xml:space="preserve">€3.4m - Residential Development, Mungret</t>
  </si>
  <si>
    <t xml:space="preserve">Slí na Manach, Mungret</t>
  </si>
  <si>
    <t xml:space="preserve">P-1132789</t>
  </si>
  <si>
    <t xml:space="preserve">€919k - Student Accommodation Development, Saint Gerard Street</t>
  </si>
  <si>
    <t xml:space="preserve">2 &amp; 3 Saint Gerard Street</t>
  </si>
  <si>
    <t xml:space="preserve">P-1120093</t>
  </si>
  <si>
    <t xml:space="preserve">€864k - 4 Houses </t>
  </si>
  <si>
    <t xml:space="preserve">Anglers Walk, Rhebogue</t>
  </si>
  <si>
    <t xml:space="preserve">P-1063948</t>
  </si>
  <si>
    <t xml:space="preserve">€9m - Rapid Housing Delivery</t>
  </si>
  <si>
    <t xml:space="preserve">Southill &amp; Moyross (Various Locations)</t>
  </si>
  <si>
    <t xml:space="preserve">P-999958</t>
  </si>
  <si>
    <t xml:space="preserve">€2.2m - Residential Development </t>
  </si>
  <si>
    <t xml:space="preserve">Lower Carey's Road, Limerick</t>
  </si>
  <si>
    <t xml:space="preserve">P-1051821</t>
  </si>
  <si>
    <t xml:space="preserve">€2m - Apartment Development </t>
  </si>
  <si>
    <t xml:space="preserve">Site No. 11, Gateway Park, Skagh, Croom</t>
  </si>
  <si>
    <t xml:space="preserve">P-1112715</t>
  </si>
  <si>
    <t xml:space="preserve">€3.2m - Change of Use to Apartment Development </t>
  </si>
  <si>
    <t xml:space="preserve">Riverstone Clocktower, Hartstonge Gate, Stable Lane, Off Henry Street</t>
  </si>
  <si>
    <t xml:space="preserve">P-1099323</t>
  </si>
  <si>
    <t xml:space="preserve">€574k - Extension to Pub </t>
  </si>
  <si>
    <t xml:space="preserve">The Welcome Inn, Garryspillane</t>
  </si>
  <si>
    <t xml:space="preserve">P-974045</t>
  </si>
  <si>
    <t xml:space="preserve">€554k - 4 Houses </t>
  </si>
  <si>
    <t xml:space="preserve">Bloodmill Road</t>
  </si>
  <si>
    <t xml:space="preserve">P-999957</t>
  </si>
  <si>
    <t xml:space="preserve">€1.1m - Residential Units </t>
  </si>
  <si>
    <t xml:space="preserve">Kileely Road, Thomondgate</t>
  </si>
  <si>
    <t xml:space="preserve">P-998747</t>
  </si>
  <si>
    <t xml:space="preserve">€8.9m - Residential Development </t>
  </si>
  <si>
    <t xml:space="preserve">Old Christian's Site, Sycamore Avenue, Rathbane</t>
  </si>
  <si>
    <t xml:space="preserve">P-1071780</t>
  </si>
  <si>
    <t xml:space="preserve">€1.8m - Housing Development </t>
  </si>
  <si>
    <t xml:space="preserve">Brookhaven, Montpelier</t>
  </si>
  <si>
    <t xml:space="preserve">P-991834</t>
  </si>
  <si>
    <t xml:space="preserve">€1.3m - Housing Development</t>
  </si>
  <si>
    <t xml:space="preserve">Bloomfield, Annacotty</t>
  </si>
  <si>
    <t xml:space="preserve">P-1009370</t>
  </si>
  <si>
    <t xml:space="preserve">€870k - Apartments  </t>
  </si>
  <si>
    <t xml:space="preserve">Scott's Bar, Courtbrack Avenue, South Circular Road</t>
  </si>
  <si>
    <t xml:space="preserve">P-980328</t>
  </si>
  <si>
    <t xml:space="preserve">Jutland Hall, Steamboat Quay</t>
  </si>
  <si>
    <t xml:space="preserve">P-997576</t>
  </si>
  <si>
    <t xml:space="preserve">€1m - Residential Development</t>
  </si>
  <si>
    <t xml:space="preserve">Beechfield, Monaleen, Castletroy</t>
  </si>
  <si>
    <t xml:space="preserve">P-1015929</t>
  </si>
  <si>
    <t xml:space="preserve">€2m - Housing Development </t>
  </si>
  <si>
    <t xml:space="preserve">Cuairt na hAbhann, Clarina Village</t>
  </si>
  <si>
    <t xml:space="preserve">P-1007351</t>
  </si>
  <si>
    <t xml:space="preserve">€701k - 7 Houses </t>
  </si>
  <si>
    <t xml:space="preserve">Colbert Terrace, Abbeyfeale</t>
  </si>
  <si>
    <t xml:space="preserve">P-978022</t>
  </si>
  <si>
    <t xml:space="preserve">€3m - Mixed Use Development</t>
  </si>
  <si>
    <t xml:space="preserve">Ellen Street/Carr Street/Punch's Row</t>
  </si>
  <si>
    <t xml:space="preserve">U-837963</t>
  </si>
  <si>
    <t xml:space="preserve">Latest upstream export</t>
  </si>
  <si>
    <t xml:space="preserve">€588k - 3 Houses</t>
  </si>
  <si>
    <t xml:space="preserve">adjacent to the Soccer Club and accessed of The Grove, Garrane Beg, Pallasgreen</t>
  </si>
  <si>
    <t xml:space="preserve">Tender</t>
  </si>
  <si>
    <t xml:space="preserve">P-1278179 (20m): €1.5m - 3 Community Houses, Complete, 3 units</t>
  </si>
  <si>
    <t xml:space="preserve">U-1034286</t>
  </si>
  <si>
    <t xml:space="preserve">€567k - Change of Use to Care Residential Units </t>
  </si>
  <si>
    <t xml:space="preserve">Sisters of Mercy Convent, Main Street, Doon</t>
  </si>
  <si>
    <t xml:space="preserve">U-1033981</t>
  </si>
  <si>
    <t xml:space="preserve">€960k - Residential Development</t>
  </si>
  <si>
    <t xml:space="preserve">St. Patrick Villas, Castleconnel</t>
  </si>
  <si>
    <t xml:space="preserve">U-1040199</t>
  </si>
  <si>
    <t xml:space="preserve">€2.6m - Apartments</t>
  </si>
  <si>
    <t xml:space="preserve">Ballygrennan Close, Moyross</t>
  </si>
  <si>
    <t xml:space="preserve">U-1157017</t>
  </si>
  <si>
    <t xml:space="preserve">€2.5m - Residential Development, Mungret</t>
  </si>
  <si>
    <t xml:space="preserve">Castlemungret, Mungret, Co. Limerick, Republic of Ireland, V94 339H</t>
  </si>
  <si>
    <t xml:space="preserve">U-1164424</t>
  </si>
  <si>
    <t xml:space="preserve">€9.6m - Residential Development </t>
  </si>
  <si>
    <t xml:space="preserve">Hillcroft Close, St. Patricks Road, Singland, Limerick</t>
  </si>
  <si>
    <t xml:space="preserve">Contract Awarded</t>
  </si>
  <si>
    <t xml:space="preserve">U-1165485</t>
  </si>
  <si>
    <t xml:space="preserve">€11.3m - Residential Development </t>
  </si>
  <si>
    <t xml:space="preserve">Saint Ita's Road, Abbeyfeale West, Abbeyfeale</t>
  </si>
  <si>
    <t xml:space="preserve">U-1166991</t>
  </si>
  <si>
    <t xml:space="preserve">€10.8m - Residential Development, Croom</t>
  </si>
  <si>
    <t xml:space="preserve">Skagh, Croom, Croom</t>
  </si>
  <si>
    <t xml:space="preserve">U-1212017</t>
  </si>
  <si>
    <t xml:space="preserve">€1m - Residential Development, Ballylanders</t>
  </si>
  <si>
    <t xml:space="preserve">Church Glen, Glennahaglish, Ballylanders</t>
  </si>
  <si>
    <t xml:space="preserve">P-1213266 (79m): €2.5m - 9 Houses, On Site, 9 units</t>
  </si>
  <si>
    <t xml:space="preserve">U-1227182</t>
  </si>
  <si>
    <t xml:space="preserve">€4.5m - Housing Development, Mungret</t>
  </si>
  <si>
    <t xml:space="preserve">Rathmale, Mungret, Co. Limerick, Republic of Ireland</t>
  </si>
  <si>
    <t xml:space="preserve">U-1241529</t>
  </si>
  <si>
    <t xml:space="preserve">€4.5m - Housing Development, Limerick City</t>
  </si>
  <si>
    <t xml:space="preserve">St. Anne's, Dublin Road, Limerick City</t>
  </si>
  <si>
    <t xml:space="preserve">U-1250272</t>
  </si>
  <si>
    <t xml:space="preserve">€6.5m - Apartment Development, Limerick</t>
  </si>
  <si>
    <t xml:space="preserve">Windmill Street and Cogan Street, Limerick, Co. Limerick, Republic of Ireland, V94 DNH7</t>
  </si>
  <si>
    <t xml:space="preserve">P-1195465 (44m): €2.1m - Apartment Development , Permission Granted, 14 units; P-980328 (106m): €2m - Apartment Development , Complete, 14 units</t>
  </si>
  <si>
    <t xml:space="preserve">U-1254537</t>
  </si>
  <si>
    <t xml:space="preserve">€5m - Apartment/Retail Development, Dooradoyle</t>
  </si>
  <si>
    <t xml:space="preserve">Shannonside Kitchens Site, St Nessans Road, Dooradoyle, Co. Limerick, Republic of Ireland, V94 XH99</t>
  </si>
  <si>
    <t xml:space="preserve">U-1277663</t>
  </si>
  <si>
    <t xml:space="preserve">€9m - Housing Development, Patrickswell</t>
  </si>
  <si>
    <t xml:space="preserve">SG-003 (73m): €2.2m - Housing Development , On Site, 5 units; SG-003 (76m): €3.9m - EOD - Residential Development, Patric, On Site, 16 units</t>
  </si>
  <si>
    <t xml:space="preserve">U-1278374</t>
  </si>
  <si>
    <t xml:space="preserve">€3m - Apartment Development, Limerick</t>
  </si>
  <si>
    <t xml:space="preserve">21 &amp; 21A Barringon Street, Limerick, Co. Limerick, Republic of Ireland, V94 RX33</t>
  </si>
  <si>
    <t xml:space="preserve">U-1302008</t>
  </si>
  <si>
    <t xml:space="preserve">€3.6m - Hosuing Development, Crossagalla</t>
  </si>
  <si>
    <t xml:space="preserve">Plans Submitted</t>
  </si>
  <si>
    <t xml:space="preserve">SG-007 (14m): €3.6m - Housing/Creche Development, Crossagal, On Site, 12 units; SG-007 (48m): €529k - 4 Houses , Permission Granted, 4 units</t>
  </si>
  <si>
    <t xml:space="preserve">U-1310780</t>
  </si>
  <si>
    <t xml:space="preserve">€27m - Mixed Use Development, Dooradoyle</t>
  </si>
  <si>
    <t xml:space="preserve">Southcourt, Raheen, Dooradoyle</t>
  </si>
  <si>
    <t xml:space="preserve">U-1315592</t>
  </si>
  <si>
    <t xml:space="preserve">€12.6m - Residential Development, Patrickswell</t>
  </si>
  <si>
    <t xml:space="preserve">SG-004 (69m): €15.9m - Residential Development, Patrickswel, Permission Granted, 63 units; SG-004 (108m): €6.3m - Residential Development, Patrickswell, Permission Granted, 49 units</t>
  </si>
  <si>
    <t xml:space="preserve">U-1316160</t>
  </si>
  <si>
    <t xml:space="preserve">€705k - Radharc an Ghleanna Residential Development, Mountcollins</t>
  </si>
  <si>
    <t xml:space="preserve">Radharc an Ghleanna, Mountcollins</t>
  </si>
  <si>
    <t xml:space="preserve">U-1319159</t>
  </si>
  <si>
    <t xml:space="preserve">€22m - Golf Links Road LRD, Monaleen</t>
  </si>
  <si>
    <t xml:space="preserve">Golf Links Road, Newtown, Monaleen, Co. Limerick, Republic of Ireland, V94 P821</t>
  </si>
  <si>
    <t xml:space="preserve">U-1327665</t>
  </si>
  <si>
    <t xml:space="preserve">€2.5m - Assisted Living Dwelling Units, Glin</t>
  </si>
  <si>
    <t xml:space="preserve">Cloverfield Killacolla (Baker), Glin</t>
  </si>
  <si>
    <t xml:space="preserve">U-1328561</t>
  </si>
  <si>
    <t xml:space="preserve">€2m - 7 Houses, Broadford</t>
  </si>
  <si>
    <t xml:space="preserve">Main Street, Broadford</t>
  </si>
  <si>
    <t xml:space="preserve">P-1201358 (58m): €2.4m - Residential Development, Broadford , Permission Granted, 18 units; SG-023 (98m): €4m - Residential Development, Permission Granted, 18 units</t>
  </si>
  <si>
    <t xml:space="preserve">U-1350169</t>
  </si>
  <si>
    <t xml:space="preserve">€2.2m - 6 Houses </t>
  </si>
  <si>
    <t xml:space="preserve">SG-004 (4m): €2.4m - 6 Houses, Permission Granted, 6 units; SG-004 (98m): €1.7 - 9 Houses, Patrickswell, Complete, 9 units</t>
  </si>
  <si>
    <t xml:space="preserve">U-1353358</t>
  </si>
  <si>
    <t xml:space="preserve">€2.7m - Residential Development, Limerick</t>
  </si>
  <si>
    <t xml:space="preserve">High Street, Limerick City, Co. Limerick, Republic of Ireland, V94 W8XF</t>
  </si>
  <si>
    <t xml:space="preserve">SG-032 (126m): €5.45m - Apartment Development, Limerick, On Site, 13 units; SG-032 (131m): €2.1m - Infill Residential / Living Georgian , Permission Granted, 13 units</t>
  </si>
  <si>
    <t xml:space="preserve">U-1363929</t>
  </si>
  <si>
    <t xml:space="preserve">€4.2m - Residential Development</t>
  </si>
  <si>
    <t xml:space="preserve">Lower Park, Corbally, Co. Limerick, Republic of Ireland, V94 Y42A</t>
  </si>
  <si>
    <t xml:space="preserve">U-1447625</t>
  </si>
  <si>
    <t xml:space="preserve">€1.4m - Part 8 - 2 Houses &amp; 4 Apartments, Thomondghate</t>
  </si>
  <si>
    <t xml:space="preserve">52 New Road, Thomondghate</t>
  </si>
  <si>
    <t xml:space="preserve">P-1265188 (84m): €10.4m - Residential Development, Thomondgate, Permission Granted, 46 units</t>
  </si>
  <si>
    <t xml:space="preserve">U-1364960</t>
  </si>
  <si>
    <t xml:space="preserve">€2m - 6 Apartments, Limerick</t>
  </si>
  <si>
    <t xml:space="preserve">52 New Road, Thomondgate, Limerick</t>
  </si>
  <si>
    <t xml:space="preserve">P-1265188 (82m): €10.4m - Residential Development, Thomondgate, Permission Granted, 46 units; U-1447625 (3m): €1.4m - Part 8 - 2 Houses &amp; 4 Apartments, Tho, Plans Submitted, 6 units</t>
  </si>
  <si>
    <t xml:space="preserve">U-1369195</t>
  </si>
  <si>
    <t xml:space="preserve">€15.4m - Residential Development, Patrickswell</t>
  </si>
  <si>
    <t xml:space="preserve">SG-004 (9m): €15.9m - Residential Development, Patrickswel, Permission Granted, 63 units; SG-004 (98m): €2.4m - 6 Houses, Permission Granted, 6 units; U-1315592 (68m): €12.6m - Residential Development, Patrickswel, Plans Submitted, 61 units; U-1350169 (94m): €2.2m - 6 Houses , Plans Submitted, 6 units</t>
  </si>
  <si>
    <t xml:space="preserve">U-1376045</t>
  </si>
  <si>
    <t xml:space="preserve">€13.9m - Apartment Development, Raheen</t>
  </si>
  <si>
    <t xml:space="preserve">Baunacloka, Raheen</t>
  </si>
  <si>
    <t xml:space="preserve">U-1378081</t>
  </si>
  <si>
    <t xml:space="preserve">€879k - 4 Houses</t>
  </si>
  <si>
    <t xml:space="preserve">John Carew Park, Southill</t>
  </si>
  <si>
    <t xml:space="preserve">P-1363543 (135m): €4m - Housing Development, Complete, 14 units</t>
  </si>
  <si>
    <t xml:space="preserve">U-1378805</t>
  </si>
  <si>
    <t xml:space="preserve">€800k - Housing Development</t>
  </si>
  <si>
    <t xml:space="preserve">former Galbally Garda Station</t>
  </si>
  <si>
    <t xml:space="preserve">U-1391659</t>
  </si>
  <si>
    <t xml:space="preserve">€6.2m - Residential Development, Limerick</t>
  </si>
  <si>
    <t xml:space="preserve">Sandybrook House, Bloodmill Road, Limerick, Co. Limerick, Republic of Ireland, V94 YYH5</t>
  </si>
  <si>
    <t xml:space="preserve">P-974045 (142m): €554k - 4 Houses , Complete, 4 units</t>
  </si>
  <si>
    <t xml:space="preserve">U-1393371</t>
  </si>
  <si>
    <t xml:space="preserve">€4.8m - Mixed Use Development, Limerick</t>
  </si>
  <si>
    <t xml:space="preserve">Corner of Old Clare Street and Saint Lelia Street, Limerick, Co. Limerick, Republic of Ireland, V94 RY10</t>
  </si>
  <si>
    <t xml:space="preserve">SG-025 (2m): €3.5m - Apartment Development, Limerick, Permission Granted, 14 units; SG-025 (145m): €1.4m - Retail Units/Apartments, Permission Granted, 8 units</t>
  </si>
  <si>
    <t xml:space="preserve">U-1402230</t>
  </si>
  <si>
    <t xml:space="preserve">€2.2m - 9 Residential Units</t>
  </si>
  <si>
    <t xml:space="preserve">Hazelhall, Castletroy</t>
  </si>
  <si>
    <t xml:space="preserve">SG-008 (103m): €4.6m - Residential Development , Complete, 38 units</t>
  </si>
  <si>
    <t xml:space="preserve">U-1408292</t>
  </si>
  <si>
    <t xml:space="preserve">€7m - Apartment Development, Limerick City</t>
  </si>
  <si>
    <t xml:space="preserve">Alphonsus Street, Saint Alphonsus Street, Limerick City, Co. Limerick, Republic of Ireland, V94 T3PD</t>
  </si>
  <si>
    <t xml:space="preserve">P-1329797 (102m): €816k - 8 Apartment , Permission Granted, 8 units; P-1132789 (109m): €919k - Student Accommodation Development, Sa, Permission Granted, ? units</t>
  </si>
  <si>
    <t xml:space="preserve">U-1412368</t>
  </si>
  <si>
    <t xml:space="preserve">€1.5m - 5 Residential Units, Limerick</t>
  </si>
  <si>
    <t xml:space="preserve">Hazel Close, (Scout Hall), Bawnmore Road, Kennedy Park, Limerick</t>
  </si>
  <si>
    <t xml:space="preserve">U-1412002</t>
  </si>
  <si>
    <t xml:space="preserve">€95m - Dock Road LRD, Limerick</t>
  </si>
  <si>
    <t xml:space="preserve">The Former Limerick Gasworks Site, Dock Road, Limerick City</t>
  </si>
  <si>
    <t xml:space="preserve">U-1250272 (110m): €6.5m - Apartment Development, Limerick, Permission Granted, 29 units</t>
  </si>
  <si>
    <t xml:space="preserve">U-1412257</t>
  </si>
  <si>
    <t xml:space="preserve">€1.2m - 10 Houses, Crossagalla</t>
  </si>
  <si>
    <t xml:space="preserve">Old Cork Road - Kilmallock Road, Crossagalla</t>
  </si>
  <si>
    <t xml:space="preserve">U-1412942</t>
  </si>
  <si>
    <t xml:space="preserve">€5.4m - Cosgrave Park Phase 2, Moyross</t>
  </si>
  <si>
    <t xml:space="preserve">Cosgrave Park, Sarsfield Gardens, Cosgrave Park and Moyross Road, Moyross, Limerick City</t>
  </si>
  <si>
    <t xml:space="preserve">U-1414882</t>
  </si>
  <si>
    <t xml:space="preserve">€4.5m - Residential Development, Abbeyfeale</t>
  </si>
  <si>
    <t xml:space="preserve">Cois Na Féile, Abbeyfeale East, Abbeyfeale</t>
  </si>
  <si>
    <t xml:space="preserve">U-1416952</t>
  </si>
  <si>
    <t xml:space="preserve">€2.1m - Change of Use to Student Accommodation, Limerick</t>
  </si>
  <si>
    <t xml:space="preserve">Saint Philomena's, South Circular Road, Limerick</t>
  </si>
  <si>
    <t xml:space="preserve">U-1417331</t>
  </si>
  <si>
    <t xml:space="preserve">€1.8m - Residential Development, Newcastle West</t>
  </si>
  <si>
    <t xml:space="preserve">11-12 Bishop Street, Gortboy, Newcastle West</t>
  </si>
  <si>
    <t xml:space="preserve">U-1419385</t>
  </si>
  <si>
    <t xml:space="preserve">€3.9m - Part 8 Housing Scheme, Limerick</t>
  </si>
  <si>
    <t xml:space="preserve">48 - 50 Mary Street, Limerick</t>
  </si>
  <si>
    <t xml:space="preserve">P-1202244 (121m): €3.8m - Residential Development, Curry Lane, Commencement Expected, 30 units</t>
  </si>
  <si>
    <t xml:space="preserve">U-1419614</t>
  </si>
  <si>
    <t xml:space="preserve">€4.8m - Apartment Development, Limerick</t>
  </si>
  <si>
    <t xml:space="preserve">48-50 Mary Street, Limerick</t>
  </si>
  <si>
    <t xml:space="preserve">P-1202244 (147m): €3.8m - Residential Development, Curry Lane, Commencement Expected, 30 units; U-1419385 (33m): €3.9m - Part 8 Housing Scheme, Limerick, Plans Submitted, 30 units</t>
  </si>
  <si>
    <t xml:space="preserve">U-1419395</t>
  </si>
  <si>
    <t xml:space="preserve">€2.1m - Part 8 Residential Development, Limerick</t>
  </si>
  <si>
    <t xml:space="preserve">Ros Mor, Crossagalla, Kilmallock Road, Limerick</t>
  </si>
  <si>
    <t xml:space="preserve">U-1425841</t>
  </si>
  <si>
    <t xml:space="preserve">€14m - Residential Development, Limerick</t>
  </si>
  <si>
    <t xml:space="preserve">Toppins Field between O'Donoghue Avenue, John Carew Road, Limerick</t>
  </si>
  <si>
    <t xml:space="preserve">U-1421134</t>
  </si>
  <si>
    <t xml:space="preserve">€31m - Large Residential Development, Newcastle West</t>
  </si>
  <si>
    <t xml:space="preserve">South of the Woodfield Manor development, and extending to Killeline to the west, Newcastle West</t>
  </si>
  <si>
    <t xml:space="preserve">U-1422361</t>
  </si>
  <si>
    <t xml:space="preserve">€1.8m - 7 House/Apartment/Community Office, Feenagh</t>
  </si>
  <si>
    <t xml:space="preserve">Gortmore, Feenagh</t>
  </si>
  <si>
    <t xml:space="preserve">U-1424889</t>
  </si>
  <si>
    <t xml:space="preserve">€16m - Residential Development, Adare</t>
  </si>
  <si>
    <t xml:space="preserve">Barley Grove and the Adare Pitch and Putt Club, Rathkeale Road, Killarney Road, Graige, Adare</t>
  </si>
  <si>
    <t xml:space="preserve">U-1446285</t>
  </si>
  <si>
    <t xml:space="preserve">€7.8m - Residential Development, Abbeyfeale</t>
  </si>
  <si>
    <t xml:space="preserve">U-1165485 (11m): €11.3m - Residential Development , Contract Awarded, 68 units</t>
  </si>
  <si>
    <t xml:space="preserve">U-1439022</t>
  </si>
  <si>
    <t xml:space="preserve">€1.4m - 6 Houses, Caherdavin</t>
  </si>
  <si>
    <t xml:space="preserve">Knockhil, Ferndale, Caherdavin</t>
  </si>
  <si>
    <t xml:space="preserve">SG-012 (141m): €16m - Residential Development, Ennis Road, Commencement Expected, 92 units; SG-012 (148m): €15m - EOD Residential Development, Permission Granted, 0 units</t>
  </si>
  <si>
    <t xml:space="preserve">U-1438136</t>
  </si>
  <si>
    <t xml:space="preserve">€883k - Part 8 - 6 Apartments, Corbally</t>
  </si>
  <si>
    <t xml:space="preserve">Meadow Brook, Mill Road, Corbally</t>
  </si>
  <si>
    <t xml:space="preserve">U-1431510</t>
  </si>
  <si>
    <t xml:space="preserve">€3.2m - Residential Development, Thomondgate</t>
  </si>
  <si>
    <t xml:space="preserve">The Rock, 40 Quarry Road, Thomondgate</t>
  </si>
  <si>
    <t xml:space="preserve">U-1433772</t>
  </si>
  <si>
    <t xml:space="preserve">€3m - Part 8 Residential Development, Limerick</t>
  </si>
  <si>
    <t xml:space="preserve">Quarry Road, Thomondgate, Limerick City</t>
  </si>
  <si>
    <t xml:space="preserve">P-1384661 (38m): €1.3m - 6 Apartments, Thomondgate, On Site, 7 units</t>
  </si>
  <si>
    <t xml:space="preserve">U-1360912</t>
  </si>
  <si>
    <t xml:space="preserve">€4.3m - Apartment Development, Newcastle West</t>
  </si>
  <si>
    <t xml:space="preserve">Former Olympic Ballroom Site, Gortboy, Newcastle West</t>
  </si>
  <si>
    <t xml:space="preserve">U-1438128</t>
  </si>
  <si>
    <t xml:space="preserve">€2.9m - 2 Transitional Houses/Extension, Bruree</t>
  </si>
  <si>
    <t xml:space="preserve">Bruree House, Garroose, Bruree</t>
  </si>
  <si>
    <t xml:space="preserve">U-1442414</t>
  </si>
  <si>
    <t xml:space="preserve">€540k - 4 Apartments, Limerick</t>
  </si>
  <si>
    <t xml:space="preserve">1 - 4 Parnell Stree, Limerick</t>
  </si>
  <si>
    <t xml:space="preserve">SG-026 (113m): €5.8m - Apartment/Retail Development, Limeric, Permission Granted, 37 units; SG-026 (114m): €7m - Residential/Commercial Development, Lim, Permission Granted, 37 units</t>
  </si>
  <si>
    <t xml:space="preserve">U-1439374</t>
  </si>
  <si>
    <t xml:space="preserve">€14m - Large Residential Development, Castletroy</t>
  </si>
  <si>
    <t xml:space="preserve">Golf Links Road, Castletroy</t>
  </si>
  <si>
    <t xml:space="preserve">U-1319159 (34m): €22m - Golf Links Road LRD, Monaleen, On Site, 122 units</t>
  </si>
  <si>
    <t xml:space="preserve">U-1441321</t>
  </si>
  <si>
    <t xml:space="preserve">€3.2m - Change of Use to Apartment Development, Mungret</t>
  </si>
  <si>
    <t xml:space="preserve">The Old Girls' School, Baunacloka, Mungret</t>
  </si>
  <si>
    <t xml:space="preserve">P-1306162 (122m): €11.3m - Housing Development, Mungret, On Site, 66 units; SG-001 (149m): €16.5m - Residential Development, Mungret, On Site, 96 units</t>
  </si>
  <si>
    <t xml:space="preserve">U-1417205</t>
  </si>
  <si>
    <t xml:space="preserve">€1.4m - Architect Led Integrated Design Team for College Avenue Infill Housing Scheme,  Moyross</t>
  </si>
  <si>
    <t xml:space="preserve">College Avenue, Moyross</t>
  </si>
  <si>
    <t xml:space="preserve">U-1422145</t>
  </si>
  <si>
    <t xml:space="preserve">€719k - Architect Led Integrated Design Team Services for 23 Residential Units, Limerick</t>
  </si>
  <si>
    <t xml:space="preserve">St.Mary's Park, King's Island, Limerick</t>
  </si>
  <si>
    <t xml:space="preserve">P-1054214 (45m): €6m - Residential Development, King's Island, Permission Granted, 27 units</t>
  </si>
  <si>
    <t xml:space="preserve">U-1424651</t>
  </si>
  <si>
    <t xml:space="preserve">€20m - Council Housing Programme 2026 - 2030, Limerick</t>
  </si>
  <si>
    <t xml:space="preserve">throughout Limerick City and Limerick County, Limerick</t>
  </si>
  <si>
    <t xml:space="preserve">U-1438055</t>
  </si>
  <si>
    <t xml:space="preserve">€1.5m - Multi-Party Framework for Maintenance Repairs and Replacement of Heating Systems, Limerick</t>
  </si>
  <si>
    <t xml:space="preserve">Limerick City and County Council, Limerick</t>
  </si>
  <si>
    <t xml:space="preserve">#</t>
  </si>
  <si>
    <t xml:space="preserve">Most Advanced Stage</t>
  </si>
  <si>
    <t xml:space="preserve">Counted Units (live)</t>
  </si>
  <si>
    <t xml:space="preserve">Issues (at build)</t>
  </si>
  <si>
    <t xml:space="preserve">Overlap Detail</t>
  </si>
  <si>
    <t xml:space="preserve">Review Status (live)</t>
  </si>
  <si>
    <t xml:space="preserve">6 low-confidence counted application(s): 181104 (Additional application on site, 99), 181105 (Additional application on site, 23), 19547 (Additional application on site, 90), 191236 (Additional application on site, 92), 211152 (Additional application on site, 105), 211400 (Additional application on site, 98) | Auto link to check: 20256 superseded 21350; 21350 replaces earlier 20256 | 19547 past expiry (27/05/2025) | Low-confidence grouping in source workbook</t>
  </si>
  <si>
    <t xml:space="preserve">1 low-confidence counted application(s): 2561231 (Additional application on site, 169) | Low-confidence grouping in source workbook</t>
  </si>
  <si>
    <t xml:space="preserve">4 low-confidence counted application(s): 22917 (Additional application on site, 12), 22959 (Additional application on site, 98), 221114 (Additional application on site, 54), 2460032 (Additional application on site, 99) | 211800 no CIS update since 05/2024 | 22917 no CIS update since 08/2023 | Low-confidence grouping in source workbook</t>
  </si>
  <si>
    <t xml:space="preserve">9 low-confidence counted application(s): 19689 (Additional application on site, 9), 20281 (Additional application on site, 36), 21873 (Additional application on site, 9), 228017 (Additional application on site, 24), Part 8 - 1248404 (Additional application on site, 24), 2560156 (Additional application on site, 63), 2560633 (Additional application on site, 6), 2560653 (Additional application on site, 40), 2561228 (Additional application on site, 54) | 18346 past expiry (22/10/2023) | 20281 past expiry (01/12/2025) | Part 8 - 1248404 no CIS update since 03/2023 | Low-confidence grouping in source workbook</t>
  </si>
  <si>
    <t xml:space="preserve">Possible overlap with nearby record</t>
  </si>
  <si>
    <t xml:space="preserve">4 low-confidence counted application(s): 201195 (Additional application on site, 66), 21532 (Additional application on site, 7), 211217 (Additional application on site, 101), 211216 (Additional application on site, 99) | Auto link to check: 2460578 amendment within parent 211217 | Low-confidence grouping in source workbook</t>
  </si>
  <si>
    <t xml:space="preserve">1 low-confidence counted application(s): 217025 (Extension of duration (parent not in CIS), 65) | Auto link to check: 23557 additional phase 217025 | Low-confidence grouping in source workbook</t>
  </si>
  <si>
    <t xml:space="preserve">2 low-confidence counted application(s): 211475 (Additional application on site, 23), 2561323 (Additional application on site, 4) | Low-confidence grouping in source workbook</t>
  </si>
  <si>
    <t xml:space="preserve">3 low-confidence counted application(s): 187001 (Extension of duration (parent not in CIS), 0), 201115 (Additional application on site, 96), 201114 (Additional application on site, 96) | 187001 no CIS update since 04/2018 | 201114 past expiry (26/05/2026) | Low-confidence grouping in source workbook</t>
  </si>
  <si>
    <t xml:space="preserve">1 low-confidence counted application(s): 22990 (Additional application on site, 99) | Auto link to check: 2360793 additional phase 22990; 2460304 additional phase 22990 | 198010 past expiry (27/01/2025) | 2460304 no CIS update since 06/2024 | Low-confidence grouping in source workbook</t>
  </si>
  <si>
    <t xml:space="preserve">1 low-confidence counted application(s): 181270 (Additional application on site, 37) | Low-confidence grouping in source workbook</t>
  </si>
  <si>
    <t xml:space="preserve">3 low-confidence counted application(s): 20361 (Additional application on site, 3), 21853 (Additional application on site, 2), 2560271 (Additional application on site, 114) | 1855 past expiry (03/07/2023) | 21853 no CIS update since 09/2023 | Low-confidence grouping in source workbook | Later application nearby: 20361 (06/05/2020, Granted, 3 units, in CIS)</t>
  </si>
  <si>
    <t xml:space="preserve">ABPREF309999 past expiry (04/08/2026)</t>
  </si>
  <si>
    <t xml:space="preserve">2 low-confidence counted application(s): 181193 (Additional application on site, 58), 19444 (Additional application on site, 5) | Auto link to check: 257001 extension of duration 19444 | Low-confidence grouping in source workbook</t>
  </si>
  <si>
    <t xml:space="preserve">1 low-confidence counted application(s): 2561242 (Additional application on site, 76) | 20222 past expiry (05/01/2026) | Low-confidence grouping in source workbook</t>
  </si>
  <si>
    <t xml:space="preserve">Low-confidence grouping in source workbook</t>
  </si>
  <si>
    <t xml:space="preserve">22817 no CIS update since 06/2023</t>
  </si>
  <si>
    <t xml:space="preserve">2 low-confidence counted application(s): 187031 (Extension of duration (parent not in CIS), 54), 201320 (Additional application on site, 21) | Low-confidence grouping in source workbook</t>
  </si>
  <si>
    <t xml:space="preserve">1 low-confidence counted application(s): 2560546 (Additional application on site, 37) | 211598 no CIS update since 04/2022 | Low-confidence grouping in source workbook</t>
  </si>
  <si>
    <t xml:space="preserve">2360794 no CIS update since 08/2024</t>
  </si>
  <si>
    <t xml:space="preserve">1 low-confidence counted application(s): 2460082 (Additional application on site, 12) | 21531 no CIS update since 03/2024 | Low-confidence grouping in source workbook</t>
  </si>
  <si>
    <t xml:space="preserve">2 low-confidence counted application(s): 181243 (Additional application on site, 53), 2460468 (Additional application on site, 12) | 18618 past expiry (26/11/2023) | Low-confidence grouping in source workbook</t>
  </si>
  <si>
    <t xml:space="preserve">1 low-confidence counted application(s): 2460030 (Additional application on site, 14) | Low-confidence grouping in source workbook</t>
  </si>
  <si>
    <t xml:space="preserve">2 low-confidence counted application(s): 18465 (Additional phase, 25), 20467 (Additional phase, 29) | Low-confidence grouping in source workbook</t>
  </si>
  <si>
    <t xml:space="preserve">1 low-confidence counted application(s): 2660232 (Additional application on site, 48) | Possible overlap with nearby record</t>
  </si>
  <si>
    <t xml:space="preserve">221400 no CIS update since 08/2024</t>
  </si>
  <si>
    <t xml:space="preserve">1 low-confidence counted application(s): 2560425 (Additional application on site, 24) | Auto link to check: Part 8 - 1371977 replaces earlier 248161 | Low-confidence grouping in source workbook</t>
  </si>
  <si>
    <t xml:space="preserve">1 low-confidence counted application(s): 2360144 (Additional application on site, 41) | Possible overlap with nearby record</t>
  </si>
  <si>
    <t xml:space="preserve">1 low-confidence counted application(s): 228016 (Additional application on site, 36) | Low-confidence grouping in source workbook</t>
  </si>
  <si>
    <t xml:space="preserve">1 low-confidence counted application(s): Part 8 - 1264155 (Additional application on site, 8) | 221367 no CIS update since 08/2023 | Part 8 - 1264155 no CIS update since 12/2022 | Low-confidence grouping in source workbook</t>
  </si>
  <si>
    <t xml:space="preserve">22410 no CIS update since 01/2023</t>
  </si>
  <si>
    <t xml:space="preserve">228020 no CIS update since 02/2023</t>
  </si>
  <si>
    <t xml:space="preserve">211640 no CIS update since 07/2024</t>
  </si>
  <si>
    <t xml:space="preserve">221107 no CIS update since 05/2023</t>
  </si>
  <si>
    <t xml:space="preserve">1 low-confidence counted application(s): 2560169 (Additional application on site, 30) | Possible overlap with nearby record</t>
  </si>
  <si>
    <t xml:space="preserve">1 low-confidence counted application(s): 258327 (Additional application on site, 30) | Possible overlap with nearby record</t>
  </si>
  <si>
    <t xml:space="preserve">1 low-confidence counted application(s): 221003 (Additional application on site, 29) | 221003 no CIS update since 06/2023 | Possible overlap with nearby record</t>
  </si>
  <si>
    <t xml:space="preserve">1 low-confidence counted application(s): 198004 (Additional application on site, 27) | 198004 past expiry (22/10/2025)</t>
  </si>
  <si>
    <t xml:space="preserve">1 low-confidence counted application(s): 187040 (Extension of duration (parent not in CIS), 26) | 187040 past expiry (30/12/2023)</t>
  </si>
  <si>
    <t xml:space="preserve">1 low-confidence counted application(s): 221172 (Additional application on site, 25) | 221172 no CIS update since 06/2024</t>
  </si>
  <si>
    <t xml:space="preserve">Auto link to check: 2461101 replaces earlier 2260015 | Low-confidence grouping in source workbook</t>
  </si>
  <si>
    <t xml:space="preserve">1 low-confidence counted application(s): 187029 (Extension of duration (parent not in CIS), 24)</t>
  </si>
  <si>
    <t xml:space="preserve">1 low-confidence counted application(s): 1422145 (Additional application on site, 23) | Possible overlap with nearby record</t>
  </si>
  <si>
    <t xml:space="preserve">1 low-confidence counted application(s): 2560771 (Additional application on site, 22)</t>
  </si>
  <si>
    <t xml:space="preserve">1 low-confidence counted application(s): 2360759 (Additional application on site, 8) | 21835 no CIS update since 01/2022 | 2360759 no CIS update since 06/2024 | Low-confidence grouping in source workbook</t>
  </si>
  <si>
    <t xml:space="preserve">Low-confidence grouping in source workbook | Later application nearby: 2360025 (26/01/2023, Granted on appeal, 21 units, in CIS)</t>
  </si>
  <si>
    <t xml:space="preserve">1 low-confidence counted application(s): 2360345 (Additional application on site, 21) | 2360345 no CIS update since 08/2023</t>
  </si>
  <si>
    <t xml:space="preserve">22471 no CIS update since 01/2024</t>
  </si>
  <si>
    <t xml:space="preserve">1 low-confidence counted application(s): 197025 (Extension of duration (parent not in CIS), 12) | 197025 past expiry (01/12/2024) | Low-confidence grouping in source workbook</t>
  </si>
  <si>
    <t xml:space="preserve">1 low-confidence counted application(s): 2560595 (Additional application on site, 6) | Low-confidence grouping in source workbook</t>
  </si>
  <si>
    <t xml:space="preserve">1 low-confidence counted application(s): 218012 (Additional application on site, 18) | Low-confidence grouping in source workbook</t>
  </si>
  <si>
    <t xml:space="preserve">Part 8 - 1201358 no CIS update since 11/2021</t>
  </si>
  <si>
    <t xml:space="preserve">1 low-confidence counted application(s): 221381 (Additional application on site, 9) | 20466 past expiry (19/04/2026) | Low-confidence grouping in source workbook</t>
  </si>
  <si>
    <t xml:space="preserve"> past expiry (27/09/2024)</t>
  </si>
  <si>
    <t xml:space="preserve">1 low-confidence counted application(s): 2560365 (Additional application on site, 16)</t>
  </si>
  <si>
    <t xml:space="preserve">20622 past expiry (06/10/2025)</t>
  </si>
  <si>
    <t xml:space="preserve">2460864 no CIS update since 09/2024</t>
  </si>
  <si>
    <t xml:space="preserve">2360826 no CIS update since 04/2024</t>
  </si>
  <si>
    <t xml:space="preserve">211454 no CIS update since 08/2022</t>
  </si>
  <si>
    <t xml:space="preserve">19552 no CIS update since 11/2020</t>
  </si>
  <si>
    <t xml:space="preserve">2 low-confidence counted application(s): 191184 (Additional application on site, 5), 2360393 (Additional application on site, 8) | 191184 past expiry (27/07/2025) | Low-confidence grouping in source workbook</t>
  </si>
  <si>
    <t xml:space="preserve">1 low-confidence counted application(s): Part 8-  26255726 (Additional application on site, 13) | Possible overlap with nearby record</t>
  </si>
  <si>
    <t xml:space="preserve">198009 past expiry (08/12/2024)</t>
  </si>
  <si>
    <t xml:space="preserve">1 low-confidence counted application(s): 2460020 (Additional application on site, 8) | Low-confidence grouping in source workbook</t>
  </si>
  <si>
    <t xml:space="preserve">Auto link to check: 22524 amendment within parent 21147 | 21147 no CIS update since 01/2022 | Low-confidence grouping in source workbook</t>
  </si>
  <si>
    <t xml:space="preserve">Auto link to check: 2360798 additional phase 2360546 | Low-confidence grouping in source workbook</t>
  </si>
  <si>
    <t xml:space="preserve">1 low-confidence counted application(s): 228000 (Additional application on site, 9)</t>
  </si>
  <si>
    <t xml:space="preserve">1 low-confidence counted application(s): 2460075 (Additional application on site, 8) | 2460075 no CIS update since 06/2024</t>
  </si>
  <si>
    <t xml:space="preserve">18168 past expiry (18/07/2023)</t>
  </si>
  <si>
    <t xml:space="preserve">1 low-confidence counted application(s): 2460151 (Additional application on site, 7)</t>
  </si>
  <si>
    <t xml:space="preserve">188013 past expiry (25/09/2023)</t>
  </si>
  <si>
    <t xml:space="preserve">1 low-confidence counted application(s): 2460046 (Additional application on site, 7) | Possible overlap with nearby record</t>
  </si>
  <si>
    <t xml:space="preserve">1 low-confidence counted application(s): 187020 (Extension of duration (parent not in CIS), 6)</t>
  </si>
  <si>
    <t xml:space="preserve">1 low-confidence counted application(s): 248153 (Additional application on site, 6) | Possible overlap with nearby record</t>
  </si>
  <si>
    <t xml:space="preserve">23283 no CIS update since 07/2023</t>
  </si>
  <si>
    <t xml:space="preserve">1 low-confidence counted application(s): 197016 (Extension of duration (parent not in CIS), 4)</t>
  </si>
  <si>
    <t xml:space="preserve">20827 past expiry (25/08/2026)</t>
  </si>
  <si>
    <t xml:space="preserve">1 low-confidence counted application(s): 2360148 (Additional application on site, 3)</t>
  </si>
  <si>
    <t xml:space="preserve">2460299 no CIS update since 05/2024</t>
  </si>
  <si>
    <t xml:space="preserve">2360493 no CIS update since 04/2024</t>
  </si>
  <si>
    <t xml:space="preserve">2360207 past expiry (17/09/2026)</t>
  </si>
  <si>
    <t xml:space="preserve">20857 past expiry (24/11/2025)</t>
  </si>
  <si>
    <t xml:space="preserve">20341 past expiry (23/09/2025)</t>
  </si>
  <si>
    <t xml:space="preserve">201142 past expiry (20/09/2026)</t>
  </si>
  <si>
    <t xml:space="preserve">Possible overlap with nearby record | Later application nearby: 2460468 (17/05/2024, Granted, 12 units, in CIS)</t>
  </si>
  <si>
    <t xml:space="preserve">Possible overlap with nearby record | Later application nearby: 2560156 (25/02/2025, Granted on appeal, 63 units, in CIS)</t>
  </si>
  <si>
    <t xml:space="preserve">Later application nearby: 2661011 (02/09/2026, Pending, 67 units, NOT in CIS)</t>
  </si>
  <si>
    <t xml:space="preserve">Auto link to check: 2660675 amendment within parent 2360842 | Possible overlap with nearby record</t>
  </si>
  <si>
    <t xml:space="preserve">Project Id</t>
  </si>
  <si>
    <t xml:space="preserve">CIS Reference</t>
  </si>
  <si>
    <t xml:space="preserve">Project Heading</t>
  </si>
  <si>
    <t xml:space="preserve">CIS Stage</t>
  </si>
  <si>
    <t xml:space="preserve">Planning Stage</t>
  </si>
  <si>
    <t xml:space="preserve">Contract Stage</t>
  </si>
  <si>
    <t xml:space="preserve">Application Date</t>
  </si>
  <si>
    <t xml:space="preserve">CIS Decision Date</t>
  </si>
  <si>
    <t xml:space="preserve">Last Updated</t>
  </si>
  <si>
    <t xml:space="preserve">Source Dataset</t>
  </si>
  <si>
    <t xml:space="preserve">Included in Pipeline</t>
  </si>
  <si>
    <t xml:space="preserve">Exclusion Reason</t>
  </si>
  <si>
    <t xml:space="preserve">Dwelling Type</t>
  </si>
  <si>
    <t xml:space="preserve">Units in Description</t>
  </si>
  <si>
    <t xml:space="preserve">Auto Relationship</t>
  </si>
  <si>
    <t xml:space="preserve">Related Ref</t>
  </si>
  <si>
    <t xml:space="preserve">Relationship Basis</t>
  </si>
  <si>
    <t xml:space="preserve">Confidence</t>
  </si>
  <si>
    <t xml:space="preserve">Analyst Relationship</t>
  </si>
  <si>
    <t xml:space="preserve">Counts?</t>
  </si>
  <si>
    <t xml:space="preserve">Units Completed (stated)</t>
  </si>
  <si>
    <t xml:space="preserve">Months Since Update</t>
  </si>
  <si>
    <t xml:space="preserve">Stale?</t>
  </si>
  <si>
    <t xml:space="preserve">Expiry Used</t>
  </si>
  <si>
    <t xml:space="preserve">Past Expiry?</t>
  </si>
  <si>
    <t xml:space="preserve">Analyst Status</t>
  </si>
  <si>
    <t xml:space="preserve">Tier Reason</t>
  </si>
  <si>
    <t xml:space="preserve">Remaining Units</t>
  </si>
  <si>
    <t xml:space="preserve">Pipeline Student Bedspaces</t>
  </si>
  <si>
    <t xml:space="preserve">Mix Source</t>
  </si>
  <si>
    <t xml:space="preserve">Mix Total</t>
  </si>
  <si>
    <t xml:space="preserve">Houses</t>
  </si>
  <si>
    <t xml:space="preserve">Apartments</t>
  </si>
  <si>
    <t xml:space="preserve">Type Unknown</t>
  </si>
  <si>
    <t xml:space="preserve">Mix Note</t>
  </si>
  <si>
    <t xml:space="preserve">Register Source</t>
  </si>
  <si>
    <t xml:space="preserve">Register Ref</t>
  </si>
  <si>
    <t xml:space="preserve">Register Status</t>
  </si>
  <si>
    <t xml:space="preserve">Register Decision</t>
  </si>
  <si>
    <t xml:space="preserve">Appeal Decision</t>
  </si>
  <si>
    <t xml:space="preserve">Register Outcome</t>
  </si>
  <si>
    <t xml:space="preserve">Register Decision Date</t>
  </si>
  <si>
    <t xml:space="preserve">Register Expiry</t>
  </si>
  <si>
    <t xml:space="preserve">Extension of Duration</t>
  </si>
  <si>
    <t xml:space="preserve">Expiry incl. EoD</t>
  </si>
  <si>
    <t xml:space="preserve">Register Units</t>
  </si>
  <si>
    <t xml:space="preserve">Location Diff (m)</t>
  </si>
  <si>
    <t xml:space="preserve">Later Application Nearby</t>
  </si>
  <si>
    <t xml:space="preserve">Register Description</t>
  </si>
  <si>
    <t xml:space="preserve">Register Link</t>
  </si>
  <si>
    <t xml:space="preserve">Decision Date Diff (days)</t>
  </si>
  <si>
    <t xml:space="preserve">Units Check</t>
  </si>
  <si>
    <t xml:space="preserve">Social Housing Project No.</t>
  </si>
  <si>
    <t xml:space="preserve">Social Housing Programme</t>
  </si>
  <si>
    <t xml:space="preserve">Social Housing AHB</t>
  </si>
  <si>
    <t xml:space="preserve">Social Housing Stage</t>
  </si>
  <si>
    <t xml:space="preserve">Social Housing Stage Quarter</t>
  </si>
  <si>
    <t xml:space="preserve">Public Delivery</t>
  </si>
  <si>
    <t xml:space="preserve">187029</t>
  </si>
  <si>
    <t xml:space="preserve">Plans Granted</t>
  </si>
  <si>
    <t xml:space="preserve">Completed</t>
  </si>
  <si>
    <t xml:space="preserve">Granted/delivery CIS export</t>
  </si>
  <si>
    <t xml:space="preserve">General</t>
  </si>
  <si>
    <t xml:space="preserve">08770120</t>
  </si>
  <si>
    <t xml:space="preserve">Parent permission not in CIS; CIS units counted here</t>
  </si>
  <si>
    <t xml:space="preserve">Low</t>
  </si>
  <si>
    <t xml:space="preserve">Not available (no bedroom detail in register text)</t>
  </si>
  <si>
    <t xml:space="preserve">Council register</t>
  </si>
  <si>
    <t xml:space="preserve">APPLICATION FINALISED</t>
  </si>
  <si>
    <t xml:space="preserve">CONDITIONAL</t>
  </si>
  <si>
    <t xml:space="preserve">Granted</t>
  </si>
  <si>
    <t xml:space="preserve">Extension of Permission on Planning File Ref. No. 08/770120, previously extended under Planning Ref. No. PE771311 : construction of 18 no. residential dwellings, modification and realignment of boundary of existing dwelling, construction of new vehicular and pedestrian entrance/egress onto Mill Road</t>
  </si>
  <si>
    <t xml:space="preserve">https://eplanning.ie/LimerickCCC/AppFileRefDetails/187029/0</t>
  </si>
  <si>
    <t xml:space="preserve">188013</t>
  </si>
  <si>
    <t xml:space="preserve">Only live application on site</t>
  </si>
  <si>
    <t xml:space="preserve">High</t>
  </si>
  <si>
    <t xml:space="preserve">Register description</t>
  </si>
  <si>
    <t xml:space="preserve">NEW APPLICATION</t>
  </si>
  <si>
    <t xml:space="preserve">N/A</t>
  </si>
  <si>
    <t xml:space="preserve">Pending</t>
  </si>
  <si>
    <t xml:space="preserve">(a) provision of 7 no. two storey two-bed residential housing units, (b) hard landscaping including; bin stores, front and rear gardens, and boundary walls and railings; (c) soft landscaping including; planting; (d) construction of and/or remedial works to boundaries with adjacent sites; (e) demolit</t>
  </si>
  <si>
    <t xml:space="preserve">https://eplanning.ie/LimerickCCC/AppFileRefDetails/188013/0</t>
  </si>
  <si>
    <t xml:space="preserve">18892</t>
  </si>
  <si>
    <t xml:space="preserve">the subdivision and change of use of the existing first floor restaurant to 6 no. 1 bedroom apartments and all associated site works</t>
  </si>
  <si>
    <t xml:space="preserve">https://eplanning.ie/LimerickCCC/AppFileRefDetails/18892/0</t>
  </si>
  <si>
    <t xml:space="preserve">18994</t>
  </si>
  <si>
    <t xml:space="preserve">the construction of six semi-detached dwelling houses and associated site works</t>
  </si>
  <si>
    <t xml:space="preserve">https://eplanning.ie/LimerickCCC/AppFileRefDetails/18994/0</t>
  </si>
  <si>
    <t xml:space="preserve">Not available (not in register)</t>
  </si>
  <si>
    <t xml:space="preserve">No reference</t>
  </si>
  <si>
    <t xml:space="preserve">188014</t>
  </si>
  <si>
    <t xml:space="preserve">DECISION MADE</t>
  </si>
  <si>
    <t xml:space="preserve">(a) provision of 17 no. residential units comprising; 5 no. two storey 3 bedroom dwellings; 2 no. 1 bedroom apartments, 4 no. 2 bedroom apartments and 6 no. 3 bedrooms duplex apartments; (b) relocation of existing pitch including new fencing, floodlights and retaining walls; (c) provision of new exi</t>
  </si>
  <si>
    <t xml:space="preserve">https://eplanning.ie/LimerickCCC/AppFileRefDetails/188014/0</t>
  </si>
  <si>
    <t xml:space="preserve">SHIP LA Construction</t>
  </si>
  <si>
    <t xml:space="preserve">*N/A</t>
  </si>
  <si>
    <t xml:space="preserve">Q4-2022</t>
  </si>
  <si>
    <t xml:space="preserve">Local authority (construction)</t>
  </si>
  <si>
    <t xml:space="preserve">187040</t>
  </si>
  <si>
    <t xml:space="preserve">08770077</t>
  </si>
  <si>
    <t xml:space="preserve">217037: Granted, expires 30/12/2023</t>
  </si>
  <si>
    <t xml:space="preserve">Extension of Permission for planning ref. 08/770077 : Construction of 26 no. houses consisting of 18 no. semi-detached houses and 8 no. terraced houses and associated site works.  The development is to be accessed through the existing Rhebogue Hill development which was granted under planning refere</t>
  </si>
  <si>
    <t xml:space="preserve">https://eplanning.ie/LimerickCCC/AppFileRefDetails/187040/0</t>
  </si>
  <si>
    <t xml:space="preserve">19233</t>
  </si>
  <si>
    <t xml:space="preserve">Granted on appeal</t>
  </si>
  <si>
    <t xml:space="preserve">5 dwellings made up of 3 x 3 bed terrace and 2 x 3 bed semi detached units and associated site works</t>
  </si>
  <si>
    <t xml:space="preserve">https://eplanning.ie/LimerickCCC/AppFileRefDetails/19233/0</t>
  </si>
  <si>
    <t xml:space="preserve">188001</t>
  </si>
  <si>
    <t xml:space="preserve">-      (a) Provision of 14 no. residential terraced units comprising 11 no. two storey 2 bedroom housing units and a three storey block comprising 3 no. 2 bedroom apartment units;
-      (b) Provision of new on-street parrallel parking comprises 23 no. spaces to Ballysimon Road and Greenhill Road</t>
  </si>
  <si>
    <t xml:space="preserve">https://eplanning.ie/LimerickCCC/AppFileRefDetails/188001/0</t>
  </si>
  <si>
    <t xml:space="preserve">198003</t>
  </si>
  <si>
    <t xml:space="preserve">the demolition of 10 one storey single dwellings, construction of 27 residential units consisting of 2 x 2 bed apartments, 4 x 2 bed duplexes and 3 x 3 bed houses in a three-storey arrangement, and 5 x 2 bed apartments, 3 x 4 bed houses and 10 x 3 bed houses and in two-storey arrangements, vehicular</t>
  </si>
  <si>
    <t xml:space="preserve">https://eplanning.ie/LimerickCCC/AppFileRefDetails/198003/0</t>
  </si>
  <si>
    <t xml:space="preserve">19552</t>
  </si>
  <si>
    <t xml:space="preserve">Not available (register text incomplete)</t>
  </si>
  <si>
    <t xml:space="preserve">Partial parse not used (28 units found vs 14 stated): 28x2-bed apt</t>
  </si>
  <si>
    <t xml:space="preserve">REFUSED</t>
  </si>
  <si>
    <t xml:space="preserve">257029: Granted, expires 13/11/2028</t>
  </si>
  <si>
    <t xml:space="preserve">14 no. two bedroom apartments consisting of the following: Block 'A' consisting of 6 no. two bedroom apartments, Block 'B' consisting of 4 no. two bedroom apartments and Block 'C' consisting of 4 no. two bedroom apartments and for landscaping and all associated site works</t>
  </si>
  <si>
    <t xml:space="preserve">https://eplanning.ie/LimerickCCC/AppFileRefDetails/19552/0</t>
  </si>
  <si>
    <t xml:space="preserve">197016</t>
  </si>
  <si>
    <t xml:space="preserve">14489</t>
  </si>
  <si>
    <t xml:space="preserve">Extension of Permission for Planning Ref. 14/489: construction of 8 no. dwelling houses, waste water treatment systems, services roads and all ancillary site services</t>
  </si>
  <si>
    <t xml:space="preserve">https://eplanning.ie/LimerickCCC/AppFileRefDetails/197016/0</t>
  </si>
  <si>
    <t xml:space="preserve">198004</t>
  </si>
  <si>
    <t xml:space="preserve">Other live applications on site/nearby; no link found in descriptions</t>
  </si>
  <si>
    <t xml:space="preserve">provision of older persons residential accommodation consisting of 27 units on two adjacent sites specifically, 6no. 1-bed and 14no. 2-bed apartments in buildings varying in height from 1-3 storeys organised around a central garden and new pedestrian route together with works adjacent to the City Wa</t>
  </si>
  <si>
    <t xml:space="preserve">https://eplanning.ie/LimerickCCC/AppFileRefDetails/198004/0</t>
  </si>
  <si>
    <t xml:space="preserve">19710</t>
  </si>
  <si>
    <t xml:space="preserve">257041: Granted, expires 13/03/2029</t>
  </si>
  <si>
    <t xml:space="preserve">development of a six storey building comprising of 31 student apartment units (143 student bed spaces) &amp; all associated auxiliary rooms. Medical Centre of 366.72 sq.m. Provision of 20 car parking spaces &amp; secure bicycle storage. Demolition of existing bungalow &amp; public house. Modifications to front </t>
  </si>
  <si>
    <t xml:space="preserve">https://eplanning.ie/LimerickCCC/AppFileRefDetails/19710/0</t>
  </si>
  <si>
    <t xml:space="preserve">198005</t>
  </si>
  <si>
    <t xml:space="preserve">(a) 16 residential units comprising 2 x 3 bed houses, 5 x 2 bed houses, 7 x 2 bed apartments and 2 x 1 bed apartments, arranged over three blocks of two and single storey buildings, (b) revised junction design consisting of reduced kerb radii to junction of St. Senan's Terrace &amp; Towerfield, revised </t>
  </si>
  <si>
    <t xml:space="preserve">https://eplanning.ie/LimerickCCC/AppFileRefDetails/198005/0</t>
  </si>
  <si>
    <t xml:space="preserve">CAS AHB Construction</t>
  </si>
  <si>
    <t xml:space="preserve">Croom Voluntary Housing Association Ltd</t>
  </si>
  <si>
    <t xml:space="preserve">Q4-2025</t>
  </si>
  <si>
    <t xml:space="preserve">Approved housing body (construction)</t>
  </si>
  <si>
    <t xml:space="preserve">Part 8 - 1063948</t>
  </si>
  <si>
    <t xml:space="preserve">Not in council register</t>
  </si>
  <si>
    <t xml:space="preserve">19841</t>
  </si>
  <si>
    <t xml:space="preserve">demolition of the existing structure at No. 39 &amp; 40 Lord Edward St., Limerick and construction of two number two bedroom apartments and two number three bedroom apartments, car parking and bin stores to the rear together with associated site works</t>
  </si>
  <si>
    <t xml:space="preserve">https://eplanning.ie/LimerickCCC/AppFileRefDetails/19841/0</t>
  </si>
  <si>
    <t xml:space="preserve">198007</t>
  </si>
  <si>
    <t xml:space="preserve">(a) provision of 2 no. single storey and 10 no. 2 storey residential units. The unit mix comprises; 5 no. 2 bedroom units and 7 no. 3 bedrooms units. (b) new street connecting proposed scheme with Station Close road, new street connections to Station Close Road and adjoining lands to the north, asso</t>
  </si>
  <si>
    <t xml:space="preserve">https://eplanning.ie/LimerickCCC/AppFileRefDetails/198007/0</t>
  </si>
  <si>
    <t xml:space="preserve">19872</t>
  </si>
  <si>
    <t xml:space="preserve">part demolition of existing former creamery building, construction of 10 no. independent elderly persons accommodation units, (comprising of 8 no. ingle storey units and a two storey apartment building with 2 no. additional units on ground and first floor), roadway, restoration of chimney stack and </t>
  </si>
  <si>
    <t xml:space="preserve">https://eplanning.ie/LimerickCCC/AppFileRefDetails/19872/0</t>
  </si>
  <si>
    <t xml:space="preserve">198009</t>
  </si>
  <si>
    <t xml:space="preserve">(a) provision of 12 no. residential units comprising; 3 no. single storey 2 bedroom dwellings; 4 no. two storey 2 bedroom dwellings, 5 no. two storey 3 bedroom dwellings; (b) hard landscaping including roads, footpaths, parking, garden walls, and public lighting; (c) soft landscaping including lawns</t>
  </si>
  <si>
    <t xml:space="preserve">https://eplanning.ie/LimerickCCC/AppFileRefDetails/198009/0</t>
  </si>
  <si>
    <t xml:space="preserve">191255</t>
  </si>
  <si>
    <t xml:space="preserve">construction of 2 no. dwelling houses consisting of single-storey dwelling adjoining a two storey dormer style dwelling house, connection to public services, entrances and all ancillary site works</t>
  </si>
  <si>
    <t xml:space="preserve">https://eplanning.ie/LimerickCCC/AppFileRefDetails/191255/0</t>
  </si>
  <si>
    <t xml:space="preserve">191298</t>
  </si>
  <si>
    <t xml:space="preserve">257024: Granted, expires 25/11/2028</t>
  </si>
  <si>
    <t xml:space="preserve">the construction of 27 no. houses comprising: 3 no. 2-bed single-storey end of terrace houses (type A); 4 no. 3-bed detached single-storey houses (type B); 6 no. 3-bed semi-detached two-storey houses (type C); 8 no. 2-bed two-storey terraced houses (type D); 1 no. 2-bed single-storey end of terrace </t>
  </si>
  <si>
    <t xml:space="preserve">https://eplanning.ie/LimerickCCC/AppFileRefDetails/191298/0</t>
  </si>
  <si>
    <t xml:space="preserve">20314</t>
  </si>
  <si>
    <t xml:space="preserve">the demolition and replacement of 6 no. semi-detached cottages, the demolition of existing sheds, the installation of 6 no. wastewater treatment units, polishing filters and ancillary site works</t>
  </si>
  <si>
    <t xml:space="preserve">https://eplanning.ie/LimerickCCC/AppFileRefDetails/20314/0</t>
  </si>
  <si>
    <t xml:space="preserve">20341</t>
  </si>
  <si>
    <t xml:space="preserve">demolition of keg room, toilets and shed at rear of existing licenced premises, construction of extensions consisting of toilets, keg store, kitchen area, bin store, fuel store and also a canopy over part of the existing rear yard to accommodate play lanes, change of use of first floor from domestic</t>
  </si>
  <si>
    <t xml:space="preserve">https://eplanning.ie/LimerickCCC/AppFileRefDetails/20341/0</t>
  </si>
  <si>
    <t xml:space="preserve">20622</t>
  </si>
  <si>
    <t xml:space="preserve">change of use from existing commercial/office use to residential use and will comprise 15 no. apartments together with all associated building alterations and associated site development works</t>
  </si>
  <si>
    <t xml:space="preserve">https://eplanning.ie/LimerickCCC/AppFileRefDetails/20622/0</t>
  </si>
  <si>
    <t xml:space="preserve">20678</t>
  </si>
  <si>
    <t xml:space="preserve">the construction of 4 no. single storey dwelling houses, service road with connection to all public utility services with all associated site works</t>
  </si>
  <si>
    <t xml:space="preserve">https://eplanning.ie/LimerickCCC/AppFileRefDetails/20678/0</t>
  </si>
  <si>
    <t xml:space="preserve">20827</t>
  </si>
  <si>
    <t xml:space="preserve">construction of two no dwelling houses and ancillary site works on an existing serviced road</t>
  </si>
  <si>
    <t xml:space="preserve">https://eplanning.ie/LimerickCCC/AppFileRefDetails/20827/0</t>
  </si>
  <si>
    <t xml:space="preserve">20857</t>
  </si>
  <si>
    <t xml:space="preserve">construction of 2 no. dwelling houses, new entrance with connection to public foul sewer with all ancillary site works</t>
  </si>
  <si>
    <t xml:space="preserve">https://eplanning.ie/LimerickCCC/AppFileRefDetails/20857/0</t>
  </si>
  <si>
    <t xml:space="preserve">201074</t>
  </si>
  <si>
    <t xml:space="preserve">Partial parse not used (36 units found vs 63 stated): 1x1-bed apt, 34x2-bed apt, 1x4-bed house</t>
  </si>
  <si>
    <t xml:space="preserve">a residential development comprising 63 no. residential units - 1no. 2 storey 4 bedroom detached house, 34no. duplex units in four 3 storey blocks with 2 bedroom apartments on the ground floor and 3 bedroom houses over, 10no. duplex in 1 no 3 storey block with 1 bedroom apartments on ground floor an</t>
  </si>
  <si>
    <t xml:space="preserve">https://eplanning.ie/LimerickCCC/AppFileRefDetails/201074/0</t>
  </si>
  <si>
    <t xml:space="preserve">201101</t>
  </si>
  <si>
    <t xml:space="preserve">5no. serviced sites for 5no. detached dwellings and all ancillary siteworks and planning permission for services, roads &amp; open spaces</t>
  </si>
  <si>
    <t xml:space="preserve">https://eplanning.ie/LimerickCCC/AppFileRefDetails/201101/0</t>
  </si>
  <si>
    <t xml:space="preserve">201142</t>
  </si>
  <si>
    <t xml:space="preserve">student housing development of circa 511 sq.m over 3 floors including associated site works</t>
  </si>
  <si>
    <t xml:space="preserve">https://eplanning.ie/LimerickCCC/AppFileRefDetails/201142/0</t>
  </si>
  <si>
    <t xml:space="preserve">2148</t>
  </si>
  <si>
    <t xml:space="preserve">change of use, refurbishment and alterations to existing convent building and school, in part a Protected Structure.  The development will deliver 9 no. self-contained residential apartments within the existing fabric.  Works will include demolition of 2 no. ancillary buildings, internal alterations</t>
  </si>
  <si>
    <t xml:space="preserve">https://eplanning.ie/LimerickCCC/AppFileRefDetails/2148/0</t>
  </si>
  <si>
    <t xml:space="preserve">Sophia Housing Association Ltd</t>
  </si>
  <si>
    <t xml:space="preserve">Q4-2024</t>
  </si>
  <si>
    <t xml:space="preserve">21240</t>
  </si>
  <si>
    <t xml:space="preserve">the construction of 2no. two-storey, two bedroom dwelling houses and 3no. single-storey, one bedroom dwelling houses to rear</t>
  </si>
  <si>
    <t xml:space="preserve">https://eplanning.ie/LimerickCCC/AppFileRefDetails/21240/0</t>
  </si>
  <si>
    <t xml:space="preserve">SHIP LA Turnkey</t>
  </si>
  <si>
    <t xml:space="preserve">Local authority (turnkey)</t>
  </si>
  <si>
    <t xml:space="preserve">21342</t>
  </si>
  <si>
    <t xml:space="preserve">PERMISSION  for construction of residential infill development comprising construction of 4 x no. terraced two storey townhouses, construction of 2 x no. single storey semi-detached house, demolition of existing single storey commercial building, connection to public services and all associated site</t>
  </si>
  <si>
    <t xml:space="preserve">https://eplanning.ie/LimerickCCC/AppFileRefDetails/21342/0</t>
  </si>
  <si>
    <t xml:space="preserve">21520</t>
  </si>
  <si>
    <t xml:space="preserve">CIS / KPMG</t>
  </si>
  <si>
    <t xml:space="preserve">the construction of 26 no. units, new site entrance, with improvement works to roads and paths, new boundary treatments, site lighting, site landscaping, connection to existing services and all associated site works. A Natura Impact Statement accompanies this application</t>
  </si>
  <si>
    <t xml:space="preserve">https://eplanning.ie/LimerickCCC/AppFileRefDetails/21520/0</t>
  </si>
  <si>
    <t xml:space="preserve">ABPREF309999</t>
  </si>
  <si>
    <t xml:space="preserve">ABP-309999</t>
  </si>
  <si>
    <t xml:space="preserve">5-year permission (expiry = date signed + 5 years)</t>
  </si>
  <si>
    <t xml:space="preserve">Grant Perm. w Conditions</t>
  </si>
  <si>
    <t xml:space="preserve">137 no. residential units (25 no. houses, 61 no. apartments, 51 no. duplex units) and associated site works.</t>
  </si>
  <si>
    <t xml:space="preserve">https://www.pleanala.ie/en-ie/case/309999</t>
  </si>
  <si>
    <t xml:space="preserve">21550</t>
  </si>
  <si>
    <t xml:space="preserve">construction of 7 no. two storey townhouse type dwellings with works to include a new site entrance, public carparking spaces, new boundary treatments, alteration to public footpath, public lighting, hard and soft landscaping, connection to public services and all associated site works</t>
  </si>
  <si>
    <t xml:space="preserve">https://eplanning.ie/LimerickCCC/AppFileRefDetails/21550/0</t>
  </si>
  <si>
    <t xml:space="preserve">ABPREF315273</t>
  </si>
  <si>
    <t xml:space="preserve">Register: quashed</t>
  </si>
  <si>
    <t xml:space="preserve">ABP-315273</t>
  </si>
  <si>
    <t xml:space="preserve">Quashed</t>
  </si>
  <si>
    <t xml:space="preserve">Demolition of existing vacant structures, construction of 30 no. Build to Rent apartments, 326 no. student bedspaces and associated site works.</t>
  </si>
  <si>
    <t xml:space="preserve">https://www.pleanala.ie/en-ie/case/315273</t>
  </si>
  <si>
    <t xml:space="preserve">211170</t>
  </si>
  <si>
    <t xml:space="preserve">completion of 10no. partially constructed dwellings in two terraced blocks(house numbers 36 to 45 inclusive) and 2no. partially constructed dwellings in a semi-detached block(house numbers 49 &amp; 50), minor elevational alterations and internal layout alterations to dwelling plans. Permission for the c</t>
  </si>
  <si>
    <t xml:space="preserve">https://eplanning.ie/LimerickCCC/AppFileRefDetails/211170/0</t>
  </si>
  <si>
    <t xml:space="preserve">Stage 4 Tender Report / Final Turnkey or CALF Approval</t>
  </si>
  <si>
    <t xml:space="preserve">Q1-2026</t>
  </si>
  <si>
    <t xml:space="preserve">211257</t>
  </si>
  <si>
    <t xml:space="preserve">demolition of the existing single storey vacant retail unit and other structures (in ruin) on the site and the construction of a purpose-built housing scheme for older persons and/or persons with disabilities consisting of 15 no. social housing apartments, with a mix of 6no. one bed units and 9 no. </t>
  </si>
  <si>
    <t xml:space="preserve">https://eplanning.ie/LimerickCCC/AppFileRefDetails/211257/0</t>
  </si>
  <si>
    <t xml:space="preserve">CALF Turnkey</t>
  </si>
  <si>
    <t xml:space="preserve">Focus Housing Association CLG</t>
  </si>
  <si>
    <t xml:space="preserve">Approved housing body (turnkey)</t>
  </si>
  <si>
    <t xml:space="preserve">211395</t>
  </si>
  <si>
    <t xml:space="preserve">construction of a residential development comprising 6 terrace units with site entrance, and all ancillary site development works. Ancillary site development works include a new connection to the public water main, foul and surface water drainage, access road, footpaths, vehicle parking, landscaping</t>
  </si>
  <si>
    <t xml:space="preserve">https://eplanning.ie/LimerickCCC/AppFileRefDetails/211395/0</t>
  </si>
  <si>
    <t xml:space="preserve">ABPREF311588</t>
  </si>
  <si>
    <t xml:space="preserve">Lands at the Former Greenpark Racecourse, Dock Road, Limerick</t>
  </si>
  <si>
    <t xml:space="preserve">ABP-311588</t>
  </si>
  <si>
    <t xml:space="preserve">371 no. residential units (157 no. houses, 214 no. apartments), creche and associated site works.</t>
  </si>
  <si>
    <t xml:space="preserve">https://www.pleanala.ie/en-ie/case/311588</t>
  </si>
  <si>
    <t xml:space="preserve">211454</t>
  </si>
  <si>
    <t xml:space="preserve">the construction of a 3 to 5 storey 14 unit apartment development consisting of 4 one-bedroom apartments, 7 two-bedroom apartments and 3 three-bedroom apartments, new courtyard area, bin store, bike store and associated site works</t>
  </si>
  <si>
    <t xml:space="preserve">https://eplanning.ie/LimerickCCC/AppFileRefDetails/211454/0</t>
  </si>
  <si>
    <t xml:space="preserve">Part 8 - 1201358</t>
  </si>
  <si>
    <t xml:space="preserve">Broadford, Broadford</t>
  </si>
  <si>
    <t xml:space="preserve">211640</t>
  </si>
  <si>
    <t xml:space="preserve">redesign of a planning permission previously granted under planning reference 18/1210 which consisted of 20 no. apartments (2no. three beds, 16no. two beds, 2no. one beds) with ancillary facilities, services and carparking. The new planning application is for the construction of a six storey apartme</t>
  </si>
  <si>
    <t xml:space="preserve">https://eplanning.ie/LimerickCCC/AppFileRefDetails/211640/0</t>
  </si>
  <si>
    <t xml:space="preserve">218013</t>
  </si>
  <si>
    <t xml:space="preserve">the construction of 10no. housing units in 2no. two-storey terraces in addition to ancillary site works comprising of an access road, services, footpaths, parking, boundary treatment and landscaping works</t>
  </si>
  <si>
    <t xml:space="preserve">https://eplanning.ie/LimerickCCC/AppFileRefDetails/218013/0</t>
  </si>
  <si>
    <t xml:space="preserve">228000</t>
  </si>
  <si>
    <t xml:space="preserve">the construction of 9no. housing units in addition to ancillary site works comprising of an access road, services, footpaths, parking, boundary treatment and landscaping works</t>
  </si>
  <si>
    <t xml:space="preserve">https://eplanning.ie/LimerickCCC/AppFileRefDetails/228000/0</t>
  </si>
  <si>
    <t xml:space="preserve">ABPREF312683</t>
  </si>
  <si>
    <t xml:space="preserve">ABP-312683</t>
  </si>
  <si>
    <t xml:space="preserve">165 no. residential units (43 no. houses, 122 no. apartments), creche and associated site works.</t>
  </si>
  <si>
    <t xml:space="preserve">https://www.pleanala.ie/en-ie/case/312683</t>
  </si>
  <si>
    <t xml:space="preserve">ABPREF313124</t>
  </si>
  <si>
    <t xml:space="preserve">ABP-313124</t>
  </si>
  <si>
    <t xml:space="preserve">10-year permission (expiry = date signed + 10 years)</t>
  </si>
  <si>
    <t xml:space="preserve">A ten year permission for the construction of 384 no. residential units (202 no. houses, 182 no. apartments), creche and associated site works.</t>
  </si>
  <si>
    <t xml:space="preserve">https://www.pleanala.ie/en-ie/case/313124</t>
  </si>
  <si>
    <t xml:space="preserve">22394</t>
  </si>
  <si>
    <t xml:space="preserve">APPEALED FINANCIAL</t>
  </si>
  <si>
    <t xml:space="preserve">the construction of 13 houses, which include 1 detached &amp; 12 semi-detached (numbers 18-26 &amp; 29-32), as partial completion of the development approved under planning file reference. p.06/1354 and associated site works</t>
  </si>
  <si>
    <t xml:space="preserve">https://eplanning.ie/LimerickCCC/AppFileRefDetails/22394/0</t>
  </si>
  <si>
    <t xml:space="preserve">22410</t>
  </si>
  <si>
    <t xml:space="preserve">the construction of a three storey 91 No. bed nursing home with area of 4,717 sq.m and 32 No. unit single storey independent living units with overall area of 1936 sq.m for the 32 units (each unit 60.5 sq.m). The Nursing Home includes all associated uses comprising en-suite bedrooms, reception and d</t>
  </si>
  <si>
    <t xml:space="preserve">https://eplanning.ie/LimerickCCC/AppFileRefDetails/22410/0</t>
  </si>
  <si>
    <t xml:space="preserve">228013</t>
  </si>
  <si>
    <t xml:space="preserve">the construction of 10 no. housing units in addition to ancillary site works comprising of a new vehicular junction (with the R521), an access road, services, footpaths, parking, boundary treatment and landscaping units</t>
  </si>
  <si>
    <t xml:space="preserve">https://eplanning.ie/LimerickCCC/AppFileRefDetails/228013/0</t>
  </si>
  <si>
    <t xml:space="preserve">Q1-2023</t>
  </si>
  <si>
    <t xml:space="preserve">22817</t>
  </si>
  <si>
    <t xml:space="preserve">the construction of 86 residential units comprising of the following: 12 No. 2 storey, 2 bed, end of terrace units and 12 No. 2 storey, 2 bed, mid terrace units; 8 No. single storey, 2 bed, end of terrace units and 14 No. single storey 2 bed, mid terrace units; 3 No. 2 storey, apartment blocks compr</t>
  </si>
  <si>
    <t xml:space="preserve">https://eplanning.ie/LimerickCCC/AppFileRefDetails/22817/0</t>
  </si>
  <si>
    <t xml:space="preserve">22840</t>
  </si>
  <si>
    <t xml:space="preserve">Planning file documents</t>
  </si>
  <si>
    <t xml:space="preserve">Planner's report (decision) – development contributions schedule. Totals match 93 units</t>
  </si>
  <si>
    <t xml:space="preserve">the construction of a residential development of one detached, sixteen semi-detached and forty terraced two-storey dwelling houses, thirty six apartments in six three-storey blocks and all associated site works, including access from Station Road</t>
  </si>
  <si>
    <t xml:space="preserve">https://eplanning.ie/LimerickCCC/AppFileRefDetails/22840/0</t>
  </si>
  <si>
    <t xml:space="preserve">22950</t>
  </si>
  <si>
    <t xml:space="preserve">a development that will consist of/consists of: Building A: The provision of a single storey discount foodstore including off license use with gross floor area of 2,205 sq.m as well as roof mounted plant and solar panels. (Net retail area: 1,408 sq.m). Building B: A single-storey café building with </t>
  </si>
  <si>
    <t xml:space="preserve">https://eplanning.ie/LimerickCCC/AppFileRefDetails/22950/0</t>
  </si>
  <si>
    <t xml:space="preserve">221172</t>
  </si>
  <si>
    <t xml:space="preserve">the change of use to Student Residences, adaptive re-use and refurbishment of the former Railway Hotel (Protected Structure - RPS Ref. 6035, NIAH Ref: 21518017), demolition of McEnerys Shop, erection of a 3 storey building to Parnell Street and a 7 storey building to Davis Street/Davis Lane, to prov</t>
  </si>
  <si>
    <t xml:space="preserve">https://eplanning.ie/LimerickCCC/AppFileRefDetails/221172/0</t>
  </si>
  <si>
    <t xml:space="preserve">221189</t>
  </si>
  <si>
    <t xml:space="preserve">(a) Demolition of existing derelict building and associated works, (b) the construction of a residential development comprising of 28 No. Apartments which will be located within 4 separate blocks, construction of new access and internal roads, the installation of all required services to include pum</t>
  </si>
  <si>
    <t xml:space="preserve">https://eplanning.ie/LimerickCCC/AppFileRefDetails/221189/0</t>
  </si>
  <si>
    <t xml:space="preserve">228020</t>
  </si>
  <si>
    <t xml:space="preserve">The proposed development will be completed in two phases and will consist of: (a) Phase 1: The provision of 21 no. residential units comprised of two storey and three storey dormer buildings, with a unit mix comprised of 6 no. 1 Bed units, 6 no. 2 Bed units, 6 no. 3 Bed units, 3 no. 4 Bed units: (b)</t>
  </si>
  <si>
    <t xml:space="preserve">https://eplanning.ie/LimerickCCC/AppFileRefDetails/228020/0</t>
  </si>
  <si>
    <t xml:space="preserve">221216</t>
  </si>
  <si>
    <t xml:space="preserve">Large-Scale Residential Development (LRD) on lands (0.53 Ha) at Old Dublin Road, Rhebogue, Limerick City. The proposed development comprises of the construction of a Purpose-Built Student Accommodation (PBSA) scheme consisting of 26 no. apartments with a total of 202 no. student bedspaces distribute</t>
  </si>
  <si>
    <t xml:space="preserve">https://eplanning.ie/LimerickCCC/AppFileRefDetails/221216/0</t>
  </si>
  <si>
    <t xml:space="preserve">221318</t>
  </si>
  <si>
    <t xml:space="preserve">Schedule of accommodation (application). Bedroom total 156 matches schedule</t>
  </si>
  <si>
    <t xml:space="preserve">a development comprising 51 no. residential units, (10 no. detached houses, 38 no. semi-detached houses &amp; 3 no. terraces houses), ancillary surface car parking, vehicular &amp; pedestrian access to the proposed development and all associated site development works and landscape works. The planning appli</t>
  </si>
  <si>
    <t xml:space="preserve">https://eplanning.ie/LimerickCCC/AppFileRefDetails/221318/0</t>
  </si>
  <si>
    <t xml:space="preserve">221400</t>
  </si>
  <si>
    <t xml:space="preserve">the construction of a residential development of 46 No. apartments consisting of the following: 1 No. four store apartment block consisting of 23 No. 1-bed apartments, 14 No. 2-bed apartments and a community room. 1 No. three storey apartment block consisting of 9 No. 2-bed apartments.  Permission i</t>
  </si>
  <si>
    <t xml:space="preserve">https://eplanning.ie/LimerickCCC/AppFileRefDetails/221400/0</t>
  </si>
  <si>
    <t xml:space="preserve">2326</t>
  </si>
  <si>
    <t xml:space="preserve">the construction of 28 dwelling houses, comprising of 12 semi-detached units (6 blocks) and 16 terrace units (4 blocks), boundary treatment, entrance, estate road, connection to civil services and associated site works</t>
  </si>
  <si>
    <t xml:space="preserve">https://eplanning.ie/LimerickCCC/AppFileRefDetails/2326/0</t>
  </si>
  <si>
    <t xml:space="preserve">2360148</t>
  </si>
  <si>
    <t xml:space="preserve">Site Adjacent to soccer club at Garrane Beg and accessed off the Grove, Garrane Beg, Pallasgreen</t>
  </si>
  <si>
    <t xml:space="preserve">3 no. Detached Single Storey Pitched Roof Community Dwellings. To include all associated site services, access roads, car parking and landscaping. The dwellings are proposed for use as Community Dwellings for residents of the Brothers of Charity Residential Services. The proposed development is loca</t>
  </si>
  <si>
    <t xml:space="preserve">https://eplanning.ie/LimerickCCC/AppFileRefDetails/2360148/0</t>
  </si>
  <si>
    <t xml:space="preserve">2360207</t>
  </si>
  <si>
    <t xml:space="preserve">the construction of three detached dwellings with individual access driveways from the public road, individual wastewater treatment systems, connections to local utilities and all ancillary site works</t>
  </si>
  <si>
    <t xml:space="preserve">https://eplanning.ie/LimerickCCC/AppFileRefDetails/2360207/0</t>
  </si>
  <si>
    <t xml:space="preserve">2360263</t>
  </si>
  <si>
    <t xml:space="preserve">a development comprising 13 no. residential units, (2 no. semi-detached houses &amp; 11 no. Terrace houses), boundary treatments, ancillary surface car parking, site services, bin storage, bike storage, vehicular &amp; pedestrian access to the proposed development and all associated site development works a</t>
  </si>
  <si>
    <t xml:space="preserve">https://eplanning.ie/LimerickCCC/AppFileRefDetails/2360263/0</t>
  </si>
  <si>
    <t xml:space="preserve">2360345</t>
  </si>
  <si>
    <t xml:space="preserve">The proposed development will consist of: (i) The demolition of an existing two storey residential dwelling located on James’ Street (58 sq.m), (ii) Development of an eight-storey building, over basement level, comprising of 21 no. residential units, communal areas and commercial space, including: (</t>
  </si>
  <si>
    <t xml:space="preserve">https://eplanning.ie/LimerickCCC/AppFileRefDetails/2360345/0</t>
  </si>
  <si>
    <t xml:space="preserve">23283</t>
  </si>
  <si>
    <t xml:space="preserve">a change of use from a previous medical Centre &amp; administration building to four separate apartments. (as per previously elapsed planning permission REF: 17/808) 2No. 1 Bedroom apartments and 2No. 2 Bedroom apartments. With internal alterations, construction of a new single-storey entrance off Barri</t>
  </si>
  <si>
    <t xml:space="preserve">https://eplanning.ie/LimerickCCC/AppFileRefDetails/23283/0</t>
  </si>
  <si>
    <t xml:space="preserve">2360493</t>
  </si>
  <si>
    <t xml:space="preserve">the construction of 3 no. detached two storey dwellings served by 3 no. packaged wastewater treatment systems and polishing filters and all ancillary site works to include new vehicular entrances, boundary treatments and connections to adjacent utilities</t>
  </si>
  <si>
    <t xml:space="preserve">https://eplanning.ie/LimerickCCC/AppFileRefDetails/2360493/0</t>
  </si>
  <si>
    <t xml:space="preserve">2360615</t>
  </si>
  <si>
    <t xml:space="preserve">(a) the construction of 66 no. dwellings comprising a mix of unit types (all two storey) including: (i) 23 no. two-storey three-bedroom houses; (ii) 8 no. one bedroom bungalows with associated secure bin stores; (iii) 13 no. two-storey two-bedroom terraced houses; (iv) 10 no. two-storey four-bedroom</t>
  </si>
  <si>
    <t xml:space="preserve">https://eplanning.ie/LimerickCCC/AppFileRefDetails/2360615/0</t>
  </si>
  <si>
    <t xml:space="preserve">2360706</t>
  </si>
  <si>
    <t xml:space="preserve">the construction of a residential development of 53 no. dwelling houses and all ancillary site works at Carrig Desmond, Churchtown Road, Newcastle West, Co. Limerick. The development comprises of 6 no. semi-detached 3 bed dwellings, 32 no. terraced 3 bed dwellings and 15 no. terraced 2 bed dwellings</t>
  </si>
  <si>
    <t xml:space="preserve">https://eplanning.ie/LimerickCCC/AppFileRefDetails/2360706/0</t>
  </si>
  <si>
    <t xml:space="preserve">2360794</t>
  </si>
  <si>
    <t xml:space="preserve">the development that comprises (i) 74 no. residential units including (a) 9 no. 4 bed detached units; (b) 3 no. 3 bed detached units; (c) 42 no. 3 bed semi-detached units; (d) 6 no. 3 bed terrace units; (e) 6 no. 2 bed terrace units; and (f) 8 no. 3 bed semi-detached Elderly / Senior Living units (i</t>
  </si>
  <si>
    <t xml:space="preserve">https://eplanning.ie/LimerickCCC/AppFileRefDetails/2360794/0</t>
  </si>
  <si>
    <t xml:space="preserve">23529</t>
  </si>
  <si>
    <t xml:space="preserve">the construction of new 22-unit housing development consisting of the following: 6 No 4 bedroom detached dwellinghouses, 2 No 3-bedroom semi-detached dwellinghouses, 10 No 3 bedroom townhouses, and 4 no 2 bedroom townhouses, new vehicular entrance, storm and surface water sewers including attenuatio</t>
  </si>
  <si>
    <t xml:space="preserve">https://eplanning.ie/LimerickCCC/AppFileRefDetails/23529/0</t>
  </si>
  <si>
    <t xml:space="preserve">2360826</t>
  </si>
  <si>
    <t xml:space="preserve">the construction of 14 residential units in total comprising of seven no. two-storey terraced town houses and seven no. single-storey terraced bungalows, demolition and removal of existing unfinished foundations, and associated site works</t>
  </si>
  <si>
    <t xml:space="preserve">https://eplanning.ie/LimerickCCC/AppFileRefDetails/2360826/0</t>
  </si>
  <si>
    <t xml:space="preserve">2360866</t>
  </si>
  <si>
    <t xml:space="preserve">an extension to the existing Coolbawn Estate in the townlands of Coolbane and Coolreiry at Castleconnell, Co. Limerick.  The development comprises (i) 74 no. residential units comprising (a) 20 no. 4 bed detached units; (b) 12 no. 4 bed semi-detached units; (c) 12 no. 2 bed terrace units; (d) 12 no.</t>
  </si>
  <si>
    <t xml:space="preserve">https://eplanning.ie/LimerickCCC/AppFileRefDetails/2360866/0</t>
  </si>
  <si>
    <t xml:space="preserve">2360951</t>
  </si>
  <si>
    <t xml:space="preserve">the development that comprises (a) 73 no. residential units including (i) 34 no. 2 storey 3 bed units; (ii) 6 no. 2 storey 4 bed units; (iii) 6 no. 3 storey 4 bed units; and (iv) 27 no. 3 storey 3 bed units; (b) a 4 storey neighbourhood centre including (i) 42 no. 2 bed elderly housing apartment uni</t>
  </si>
  <si>
    <t xml:space="preserve">https://eplanning.ie/LimerickCCC/AppFileRefDetails/2360951/0</t>
  </si>
  <si>
    <t xml:space="preserve">2460075</t>
  </si>
  <si>
    <t xml:space="preserve">the development that will comprise (1) retention and refurbishment of existing derelict structures at No. 11 &amp; 12 Clontarf Place, Limerick, demolition of any remaining walls upstanding to the rear of, namely, formerly 1 - 4 Wellesley Lane, Limerick. (2) Permission is sought to construct a replacemen</t>
  </si>
  <si>
    <t xml:space="preserve">https://eplanning.ie/LimerickCCC/AppFileRefDetails/2460075/0</t>
  </si>
  <si>
    <t xml:space="preserve">2460151</t>
  </si>
  <si>
    <t xml:space="preserve">the change of use of basement, ground, first and second floors, and the two storey return building from offices into 3 no one-bed apartments and 1 no studio apartment in basement and first floor, 3 no two-bed apartments each on ground floor, second floor and two storey return building;  replacement </t>
  </si>
  <si>
    <t xml:space="preserve">https://eplanning.ie/LimerickCCC/AppFileRefDetails/2460151/0</t>
  </si>
  <si>
    <t xml:space="preserve">2460299</t>
  </si>
  <si>
    <t xml:space="preserve">(Reference number of outline permission 21/1086) 3 No. 2-storey dwelling houses, domestic wastewater treatment systems, entrances &amp; associated site works</t>
  </si>
  <si>
    <t xml:space="preserve">https://eplanning.ie/LimerickCCC/AppFileRefDetails/2460299/0</t>
  </si>
  <si>
    <t xml:space="preserve">Part 8 - 1345677</t>
  </si>
  <si>
    <t xml:space="preserve">Hillview Park halting site, Rathkeale</t>
  </si>
  <si>
    <t xml:space="preserve">2460568</t>
  </si>
  <si>
    <t xml:space="preserve">the demolition of the Red Setter Pub and out buildings and the construction of a terrace of 4 no. two storey, three bedroomed houses, a terrace of 6 no. two storey, three bedroomed houses and a terrace of 6 no. two storey, three bedroomed houses, terminating in a two and three storey block containin</t>
  </si>
  <si>
    <t xml:space="preserve">https://eplanning.ie/LimerickCCC/AppFileRefDetails/2460568/0</t>
  </si>
  <si>
    <t xml:space="preserve">2460570</t>
  </si>
  <si>
    <t xml:space="preserve">the construction of 2 no. apartment buildings, containing 40 No. apartment units comprising of 24 one bed, 16 two bed and ancillary works</t>
  </si>
  <si>
    <t xml:space="preserve">https://eplanning.ie/LimerickCCC/AppFileRefDetails/2460570/0</t>
  </si>
  <si>
    <t xml:space="preserve">2460713</t>
  </si>
  <si>
    <t xml:space="preserve">the provision of 25 No. apartments in a two and three-storey height block on a site of 0.243 hectare. The proposed development comprises 10 No. 1 bed apartments and 15 No. 2 bed apartments, suitable for older persons and / or persons with disabilities and includes an Entry Lobby from Rhebogue Road, </t>
  </si>
  <si>
    <t xml:space="preserve">https://eplanning.ie/LimerickCCC/AppFileRefDetails/2460713/0</t>
  </si>
  <si>
    <t xml:space="preserve">248132</t>
  </si>
  <si>
    <t xml:space="preserve">2460788</t>
  </si>
  <si>
    <t xml:space="preserve">Planning &amp; design statement – development accommodation schedule. Schedule total 42 units matches</t>
  </si>
  <si>
    <t xml:space="preserve">the construction of a residential development containing 42no. dwelling units comprising of  8no. x 2 bed house, 18no.x 3 bed house, 8no. x 4 bed house, 4no. x 2 bed apartment , 4 no. x 1 bed apartment, consisting of the following:
(a)	The construction of 12no. house type A, 3 bed semi-detached u</t>
  </si>
  <si>
    <t xml:space="preserve">https://eplanning.ie/LimerickCCC/AppFileRefDetails/2460788/0</t>
  </si>
  <si>
    <t xml:space="preserve">CE/2019/087</t>
  </si>
  <si>
    <t xml:space="preserve">Part 8 - 1363543</t>
  </si>
  <si>
    <t xml:space="preserve">24352</t>
  </si>
  <si>
    <t xml:space="preserve">phase 1 to consist of 30 no. dwellings as follows - 12 no. two storey 3 bed terrace units, 18 no. two storey semi detached 3 bed units, together with all associated access roadways, landscaping and all associated site works and connection to existing services</t>
  </si>
  <si>
    <t xml:space="preserve">https://eplanning.ie/LimerickCCC/AppFileRefDetails/24352/0</t>
  </si>
  <si>
    <t xml:space="preserve">2461182</t>
  </si>
  <si>
    <t xml:space="preserve">construction of 28 residential units consisting of 3 no. three bed detached dwellings, 6 no. two bed semi-detached dwellings, 8 no. two bed terraced dwellings, 8 no. three bed terraced dwellings, 1 no. apartment block containing 2 no. two bed apartments, together with entrance, estate road, cycle pa</t>
  </si>
  <si>
    <t xml:space="preserve">https://eplanning.ie/LimerickCCC/AppFileRefDetails/2461182/0</t>
  </si>
  <si>
    <t xml:space="preserve">2461282</t>
  </si>
  <si>
    <t xml:space="preserve">a Large-Scale Residential development. The provision of a total of 139no. residential units along with the provision of a creche. Particulars of the development comprise as follows: (a) Site excavation works to facilitate the proposed development to include excavation and general site preparation wo</t>
  </si>
  <si>
    <t xml:space="preserve">https://eplanning.ie/LimerickCCC/AppFileRefDetails/2461282/0</t>
  </si>
  <si>
    <t xml:space="preserve">2461298</t>
  </si>
  <si>
    <t xml:space="preserve">the change of use of ground floor and basement floor premises from retail to restaurant use, and the change of use of first floor and second floor accommodation from office use to residential use. The application includes proposed amendments to the existing building roof line and the existing buildi</t>
  </si>
  <si>
    <t xml:space="preserve">https://eplanning.ie/LimerickCCC/AppFileRefDetails/2461298/0</t>
  </si>
  <si>
    <t xml:space="preserve">2560001</t>
  </si>
  <si>
    <t xml:space="preserve">the following: (a) modify, alter and extend an existing (4 unit) apartment building thereby increasing its capacity by 1 No. additional apartment dwellings (to 5 No. apartments in total), (b) Permission is also sought to demolish existing outbuildings. (c) Permission is sought for the construction o</t>
  </si>
  <si>
    <t xml:space="preserve">https://eplanning.ie/LimerickCCC/AppFileRefDetails/2560001/0</t>
  </si>
  <si>
    <t xml:space="preserve">2560113</t>
  </si>
  <si>
    <t xml:space="preserve">a Large-Scale Residential Development (LRD) - development of a Purpose-Built Student Accommodation (PBSA) scheme on land fronting the Groody Road and Dublin Road, Castletroy, in the townland of Newcastle, Limerick for a period of seven years. The development consisting of 196 no. Bed Clusters, is di</t>
  </si>
  <si>
    <t xml:space="preserve">https://eplanning.ie/LimerickCCC/AppFileRefDetails/2560113/0</t>
  </si>
  <si>
    <t xml:space="preserve">Part 8 - 1392454</t>
  </si>
  <si>
    <t xml:space="preserve">2560211</t>
  </si>
  <si>
    <t xml:space="preserve">the change of use of the entire ground floor level of existing vacant building, which consisted of a permitted pharmacy unit and a  cafe / restaurant with smoking area unit , to Four (4) number two bedroom apartments each with own door access.  Alterations to elevations consisting of two new windows</t>
  </si>
  <si>
    <t xml:space="preserve">https://eplanning.ie/LimerickCCC/AppFileRefDetails/2560211/0</t>
  </si>
  <si>
    <t xml:space="preserve">2560365</t>
  </si>
  <si>
    <t xml:space="preserve">the conversion of existing 'six-bay six-storey stone corn warehouse' structure into a mixed use building, containing a total of 12 no. apartments comprising 6 no. one-bed and 2 no. two-bed apartments and 4 no. three-bed apartments;  with part commercial ground floor, a shop, facing the street. The w</t>
  </si>
  <si>
    <t xml:space="preserve">https://eplanning.ie/LimerickCCC/AppFileRefDetails/2560365/0</t>
  </si>
  <si>
    <t xml:space="preserve">2560399</t>
  </si>
  <si>
    <t xml:space="preserve">a residential development comprising 74no. residential units, (44 no. terrace houses, 6 no. duplex units, 24 no. apartments in two 3 storey blocks, construction of all associated roads, site entrance, boundary treatments, footpaths, car parking, street lighting, landscaping and all ancillary site de</t>
  </si>
  <si>
    <t xml:space="preserve">https://eplanning.ie/LimerickCCC/AppFileRefDetails/2560399/0</t>
  </si>
  <si>
    <t xml:space="preserve">2560771</t>
  </si>
  <si>
    <t xml:space="preserve">the construction of a mixed-use residential development at this site (c. 0.05766 ha) located on Michael Street, Limerick City.
The proposed development, c. 2,178.3 sq. m., gross internal floor area (GIA), will consist of the following: 
1.	The demolition of the existing structure on site (c. 184 s</t>
  </si>
  <si>
    <t xml:space="preserve">https://eplanning.ie/LimerickCCC/AppFileRefDetails/2560771/0</t>
  </si>
  <si>
    <t xml:space="preserve">2560947</t>
  </si>
  <si>
    <t xml:space="preserve">construction of eight two-storey semi-detached houses and associated site works</t>
  </si>
  <si>
    <t xml:space="preserve">https://eplanning.ie/LimerickCCC/AppFileRefDetails/2560947/0</t>
  </si>
  <si>
    <t xml:space="preserve">2560953</t>
  </si>
  <si>
    <t xml:space="preserve">25 no. residential units: 8no. duplex units with 8no. one-bedroom units and 8no. two-bedroom units (total 16 units) in 2no. three-storey blocks, and also 9no. three-bedroom, two-storey houses in Corbally Limerick. There will also be a bike store and bin store, extensive landscaping including rewildi</t>
  </si>
  <si>
    <t xml:space="preserve">https://eplanning.ie/LimerickCCC/AppFileRefDetails/2560953/0</t>
  </si>
  <si>
    <t xml:space="preserve">2561232</t>
  </si>
  <si>
    <t xml:space="preserve">the demolition of existing showroom/sales building, storage sheds, single-storey derelict dwelling house and all other structures and boundary walls on the site; the construction of a new Purpose Built Student Accommodation (PBSA) multi-storey scheme with a total floor area of 3,309 square metres, r</t>
  </si>
  <si>
    <t xml:space="preserve">https://eplanning.ie/LimerickCCC/AppFileRefDetails/2561232/0</t>
  </si>
  <si>
    <t xml:space="preserve">2660089</t>
  </si>
  <si>
    <t xml:space="preserve">a Large Scale Residential Development (LRD) on land situated between the Groody Road and Caisleán Na hAbhann, in the townland of Kilbane, Castletroy, Co. Limerick for a period of seven years.    
The development consists of 95 no. apartments, 22 no. houses and a Purpose-Built Student Accommodatio</t>
  </si>
  <si>
    <t xml:space="preserve">https://eplanning.ie/LimerickCCC/AppFileRefDetails/2660089/0</t>
  </si>
  <si>
    <t xml:space="preserve">2560977</t>
  </si>
  <si>
    <t xml:space="preserve">the construction of 10 no. detached 2-storey, 3-bedroom Self-Catering Accommodation Lodges; vehicular access via existing gateway on a roadway linking with the N21 Rathkeale Road to include removal of existing gates and provision of new entrance piers and gates; connection to an existing foul pumpin</t>
  </si>
  <si>
    <t xml:space="preserve">https://eplanning.ie/LimerickCCC/AppFileRefDetails/2560977/0</t>
  </si>
  <si>
    <t xml:space="preserve">2660275</t>
  </si>
  <si>
    <t xml:space="preserve">Towlerton, Ballysimon, Limerick</t>
  </si>
  <si>
    <t xml:space="preserve">a Large-Scale Residential Development (LRD)  Application Development of 212 no. Residential Units and a Creche, for a period of five years, at this site: Towlerton, Ballysimon Road, Limerick. The development comprises: (i) 102 no. 2 / 3 storey houses including (a) 8 no. 2 bed 1.5 storey houses; (b) </t>
  </si>
  <si>
    <t xml:space="preserve">https://eplanning.ie/LimerickCCC/AppFileRefDetails/2660275/0</t>
  </si>
  <si>
    <t xml:space="preserve">2660396</t>
  </si>
  <si>
    <t xml:space="preserve">APPEALED</t>
  </si>
  <si>
    <t xml:space="preserve">a Largescale Residential Development (LRD), comprising of 182no. residential dwellings as follows: 141no. houses consisting of 104no. detached/semi-detached dwellings (24no. 4-beds, 78no. 3-beds and 2no. 2-beds), 37no. townhouses (18no. 3-beds and 19no. 2-beds) and 41no. apartment units across 1no. </t>
  </si>
  <si>
    <t xml:space="preserve">https://eplanning.ie/LimerickCCC/AppFileRefDetails/2660396/0</t>
  </si>
  <si>
    <t xml:space="preserve">2660603</t>
  </si>
  <si>
    <t xml:space="preserve">a 10 year planning permission for a Large-scale Residential Development (LRD) that will consist of: A) 403 no. apartments in 5 no. blocks (Block A containing 78 no. units, Block B containing 92 no. units, Block C containing 88 no. units, Block D containing 83 no. units, and Block E containing 62 no.</t>
  </si>
  <si>
    <t xml:space="preserve">https://eplanning.ie/LimerickCCC/AppFileRefDetails/2660603/0</t>
  </si>
  <si>
    <t xml:space="preserve">2660779</t>
  </si>
  <si>
    <t xml:space="preserve">Partial parse not used (8 units found vs 28 stated): 6xstudio-bed apt, 2x2-bed unit</t>
  </si>
  <si>
    <t xml:space="preserve">the construction of staff accommodation &amp; services buildings comprising – Building 1, 590m sq, two storey communal residence, [20 no. bedrooms &amp; 2 no. communal areas], Building 2, 502m sq, two storey apartments, [6 no. studio &amp; 2 no. 2 bedroom units],
Building 3, 47m sq, single storey staff bicycle</t>
  </si>
  <si>
    <t xml:space="preserve">https://eplanning.ie/LimerickCCC/AppFileRefDetails/2660779/0</t>
  </si>
  <si>
    <t xml:space="preserve">2660241</t>
  </si>
  <si>
    <t xml:space="preserve">a Large-scale Residential development on these lands at Monaleen Road, Castletroy, Limerick. The development will consist of the provision of a total of 523no. residential units along with the provision of a creche. Particulars of the development comprise as follows:
(a) Site excavation works to fa</t>
  </si>
  <si>
    <t xml:space="preserve">https://eplanning.ie/LimerickCCC/AppFileRefDetails/2660241/0</t>
  </si>
  <si>
    <t xml:space="preserve">191060</t>
  </si>
  <si>
    <t xml:space="preserve">development consisting of revisions to the development permitted under Planning Register Reference Number 16/800 - An Bord Pleanala Reference PL 91.247888 (‘the parent permission’) comprising alterations to the permitted office block to reduce the building height fronting Lower Cecil Street and Bish</t>
  </si>
  <si>
    <t xml:space="preserve">https://eplanning.ie/LimerickCCC/AppFileRefDetails/191060/0</t>
  </si>
  <si>
    <t xml:space="preserve">1872</t>
  </si>
  <si>
    <t xml:space="preserve">the provision of 4 semi-detached two storey dwellings with all associated site works both above and below ground, and the delivery of the completion of road access onto Bloodmill Road for the existing housing estate, Glendale lawn to facilitate compliance with condition number 23 of planning referen</t>
  </si>
  <si>
    <t xml:space="preserve">https://eplanning.ie/LimerickCCC/AppFileRefDetails/1872/0</t>
  </si>
  <si>
    <t xml:space="preserve">18168</t>
  </si>
  <si>
    <t xml:space="preserve">237017: Refused</t>
  </si>
  <si>
    <t xml:space="preserve">completion of the works comprising of a mixed development as follows: (a) language school and seven retail shop units on ground floor; (b) five duplex 4 bedroom apartments and three duplex 6 bedroom apartment on first and second floors; (c) basement with 24 private car spaces and (d) new connections</t>
  </si>
  <si>
    <t xml:space="preserve">https://eplanning.ie/LimerickCCC/AppFileRefDetails/18168/0</t>
  </si>
  <si>
    <t xml:space="preserve">18219</t>
  </si>
  <si>
    <t xml:space="preserve">(I) change of use from office to residential on first and second floor levels; (ii) provision of 14 no. studio apartments, with existing access from Dock Road; (iii) extension to existing to floor plate at first and second floor levels(17.2sq m); (iv) extension of existing access deck at second floo</t>
  </si>
  <si>
    <t xml:space="preserve">https://eplanning.ie/LimerickCCC/AppFileRefDetails/18219/0</t>
  </si>
  <si>
    <t xml:space="preserve">188002</t>
  </si>
  <si>
    <t xml:space="preserve">(I) the provision of 20 no. two-storey residential units comprising 7 no. 3 bed, 8 no. 2 bed, 1 no. 4 bed and 4 no. 2 bed apartments (in 2 no. two-storey buildings. The development will generally have vehicular access from Bank Place and pedestrian through-access to Glenview Drive; two units will ha</t>
  </si>
  <si>
    <t xml:space="preserve">https://eplanning.ie/LimerickCCC/AppFileRefDetails/188002/0</t>
  </si>
  <si>
    <t xml:space="preserve">Q4-2023</t>
  </si>
  <si>
    <t xml:space="preserve">18496</t>
  </si>
  <si>
    <t xml:space="preserve">12 no. two storey houses together with associated internal access road and site works. Road access to the site is from Castletroy College Road</t>
  </si>
  <si>
    <t xml:space="preserve">https://eplanning.ie/LimerickCCC/AppFileRefDetails/18496/0</t>
  </si>
  <si>
    <t xml:space="preserve">187020</t>
  </si>
  <si>
    <t xml:space="preserve">12949</t>
  </si>
  <si>
    <t xml:space="preserve">Extension of Permission for Planning File Ref. No. 12/949: the construction of 6 no. detached houses together with connection to existing services and all ancillary site works</t>
  </si>
  <si>
    <t xml:space="preserve">https://eplanning.ie/LimerickCCC/AppFileRefDetails/187020/0</t>
  </si>
  <si>
    <t xml:space="preserve">188007</t>
  </si>
  <si>
    <t xml:space="preserve">the proposed development will consist of: provision of 43 no. residential units comprising; 14 no. two storey units and 29 no. three-storey units. The unit mix comprises; 20 no. 2 bedroom units and 23 no. 3 bedroom units. The dwelling types comprises: 31 no. houses and 12 no. apartments / duplexes, </t>
  </si>
  <si>
    <t xml:space="preserve">https://eplanning.ie/LimerickCCC/AppFileRefDetails/188007/0</t>
  </si>
  <si>
    <t xml:space="preserve">188008</t>
  </si>
  <si>
    <t xml:space="preserve">	(a)  Provision of 43 no. residential units comprising; 23 no. two storey units and a three storey block comprising 20 no. units. The unit mix comprises; 3 no. 1 bedroom units; 19 no. 2 bedroom units; 17 no. 3 bedroom units and 4 no. 4 bedroom units. The dwelling types comprise: 17 no. houses and 26</t>
  </si>
  <si>
    <t xml:space="preserve">https://eplanning.ie/LimerickCCC/AppFileRefDetails/188008/0</t>
  </si>
  <si>
    <t xml:space="preserve">188009</t>
  </si>
  <si>
    <t xml:space="preserve">(i) demolition of the existing bungalow, (ii) provision of 5 no. residential units (2 no. 3 bed, 5 person units, 2 no. 2 bed 3 person unit, 1 no. 4 bed 7 person unit, universal access), (iii) hard landscaping including replacement of existing footpaths, new entranceways, boundary treatments and boun</t>
  </si>
  <si>
    <t xml:space="preserve">https://eplanning.ie/LimerickCCC/AppFileRefDetails/188009/0</t>
  </si>
  <si>
    <t xml:space="preserve">188010</t>
  </si>
  <si>
    <t xml:space="preserve">(i) provision of 11 no. residential units (3 no. 2 bed, 4 person units, 1 no. 1 bed 2 person unit, 1 no. 2 bed 4 person unit, 6 no. 3 bed 4 person unit), (ii) hard landscaping including replacement of existing footpaths, new entranceways, boundary treatments and boundary walls, parallel parking in a</t>
  </si>
  <si>
    <t xml:space="preserve">https://eplanning.ie/LimerickCCC/AppFileRefDetails/188010/0</t>
  </si>
  <si>
    <t xml:space="preserve">187001</t>
  </si>
  <si>
    <t xml:space="preserve">127132</t>
  </si>
  <si>
    <t xml:space="preserve">267023: Granted, expires 12/03/2029</t>
  </si>
  <si>
    <t xml:space="preserve">Extension of permission on file number: 12/7132 previously (06/1577) : construction of 145 dwellinghouses together with all roads, services, landscaping and associated site works. Development to include 24 two storey 3 bed townhouses, 19 three storey 4 bed townhouses, 33 two storey 4 bed semi-detach</t>
  </si>
  <si>
    <t xml:space="preserve">https://eplanning.ie/LimerickCCC/AppFileRefDetails/187001/0</t>
  </si>
  <si>
    <t xml:space="preserve">201115</t>
  </si>
  <si>
    <t xml:space="preserve">€16.5m - Residential Development, Mungret</t>
  </si>
  <si>
    <t xml:space="preserve">257026: Granted, expires 09/07/2029</t>
  </si>
  <si>
    <t xml:space="preserve">construction on SITE 2 of 96no. residential units: 1no. 4 bedroom detached unit, 2no. 4 bedroom semi-detached units, 2no. 3 bedroom semi-detached units, 14no. 3 bedroom terraced units, 3no. 2 bedroom terraced units, 4no. 3 bedroom apartments, 19no. 2 bedroom apartments, 1 no. 1 bed apartments, 2no. </t>
  </si>
  <si>
    <t xml:space="preserve">https://eplanning.ie/LimerickCCC/AppFileRefDetails/201115/0</t>
  </si>
  <si>
    <t xml:space="preserve">201114</t>
  </si>
  <si>
    <t xml:space="preserve">€19.4m - Residential Development, Mungret</t>
  </si>
  <si>
    <t xml:space="preserve">construction on SITE 1 of 96no. residential units: 2no. 4 bedroom detached units, 20no. 4 bedroom semi-detached units, 8no. 3 bedroom semi-detached units, 32no. 3 bedroom terraced units, 13no. 2 bedroom terraced units, 17no. 2 bedroom duplex units, 4no. 1 bedroom duplex units.  Provision of Creche a</t>
  </si>
  <si>
    <t xml:space="preserve">https://eplanning.ie/LimerickCCC/AppFileRefDetails/201114/0</t>
  </si>
  <si>
    <t xml:space="preserve">1855</t>
  </si>
  <si>
    <t xml:space="preserve">the construction of 31 houses and all associated site works</t>
  </si>
  <si>
    <t xml:space="preserve">https://eplanning.ie/LimerickCCC/AppFileRefDetails/1855/0</t>
  </si>
  <si>
    <t xml:space="preserve">181274</t>
  </si>
  <si>
    <t xml:space="preserve">€633 - Residential Development, Castletroy</t>
  </si>
  <si>
    <t xml:space="preserve">Register: withdrawn</t>
  </si>
  <si>
    <t xml:space="preserve">DEEMED WITHDRAWN</t>
  </si>
  <si>
    <t xml:space="preserve">Withdrawn</t>
  </si>
  <si>
    <t xml:space="preserve">20361 (06/05/2020, Granted, 3 units, in CIS)</t>
  </si>
  <si>
    <t xml:space="preserve">the construction of 3 houses and all associated site works</t>
  </si>
  <si>
    <t xml:space="preserve">https://eplanning.ie/LimerickCCC/AppFileRefDetails/181274/0</t>
  </si>
  <si>
    <t xml:space="preserve">20361</t>
  </si>
  <si>
    <t xml:space="preserve">€648k - 3 Houses </t>
  </si>
  <si>
    <t xml:space="preserve">Caislean Nua, Golf Links Road, Casteltroy</t>
  </si>
  <si>
    <t xml:space="preserve">https://eplanning.ie/LimerickCCC/AppFileRefDetails/20361/0</t>
  </si>
  <si>
    <t xml:space="preserve">21853</t>
  </si>
  <si>
    <t xml:space="preserve">€622k - 2 Houses</t>
  </si>
  <si>
    <t xml:space="preserve">Mountgreen, Golf Links Road, Castletroy</t>
  </si>
  <si>
    <t xml:space="preserve">the construction of 2 new 4 bedroom detached dwelling houses with vehicular site entrances together with all ancillary site works</t>
  </si>
  <si>
    <t xml:space="preserve">https://eplanning.ie/LimerickCCC/AppFileRefDetails/21853/0</t>
  </si>
  <si>
    <t xml:space="preserve">2560271</t>
  </si>
  <si>
    <t xml:space="preserve">€21m - Residential Development, Castletroy</t>
  </si>
  <si>
    <t xml:space="preserve">Golf Links Road and Mount Green Road, Newcastle, Castletroy</t>
  </si>
  <si>
    <t xml:space="preserve">a Large-Scale Residential Development (LRD) application : (i) 114 no. residential units comprising (a) 16 no. 2.5 storey 4 bed detached units; 
(b) 8 no. 2.5 storey 3 bed semi-detached units; (c) 36 no. 2.5 storey 3 bed terrace 
units; (d) 19 no. 3 storey 2 bed duplex units; (e) 19 no. 3 storey 3 </t>
  </si>
  <si>
    <t xml:space="preserve">https://eplanning.ie/LimerickCCC/AppFileRefDetails/2560271/0</t>
  </si>
  <si>
    <t xml:space="preserve">18200</t>
  </si>
  <si>
    <t xml:space="preserve">247023: Granted, expires 08/12/2026</t>
  </si>
  <si>
    <t xml:space="preserve">for a residential development comprising of 48 no. residential units, Creche, provision of first phase of link road between the Clarina Road and the Lisheen Park (School Road) with site entrance off this new road and all ancillary site development works.  Ancillary site development works include a n</t>
  </si>
  <si>
    <t xml:space="preserve">https://eplanning.ie/LimerickCCC/AppFileRefDetails/18200/0</t>
  </si>
  <si>
    <t xml:space="preserve">181193</t>
  </si>
  <si>
    <t xml:space="preserve">€9m - Housing Development</t>
  </si>
  <si>
    <t xml:space="preserve">Planner's report on 25/60133 (amendment to 18/1193): 33 x 3-bed and 16 x 2-bed granted; 6 houses changed 2-bed to 3-bed. 49 dwellings in council report vs 58 in tracker – check unit count</t>
  </si>
  <si>
    <t xml:space="preserve">267042: Granted, expires 26/05/2027</t>
  </si>
  <si>
    <t xml:space="preserve">a residential development comprising 48 residential units, (46 no. semi-detached houses, 2 no. detached houses), provision of phase 2 part of link road between the Clarina Road and the Lisheen Park (School Road) with site entrances off this new road, and all ancillary site development works. Ancilla</t>
  </si>
  <si>
    <t xml:space="preserve">https://eplanning.ie/LimerickCCC/AppFileRefDetails/181193/0</t>
  </si>
  <si>
    <t xml:space="preserve">19444</t>
  </si>
  <si>
    <t xml:space="preserve">€2.2m - Housing Development </t>
  </si>
  <si>
    <t xml:space="preserve">a residential development comprising 16 no. semi-detached houses, provision of phase 2 part of link road between the Clarina Road and the Lisheen Park (School Road) with site entrance off this new road, and all ancillary site development works. Ancillary site development works include a new connecti</t>
  </si>
  <si>
    <t xml:space="preserve">https://eplanning.ie/LimerickCCC/AppFileRefDetails/19444/0</t>
  </si>
  <si>
    <t xml:space="preserve">237022</t>
  </si>
  <si>
    <t xml:space="preserve">An Tobar, Patrickswell</t>
  </si>
  <si>
    <t xml:space="preserve">Extends 18200; units counted on parent</t>
  </si>
  <si>
    <t xml:space="preserve">extension of permission for planning ref. 18/200: for a residential development comprising of 48 no. residential units, Creche, provision of first phase of link road between the Clarina Road and the Lisheen Park (School Road) with site entrance off this new road and all ancillary site development wo</t>
  </si>
  <si>
    <t xml:space="preserve">https://eplanning.ie/LimerickCCC/AppFileRefDetails/237022/0</t>
  </si>
  <si>
    <t xml:space="preserve">247010</t>
  </si>
  <si>
    <t xml:space="preserve">€5.2m - EOD Residential Development</t>
  </si>
  <si>
    <t xml:space="preserve">Extends 181193; units counted on parent</t>
  </si>
  <si>
    <t xml:space="preserve">the extension of permission for planning ref. 18/1193: a residential development comprising 48 residential units, (46 no. semi-detached houses, 2 no. detached houses), provision of phase 2 part of link road between the Clarina Road and the Lisheen Park (School Road) with site entrances off this new </t>
  </si>
  <si>
    <t xml:space="preserve">https://eplanning.ie/LimerickCCC/AppFileRefDetails/247010/0</t>
  </si>
  <si>
    <t xml:space="preserve">247023</t>
  </si>
  <si>
    <t xml:space="preserve">€5.9m - EOD Residential Development</t>
  </si>
  <si>
    <t xml:space="preserve">extension of permission for planning ref. 18/200, also extended permission ref no. 23/7022: for a residential development comprising of 48 no. residential units, Creche, provision of first phase of link road between the Clarina Road and the Lisheen Park (School Road) with site entrance off this new </t>
  </si>
  <si>
    <t xml:space="preserve">https://eplanning.ie/LimerickCCC/AppFileRefDetails/247023/0</t>
  </si>
  <si>
    <t xml:space="preserve">257001</t>
  </si>
  <si>
    <t xml:space="preserve">€3.9m - EOD - Residential Development, Patrickswell</t>
  </si>
  <si>
    <t xml:space="preserve">Register EoD; description matches 19444 (100%)</t>
  </si>
  <si>
    <t xml:space="preserve">Medium</t>
  </si>
  <si>
    <t xml:space="preserve">https://eplanning.ie/LimerickCCC/AppFileRefDetails/257001/0</t>
  </si>
  <si>
    <t xml:space="preserve">18346</t>
  </si>
  <si>
    <t xml:space="preserve">a residential development comprising 49 no. residential units, (5 no. detached houses, 38 no. semi-detached houses, 6 no. terrace houses), new entrance onto the existing R526 road and all ancillary site development works. Ancillary site development works include a new connection to the public water </t>
  </si>
  <si>
    <t xml:space="preserve">https://eplanning.ie/LimerickCCC/AppFileRefDetails/18346/0</t>
  </si>
  <si>
    <t xml:space="preserve">19689</t>
  </si>
  <si>
    <t xml:space="preserve">€2.2m - 9 Houses </t>
  </si>
  <si>
    <t xml:space="preserve">257009: Granted, expires 05/09/2026</t>
  </si>
  <si>
    <t xml:space="preserve">construction of 8 dwellings comprising of the following mix, 6 no. two storey detached dwellings with attic accommodation and 2 no. semi-detached two-storey dwellings including an access road, connection to services and all associated site works</t>
  </si>
  <si>
    <t xml:space="preserve">https://eplanning.ie/LimerickCCC/AppFileRefDetails/19689/0</t>
  </si>
  <si>
    <t xml:space="preserve">20281</t>
  </si>
  <si>
    <t xml:space="preserve">€12m - Residential Development, Patrickswell</t>
  </si>
  <si>
    <t xml:space="preserve">the development of 36 no. serviced sites of 6 no. varying house types and provisions of green areas, access roads, pedestrians walkways and all associated site works (reference number of outline permission 18/10 &amp; 20/8)</t>
  </si>
  <si>
    <t xml:space="preserve">https://eplanning.ie/LimerickCCC/AppFileRefDetails/20281/0</t>
  </si>
  <si>
    <t xml:space="preserve">21873</t>
  </si>
  <si>
    <t xml:space="preserve">€1.7 - 9 Houses, Patrickswell</t>
  </si>
  <si>
    <t xml:space="preserve">the construction of 5 x No. dwelling houses, consisting of 2 x No. semi-detached dwelling houses and 1 x No. detached dwelling house and 2 x No. single storey dwellings, connection to public sewer, new recessed site entrance and boundary walls with all ancillary site works.</t>
  </si>
  <si>
    <t xml:space="preserve">https://eplanning.ie/LimerickCCC/AppFileRefDetails/21873/0</t>
  </si>
  <si>
    <t xml:space="preserve">228017</t>
  </si>
  <si>
    <t xml:space="preserve">€4.4m - Residential Development, Patrickswell</t>
  </si>
  <si>
    <t xml:space="preserve">provision of 24 no. single storey, dormer and two storey residential housing units. The unit mix comprises 8 no. 2 bedroom units, 11 no. 3 bedroom units and 5 no. 4 bed units.  New roads running north-south and east-west connecting the development with Clarina Road and future proposed neighbouring d</t>
  </si>
  <si>
    <t xml:space="preserve">https://eplanning.ie/LimerickCCC/AppFileRefDetails/228017/0</t>
  </si>
  <si>
    <t xml:space="preserve">Part 8 - 1248404</t>
  </si>
  <si>
    <t xml:space="preserve">€4.6m - Residential Development, Patrickswell</t>
  </si>
  <si>
    <t xml:space="preserve">Barnaklye Housing, Patrickswell</t>
  </si>
  <si>
    <t xml:space="preserve">2560156</t>
  </si>
  <si>
    <t xml:space="preserve">€15.9m - Residential Development, Patrickswell</t>
  </si>
  <si>
    <t xml:space="preserve">Planner's report (unit-by-unit schedule; council stage – decision upheld on appeal ACP-323113-25). Totals match 63 units</t>
  </si>
  <si>
    <t xml:space="preserve">a residential development comprising 63 no. residential units, (4 no. detached houses, 50 no. semi-detached houses, 9 no. terrace houses), a Creche, new entrance onto the existing R526 road and all ancillary site development works. Ancillary site development works include a new connection to the pub</t>
  </si>
  <si>
    <t xml:space="preserve">https://eplanning.ie/LimerickCCC/AppFileRefDetails/2560156/0</t>
  </si>
  <si>
    <t xml:space="preserve">2560633</t>
  </si>
  <si>
    <t xml:space="preserve">€2.4m - 6 Houses</t>
  </si>
  <si>
    <t xml:space="preserve">the construction of 6no. two storey, detached houses and all associated  site development works. A Natura Impact Statement (NIS) will be submitted to the planning authority with the application</t>
  </si>
  <si>
    <t xml:space="preserve">https://eplanning.ie/LimerickCCC/AppFileRefDetails/2560633/0</t>
  </si>
  <si>
    <t xml:space="preserve">2560653</t>
  </si>
  <si>
    <t xml:space="preserve">€9.4m - Residential Development</t>
  </si>
  <si>
    <t xml:space="preserve">Housing quality assessment (submitted with further information). Final scheme 42 units (bond calculated on 42) vs 40 in tracker – check unit count</t>
  </si>
  <si>
    <t xml:space="preserve">a residential development comprising 40 no. residential units, (3 no. detached houses, 28 no. semi-detached houses, 9 no. terrace houses), new entrance onto the existing R526 road and all ancillary site development works on lands at Barnakyle, Patrickswell, Co. Limerick. Ancillary site development w</t>
  </si>
  <si>
    <t xml:space="preserve">https://eplanning.ie/LimerickCCC/AppFileRefDetails/2560653/0</t>
  </si>
  <si>
    <t xml:space="preserve">2561228</t>
  </si>
  <si>
    <t xml:space="preserve">€18.4m - Residential Development, Patrickswell</t>
  </si>
  <si>
    <t xml:space="preserve">55no. residential units on serviced sites on the grant of outline permission granted under Planning Application Ref. 25/87 for development at this site: Barnakyle, Patrickswell, Co. Limerick The overall development will consist of: The construction of 55no. residential units on serviced sites (incor</t>
  </si>
  <si>
    <t xml:space="preserve">https://eplanning.ie/LimerickCCC/AppFileRefDetails/2561228/0</t>
  </si>
  <si>
    <t xml:space="preserve">18434</t>
  </si>
  <si>
    <t xml:space="preserve">99 no. residential units at Bloodmill Road, Singland, Co. Limerick to include: (i) 1 no. 4 bed detached unit; (ii) 52 no. 3 bed semi-detached units; (iii) 2 no. 3 bed terrace units; (iv) 15 no. 2 bed terrace units with option for a third bedroom; (v) 28 no. 2 bed apartment units, 1 no 3 bedroom apar</t>
  </si>
  <si>
    <t xml:space="preserve">https://eplanning.ie/LimerickCCC/AppFileRefDetails/18434/0</t>
  </si>
  <si>
    <t xml:space="preserve">181270</t>
  </si>
  <si>
    <t xml:space="preserve">€5.8m - Housing Development</t>
  </si>
  <si>
    <t xml:space="preserve">35 no. residential units to include: (I) 1 x no. 4 bed detached unit; (ii) 24 x no. 3 bed semi-detached units; (iii) 1 x no. 3 bed detached unit, (iv) 5 x no. 3 bed terrace units; (v) 2 x no. 3 bed duplex units; (vi) 2 x no. 2 bed apartment and (vii) all associated site works including site entrance</t>
  </si>
  <si>
    <t xml:space="preserve">https://eplanning.ie/LimerickCCC/AppFileRefDetails/181270/0</t>
  </si>
  <si>
    <t xml:space="preserve">Co - Operative Housing Ireland Society Limited</t>
  </si>
  <si>
    <t xml:space="preserve">18465</t>
  </si>
  <si>
    <t xml:space="preserve">Modifies 187001, which has no unit count in CIS; units counted here</t>
  </si>
  <si>
    <t xml:space="preserve">19 no. houses, to replace 20 no. houses as a modification of a previously permitted planning permission under Reg. Ref. 06/1577, as extended by Reg. Ref. 12/7132 and 18/7001; 08/1330 as extended by 13/7022; and Reg. Ref. 08/2346, as extended by 13/7023.  The proposed dwellings will each have 2 no. o</t>
  </si>
  <si>
    <t xml:space="preserve">https://eplanning.ie/LimerickCCC/AppFileRefDetails/18465/0</t>
  </si>
  <si>
    <t xml:space="preserve">20467</t>
  </si>
  <si>
    <t xml:space="preserve">€5.4m - Patricks Well Housing Development, Mungret</t>
  </si>
  <si>
    <t xml:space="preserve">Sli na Manach, Mungret, Limerick</t>
  </si>
  <si>
    <t xml:space="preserve">modification of planning permission reg. ref. 06/1577 as extended by reg. ref. 12/7132 and reg. ref. 18/7001 with the provision of 29 no. residential units consisting of (i)13 no. two storey, 3 bedroom terraced houses, (ii)3 no. two storey, 3 bed semi-detached houses, (iii)1 no. two storey, four bed</t>
  </si>
  <si>
    <t xml:space="preserve">https://eplanning.ie/LimerickCCC/AppFileRefDetails/20467/0</t>
  </si>
  <si>
    <t xml:space="preserve">18618</t>
  </si>
  <si>
    <t xml:space="preserve">PERMISSION for the construction of 3 x No. detached dwellings and all associated siteworks and to connect to roads and services of existing permitted development granted under 17/465 in accordance with plans and documents submitted.</t>
  </si>
  <si>
    <t xml:space="preserve">https://eplanning.ie/LimerickCCC/AppFileRefDetails/18618/0</t>
  </si>
  <si>
    <t xml:space="preserve">181243</t>
  </si>
  <si>
    <t xml:space="preserve">€6.4m - Residential Development, Crossagalla</t>
  </si>
  <si>
    <t xml:space="preserve">construction of 53 no. dwelling units including the construction of internal roads, connection to public services and all ancillary site works</t>
  </si>
  <si>
    <t xml:space="preserve">https://eplanning.ie/LimerickCCC/AppFileRefDetails/181243/0</t>
  </si>
  <si>
    <t xml:space="preserve">2460468</t>
  </si>
  <si>
    <t xml:space="preserve">€3.6m - Housing/Creche Development, Crossagalla</t>
  </si>
  <si>
    <t xml:space="preserve">Ros Mor Estate, Kilmallock Road, Crossagalla, Limerick</t>
  </si>
  <si>
    <t xml:space="preserve">the construction of a total of 12 no. dwelling houses and a two storey creche of 333sq.m.. The twelve houses will comprise of 4no. detached houses and 8no. semi-detached houses. This application also includes for all associated siteworks and connections to public services</t>
  </si>
  <si>
    <t xml:space="preserve">https://eplanning.ie/LimerickCCC/AppFileRefDetails/2460468/0</t>
  </si>
  <si>
    <t xml:space="preserve">18698</t>
  </si>
  <si>
    <t xml:space="preserve">257015: Granted, expires 23/01/2029</t>
  </si>
  <si>
    <t xml:space="preserve">a residential development comprising 38 no. residential units, (26 no. semi-detached houses, 12 no. terrace houses), new entrance onto the existing L1121 road and all ancillary site development works. Ancillary site development works include a new connection to the public water main, foul and surfac</t>
  </si>
  <si>
    <t xml:space="preserve">https://eplanning.ie/LimerickCCC/AppFileRefDetails/18698/0</t>
  </si>
  <si>
    <t xml:space="preserve">181104</t>
  </si>
  <si>
    <t xml:space="preserve">€11.8m - Residential Development, Castletroy</t>
  </si>
  <si>
    <t xml:space="preserve">Partial parse not used (36 units found vs 99 stated): 1x1-bed apt, 35x2-bed apt</t>
  </si>
  <si>
    <t xml:space="preserve">247016: Granted, expires 02/06/2027</t>
  </si>
  <si>
    <t xml:space="preserve">a residential development comprising 89 no. residential units, ((i) 20 x No. semi-detached dwellings units, (ii) 5 x No. semi-detached buildings (which comprise of a semi-detached dwelling combined with a two bedroom ground floor apartment and a one bed first floor apartment); (iii) 2 x No. terraced</t>
  </si>
  <si>
    <t xml:space="preserve">https://eplanning.ie/LimerickCCC/AppFileRefDetails/181104/0</t>
  </si>
  <si>
    <t xml:space="preserve">181105</t>
  </si>
  <si>
    <t xml:space="preserve">€2.3m - Housing Development</t>
  </si>
  <si>
    <t xml:space="preserve">WITHDRAWN</t>
  </si>
  <si>
    <t xml:space="preserve">247027: Pending</t>
  </si>
  <si>
    <t xml:space="preserve">a residential development comprising 41 no. residential units, ((i) 3 x No. detached dwelling; (ii) 20 x No. semi-detached dwellings; (iii)	2 x No. semi-detached buildings (which comprise of a semi-detached dwelling combined with a 2 x bedroom ground floor apartment and a 3 x bedroom duplex unit ove</t>
  </si>
  <si>
    <t xml:space="preserve">https://eplanning.ie/LimerickCCC/AppFileRefDetails/181105/0</t>
  </si>
  <si>
    <t xml:space="preserve">19547</t>
  </si>
  <si>
    <t xml:space="preserve">€18m - Residential Development, Castletroy</t>
  </si>
  <si>
    <t xml:space="preserve">a residential development comprising 70 no. residential units, (16 no. semi-detached houses, 6 no. terrace houses, 4 no. duplex units, 1 no. 4 storey apartment block over basement), 2 storey Creche and community playing pitch, accessed via the Castletroy College road and all ancillary site developme</t>
  </si>
  <si>
    <t xml:space="preserve">https://eplanning.ie/LimerickCCC/AppFileRefDetails/19547/0</t>
  </si>
  <si>
    <t xml:space="preserve">191236</t>
  </si>
  <si>
    <t xml:space="preserve">€16m - Housing Development</t>
  </si>
  <si>
    <t xml:space="preserve">a residential development comprising 92 no. residential units, (60 no. houses, 32 apartments) This includes 1 no block of 32 apartments specifically intended to accommodate independent living for older persons.  The planning application is accompanied by an EIAR and and NIS.  There is also additiona</t>
  </si>
  <si>
    <t xml:space="preserve">https://eplanning.ie/LimerickCCC/AppFileRefDetails/191236/0</t>
  </si>
  <si>
    <t xml:space="preserve">20256</t>
  </si>
  <si>
    <t xml:space="preserve">€14.5m - Residential Development, Castletroy</t>
  </si>
  <si>
    <t xml:space="preserve">21350</t>
  </si>
  <si>
    <t xml:space="preserve">Replaced by 21350</t>
  </si>
  <si>
    <t xml:space="preserve">a residential development comprising 57units (comprising 21 no. semi-detached houses, 3 no terrace, 2 duplex units) and 1 four storey apartment block over basement comprised of 31 apartments revisions to development granted under planning 18/698 consisting of alteration to a portion of the open spac</t>
  </si>
  <si>
    <t xml:space="preserve">https://eplanning.ie/LimerickCCC/AppFileRefDetails/20256/0</t>
  </si>
  <si>
    <t xml:space="preserve">€14m - Residential Development,Castletroy</t>
  </si>
  <si>
    <t xml:space="preserve">Modifies 20256 and restates the scheme</t>
  </si>
  <si>
    <t xml:space="preserve">a residential development comprising 62no. residential units(14no. semi-detached house, 10no. terrace houses, 4no. duplex units, 2no. 5 storey apartment blocks over basement, comprised of 34no. apartments and basement parking), revisions to development granted under planning reference 20/256 consist</t>
  </si>
  <si>
    <t xml:space="preserve">https://eplanning.ie/LimerickCCC/AppFileRefDetails/21350/0</t>
  </si>
  <si>
    <t xml:space="preserve">211152</t>
  </si>
  <si>
    <t xml:space="preserve">€16.6m - Residential Development, Castletroy</t>
  </si>
  <si>
    <t xml:space="preserve">a residential development comprising 89 no. residential units, (9 no. detached houses, 36 no. semi-detached houses, 20 no. terraced houses, 24 no. duplex units), demolition of existing farm buildings, additional parallel parking along the Castletroy College road, accessed via a new entrance onto the</t>
  </si>
  <si>
    <t xml:space="preserve">https://eplanning.ie/LimerickCCC/AppFileRefDetails/211152/0</t>
  </si>
  <si>
    <t xml:space="preserve">211400</t>
  </si>
  <si>
    <t xml:space="preserve">€21m - Newtow Meadows Development, Phase 4, Castletroy</t>
  </si>
  <si>
    <t xml:space="preserve">a residential development comprising 96 no. residential units, (16 no. semi-detached houses, 6 no. terrace houses, 2 detached units along with 2 no. 5 storey apartment blocks over basement, comprised of 72 no. apartments and basement parking), bin &amp; bike stores, demolition of existing farm buildings</t>
  </si>
  <si>
    <t xml:space="preserve">https://eplanning.ie/LimerickCCC/AppFileRefDetails/211400/0</t>
  </si>
  <si>
    <t xml:space="preserve">187031</t>
  </si>
  <si>
    <t xml:space="preserve">Walkers Road (Phase 2), Castlebrook Manor, Newcastle, Castletroy</t>
  </si>
  <si>
    <t xml:space="preserve">064024</t>
  </si>
  <si>
    <t xml:space="preserve">Partial parse not used (68 units found vs 240 stated): 34x2-bed apt, 34x3-bed apt</t>
  </si>
  <si>
    <t xml:space="preserve">Extension of Permission for Planning Ref. No. 06/4024 and 13/7094 : construction of 240 dwellings in three areas/lots: Area 1 consists of 152 no. two storey dwellings, types A-G . Areas 2 &amp; 3 consist of 88 dwellings - three storey duplex dwellings with 34 two bed apartments at ground floor with 34 t</t>
  </si>
  <si>
    <t xml:space="preserve">https://eplanning.ie/LimerickCCC/AppFileRefDetails/187031/0</t>
  </si>
  <si>
    <t xml:space="preserve">201320</t>
  </si>
  <si>
    <t xml:space="preserve">€3.7m - Residential Development, Newcastle</t>
  </si>
  <si>
    <t xml:space="preserve">Walkers Road &amp; Dublin Road, Newcastle, Castletroy</t>
  </si>
  <si>
    <t xml:space="preserve">construction of 21 no. residential units and associated infrastructure</t>
  </si>
  <si>
    <t xml:space="preserve">https://eplanning.ie/LimerickCCC/AppFileRefDetails/201320/0</t>
  </si>
  <si>
    <t xml:space="preserve">19518</t>
  </si>
  <si>
    <t xml:space="preserve">the provision of a total of 52 no. dwellings as follows - 12 no. 2.5 storey 4 bed units, 20 no. 2 storey terraces/semi-detached 3 bed units, 16 no. 2.5 storey semi-detached 4 bed units and 4 no. 2 storey semi-detached 4 bed units together with all associated landscaping and site works and connection</t>
  </si>
  <si>
    <t xml:space="preserve">https://eplanning.ie/LimerickCCC/AppFileRefDetails/19518/0</t>
  </si>
  <si>
    <t xml:space="preserve">2460030</t>
  </si>
  <si>
    <t xml:space="preserve">€2.9m - Residential Development</t>
  </si>
  <si>
    <t xml:space="preserve">the provision of 7 no. 2 bed 3 person dwellings, 7 no. 2 bed 4 person dwellings for senior living and 2 community dwellings each with 4 bedrooms plus 1 carer bedroom and communal areas for senior living, together with modifications to existing site levels and all associated landscaping and site work</t>
  </si>
  <si>
    <t xml:space="preserve">https://eplanning.ie/LimerickCCC/AppFileRefDetails/2460030/0</t>
  </si>
  <si>
    <t xml:space="preserve">19769</t>
  </si>
  <si>
    <t xml:space="preserve">247017: Granted, expires 28/10/2025</t>
  </si>
  <si>
    <t xml:space="preserve">(a) change of use of existing office building at 58 Henry Street to 3 no. residential apartment units, (b) construction of three storey residential unit, comprising of 2 no. apartment units at the rear of site (fronting on to Lourigan's Lane) including link corridor to existing building at 58 Henry </t>
  </si>
  <si>
    <t xml:space="preserve">https://eplanning.ie/LimerickCCC/AppFileRefDetails/19769/0</t>
  </si>
  <si>
    <t xml:space="preserve">Simon Community : Midwest Simon</t>
  </si>
  <si>
    <t xml:space="preserve">247017</t>
  </si>
  <si>
    <t xml:space="preserve">€782k - EOD Residential Development</t>
  </si>
  <si>
    <t xml:space="preserve">Extends 19769; units counted on parent</t>
  </si>
  <si>
    <t xml:space="preserve">extension of permission for planning ref. 19/769: (a) change of use of existing office building at 58 Henry Street to 3 no. residential apartment units, (b) construction of three storey residential unit, comprising of 2 no. apartment units at the rear of site (fronting on to Lourigan's Lane) includi</t>
  </si>
  <si>
    <t xml:space="preserve">https://eplanning.ie/LimerickCCC/AppFileRefDetails/247017/0</t>
  </si>
  <si>
    <t xml:space="preserve">19970</t>
  </si>
  <si>
    <t xml:space="preserve">An Bord Pleanála inspector's report 307386-20 (scheme as revised at further information). Totals match 92 units</t>
  </si>
  <si>
    <t xml:space="preserve">257007: Granted, expires 14/11/2028</t>
  </si>
  <si>
    <t xml:space="preserve">a residential development comprising 92 no. residential units, (2 no. detached houses, 22 no. semi-detached houses, 12 no. terrace houses, 12 no. duplex units and 1 no. 6 storey apartment block over basement, comprised of 44 no. apartments, (with basement parking) attenuation pond, landscaping, boun</t>
  </si>
  <si>
    <t xml:space="preserve">https://eplanning.ie/LimerickCCC/AppFileRefDetails/19970/0</t>
  </si>
  <si>
    <t xml:space="preserve">257007</t>
  </si>
  <si>
    <t xml:space="preserve">€15m - EOD Residential Development</t>
  </si>
  <si>
    <t xml:space="preserve">Extends 19970; units counted on parent</t>
  </si>
  <si>
    <t xml:space="preserve">Extension of Duration of Planning Ref. 19/970: a residential development comprising 92 no. residential units, (2 no. detached houses, 22 no. semi-detached houses, 12 no. terrace houses, 12 no. duplex units and 1 no. 6 storey apartment block over basement, comprised of 44 no. apartments, (with baseme</t>
  </si>
  <si>
    <t xml:space="preserve">https://eplanning.ie/LimerickCCC/AppFileRefDetails/257007/0</t>
  </si>
  <si>
    <t xml:space="preserve">19990</t>
  </si>
  <si>
    <t xml:space="preserve">Partial parse not used (14 units found vs 8 stated): 8x2-bed house, 6x4-bed house</t>
  </si>
  <si>
    <t xml:space="preserve">the change of house types and increase in dwelling units (from 6 to 8) on site no's 24 to 29 inclusive, previously permitted under planning application ref. 16/1196. The change in house type will be from 6 no., 4 bed, semi-detached dwellings (D1 house types) to 8 no. 2-bed, terraced dwellings (new G</t>
  </si>
  <si>
    <t xml:space="preserve">https://eplanning.ie/LimerickCCC/AppFileRefDetails/19990/0</t>
  </si>
  <si>
    <t xml:space="preserve">201195</t>
  </si>
  <si>
    <t xml:space="preserve">€9m - Residential Development, Mungret</t>
  </si>
  <si>
    <t xml:space="preserve">the construction of 66no. residential units comprising 12no. 2-bed semi-detached bungalows, 27 no. 3-bed 2 storey semi-detached/terraced dwelling houses, 18no. 1-bed apartments and 9no. 2-bed apartments, with associated secure bicycle parking and bin storage.  Vehicular access to the proposed develo</t>
  </si>
  <si>
    <t xml:space="preserve">https://eplanning.ie/LimerickCCC/AppFileRefDetails/201195/0</t>
  </si>
  <si>
    <t xml:space="preserve">21532</t>
  </si>
  <si>
    <t xml:space="preserve">€858k - Residential Development, Mungret</t>
  </si>
  <si>
    <t xml:space="preserve">Quinns Cross Roundabout, Mungret Gate, Baunacloka, Mungret</t>
  </si>
  <si>
    <t xml:space="preserve">the construction of supported housing for older people consisting of 7 no. 2 bed single storey units in two terraces of 3 and 4 units arranged around a landscaped central communal courtyard, amendments to parking layout and bin storage previously permitted under planning permission reference 16/1196</t>
  </si>
  <si>
    <t xml:space="preserve">https://eplanning.ie/LimerickCCC/AppFileRefDetails/21532/0</t>
  </si>
  <si>
    <t xml:space="preserve">211217</t>
  </si>
  <si>
    <t xml:space="preserve">€15.2m - Residential Development Mungret</t>
  </si>
  <si>
    <t xml:space="preserve">the construction on Site B of 99no. residential units comprising 10no. 4-bed semi-detached dwellings, 2no. 4-bed detached dwellings, 1no. 4-bed semi-detached dwelling, 30no. 3-bed semi-detached dwellings, 3no. 3-bed terraced dwellings, 2no. 3-bed detached dwellings, 4no. 2-bed terraced dwellings, a </t>
  </si>
  <si>
    <t xml:space="preserve">https://eplanning.ie/LimerickCCC/AppFileRefDetails/211217/0</t>
  </si>
  <si>
    <t xml:space="preserve">211216</t>
  </si>
  <si>
    <t xml:space="preserve">€21m - Residential Development, Mungret</t>
  </si>
  <si>
    <t xml:space="preserve">the construction on Site A of 99no. residential units comprising 4no. 4-bed semi-detached dwellings, 4no. 3-bed terraced dwellings, 38no. 3-bed semi-detached dwellings, 2no. 3-ned detached dwellings, 12no. duplex apartments comprising 24no. 2-bed units, 9no. triplex apartments comprising 19no. 1-bed</t>
  </si>
  <si>
    <t xml:space="preserve">https://eplanning.ie/LimerickCCC/AppFileRefDetails/211216/0</t>
  </si>
  <si>
    <t xml:space="preserve">2460578</t>
  </si>
  <si>
    <t xml:space="preserve">€2.4m - 7 Houses/ Creche</t>
  </si>
  <si>
    <t xml:space="preserve">Partial modification of 211217; units already counted there</t>
  </si>
  <si>
    <t xml:space="preserve">the construction of a two storey crèche (587 sqm) to accommodate 102 no. children and to replace the crèche (320 sqm) permitted under Planning Ref: 16/1196, Appeal Ref: PL91.249186, which was to
accommodate 38 no. children, the construction 7 no. dwellings, which were omitted under Condition No. 3 </t>
  </si>
  <si>
    <t xml:space="preserve">https://eplanning.ie/LimerickCCC/AppFileRefDetails/2460578/0</t>
  </si>
  <si>
    <t xml:space="preserve">191037</t>
  </si>
  <si>
    <t xml:space="preserve">demolition of an existing haybarn and construction of a residential development comprising 6 units (2 block of 3 terrace houses), with site entrance, and all ancillary site development works. Ancillary site development works include a new connection to the public water main, foul and surface water d</t>
  </si>
  <si>
    <t xml:space="preserve">https://eplanning.ie/LimerickCCC/AppFileRefDetails/191037/0</t>
  </si>
  <si>
    <t xml:space="preserve">197025</t>
  </si>
  <si>
    <t xml:space="preserve">Housing Development </t>
  </si>
  <si>
    <t xml:space="preserve">13447</t>
  </si>
  <si>
    <t xml:space="preserve">Extension of Permission for Planning Ref. 13/447: the construction of 12 no. two storey dwelling houses and all associated site works</t>
  </si>
  <si>
    <t xml:space="preserve">https://eplanning.ie/LimerickCCC/AppFileRefDetails/197025/0</t>
  </si>
  <si>
    <t xml:space="preserve">198010</t>
  </si>
  <si>
    <t xml:space="preserve">Partial parse not used (29 units found vs 31 stated): 17x2-bed unit, 12x3-bed unit</t>
  </si>
  <si>
    <t xml:space="preserve">Provision of 31 no. units and 8 no. plots for affordable housing at two separate development locations. The housing typologies are comprised of 7 no. single storey residential units, 18 no. 2 storey residential units, 6 no. apartment units and 8 no. plots for affordable housing. The unit mix compris</t>
  </si>
  <si>
    <t xml:space="preserve">https://eplanning.ie/LimerickCCC/AppFileRefDetails/198010/0</t>
  </si>
  <si>
    <t xml:space="preserve">22990</t>
  </si>
  <si>
    <t xml:space="preserve">€22m - Residential Development, Adare</t>
  </si>
  <si>
    <t xml:space="preserve">Rathkeale Road, Adare</t>
  </si>
  <si>
    <t xml:space="preserve">(1) construction of 74 no. residential units comprising of; (a) 68 no. dwellings consisting of: 4 no. 3 storey 5-bed detached dwellings; ; 9 no. two storey 4-bed detached dwellings; 32 no. two storey 3-bed semi-detached dwellings; 8 no. two storey 4-bed semi detached dwellings 5 no. two storey 4-bed</t>
  </si>
  <si>
    <t xml:space="preserve">https://eplanning.ie/LimerickCCC/AppFileRefDetails/22990/0</t>
  </si>
  <si>
    <t xml:space="preserve">2360793</t>
  </si>
  <si>
    <t xml:space="preserve">€6.1m - Residential Development, Adare</t>
  </si>
  <si>
    <t xml:space="preserve">References 22990 without modification wording (e.g. phase / connection)</t>
  </si>
  <si>
    <t xml:space="preserve">the (1) construction of 28 no. residential units and a creche comprising; (a) 13 no. houses consisting of: 3 no. two storey 4-bed detached houses; 2 no. two storey 4-bed semi-detached houses; 8 no. two storey 3-bed semi-detached houses; (b) 12 no. apartments consisting of: 2 no. single storey 1 bed </t>
  </si>
  <si>
    <t xml:space="preserve">https://eplanning.ie/LimerickCCC/AppFileRefDetails/2360793/0</t>
  </si>
  <si>
    <t xml:space="preserve">2460304</t>
  </si>
  <si>
    <t xml:space="preserve">€6.2m - Residential Development,  Adare</t>
  </si>
  <si>
    <t xml:space="preserve">the development that will consist of: (1) construction of 25 no. residential units comprising 12 no. 3-bed houses and 13no. 4-bed houses; (2) connection to roads and services proposed under Phase 1 (reg. ref 22/990) and Phase 2 (reg. ref 23/60793); (3) landscaping and all associated site development</t>
  </si>
  <si>
    <t xml:space="preserve">https://eplanning.ie/LimerickCCC/AppFileRefDetails/2460304/0</t>
  </si>
  <si>
    <t xml:space="preserve">191184</t>
  </si>
  <si>
    <t xml:space="preserve">the construction of a development of four semi-detached and one detached single story retirement houses and associated site works including slight adjustment to boundaries with neighbouring property</t>
  </si>
  <si>
    <t xml:space="preserve">https://eplanning.ie/LimerickCCC/AppFileRefDetails/191184/0</t>
  </si>
  <si>
    <t xml:space="preserve">2360393</t>
  </si>
  <si>
    <t xml:space="preserve">€604k - 8 Residential Units </t>
  </si>
  <si>
    <t xml:space="preserve">Maypole Crescent, Knocklong</t>
  </si>
  <si>
    <t xml:space="preserve">the construction of 4 No single storey semi-detached elderly/senior living 2 bed dwellings together with associated site works. and outline permission for 4 No two storey 4 bed detached dwellings together with associated site works</t>
  </si>
  <si>
    <t xml:space="preserve">https://eplanning.ie/LimerickCCC/AppFileRefDetails/2360393/0</t>
  </si>
  <si>
    <t xml:space="preserve">20222</t>
  </si>
  <si>
    <t xml:space="preserve">refurbishment of Nos. 35 and 37 Catherine St. Limerick (candidate protected structures) refurbishment of No. 36 Catherine St. Limerick, and their conversion to office space comprising 3 storeys over basement level (c.710m²), the retention and repair of the existing stone arch at No. 34 Catherine St,</t>
  </si>
  <si>
    <t xml:space="preserve">https://eplanning.ie/LimerickCCC/AppFileRefDetails/20222/0</t>
  </si>
  <si>
    <t xml:space="preserve">2561242</t>
  </si>
  <si>
    <t xml:space="preserve">€14.5m - Residential Development, Limerick</t>
  </si>
  <si>
    <t xml:space="preserve">construction of 76 apartments in total, including refurbishment and alterations to Nos. 35 and 37 Catherine St. Limerick (protected structures), refurbishment of and alterations to No. 36 Catherine St. Limerick, their conversion to ground floor one- bedroom apartments with two-bedroom duplex apartme</t>
  </si>
  <si>
    <t xml:space="preserve">https://eplanning.ie/LimerickCCC/AppFileRefDetails/2561242/0</t>
  </si>
  <si>
    <t xml:space="preserve">20466</t>
  </si>
  <si>
    <t xml:space="preserve">development of 6 dwellings, including 3 no. 1 bedroom apartments and 3 no. 2 bedroom duplex units, the demolition of existing warehouse building, landscaping and ancillary works</t>
  </si>
  <si>
    <t xml:space="preserve">https://eplanning.ie/LimerickCCC/AppFileRefDetails/20466/0</t>
  </si>
  <si>
    <t xml:space="preserve">221381</t>
  </si>
  <si>
    <t xml:space="preserve">€2m - 9 Apartments</t>
  </si>
  <si>
    <t xml:space="preserve">Site adjacent to 16 &amp; 17A, Bourke Avenue, Limerick</t>
  </si>
  <si>
    <t xml:space="preserve">the development of 9 one bedroom apartments, the demolition of an existing warehouse building, landscaping and ancillary works</t>
  </si>
  <si>
    <t xml:space="preserve">https://eplanning.ie/LimerickCCC/AppFileRefDetails/221381/0</t>
  </si>
  <si>
    <t xml:space="preserve">ABPREF307631</t>
  </si>
  <si>
    <t xml:space="preserve">An Bord Pleanála inspector's report (unit mix table). Totals match 200 units</t>
  </si>
  <si>
    <t xml:space="preserve">ABP-307631</t>
  </si>
  <si>
    <t xml:space="preserve">200 no. residential units (85 no. houses, 115 no. apartments), construction of 'Greenway' route and associated site works.</t>
  </si>
  <si>
    <t xml:space="preserve">https://www.pleanala.ie/en-ie/case/307631</t>
  </si>
  <si>
    <t xml:space="preserve">211475</t>
  </si>
  <si>
    <t xml:space="preserve">€4.9m - Residential Development, Castletroy</t>
  </si>
  <si>
    <t xml:space="preserve">construction of 23 no. two-storey residential units and associated infrastructure on lands situated adjacent to the 'Carrowkeel' and 'Woodhaven' residential estates and the Castletroy Urban Greenway. The proposed development includes 17 no. terrace and 6 no. semi detached style residential units, as</t>
  </si>
  <si>
    <t xml:space="preserve">https://eplanning.ie/LimerickCCC/AppFileRefDetails/211475/0</t>
  </si>
  <si>
    <t xml:space="preserve">2561323</t>
  </si>
  <si>
    <t xml:space="preserve">€757k - 4 Apartments, Castletroy</t>
  </si>
  <si>
    <t xml:space="preserve">(1) Demolition of an Existing Cottage (eircode V94 X0HA), (2) construction of a 3-storey staff accommodation apartment block consisting of 2no. one bed apartments and 2no. two bed apartments and ancillary bicycle store. (3) alteration to the boundary wall and all ancillary site development works</t>
  </si>
  <si>
    <t xml:space="preserve">https://eplanning.ie/LimerickCCC/AppFileRefDetails/2561323/0</t>
  </si>
  <si>
    <t xml:space="preserve">218000</t>
  </si>
  <si>
    <t xml:space="preserve">development on circa 7.2 hectares of land zoned for development purposes within the Southern Environs Local Area Plan 2011 – 2017 (as extended). The proposed development seeks the construction of 253 no. residential units including 36 no. two bed houses; 110 no. three bed houses; 26 no. four bed hou</t>
  </si>
  <si>
    <t xml:space="preserve">https://eplanning.ie/LimerickCCC/AppFileRefDetails/218000/0</t>
  </si>
  <si>
    <t xml:space="preserve">2561231</t>
  </si>
  <si>
    <t xml:space="preserve">€32.5m - Large Residential Development, Mungret</t>
  </si>
  <si>
    <t xml:space="preserve">a Large-scale Residential Development (LRD) comprising of the construction of 169 no. residential units (comprising of 145 no. houses and 24 no. apartments), 1 no. creche, 1 no. pumping station, 3 no. ESB substations and all associated development works including footpaths, cycle paths, car and bicy</t>
  </si>
  <si>
    <t xml:space="preserve">https://eplanning.ie/LimerickCCC/AppFileRefDetails/2561231/0</t>
  </si>
  <si>
    <t xml:space="preserve">21147</t>
  </si>
  <si>
    <t xml:space="preserve">the demolition of an existing dwelling and for the construction of 8 no. apartment dwellings and 3 no. single storey dwellings, the provision of site entrance, access road, associated car parking, connection to public services including all associated site development works</t>
  </si>
  <si>
    <t xml:space="preserve">https://eplanning.ie/LimerickCCC/AppFileRefDetails/21147/0</t>
  </si>
  <si>
    <t xml:space="preserve">22524</t>
  </si>
  <si>
    <t xml:space="preserve">€529k - 2 Apartments </t>
  </si>
  <si>
    <t xml:space="preserve">Partial modification of 21147; units already counted there</t>
  </si>
  <si>
    <t xml:space="preserve">the amendments to planning permission ref 21/147 namely revisions to the approved Block 2, currently 3 dwelling units with proposed amendments to the design and site layout to provide 2 No. additional apartments increasing Block 2 to 5 apartment/dwelling units including all associated site works, al</t>
  </si>
  <si>
    <t xml:space="preserve">https://eplanning.ie/LimerickCCC/AppFileRefDetails/22524/0</t>
  </si>
  <si>
    <t xml:space="preserve">21531</t>
  </si>
  <si>
    <t xml:space="preserve">construction of thirty-eight terraced and four semi-detached two storey houses and nine single storey retirement houses and 12 apartments in two three storey blocks along with associated site works    </t>
  </si>
  <si>
    <t xml:space="preserve">https://eplanning.ie/LimerickCCC/AppFileRefDetails/21531/0</t>
  </si>
  <si>
    <t xml:space="preserve">2460082</t>
  </si>
  <si>
    <t xml:space="preserve">€1.9m - Apartment Development </t>
  </si>
  <si>
    <t xml:space="preserve">construction of twelve apartments in a single 3-storey block in place of 12 apartments in two 3-storey blocks previously granted planning permission under ref. no. 21-531 and numbered 80-91</t>
  </si>
  <si>
    <t xml:space="preserve">https://eplanning.ie/LimerickCCC/AppFileRefDetails/2460082/0</t>
  </si>
  <si>
    <t xml:space="preserve">Part 8 - 1166187</t>
  </si>
  <si>
    <t xml:space="preserve">218012</t>
  </si>
  <si>
    <t xml:space="preserve">Same Part 8 recorded by CIS under its project number and council file 218012 (55m, same units)</t>
  </si>
  <si>
    <t xml:space="preserve">€2.4m - Residential Development</t>
  </si>
  <si>
    <t xml:space="preserve">Cluain Dara, Broadford</t>
  </si>
  <si>
    <t xml:space="preserve">(phase 1)the provision of 11 no. residential units, consisting of 2 no. 1 bed units, 1 no. 4 bed unit, 6 no. 2 bed units, 2 no. 3 bed units, (phase 2)the provision of 7 no. residential units, consisting of 5 no. 1 bed units, 2 no. 2 bed units, hard landscaping including new footpaths, new entrancewa</t>
  </si>
  <si>
    <t xml:space="preserve">https://eplanning.ie/LimerickCCC/AppFileRefDetails/218012/0</t>
  </si>
  <si>
    <t xml:space="preserve">217025</t>
  </si>
  <si>
    <t xml:space="preserve">15645</t>
  </si>
  <si>
    <t xml:space="preserve">extension of duration for 15/645 for (1) the change of use of the existing Ardhu House from commercial to residential use to provide 4 no. apartments; the removal of single storey extensions to the rear and side of Ardhu House; the removal of a three storey extension to the front of Ardhu House and </t>
  </si>
  <si>
    <t xml:space="preserve">https://eplanning.ie/LimerickCCC/AppFileRefDetails/217025/0</t>
  </si>
  <si>
    <t xml:space="preserve">23557</t>
  </si>
  <si>
    <t xml:space="preserve">€33m - LRD Development, Limerick</t>
  </si>
  <si>
    <t xml:space="preserve">Ardhu House, Ennis Road, Roses Avenue and North Circular Road, Limerick</t>
  </si>
  <si>
    <t xml:space="preserve">Modifies completed 217025; its own units counted</t>
  </si>
  <si>
    <t xml:space="preserve">Large-Scale Residential Development (LRD) Application. Tribeca Asset Management Limited (trading as Tribeca Holdings) intends to apply for planning permission for a Large-Scale Residential Development (LRD) at this site: Ardhu House, Ennis Road, Roses Avenue and North Circular Road, Limerick. Ardhu </t>
  </si>
  <si>
    <t xml:space="preserve">https://eplanning.ie/LimerickCCC/AppFileRefDetails/23557/0</t>
  </si>
  <si>
    <t xml:space="preserve">21835</t>
  </si>
  <si>
    <t xml:space="preserve">demolition of existing derelict retail building, construction of 4 storey apartment block comprising 14 apartments consisting of five one bedroom, eight two bedroom and one three bedroom apartments with car parking, bike parking, storage facilities, laundry facilities and bin storage, upgrading of f</t>
  </si>
  <si>
    <t xml:space="preserve">https://eplanning.ie/LimerickCCC/AppFileRefDetails/21835/0</t>
  </si>
  <si>
    <t xml:space="preserve">2360759</t>
  </si>
  <si>
    <t xml:space="preserve">€1.4m - Retail Units/Apartments</t>
  </si>
  <si>
    <t xml:space="preserve">Canal Bank, ( off Saint Lelia Street ), Limerick</t>
  </si>
  <si>
    <t xml:space="preserve">the demolition of boundary walls and outbuildings and part demolish existing derelict dwelling house, on our site at Canal Bank ( off Saint Lelia Street ), Limerick and to construct the following development; Ground Floor Level: 2 number Retail Units with services, Residential Storage rooms, Bin Sto</t>
  </si>
  <si>
    <t xml:space="preserve">https://eplanning.ie/LimerickCCC/AppFileRefDetails/2360759/0</t>
  </si>
  <si>
    <t xml:space="preserve">211598</t>
  </si>
  <si>
    <t xml:space="preserve">A) demolition of an existing derelict building comprising of No. 48-50 Parnell Street; B) construct a 6 storey mixed use development in one block with part ground floor commercial consisting of 2 no. retail units(204m2) and the remainder (part ground and all upper floors) to consist of a build to re</t>
  </si>
  <si>
    <t xml:space="preserve">https://eplanning.ie/LimerickCCC/AppFileRefDetails/211598/0</t>
  </si>
  <si>
    <t xml:space="preserve">2560546</t>
  </si>
  <si>
    <t xml:space="preserve">€7m - Residential/Commercial Development, Limerick</t>
  </si>
  <si>
    <t xml:space="preserve">47 - 50 Parnell Street, Limerick City</t>
  </si>
  <si>
    <t xml:space="preserve">(a) demolition of an existing two storey building at No. 47 Parnell Street and (b) to construct a 6 Storey Mixed Use Development in a single block with part ground floor commercial consisting of 2 No. Retail units (409m2) and the remainder (part ground floor and all upper floors) to consist of a  re</t>
  </si>
  <si>
    <t xml:space="preserve">https://eplanning.ie/LimerickCCC/AppFileRefDetails/2560546/0</t>
  </si>
  <si>
    <t xml:space="preserve">211800</t>
  </si>
  <si>
    <t xml:space="preserve">a housing development in the townland of Clonconane, between Old Cratloe Road(L3102) and Pass(Meelick) Road, Limerick.  The development will consist of 99 dwelling units comprising of the following: 12no. type A - 4 bedroom, two storey semi detached; 16 no. type B - 4 bedroom, two storey semi detach</t>
  </si>
  <si>
    <t xml:space="preserve">https://eplanning.ie/LimerickCCC/AppFileRefDetails/211800/0</t>
  </si>
  <si>
    <t xml:space="preserve">22917</t>
  </si>
  <si>
    <t xml:space="preserve">€3.6m - Mixed Use Development, Limerick</t>
  </si>
  <si>
    <t xml:space="preserve">Townland of Clonconane, between Old Cratloe Road(L3102) and Pass(Meelick) Road, Limerick</t>
  </si>
  <si>
    <t xml:space="preserve">the construction of 12 residential units comprising of the following: 4 no. 2storey, 3 bed, end of terrace units and 2 no. 2 storey 4 bed, semi-detached units. Planning permission is also sought for the following; block A consisting of a coffee shop(207.2sq. m.), retail unit 01(76.2sq. m.), retail u</t>
  </si>
  <si>
    <t xml:space="preserve">https://eplanning.ie/LimerickCCC/AppFileRefDetails/22917/0</t>
  </si>
  <si>
    <t xml:space="preserve">22959</t>
  </si>
  <si>
    <t xml:space="preserve">€20m - Residential Development, Limerick.</t>
  </si>
  <si>
    <t xml:space="preserve">Townland of Clonconane, between Old Cratloe Road(L3102) and Pass(Meelick) Road, Limerick.</t>
  </si>
  <si>
    <t xml:space="preserve">the construction of 98 residential units comprising of the following: 46 no. 2 storey, 4 bed, semi-detached units; 42 no. 2 storey, 3 bedroom semi detached units: 6 no. single storey, 2 bed, end of terrace units and 4 no. single storey 2 bed, mid terrace units.  Installation of all necessary and ass</t>
  </si>
  <si>
    <t xml:space="preserve">https://eplanning.ie/LimerickCCC/AppFileRefDetails/22959/0</t>
  </si>
  <si>
    <t xml:space="preserve">221114</t>
  </si>
  <si>
    <t xml:space="preserve">€12.2m - Residential Development, Limerick</t>
  </si>
  <si>
    <t xml:space="preserve">the construction of 54 residential units comprising of the following: 30 No. 3 storey, 5 bed, semi-detached units; 2 No. 2 storey, 4 bed, semi-detached units; 14 No. 2 storey, 3 bed, semi-detached units; 4 No. single storey, 2 bed, end of terrace units and 4 No. single storey 2 bed, mid terrace unit</t>
  </si>
  <si>
    <t xml:space="preserve">https://eplanning.ie/LimerickCCC/AppFileRefDetails/221114/0</t>
  </si>
  <si>
    <t xml:space="preserve">2460032</t>
  </si>
  <si>
    <t xml:space="preserve">€18.9m - Residential Development, Old Cratloe Road</t>
  </si>
  <si>
    <t xml:space="preserve">Clonconane, Old Cratloe Road</t>
  </si>
  <si>
    <t xml:space="preserve">the construction of 99 no. residential units comprising of the following: 42 No. 2 storey, 3 bed, semi-detached units; 36 No. 2 storey, 4 bed, semi-detached units; 4 No.2 storey 4 bed detached units; 1 No. 2 storey, 3 bed detached unit and 2 no. blocks of 2 storey apartment units comprising 8 No. 1 </t>
  </si>
  <si>
    <t xml:space="preserve">https://eplanning.ie/LimerickCCC/AppFileRefDetails/2460032/0</t>
  </si>
  <si>
    <t xml:space="preserve">22368</t>
  </si>
  <si>
    <t xml:space="preserve">2360025 (26/01/2023, Granted on appeal, 21 units, in CIS)</t>
  </si>
  <si>
    <t xml:space="preserve">a residential development comprising a five storey apartment block consisting of 21 apartments, a storage building consisting of bin, bike and lock up stores and all ancillary site development works to include connections to the public water main, foul and surface water drainage, access roads, footp</t>
  </si>
  <si>
    <t xml:space="preserve">https://eplanning.ie/LimerickCCC/AppFileRefDetails/22368/0</t>
  </si>
  <si>
    <t xml:space="preserve">2360025</t>
  </si>
  <si>
    <t xml:space="preserve">€3.8m - Apartment Development, Limerick</t>
  </si>
  <si>
    <t xml:space="preserve">Junction of the Childers Road /Greenfield Road, Rosbrien, Limerick (Townland of Ballinacurragh Weston), County Limerick</t>
  </si>
  <si>
    <t xml:space="preserve">a residential development comprising a four-storey apartment block consisting of 21 apartments, storage for bins, bikes and lock ups and all ancillary site development works to include connections to the public water main, foul and surface water drainage, access roads, footpaths, vehicle parking, la</t>
  </si>
  <si>
    <t xml:space="preserve">https://eplanning.ie/LimerickCCC/AppFileRefDetails/2360025/0</t>
  </si>
  <si>
    <t xml:space="preserve">Tuath Housing Association</t>
  </si>
  <si>
    <t xml:space="preserve">228016</t>
  </si>
  <si>
    <t xml:space="preserve">the construction of a 5 storey apartment building consisting of a total of 36 no. apartments comprising 11 no. 1-bed and 25 no. 2-bed apartments, ESB sub-station, switch room, bin store, bicycle store, landscaped communal private garden area, external water tank &amp; heat pump units, underground attenu</t>
  </si>
  <si>
    <t xml:space="preserve">https://eplanning.ie/LimerickCCC/AppFileRefDetails/228016/0</t>
  </si>
  <si>
    <t xml:space="preserve">Part 8 - 1246291</t>
  </si>
  <si>
    <t xml:space="preserve">€5m - Social Housing Devleopment, Speaker's Corner</t>
  </si>
  <si>
    <t xml:space="preserve">Speaker's Corner, Lower Careys Road</t>
  </si>
  <si>
    <t xml:space="preserve">Same Part 8 recorded by CIS under its project number and council file 228016 (31m, same units)</t>
  </si>
  <si>
    <t xml:space="preserve">221352</t>
  </si>
  <si>
    <t xml:space="preserve">a residential development of 17 No. houses comprising of detached, semi-detached, and terraced dwelling houses. The proposed accommodation will consist of 2 No. 4 Bedroom single storey detached houses, 2 No. 3 Bedroom single storey detached houses, 6 No. 3 bedroom two storey semi-detached houses, 4 </t>
  </si>
  <si>
    <t xml:space="preserve">https://eplanning.ie/LimerickCCC/AppFileRefDetails/221352/0</t>
  </si>
  <si>
    <t xml:space="preserve">CALF Construction</t>
  </si>
  <si>
    <t xml:space="preserve">Clúid Housing</t>
  </si>
  <si>
    <t xml:space="preserve">Q1-2025</t>
  </si>
  <si>
    <t xml:space="preserve">2260015</t>
  </si>
  <si>
    <t xml:space="preserve">€1.8m - 8 Houses </t>
  </si>
  <si>
    <t xml:space="preserve">Dromsally Woods, Main Street, Turagh, Cappamore</t>
  </si>
  <si>
    <t xml:space="preserve">2461101</t>
  </si>
  <si>
    <t xml:space="preserve">Replaced by 2461101</t>
  </si>
  <si>
    <t xml:space="preserve">the construction of 6 houses and associated siteworks, at Dromsally Woods, Main Street, Turagh, Cappamore. There are 41 dwellings in the existing estate and the proposed houses are numbers 42-47 Dromsally Woods</t>
  </si>
  <si>
    <t xml:space="preserve">https://eplanning.ie/LimerickCCC/AppFileRefDetails/2260015/0</t>
  </si>
  <si>
    <t xml:space="preserve">€1.4m - 7 Houses</t>
  </si>
  <si>
    <t xml:space="preserve">Modifies 2260015 and restates the scheme</t>
  </si>
  <si>
    <t xml:space="preserve">the construction of 7 no 2-storey houses, alterations and extension to the estate road, connection to the public sewer &amp; all services together with associated site works including parking, green areas, walls and footpaths. There is a valid Planning Permission on this site for 6 houses under planning</t>
  </si>
  <si>
    <t xml:space="preserve">https://eplanning.ie/LimerickCCC/AppFileRefDetails/2461101/0</t>
  </si>
  <si>
    <t xml:space="preserve">221367</t>
  </si>
  <si>
    <t xml:space="preserve">the demolition of a non-historic single storey over basement extension, walls and railings, the removal of non-original internal walls and partitions at ground floor level, the removal of original windows, internal walls and fireplaces at ground, first and second floor levels and 2 no. chimneys and </t>
  </si>
  <si>
    <t xml:space="preserve">https://eplanning.ie/LimerickCCC/AppFileRefDetails/221367/0</t>
  </si>
  <si>
    <t xml:space="preserve">Part 8 - 1264155</t>
  </si>
  <si>
    <t xml:space="preserve">€590k - Residential Development / Living Georgian Project, 58 O’Connell Street</t>
  </si>
  <si>
    <t xml:space="preserve">58 O'Connell Street, Limerick</t>
  </si>
  <si>
    <t xml:space="preserve">228023</t>
  </si>
  <si>
    <t xml:space="preserve">UNCONDITIONAL</t>
  </si>
  <si>
    <t xml:space="preserve">the proposed Development consists of a change of use from single house to apartments and remodeling of the existing four-storey-over-basement Georgian terraced house at No. 33 Thomas Street to provide 5no. one[1]bedroom apartments. The material alterations, repairs and renewals proposed to No.33 Tho</t>
  </si>
  <si>
    <t xml:space="preserve">https://eplanning.ie/LimerickCCC/AppFileRefDetails/228023/0</t>
  </si>
  <si>
    <t xml:space="preserve">Part 8  - 1264154</t>
  </si>
  <si>
    <t xml:space="preserve">€2.1m - Infill Residential / Living Georgian Project, 33 &amp; 34 Thomas Street</t>
  </si>
  <si>
    <t xml:space="preserve">Same Part 8 recorded by CIS under its project number and council file 228023 (7m, same units)</t>
  </si>
  <si>
    <t xml:space="preserve">2560595</t>
  </si>
  <si>
    <t xml:space="preserve">€819k - 6 Apartments</t>
  </si>
  <si>
    <t xml:space="preserve">30 &amp; 31 Thomas Street, Limerick City</t>
  </si>
  <si>
    <t xml:space="preserve">6 No. 1 bed apartments and one office unit including the Change of Use from commercial to residential on 5 floors, an extra 4th floor with an apartment to No. 31, the conversion of the basement of No. 31 to an apartment, New windows and an office to the basement of No. 30, a 2nd &amp; 3rd floor extensio</t>
  </si>
  <si>
    <t xml:space="preserve">https://eplanning.ie/LimerickCCC/AppFileRefDetails/2560595/0</t>
  </si>
  <si>
    <t xml:space="preserve">2360546</t>
  </si>
  <si>
    <t xml:space="preserve">the demolition of two derelict houses (National Inventory Architectural Heritage Ref No: 21814015),demolish two derelict commercial units, to construct two semi-detached dwellings and also a detached apartment block with two apartments together with associated site works</t>
  </si>
  <si>
    <t xml:space="preserve">https://eplanning.ie/LimerickCCC/AppFileRefDetails/2360546/0</t>
  </si>
  <si>
    <t xml:space="preserve">2360798</t>
  </si>
  <si>
    <t xml:space="preserve">€1.2m - 6 Houses </t>
  </si>
  <si>
    <t xml:space="preserve">Modifies completed 2360546; its own units counted</t>
  </si>
  <si>
    <t xml:space="preserve">the demolition of existing commercial unit and construct 6 No two bedroom Senior living Houses, modify Western boundary of the previously granted planning permission Ref No 23/60546 and provide 2 No off street parking spaces and a pedestrian entrance to the rear of existing dwelling and all associat</t>
  </si>
  <si>
    <t xml:space="preserve">https://eplanning.ie/LimerickCCC/AppFileRefDetails/2360798/0</t>
  </si>
  <si>
    <t xml:space="preserve">2460004</t>
  </si>
  <si>
    <t xml:space="preserve">a change of use from former commercial/office use building to 3 No. ‘own door’ apartment dwelling units. The proposed works will include a ground floor single storey extension to the rear including all necessary building alterations and refurbishments including the removal of an existing bay window </t>
  </si>
  <si>
    <t xml:space="preserve">https://eplanning.ie/LimerickCCC/AppFileRefDetails/2460004/0</t>
  </si>
  <si>
    <t xml:space="preserve">2460020</t>
  </si>
  <si>
    <t xml:space="preserve">€200k - Change of Use to 8 Apartments </t>
  </si>
  <si>
    <t xml:space="preserve">31 and 32 Cecil Street, Limerick City</t>
  </si>
  <si>
    <t xml:space="preserve">development at 31 Cecil Street &amp; 32 Cecil street, (Protected Structure), corner of Catherine Street, Limerick City, Co. Limerick. The development consists of the change of use of the two buildings from existing office use to residential use consisting of 7 one bed apartments and 1 two bed apartment </t>
  </si>
  <si>
    <t xml:space="preserve">https://eplanning.ie/LimerickCCC/AppFileRefDetails/2460020/0</t>
  </si>
  <si>
    <t xml:space="preserve">248161</t>
  </si>
  <si>
    <t xml:space="preserve">Part 8 - 1371977</t>
  </si>
  <si>
    <t xml:space="preserve">Replaced by Part 8 - 1371977</t>
  </si>
  <si>
    <t xml:space="preserve">€3.4m - Residential Development</t>
  </si>
  <si>
    <t xml:space="preserve">Repeat of 248161 (83% text match, units 20→20)</t>
  </si>
  <si>
    <t xml:space="preserve">2560425</t>
  </si>
  <si>
    <t xml:space="preserve">€4.4m - Apartment Development </t>
  </si>
  <si>
    <t xml:space="preserve">A) demolition of existing derelict dwelling house, B) Construct 24 No. Apartments within a 4 storey building, C) Construct a detached ancillary single storage building &amp; bin store building, D) provision of bicycle storage area, E) Signage, F) Construct new car park and upgrading existing entrance, n</t>
  </si>
  <si>
    <t xml:space="preserve">https://eplanning.ie/LimerickCCC/AppFileRefDetails/2560425/0</t>
  </si>
  <si>
    <t xml:space="preserve">Part 8 / 1033981</t>
  </si>
  <si>
    <t xml:space="preserve">Latest upstream CIS export</t>
  </si>
  <si>
    <t xml:space="preserve">19149</t>
  </si>
  <si>
    <t xml:space="preserve">conversion/change of use from three storey convent building to accommodate 20 no. assisted living apartments and associated care/support facilities. The proposed works consist of the following: the provision of a new entrance roadway to the east side onto main street, removal of later 20th century e</t>
  </si>
  <si>
    <t xml:space="preserve">https://eplanning.ie/LimerickCCC/AppFileRefDetails/19149/0</t>
  </si>
  <si>
    <t xml:space="preserve">Ballyhoura Rural Services CLG</t>
  </si>
  <si>
    <t xml:space="preserve">Stage 3 Pre-Tender Design</t>
  </si>
  <si>
    <t xml:space="preserve">Q2-2024</t>
  </si>
  <si>
    <t xml:space="preserve">19302</t>
  </si>
  <si>
    <t xml:space="preserve">change of use of the existing Communal Building/Offices to 7 no. residential apartments (2 no. 2 bed &amp; 5 no. 1 bed). This will include an increase in the floor area to the building and elevational changes as well as reconfiguring the adjacent green area to provide additional parking spaces and all a</t>
  </si>
  <si>
    <t xml:space="preserve">https://eplanning.ie/LimerickCCC/AppFileRefDetails/19302/0</t>
  </si>
  <si>
    <t xml:space="preserve">21364</t>
  </si>
  <si>
    <t xml:space="preserve">KPMG audit (CIS record missing from our exports)</t>
  </si>
  <si>
    <t xml:space="preserve">demolition of existing detached dwelling and ancillary outbuilding to rear, permission to construct 12no. dwellings comprised of the following:1no. detached dormer bungalow, 2no. two storey semi-detached dwellings and 9no. two storey terraced dwellings.  The proposed works to include new site entran</t>
  </si>
  <si>
    <t xml:space="preserve">https://eplanning.ie/LimerickCCC/AppFileRefDetails/21364/0</t>
  </si>
  <si>
    <t xml:space="preserve">21580</t>
  </si>
  <si>
    <t xml:space="preserve">a residential development comprising 55 no. residential units(4 no. 2 storey 2-bedroom semi-detached houses, 42 no. duplex units in four 3 storey blocks with 1 &amp; 2 bed apartments on the ground floor and 3-bedroom houses over, 9 no. 2 storey 3-bedroom terrace houses in two blocks), demolition of an e</t>
  </si>
  <si>
    <t xml:space="preserve">https://eplanning.ie/LimerickCCC/AppFileRefDetails/21580/0</t>
  </si>
  <si>
    <t xml:space="preserve">21594</t>
  </si>
  <si>
    <t xml:space="preserve">the construction of 68no. residential units comprising of 44no. houses and 24no. apartments, all two storeys in height.  The units proposed are a mix of 1,2,3 and 4 bedroomed units(12x1 bed, 23x2 bed, 25x3 bed and 8x4 bed) on a site spanning 2.794 hectares.  Permission is sought for the development </t>
  </si>
  <si>
    <t xml:space="preserve">https://eplanning.ie/LimerickCCC/AppFileRefDetails/21594/0</t>
  </si>
  <si>
    <t xml:space="preserve">21630</t>
  </si>
  <si>
    <t xml:space="preserve">demolition of an existing dwelling house and garage, construction of a residential development comprising 51 no. residential units(5 no. detached dwellings, 34 no. semi-detached houses, 12 no. terrace houses), accessed off the new Croom Distributor Road between the Old Cork Road and the Crecora Road</t>
  </si>
  <si>
    <t xml:space="preserve">https://eplanning.ie/LimerickCCC/AppFileRefDetails/21630/0</t>
  </si>
  <si>
    <t xml:space="preserve">Part 8 - 1212017</t>
  </si>
  <si>
    <t xml:space="preserve">Same Part 8 recorded by CIS under its project number and council file 228000 (79m, same units)</t>
  </si>
  <si>
    <t xml:space="preserve">22471</t>
  </si>
  <si>
    <t xml:space="preserve">the construction of 21 no. dwellings comprised of the following: 1 no. two storey detached dwelling, 14 no. two storey semi-detached dwellings, 3 no. terraced two storey dwellings, 1 no. detached dormer bungalow and 2 no. semi-detached dormer bungalows. The proposed works to include new footpath con</t>
  </si>
  <si>
    <t xml:space="preserve">https://eplanning.ie/LimerickCCC/AppFileRefDetails/22471/0</t>
  </si>
  <si>
    <t xml:space="preserve">22793</t>
  </si>
  <si>
    <t xml:space="preserve">the demolition of existing derelict warehouse building. The construction of a 20 unit, 4 storey apartment block comprising of 10 No. 1 bedroom and 10 No. 2 bedroom apartments, new vehicular and pedestrian entrance off Kilmurry Road &amp; pedestrian entrance access to Dublin Road, stand-alone single stor</t>
  </si>
  <si>
    <t xml:space="preserve">https://eplanning.ie/LimerickCCC/AppFileRefDetails/22793/0</t>
  </si>
  <si>
    <t xml:space="preserve">221003</t>
  </si>
  <si>
    <t xml:space="preserve">the construction of a 5-storey over semi-basement apartment building, providing 29 apartments, 10 car-parking spaces with level access from Cogan Street, bicycle store, equipment store, bin storage and ancillary works</t>
  </si>
  <si>
    <t xml:space="preserve">https://eplanning.ie/LimerickCCC/AppFileRefDetails/221003/0</t>
  </si>
  <si>
    <t xml:space="preserve">221107</t>
  </si>
  <si>
    <t xml:space="preserve">the (a) demolition of an existing 2 storey retail building &amp; road boundary walls and (b) construction of a 5 Storey Mixed Use Development in one block with part ground floor commercial consisting of 1 No. Retail unit and the upper floors to consist of a Build to Rent (BTR) Residential development wi</t>
  </si>
  <si>
    <t xml:space="preserve">https://eplanning.ie/LimerickCCC/AppFileRefDetails/221107/0</t>
  </si>
  <si>
    <t xml:space="preserve">2360144</t>
  </si>
  <si>
    <t xml:space="preserve">Planner's report (unit-by-unit schedule). All 41 units listed as 3-bed</t>
  </si>
  <si>
    <t xml:space="preserve">a Residential Development of 41 No dwellings to include for 26 No semi detached dwellings, 3 No detached dwellings, 12 No Terraced Dwellings, entrance, access roads, associated parking, foul and surface water drainage infrastructure and all ancillary site works. Full Planning Permission for an after</t>
  </si>
  <si>
    <t xml:space="preserve">https://eplanning.ie/LimerickCCC/AppFileRefDetails/2360144/0</t>
  </si>
  <si>
    <t xml:space="preserve">2360150</t>
  </si>
  <si>
    <t xml:space="preserve">the combining, altering and extension of the existing two three-storey over basement buildings to form a twenty-four unit apartment development consisting of thirteen one-bedroom apartments and eleven two-bedroom apartments. The proposals involve the restoration/ refurbishment of the existing front </t>
  </si>
  <si>
    <t xml:space="preserve">https://eplanning.ie/LimerickCCC/AppFileRefDetails/2360150/0</t>
  </si>
  <si>
    <t xml:space="preserve">2360541</t>
  </si>
  <si>
    <t xml:space="preserve">2460468 (17/05/2024, Granted, 12 units, in CIS)</t>
  </si>
  <si>
    <t xml:space="preserve">the construction of a total of 15 no. dwellings comprising 4no. detached houses, 8no. semi-detached houses and 3no. terraced houses. This application also includes for all associated siteworks and connections to public services</t>
  </si>
  <si>
    <t xml:space="preserve">https://eplanning.ie/LimerickCCC/AppFileRefDetails/2360541/0</t>
  </si>
  <si>
    <t xml:space="preserve">2360703</t>
  </si>
  <si>
    <t xml:space="preserve">development that will consist of: (1) The partial demolition of 1895sq.m of a building currently in use as the South Court Hotel and the construction of a 6 no. storey, 2 no. basement (a total of 8 levels) mixed use development on a 0.935ha site, which will be comprised of the following: (a) 84 no. </t>
  </si>
  <si>
    <t xml:space="preserve">https://eplanning.ie/LimerickCCC/AppFileRefDetails/2360703/0</t>
  </si>
  <si>
    <t xml:space="preserve">2360780</t>
  </si>
  <si>
    <t xml:space="preserve">2560156 (25/02/2025, Granted on appeal, 63 units, in CIS)</t>
  </si>
  <si>
    <t xml:space="preserve">A residential development comprising 61 no. residential units, (10 no. detached houses, 48 no. semi-detached houses, 3 no. terrace houses), new entrance onto the existing R526 road and all ancillary site development works on lands at Barnakyle, Patrickswell, Co. Limerick. Ancillary site development </t>
  </si>
  <si>
    <t xml:space="preserve">https://eplanning.ie/LimerickCCC/AppFileRefDetails/2360780/0</t>
  </si>
  <si>
    <t xml:space="preserve">Part 8 - 1316160</t>
  </si>
  <si>
    <t xml:space="preserve">2360842</t>
  </si>
  <si>
    <t xml:space="preserve">a Large-Scale Residential Development (LRD) at this site: Golf Links Road, Newtown, Monaleen, Co. Limerick. The development will consist of the provision of 122 residential house and apartment units on a site of 3.2ha. The site is generally greenfield land with one existing residential dwelling (119</t>
  </si>
  <si>
    <t xml:space="preserve">https://eplanning.ie/LimerickCCC/AppFileRefDetails/2360842/0</t>
  </si>
  <si>
    <t xml:space="preserve">2460028</t>
  </si>
  <si>
    <t xml:space="preserve">the construction of a development consisting of 10 No. Single storey housing units laid out in 2 Blocks of 5 Units, access road, car parking, hard and soft landscaping, retaining walls, bin storage with connection to public sewers, all public utility services along with all associated site works</t>
  </si>
  <si>
    <t xml:space="preserve">https://eplanning.ie/LimerickCCC/AppFileRefDetails/2460028/0</t>
  </si>
  <si>
    <t xml:space="preserve">Glin Homes for the Elderly Ltd</t>
  </si>
  <si>
    <t xml:space="preserve">2460046</t>
  </si>
  <si>
    <t xml:space="preserve">the demolition of an existing two-storey vacant petrol station, commercial premises and vehicle maintenance building and construction of 4 no. two-storey two-bedroom terraced dwellings and 3 no. single-storey one-bedroom terraced dwellings, works to the site boundaries and ancillary site works</t>
  </si>
  <si>
    <t xml:space="preserve">https://eplanning.ie/LimerickCCC/AppFileRefDetails/2460046/0</t>
  </si>
  <si>
    <t xml:space="preserve">2460555</t>
  </si>
  <si>
    <t xml:space="preserve">the construction of 6no. two storey, detached houses and all associated  site development works</t>
  </si>
  <si>
    <t xml:space="preserve">https://eplanning.ie/LimerickCCC/AppFileRefDetails/2460555/0</t>
  </si>
  <si>
    <t xml:space="preserve">2460633</t>
  </si>
  <si>
    <t xml:space="preserve">a mixed use, residential led development at High Street &amp; Pikes Row, Limerick City. The proposed development will consist of: the demolition of 2 No. existing mews structures, the retention of existing ESB Sub-Station, the development of a 5-Storey building; compromising of 15 No. residential units,</t>
  </si>
  <si>
    <t xml:space="preserve">https://eplanning.ie/LimerickCCC/AppFileRefDetails/2460633/0</t>
  </si>
  <si>
    <t xml:space="preserve">2660575</t>
  </si>
  <si>
    <t xml:space="preserve">FURTHER INFORMATION</t>
  </si>
  <si>
    <t xml:space="preserve">the demolition of the former Olympic Ballroom and the construction of two blocks of one to three storeys. Each proposed block contains 15 no. Apartments giving 30 no. apartments in total comprising 20 no. One Bedroom Apartments at ground floor level and 10 no. Two Bedroom Duplex Apartments at first </t>
  </si>
  <si>
    <t xml:space="preserve">https://eplanning.ie/LimerickCCC/AppFileRefDetails/2660575/0</t>
  </si>
  <si>
    <t xml:space="preserve">2460864</t>
  </si>
  <si>
    <t xml:space="preserve">the demolition of an existing shed and construction of a residential development comprising 15 no. residential units, (1 renovation of an existing detached dwelling, 1 detached dwelling, 2 no. semi-detached dwellings, 3 no. terrace houses, 4 no. one bed apartments with 4 no. duplex units over), alte</t>
  </si>
  <si>
    <t xml:space="preserve">https://eplanning.ie/LimerickCCC/AppFileRefDetails/2460864/0</t>
  </si>
  <si>
    <t xml:space="preserve">Part 8 - 1364960</t>
  </si>
  <si>
    <t xml:space="preserve">248153</t>
  </si>
  <si>
    <t xml:space="preserve">Same Part 8 recorded by CIS under its project number and council file 248153 (3m, same units)</t>
  </si>
  <si>
    <t xml:space="preserve">2460977</t>
  </si>
  <si>
    <t xml:space="preserve">a residential development comprising 62 no. residential units, (4 no. detached houses, 58 no. semi-detached houses), new entrance onto the existing R526 road and all ancillary site development works on lands at Barnakyle, Patrickswell, Co. Limerick. Ancillary site development works include a new con</t>
  </si>
  <si>
    <t xml:space="preserve">https://eplanning.ie/LimerickCCC/AppFileRefDetails/2460977/0</t>
  </si>
  <si>
    <t xml:space="preserve">2461115</t>
  </si>
  <si>
    <t xml:space="preserve">a residential development comprising 58 no. apartments in 2no. five storey blocks, Change of use and renovation of Loughmore House, which is a protected structure (RPS registration no. 1672) to a community building, demolition of fire damaged workshop building including removal of concrete apron and</t>
  </si>
  <si>
    <t xml:space="preserve">https://eplanning.ie/LimerickCCC/AppFileRefDetails/2461115/0</t>
  </si>
  <si>
    <t xml:space="preserve">Part 8 - 1378081</t>
  </si>
  <si>
    <t xml:space="preserve">Part 8 - 1378805</t>
  </si>
  <si>
    <t xml:space="preserve">2560151</t>
  </si>
  <si>
    <t xml:space="preserve">a residential development comprising 31no. residential units, (1no. detached house, 6no. semi-detached houses, 14no. terrace houses, 10no. duplex units in a 3 storey block), construction of all associated roads, site entrance, boundary treatments, footpaths, car parking, street lighting, demolition </t>
  </si>
  <si>
    <t xml:space="preserve">https://eplanning.ie/LimerickCCC/AppFileRefDetails/2560151/0</t>
  </si>
  <si>
    <t xml:space="preserve">2560169</t>
  </si>
  <si>
    <t xml:space="preserve">(a) Demolish an existing derelict retail building and (b) to construct a six-storey mixed use retail and residential development consisting of one block with part of ground floor containing two no. retail units and the remainder of ground floor and upper floors incorporating a residential apartment </t>
  </si>
  <si>
    <t xml:space="preserve">https://eplanning.ie/LimerickCCC/AppFileRefDetails/2560169/0</t>
  </si>
  <si>
    <t xml:space="preserve">2560382</t>
  </si>
  <si>
    <t xml:space="preserve">Register: refused</t>
  </si>
  <si>
    <t xml:space="preserve">Refused</t>
  </si>
  <si>
    <t xml:space="preserve">construction of 9 no residential units comprising 5 no terraced houses, 2 no duplex units and 2 no apartments bin storage vehicle and bicycle parking reduction of site levels connection to public services new entrance, boundary treatments and ancillary site works
</t>
  </si>
  <si>
    <t xml:space="preserve">https://eplanning.ie/LimerickCCC/AppFileRefDetails/2560382/0</t>
  </si>
  <si>
    <t xml:space="preserve">2560540</t>
  </si>
  <si>
    <t xml:space="preserve">(a) Demolish an existing warehouse building and (b) to construct a residential apartment scheme ranging from five to six storeys and incorporating 25 No. one bedroom apartments and 23 No. two bedroom apartments, with a total of 48 No. apartments. The proposed block to incorporate secure internal bic</t>
  </si>
  <si>
    <t xml:space="preserve">https://eplanning.ie/LimerickCCC/AppFileRefDetails/2560540/0</t>
  </si>
  <si>
    <t xml:space="preserve">2560780</t>
  </si>
  <si>
    <t xml:space="preserve">a Large-Scale Residential Development on a site of approx. 1.26 ha at the ‘Former Limerick Gasworks Site’, Dock Road, Limerick, Co. Limerick (V94 AE00). The subject site contains a Freestanding Wall (A Protected Structure RPS No. 3326) and is generally bounded by Dock Road to the north; the Power St</t>
  </si>
  <si>
    <t xml:space="preserve">https://eplanning.ie/LimerickCCC/AppFileRefDetails/2560780/0</t>
  </si>
  <si>
    <t xml:space="preserve">2560778</t>
  </si>
  <si>
    <t xml:space="preserve">the construction of 9 no. dwelling houses, comprising 3 no. pairs of semi-detached  2storey houses (6 units) and 1 terrace of 3 no. 2storey houses (3 units), a new entrance from the public road, connections to the public sewer and all services, together with all associated site development works inc</t>
  </si>
  <si>
    <t xml:space="preserve">https://eplanning.ie/LimerickCCC/AppFileRefDetails/2560778/0</t>
  </si>
  <si>
    <t xml:space="preserve">PT8LL277</t>
  </si>
  <si>
    <t xml:space="preserve">Stage 2 Pre-Planning</t>
  </si>
  <si>
    <t xml:space="preserve">Q3-2025</t>
  </si>
  <si>
    <t xml:space="preserve">PT8LL283</t>
  </si>
  <si>
    <t xml:space="preserve">Q2-2025</t>
  </si>
  <si>
    <t xml:space="preserve">258297</t>
  </si>
  <si>
    <t xml:space="preserve">the demolition of the existing unfinished structures (12 no. dwellings) and the erection and development of 12 no. residential units comprising 10 no. two-storey, 3 bed, semi-detached units and 2 no. single-storey, semi-detached pair 1 no. 2 bed and 1 no. 3 bed. The proposal includes; the completion</t>
  </si>
  <si>
    <t xml:space="preserve">https://eplanning.ie/LimerickCCC/AppFileRefDetails/258297/0</t>
  </si>
  <si>
    <t xml:space="preserve">2561192</t>
  </si>
  <si>
    <t xml:space="preserve">a change of use and redevelopment of St Philomena’s (former School) from Community Church / Education use to Student Accommodation use which will comprise 4 no. 1 bed apartments and 6 no. studio apartments within the footprint of the existing buildings.
	The proposed development includes the follow</t>
  </si>
  <si>
    <t xml:space="preserve">https://eplanning.ie/LimerickCCC/AppFileRefDetails/2561192/0</t>
  </si>
  <si>
    <t xml:space="preserve">Pre Planning</t>
  </si>
  <si>
    <t xml:space="preserve">2561211</t>
  </si>
  <si>
    <t xml:space="preserve">the demolition of one single storey terraced dwelling house and one adjacent two storey terraced dwelling house and the construction of a two storey apartment building facing Bishop Street, and two further two storey apartment buildings, one in the centre of the site and one to the rear of the site </t>
  </si>
  <si>
    <t xml:space="preserve">https://eplanning.ie/LimerickCCC/AppFileRefDetails/2561211/0</t>
  </si>
  <si>
    <t xml:space="preserve">PT8LL327</t>
  </si>
  <si>
    <t xml:space="preserve">258327</t>
  </si>
  <si>
    <t xml:space="preserve">Same Part 8 recorded by CIS under its project number and council file 258327 (33m, same units)</t>
  </si>
  <si>
    <t xml:space="preserve">a) the construction of a 3-5 storey building, to include 30 no. apartment units (9 co. studio units, 7 no. 1 bedroom units, 10 no. 2 bedroom units, and 4 no. 3 bedroom units), comprised of 2 no. blocks of development (1 no. 3-5 storey block addressing Mary Street and 1 no. 4-5 storey block addressin</t>
  </si>
  <si>
    <t xml:space="preserve">https://eplanning.ie/LimerickCCC/AppFileRefDetails/258327/0</t>
  </si>
  <si>
    <t xml:space="preserve">2660004</t>
  </si>
  <si>
    <t xml:space="preserve">a Large-Scale Residential Development (LRD) comprising 150 dwelling units in a mixture of 2 storey houses, 3 storey duplexes and 4 storey apartment buildings, a childcare facility, and a temporary wastewater treatment facility. The proposed houses shall comprise 20 no. 2 storey, 4 bedroom, semi-deta</t>
  </si>
  <si>
    <t xml:space="preserve">https://eplanning.ie/LimerickCCC/AppFileRefDetails/2660004/0</t>
  </si>
  <si>
    <t xml:space="preserve">2660063</t>
  </si>
  <si>
    <t xml:space="preserve">construction of a social housing scheme consisting of 3 No. 3-bedroom 2-storey units, 1 No. 2-bedroom 2 storey unit, 2 No. 2-bedroom bungalows, 1 No. 2 bedroom apartment, 1 No. 1 bedroom bungalow and 1 No. Community Office and all associated site works and services.  A Natura Impact Statement (NIS) </t>
  </si>
  <si>
    <t xml:space="preserve">https://eplanning.ie/LimerickCCC/AppFileRefDetails/2660063/0</t>
  </si>
  <si>
    <t xml:space="preserve">Corran – Deel Voluntary Housing Association Ltd</t>
  </si>
  <si>
    <t xml:space="preserve">Q3-2024</t>
  </si>
  <si>
    <t xml:space="preserve">2660202</t>
  </si>
  <si>
    <t xml:space="preserve">Partial parse not used (67 units found vs 70 stated): 1x1-bed unit, 8x2-bed unit, 44x3-bed unit, 14x4-bed unit</t>
  </si>
  <si>
    <t xml:space="preserve">2661011 (02/09/2026, Pending, 67 units, NOT in CIS)</t>
  </si>
  <si>
    <t xml:space="preserve">the demolition of 3no. existing structures comprising of a dwelling and 2no. ancillary outbuildings and the construction of 70no. residential dwellings comprising of 64no. houses consisting of 14no. 4-bed units, 44no. 3-bed units, 6no. 2-bed units; and 2no. triplex units each comprising of 2no. 2-be</t>
  </si>
  <si>
    <t xml:space="preserve">https://eplanning.ie/LimerickCCC/AppFileRefDetails/2660202/0</t>
  </si>
  <si>
    <t xml:space="preserve">258328</t>
  </si>
  <si>
    <t xml:space="preserve">1. Construction of 57 no. residential dwellings on 3 no. main plots, with associated ancillary roads, pedestrian pathways, hard and soft landscaping and site services infrastructure as follows; a. 15 no. 2 storey 3bed terraced houses b. 4 no. 2 storey 4 bed terraced houses c. 1 no. 3 bed duplex apar</t>
  </si>
  <si>
    <t xml:space="preserve">https://eplanning.ie/LimerickCCC/AppFileRefDetails/258328/0</t>
  </si>
  <si>
    <t xml:space="preserve">268371</t>
  </si>
  <si>
    <t xml:space="preserve">Part 8-  26255726</t>
  </si>
  <si>
    <t xml:space="preserve">2660604</t>
  </si>
  <si>
    <t xml:space="preserve">a) Demolition of existing shed &amp; existing prefabricated structure, b) Extension to the existing ladies unit, comprising of bedroom accommodation with en-suites, visitor toilets &amp; reception area, c) Erection of two transitional houses to the west of the site, comprising of 5 bedrooms with en-suites p</t>
  </si>
  <si>
    <t xml:space="preserve">https://eplanning.ie/LimerickCCC/AppFileRefDetails/2660604/0</t>
  </si>
  <si>
    <t xml:space="preserve">268364</t>
  </si>
  <si>
    <t xml:space="preserve">268363</t>
  </si>
  <si>
    <t xml:space="preserve">Stage 1 Capital Appraisal</t>
  </si>
  <si>
    <t xml:space="preserve">2660675</t>
  </si>
  <si>
    <t xml:space="preserve">Pending application relating to granted 2360842; 2360842 counted until this is decided</t>
  </si>
  <si>
    <t xml:space="preserve">Partial parse not used (121 units found vs 64 stated): 35x2-bed apt, 6x2-bed house, 3x2-bed unit, 49x3-bed house, 16x3-bed apt, 2x3-bed unit, 10x4-bed house</t>
  </si>
  <si>
    <t xml:space="preserve">the modification of the Large-Scale Residential Development granted under Application Ref. 23/60842 and Appeal Ref. ABP-319009-24.The proposed modifications comprise of:
The replacement of 57 no. units comprising of; 06 no. 4 bed semi-detached houses (139.2 sq.m.), 15 no. 3 bed semi-detached houses</t>
  </si>
  <si>
    <t xml:space="preserve">https://eplanning.ie/LimerickCCC/AppFileRefDetails/2660675/0</t>
  </si>
  <si>
    <t xml:space="preserve">2660742</t>
  </si>
  <si>
    <t xml:space="preserve">the construction of a standalone five storey apartment building comprising 13 no. apartments, together with change of use of the existing crèche to residential use to accommodate 5 no. apartments, along with all associated works. The School is a protected structure (RPS Ref. No. 1653) and is also re</t>
  </si>
  <si>
    <t xml:space="preserve">https://eplanning.ie/LimerickCCC/AppFileRefDetails/2660742/0</t>
  </si>
  <si>
    <t xml:space="preserve">2660652</t>
  </si>
  <si>
    <t xml:space="preserve">construction of a 3rd floor containing 4 no. apartments and all associated elevational changes and site works</t>
  </si>
  <si>
    <t xml:space="preserve">https://eplanning.ie/LimerickCCC/AppFileRefDetails/2660652/0</t>
  </si>
  <si>
    <t xml:space="preserve">2660232</t>
  </si>
  <si>
    <t xml:space="preserve">the construction of 48 no. residential units comprising of 40 no. apartments comprising of 20 no. 1 bed units and 20 no. 2 bed units in two storey blocks.  8 no. housing units are proposed comprising 6 no. 3 bed units and 2 no. 4 bed units.  The units proposed are a mix of 1, 2, 3 and 4 bedroomed un</t>
  </si>
  <si>
    <t xml:space="preserve">https://eplanning.ie/LimerickCCC/AppFileRefDetails/2660232/0</t>
  </si>
  <si>
    <t xml:space="preserve">15577</t>
  </si>
  <si>
    <t xml:space="preserve">€6m - Fire Defect Remediation Works at Cappavilla Student Accommodation, University of Limerick</t>
  </si>
  <si>
    <t xml:space="preserve">Cappavilla Student Accomodation, Castletroy, Limerick City</t>
  </si>
  <si>
    <t xml:space="preserve">Framework, maintenance, remediation or no identifiable residential units</t>
  </si>
  <si>
    <t xml:space="preserve">Non-residential record</t>
  </si>
  <si>
    <t xml:space="preserve">€4m - Emergency Response Maintenance Works</t>
  </si>
  <si>
    <t xml:space="preserve">Limerick City and County Council Housing Stock, Limerick City</t>
  </si>
  <si>
    <t xml:space="preserve">€20m - Multi-Party Framework Agreement for Design and Build Works Contracts, Limerick</t>
  </si>
  <si>
    <t xml:space="preserve">for Limerick City and County Council, Limerick</t>
  </si>
  <si>
    <t xml:space="preserve">Received</t>
  </si>
  <si>
    <t xml:space="preserve">Outcome</t>
  </si>
  <si>
    <t xml:space="preserve">Residential Units</t>
  </si>
  <si>
    <t xml:space="preserve">Description</t>
  </si>
  <si>
    <t xml:space="preserve">Nearest CIS Site</t>
  </si>
  <si>
    <t xml:space="preserve">Distance (m)</t>
  </si>
  <si>
    <t xml:space="preserve">Analyst Note</t>
  </si>
  <si>
    <t xml:space="preserve">20307014</t>
  </si>
  <si>
    <t xml:space="preserve">Walkers Lane , Annacotty , Limerick</t>
  </si>
  <si>
    <t xml:space="preserve">Application - 137 no. residential units (25 no. houses, 112 no. apartments) and associated site works </t>
  </si>
  <si>
    <t xml:space="preserve">https://eplanning.ie/LimerickCCC/AppFileRefDetails/20307014/0</t>
  </si>
  <si>
    <t xml:space="preserve">2661011</t>
  </si>
  <si>
    <t xml:space="preserve">Barley Grove and the Adare Pitch and Putt Club , Rathkeale Road Killarney Road Graige , Adare Co. Limerick</t>
  </si>
  <si>
    <t xml:space="preserve">the demolition of 3no. existing structures comprising of a dwelling and 2no. ancillary outbuildings and the construction of 68no. residential
dwellings comprising of 62no. houses consisting of 12no. 4-bed units, 47no. 3-bed units, 3no. 2-bed units; and 2no. triplex units each comprising of 2no. 2-b</t>
  </si>
  <si>
    <t xml:space="preserve">https://eplanning.ie/LimerickCCC/AppFileRefDetails/2661011/0</t>
  </si>
  <si>
    <t xml:space="preserve">2660855</t>
  </si>
  <si>
    <t xml:space="preserve">Newtown , Monaleen Road , Castletroy Limerick.</t>
  </si>
  <si>
    <t xml:space="preserve">a development consisting of 59no. residential units comprising 42no. houses, 2no. duplex’s and 15no. apartments. The houses will consist of 2no. detached houses, 24no. semi-detached houses and 16no. terrace houses. The duplex’s will consist of 1no. 2 bed and 1no. 1 bed units in a two-storey block. T</t>
  </si>
  <si>
    <t xml:space="preserve">https://eplanning.ie/LimerickCCC/AppFileRefDetails/2660855/0</t>
  </si>
  <si>
    <t xml:space="preserve">2660886</t>
  </si>
  <si>
    <t xml:space="preserve">Old Barrack Road , Caherconlish , Co. Limerick</t>
  </si>
  <si>
    <t xml:space="preserve">construction of 58 no dwellings comprising of 3 No 3 bedroom semi- detached dwellings. 12 no two -bedroom semi-detached dwellings, 3 no terraced blocks of 4 no dwellings consisting of 6 no mid-terraced two bedroom units and 6 no end of terraced three bedroom units (12 units in total) and 4 no two be</t>
  </si>
  <si>
    <t xml:space="preserve">https://eplanning.ie/LimerickCCC/AppFileRefDetails/2660886/0</t>
  </si>
  <si>
    <t xml:space="preserve">2660865</t>
  </si>
  <si>
    <t xml:space="preserve">Lady's Lane and Hunts Lane , Off Dominick Street , Limerick</t>
  </si>
  <si>
    <t xml:space="preserve">7 Year Permission is sought for a Large-scale Residential Development (LRD) comprising the construction of a Purpose-Built Student Accommodation (PBSA) scheme at Dominick Street (Lady’s Lane / Hunts Lane), Limerick City. The proposed development will comprise the following: (a) permission to partial</t>
  </si>
  <si>
    <t xml:space="preserve">https://eplanning.ie/LimerickCCC/AppFileRefDetails/2660865/0</t>
  </si>
  <si>
    <t xml:space="preserve">2660134</t>
  </si>
  <si>
    <t xml:space="preserve">48 - 50 Parnell Street , Limerick City , Limerick</t>
  </si>
  <si>
    <t xml:space="preserve">the construction of a 6 Storey Mixed Use Development in a single block with part ground floor commercial consisting of 2 No. Retail units (336m2) and the remainder (part ground floor and all upper floors) to consist of a  residential apartment development with a total of 32 no. apartments consisting</t>
  </si>
  <si>
    <t xml:space="preserve">https://eplanning.ie/LimerickCCC/AppFileRefDetails/2660134/0</t>
  </si>
  <si>
    <t xml:space="preserve">24179002</t>
  </si>
  <si>
    <t xml:space="preserve">Brugh na Deise , Bruff , Co. Limerick</t>
  </si>
  <si>
    <t xml:space="preserve">the proposed development, on circa 0.81ha of land, zoned for development purposes within the Limerick Development Plan 2022 - 2028, that seeks the construction of: (i) 18 no. residential units and all ancillary site development works. The proposal is accompanied by An Appropriate Assessment Screenin</t>
  </si>
  <si>
    <t xml:space="preserve">https://eplanning.ie/LimerickCCC/AppFileRefDetails/24179002/0</t>
  </si>
  <si>
    <t xml:space="preserve">20525</t>
  </si>
  <si>
    <t xml:space="preserve">Skagh , Croom , Co. Limerick</t>
  </si>
  <si>
    <t xml:space="preserve">the construction of 14 dwelling houses, including 2 no semi-detached 2 bedroom bungalows, 12 no 2 storey semi-detached 3 bedroom houses, of which 4 will have an optional additional 4th bedroom on the ground floor and associated site development works, which includes 2 entrances to the public road, s</t>
  </si>
  <si>
    <t xml:space="preserve">https://eplanning.ie/LimerickCCC/AppFileRefDetails/20525/0</t>
  </si>
  <si>
    <t xml:space="preserve">24151</t>
  </si>
  <si>
    <t xml:space="preserve">Cois Sruthain , Croom , Co. Limerick</t>
  </si>
  <si>
    <t xml:space="preserve">the construction of 10 dwelling units to include 2 no. detached 5 bedroom bungalow dwellings &amp; 8 no. 3 bed semi-detached dwellings, all necessary ancillary site works including the provision of footpaths, the disposal of waste and storm water to public sewers and the provision of a potable water sup</t>
  </si>
  <si>
    <t xml:space="preserve">https://eplanning.ie/LimerickCCC/AppFileRefDetails/24151/0</t>
  </si>
</sst>
</file>

<file path=xl/styles.xml><?xml version="1.0" encoding="utf-8"?>
<styleSheet xmlns="http://schemas.openxmlformats.org/spreadsheetml/2006/main">
  <numFmts count="4">
    <numFmt numFmtId="164" formatCode="General"/>
    <numFmt numFmtId="165" formatCode="dd/mm/yyyy"/>
    <numFmt numFmtId="166" formatCode="#,##0;\(#,##0\);\-"/>
    <numFmt numFmtId="167" formatCode="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theme="1"/>
      <name val="Arial"/>
      <family val="0"/>
      <charset val="1"/>
    </font>
    <font>
      <b val="true"/>
      <sz val="11"/>
      <name val="Arial"/>
      <family val="0"/>
      <charset val="1"/>
    </font>
    <font>
      <b val="true"/>
      <sz val="10"/>
      <name val="Arial"/>
      <family val="0"/>
      <charset val="1"/>
    </font>
    <font>
      <sz val="10"/>
      <color rgb="FF0000FF"/>
      <name val="Arial"/>
      <family val="0"/>
      <charset val="1"/>
    </font>
    <font>
      <sz val="10"/>
      <name val="Arial"/>
      <family val="0"/>
      <charset val="1"/>
    </font>
    <font>
      <b val="true"/>
      <sz val="12"/>
      <name val="Arial"/>
      <family val="0"/>
      <charset val="1"/>
    </font>
    <font>
      <sz val="11"/>
      <color rgb="FF0000FF"/>
      <name val="Arial"/>
      <family val="0"/>
      <charset val="1"/>
    </font>
    <font>
      <b val="true"/>
      <sz val="10"/>
      <color rgb="FFFFFFFF"/>
      <name val="Arial"/>
      <family val="0"/>
      <charset val="1"/>
    </font>
    <font>
      <i val="true"/>
      <sz val="9"/>
      <name val="Arial"/>
      <family val="0"/>
      <charset val="1"/>
    </font>
    <font>
      <u val="single"/>
      <sz val="10"/>
      <color rgb="FF0563C1"/>
      <name val="Arial"/>
      <family val="0"/>
      <charset val="1"/>
    </font>
  </fonts>
  <fills count="8">
    <fill>
      <patternFill patternType="none"/>
    </fill>
    <fill>
      <patternFill patternType="gray125"/>
    </fill>
    <fill>
      <patternFill patternType="solid">
        <fgColor rgb="FFFFF2CC"/>
        <bgColor rgb="FFFFE699"/>
      </patternFill>
    </fill>
    <fill>
      <patternFill patternType="solid">
        <fgColor rgb="FF1F3A5F"/>
        <bgColor rgb="FF375623"/>
      </patternFill>
    </fill>
    <fill>
      <patternFill patternType="solid">
        <fgColor rgb="FF5B3A8C"/>
        <bgColor rgb="FF666699"/>
      </patternFill>
    </fill>
    <fill>
      <patternFill patternType="solid">
        <fgColor rgb="FF7F6000"/>
        <bgColor rgb="FF843C0C"/>
      </patternFill>
    </fill>
    <fill>
      <patternFill patternType="solid">
        <fgColor rgb="FF375623"/>
        <bgColor rgb="FF333300"/>
      </patternFill>
    </fill>
    <fill>
      <patternFill patternType="solid">
        <fgColor rgb="FF843C0C"/>
        <bgColor rgb="FF7F6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top"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2" fillId="4" borderId="0" xfId="0" applyFont="true" applyBorder="false" applyAlignment="true" applyProtection="false">
      <alignment horizontal="general" vertical="top" textRotation="0" wrapText="tru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4" fontId="12" fillId="6" borderId="0" xfId="0" applyFont="true" applyBorder="false" applyAlignment="true" applyProtection="false">
      <alignment horizontal="general" vertical="top" textRotation="0" wrapText="true" indent="0" shrinkToFit="false"/>
      <protection locked="true" hidden="false"/>
    </xf>
    <xf numFmtId="164" fontId="12" fillId="7"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0000FF"/>
          <bgColor rgb="FF000000"/>
        </patternFill>
      </fill>
    </dxf>
    <dxf>
      <fill>
        <patternFill>
          <bgColor rgb="FFF8CBAD"/>
        </patternFill>
      </fill>
    </dxf>
    <dxf>
      <fill>
        <patternFill patternType="solid">
          <fgColor rgb="FF5B3A8C"/>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375623"/>
          <bgColor rgb="FF000000"/>
        </patternFill>
      </fill>
    </dxf>
    <dxf>
      <fill>
        <patternFill patternType="solid">
          <fgColor rgb="FF0563C1"/>
          <bgColor rgb="FF000000"/>
        </patternFill>
      </fill>
    </dxf>
    <dxf>
      <fill>
        <patternFill patternType="solid">
          <fgColor rgb="FF843C0C"/>
          <bgColor rgb="FF000000"/>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843C0C"/>
      <rgbColor rgb="FF993366"/>
      <rgbColor rgb="FF5B3A8C"/>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eplanning.ie/LimerickCCC/AppFileRefDetails/187029/0" TargetMode="External"/><Relationship Id="rId2" Type="http://schemas.openxmlformats.org/officeDocument/2006/relationships/hyperlink" Target="https://eplanning.ie/LimerickCCC/AppFileRefDetails/188013/0" TargetMode="External"/><Relationship Id="rId3" Type="http://schemas.openxmlformats.org/officeDocument/2006/relationships/hyperlink" Target="https://eplanning.ie/LimerickCCC/AppFileRefDetails/18892/0" TargetMode="External"/><Relationship Id="rId4" Type="http://schemas.openxmlformats.org/officeDocument/2006/relationships/hyperlink" Target="https://eplanning.ie/LimerickCCC/AppFileRefDetails/18994/0" TargetMode="External"/><Relationship Id="rId5" Type="http://schemas.openxmlformats.org/officeDocument/2006/relationships/hyperlink" Target="https://eplanning.ie/LimerickCCC/AppFileRefDetails/188014/0" TargetMode="External"/><Relationship Id="rId6" Type="http://schemas.openxmlformats.org/officeDocument/2006/relationships/hyperlink" Target="https://eplanning.ie/LimerickCCC/AppFileRefDetails/187040/0" TargetMode="External"/><Relationship Id="rId7" Type="http://schemas.openxmlformats.org/officeDocument/2006/relationships/hyperlink" Target="https://eplanning.ie/LimerickCCC/AppFileRefDetails/19233/0" TargetMode="External"/><Relationship Id="rId8" Type="http://schemas.openxmlformats.org/officeDocument/2006/relationships/hyperlink" Target="https://eplanning.ie/LimerickCCC/AppFileRefDetails/188001/0" TargetMode="External"/><Relationship Id="rId9" Type="http://schemas.openxmlformats.org/officeDocument/2006/relationships/hyperlink" Target="https://eplanning.ie/LimerickCCC/AppFileRefDetails/198003/0" TargetMode="External"/><Relationship Id="rId10" Type="http://schemas.openxmlformats.org/officeDocument/2006/relationships/hyperlink" Target="https://eplanning.ie/LimerickCCC/AppFileRefDetails/19552/0" TargetMode="External"/><Relationship Id="rId11" Type="http://schemas.openxmlformats.org/officeDocument/2006/relationships/hyperlink" Target="https://eplanning.ie/LimerickCCC/AppFileRefDetails/197016/0" TargetMode="External"/><Relationship Id="rId12" Type="http://schemas.openxmlformats.org/officeDocument/2006/relationships/hyperlink" Target="https://eplanning.ie/LimerickCCC/AppFileRefDetails/198004/0" TargetMode="External"/><Relationship Id="rId13" Type="http://schemas.openxmlformats.org/officeDocument/2006/relationships/hyperlink" Target="https://eplanning.ie/LimerickCCC/AppFileRefDetails/19710/0" TargetMode="External"/><Relationship Id="rId14" Type="http://schemas.openxmlformats.org/officeDocument/2006/relationships/hyperlink" Target="https://eplanning.ie/LimerickCCC/AppFileRefDetails/198005/0" TargetMode="External"/><Relationship Id="rId15" Type="http://schemas.openxmlformats.org/officeDocument/2006/relationships/hyperlink" Target="https://eplanning.ie/LimerickCCC/AppFileRefDetails/19841/0" TargetMode="External"/><Relationship Id="rId16" Type="http://schemas.openxmlformats.org/officeDocument/2006/relationships/hyperlink" Target="https://eplanning.ie/LimerickCCC/AppFileRefDetails/198007/0" TargetMode="External"/><Relationship Id="rId17" Type="http://schemas.openxmlformats.org/officeDocument/2006/relationships/hyperlink" Target="https://eplanning.ie/LimerickCCC/AppFileRefDetails/19872/0" TargetMode="External"/><Relationship Id="rId18" Type="http://schemas.openxmlformats.org/officeDocument/2006/relationships/hyperlink" Target="https://eplanning.ie/LimerickCCC/AppFileRefDetails/198009/0" TargetMode="External"/><Relationship Id="rId19" Type="http://schemas.openxmlformats.org/officeDocument/2006/relationships/hyperlink" Target="https://eplanning.ie/LimerickCCC/AppFileRefDetails/191255/0" TargetMode="External"/><Relationship Id="rId20" Type="http://schemas.openxmlformats.org/officeDocument/2006/relationships/hyperlink" Target="https://eplanning.ie/LimerickCCC/AppFileRefDetails/191298/0" TargetMode="External"/><Relationship Id="rId21" Type="http://schemas.openxmlformats.org/officeDocument/2006/relationships/hyperlink" Target="https://eplanning.ie/LimerickCCC/AppFileRefDetails/20314/0" TargetMode="External"/><Relationship Id="rId22" Type="http://schemas.openxmlformats.org/officeDocument/2006/relationships/hyperlink" Target="https://eplanning.ie/LimerickCCC/AppFileRefDetails/20341/0" TargetMode="External"/><Relationship Id="rId23" Type="http://schemas.openxmlformats.org/officeDocument/2006/relationships/hyperlink" Target="https://eplanning.ie/LimerickCCC/AppFileRefDetails/20622/0" TargetMode="External"/><Relationship Id="rId24" Type="http://schemas.openxmlformats.org/officeDocument/2006/relationships/hyperlink" Target="https://eplanning.ie/LimerickCCC/AppFileRefDetails/20678/0" TargetMode="External"/><Relationship Id="rId25" Type="http://schemas.openxmlformats.org/officeDocument/2006/relationships/hyperlink" Target="https://eplanning.ie/LimerickCCC/AppFileRefDetails/20827/0" TargetMode="External"/><Relationship Id="rId26" Type="http://schemas.openxmlformats.org/officeDocument/2006/relationships/hyperlink" Target="https://eplanning.ie/LimerickCCC/AppFileRefDetails/20857/0" TargetMode="External"/><Relationship Id="rId27" Type="http://schemas.openxmlformats.org/officeDocument/2006/relationships/hyperlink" Target="https://eplanning.ie/LimerickCCC/AppFileRefDetails/201074/0" TargetMode="External"/><Relationship Id="rId28" Type="http://schemas.openxmlformats.org/officeDocument/2006/relationships/hyperlink" Target="https://eplanning.ie/LimerickCCC/AppFileRefDetails/201101/0" TargetMode="External"/><Relationship Id="rId29" Type="http://schemas.openxmlformats.org/officeDocument/2006/relationships/hyperlink" Target="https://eplanning.ie/LimerickCCC/AppFileRefDetails/201142/0" TargetMode="External"/><Relationship Id="rId30" Type="http://schemas.openxmlformats.org/officeDocument/2006/relationships/hyperlink" Target="https://eplanning.ie/LimerickCCC/AppFileRefDetails/2148/0" TargetMode="External"/><Relationship Id="rId31" Type="http://schemas.openxmlformats.org/officeDocument/2006/relationships/hyperlink" Target="https://eplanning.ie/LimerickCCC/AppFileRefDetails/21240/0" TargetMode="External"/><Relationship Id="rId32" Type="http://schemas.openxmlformats.org/officeDocument/2006/relationships/hyperlink" Target="https://eplanning.ie/LimerickCCC/AppFileRefDetails/21342/0" TargetMode="External"/><Relationship Id="rId33" Type="http://schemas.openxmlformats.org/officeDocument/2006/relationships/hyperlink" Target="https://eplanning.ie/LimerickCCC/AppFileRefDetails/21520/0" TargetMode="External"/><Relationship Id="rId34" Type="http://schemas.openxmlformats.org/officeDocument/2006/relationships/hyperlink" Target="https://www.pleanala.ie/en-ie/case/309999" TargetMode="External"/><Relationship Id="rId35" Type="http://schemas.openxmlformats.org/officeDocument/2006/relationships/hyperlink" Target="https://eplanning.ie/LimerickCCC/AppFileRefDetails/21550/0" TargetMode="External"/><Relationship Id="rId36" Type="http://schemas.openxmlformats.org/officeDocument/2006/relationships/hyperlink" Target="https://www.pleanala.ie/en-ie/case/315273" TargetMode="External"/><Relationship Id="rId37" Type="http://schemas.openxmlformats.org/officeDocument/2006/relationships/hyperlink" Target="https://eplanning.ie/LimerickCCC/AppFileRefDetails/211170/0" TargetMode="External"/><Relationship Id="rId38" Type="http://schemas.openxmlformats.org/officeDocument/2006/relationships/hyperlink" Target="https://eplanning.ie/LimerickCCC/AppFileRefDetails/211257/0" TargetMode="External"/><Relationship Id="rId39" Type="http://schemas.openxmlformats.org/officeDocument/2006/relationships/hyperlink" Target="https://eplanning.ie/LimerickCCC/AppFileRefDetails/211395/0" TargetMode="External"/><Relationship Id="rId40" Type="http://schemas.openxmlformats.org/officeDocument/2006/relationships/hyperlink" Target="https://www.pleanala.ie/en-ie/case/311588" TargetMode="External"/><Relationship Id="rId41" Type="http://schemas.openxmlformats.org/officeDocument/2006/relationships/hyperlink" Target="https://eplanning.ie/LimerickCCC/AppFileRefDetails/211454/0" TargetMode="External"/><Relationship Id="rId42" Type="http://schemas.openxmlformats.org/officeDocument/2006/relationships/hyperlink" Target="https://eplanning.ie/LimerickCCC/AppFileRefDetails/211640/0" TargetMode="External"/><Relationship Id="rId43" Type="http://schemas.openxmlformats.org/officeDocument/2006/relationships/hyperlink" Target="https://eplanning.ie/LimerickCCC/AppFileRefDetails/218013/0" TargetMode="External"/><Relationship Id="rId44" Type="http://schemas.openxmlformats.org/officeDocument/2006/relationships/hyperlink" Target="https://eplanning.ie/LimerickCCC/AppFileRefDetails/228000/0" TargetMode="External"/><Relationship Id="rId45" Type="http://schemas.openxmlformats.org/officeDocument/2006/relationships/hyperlink" Target="https://www.pleanala.ie/en-ie/case/312683" TargetMode="External"/><Relationship Id="rId46" Type="http://schemas.openxmlformats.org/officeDocument/2006/relationships/hyperlink" Target="https://www.pleanala.ie/en-ie/case/313124" TargetMode="External"/><Relationship Id="rId47" Type="http://schemas.openxmlformats.org/officeDocument/2006/relationships/hyperlink" Target="https://eplanning.ie/LimerickCCC/AppFileRefDetails/22394/0" TargetMode="External"/><Relationship Id="rId48" Type="http://schemas.openxmlformats.org/officeDocument/2006/relationships/hyperlink" Target="https://eplanning.ie/LimerickCCC/AppFileRefDetails/22410/0" TargetMode="External"/><Relationship Id="rId49" Type="http://schemas.openxmlformats.org/officeDocument/2006/relationships/hyperlink" Target="https://eplanning.ie/LimerickCCC/AppFileRefDetails/228013/0" TargetMode="External"/><Relationship Id="rId50" Type="http://schemas.openxmlformats.org/officeDocument/2006/relationships/hyperlink" Target="https://eplanning.ie/LimerickCCC/AppFileRefDetails/22817/0" TargetMode="External"/><Relationship Id="rId51" Type="http://schemas.openxmlformats.org/officeDocument/2006/relationships/hyperlink" Target="https://eplanning.ie/LimerickCCC/AppFileRefDetails/22840/0" TargetMode="External"/><Relationship Id="rId52" Type="http://schemas.openxmlformats.org/officeDocument/2006/relationships/hyperlink" Target="https://eplanning.ie/LimerickCCC/AppFileRefDetails/22950/0" TargetMode="External"/><Relationship Id="rId53" Type="http://schemas.openxmlformats.org/officeDocument/2006/relationships/hyperlink" Target="https://eplanning.ie/LimerickCCC/AppFileRefDetails/221172/0" TargetMode="External"/><Relationship Id="rId54" Type="http://schemas.openxmlformats.org/officeDocument/2006/relationships/hyperlink" Target="https://eplanning.ie/LimerickCCC/AppFileRefDetails/221189/0" TargetMode="External"/><Relationship Id="rId55" Type="http://schemas.openxmlformats.org/officeDocument/2006/relationships/hyperlink" Target="https://eplanning.ie/LimerickCCC/AppFileRefDetails/228020/0" TargetMode="External"/><Relationship Id="rId56" Type="http://schemas.openxmlformats.org/officeDocument/2006/relationships/hyperlink" Target="https://eplanning.ie/LimerickCCC/AppFileRefDetails/221216/0" TargetMode="External"/><Relationship Id="rId57" Type="http://schemas.openxmlformats.org/officeDocument/2006/relationships/hyperlink" Target="https://eplanning.ie/LimerickCCC/AppFileRefDetails/221318/0" TargetMode="External"/><Relationship Id="rId58" Type="http://schemas.openxmlformats.org/officeDocument/2006/relationships/hyperlink" Target="https://eplanning.ie/LimerickCCC/AppFileRefDetails/221400/0" TargetMode="External"/><Relationship Id="rId59" Type="http://schemas.openxmlformats.org/officeDocument/2006/relationships/hyperlink" Target="https://eplanning.ie/LimerickCCC/AppFileRefDetails/2326/0" TargetMode="External"/><Relationship Id="rId60" Type="http://schemas.openxmlformats.org/officeDocument/2006/relationships/hyperlink" Target="https://eplanning.ie/LimerickCCC/AppFileRefDetails/2360148/0" TargetMode="External"/><Relationship Id="rId61" Type="http://schemas.openxmlformats.org/officeDocument/2006/relationships/hyperlink" Target="https://eplanning.ie/LimerickCCC/AppFileRefDetails/2360207/0" TargetMode="External"/><Relationship Id="rId62" Type="http://schemas.openxmlformats.org/officeDocument/2006/relationships/hyperlink" Target="https://eplanning.ie/LimerickCCC/AppFileRefDetails/2360263/0" TargetMode="External"/><Relationship Id="rId63" Type="http://schemas.openxmlformats.org/officeDocument/2006/relationships/hyperlink" Target="https://eplanning.ie/LimerickCCC/AppFileRefDetails/2360345/0" TargetMode="External"/><Relationship Id="rId64" Type="http://schemas.openxmlformats.org/officeDocument/2006/relationships/hyperlink" Target="https://eplanning.ie/LimerickCCC/AppFileRefDetails/23283/0" TargetMode="External"/><Relationship Id="rId65" Type="http://schemas.openxmlformats.org/officeDocument/2006/relationships/hyperlink" Target="https://eplanning.ie/LimerickCCC/AppFileRefDetails/2360493/0" TargetMode="External"/><Relationship Id="rId66" Type="http://schemas.openxmlformats.org/officeDocument/2006/relationships/hyperlink" Target="https://eplanning.ie/LimerickCCC/AppFileRefDetails/2360615/0" TargetMode="External"/><Relationship Id="rId67" Type="http://schemas.openxmlformats.org/officeDocument/2006/relationships/hyperlink" Target="https://eplanning.ie/LimerickCCC/AppFileRefDetails/2360706/0" TargetMode="External"/><Relationship Id="rId68" Type="http://schemas.openxmlformats.org/officeDocument/2006/relationships/hyperlink" Target="https://eplanning.ie/LimerickCCC/AppFileRefDetails/2360794/0" TargetMode="External"/><Relationship Id="rId69" Type="http://schemas.openxmlformats.org/officeDocument/2006/relationships/hyperlink" Target="https://eplanning.ie/LimerickCCC/AppFileRefDetails/23529/0" TargetMode="External"/><Relationship Id="rId70" Type="http://schemas.openxmlformats.org/officeDocument/2006/relationships/hyperlink" Target="https://eplanning.ie/LimerickCCC/AppFileRefDetails/2360826/0" TargetMode="External"/><Relationship Id="rId71" Type="http://schemas.openxmlformats.org/officeDocument/2006/relationships/hyperlink" Target="https://eplanning.ie/LimerickCCC/AppFileRefDetails/2360866/0" TargetMode="External"/><Relationship Id="rId72" Type="http://schemas.openxmlformats.org/officeDocument/2006/relationships/hyperlink" Target="https://eplanning.ie/LimerickCCC/AppFileRefDetails/2360951/0" TargetMode="External"/><Relationship Id="rId73" Type="http://schemas.openxmlformats.org/officeDocument/2006/relationships/hyperlink" Target="https://eplanning.ie/LimerickCCC/AppFileRefDetails/2460075/0" TargetMode="External"/><Relationship Id="rId74" Type="http://schemas.openxmlformats.org/officeDocument/2006/relationships/hyperlink" Target="https://eplanning.ie/LimerickCCC/AppFileRefDetails/2460151/0" TargetMode="External"/><Relationship Id="rId75" Type="http://schemas.openxmlformats.org/officeDocument/2006/relationships/hyperlink" Target="https://eplanning.ie/LimerickCCC/AppFileRefDetails/2460299/0" TargetMode="External"/><Relationship Id="rId76" Type="http://schemas.openxmlformats.org/officeDocument/2006/relationships/hyperlink" Target="https://eplanning.ie/LimerickCCC/AppFileRefDetails/2460568/0" TargetMode="External"/><Relationship Id="rId77" Type="http://schemas.openxmlformats.org/officeDocument/2006/relationships/hyperlink" Target="https://eplanning.ie/LimerickCCC/AppFileRefDetails/2460570/0" TargetMode="External"/><Relationship Id="rId78" Type="http://schemas.openxmlformats.org/officeDocument/2006/relationships/hyperlink" Target="https://eplanning.ie/LimerickCCC/AppFileRefDetails/2460713/0" TargetMode="External"/><Relationship Id="rId79" Type="http://schemas.openxmlformats.org/officeDocument/2006/relationships/hyperlink" Target="https://eplanning.ie/LimerickCCC/AppFileRefDetails/2460788/0" TargetMode="External"/><Relationship Id="rId80" Type="http://schemas.openxmlformats.org/officeDocument/2006/relationships/hyperlink" Target="https://eplanning.ie/LimerickCCC/AppFileRefDetails/24352/0" TargetMode="External"/><Relationship Id="rId81" Type="http://schemas.openxmlformats.org/officeDocument/2006/relationships/hyperlink" Target="https://eplanning.ie/LimerickCCC/AppFileRefDetails/2461182/0" TargetMode="External"/><Relationship Id="rId82" Type="http://schemas.openxmlformats.org/officeDocument/2006/relationships/hyperlink" Target="https://eplanning.ie/LimerickCCC/AppFileRefDetails/2461282/0" TargetMode="External"/><Relationship Id="rId83" Type="http://schemas.openxmlformats.org/officeDocument/2006/relationships/hyperlink" Target="https://eplanning.ie/LimerickCCC/AppFileRefDetails/2461298/0" TargetMode="External"/><Relationship Id="rId84" Type="http://schemas.openxmlformats.org/officeDocument/2006/relationships/hyperlink" Target="https://eplanning.ie/LimerickCCC/AppFileRefDetails/2560001/0" TargetMode="External"/><Relationship Id="rId85" Type="http://schemas.openxmlformats.org/officeDocument/2006/relationships/hyperlink" Target="https://eplanning.ie/LimerickCCC/AppFileRefDetails/2560113/0" TargetMode="External"/><Relationship Id="rId86" Type="http://schemas.openxmlformats.org/officeDocument/2006/relationships/hyperlink" Target="https://eplanning.ie/LimerickCCC/AppFileRefDetails/2560211/0" TargetMode="External"/><Relationship Id="rId87" Type="http://schemas.openxmlformats.org/officeDocument/2006/relationships/hyperlink" Target="https://eplanning.ie/LimerickCCC/AppFileRefDetails/2560365/0" TargetMode="External"/><Relationship Id="rId88" Type="http://schemas.openxmlformats.org/officeDocument/2006/relationships/hyperlink" Target="https://eplanning.ie/LimerickCCC/AppFileRefDetails/2560399/0" TargetMode="External"/><Relationship Id="rId89" Type="http://schemas.openxmlformats.org/officeDocument/2006/relationships/hyperlink" Target="https://eplanning.ie/LimerickCCC/AppFileRefDetails/2560771/0" TargetMode="External"/><Relationship Id="rId90" Type="http://schemas.openxmlformats.org/officeDocument/2006/relationships/hyperlink" Target="https://eplanning.ie/LimerickCCC/AppFileRefDetails/2560947/0" TargetMode="External"/><Relationship Id="rId91" Type="http://schemas.openxmlformats.org/officeDocument/2006/relationships/hyperlink" Target="https://eplanning.ie/LimerickCCC/AppFileRefDetails/2560953/0" TargetMode="External"/><Relationship Id="rId92" Type="http://schemas.openxmlformats.org/officeDocument/2006/relationships/hyperlink" Target="https://eplanning.ie/LimerickCCC/AppFileRefDetails/2561232/0" TargetMode="External"/><Relationship Id="rId93" Type="http://schemas.openxmlformats.org/officeDocument/2006/relationships/hyperlink" Target="https://eplanning.ie/LimerickCCC/AppFileRefDetails/2660089/0" TargetMode="External"/><Relationship Id="rId94" Type="http://schemas.openxmlformats.org/officeDocument/2006/relationships/hyperlink" Target="https://eplanning.ie/LimerickCCC/AppFileRefDetails/2560977/0" TargetMode="External"/><Relationship Id="rId95" Type="http://schemas.openxmlformats.org/officeDocument/2006/relationships/hyperlink" Target="https://eplanning.ie/LimerickCCC/AppFileRefDetails/2660275/0" TargetMode="External"/><Relationship Id="rId96" Type="http://schemas.openxmlformats.org/officeDocument/2006/relationships/hyperlink" Target="https://eplanning.ie/LimerickCCC/AppFileRefDetails/2660396/0" TargetMode="External"/><Relationship Id="rId97" Type="http://schemas.openxmlformats.org/officeDocument/2006/relationships/hyperlink" Target="https://eplanning.ie/LimerickCCC/AppFileRefDetails/2660603/0" TargetMode="External"/><Relationship Id="rId98" Type="http://schemas.openxmlformats.org/officeDocument/2006/relationships/hyperlink" Target="https://eplanning.ie/LimerickCCC/AppFileRefDetails/2660779/0" TargetMode="External"/><Relationship Id="rId99" Type="http://schemas.openxmlformats.org/officeDocument/2006/relationships/hyperlink" Target="https://eplanning.ie/LimerickCCC/AppFileRefDetails/2660241/0" TargetMode="External"/><Relationship Id="rId100" Type="http://schemas.openxmlformats.org/officeDocument/2006/relationships/hyperlink" Target="https://eplanning.ie/LimerickCCC/AppFileRefDetails/191060/0" TargetMode="External"/><Relationship Id="rId101" Type="http://schemas.openxmlformats.org/officeDocument/2006/relationships/hyperlink" Target="https://eplanning.ie/LimerickCCC/AppFileRefDetails/1872/0" TargetMode="External"/><Relationship Id="rId102" Type="http://schemas.openxmlformats.org/officeDocument/2006/relationships/hyperlink" Target="https://eplanning.ie/LimerickCCC/AppFileRefDetails/18168/0" TargetMode="External"/><Relationship Id="rId103" Type="http://schemas.openxmlformats.org/officeDocument/2006/relationships/hyperlink" Target="https://eplanning.ie/LimerickCCC/AppFileRefDetails/18219/0" TargetMode="External"/><Relationship Id="rId104" Type="http://schemas.openxmlformats.org/officeDocument/2006/relationships/hyperlink" Target="https://eplanning.ie/LimerickCCC/AppFileRefDetails/188002/0" TargetMode="External"/><Relationship Id="rId105" Type="http://schemas.openxmlformats.org/officeDocument/2006/relationships/hyperlink" Target="https://eplanning.ie/LimerickCCC/AppFileRefDetails/18496/0" TargetMode="External"/><Relationship Id="rId106" Type="http://schemas.openxmlformats.org/officeDocument/2006/relationships/hyperlink" Target="https://eplanning.ie/LimerickCCC/AppFileRefDetails/187020/0" TargetMode="External"/><Relationship Id="rId107" Type="http://schemas.openxmlformats.org/officeDocument/2006/relationships/hyperlink" Target="https://eplanning.ie/LimerickCCC/AppFileRefDetails/188007/0" TargetMode="External"/><Relationship Id="rId108" Type="http://schemas.openxmlformats.org/officeDocument/2006/relationships/hyperlink" Target="https://eplanning.ie/LimerickCCC/AppFileRefDetails/188008/0" TargetMode="External"/><Relationship Id="rId109" Type="http://schemas.openxmlformats.org/officeDocument/2006/relationships/hyperlink" Target="https://eplanning.ie/LimerickCCC/AppFileRefDetails/188009/0" TargetMode="External"/><Relationship Id="rId110" Type="http://schemas.openxmlformats.org/officeDocument/2006/relationships/hyperlink" Target="https://eplanning.ie/LimerickCCC/AppFileRefDetails/188010/0" TargetMode="External"/><Relationship Id="rId111" Type="http://schemas.openxmlformats.org/officeDocument/2006/relationships/hyperlink" Target="https://eplanning.ie/LimerickCCC/AppFileRefDetails/187001/0" TargetMode="External"/><Relationship Id="rId112" Type="http://schemas.openxmlformats.org/officeDocument/2006/relationships/hyperlink" Target="https://eplanning.ie/LimerickCCC/AppFileRefDetails/201115/0" TargetMode="External"/><Relationship Id="rId113" Type="http://schemas.openxmlformats.org/officeDocument/2006/relationships/hyperlink" Target="https://eplanning.ie/LimerickCCC/AppFileRefDetails/201114/0" TargetMode="External"/><Relationship Id="rId114" Type="http://schemas.openxmlformats.org/officeDocument/2006/relationships/hyperlink" Target="https://eplanning.ie/LimerickCCC/AppFileRefDetails/1855/0" TargetMode="External"/><Relationship Id="rId115" Type="http://schemas.openxmlformats.org/officeDocument/2006/relationships/hyperlink" Target="https://eplanning.ie/LimerickCCC/AppFileRefDetails/181274/0" TargetMode="External"/><Relationship Id="rId116" Type="http://schemas.openxmlformats.org/officeDocument/2006/relationships/hyperlink" Target="https://eplanning.ie/LimerickCCC/AppFileRefDetails/20361/0" TargetMode="External"/><Relationship Id="rId117" Type="http://schemas.openxmlformats.org/officeDocument/2006/relationships/hyperlink" Target="https://eplanning.ie/LimerickCCC/AppFileRefDetails/21853/0" TargetMode="External"/><Relationship Id="rId118" Type="http://schemas.openxmlformats.org/officeDocument/2006/relationships/hyperlink" Target="https://eplanning.ie/LimerickCCC/AppFileRefDetails/2560271/0" TargetMode="External"/><Relationship Id="rId119" Type="http://schemas.openxmlformats.org/officeDocument/2006/relationships/hyperlink" Target="https://eplanning.ie/LimerickCCC/AppFileRefDetails/18200/0" TargetMode="External"/><Relationship Id="rId120" Type="http://schemas.openxmlformats.org/officeDocument/2006/relationships/hyperlink" Target="https://eplanning.ie/LimerickCCC/AppFileRefDetails/181193/0" TargetMode="External"/><Relationship Id="rId121" Type="http://schemas.openxmlformats.org/officeDocument/2006/relationships/hyperlink" Target="https://eplanning.ie/LimerickCCC/AppFileRefDetails/19444/0" TargetMode="External"/><Relationship Id="rId122" Type="http://schemas.openxmlformats.org/officeDocument/2006/relationships/hyperlink" Target="https://eplanning.ie/LimerickCCC/AppFileRefDetails/237022/0" TargetMode="External"/><Relationship Id="rId123" Type="http://schemas.openxmlformats.org/officeDocument/2006/relationships/hyperlink" Target="https://eplanning.ie/LimerickCCC/AppFileRefDetails/247010/0" TargetMode="External"/><Relationship Id="rId124" Type="http://schemas.openxmlformats.org/officeDocument/2006/relationships/hyperlink" Target="https://eplanning.ie/LimerickCCC/AppFileRefDetails/247023/0" TargetMode="External"/><Relationship Id="rId125" Type="http://schemas.openxmlformats.org/officeDocument/2006/relationships/hyperlink" Target="https://eplanning.ie/LimerickCCC/AppFileRefDetails/257001/0" TargetMode="External"/><Relationship Id="rId126" Type="http://schemas.openxmlformats.org/officeDocument/2006/relationships/hyperlink" Target="https://eplanning.ie/LimerickCCC/AppFileRefDetails/18346/0" TargetMode="External"/><Relationship Id="rId127" Type="http://schemas.openxmlformats.org/officeDocument/2006/relationships/hyperlink" Target="https://eplanning.ie/LimerickCCC/AppFileRefDetails/19689/0" TargetMode="External"/><Relationship Id="rId128" Type="http://schemas.openxmlformats.org/officeDocument/2006/relationships/hyperlink" Target="https://eplanning.ie/LimerickCCC/AppFileRefDetails/20281/0" TargetMode="External"/><Relationship Id="rId129" Type="http://schemas.openxmlformats.org/officeDocument/2006/relationships/hyperlink" Target="https://eplanning.ie/LimerickCCC/AppFileRefDetails/21873/0" TargetMode="External"/><Relationship Id="rId130" Type="http://schemas.openxmlformats.org/officeDocument/2006/relationships/hyperlink" Target="https://eplanning.ie/LimerickCCC/AppFileRefDetails/228017/0" TargetMode="External"/><Relationship Id="rId131" Type="http://schemas.openxmlformats.org/officeDocument/2006/relationships/hyperlink" Target="https://eplanning.ie/LimerickCCC/AppFileRefDetails/2560156/0" TargetMode="External"/><Relationship Id="rId132" Type="http://schemas.openxmlformats.org/officeDocument/2006/relationships/hyperlink" Target="https://eplanning.ie/LimerickCCC/AppFileRefDetails/2560633/0" TargetMode="External"/><Relationship Id="rId133" Type="http://schemas.openxmlformats.org/officeDocument/2006/relationships/hyperlink" Target="https://eplanning.ie/LimerickCCC/AppFileRefDetails/2560653/0" TargetMode="External"/><Relationship Id="rId134" Type="http://schemas.openxmlformats.org/officeDocument/2006/relationships/hyperlink" Target="https://eplanning.ie/LimerickCCC/AppFileRefDetails/2561228/0" TargetMode="External"/><Relationship Id="rId135" Type="http://schemas.openxmlformats.org/officeDocument/2006/relationships/hyperlink" Target="https://eplanning.ie/LimerickCCC/AppFileRefDetails/18434/0" TargetMode="External"/><Relationship Id="rId136" Type="http://schemas.openxmlformats.org/officeDocument/2006/relationships/hyperlink" Target="https://eplanning.ie/LimerickCCC/AppFileRefDetails/181270/0" TargetMode="External"/><Relationship Id="rId137" Type="http://schemas.openxmlformats.org/officeDocument/2006/relationships/hyperlink" Target="https://eplanning.ie/LimerickCCC/AppFileRefDetails/18465/0" TargetMode="External"/><Relationship Id="rId138" Type="http://schemas.openxmlformats.org/officeDocument/2006/relationships/hyperlink" Target="https://eplanning.ie/LimerickCCC/AppFileRefDetails/20467/0" TargetMode="External"/><Relationship Id="rId139" Type="http://schemas.openxmlformats.org/officeDocument/2006/relationships/hyperlink" Target="https://eplanning.ie/LimerickCCC/AppFileRefDetails/18618/0" TargetMode="External"/><Relationship Id="rId140" Type="http://schemas.openxmlformats.org/officeDocument/2006/relationships/hyperlink" Target="https://eplanning.ie/LimerickCCC/AppFileRefDetails/181243/0" TargetMode="External"/><Relationship Id="rId141" Type="http://schemas.openxmlformats.org/officeDocument/2006/relationships/hyperlink" Target="https://eplanning.ie/LimerickCCC/AppFileRefDetails/2460468/0" TargetMode="External"/><Relationship Id="rId142" Type="http://schemas.openxmlformats.org/officeDocument/2006/relationships/hyperlink" Target="https://eplanning.ie/LimerickCCC/AppFileRefDetails/18698/0" TargetMode="External"/><Relationship Id="rId143" Type="http://schemas.openxmlformats.org/officeDocument/2006/relationships/hyperlink" Target="https://eplanning.ie/LimerickCCC/AppFileRefDetails/181104/0" TargetMode="External"/><Relationship Id="rId144" Type="http://schemas.openxmlformats.org/officeDocument/2006/relationships/hyperlink" Target="https://eplanning.ie/LimerickCCC/AppFileRefDetails/181105/0" TargetMode="External"/><Relationship Id="rId145" Type="http://schemas.openxmlformats.org/officeDocument/2006/relationships/hyperlink" Target="https://eplanning.ie/LimerickCCC/AppFileRefDetails/19547/0" TargetMode="External"/><Relationship Id="rId146" Type="http://schemas.openxmlformats.org/officeDocument/2006/relationships/hyperlink" Target="https://eplanning.ie/LimerickCCC/AppFileRefDetails/191236/0" TargetMode="External"/><Relationship Id="rId147" Type="http://schemas.openxmlformats.org/officeDocument/2006/relationships/hyperlink" Target="https://eplanning.ie/LimerickCCC/AppFileRefDetails/20256/0" TargetMode="External"/><Relationship Id="rId148" Type="http://schemas.openxmlformats.org/officeDocument/2006/relationships/hyperlink" Target="https://eplanning.ie/LimerickCCC/AppFileRefDetails/21350/0" TargetMode="External"/><Relationship Id="rId149" Type="http://schemas.openxmlformats.org/officeDocument/2006/relationships/hyperlink" Target="https://eplanning.ie/LimerickCCC/AppFileRefDetails/211152/0" TargetMode="External"/><Relationship Id="rId150" Type="http://schemas.openxmlformats.org/officeDocument/2006/relationships/hyperlink" Target="https://eplanning.ie/LimerickCCC/AppFileRefDetails/211400/0" TargetMode="External"/><Relationship Id="rId151" Type="http://schemas.openxmlformats.org/officeDocument/2006/relationships/hyperlink" Target="https://eplanning.ie/LimerickCCC/AppFileRefDetails/187031/0" TargetMode="External"/><Relationship Id="rId152" Type="http://schemas.openxmlformats.org/officeDocument/2006/relationships/hyperlink" Target="https://eplanning.ie/LimerickCCC/AppFileRefDetails/201320/0" TargetMode="External"/><Relationship Id="rId153" Type="http://schemas.openxmlformats.org/officeDocument/2006/relationships/hyperlink" Target="https://eplanning.ie/LimerickCCC/AppFileRefDetails/19518/0" TargetMode="External"/><Relationship Id="rId154" Type="http://schemas.openxmlformats.org/officeDocument/2006/relationships/hyperlink" Target="https://eplanning.ie/LimerickCCC/AppFileRefDetails/2460030/0" TargetMode="External"/><Relationship Id="rId155" Type="http://schemas.openxmlformats.org/officeDocument/2006/relationships/hyperlink" Target="https://eplanning.ie/LimerickCCC/AppFileRefDetails/19769/0" TargetMode="External"/><Relationship Id="rId156" Type="http://schemas.openxmlformats.org/officeDocument/2006/relationships/hyperlink" Target="https://eplanning.ie/LimerickCCC/AppFileRefDetails/247017/0" TargetMode="External"/><Relationship Id="rId157" Type="http://schemas.openxmlformats.org/officeDocument/2006/relationships/hyperlink" Target="https://eplanning.ie/LimerickCCC/AppFileRefDetails/19970/0" TargetMode="External"/><Relationship Id="rId158" Type="http://schemas.openxmlformats.org/officeDocument/2006/relationships/hyperlink" Target="https://eplanning.ie/LimerickCCC/AppFileRefDetails/257007/0" TargetMode="External"/><Relationship Id="rId159" Type="http://schemas.openxmlformats.org/officeDocument/2006/relationships/hyperlink" Target="https://eplanning.ie/LimerickCCC/AppFileRefDetails/19990/0" TargetMode="External"/><Relationship Id="rId160" Type="http://schemas.openxmlformats.org/officeDocument/2006/relationships/hyperlink" Target="https://eplanning.ie/LimerickCCC/AppFileRefDetails/201195/0" TargetMode="External"/><Relationship Id="rId161" Type="http://schemas.openxmlformats.org/officeDocument/2006/relationships/hyperlink" Target="https://eplanning.ie/LimerickCCC/AppFileRefDetails/21532/0" TargetMode="External"/><Relationship Id="rId162" Type="http://schemas.openxmlformats.org/officeDocument/2006/relationships/hyperlink" Target="https://eplanning.ie/LimerickCCC/AppFileRefDetails/211217/0" TargetMode="External"/><Relationship Id="rId163" Type="http://schemas.openxmlformats.org/officeDocument/2006/relationships/hyperlink" Target="https://eplanning.ie/LimerickCCC/AppFileRefDetails/211216/0" TargetMode="External"/><Relationship Id="rId164" Type="http://schemas.openxmlformats.org/officeDocument/2006/relationships/hyperlink" Target="https://eplanning.ie/LimerickCCC/AppFileRefDetails/2460578/0" TargetMode="External"/><Relationship Id="rId165" Type="http://schemas.openxmlformats.org/officeDocument/2006/relationships/hyperlink" Target="https://eplanning.ie/LimerickCCC/AppFileRefDetails/191037/0" TargetMode="External"/><Relationship Id="rId166" Type="http://schemas.openxmlformats.org/officeDocument/2006/relationships/hyperlink" Target="https://eplanning.ie/LimerickCCC/AppFileRefDetails/197025/0" TargetMode="External"/><Relationship Id="rId167" Type="http://schemas.openxmlformats.org/officeDocument/2006/relationships/hyperlink" Target="https://eplanning.ie/LimerickCCC/AppFileRefDetails/198010/0" TargetMode="External"/><Relationship Id="rId168" Type="http://schemas.openxmlformats.org/officeDocument/2006/relationships/hyperlink" Target="https://eplanning.ie/LimerickCCC/AppFileRefDetails/22990/0" TargetMode="External"/><Relationship Id="rId169" Type="http://schemas.openxmlformats.org/officeDocument/2006/relationships/hyperlink" Target="https://eplanning.ie/LimerickCCC/AppFileRefDetails/2360793/0" TargetMode="External"/><Relationship Id="rId170" Type="http://schemas.openxmlformats.org/officeDocument/2006/relationships/hyperlink" Target="https://eplanning.ie/LimerickCCC/AppFileRefDetails/2460304/0" TargetMode="External"/><Relationship Id="rId171" Type="http://schemas.openxmlformats.org/officeDocument/2006/relationships/hyperlink" Target="https://eplanning.ie/LimerickCCC/AppFileRefDetails/191184/0" TargetMode="External"/><Relationship Id="rId172" Type="http://schemas.openxmlformats.org/officeDocument/2006/relationships/hyperlink" Target="https://eplanning.ie/LimerickCCC/AppFileRefDetails/2360393/0" TargetMode="External"/><Relationship Id="rId173" Type="http://schemas.openxmlformats.org/officeDocument/2006/relationships/hyperlink" Target="https://eplanning.ie/LimerickCCC/AppFileRefDetails/20222/0" TargetMode="External"/><Relationship Id="rId174" Type="http://schemas.openxmlformats.org/officeDocument/2006/relationships/hyperlink" Target="https://eplanning.ie/LimerickCCC/AppFileRefDetails/2561242/0" TargetMode="External"/><Relationship Id="rId175" Type="http://schemas.openxmlformats.org/officeDocument/2006/relationships/hyperlink" Target="https://eplanning.ie/LimerickCCC/AppFileRefDetails/20466/0" TargetMode="External"/><Relationship Id="rId176" Type="http://schemas.openxmlformats.org/officeDocument/2006/relationships/hyperlink" Target="https://eplanning.ie/LimerickCCC/AppFileRefDetails/221381/0" TargetMode="External"/><Relationship Id="rId177" Type="http://schemas.openxmlformats.org/officeDocument/2006/relationships/hyperlink" Target="https://www.pleanala.ie/en-ie/case/307631" TargetMode="External"/><Relationship Id="rId178" Type="http://schemas.openxmlformats.org/officeDocument/2006/relationships/hyperlink" Target="https://eplanning.ie/LimerickCCC/AppFileRefDetails/211475/0" TargetMode="External"/><Relationship Id="rId179" Type="http://schemas.openxmlformats.org/officeDocument/2006/relationships/hyperlink" Target="https://eplanning.ie/LimerickCCC/AppFileRefDetails/2561323/0" TargetMode="External"/><Relationship Id="rId180" Type="http://schemas.openxmlformats.org/officeDocument/2006/relationships/hyperlink" Target="https://eplanning.ie/LimerickCCC/AppFileRefDetails/218000/0" TargetMode="External"/><Relationship Id="rId181" Type="http://schemas.openxmlformats.org/officeDocument/2006/relationships/hyperlink" Target="https://eplanning.ie/LimerickCCC/AppFileRefDetails/2561231/0" TargetMode="External"/><Relationship Id="rId182" Type="http://schemas.openxmlformats.org/officeDocument/2006/relationships/hyperlink" Target="https://eplanning.ie/LimerickCCC/AppFileRefDetails/21147/0" TargetMode="External"/><Relationship Id="rId183" Type="http://schemas.openxmlformats.org/officeDocument/2006/relationships/hyperlink" Target="https://eplanning.ie/LimerickCCC/AppFileRefDetails/22524/0" TargetMode="External"/><Relationship Id="rId184" Type="http://schemas.openxmlformats.org/officeDocument/2006/relationships/hyperlink" Target="https://eplanning.ie/LimerickCCC/AppFileRefDetails/21531/0" TargetMode="External"/><Relationship Id="rId185" Type="http://schemas.openxmlformats.org/officeDocument/2006/relationships/hyperlink" Target="https://eplanning.ie/LimerickCCC/AppFileRefDetails/2460082/0" TargetMode="External"/><Relationship Id="rId186" Type="http://schemas.openxmlformats.org/officeDocument/2006/relationships/hyperlink" Target="https://eplanning.ie/LimerickCCC/AppFileRefDetails/218012/0" TargetMode="External"/><Relationship Id="rId187" Type="http://schemas.openxmlformats.org/officeDocument/2006/relationships/hyperlink" Target="https://eplanning.ie/LimerickCCC/AppFileRefDetails/217025/0" TargetMode="External"/><Relationship Id="rId188" Type="http://schemas.openxmlformats.org/officeDocument/2006/relationships/hyperlink" Target="https://eplanning.ie/LimerickCCC/AppFileRefDetails/23557/0" TargetMode="External"/><Relationship Id="rId189" Type="http://schemas.openxmlformats.org/officeDocument/2006/relationships/hyperlink" Target="https://eplanning.ie/LimerickCCC/AppFileRefDetails/21835/0" TargetMode="External"/><Relationship Id="rId190" Type="http://schemas.openxmlformats.org/officeDocument/2006/relationships/hyperlink" Target="https://eplanning.ie/LimerickCCC/AppFileRefDetails/2360759/0" TargetMode="External"/><Relationship Id="rId191" Type="http://schemas.openxmlformats.org/officeDocument/2006/relationships/hyperlink" Target="https://eplanning.ie/LimerickCCC/AppFileRefDetails/211598/0" TargetMode="External"/><Relationship Id="rId192" Type="http://schemas.openxmlformats.org/officeDocument/2006/relationships/hyperlink" Target="https://eplanning.ie/LimerickCCC/AppFileRefDetails/2560546/0" TargetMode="External"/><Relationship Id="rId193" Type="http://schemas.openxmlformats.org/officeDocument/2006/relationships/hyperlink" Target="https://eplanning.ie/LimerickCCC/AppFileRefDetails/211800/0" TargetMode="External"/><Relationship Id="rId194" Type="http://schemas.openxmlformats.org/officeDocument/2006/relationships/hyperlink" Target="https://eplanning.ie/LimerickCCC/AppFileRefDetails/22917/0" TargetMode="External"/><Relationship Id="rId195" Type="http://schemas.openxmlformats.org/officeDocument/2006/relationships/hyperlink" Target="https://eplanning.ie/LimerickCCC/AppFileRefDetails/22959/0" TargetMode="External"/><Relationship Id="rId196" Type="http://schemas.openxmlformats.org/officeDocument/2006/relationships/hyperlink" Target="https://eplanning.ie/LimerickCCC/AppFileRefDetails/221114/0" TargetMode="External"/><Relationship Id="rId197" Type="http://schemas.openxmlformats.org/officeDocument/2006/relationships/hyperlink" Target="https://eplanning.ie/LimerickCCC/AppFileRefDetails/2460032/0" TargetMode="External"/><Relationship Id="rId198" Type="http://schemas.openxmlformats.org/officeDocument/2006/relationships/hyperlink" Target="https://eplanning.ie/LimerickCCC/AppFileRefDetails/22368/0" TargetMode="External"/><Relationship Id="rId199" Type="http://schemas.openxmlformats.org/officeDocument/2006/relationships/hyperlink" Target="https://eplanning.ie/LimerickCCC/AppFileRefDetails/2360025/0" TargetMode="External"/><Relationship Id="rId200" Type="http://schemas.openxmlformats.org/officeDocument/2006/relationships/hyperlink" Target="https://eplanning.ie/LimerickCCC/AppFileRefDetails/228016/0" TargetMode="External"/><Relationship Id="rId201" Type="http://schemas.openxmlformats.org/officeDocument/2006/relationships/hyperlink" Target="https://eplanning.ie/LimerickCCC/AppFileRefDetails/221352/0" TargetMode="External"/><Relationship Id="rId202" Type="http://schemas.openxmlformats.org/officeDocument/2006/relationships/hyperlink" Target="https://eplanning.ie/LimerickCCC/AppFileRefDetails/2260015/0" TargetMode="External"/><Relationship Id="rId203" Type="http://schemas.openxmlformats.org/officeDocument/2006/relationships/hyperlink" Target="https://eplanning.ie/LimerickCCC/AppFileRefDetails/2461101/0" TargetMode="External"/><Relationship Id="rId204" Type="http://schemas.openxmlformats.org/officeDocument/2006/relationships/hyperlink" Target="https://eplanning.ie/LimerickCCC/AppFileRefDetails/221367/0" TargetMode="External"/><Relationship Id="rId205" Type="http://schemas.openxmlformats.org/officeDocument/2006/relationships/hyperlink" Target="https://eplanning.ie/LimerickCCC/AppFileRefDetails/228023/0" TargetMode="External"/><Relationship Id="rId206" Type="http://schemas.openxmlformats.org/officeDocument/2006/relationships/hyperlink" Target="https://eplanning.ie/LimerickCCC/AppFileRefDetails/2560595/0" TargetMode="External"/><Relationship Id="rId207" Type="http://schemas.openxmlformats.org/officeDocument/2006/relationships/hyperlink" Target="https://eplanning.ie/LimerickCCC/AppFileRefDetails/2360546/0" TargetMode="External"/><Relationship Id="rId208" Type="http://schemas.openxmlformats.org/officeDocument/2006/relationships/hyperlink" Target="https://eplanning.ie/LimerickCCC/AppFileRefDetails/2360798/0" TargetMode="External"/><Relationship Id="rId209" Type="http://schemas.openxmlformats.org/officeDocument/2006/relationships/hyperlink" Target="https://eplanning.ie/LimerickCCC/AppFileRefDetails/2460004/0" TargetMode="External"/><Relationship Id="rId210" Type="http://schemas.openxmlformats.org/officeDocument/2006/relationships/hyperlink" Target="https://eplanning.ie/LimerickCCC/AppFileRefDetails/2460020/0" TargetMode="External"/><Relationship Id="rId211" Type="http://schemas.openxmlformats.org/officeDocument/2006/relationships/hyperlink" Target="https://eplanning.ie/LimerickCCC/AppFileRefDetails/2560425/0" TargetMode="External"/><Relationship Id="rId212" Type="http://schemas.openxmlformats.org/officeDocument/2006/relationships/hyperlink" Target="https://eplanning.ie/LimerickCCC/AppFileRefDetails/19149/0" TargetMode="External"/><Relationship Id="rId213" Type="http://schemas.openxmlformats.org/officeDocument/2006/relationships/hyperlink" Target="https://eplanning.ie/LimerickCCC/AppFileRefDetails/19302/0" TargetMode="External"/><Relationship Id="rId214" Type="http://schemas.openxmlformats.org/officeDocument/2006/relationships/hyperlink" Target="https://eplanning.ie/LimerickCCC/AppFileRefDetails/21364/0" TargetMode="External"/><Relationship Id="rId215" Type="http://schemas.openxmlformats.org/officeDocument/2006/relationships/hyperlink" Target="https://eplanning.ie/LimerickCCC/AppFileRefDetails/21580/0" TargetMode="External"/><Relationship Id="rId216" Type="http://schemas.openxmlformats.org/officeDocument/2006/relationships/hyperlink" Target="https://eplanning.ie/LimerickCCC/AppFileRefDetails/21594/0" TargetMode="External"/><Relationship Id="rId217" Type="http://schemas.openxmlformats.org/officeDocument/2006/relationships/hyperlink" Target="https://eplanning.ie/LimerickCCC/AppFileRefDetails/21630/0" TargetMode="External"/><Relationship Id="rId218" Type="http://schemas.openxmlformats.org/officeDocument/2006/relationships/hyperlink" Target="https://eplanning.ie/LimerickCCC/AppFileRefDetails/22471/0" TargetMode="External"/><Relationship Id="rId219" Type="http://schemas.openxmlformats.org/officeDocument/2006/relationships/hyperlink" Target="https://eplanning.ie/LimerickCCC/AppFileRefDetails/22793/0" TargetMode="External"/><Relationship Id="rId220" Type="http://schemas.openxmlformats.org/officeDocument/2006/relationships/hyperlink" Target="https://eplanning.ie/LimerickCCC/AppFileRefDetails/221003/0" TargetMode="External"/><Relationship Id="rId221" Type="http://schemas.openxmlformats.org/officeDocument/2006/relationships/hyperlink" Target="https://eplanning.ie/LimerickCCC/AppFileRefDetails/221107/0" TargetMode="External"/><Relationship Id="rId222" Type="http://schemas.openxmlformats.org/officeDocument/2006/relationships/hyperlink" Target="https://eplanning.ie/LimerickCCC/AppFileRefDetails/2360144/0" TargetMode="External"/><Relationship Id="rId223" Type="http://schemas.openxmlformats.org/officeDocument/2006/relationships/hyperlink" Target="https://eplanning.ie/LimerickCCC/AppFileRefDetails/2360150/0" TargetMode="External"/><Relationship Id="rId224" Type="http://schemas.openxmlformats.org/officeDocument/2006/relationships/hyperlink" Target="https://eplanning.ie/LimerickCCC/AppFileRefDetails/2360541/0" TargetMode="External"/><Relationship Id="rId225" Type="http://schemas.openxmlformats.org/officeDocument/2006/relationships/hyperlink" Target="https://eplanning.ie/LimerickCCC/AppFileRefDetails/2360703/0" TargetMode="External"/><Relationship Id="rId226" Type="http://schemas.openxmlformats.org/officeDocument/2006/relationships/hyperlink" Target="https://eplanning.ie/LimerickCCC/AppFileRefDetails/2360780/0" TargetMode="External"/><Relationship Id="rId227" Type="http://schemas.openxmlformats.org/officeDocument/2006/relationships/hyperlink" Target="https://eplanning.ie/LimerickCCC/AppFileRefDetails/2360842/0" TargetMode="External"/><Relationship Id="rId228" Type="http://schemas.openxmlformats.org/officeDocument/2006/relationships/hyperlink" Target="https://eplanning.ie/LimerickCCC/AppFileRefDetails/2460028/0" TargetMode="External"/><Relationship Id="rId229" Type="http://schemas.openxmlformats.org/officeDocument/2006/relationships/hyperlink" Target="https://eplanning.ie/LimerickCCC/AppFileRefDetails/2460046/0" TargetMode="External"/><Relationship Id="rId230" Type="http://schemas.openxmlformats.org/officeDocument/2006/relationships/hyperlink" Target="https://eplanning.ie/LimerickCCC/AppFileRefDetails/2460555/0" TargetMode="External"/><Relationship Id="rId231" Type="http://schemas.openxmlformats.org/officeDocument/2006/relationships/hyperlink" Target="https://eplanning.ie/LimerickCCC/AppFileRefDetails/2460633/0" TargetMode="External"/><Relationship Id="rId232" Type="http://schemas.openxmlformats.org/officeDocument/2006/relationships/hyperlink" Target="https://eplanning.ie/LimerickCCC/AppFileRefDetails/2660575/0" TargetMode="External"/><Relationship Id="rId233" Type="http://schemas.openxmlformats.org/officeDocument/2006/relationships/hyperlink" Target="https://eplanning.ie/LimerickCCC/AppFileRefDetails/2460864/0" TargetMode="External"/><Relationship Id="rId234" Type="http://schemas.openxmlformats.org/officeDocument/2006/relationships/hyperlink" Target="https://eplanning.ie/LimerickCCC/AppFileRefDetails/2460977/0" TargetMode="External"/><Relationship Id="rId235" Type="http://schemas.openxmlformats.org/officeDocument/2006/relationships/hyperlink" Target="https://eplanning.ie/LimerickCCC/AppFileRefDetails/2461115/0" TargetMode="External"/><Relationship Id="rId236" Type="http://schemas.openxmlformats.org/officeDocument/2006/relationships/hyperlink" Target="https://eplanning.ie/LimerickCCC/AppFileRefDetails/2560151/0" TargetMode="External"/><Relationship Id="rId237" Type="http://schemas.openxmlformats.org/officeDocument/2006/relationships/hyperlink" Target="https://eplanning.ie/LimerickCCC/AppFileRefDetails/2560169/0" TargetMode="External"/><Relationship Id="rId238" Type="http://schemas.openxmlformats.org/officeDocument/2006/relationships/hyperlink" Target="https://eplanning.ie/LimerickCCC/AppFileRefDetails/2560382/0" TargetMode="External"/><Relationship Id="rId239" Type="http://schemas.openxmlformats.org/officeDocument/2006/relationships/hyperlink" Target="https://eplanning.ie/LimerickCCC/AppFileRefDetails/2560540/0" TargetMode="External"/><Relationship Id="rId240" Type="http://schemas.openxmlformats.org/officeDocument/2006/relationships/hyperlink" Target="https://eplanning.ie/LimerickCCC/AppFileRefDetails/2560780/0" TargetMode="External"/><Relationship Id="rId241" Type="http://schemas.openxmlformats.org/officeDocument/2006/relationships/hyperlink" Target="https://eplanning.ie/LimerickCCC/AppFileRefDetails/2560778/0" TargetMode="External"/><Relationship Id="rId242" Type="http://schemas.openxmlformats.org/officeDocument/2006/relationships/hyperlink" Target="https://eplanning.ie/LimerickCCC/AppFileRefDetails/258297/0" TargetMode="External"/><Relationship Id="rId243" Type="http://schemas.openxmlformats.org/officeDocument/2006/relationships/hyperlink" Target="https://eplanning.ie/LimerickCCC/AppFileRefDetails/2561192/0" TargetMode="External"/><Relationship Id="rId244" Type="http://schemas.openxmlformats.org/officeDocument/2006/relationships/hyperlink" Target="https://eplanning.ie/LimerickCCC/AppFileRefDetails/2561211/0" TargetMode="External"/><Relationship Id="rId245" Type="http://schemas.openxmlformats.org/officeDocument/2006/relationships/hyperlink" Target="https://eplanning.ie/LimerickCCC/AppFileRefDetails/258327/0" TargetMode="External"/><Relationship Id="rId246" Type="http://schemas.openxmlformats.org/officeDocument/2006/relationships/hyperlink" Target="https://eplanning.ie/LimerickCCC/AppFileRefDetails/2660004/0" TargetMode="External"/><Relationship Id="rId247" Type="http://schemas.openxmlformats.org/officeDocument/2006/relationships/hyperlink" Target="https://eplanning.ie/LimerickCCC/AppFileRefDetails/2660063/0" TargetMode="External"/><Relationship Id="rId248" Type="http://schemas.openxmlformats.org/officeDocument/2006/relationships/hyperlink" Target="https://eplanning.ie/LimerickCCC/AppFileRefDetails/2660202/0" TargetMode="External"/><Relationship Id="rId249" Type="http://schemas.openxmlformats.org/officeDocument/2006/relationships/hyperlink" Target="https://eplanning.ie/LimerickCCC/AppFileRefDetails/258328/0" TargetMode="External"/><Relationship Id="rId250" Type="http://schemas.openxmlformats.org/officeDocument/2006/relationships/hyperlink" Target="https://eplanning.ie/LimerickCCC/AppFileRefDetails/2660604/0" TargetMode="External"/><Relationship Id="rId251" Type="http://schemas.openxmlformats.org/officeDocument/2006/relationships/hyperlink" Target="https://eplanning.ie/LimerickCCC/AppFileRefDetails/2660675/0" TargetMode="External"/><Relationship Id="rId252" Type="http://schemas.openxmlformats.org/officeDocument/2006/relationships/hyperlink" Target="https://eplanning.ie/LimerickCCC/AppFileRefDetails/2660742/0" TargetMode="External"/><Relationship Id="rId253" Type="http://schemas.openxmlformats.org/officeDocument/2006/relationships/hyperlink" Target="https://eplanning.ie/LimerickCCC/AppFileRefDetails/2660652/0" TargetMode="External"/><Relationship Id="rId254" Type="http://schemas.openxmlformats.org/officeDocument/2006/relationships/hyperlink" Target="https://eplanning.ie/LimerickCCC/AppFileRefDetails/2660232/0" TargetMode="External"/><Relationship Id="rId255"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eplanning.ie/LimerickCCC/AppFileRefDetails/20307014/0" TargetMode="External"/><Relationship Id="rId2" Type="http://schemas.openxmlformats.org/officeDocument/2006/relationships/hyperlink" Target="https://eplanning.ie/LimerickCCC/AppFileRefDetails/2661011/0" TargetMode="External"/><Relationship Id="rId3" Type="http://schemas.openxmlformats.org/officeDocument/2006/relationships/hyperlink" Target="https://eplanning.ie/LimerickCCC/AppFileRefDetails/2660855/0" TargetMode="External"/><Relationship Id="rId4" Type="http://schemas.openxmlformats.org/officeDocument/2006/relationships/hyperlink" Target="https://eplanning.ie/LimerickCCC/AppFileRefDetails/2660886/0" TargetMode="External"/><Relationship Id="rId5" Type="http://schemas.openxmlformats.org/officeDocument/2006/relationships/hyperlink" Target="https://eplanning.ie/LimerickCCC/AppFileRefDetails/2660865/0" TargetMode="External"/><Relationship Id="rId6" Type="http://schemas.openxmlformats.org/officeDocument/2006/relationships/hyperlink" Target="https://eplanning.ie/LimerickCCC/AppFileRefDetails/2660134/0" TargetMode="External"/><Relationship Id="rId7" Type="http://schemas.openxmlformats.org/officeDocument/2006/relationships/hyperlink" Target="https://eplanning.ie/LimerickCCC/AppFileRefDetails/24179002/0" TargetMode="External"/><Relationship Id="rId8" Type="http://schemas.openxmlformats.org/officeDocument/2006/relationships/hyperlink" Target="https://eplanning.ie/LimerickCCC/AppFileRefDetails/20525/0" TargetMode="External"/><Relationship Id="rId9" Type="http://schemas.openxmlformats.org/officeDocument/2006/relationships/hyperlink" Target="https://eplanning.ie/LimerickCCC/AppFileRefDetails/24151/0" TargetMode="External"/><Relationship Id="rId10"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10"/>
  </cols>
  <sheetData>
    <row r="1" customFormat="false" ht="17.35" hidden="false" customHeight="false" outlineLevel="0" collapsed="false">
      <c r="A1" s="1" t="s">
        <v>0</v>
      </c>
      <c r="B1" s="2"/>
      <c r="C1" s="2"/>
    </row>
    <row r="2" customFormat="false" ht="15" hidden="false" customHeight="false" outlineLevel="0" collapsed="false">
      <c r="A2" s="2"/>
      <c r="B2" s="2"/>
      <c r="C2" s="2"/>
    </row>
    <row r="3" customFormat="false" ht="15" hidden="false" customHeight="false" outlineLevel="0" collapsed="false">
      <c r="A3" s="3" t="s">
        <v>1</v>
      </c>
      <c r="B3" s="2"/>
      <c r="C3" s="2"/>
    </row>
    <row r="4" customFormat="false" ht="15" hidden="false" customHeight="false" outlineLevel="0" collapsed="false">
      <c r="A4" s="4" t="s">
        <v>2</v>
      </c>
      <c r="B4" s="5" t="n">
        <v>46294</v>
      </c>
      <c r="C4" s="6" t="s">
        <v>3</v>
      </c>
    </row>
    <row r="5" customFormat="false" ht="15" hidden="false" customHeight="false" outlineLevel="0" collapsed="false">
      <c r="A5" s="4" t="s">
        <v>4</v>
      </c>
      <c r="B5" s="7" t="n">
        <v>24</v>
      </c>
      <c r="C5" s="6" t="s">
        <v>5</v>
      </c>
    </row>
    <row r="6" customFormat="false" ht="15" hidden="false" customHeight="false" outlineLevel="0" collapsed="false">
      <c r="A6" s="4" t="s">
        <v>6</v>
      </c>
      <c r="B6" s="7" t="n">
        <v>150</v>
      </c>
      <c r="C6" s="6" t="s">
        <v>7</v>
      </c>
    </row>
    <row r="7" customFormat="false" ht="15" hidden="false" customHeight="false" outlineLevel="0" collapsed="false">
      <c r="A7" s="4" t="s">
        <v>8</v>
      </c>
      <c r="B7" s="7" t="n">
        <v>500</v>
      </c>
      <c r="C7" s="6" t="s">
        <v>9</v>
      </c>
    </row>
    <row r="8" customFormat="false" ht="15" hidden="false" customHeight="false" outlineLevel="0" collapsed="false">
      <c r="A8" s="2"/>
      <c r="B8" s="2"/>
      <c r="C8" s="2"/>
    </row>
    <row r="9" customFormat="false" ht="15" hidden="false" customHeight="false" outlineLevel="0" collapsed="false">
      <c r="A9" s="2"/>
      <c r="B9" s="2"/>
      <c r="C9" s="2"/>
    </row>
    <row r="10" customFormat="false" ht="15" hidden="false" customHeight="false" outlineLevel="0" collapsed="false">
      <c r="A10" s="3" t="s">
        <v>10</v>
      </c>
      <c r="B10" s="8"/>
      <c r="C10" s="8"/>
    </row>
    <row r="11" customFormat="false" ht="15" hidden="false" customHeight="true" outlineLevel="0" collapsed="false">
      <c r="A11" s="4" t="s">
        <v>11</v>
      </c>
      <c r="B11" s="8" t="s">
        <v>12</v>
      </c>
      <c r="C11" s="8"/>
    </row>
    <row r="12" customFormat="false" ht="15" hidden="false" customHeight="true" outlineLevel="0" collapsed="false">
      <c r="A12" s="4" t="s">
        <v>13</v>
      </c>
      <c r="B12" s="8" t="s">
        <v>14</v>
      </c>
      <c r="C12" s="8"/>
    </row>
    <row r="13" customFormat="false" ht="23.85" hidden="false" customHeight="true" outlineLevel="0" collapsed="false">
      <c r="A13" s="4" t="s">
        <v>15</v>
      </c>
      <c r="B13" s="8" t="s">
        <v>16</v>
      </c>
      <c r="C13" s="8"/>
    </row>
    <row r="14" customFormat="false" ht="15" hidden="false" customHeight="true" outlineLevel="0" collapsed="false">
      <c r="A14" s="4" t="s">
        <v>17</v>
      </c>
      <c r="B14" s="8" t="s">
        <v>18</v>
      </c>
      <c r="C14" s="8"/>
    </row>
    <row r="15" customFormat="false" ht="15" hidden="false" customHeight="false" outlineLevel="0" collapsed="false">
      <c r="A15" s="4"/>
      <c r="B15" s="8"/>
      <c r="C15" s="8"/>
    </row>
    <row r="16" customFormat="false" ht="15" hidden="false" customHeight="false" outlineLevel="0" collapsed="false">
      <c r="A16" s="3" t="s">
        <v>19</v>
      </c>
      <c r="B16" s="8"/>
      <c r="C16" s="8"/>
    </row>
    <row r="17" customFormat="false" ht="23.85" hidden="false" customHeight="true" outlineLevel="0" collapsed="false">
      <c r="A17" s="4" t="s">
        <v>20</v>
      </c>
      <c r="B17" s="8" t="s">
        <v>21</v>
      </c>
      <c r="C17" s="8"/>
    </row>
    <row r="18" customFormat="false" ht="23.85" hidden="false" customHeight="true" outlineLevel="0" collapsed="false">
      <c r="A18" s="4" t="s">
        <v>22</v>
      </c>
      <c r="B18" s="8" t="s">
        <v>23</v>
      </c>
      <c r="C18" s="8"/>
    </row>
    <row r="19" customFormat="false" ht="23.85" hidden="false" customHeight="true" outlineLevel="0" collapsed="false">
      <c r="A19" s="4" t="s">
        <v>24</v>
      </c>
      <c r="B19" s="8" t="s">
        <v>25</v>
      </c>
      <c r="C19" s="8"/>
    </row>
    <row r="20" customFormat="false" ht="15" hidden="false" customHeight="true" outlineLevel="0" collapsed="false">
      <c r="A20" s="4" t="s">
        <v>26</v>
      </c>
      <c r="B20" s="8" t="s">
        <v>27</v>
      </c>
      <c r="C20" s="8"/>
    </row>
    <row r="21" customFormat="false" ht="15" hidden="false" customHeight="true" outlineLevel="0" collapsed="false">
      <c r="A21" s="4" t="s">
        <v>28</v>
      </c>
      <c r="B21" s="8" t="s">
        <v>29</v>
      </c>
      <c r="C21" s="8"/>
    </row>
    <row r="22" customFormat="false" ht="23.85" hidden="false" customHeight="true" outlineLevel="0" collapsed="false">
      <c r="A22" s="4" t="s">
        <v>30</v>
      </c>
      <c r="B22" s="8" t="s">
        <v>31</v>
      </c>
      <c r="C22" s="8"/>
    </row>
    <row r="23" customFormat="false" ht="15" hidden="false" customHeight="true" outlineLevel="0" collapsed="false">
      <c r="A23" s="4" t="s">
        <v>32</v>
      </c>
      <c r="B23" s="8" t="s">
        <v>33</v>
      </c>
      <c r="C23" s="8"/>
    </row>
    <row r="24" customFormat="false" ht="15" hidden="false" customHeight="true" outlineLevel="0" collapsed="false">
      <c r="A24" s="4" t="s">
        <v>34</v>
      </c>
      <c r="B24" s="8" t="s">
        <v>35</v>
      </c>
      <c r="C24" s="8"/>
    </row>
    <row r="25" customFormat="false" ht="15" hidden="false" customHeight="false" outlineLevel="0" collapsed="false">
      <c r="A25" s="4"/>
      <c r="B25" s="8"/>
      <c r="C25" s="8"/>
    </row>
    <row r="26" customFormat="false" ht="15" hidden="false" customHeight="false" outlineLevel="0" collapsed="false">
      <c r="A26" s="3" t="s">
        <v>36</v>
      </c>
      <c r="B26" s="8"/>
      <c r="C26" s="8"/>
    </row>
    <row r="27" customFormat="false" ht="23.85" hidden="false" customHeight="true" outlineLevel="0" collapsed="false">
      <c r="A27" s="4" t="s">
        <v>37</v>
      </c>
      <c r="B27" s="8" t="s">
        <v>38</v>
      </c>
      <c r="C27" s="8"/>
    </row>
    <row r="28" customFormat="false" ht="23.85" hidden="false" customHeight="true" outlineLevel="0" collapsed="false">
      <c r="A28" s="4" t="s">
        <v>39</v>
      </c>
      <c r="B28" s="8" t="s">
        <v>40</v>
      </c>
      <c r="C28" s="8"/>
    </row>
    <row r="29" customFormat="false" ht="15" hidden="false" customHeight="true" outlineLevel="0" collapsed="false">
      <c r="A29" s="4" t="s">
        <v>41</v>
      </c>
      <c r="B29" s="8" t="s">
        <v>42</v>
      </c>
      <c r="C29" s="8"/>
    </row>
    <row r="30" customFormat="false" ht="23.85" hidden="false" customHeight="true" outlineLevel="0" collapsed="false">
      <c r="A30" s="4" t="s">
        <v>43</v>
      </c>
      <c r="B30" s="8" t="s">
        <v>44</v>
      </c>
      <c r="C30" s="8"/>
    </row>
    <row r="31" customFormat="false" ht="15" hidden="false" customHeight="false" outlineLevel="0" collapsed="false">
      <c r="A31" s="4"/>
      <c r="B31" s="8"/>
      <c r="C31" s="8"/>
    </row>
    <row r="32" customFormat="false" ht="15" hidden="false" customHeight="false" outlineLevel="0" collapsed="false">
      <c r="A32" s="3" t="s">
        <v>45</v>
      </c>
      <c r="B32" s="8"/>
      <c r="C32" s="8"/>
    </row>
    <row r="33" customFormat="false" ht="15" hidden="false" customHeight="true" outlineLevel="0" collapsed="false">
      <c r="A33" s="4" t="s">
        <v>46</v>
      </c>
      <c r="B33" s="8" t="s">
        <v>47</v>
      </c>
      <c r="C33" s="8"/>
    </row>
    <row r="34" customFormat="false" ht="15" hidden="false" customHeight="true" outlineLevel="0" collapsed="false">
      <c r="A34" s="4" t="s">
        <v>48</v>
      </c>
      <c r="B34" s="8" t="s">
        <v>49</v>
      </c>
      <c r="C34" s="8"/>
    </row>
    <row r="35" customFormat="false" ht="23.85" hidden="false" customHeight="true" outlineLevel="0" collapsed="false">
      <c r="A35" s="4" t="s">
        <v>50</v>
      </c>
      <c r="B35" s="8" t="s">
        <v>51</v>
      </c>
      <c r="C35" s="8"/>
    </row>
    <row r="36" customFormat="false" ht="15" hidden="false" customHeight="false" outlineLevel="0" collapsed="false">
      <c r="A36" s="4"/>
      <c r="B36" s="8"/>
      <c r="C36" s="8"/>
    </row>
    <row r="37" customFormat="false" ht="15" hidden="false" customHeight="false" outlineLevel="0" collapsed="false">
      <c r="A37" s="3" t="s">
        <v>52</v>
      </c>
      <c r="B37" s="8"/>
      <c r="C37" s="8"/>
    </row>
    <row r="38" customFormat="false" ht="15" hidden="false" customHeight="true" outlineLevel="0" collapsed="false">
      <c r="A38" s="4" t="s">
        <v>53</v>
      </c>
      <c r="B38" s="8" t="s">
        <v>54</v>
      </c>
      <c r="C38" s="8"/>
    </row>
    <row r="39" customFormat="false" ht="15" hidden="false" customHeight="true" outlineLevel="0" collapsed="false">
      <c r="A39" s="4" t="s">
        <v>55</v>
      </c>
      <c r="B39" s="8" t="s">
        <v>56</v>
      </c>
      <c r="C39" s="8"/>
    </row>
    <row r="40" customFormat="false" ht="23.85" hidden="false" customHeight="true" outlineLevel="0" collapsed="false">
      <c r="A40" s="4" t="s">
        <v>57</v>
      </c>
      <c r="B40" s="8" t="s">
        <v>58</v>
      </c>
      <c r="C40" s="8"/>
    </row>
    <row r="41" customFormat="false" ht="15" hidden="false" customHeight="true" outlineLevel="0" collapsed="false">
      <c r="A41" s="4" t="s">
        <v>59</v>
      </c>
      <c r="B41" s="8" t="s">
        <v>60</v>
      </c>
      <c r="C41" s="8"/>
    </row>
    <row r="42" customFormat="false" ht="23.85" hidden="false" customHeight="true" outlineLevel="0" collapsed="false">
      <c r="A42" s="4" t="s">
        <v>61</v>
      </c>
      <c r="B42" s="8" t="s">
        <v>62</v>
      </c>
      <c r="C42" s="8"/>
    </row>
    <row r="43" customFormat="false" ht="15" hidden="false" customHeight="true" outlineLevel="0" collapsed="false">
      <c r="A43" s="4" t="s">
        <v>63</v>
      </c>
      <c r="B43" s="8" t="s">
        <v>64</v>
      </c>
      <c r="C43" s="8"/>
    </row>
  </sheetData>
  <mergeCells count="34">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6"/>
    <col collapsed="false" customWidth="true" hidden="false" outlineLevel="0" max="7" min="2" style="0" width="17"/>
  </cols>
  <sheetData>
    <row r="1" customFormat="false" ht="17.35" hidden="false" customHeight="false" outlineLevel="0" collapsed="false">
      <c r="A1" s="1" t="s">
        <v>65</v>
      </c>
      <c r="B1" s="2"/>
      <c r="C1" s="2"/>
      <c r="D1" s="2"/>
      <c r="E1" s="2"/>
      <c r="F1" s="2"/>
      <c r="G1" s="2"/>
    </row>
    <row r="2" customFormat="false" ht="15" hidden="false" customHeight="false" outlineLevel="0" collapsed="false">
      <c r="A2" s="2" t="str">
        <f aca="false">"Report date "&amp;TEXT(Method!$B$4,"dd/mm/yyyy")&amp;". Counted applications only (see Relationship). Delivered and Excluded kept out of pipeline totals."</f>
        <v>Report date 29/09/2026. Counted applications only (see Relationship). Delivered and Excluded kept out of pipeline totals.</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9" t="s">
        <v>66</v>
      </c>
      <c r="B4" s="2"/>
      <c r="C4" s="2"/>
      <c r="D4" s="2"/>
      <c r="E4" s="2"/>
      <c r="F4" s="2"/>
      <c r="G4" s="2"/>
    </row>
    <row r="5" customFormat="false" ht="15" hidden="false" customHeight="false" outlineLevel="0" collapsed="false">
      <c r="A5" s="2" t="s">
        <v>67</v>
      </c>
      <c r="B5" s="10" t="n">
        <f aca="false">SUM(Applications!$AL$2:$AL$293)</f>
        <v>8902</v>
      </c>
      <c r="C5" s="2"/>
      <c r="D5" s="2"/>
      <c r="E5" s="2"/>
      <c r="F5" s="2"/>
      <c r="G5" s="2"/>
    </row>
    <row r="6" customFormat="false" ht="15" hidden="false" customHeight="false" outlineLevel="0" collapsed="false">
      <c r="A6" s="2" t="s">
        <v>68</v>
      </c>
      <c r="B6" s="10" t="n">
        <f aca="false">SUM(Applications!$AM$2:$AM$293)</f>
        <v>743</v>
      </c>
      <c r="C6" s="2"/>
      <c r="D6" s="2"/>
      <c r="E6" s="2"/>
      <c r="F6" s="2"/>
      <c r="G6" s="2"/>
    </row>
    <row r="7" customFormat="false" ht="15" hidden="false" customHeight="false" outlineLevel="0" collapsed="false">
      <c r="A7" s="2" t="s">
        <v>69</v>
      </c>
      <c r="B7" s="10" t="n">
        <f aca="false">SUM(Applications!$AN$2:$AN$293)</f>
        <v>2142</v>
      </c>
      <c r="C7" s="2"/>
      <c r="D7" s="2"/>
      <c r="E7" s="2"/>
      <c r="F7" s="2"/>
      <c r="G7" s="2"/>
    </row>
    <row r="8" customFormat="false" ht="15" hidden="false" customHeight="false" outlineLevel="0" collapsed="false">
      <c r="A8" s="2" t="s">
        <v>70</v>
      </c>
      <c r="B8" s="10" t="n">
        <f aca="false">SUMIFS(Applications!$AL$2:$AL$293,Applications!$AG$2:$AG$293,"Committed")+SUMIFS(Applications!$AL$2:$AL$293,Applications!$AG$2:$AG$293,"Committed Pre-Construction")+SUMIFS(Applications!$AL$2:$AL$293,Applications!$AG$2:$AG$293,"Advanced Pre-Construction")</f>
        <v>3655</v>
      </c>
      <c r="C8" s="2"/>
      <c r="D8" s="2"/>
      <c r="E8" s="2"/>
      <c r="F8" s="2"/>
      <c r="G8" s="2"/>
    </row>
    <row r="9" customFormat="false" ht="15" hidden="false" customHeight="false" outlineLevel="0" collapsed="false">
      <c r="A9" s="2" t="s">
        <v>71</v>
      </c>
      <c r="B9" s="10" t="n">
        <f aca="false">SUM(Applications!$AK$2:$AK$293)</f>
        <v>1325</v>
      </c>
      <c r="C9" s="2"/>
      <c r="D9" s="2"/>
      <c r="E9" s="2"/>
      <c r="F9" s="2"/>
      <c r="G9" s="2"/>
    </row>
    <row r="10" customFormat="false" ht="15" hidden="false" customHeight="false" outlineLevel="0" collapsed="false">
      <c r="A10" s="2" t="s">
        <v>72</v>
      </c>
      <c r="B10" s="10" t="n">
        <f aca="false">COUNTIF(Applications!$Z$2:$Z$293,"Yes")</f>
        <v>257</v>
      </c>
      <c r="C10" s="2"/>
      <c r="D10" s="2"/>
      <c r="E10" s="2"/>
      <c r="F10" s="2"/>
      <c r="G10" s="2"/>
    </row>
    <row r="11" customFormat="false" ht="15" hidden="false" customHeight="false" outlineLevel="0" collapsed="false">
      <c r="A11" s="2" t="s">
        <v>73</v>
      </c>
      <c r="B11" s="10" t="n">
        <f aca="false">COUNTIF(Applications!$Z$2:$Z$293,"No")</f>
        <v>35</v>
      </c>
      <c r="C11" s="2"/>
      <c r="D11" s="2"/>
      <c r="E11" s="2"/>
      <c r="F11" s="2"/>
      <c r="G11" s="2"/>
    </row>
    <row r="12" customFormat="false" ht="15" hidden="false" customHeight="false" outlineLevel="0" collapsed="false">
      <c r="A12" s="2"/>
      <c r="B12" s="2"/>
      <c r="C12" s="2"/>
      <c r="D12" s="2"/>
      <c r="E12" s="2"/>
      <c r="F12" s="2"/>
      <c r="G12" s="2"/>
    </row>
    <row r="13" customFormat="false" ht="15" hidden="false" customHeight="false" outlineLevel="0" collapsed="false">
      <c r="A13" s="9" t="s">
        <v>74</v>
      </c>
      <c r="B13" s="2"/>
      <c r="C13" s="2"/>
      <c r="D13" s="2"/>
      <c r="E13" s="2"/>
      <c r="F13" s="2"/>
      <c r="G13" s="2"/>
    </row>
    <row r="14" customFormat="false" ht="15" hidden="false" customHeight="false" outlineLevel="0" collapsed="false">
      <c r="A14" s="2" t="s">
        <v>75</v>
      </c>
      <c r="B14" s="11" t="n">
        <v>11402</v>
      </c>
      <c r="C14" s="2" t="s">
        <v>76</v>
      </c>
      <c r="D14" s="2"/>
      <c r="E14" s="2"/>
      <c r="F14" s="2"/>
      <c r="G14" s="2"/>
    </row>
    <row r="15" customFormat="false" ht="15" hidden="false" customHeight="false" outlineLevel="0" collapsed="false">
      <c r="A15" s="2" t="s">
        <v>77</v>
      </c>
      <c r="B15" s="10" t="n">
        <f aca="false">SUMIFS(Applications!$Q$2:$Q$293,Applications!$Z$2:$Z$293,"No",Applications!$N$2:$N$293,"Yes")</f>
        <v>809</v>
      </c>
      <c r="C15" s="2"/>
      <c r="D15" s="2"/>
      <c r="E15" s="2"/>
      <c r="F15" s="2"/>
      <c r="G15" s="2"/>
    </row>
    <row r="16" customFormat="false" ht="15" hidden="false" customHeight="false" outlineLevel="0" collapsed="false">
      <c r="A16" s="2" t="s">
        <v>78</v>
      </c>
      <c r="B16" s="10" t="n">
        <f aca="false">SUMIFS(Applications!$AI$2:$AI$293,Applications!$AG$2:$AG$293,"Excluded")</f>
        <v>0</v>
      </c>
      <c r="C16" s="2"/>
      <c r="D16" s="2"/>
      <c r="E16" s="2"/>
      <c r="F16" s="2"/>
      <c r="G16" s="2"/>
    </row>
    <row r="17" customFormat="false" ht="15" hidden="false" customHeight="false" outlineLevel="0" collapsed="false">
      <c r="A17" s="2" t="s">
        <v>79</v>
      </c>
      <c r="B17" s="12" t="n">
        <f aca="false">B5+B6+B9</f>
        <v>10970</v>
      </c>
      <c r="C17" s="2"/>
      <c r="D17" s="2"/>
      <c r="E17" s="2"/>
      <c r="F17" s="2"/>
      <c r="G17" s="2"/>
    </row>
    <row r="18" customFormat="false" ht="15" hidden="false" customHeight="false" outlineLevel="0" collapsed="false">
      <c r="A18" s="2" t="s">
        <v>80</v>
      </c>
      <c r="B18" s="10" t="n">
        <f aca="false">B17-B14</f>
        <v>-432</v>
      </c>
      <c r="C18" s="2"/>
      <c r="D18" s="2"/>
      <c r="E18" s="2"/>
      <c r="F18" s="2"/>
      <c r="G18" s="2"/>
    </row>
    <row r="19" customFormat="false" ht="15" hidden="false" customHeight="false" outlineLevel="0" collapsed="false">
      <c r="A19" s="2"/>
      <c r="B19" s="2"/>
      <c r="C19" s="2"/>
      <c r="D19" s="2"/>
      <c r="E19" s="2"/>
      <c r="F19" s="2"/>
      <c r="G19" s="2"/>
    </row>
    <row r="20" customFormat="false" ht="15" hidden="false" customHeight="false" outlineLevel="0" collapsed="false">
      <c r="A20" s="9" t="s">
        <v>81</v>
      </c>
      <c r="B20" s="2"/>
      <c r="C20" s="2"/>
      <c r="D20" s="2"/>
      <c r="E20" s="2"/>
      <c r="F20" s="2"/>
      <c r="G20" s="2"/>
    </row>
    <row r="21" customFormat="false" ht="15" hidden="false" customHeight="false" outlineLevel="0" collapsed="false">
      <c r="A21" s="13" t="s">
        <v>37</v>
      </c>
      <c r="B21" s="13" t="s">
        <v>82</v>
      </c>
      <c r="C21" s="13" t="s">
        <v>83</v>
      </c>
      <c r="D21" s="13" t="s">
        <v>84</v>
      </c>
      <c r="E21" s="13" t="s">
        <v>85</v>
      </c>
      <c r="F21" s="13" t="s">
        <v>86</v>
      </c>
      <c r="G21" s="13" t="s">
        <v>87</v>
      </c>
    </row>
    <row r="22" customFormat="false" ht="15" hidden="false" customHeight="false" outlineLevel="0" collapsed="false">
      <c r="A22" s="2" t="s">
        <v>88</v>
      </c>
      <c r="B22" s="10" t="n">
        <f aca="false">COUNTIFS(Applications!$AG$2:$AG$293,A22)</f>
        <v>73</v>
      </c>
      <c r="C22" s="10" t="n">
        <f aca="false">SUMIFS(Applications!$AL$2:$AL$293,Applications!$AG$2:$AG$293,A22)</f>
        <v>2879</v>
      </c>
      <c r="D22" s="10" t="n">
        <f aca="false">SUMIFS(Applications!$AM$2:$AM$293,Applications!$AG$2:$AG$293,A22)</f>
        <v>26</v>
      </c>
      <c r="E22" s="10" t="n">
        <f aca="false">SUMIFS(Applications!$AN$2:$AN$293,Applications!$AG$2:$AG$293,A22)</f>
        <v>202</v>
      </c>
      <c r="F22" s="10" t="n">
        <f aca="false">SUMIFS(Applications!$AV$2:$AV$293,Applications!$AG$2:$AG$293,A22,Applications!$P$2:$P$293,"General")</f>
        <v>2428</v>
      </c>
      <c r="G22" s="14" t="n">
        <f aca="false">IF(SUMIFS(Applications!$AI$2:$AI$293,Applications!$AG$2:$AG$293,A22,Applications!$P$2:$P$293,"General")=0,"",MIN(1,F22/SUMIFS(Applications!$AI$2:$AI$293,Applications!$AG$2:$AG$293,A22,Applications!$P$2:$P$293,"General")))</f>
        <v>0.815312290127602</v>
      </c>
    </row>
    <row r="23" customFormat="false" ht="15" hidden="false" customHeight="false" outlineLevel="0" collapsed="false">
      <c r="A23" s="2" t="s">
        <v>89</v>
      </c>
      <c r="B23" s="10" t="n">
        <f aca="false">COUNTIFS(Applications!$AG$2:$AG$293,A23)</f>
        <v>10</v>
      </c>
      <c r="C23" s="10" t="n">
        <f aca="false">SUMIFS(Applications!$AL$2:$AL$293,Applications!$AG$2:$AG$293,A23)</f>
        <v>309</v>
      </c>
      <c r="D23" s="10" t="n">
        <f aca="false">SUMIFS(Applications!$AM$2:$AM$293,Applications!$AG$2:$AG$293,A23)</f>
        <v>0</v>
      </c>
      <c r="E23" s="10" t="n">
        <f aca="false">SUMIFS(Applications!$AN$2:$AN$293,Applications!$AG$2:$AG$293,A23)</f>
        <v>0</v>
      </c>
      <c r="F23" s="10" t="n">
        <f aca="false">SUMIFS(Applications!$AV$2:$AV$293,Applications!$AG$2:$AG$293,A23,Applications!$P$2:$P$293,"General")</f>
        <v>225</v>
      </c>
      <c r="G23" s="14" t="n">
        <f aca="false">IF(SUMIFS(Applications!$AI$2:$AI$293,Applications!$AG$2:$AG$293,A23,Applications!$P$2:$P$293,"General")=0,"",MIN(1,F23/SUMIFS(Applications!$AI$2:$AI$293,Applications!$AG$2:$AG$293,A23,Applications!$P$2:$P$293,"General")))</f>
        <v>0.728155339805825</v>
      </c>
    </row>
    <row r="24" customFormat="false" ht="15" hidden="false" customHeight="false" outlineLevel="0" collapsed="false">
      <c r="A24" s="2" t="s">
        <v>90</v>
      </c>
      <c r="B24" s="10" t="n">
        <f aca="false">COUNTIFS(Applications!$AG$2:$AG$293,A24)</f>
        <v>13</v>
      </c>
      <c r="C24" s="10" t="n">
        <f aca="false">SUMIFS(Applications!$AL$2:$AL$293,Applications!$AG$2:$AG$293,A24)</f>
        <v>467</v>
      </c>
      <c r="D24" s="10" t="n">
        <f aca="false">SUMIFS(Applications!$AM$2:$AM$293,Applications!$AG$2:$AG$293,A24)</f>
        <v>0</v>
      </c>
      <c r="E24" s="10" t="n">
        <f aca="false">SUMIFS(Applications!$AN$2:$AN$293,Applications!$AG$2:$AG$293,A24)</f>
        <v>0</v>
      </c>
      <c r="F24" s="10" t="n">
        <f aca="false">SUMIFS(Applications!$AV$2:$AV$293,Applications!$AG$2:$AG$293,A24,Applications!$P$2:$P$293,"General")</f>
        <v>415</v>
      </c>
      <c r="G24" s="14" t="n">
        <f aca="false">IF(SUMIFS(Applications!$AI$2:$AI$293,Applications!$AG$2:$AG$293,A24,Applications!$P$2:$P$293,"General")=0,"",MIN(1,F24/SUMIFS(Applications!$AI$2:$AI$293,Applications!$AG$2:$AG$293,A24,Applications!$P$2:$P$293,"General")))</f>
        <v>0.888650963597431</v>
      </c>
    </row>
    <row r="25" customFormat="false" ht="15" hidden="false" customHeight="false" outlineLevel="0" collapsed="false">
      <c r="A25" s="2" t="s">
        <v>91</v>
      </c>
      <c r="B25" s="10" t="n">
        <f aca="false">COUNTIFS(Applications!$AG$2:$AG$293,A25)</f>
        <v>5</v>
      </c>
      <c r="C25" s="10" t="n">
        <f aca="false">SUMIFS(Applications!$AL$2:$AL$293,Applications!$AG$2:$AG$293,A25)</f>
        <v>592</v>
      </c>
      <c r="D25" s="10" t="n">
        <f aca="false">SUMIFS(Applications!$AM$2:$AM$293,Applications!$AG$2:$AG$293,A25)</f>
        <v>196</v>
      </c>
      <c r="E25" s="10" t="n">
        <f aca="false">SUMIFS(Applications!$AN$2:$AN$293,Applications!$AG$2:$AG$293,A25)</f>
        <v>1400</v>
      </c>
      <c r="F25" s="10" t="n">
        <f aca="false">SUMIFS(Applications!$AV$2:$AV$293,Applications!$AG$2:$AG$293,A25,Applications!$P$2:$P$293,"General")</f>
        <v>574</v>
      </c>
      <c r="G25" s="14" t="n">
        <f aca="false">IF(SUMIFS(Applications!$AI$2:$AI$293,Applications!$AG$2:$AG$293,A25,Applications!$P$2:$P$293,"General")=0,"",MIN(1,F25/SUMIFS(Applications!$AI$2:$AI$293,Applications!$AG$2:$AG$293,A25,Applications!$P$2:$P$293,"General")))</f>
        <v>0.969594594594595</v>
      </c>
    </row>
    <row r="26" customFormat="false" ht="15" hidden="false" customHeight="false" outlineLevel="0" collapsed="false">
      <c r="A26" s="2" t="s">
        <v>92</v>
      </c>
      <c r="B26" s="10" t="n">
        <f aca="false">COUNTIFS(Applications!$AG$2:$AG$293,A26)</f>
        <v>36</v>
      </c>
      <c r="C26" s="10" t="n">
        <f aca="false">SUMIFS(Applications!$AL$2:$AL$293,Applications!$AG$2:$AG$293,A26)</f>
        <v>2803</v>
      </c>
      <c r="D26" s="10" t="n">
        <f aca="false">SUMIFS(Applications!$AM$2:$AM$293,Applications!$AG$2:$AG$293,A26)</f>
        <v>465</v>
      </c>
      <c r="E26" s="10" t="n">
        <f aca="false">SUMIFS(Applications!$AN$2:$AN$293,Applications!$AG$2:$AG$293,A26)</f>
        <v>424</v>
      </c>
      <c r="F26" s="10" t="n">
        <f aca="false">SUMIFS(Applications!$AV$2:$AV$293,Applications!$AG$2:$AG$293,A26,Applications!$P$2:$P$293,"General")</f>
        <v>2669</v>
      </c>
      <c r="G26" s="14" t="n">
        <f aca="false">IF(SUMIFS(Applications!$AI$2:$AI$293,Applications!$AG$2:$AG$293,A26,Applications!$P$2:$P$293,"General")=0,"",MIN(1,F26/SUMIFS(Applications!$AI$2:$AI$293,Applications!$AG$2:$AG$293,A26,Applications!$P$2:$P$293,"General")))</f>
        <v>0.952194077773814</v>
      </c>
    </row>
    <row r="27" customFormat="false" ht="15" hidden="false" customHeight="false" outlineLevel="0" collapsed="false">
      <c r="A27" s="2" t="s">
        <v>93</v>
      </c>
      <c r="B27" s="10" t="n">
        <f aca="false">COUNTIFS(Applications!$AG$2:$AG$293,A27)</f>
        <v>15</v>
      </c>
      <c r="C27" s="10" t="n">
        <f aca="false">SUMIFS(Applications!$AL$2:$AL$293,Applications!$AG$2:$AG$293,A27)</f>
        <v>263</v>
      </c>
      <c r="D27" s="10" t="n">
        <f aca="false">SUMIFS(Applications!$AM$2:$AM$293,Applications!$AG$2:$AG$293,A27)</f>
        <v>0</v>
      </c>
      <c r="E27" s="10" t="n">
        <f aca="false">SUMIFS(Applications!$AN$2:$AN$293,Applications!$AG$2:$AG$293,A27)</f>
        <v>0</v>
      </c>
      <c r="F27" s="10" t="n">
        <f aca="false">SUMIFS(Applications!$AV$2:$AV$293,Applications!$AG$2:$AG$293,A27,Applications!$P$2:$P$293,"General")</f>
        <v>173</v>
      </c>
      <c r="G27" s="14" t="n">
        <f aca="false">IF(SUMIFS(Applications!$AI$2:$AI$293,Applications!$AG$2:$AG$293,A27,Applications!$P$2:$P$293,"General")=0,"",MIN(1,F27/SUMIFS(Applications!$AI$2:$AI$293,Applications!$AG$2:$AG$293,A27,Applications!$P$2:$P$293,"General")))</f>
        <v>0.657794676806084</v>
      </c>
    </row>
    <row r="28" customFormat="false" ht="15" hidden="false" customHeight="false" outlineLevel="0" collapsed="false">
      <c r="A28" s="2" t="s">
        <v>94</v>
      </c>
      <c r="B28" s="10" t="n">
        <f aca="false">COUNTIFS(Applications!$AG$2:$AG$293,A28)</f>
        <v>61</v>
      </c>
      <c r="C28" s="10" t="n">
        <f aca="false">SUMIFS(Applications!$AL$2:$AL$293,Applications!$AG$2:$AG$293,A28)</f>
        <v>1589</v>
      </c>
      <c r="D28" s="10" t="n">
        <f aca="false">SUMIFS(Applications!$AM$2:$AM$293,Applications!$AG$2:$AG$293,A28)</f>
        <v>56</v>
      </c>
      <c r="E28" s="10" t="n">
        <f aca="false">SUMIFS(Applications!$AN$2:$AN$293,Applications!$AG$2:$AG$293,A28)</f>
        <v>116</v>
      </c>
      <c r="F28" s="10" t="n">
        <f aca="false">SUMIFS(Applications!$AV$2:$AV$293,Applications!$AG$2:$AG$293,A28,Applications!$P$2:$P$293,"General")</f>
        <v>1043</v>
      </c>
      <c r="G28" s="14" t="n">
        <f aca="false">IF(SUMIFS(Applications!$AI$2:$AI$293,Applications!$AG$2:$AG$293,A28,Applications!$P$2:$P$293,"General")=0,"",MIN(1,F28/SUMIFS(Applications!$AI$2:$AI$293,Applications!$AG$2:$AG$293,A28,Applications!$P$2:$P$293,"General")))</f>
        <v>0.656387665198238</v>
      </c>
    </row>
    <row r="29" customFormat="false" ht="15" hidden="false" customHeight="false" outlineLevel="0" collapsed="false">
      <c r="A29" s="3" t="s">
        <v>95</v>
      </c>
      <c r="B29" s="12" t="n">
        <f aca="false">SUM(B22:B28)</f>
        <v>213</v>
      </c>
      <c r="C29" s="12" t="n">
        <f aca="false">SUM(C22:C28)</f>
        <v>8902</v>
      </c>
      <c r="D29" s="12" t="n">
        <f aca="false">SUM(D22:D28)</f>
        <v>743</v>
      </c>
      <c r="E29" s="12" t="n">
        <f aca="false">SUM(E22:E28)</f>
        <v>2142</v>
      </c>
      <c r="F29" s="12" t="n">
        <f aca="false">SUM(F22:F28)</f>
        <v>7527</v>
      </c>
      <c r="G29" s="15" t="n">
        <f aca="false">IF(SUMIFS(Applications!$AI$2:$AI$293,Applications!$AG$2:$AG$293,A22,Applications!$P$2:$P$293,"General")+SUMIFS(Applications!$AI$2:$AI$293,Applications!$AG$2:$AG$293,A23,Applications!$P$2:$P$293,"General")+SUMIFS(Applications!$AI$2:$AI$293,Applications!$AG$2:$AG$293,A24,Applications!$P$2:$P$293,"General")+SUMIFS(Applications!$AI$2:$AI$293,Applications!$AG$2:$AG$293,A25,Applications!$P$2:$P$293,"General")+SUMIFS(Applications!$AI$2:$AI$293,Applications!$AG$2:$AG$293,A26,Applications!$P$2:$P$293,"General")+SUMIFS(Applications!$AI$2:$AI$293,Applications!$AG$2:$AG$293,A27,Applications!$P$2:$P$293,"General")+SUMIFS(Applications!$AI$2:$AI$293,Applications!$AG$2:$AG$293,A28,Applications!$P$2:$P$293,"General")=0,"",MIN(1,F29/(SUMIFS(Applications!$AI$2:$AI$293,Applications!$AG$2:$AG$293,A22,Applications!$P$2:$P$293,"General")+SUMIFS(Applications!$AI$2:$AI$293,Applications!$AG$2:$AG$293,A23,Applications!$P$2:$P$293,"General")+SUMIFS(Applications!$AI$2:$AI$293,Applications!$AG$2:$AG$293,A24,Applications!$P$2:$P$293,"General")+SUMIFS(Applications!$AI$2:$AI$293,Applications!$AG$2:$AG$293,A25,Applications!$P$2:$P$293,"General")+SUMIFS(Applications!$AI$2:$AI$293,Applications!$AG$2:$AG$293,A26,Applications!$P$2:$P$293,"General")+SUMIFS(Applications!$AI$2:$AI$293,Applications!$AG$2:$AG$293,A27,Applications!$P$2:$P$293,"General")+SUMIFS(Applications!$AI$2:$AI$293,Applications!$AG$2:$AG$293,A28,Applications!$P$2:$P$293,"General"))))</f>
        <v>0.836240417731363</v>
      </c>
    </row>
    <row r="30" customFormat="false" ht="15" hidden="false" customHeight="false" outlineLevel="0" collapsed="false">
      <c r="A30" s="2" t="s">
        <v>96</v>
      </c>
      <c r="B30" s="10" t="n">
        <f aca="false">COUNTIFS(Applications!$AG$2:$AG$293,A30)</f>
        <v>44</v>
      </c>
      <c r="C30" s="10" t="n">
        <f aca="false">SUMIFS(Applications!$AK$2:$AK$293,Applications!$AG$2:$AG$293,A30,Applications!$P$2:$P$293,"General")</f>
        <v>1226</v>
      </c>
      <c r="D30" s="2"/>
      <c r="E30" s="2"/>
      <c r="F30" s="2"/>
      <c r="G30" s="2"/>
    </row>
    <row r="31" customFormat="false" ht="15" hidden="false" customHeight="false" outlineLevel="0" collapsed="false">
      <c r="A31" s="2" t="s">
        <v>97</v>
      </c>
      <c r="B31" s="10" t="n">
        <f aca="false">COUNTIFS(Applications!$AG$2:$AG$293,A31)</f>
        <v>0</v>
      </c>
      <c r="C31" s="10" t="n">
        <f aca="false">SUMIFS(Applications!$AI$2:$AI$293,Applications!$AG$2:$AG$293,A31,Applications!$P$2:$P$293,"General")</f>
        <v>0</v>
      </c>
      <c r="D31" s="2"/>
      <c r="E31" s="2"/>
      <c r="F31" s="2"/>
      <c r="G31" s="2"/>
    </row>
    <row r="32" customFormat="false" ht="15" hidden="false" customHeight="false" outlineLevel="0" collapsed="false">
      <c r="A32" s="16" t="s">
        <v>98</v>
      </c>
      <c r="B32" s="2"/>
      <c r="C32" s="2"/>
      <c r="D32" s="2"/>
      <c r="E32" s="2"/>
      <c r="F32" s="2"/>
      <c r="G32" s="2"/>
    </row>
    <row r="33" customFormat="false" ht="15" hidden="false" customHeight="false" outlineLevel="0" collapsed="false">
      <c r="A33" s="2"/>
      <c r="B33" s="2"/>
      <c r="C33" s="2"/>
      <c r="D33" s="2"/>
      <c r="E33" s="2"/>
      <c r="F33" s="2"/>
      <c r="G33" s="2"/>
    </row>
    <row r="34" customFormat="false" ht="15" hidden="false" customHeight="false" outlineLevel="0" collapsed="false">
      <c r="A34" s="9" t="s">
        <v>99</v>
      </c>
      <c r="B34" s="2"/>
      <c r="C34" s="2"/>
      <c r="D34" s="2"/>
      <c r="E34" s="2"/>
      <c r="F34" s="2"/>
      <c r="G34" s="2"/>
    </row>
    <row r="35" customFormat="false" ht="23.85" hidden="false" customHeight="false" outlineLevel="0" collapsed="false">
      <c r="A35" s="13" t="s">
        <v>100</v>
      </c>
      <c r="B35" s="13" t="s">
        <v>39</v>
      </c>
      <c r="C35" s="13" t="s">
        <v>101</v>
      </c>
      <c r="D35" s="13" t="s">
        <v>102</v>
      </c>
      <c r="E35" s="13" t="s">
        <v>103</v>
      </c>
      <c r="F35" s="13" t="s">
        <v>104</v>
      </c>
      <c r="G35" s="2"/>
    </row>
    <row r="36" customFormat="false" ht="15" hidden="false" customHeight="false" outlineLevel="0" collapsed="false">
      <c r="A36" s="2" t="s">
        <v>105</v>
      </c>
      <c r="B36" s="10" t="n">
        <f aca="false">SUMIFS(Applications!$AP$2:$AP$293,Applications!$AG$2:$AG$293,"&lt;&gt;Not counted",Applications!$AG$2:$AG$293,"&lt;&gt;Delivered",Applications!$AG$2:$AG$293,"&lt;&gt;Excluded",Applications!$P$2:$P$293,"General")</f>
        <v>1</v>
      </c>
      <c r="C36" s="14" t="n">
        <f aca="false">IF($B$42=0,"",B36/$B$42)</f>
        <v>0.000132855055134848</v>
      </c>
      <c r="D36" s="10" t="n">
        <f aca="false">SUMIFS(Applications!$AP$2:$AP$293,Applications!$AG$2:$AG$293,"&lt;&gt;Not counted",Applications!$AG$2:$AG$293,"&lt;&gt;Delivered",Applications!$AG$2:$AG$293,"&lt;&gt;Excluded",Applications!$P$2:$P$293,"General",Applications!$AO$2:$AO$293,"CIS / KPMG")</f>
        <v>0</v>
      </c>
      <c r="E36" s="10" t="n">
        <f aca="false">SUMIFS(Applications!$AP$2:$AP$293,Applications!$AG$2:$AG$293,"&lt;&gt;Not counted",Applications!$AG$2:$AG$293,"&lt;&gt;Delivered",Applications!$AG$2:$AG$293,"&lt;&gt;Excluded",Applications!$P$2:$P$293,"General",Applications!$AO$2:$AO$293,"Register description")</f>
        <v>1</v>
      </c>
      <c r="F36" s="10" t="n">
        <f aca="false">SUMIFS(Applications!$AP$2:$AP$293,Applications!$AG$2:$AG$293,"&lt;&gt;Not counted",Applications!$AG$2:$AG$293,"&lt;&gt;Delivered",Applications!$AG$2:$AG$293,"&lt;&gt;Excluded",Applications!$P$2:$P$293,"General",Applications!$AO$2:$AO$293,"Planning file documents")</f>
        <v>0</v>
      </c>
      <c r="G36" s="2"/>
    </row>
    <row r="37" customFormat="false" ht="15" hidden="false" customHeight="false" outlineLevel="0" collapsed="false">
      <c r="A37" s="2" t="s">
        <v>106</v>
      </c>
      <c r="B37" s="10" t="n">
        <f aca="false">SUMIFS(Applications!$AQ$2:$AQ$293,Applications!$AG$2:$AG$293,"&lt;&gt;Not counted",Applications!$AG$2:$AG$293,"&lt;&gt;Delivered",Applications!$AG$2:$AG$293,"&lt;&gt;Excluded",Applications!$P$2:$P$293,"General")</f>
        <v>1726</v>
      </c>
      <c r="C37" s="14" t="n">
        <f aca="false">IF($B$42=0,"",B37/$B$42)</f>
        <v>0.229307825162747</v>
      </c>
      <c r="D37" s="10" t="n">
        <f aca="false">SUMIFS(Applications!$AQ$2:$AQ$293,Applications!$AG$2:$AG$293,"&lt;&gt;Not counted",Applications!$AG$2:$AG$293,"&lt;&gt;Delivered",Applications!$AG$2:$AG$293,"&lt;&gt;Excluded",Applications!$P$2:$P$293,"General",Applications!$AO$2:$AO$293,"CIS / KPMG")</f>
        <v>1084</v>
      </c>
      <c r="E37" s="10" t="n">
        <f aca="false">SUMIFS(Applications!$AQ$2:$AQ$293,Applications!$AG$2:$AG$293,"&lt;&gt;Not counted",Applications!$AG$2:$AG$293,"&lt;&gt;Delivered",Applications!$AG$2:$AG$293,"&lt;&gt;Excluded",Applications!$P$2:$P$293,"General",Applications!$AO$2:$AO$293,"Register description")</f>
        <v>616</v>
      </c>
      <c r="F37" s="10" t="n">
        <f aca="false">SUMIFS(Applications!$AQ$2:$AQ$293,Applications!$AG$2:$AG$293,"&lt;&gt;Not counted",Applications!$AG$2:$AG$293,"&lt;&gt;Delivered",Applications!$AG$2:$AG$293,"&lt;&gt;Excluded",Applications!$P$2:$P$293,"General",Applications!$AO$2:$AO$293,"Planning file documents")</f>
        <v>26</v>
      </c>
      <c r="G37" s="2"/>
    </row>
    <row r="38" customFormat="false" ht="15" hidden="false" customHeight="false" outlineLevel="0" collapsed="false">
      <c r="A38" s="2" t="s">
        <v>107</v>
      </c>
      <c r="B38" s="10" t="n">
        <f aca="false">SUMIFS(Applications!$AR$2:$AR$293,Applications!$AG$2:$AG$293,"&lt;&gt;Not counted",Applications!$AG$2:$AG$293,"&lt;&gt;Delivered",Applications!$AG$2:$AG$293,"&lt;&gt;Excluded",Applications!$P$2:$P$293,"General")</f>
        <v>2595</v>
      </c>
      <c r="C38" s="14" t="n">
        <f aca="false">IF($B$42=0,"",B38/$B$42)</f>
        <v>0.34475886807493</v>
      </c>
      <c r="D38" s="10" t="n">
        <f aca="false">SUMIFS(Applications!$AR$2:$AR$293,Applications!$AG$2:$AG$293,"&lt;&gt;Not counted",Applications!$AG$2:$AG$293,"&lt;&gt;Delivered",Applications!$AG$2:$AG$293,"&lt;&gt;Excluded",Applications!$P$2:$P$293,"General",Applications!$AO$2:$AO$293,"CIS / KPMG")</f>
        <v>1667</v>
      </c>
      <c r="E38" s="10" t="n">
        <f aca="false">SUMIFS(Applications!$AR$2:$AR$293,Applications!$AG$2:$AG$293,"&lt;&gt;Not counted",Applications!$AG$2:$AG$293,"&lt;&gt;Delivered",Applications!$AG$2:$AG$293,"&lt;&gt;Excluded",Applications!$P$2:$P$293,"General",Applications!$AO$2:$AO$293,"Register description")</f>
        <v>823</v>
      </c>
      <c r="F38" s="10" t="n">
        <f aca="false">SUMIFS(Applications!$AR$2:$AR$293,Applications!$AG$2:$AG$293,"&lt;&gt;Not counted",Applications!$AG$2:$AG$293,"&lt;&gt;Delivered",Applications!$AG$2:$AG$293,"&lt;&gt;Excluded",Applications!$P$2:$P$293,"General",Applications!$AO$2:$AO$293,"Planning file documents")</f>
        <v>105</v>
      </c>
      <c r="G38" s="2"/>
    </row>
    <row r="39" customFormat="false" ht="15" hidden="false" customHeight="false" outlineLevel="0" collapsed="false">
      <c r="A39" s="2" t="s">
        <v>108</v>
      </c>
      <c r="B39" s="10" t="n">
        <f aca="false">SUMIFS(Applications!$AS$2:$AS$293,Applications!$AG$2:$AG$293,"&lt;&gt;Not counted",Applications!$AG$2:$AG$293,"&lt;&gt;Delivered",Applications!$AG$2:$AG$293,"&lt;&gt;Excluded",Applications!$P$2:$P$293,"General")</f>
        <v>2502</v>
      </c>
      <c r="C39" s="14" t="n">
        <f aca="false">IF($B$42=0,"",B39/$B$42)</f>
        <v>0.332403347947389</v>
      </c>
      <c r="D39" s="10" t="n">
        <f aca="false">SUMIFS(Applications!$AS$2:$AS$293,Applications!$AG$2:$AG$293,"&lt;&gt;Not counted",Applications!$AG$2:$AG$293,"&lt;&gt;Delivered",Applications!$AG$2:$AG$293,"&lt;&gt;Excluded",Applications!$P$2:$P$293,"General",Applications!$AO$2:$AO$293,"CIS / KPMG")</f>
        <v>1298</v>
      </c>
      <c r="E39" s="10" t="n">
        <f aca="false">SUMIFS(Applications!$AS$2:$AS$293,Applications!$AG$2:$AG$293,"&lt;&gt;Not counted",Applications!$AG$2:$AG$293,"&lt;&gt;Delivered",Applications!$AG$2:$AG$293,"&lt;&gt;Excluded",Applications!$P$2:$P$293,"General",Applications!$AO$2:$AO$293,"Register description")</f>
        <v>893</v>
      </c>
      <c r="F39" s="10" t="n">
        <f aca="false">SUMIFS(Applications!$AS$2:$AS$293,Applications!$AG$2:$AG$293,"&lt;&gt;Not counted",Applications!$AG$2:$AG$293,"&lt;&gt;Delivered",Applications!$AG$2:$AG$293,"&lt;&gt;Excluded",Applications!$P$2:$P$293,"General",Applications!$AO$2:$AO$293,"Planning file documents")</f>
        <v>311</v>
      </c>
      <c r="G39" s="2"/>
    </row>
    <row r="40" customFormat="false" ht="15" hidden="false" customHeight="false" outlineLevel="0" collapsed="false">
      <c r="A40" s="2" t="s">
        <v>109</v>
      </c>
      <c r="B40" s="10" t="n">
        <f aca="false">SUMIFS(Applications!$AT$2:$AT$293,Applications!$AG$2:$AG$293,"&lt;&gt;Not counted",Applications!$AG$2:$AG$293,"&lt;&gt;Delivered",Applications!$AG$2:$AG$293,"&lt;&gt;Excluded",Applications!$P$2:$P$293,"General")</f>
        <v>664</v>
      </c>
      <c r="C40" s="14" t="n">
        <f aca="false">IF($B$42=0,"",B40/$B$42)</f>
        <v>0.088215756609539</v>
      </c>
      <c r="D40" s="10" t="n">
        <f aca="false">SUMIFS(Applications!$AT$2:$AT$293,Applications!$AG$2:$AG$293,"&lt;&gt;Not counted",Applications!$AG$2:$AG$293,"&lt;&gt;Delivered",Applications!$AG$2:$AG$293,"&lt;&gt;Excluded",Applications!$P$2:$P$293,"General",Applications!$AO$2:$AO$293,"CIS / KPMG")</f>
        <v>371</v>
      </c>
      <c r="E40" s="10" t="n">
        <f aca="false">SUMIFS(Applications!$AT$2:$AT$293,Applications!$AG$2:$AG$293,"&lt;&gt;Not counted",Applications!$AG$2:$AG$293,"&lt;&gt;Delivered",Applications!$AG$2:$AG$293,"&lt;&gt;Excluded",Applications!$P$2:$P$293,"General",Applications!$AO$2:$AO$293,"Register description")</f>
        <v>261</v>
      </c>
      <c r="F40" s="10" t="n">
        <f aca="false">SUMIFS(Applications!$AT$2:$AT$293,Applications!$AG$2:$AG$293,"&lt;&gt;Not counted",Applications!$AG$2:$AG$293,"&lt;&gt;Delivered",Applications!$AG$2:$AG$293,"&lt;&gt;Excluded",Applications!$P$2:$P$293,"General",Applications!$AO$2:$AO$293,"Planning file documents")</f>
        <v>32</v>
      </c>
      <c r="G40" s="2"/>
    </row>
    <row r="41" customFormat="false" ht="15" hidden="false" customHeight="false" outlineLevel="0" collapsed="false">
      <c r="A41" s="2" t="s">
        <v>110</v>
      </c>
      <c r="B41" s="10" t="n">
        <f aca="false">SUMIFS(Applications!$AU$2:$AU$293,Applications!$AG$2:$AG$293,"&lt;&gt;Not counted",Applications!$AG$2:$AG$293,"&lt;&gt;Delivered",Applications!$AG$2:$AG$293,"&lt;&gt;Excluded",Applications!$P$2:$P$293,"General")</f>
        <v>39</v>
      </c>
      <c r="C41" s="14" t="n">
        <f aca="false">IF($B$42=0,"",B41/$B$42)</f>
        <v>0.00518134715025907</v>
      </c>
      <c r="D41" s="10" t="n">
        <f aca="false">SUMIFS(Applications!$AU$2:$AU$293,Applications!$AG$2:$AG$293,"&lt;&gt;Not counted",Applications!$AG$2:$AG$293,"&lt;&gt;Delivered",Applications!$AG$2:$AG$293,"&lt;&gt;Excluded",Applications!$P$2:$P$293,"General",Applications!$AO$2:$AO$293,"CIS / KPMG")</f>
        <v>33</v>
      </c>
      <c r="E41" s="10" t="n">
        <f aca="false">SUMIFS(Applications!$AU$2:$AU$293,Applications!$AG$2:$AG$293,"&lt;&gt;Not counted",Applications!$AG$2:$AG$293,"&lt;&gt;Delivered",Applications!$AG$2:$AG$293,"&lt;&gt;Excluded",Applications!$P$2:$P$293,"General",Applications!$AO$2:$AO$293,"Register description")</f>
        <v>6</v>
      </c>
      <c r="F41" s="10" t="n">
        <f aca="false">SUMIFS(Applications!$AU$2:$AU$293,Applications!$AG$2:$AG$293,"&lt;&gt;Not counted",Applications!$AG$2:$AG$293,"&lt;&gt;Delivered",Applications!$AG$2:$AG$293,"&lt;&gt;Excluded",Applications!$P$2:$P$293,"General",Applications!$AO$2:$AO$293,"Planning file documents")</f>
        <v>0</v>
      </c>
      <c r="G41" s="2"/>
    </row>
    <row r="42" customFormat="false" ht="15" hidden="false" customHeight="false" outlineLevel="0" collapsed="false">
      <c r="A42" s="3" t="s">
        <v>111</v>
      </c>
      <c r="B42" s="12" t="n">
        <f aca="false">SUM(B36:B41)</f>
        <v>7527</v>
      </c>
      <c r="C42" s="2"/>
      <c r="D42" s="12" t="n">
        <f aca="false">SUM(D36:D41)</f>
        <v>4453</v>
      </c>
      <c r="E42" s="12" t="n">
        <f aca="false">SUM(E36:E41)</f>
        <v>2600</v>
      </c>
      <c r="F42" s="12" t="n">
        <f aca="false">SUM(F36:F41)</f>
        <v>474</v>
      </c>
      <c r="G42" s="2"/>
    </row>
    <row r="43" customFormat="false" ht="15" hidden="false" customHeight="false" outlineLevel="0" collapsed="false">
      <c r="A43" s="2" t="s">
        <v>112</v>
      </c>
      <c r="B43" s="10" t="n">
        <f aca="false">SUMIFS(Applications!$AI$2:$AI$293,Applications!$AG$2:$AG$293,"&lt;&gt;Not counted",Applications!$AG$2:$AG$293,"&lt;&gt;Delivered",Applications!$AG$2:$AG$293,"&lt;&gt;Excluded",Applications!$P$2:$P$293,"General")</f>
        <v>9001</v>
      </c>
      <c r="C43" s="2"/>
      <c r="D43" s="2"/>
      <c r="E43" s="2"/>
      <c r="F43" s="2"/>
      <c r="G43" s="2"/>
    </row>
    <row r="44" customFormat="false" ht="15" hidden="false" customHeight="false" outlineLevel="0" collapsed="false">
      <c r="A44" s="2" t="s">
        <v>113</v>
      </c>
      <c r="B44" s="14" t="n">
        <f aca="false">IF(B43=0,"",B42/B43)</f>
        <v>0.836240417731363</v>
      </c>
      <c r="C44" s="2"/>
      <c r="D44" s="2"/>
      <c r="E44" s="2"/>
      <c r="F44" s="2"/>
      <c r="G44" s="2"/>
    </row>
    <row r="45" customFormat="false" ht="15" hidden="false" customHeight="false" outlineLevel="0" collapsed="false">
      <c r="A45" s="16" t="s">
        <v>114</v>
      </c>
      <c r="B45" s="2"/>
      <c r="C45" s="2"/>
      <c r="D45" s="2"/>
      <c r="E45" s="2"/>
      <c r="F45" s="2"/>
      <c r="G45" s="2"/>
    </row>
    <row r="46" customFormat="false" ht="15" hidden="false" customHeight="false" outlineLevel="0" collapsed="false">
      <c r="A46" s="2"/>
      <c r="B46" s="2"/>
      <c r="C46" s="2"/>
      <c r="D46" s="2"/>
      <c r="E46" s="2"/>
      <c r="F46" s="2"/>
      <c r="G46" s="2"/>
    </row>
    <row r="47" customFormat="false" ht="15" hidden="false" customHeight="false" outlineLevel="0" collapsed="false">
      <c r="A47" s="9" t="s">
        <v>115</v>
      </c>
      <c r="B47" s="2"/>
      <c r="C47" s="2"/>
      <c r="D47" s="2"/>
      <c r="E47" s="2"/>
      <c r="F47" s="2"/>
      <c r="G47" s="2"/>
    </row>
    <row r="48" customFormat="false" ht="23.85" hidden="false" customHeight="false" outlineLevel="0" collapsed="false">
      <c r="A48" s="13" t="s">
        <v>116</v>
      </c>
      <c r="B48" s="13" t="s">
        <v>82</v>
      </c>
      <c r="C48" s="13" t="s">
        <v>117</v>
      </c>
      <c r="D48" s="13" t="s">
        <v>118</v>
      </c>
      <c r="E48" s="13" t="s">
        <v>119</v>
      </c>
      <c r="F48" s="2"/>
      <c r="G48" s="2"/>
    </row>
    <row r="49" customFormat="false" ht="15" hidden="false" customHeight="false" outlineLevel="0" collapsed="false">
      <c r="A49" s="2" t="s">
        <v>120</v>
      </c>
      <c r="B49" s="10" t="n">
        <f aca="false">COUNTIF(Applications!$Y$2:$Y$293,A49)</f>
        <v>170</v>
      </c>
      <c r="C49" s="10" t="n">
        <f aca="false">SUMIFS(Applications!$Q$2:$Q$293,Applications!$Y$2:$Y$293,A49)</f>
        <v>7676</v>
      </c>
      <c r="D49" s="2" t="s">
        <v>121</v>
      </c>
      <c r="E49" s="10" t="n">
        <f aca="false">COUNTIFS(Applications!$Y$2:$Y$293,A49,Applications!$W$2:$W$293,"Low",Applications!$X$2:$X$293,"")+COUNTIFS(Applications!$Y$2:$Y$293,A49,Applications!$W$2:$W$293,"Medium",Applications!$X$2:$X$293,"")</f>
        <v>0</v>
      </c>
      <c r="F49" s="2"/>
      <c r="G49" s="2"/>
    </row>
    <row r="50" customFormat="false" ht="15" hidden="false" customHeight="false" outlineLevel="0" collapsed="false">
      <c r="A50" s="2" t="s">
        <v>28</v>
      </c>
      <c r="B50" s="10" t="n">
        <f aca="false">COUNTIF(Applications!$Y$2:$Y$293,A50)</f>
        <v>6</v>
      </c>
      <c r="C50" s="10" t="n">
        <f aca="false">SUMIFS(Applications!$Q$2:$Q$293,Applications!$Y$2:$Y$293,A50)</f>
        <v>280</v>
      </c>
      <c r="D50" s="2" t="s">
        <v>121</v>
      </c>
      <c r="E50" s="10" t="n">
        <f aca="false">COUNTIFS(Applications!$Y$2:$Y$293,A50,Applications!$W$2:$W$293,"Low",Applications!$X$2:$X$293,"")+COUNTIFS(Applications!$Y$2:$Y$293,A50,Applications!$W$2:$W$293,"Medium",Applications!$X$2:$X$293,"")</f>
        <v>6</v>
      </c>
      <c r="F50" s="2"/>
      <c r="G50" s="2"/>
    </row>
    <row r="51" customFormat="false" ht="15" hidden="false" customHeight="false" outlineLevel="0" collapsed="false">
      <c r="A51" s="2" t="s">
        <v>30</v>
      </c>
      <c r="B51" s="10" t="n">
        <f aca="false">COUNTIF(Applications!$Y$2:$Y$293,A51)</f>
        <v>70</v>
      </c>
      <c r="C51" s="10" t="n">
        <f aca="false">SUMIFS(Applications!$Q$2:$Q$293,Applications!$Y$2:$Y$293,A51)</f>
        <v>2734</v>
      </c>
      <c r="D51" s="2" t="s">
        <v>121</v>
      </c>
      <c r="E51" s="10" t="n">
        <f aca="false">COUNTIFS(Applications!$Y$2:$Y$293,A51,Applications!$W$2:$W$293,"Low",Applications!$X$2:$X$293,"")+COUNTIFS(Applications!$Y$2:$Y$293,A51,Applications!$W$2:$W$293,"Medium",Applications!$X$2:$X$293,"")</f>
        <v>70</v>
      </c>
      <c r="F51" s="2"/>
      <c r="G51" s="2"/>
    </row>
    <row r="52" customFormat="false" ht="15" hidden="false" customHeight="false" outlineLevel="0" collapsed="false">
      <c r="A52" s="2" t="s">
        <v>24</v>
      </c>
      <c r="B52" s="10" t="n">
        <f aca="false">COUNTIF(Applications!$Y$2:$Y$293,A52)</f>
        <v>3</v>
      </c>
      <c r="C52" s="10" t="n">
        <f aca="false">SUMIFS(Applications!$Q$2:$Q$293,Applications!$Y$2:$Y$293,A52)</f>
        <v>89</v>
      </c>
      <c r="D52" s="2" t="s">
        <v>121</v>
      </c>
      <c r="E52" s="10" t="n">
        <f aca="false">COUNTIFS(Applications!$Y$2:$Y$293,A52,Applications!$W$2:$W$293,"Low",Applications!$X$2:$X$293,"")+COUNTIFS(Applications!$Y$2:$Y$293,A52,Applications!$W$2:$W$293,"Medium",Applications!$X$2:$X$293,"")</f>
        <v>3</v>
      </c>
      <c r="F52" s="2"/>
      <c r="G52" s="2"/>
    </row>
    <row r="53" customFormat="false" ht="15" hidden="false" customHeight="false" outlineLevel="0" collapsed="false">
      <c r="A53" s="2" t="s">
        <v>122</v>
      </c>
      <c r="B53" s="10" t="n">
        <f aca="false">COUNTIF(Applications!$Y$2:$Y$293,A53)</f>
        <v>8</v>
      </c>
      <c r="C53" s="10" t="n">
        <f aca="false">SUMIFS(Applications!$Q$2:$Q$293,Applications!$Y$2:$Y$293,A53)</f>
        <v>191</v>
      </c>
      <c r="D53" s="2" t="s">
        <v>121</v>
      </c>
      <c r="E53" s="10" t="n">
        <f aca="false">COUNTIFS(Applications!$Y$2:$Y$293,A53,Applications!$W$2:$W$293,"Low",Applications!$X$2:$X$293,"")+COUNTIFS(Applications!$Y$2:$Y$293,A53,Applications!$W$2:$W$293,"Medium",Applications!$X$2:$X$293,"")</f>
        <v>8</v>
      </c>
      <c r="F53" s="2"/>
      <c r="G53" s="2"/>
    </row>
    <row r="54" customFormat="false" ht="15" hidden="false" customHeight="false" outlineLevel="0" collapsed="false">
      <c r="A54" s="2" t="s">
        <v>123</v>
      </c>
      <c r="B54" s="10" t="n">
        <f aca="false">COUNTIF(Applications!$Y$2:$Y$293,A54)</f>
        <v>3</v>
      </c>
      <c r="C54" s="10" t="n">
        <f aca="false">SUMIFS(Applications!$Q$2:$Q$293,Applications!$Y$2:$Y$293,A54)</f>
        <v>90</v>
      </c>
      <c r="D54" s="2" t="s">
        <v>124</v>
      </c>
      <c r="E54" s="10" t="n">
        <f aca="false">COUNTIFS(Applications!$Y$2:$Y$293,A54,Applications!$W$2:$W$293,"Low",Applications!$X$2:$X$293,"")+COUNTIFS(Applications!$Y$2:$Y$293,A54,Applications!$W$2:$W$293,"Medium",Applications!$X$2:$X$293,"")</f>
        <v>2</v>
      </c>
      <c r="F54" s="2"/>
      <c r="G54" s="2"/>
    </row>
    <row r="55" customFormat="false" ht="15" hidden="false" customHeight="false" outlineLevel="0" collapsed="false">
      <c r="A55" s="2" t="s">
        <v>26</v>
      </c>
      <c r="B55" s="10" t="n">
        <f aca="false">COUNTIF(Applications!$Y$2:$Y$293,A55)</f>
        <v>3</v>
      </c>
      <c r="C55" s="10" t="n">
        <f aca="false">SUMIFS(Applications!$Q$2:$Q$293,Applications!$Y$2:$Y$293,A55)</f>
        <v>73</v>
      </c>
      <c r="D55" s="2" t="s">
        <v>124</v>
      </c>
      <c r="E55" s="10" t="n">
        <f aca="false">COUNTIFS(Applications!$Y$2:$Y$293,A55,Applications!$W$2:$W$293,"Low",Applications!$X$2:$X$293,"")+COUNTIFS(Applications!$Y$2:$Y$293,A55,Applications!$W$2:$W$293,"Medium",Applications!$X$2:$X$293,"")</f>
        <v>3</v>
      </c>
      <c r="F55" s="2"/>
      <c r="G55" s="2"/>
    </row>
    <row r="56" customFormat="false" ht="15" hidden="false" customHeight="false" outlineLevel="0" collapsed="false">
      <c r="A56" s="2" t="s">
        <v>22</v>
      </c>
      <c r="B56" s="10" t="n">
        <f aca="false">COUNTIF(Applications!$Y$2:$Y$293,A56)</f>
        <v>6</v>
      </c>
      <c r="C56" s="10" t="n">
        <f aca="false">SUMIFS(Applications!$Q$2:$Q$293,Applications!$Y$2:$Y$293,A56)</f>
        <v>16</v>
      </c>
      <c r="D56" s="2" t="s">
        <v>124</v>
      </c>
      <c r="E56" s="10" t="n">
        <f aca="false">COUNTIFS(Applications!$Y$2:$Y$293,A56,Applications!$W$2:$W$293,"Low",Applications!$X$2:$X$293,"")+COUNTIFS(Applications!$Y$2:$Y$293,A56,Applications!$W$2:$W$293,"Medium",Applications!$X$2:$X$293,"")</f>
        <v>1</v>
      </c>
      <c r="F56" s="2"/>
      <c r="G56" s="2"/>
    </row>
    <row r="57" customFormat="false" ht="15" hidden="false" customHeight="false" outlineLevel="0" collapsed="false">
      <c r="A57" s="2" t="s">
        <v>32</v>
      </c>
      <c r="B57" s="10" t="n">
        <f aca="false">COUNTIF(Applications!$Y$2:$Y$293,A57)</f>
        <v>14</v>
      </c>
      <c r="C57" s="10" t="n">
        <f aca="false">SUMIFS(Applications!$Q$2:$Q$293,Applications!$Y$2:$Y$293,A57)</f>
        <v>518</v>
      </c>
      <c r="D57" s="2" t="s">
        <v>124</v>
      </c>
      <c r="E57" s="10" t="n">
        <f aca="false">COUNTIFS(Applications!$Y$2:$Y$293,A57,Applications!$W$2:$W$293,"Low",Applications!$X$2:$X$293,"")+COUNTIFS(Applications!$Y$2:$Y$293,A57,Applications!$W$2:$W$293,"Medium",Applications!$X$2:$X$293,"")</f>
        <v>0</v>
      </c>
      <c r="F57" s="2"/>
      <c r="G57" s="2"/>
    </row>
    <row r="58" customFormat="false" ht="15" hidden="false" customHeight="false" outlineLevel="0" collapsed="false">
      <c r="A58" s="2" t="s">
        <v>125</v>
      </c>
      <c r="B58" s="10" t="n">
        <f aca="false">COUNTIF(Applications!$Y$2:$Y$293,A58)</f>
        <v>6</v>
      </c>
      <c r="C58" s="10" t="n">
        <f aca="false">SUMIFS(Applications!$Q$2:$Q$293,Applications!$Y$2:$Y$293,A58)</f>
        <v>112</v>
      </c>
      <c r="D58" s="2" t="s">
        <v>124</v>
      </c>
      <c r="E58" s="10" t="n">
        <f aca="false">COUNTIFS(Applications!$Y$2:$Y$293,A58,Applications!$W$2:$W$293,"Low",Applications!$X$2:$X$293,"")+COUNTIFS(Applications!$Y$2:$Y$293,A58,Applications!$W$2:$W$293,"Medium",Applications!$X$2:$X$293,"")</f>
        <v>0</v>
      </c>
      <c r="F58" s="2"/>
      <c r="G58" s="2"/>
    </row>
    <row r="59" customFormat="false" ht="15" hidden="false" customHeight="false" outlineLevel="0" collapsed="false">
      <c r="A59" s="2" t="s">
        <v>97</v>
      </c>
      <c r="B59" s="10" t="n">
        <f aca="false">COUNTIF(Applications!$Y$2:$Y$293,A59)</f>
        <v>3</v>
      </c>
      <c r="C59" s="10" t="n">
        <f aca="false">SUMIFS(Applications!$Q$2:$Q$293,Applications!$Y$2:$Y$293,A59)</f>
        <v>0</v>
      </c>
      <c r="D59" s="2" t="s">
        <v>124</v>
      </c>
      <c r="E59" s="10" t="n">
        <f aca="false">COUNTIFS(Applications!$Y$2:$Y$293,A59,Applications!$W$2:$W$293,"Low",Applications!$X$2:$X$293,"")+COUNTIFS(Applications!$Y$2:$Y$293,A59,Applications!$W$2:$W$293,"Medium",Applications!$X$2:$X$293,"")</f>
        <v>0</v>
      </c>
      <c r="F59" s="2"/>
      <c r="G59" s="2"/>
    </row>
    <row r="60" customFormat="false" ht="15" hidden="false" customHeight="false" outlineLevel="0" collapsed="false">
      <c r="A60" s="2"/>
      <c r="B60" s="2"/>
      <c r="C60" s="2"/>
      <c r="D60" s="2"/>
      <c r="E60" s="2"/>
      <c r="F60" s="2"/>
      <c r="G60" s="2"/>
    </row>
    <row r="61" customFormat="false" ht="15" hidden="false" customHeight="false" outlineLevel="0" collapsed="false">
      <c r="A61" s="9" t="s">
        <v>126</v>
      </c>
      <c r="B61" s="2"/>
      <c r="C61" s="2"/>
      <c r="D61" s="2"/>
      <c r="E61" s="2"/>
      <c r="F61" s="2"/>
      <c r="G61" s="2"/>
    </row>
    <row r="62" customFormat="false" ht="15" hidden="false" customHeight="false" outlineLevel="0" collapsed="false">
      <c r="A62" s="13" t="s">
        <v>127</v>
      </c>
      <c r="B62" s="13" t="s">
        <v>82</v>
      </c>
      <c r="C62" s="13" t="s">
        <v>128</v>
      </c>
      <c r="D62" s="13" t="s">
        <v>129</v>
      </c>
      <c r="E62" s="13" t="s">
        <v>93</v>
      </c>
      <c r="F62" s="13" t="s">
        <v>94</v>
      </c>
      <c r="G62" s="13" t="s">
        <v>130</v>
      </c>
    </row>
    <row r="63" customFormat="false" ht="15" hidden="false" customHeight="false" outlineLevel="0" collapsed="false">
      <c r="A63" s="2" t="s">
        <v>131</v>
      </c>
      <c r="B63" s="10" t="n">
        <f aca="false">COUNTIFS(Applications!$F$2:$F$293,A63,Applications!$AL$2:$AL$293,"&gt;0")</f>
        <v>4</v>
      </c>
      <c r="C63" s="10" t="n">
        <f aca="false">SUMIFS(Applications!$AL$2:$AL$293,Applications!$F$2:$F$293,$A63,Applications!$AG$2:$AG$293,"Committed")+SUMIFS(Applications!$AL$2:$AL$293,Applications!$F$2:$F$293,$A63,Applications!$AG$2:$AG$293,"Committed Pre-Construction")+SUMIFS(Applications!$AL$2:$AL$293,Applications!$F$2:$F$293,$A63,Applications!$AG$2:$AG$293,"Advanced Pre-Construction")</f>
        <v>80</v>
      </c>
      <c r="D63" s="10" t="n">
        <f aca="false">SUMIFS(Applications!$AL$2:$AL$293,Applications!$F$2:$F$293,$A63,Applications!$AG$2:$AG$293,"Likely")+SUMIFS(Applications!$AL$2:$AL$293,Applications!$F$2:$F$293,$A63,Applications!$AG$2:$AG$293,"Potential")</f>
        <v>0</v>
      </c>
      <c r="E63" s="10" t="n">
        <f aca="false">SUMIFS(Applications!$AL$2:$AL$293,Applications!$F$2:$F$293,$A63,Applications!$AG$2:$AG$293,"Application Pipeline")</f>
        <v>48</v>
      </c>
      <c r="F63" s="10" t="n">
        <f aca="false">SUMIFS(Applications!$AL$2:$AL$293,Applications!$F$2:$F$293,$A63,Applications!$AG$2:$AG$293,"Constrained / uncertain")</f>
        <v>7</v>
      </c>
      <c r="G63" s="10" t="n">
        <f aca="false">SUM(C63:F63)</f>
        <v>135</v>
      </c>
    </row>
    <row r="64" customFormat="false" ht="15" hidden="false" customHeight="false" outlineLevel="0" collapsed="false">
      <c r="A64" s="2" t="s">
        <v>132</v>
      </c>
      <c r="B64" s="10" t="n">
        <f aca="false">COUNTIFS(Applications!$F$2:$F$293,A64,Applications!$AL$2:$AL$293,"&gt;0")</f>
        <v>3</v>
      </c>
      <c r="C64" s="10" t="n">
        <f aca="false">SUMIFS(Applications!$AL$2:$AL$293,Applications!$F$2:$F$293,$A64,Applications!$AG$2:$AG$293,"Committed")+SUMIFS(Applications!$AL$2:$AL$293,Applications!$F$2:$F$293,$A64,Applications!$AG$2:$AG$293,"Committed Pre-Construction")+SUMIFS(Applications!$AL$2:$AL$293,Applications!$F$2:$F$293,$A64,Applications!$AG$2:$AG$293,"Advanced Pre-Construction")</f>
        <v>11</v>
      </c>
      <c r="D64" s="10" t="n">
        <f aca="false">SUMIFS(Applications!$AL$2:$AL$293,Applications!$F$2:$F$293,$A64,Applications!$AG$2:$AG$293,"Likely")+SUMIFS(Applications!$AL$2:$AL$293,Applications!$F$2:$F$293,$A64,Applications!$AG$2:$AG$293,"Potential")</f>
        <v>28</v>
      </c>
      <c r="E64" s="10" t="n">
        <f aca="false">SUMIFS(Applications!$AL$2:$AL$293,Applications!$F$2:$F$293,$A64,Applications!$AG$2:$AG$293,"Application Pipeline")</f>
        <v>0</v>
      </c>
      <c r="F64" s="10" t="n">
        <f aca="false">SUMIFS(Applications!$AL$2:$AL$293,Applications!$F$2:$F$293,$A64,Applications!$AG$2:$AG$293,"Constrained / uncertain")</f>
        <v>0</v>
      </c>
      <c r="G64" s="10" t="n">
        <f aca="false">SUM(C64:F64)</f>
        <v>39</v>
      </c>
    </row>
    <row r="65" customFormat="false" ht="15" hidden="false" customHeight="false" outlineLevel="0" collapsed="false">
      <c r="A65" s="2" t="s">
        <v>133</v>
      </c>
      <c r="B65" s="10" t="n">
        <f aca="false">COUNTIFS(Applications!$F$2:$F$293,A65,Applications!$AL$2:$AL$293,"&gt;0")</f>
        <v>3</v>
      </c>
      <c r="C65" s="10" t="n">
        <f aca="false">SUMIFS(Applications!$AL$2:$AL$293,Applications!$F$2:$F$293,$A65,Applications!$AG$2:$AG$293,"Committed")+SUMIFS(Applications!$AL$2:$AL$293,Applications!$F$2:$F$293,$A65,Applications!$AG$2:$AG$293,"Committed Pre-Construction")+SUMIFS(Applications!$AL$2:$AL$293,Applications!$F$2:$F$293,$A65,Applications!$AG$2:$AG$293,"Advanced Pre-Construction")</f>
        <v>6</v>
      </c>
      <c r="D65" s="10" t="n">
        <f aca="false">SUMIFS(Applications!$AL$2:$AL$293,Applications!$F$2:$F$293,$A65,Applications!$AG$2:$AG$293,"Likely")+SUMIFS(Applications!$AL$2:$AL$293,Applications!$F$2:$F$293,$A65,Applications!$AG$2:$AG$293,"Potential")</f>
        <v>76</v>
      </c>
      <c r="E65" s="10" t="n">
        <f aca="false">SUMIFS(Applications!$AL$2:$AL$293,Applications!$F$2:$F$293,$A65,Applications!$AG$2:$AG$293,"Application Pipeline")</f>
        <v>0</v>
      </c>
      <c r="F65" s="10" t="n">
        <f aca="false">SUMIFS(Applications!$AL$2:$AL$293,Applications!$F$2:$F$293,$A65,Applications!$AG$2:$AG$293,"Constrained / uncertain")</f>
        <v>137</v>
      </c>
      <c r="G65" s="10" t="n">
        <f aca="false">SUM(C65:F65)</f>
        <v>219</v>
      </c>
    </row>
    <row r="66" customFormat="false" ht="15" hidden="false" customHeight="false" outlineLevel="0" collapsed="false">
      <c r="A66" s="2" t="s">
        <v>134</v>
      </c>
      <c r="B66" s="10" t="n">
        <f aca="false">COUNTIFS(Applications!$F$2:$F$293,A66,Applications!$AL$2:$AL$293,"&gt;0")</f>
        <v>3</v>
      </c>
      <c r="C66" s="10" t="n">
        <f aca="false">SUMIFS(Applications!$AL$2:$AL$293,Applications!$F$2:$F$293,$A66,Applications!$AG$2:$AG$293,"Committed")+SUMIFS(Applications!$AL$2:$AL$293,Applications!$F$2:$F$293,$A66,Applications!$AG$2:$AG$293,"Committed Pre-Construction")+SUMIFS(Applications!$AL$2:$AL$293,Applications!$F$2:$F$293,$A66,Applications!$AG$2:$AG$293,"Advanced Pre-Construction")</f>
        <v>18</v>
      </c>
      <c r="D66" s="10" t="n">
        <f aca="false">SUMIFS(Applications!$AL$2:$AL$293,Applications!$F$2:$F$293,$A66,Applications!$AG$2:$AG$293,"Likely")+SUMIFS(Applications!$AL$2:$AL$293,Applications!$F$2:$F$293,$A66,Applications!$AG$2:$AG$293,"Potential")</f>
        <v>8</v>
      </c>
      <c r="E66" s="10" t="n">
        <f aca="false">SUMIFS(Applications!$AL$2:$AL$293,Applications!$F$2:$F$293,$A66,Applications!$AG$2:$AG$293,"Application Pipeline")</f>
        <v>0</v>
      </c>
      <c r="F66" s="10" t="n">
        <f aca="false">SUMIFS(Applications!$AL$2:$AL$293,Applications!$F$2:$F$293,$A66,Applications!$AG$2:$AG$293,"Constrained / uncertain")</f>
        <v>74</v>
      </c>
      <c r="G66" s="10" t="n">
        <f aca="false">SUM(C66:F66)</f>
        <v>100</v>
      </c>
    </row>
    <row r="67" customFormat="false" ht="15" hidden="false" customHeight="false" outlineLevel="0" collapsed="false">
      <c r="A67" s="2" t="s">
        <v>135</v>
      </c>
      <c r="B67" s="10" t="n">
        <f aca="false">COUNTIFS(Applications!$F$2:$F$293,A67,Applications!$AL$2:$AL$293,"&gt;0")</f>
        <v>0</v>
      </c>
      <c r="C67" s="10" t="n">
        <f aca="false">SUMIFS(Applications!$AL$2:$AL$293,Applications!$F$2:$F$293,$A67,Applications!$AG$2:$AG$293,"Committed")+SUMIFS(Applications!$AL$2:$AL$293,Applications!$F$2:$F$293,$A67,Applications!$AG$2:$AG$293,"Committed Pre-Construction")+SUMIFS(Applications!$AL$2:$AL$293,Applications!$F$2:$F$293,$A67,Applications!$AG$2:$AG$293,"Advanced Pre-Construction")</f>
        <v>0</v>
      </c>
      <c r="D67" s="10" t="n">
        <f aca="false">SUMIFS(Applications!$AL$2:$AL$293,Applications!$F$2:$F$293,$A67,Applications!$AG$2:$AG$293,"Likely")+SUMIFS(Applications!$AL$2:$AL$293,Applications!$F$2:$F$293,$A67,Applications!$AG$2:$AG$293,"Potential")</f>
        <v>0</v>
      </c>
      <c r="E67" s="10" t="n">
        <f aca="false">SUMIFS(Applications!$AL$2:$AL$293,Applications!$F$2:$F$293,$A67,Applications!$AG$2:$AG$293,"Application Pipeline")</f>
        <v>0</v>
      </c>
      <c r="F67" s="10" t="n">
        <f aca="false">SUMIFS(Applications!$AL$2:$AL$293,Applications!$F$2:$F$293,$A67,Applications!$AG$2:$AG$293,"Constrained / uncertain")</f>
        <v>0</v>
      </c>
      <c r="G67" s="10" t="n">
        <f aca="false">SUM(C67:F67)</f>
        <v>0</v>
      </c>
    </row>
    <row r="68" customFormat="false" ht="15" hidden="false" customHeight="false" outlineLevel="0" collapsed="false">
      <c r="A68" s="2" t="s">
        <v>136</v>
      </c>
      <c r="B68" s="10" t="n">
        <f aca="false">COUNTIFS(Applications!$F$2:$F$293,A68,Applications!$AL$2:$AL$293,"&gt;0")</f>
        <v>3</v>
      </c>
      <c r="C68" s="10" t="n">
        <f aca="false">SUMIFS(Applications!$AL$2:$AL$293,Applications!$F$2:$F$293,$A68,Applications!$AG$2:$AG$293,"Committed")+SUMIFS(Applications!$AL$2:$AL$293,Applications!$F$2:$F$293,$A68,Applications!$AG$2:$AG$293,"Committed Pre-Construction")+SUMIFS(Applications!$AL$2:$AL$293,Applications!$F$2:$F$293,$A68,Applications!$AG$2:$AG$293,"Advanced Pre-Construction")</f>
        <v>32</v>
      </c>
      <c r="D68" s="10" t="n">
        <f aca="false">SUMIFS(Applications!$AL$2:$AL$293,Applications!$F$2:$F$293,$A68,Applications!$AG$2:$AG$293,"Likely")+SUMIFS(Applications!$AL$2:$AL$293,Applications!$F$2:$F$293,$A68,Applications!$AG$2:$AG$293,"Potential")</f>
        <v>7</v>
      </c>
      <c r="E68" s="10" t="n">
        <f aca="false">SUMIFS(Applications!$AL$2:$AL$293,Applications!$F$2:$F$293,$A68,Applications!$AG$2:$AG$293,"Application Pipeline")</f>
        <v>0</v>
      </c>
      <c r="F68" s="10" t="n">
        <f aca="false">SUMIFS(Applications!$AL$2:$AL$293,Applications!$F$2:$F$293,$A68,Applications!$AG$2:$AG$293,"Constrained / uncertain")</f>
        <v>0</v>
      </c>
      <c r="G68" s="10" t="n">
        <f aca="false">SUM(C68:F68)</f>
        <v>39</v>
      </c>
    </row>
    <row r="69" customFormat="false" ht="15" hidden="false" customHeight="false" outlineLevel="0" collapsed="false">
      <c r="A69" s="2" t="s">
        <v>137</v>
      </c>
      <c r="B69" s="10" t="n">
        <f aca="false">COUNTIFS(Applications!$F$2:$F$293,A69,Applications!$AL$2:$AL$293,"&gt;0")</f>
        <v>4</v>
      </c>
      <c r="C69" s="10" t="n">
        <f aca="false">SUMIFS(Applications!$AL$2:$AL$293,Applications!$F$2:$F$293,$A69,Applications!$AG$2:$AG$293,"Committed")+SUMIFS(Applications!$AL$2:$AL$293,Applications!$F$2:$F$293,$A69,Applications!$AG$2:$AG$293,"Committed Pre-Construction")+SUMIFS(Applications!$AL$2:$AL$293,Applications!$F$2:$F$293,$A69,Applications!$AG$2:$AG$293,"Advanced Pre-Construction")</f>
        <v>129</v>
      </c>
      <c r="D69" s="10" t="n">
        <f aca="false">SUMIFS(Applications!$AL$2:$AL$293,Applications!$F$2:$F$293,$A69,Applications!$AG$2:$AG$293,"Likely")+SUMIFS(Applications!$AL$2:$AL$293,Applications!$F$2:$F$293,$A69,Applications!$AG$2:$AG$293,"Potential")</f>
        <v>14</v>
      </c>
      <c r="E69" s="10" t="n">
        <f aca="false">SUMIFS(Applications!$AL$2:$AL$293,Applications!$F$2:$F$293,$A69,Applications!$AG$2:$AG$293,"Application Pipeline")</f>
        <v>0</v>
      </c>
      <c r="F69" s="10" t="n">
        <f aca="false">SUMIFS(Applications!$AL$2:$AL$293,Applications!$F$2:$F$293,$A69,Applications!$AG$2:$AG$293,"Constrained / uncertain")</f>
        <v>0</v>
      </c>
      <c r="G69" s="10" t="n">
        <f aca="false">SUM(C69:F69)</f>
        <v>143</v>
      </c>
    </row>
    <row r="70" customFormat="false" ht="15" hidden="false" customHeight="false" outlineLevel="0" collapsed="false">
      <c r="A70" s="2" t="s">
        <v>138</v>
      </c>
      <c r="B70" s="10" t="n">
        <f aca="false">COUNTIFS(Applications!$F$2:$F$293,A70,Applications!$AL$2:$AL$293,"&gt;0")</f>
        <v>6</v>
      </c>
      <c r="C70" s="10" t="n">
        <f aca="false">SUMIFS(Applications!$AL$2:$AL$293,Applications!$F$2:$F$293,$A70,Applications!$AG$2:$AG$293,"Committed")+SUMIFS(Applications!$AL$2:$AL$293,Applications!$F$2:$F$293,$A70,Applications!$AG$2:$AG$293,"Committed Pre-Construction")+SUMIFS(Applications!$AL$2:$AL$293,Applications!$F$2:$F$293,$A70,Applications!$AG$2:$AG$293,"Advanced Pre-Construction")</f>
        <v>92</v>
      </c>
      <c r="D70" s="10" t="n">
        <f aca="false">SUMIFS(Applications!$AL$2:$AL$293,Applications!$F$2:$F$293,$A70,Applications!$AG$2:$AG$293,"Likely")+SUMIFS(Applications!$AL$2:$AL$293,Applications!$F$2:$F$293,$A70,Applications!$AG$2:$AG$293,"Potential")</f>
        <v>0</v>
      </c>
      <c r="E70" s="10" t="n">
        <f aca="false">SUMIFS(Applications!$AL$2:$AL$293,Applications!$F$2:$F$293,$A70,Applications!$AG$2:$AG$293,"Application Pipeline")</f>
        <v>12</v>
      </c>
      <c r="F70" s="10" t="n">
        <f aca="false">SUMIFS(Applications!$AL$2:$AL$293,Applications!$F$2:$F$293,$A70,Applications!$AG$2:$AG$293,"Constrained / uncertain")</f>
        <v>4</v>
      </c>
      <c r="G70" s="10" t="n">
        <f aca="false">SUM(C70:F70)</f>
        <v>108</v>
      </c>
    </row>
    <row r="71" customFormat="false" ht="15" hidden="false" customHeight="false" outlineLevel="0" collapsed="false">
      <c r="A71" s="2" t="s">
        <v>139</v>
      </c>
      <c r="B71" s="10" t="n">
        <f aca="false">COUNTIFS(Applications!$F$2:$F$293,A71,Applications!$AL$2:$AL$293,"&gt;0")</f>
        <v>57</v>
      </c>
      <c r="C71" s="10" t="n">
        <f aca="false">SUMIFS(Applications!$AL$2:$AL$293,Applications!$F$2:$F$293,$A71,Applications!$AG$2:$AG$293,"Committed")+SUMIFS(Applications!$AL$2:$AL$293,Applications!$F$2:$F$293,$A71,Applications!$AG$2:$AG$293,"Committed Pre-Construction")+SUMIFS(Applications!$AL$2:$AL$293,Applications!$F$2:$F$293,$A71,Applications!$AG$2:$AG$293,"Advanced Pre-Construction")</f>
        <v>1127</v>
      </c>
      <c r="D71" s="10" t="n">
        <f aca="false">SUMIFS(Applications!$AL$2:$AL$293,Applications!$F$2:$F$293,$A71,Applications!$AG$2:$AG$293,"Likely")+SUMIFS(Applications!$AL$2:$AL$293,Applications!$F$2:$F$293,$A71,Applications!$AG$2:$AG$293,"Potential")</f>
        <v>1584</v>
      </c>
      <c r="E71" s="10" t="n">
        <f aca="false">SUMIFS(Applications!$AL$2:$AL$293,Applications!$F$2:$F$293,$A71,Applications!$AG$2:$AG$293,"Application Pipeline")</f>
        <v>161</v>
      </c>
      <c r="F71" s="10" t="n">
        <f aca="false">SUMIFS(Applications!$AL$2:$AL$293,Applications!$F$2:$F$293,$A71,Applications!$AG$2:$AG$293,"Constrained / uncertain")</f>
        <v>242</v>
      </c>
      <c r="G71" s="10" t="n">
        <f aca="false">SUM(C71:F71)</f>
        <v>3114</v>
      </c>
    </row>
    <row r="72" customFormat="false" ht="15" hidden="false" customHeight="false" outlineLevel="0" collapsed="false">
      <c r="A72" s="2" t="s">
        <v>140</v>
      </c>
      <c r="B72" s="10" t="n">
        <f aca="false">COUNTIFS(Applications!$F$2:$F$293,A72,Applications!$AL$2:$AL$293,"&gt;0")</f>
        <v>11</v>
      </c>
      <c r="C72" s="10" t="n">
        <f aca="false">SUMIFS(Applications!$AL$2:$AL$293,Applications!$F$2:$F$293,$A72,Applications!$AG$2:$AG$293,"Committed")+SUMIFS(Applications!$AL$2:$AL$293,Applications!$F$2:$F$293,$A72,Applications!$AG$2:$AG$293,"Committed Pre-Construction")+SUMIFS(Applications!$AL$2:$AL$293,Applications!$F$2:$F$293,$A72,Applications!$AG$2:$AG$293,"Advanced Pre-Construction")</f>
        <v>581</v>
      </c>
      <c r="D72" s="10" t="n">
        <f aca="false">SUMIFS(Applications!$AL$2:$AL$293,Applications!$F$2:$F$293,$A72,Applications!$AG$2:$AG$293,"Likely")+SUMIFS(Applications!$AL$2:$AL$293,Applications!$F$2:$F$293,$A72,Applications!$AG$2:$AG$293,"Potential")</f>
        <v>490</v>
      </c>
      <c r="E72" s="10" t="n">
        <f aca="false">SUMIFS(Applications!$AL$2:$AL$293,Applications!$F$2:$F$293,$A72,Applications!$AG$2:$AG$293,"Application Pipeline")</f>
        <v>0</v>
      </c>
      <c r="F72" s="10" t="n">
        <f aca="false">SUMIFS(Applications!$AL$2:$AL$293,Applications!$F$2:$F$293,$A72,Applications!$AG$2:$AG$293,"Constrained / uncertain")</f>
        <v>117</v>
      </c>
      <c r="G72" s="10" t="n">
        <f aca="false">SUM(C72:F72)</f>
        <v>1188</v>
      </c>
    </row>
    <row r="73" customFormat="false" ht="15" hidden="false" customHeight="false" outlineLevel="0" collapsed="false">
      <c r="A73" s="2" t="s">
        <v>141</v>
      </c>
      <c r="B73" s="10" t="n">
        <f aca="false">COUNTIFS(Applications!$F$2:$F$293,A73,Applications!$AL$2:$AL$293,"&gt;0")</f>
        <v>8</v>
      </c>
      <c r="C73" s="10" t="n">
        <f aca="false">SUMIFS(Applications!$AL$2:$AL$293,Applications!$F$2:$F$293,$A73,Applications!$AG$2:$AG$293,"Committed")+SUMIFS(Applications!$AL$2:$AL$293,Applications!$F$2:$F$293,$A73,Applications!$AG$2:$AG$293,"Committed Pre-Construction")+SUMIFS(Applications!$AL$2:$AL$293,Applications!$F$2:$F$293,$A73,Applications!$AG$2:$AG$293,"Advanced Pre-Construction")</f>
        <v>108</v>
      </c>
      <c r="D73" s="10" t="n">
        <f aca="false">SUMIFS(Applications!$AL$2:$AL$293,Applications!$F$2:$F$293,$A73,Applications!$AG$2:$AG$293,"Likely")+SUMIFS(Applications!$AL$2:$AL$293,Applications!$F$2:$F$293,$A73,Applications!$AG$2:$AG$293,"Potential")</f>
        <v>0</v>
      </c>
      <c r="E73" s="10" t="n">
        <f aca="false">SUMIFS(Applications!$AL$2:$AL$293,Applications!$F$2:$F$293,$A73,Applications!$AG$2:$AG$293,"Application Pipeline")</f>
        <v>30</v>
      </c>
      <c r="F73" s="10" t="n">
        <f aca="false">SUMIFS(Applications!$AL$2:$AL$293,Applications!$F$2:$F$293,$A73,Applications!$AG$2:$AG$293,"Constrained / uncertain")</f>
        <v>159</v>
      </c>
      <c r="G73" s="10" t="n">
        <f aca="false">SUM(C73:F73)</f>
        <v>297</v>
      </c>
    </row>
    <row r="74" customFormat="false" ht="15" hidden="false" customHeight="false" outlineLevel="0" collapsed="false">
      <c r="A74" s="2" t="s">
        <v>142</v>
      </c>
      <c r="B74" s="10" t="n">
        <f aca="false">COUNTIFS(Applications!$F$2:$F$293,A74,Applications!$AL$2:$AL$293,"&gt;0")</f>
        <v>14</v>
      </c>
      <c r="C74" s="10" t="n">
        <f aca="false">SUMIFS(Applications!$AL$2:$AL$293,Applications!$F$2:$F$293,$A74,Applications!$AG$2:$AG$293,"Committed")+SUMIFS(Applications!$AL$2:$AL$293,Applications!$F$2:$F$293,$A74,Applications!$AG$2:$AG$293,"Committed Pre-Construction")+SUMIFS(Applications!$AL$2:$AL$293,Applications!$F$2:$F$293,$A74,Applications!$AG$2:$AG$293,"Advanced Pre-Construction")</f>
        <v>266</v>
      </c>
      <c r="D74" s="10" t="n">
        <f aca="false">SUMIFS(Applications!$AL$2:$AL$293,Applications!$F$2:$F$293,$A74,Applications!$AG$2:$AG$293,"Likely")+SUMIFS(Applications!$AL$2:$AL$293,Applications!$F$2:$F$293,$A74,Applications!$AG$2:$AG$293,"Potential")</f>
        <v>69</v>
      </c>
      <c r="E74" s="10" t="n">
        <f aca="false">SUMIFS(Applications!$AL$2:$AL$293,Applications!$F$2:$F$293,$A74,Applications!$AG$2:$AG$293,"Application Pipeline")</f>
        <v>0</v>
      </c>
      <c r="F74" s="10" t="n">
        <f aca="false">SUMIFS(Applications!$AL$2:$AL$293,Applications!$F$2:$F$293,$A74,Applications!$AG$2:$AG$293,"Constrained / uncertain")</f>
        <v>149</v>
      </c>
      <c r="G74" s="10" t="n">
        <f aca="false">SUM(C74:F74)</f>
        <v>484</v>
      </c>
    </row>
    <row r="75" customFormat="false" ht="15" hidden="false" customHeight="false" outlineLevel="0" collapsed="false">
      <c r="A75" s="2" t="s">
        <v>143</v>
      </c>
      <c r="B75" s="10" t="n">
        <f aca="false">COUNTIFS(Applications!$F$2:$F$293,A75,Applications!$AL$2:$AL$293,"&gt;0")</f>
        <v>6</v>
      </c>
      <c r="C75" s="10" t="n">
        <f aca="false">SUMIFS(Applications!$AL$2:$AL$293,Applications!$F$2:$F$293,$A75,Applications!$AG$2:$AG$293,"Committed")+SUMIFS(Applications!$AL$2:$AL$293,Applications!$F$2:$F$293,$A75,Applications!$AG$2:$AG$293,"Committed Pre-Construction")+SUMIFS(Applications!$AL$2:$AL$293,Applications!$F$2:$F$293,$A75,Applications!$AG$2:$AG$293,"Advanced Pre-Construction")</f>
        <v>21</v>
      </c>
      <c r="D75" s="10" t="n">
        <f aca="false">SUMIFS(Applications!$AL$2:$AL$293,Applications!$F$2:$F$293,$A75,Applications!$AG$2:$AG$293,"Likely")+SUMIFS(Applications!$AL$2:$AL$293,Applications!$F$2:$F$293,$A75,Applications!$AG$2:$AG$293,"Potential")</f>
        <v>127</v>
      </c>
      <c r="E75" s="10" t="n">
        <f aca="false">SUMIFS(Applications!$AL$2:$AL$293,Applications!$F$2:$F$293,$A75,Applications!$AG$2:$AG$293,"Application Pipeline")</f>
        <v>0</v>
      </c>
      <c r="F75" s="10" t="n">
        <f aca="false">SUMIFS(Applications!$AL$2:$AL$293,Applications!$F$2:$F$293,$A75,Applications!$AG$2:$AG$293,"Constrained / uncertain")</f>
        <v>56</v>
      </c>
      <c r="G75" s="10" t="n">
        <f aca="false">SUM(C75:F75)</f>
        <v>204</v>
      </c>
    </row>
    <row r="76" customFormat="false" ht="15" hidden="false" customHeight="false" outlineLevel="0" collapsed="false">
      <c r="A76" s="2" t="s">
        <v>144</v>
      </c>
      <c r="B76" s="10" t="n">
        <f aca="false">COUNTIFS(Applications!$F$2:$F$293,A76,Applications!$AL$2:$AL$293,"&gt;0")</f>
        <v>80</v>
      </c>
      <c r="C76" s="10" t="n">
        <f aca="false">SUMIFS(Applications!$AL$2:$AL$293,Applications!$F$2:$F$293,$A76,Applications!$AG$2:$AG$293,"Committed")+SUMIFS(Applications!$AL$2:$AL$293,Applications!$F$2:$F$293,$A76,Applications!$AG$2:$AG$293,"Committed Pre-Construction")+SUMIFS(Applications!$AL$2:$AL$293,Applications!$F$2:$F$293,$A76,Applications!$AG$2:$AG$293,"Advanced Pre-Construction")</f>
        <v>1184</v>
      </c>
      <c r="D76" s="10" t="n">
        <f aca="false">SUMIFS(Applications!$AL$2:$AL$293,Applications!$F$2:$F$293,$A76,Applications!$AG$2:$AG$293,"Likely")+SUMIFS(Applications!$AL$2:$AL$293,Applications!$F$2:$F$293,$A76,Applications!$AG$2:$AG$293,"Potential")</f>
        <v>992</v>
      </c>
      <c r="E76" s="10" t="n">
        <f aca="false">SUMIFS(Applications!$AL$2:$AL$293,Applications!$F$2:$F$293,$A76,Applications!$AG$2:$AG$293,"Application Pipeline")</f>
        <v>12</v>
      </c>
      <c r="F76" s="10" t="n">
        <f aca="false">SUMIFS(Applications!$AL$2:$AL$293,Applications!$F$2:$F$293,$A76,Applications!$AG$2:$AG$293,"Constrained / uncertain")</f>
        <v>644</v>
      </c>
      <c r="G76" s="10" t="n">
        <f aca="false">SUM(C76:F76)</f>
        <v>2832</v>
      </c>
    </row>
    <row r="77" customFormat="false" ht="15" hidden="false" customHeight="false" outlineLevel="0" collapsed="false">
      <c r="A77" s="3" t="s">
        <v>130</v>
      </c>
      <c r="B77" s="12" t="n">
        <f aca="false">SUM(B63:B76)</f>
        <v>202</v>
      </c>
      <c r="C77" s="12" t="n">
        <f aca="false">SUM(C63:C76)</f>
        <v>3655</v>
      </c>
      <c r="D77" s="12" t="n">
        <f aca="false">SUM(D63:D76)</f>
        <v>3395</v>
      </c>
      <c r="E77" s="12" t="n">
        <f aca="false">SUM(E63:E76)</f>
        <v>263</v>
      </c>
      <c r="F77" s="12" t="n">
        <f aca="false">SUM(F63:F76)</f>
        <v>1589</v>
      </c>
      <c r="G77" s="12" t="n">
        <f aca="false">SUM(G63:G76)</f>
        <v>8902</v>
      </c>
    </row>
    <row r="78" customFormat="false" ht="15" hidden="false" customHeight="false" outlineLevel="0" collapsed="false">
      <c r="A78" s="16" t="s">
        <v>145</v>
      </c>
      <c r="B78" s="2"/>
      <c r="C78" s="2"/>
      <c r="D78" s="2"/>
      <c r="E78" s="2"/>
      <c r="F78" s="2"/>
      <c r="G78" s="2"/>
    </row>
    <row r="79" customFormat="false" ht="15" hidden="false" customHeight="false" outlineLevel="0" collapsed="false">
      <c r="A79" s="2"/>
      <c r="B79" s="2"/>
      <c r="C79" s="2"/>
      <c r="D79" s="2"/>
      <c r="E79" s="2"/>
      <c r="F79" s="2"/>
      <c r="G79" s="2"/>
    </row>
    <row r="80" customFormat="false" ht="15" hidden="false" customHeight="false" outlineLevel="0" collapsed="false">
      <c r="A80" s="9" t="s">
        <v>146</v>
      </c>
      <c r="B80" s="2"/>
      <c r="C80" s="2"/>
      <c r="D80" s="2"/>
      <c r="E80" s="2"/>
      <c r="F80" s="2"/>
      <c r="G80" s="2"/>
    </row>
    <row r="81" customFormat="false" ht="15" hidden="false" customHeight="false" outlineLevel="0" collapsed="false">
      <c r="A81" s="13" t="s">
        <v>147</v>
      </c>
      <c r="B81" s="13" t="s">
        <v>82</v>
      </c>
      <c r="C81" s="2"/>
      <c r="D81" s="2"/>
      <c r="E81" s="2"/>
      <c r="F81" s="2"/>
      <c r="G81" s="2"/>
    </row>
    <row r="82" customFormat="false" ht="15" hidden="false" customHeight="false" outlineLevel="0" collapsed="false">
      <c r="A82" s="2" t="s">
        <v>148</v>
      </c>
      <c r="B82" s="10" t="n">
        <f aca="false">COUNTIF(Applications!$BR$2:$BR$293,A82)</f>
        <v>211</v>
      </c>
      <c r="C82" s="2"/>
      <c r="D82" s="2"/>
      <c r="E82" s="2"/>
      <c r="F82" s="2"/>
      <c r="G82" s="2"/>
    </row>
    <row r="83" customFormat="false" ht="15" hidden="false" customHeight="false" outlineLevel="0" collapsed="false">
      <c r="A83" s="2" t="s">
        <v>149</v>
      </c>
      <c r="B83" s="10" t="n">
        <f aca="false">COUNTIF(Applications!$BR$2:$BR$293,A83)</f>
        <v>27</v>
      </c>
      <c r="C83" s="2"/>
      <c r="D83" s="2"/>
      <c r="E83" s="2"/>
      <c r="F83" s="2"/>
      <c r="G83" s="2"/>
    </row>
    <row r="84" customFormat="false" ht="15" hidden="false" customHeight="false" outlineLevel="0" collapsed="false">
      <c r="A84" s="2" t="s">
        <v>150</v>
      </c>
      <c r="B84" s="10" t="n">
        <f aca="false">COUNTIF(Applications!$BR$2:$BR$293,A84)</f>
        <v>0</v>
      </c>
      <c r="C84" s="2"/>
      <c r="D84" s="2"/>
      <c r="E84" s="2"/>
      <c r="F84" s="2"/>
      <c r="G84" s="2"/>
    </row>
    <row r="85" customFormat="false" ht="15" hidden="false" customHeight="false" outlineLevel="0" collapsed="false">
      <c r="A85" s="2" t="s">
        <v>151</v>
      </c>
      <c r="B85" s="10" t="n">
        <f aca="false">COUNTIF(Applications!$BR$2:$BR$293,A85)</f>
        <v>2</v>
      </c>
      <c r="C85" s="2"/>
      <c r="D85" s="2"/>
      <c r="E85" s="2"/>
      <c r="F85" s="2"/>
      <c r="G85" s="2"/>
    </row>
    <row r="86" customFormat="false" ht="15" hidden="false" customHeight="false" outlineLevel="0" collapsed="false">
      <c r="A86" s="2" t="s">
        <v>152</v>
      </c>
      <c r="B86" s="10" t="n">
        <f aca="false">COUNTIF(Applications!$BR$2:$BR$293,A86)</f>
        <v>0</v>
      </c>
      <c r="C86" s="2"/>
      <c r="D86" s="2"/>
      <c r="E86" s="2"/>
      <c r="F86" s="2"/>
      <c r="G86" s="2"/>
    </row>
    <row r="87" customFormat="false" ht="15" hidden="false" customHeight="false" outlineLevel="0" collapsed="false">
      <c r="A87" s="2" t="s">
        <v>153</v>
      </c>
      <c r="B87" s="10" t="n">
        <f aca="false">COUNTIF(Applications!$BR$2:$BR$293,A87)</f>
        <v>13</v>
      </c>
      <c r="C87" s="2"/>
      <c r="D87" s="2"/>
      <c r="E87" s="2"/>
      <c r="F87" s="2"/>
      <c r="G87" s="2"/>
    </row>
    <row r="88" customFormat="false" ht="15" hidden="false" customHeight="false" outlineLevel="0" collapsed="false">
      <c r="A88" s="2" t="s">
        <v>154</v>
      </c>
      <c r="B88" s="10" t="n">
        <f aca="false">COUNTIF(Applications!$BR$2:$BR$293,A88)</f>
        <v>1</v>
      </c>
      <c r="C88" s="2"/>
      <c r="D88" s="2"/>
      <c r="E88" s="2"/>
      <c r="F88" s="2"/>
      <c r="G88" s="2"/>
    </row>
    <row r="89" customFormat="false" ht="15" hidden="false" customHeight="false" outlineLevel="0" collapsed="false">
      <c r="A89" s="2" t="s">
        <v>155</v>
      </c>
      <c r="B89" s="10" t="n">
        <f aca="false">COUNTIF(Applications!$BR$2:$BR$293,A89)</f>
        <v>29</v>
      </c>
      <c r="C89" s="2"/>
      <c r="D89" s="2"/>
      <c r="E89" s="2"/>
      <c r="F89" s="2"/>
      <c r="G89" s="2"/>
    </row>
    <row r="90" customFormat="false" ht="15" hidden="false" customHeight="false" outlineLevel="0" collapsed="false">
      <c r="A90" s="2" t="s">
        <v>156</v>
      </c>
      <c r="B90" s="10" t="n">
        <f aca="false">COUNTIF(Applications!$BR$2:$BR$293,A90)</f>
        <v>6</v>
      </c>
      <c r="C90" s="2"/>
      <c r="D90" s="2"/>
      <c r="E90" s="2"/>
      <c r="F90" s="2"/>
      <c r="G90" s="2"/>
    </row>
    <row r="91" customFormat="false" ht="15" hidden="false" customHeight="false" outlineLevel="0" collapsed="false">
      <c r="A91" s="2" t="s">
        <v>157</v>
      </c>
      <c r="B91" s="10" t="n">
        <f aca="false">COUNTIF(Applications!$BR$2:$BR$293,A91)</f>
        <v>3</v>
      </c>
      <c r="C91" s="2"/>
      <c r="D91" s="2"/>
      <c r="E91" s="2"/>
      <c r="F91" s="2"/>
      <c r="G91" s="2"/>
    </row>
    <row r="92" customFormat="false" ht="15" hidden="false" customHeight="false" outlineLevel="0" collapsed="false">
      <c r="A92" s="3" t="s">
        <v>130</v>
      </c>
      <c r="B92" s="12" t="n">
        <f aca="false">SUM(B82:B91)</f>
        <v>292</v>
      </c>
      <c r="C92" s="2"/>
      <c r="D92" s="2"/>
      <c r="E92" s="2"/>
      <c r="F92" s="2"/>
      <c r="G92" s="2"/>
    </row>
    <row r="93" customFormat="false" ht="15" hidden="false" customHeight="false" outlineLevel="0" collapsed="false">
      <c r="A93" s="2"/>
      <c r="B93" s="2"/>
      <c r="C93" s="2"/>
      <c r="D93" s="2"/>
      <c r="E93" s="2"/>
      <c r="F93" s="2"/>
      <c r="G93" s="2"/>
    </row>
    <row r="94" customFormat="false" ht="15" hidden="false" customHeight="false" outlineLevel="0" collapsed="false">
      <c r="A94" s="9" t="s">
        <v>158</v>
      </c>
      <c r="B94" s="2"/>
      <c r="C94" s="2"/>
      <c r="D94" s="2"/>
      <c r="E94" s="2"/>
      <c r="F94" s="2"/>
      <c r="G94" s="2"/>
    </row>
    <row r="95" customFormat="false" ht="15" hidden="false" customHeight="false" outlineLevel="0" collapsed="false">
      <c r="A95" s="2" t="s">
        <v>159</v>
      </c>
      <c r="B95" s="10" t="n">
        <f aca="false">COUNTIF(Sites!$T$2:$T$217,"Yes")</f>
        <v>102</v>
      </c>
      <c r="C95" s="2"/>
      <c r="D95" s="2"/>
      <c r="E95" s="2"/>
      <c r="F95" s="2"/>
      <c r="G95" s="2"/>
    </row>
    <row r="96" customFormat="false" ht="15" hidden="false" customHeight="false" outlineLevel="0" collapsed="false">
      <c r="A96" s="2" t="s">
        <v>160</v>
      </c>
      <c r="B96" s="10" t="n">
        <f aca="false">COUNTIF(Sites!$T$2:$T$217,"Resolved")</f>
        <v>0</v>
      </c>
      <c r="C96" s="2"/>
      <c r="D96" s="2"/>
      <c r="E96" s="2"/>
      <c r="F96" s="2"/>
      <c r="G96" s="2"/>
    </row>
    <row r="97" customFormat="false" ht="15" hidden="false" customHeight="false" outlineLevel="0" collapsed="false">
      <c r="A97" s="2" t="s">
        <v>161</v>
      </c>
      <c r="B97" s="10" t="n">
        <f aca="false">SUMIFS(Sites!$K$2:$K$217,Sites!$T$2:$T$217,"Yes")</f>
        <v>5609</v>
      </c>
      <c r="C97" s="2"/>
      <c r="D97" s="2"/>
      <c r="E97" s="2"/>
      <c r="F97" s="2"/>
      <c r="G97" s="2"/>
    </row>
    <row r="98" customFormat="false" ht="15" hidden="false" customHeight="false" outlineLevel="0" collapsed="false">
      <c r="A98" s="2" t="s">
        <v>162</v>
      </c>
      <c r="B98" s="10" t="n">
        <f aca="false">COUNTIFS(Applications!$W$2:$W$293,"Low",Applications!$Z$2:$Z$293,"Yes",Applications!$X$2:$X$293,"")</f>
        <v>80</v>
      </c>
      <c r="C98" s="2"/>
      <c r="D98" s="2"/>
      <c r="E98" s="2"/>
      <c r="F98" s="2"/>
      <c r="G9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42"/>
    <col collapsed="false" customWidth="true" hidden="false" outlineLevel="0" max="4" min="4" style="0" width="32"/>
    <col collapsed="false" customWidth="true" hidden="false" outlineLevel="0" max="5" min="5" style="0" width="18"/>
    <col collapsed="false" customWidth="true" hidden="false" outlineLevel="0" max="7" min="6" style="0" width="12"/>
    <col collapsed="false" customWidth="true" hidden="false" outlineLevel="0" max="8" min="8" style="0" width="18"/>
    <col collapsed="false" customWidth="true" hidden="false" outlineLevel="0" max="17" min="9" style="0" width="12"/>
    <col collapsed="false" customWidth="true" hidden="false" outlineLevel="0" max="18" min="18" style="0" width="60"/>
    <col collapsed="false" customWidth="true" hidden="false" outlineLevel="0" max="21" min="19" style="0" width="12"/>
    <col collapsed="false" customWidth="true" hidden="false" outlineLevel="0" max="22" min="22" style="0" width="30"/>
  </cols>
  <sheetData>
    <row r="1" customFormat="false" ht="45" hidden="false" customHeight="true" outlineLevel="0" collapsed="false">
      <c r="A1" s="13" t="s">
        <v>163</v>
      </c>
      <c r="B1" s="13" t="s">
        <v>164</v>
      </c>
      <c r="C1" s="13" t="s">
        <v>165</v>
      </c>
      <c r="D1" s="13" t="s">
        <v>166</v>
      </c>
      <c r="E1" s="13" t="s">
        <v>127</v>
      </c>
      <c r="F1" s="13" t="s">
        <v>167</v>
      </c>
      <c r="G1" s="13" t="s">
        <v>168</v>
      </c>
      <c r="H1" s="13" t="s">
        <v>169</v>
      </c>
      <c r="I1" s="13" t="s">
        <v>82</v>
      </c>
      <c r="J1" s="13" t="s">
        <v>170</v>
      </c>
      <c r="K1" s="13" t="s">
        <v>171</v>
      </c>
      <c r="L1" s="13" t="s">
        <v>172</v>
      </c>
      <c r="M1" s="13" t="s">
        <v>173</v>
      </c>
      <c r="N1" s="13" t="s">
        <v>174</v>
      </c>
      <c r="O1" s="13" t="s">
        <v>175</v>
      </c>
      <c r="P1" s="13" t="s">
        <v>176</v>
      </c>
      <c r="Q1" s="13" t="s">
        <v>177</v>
      </c>
      <c r="R1" s="13" t="s">
        <v>178</v>
      </c>
      <c r="S1" s="13" t="s">
        <v>179</v>
      </c>
      <c r="T1" s="13" t="s">
        <v>180</v>
      </c>
      <c r="U1" s="13" t="s">
        <v>181</v>
      </c>
      <c r="V1" s="13" t="s">
        <v>182</v>
      </c>
    </row>
    <row r="2" customFormat="false" ht="15" hidden="false" customHeight="false" outlineLevel="0" collapsed="false">
      <c r="A2" s="2" t="s">
        <v>183</v>
      </c>
      <c r="B2" s="2" t="s">
        <v>184</v>
      </c>
      <c r="C2" s="2" t="s">
        <v>185</v>
      </c>
      <c r="D2" s="2" t="s">
        <v>186</v>
      </c>
      <c r="E2" s="2" t="s">
        <v>140</v>
      </c>
      <c r="F2" s="2" t="n">
        <v>52.6311570306477</v>
      </c>
      <c r="G2" s="2" t="n">
        <v>-8.69029876927336</v>
      </c>
      <c r="H2" s="2" t="s">
        <v>187</v>
      </c>
      <c r="I2" s="2" t="n">
        <f aca="false">COUNTIF(Applications!$B$2:$B$293,A2)</f>
        <v>1</v>
      </c>
      <c r="J2" s="2" t="n">
        <f aca="false">COUNTIFS(Applications!$B$2:$B$293,A2,Applications!$Z$2:$Z$293,"Yes")</f>
        <v>1</v>
      </c>
      <c r="K2" s="10" t="n">
        <f aca="false">SUMIFS(Applications!$AI$2:$AI$293,Applications!$B$2:$B$293,A2)</f>
        <v>182</v>
      </c>
      <c r="L2" s="10" t="n">
        <f aca="false">SUMIFS(Applications!$AL$2:$AL$293,Applications!$B$2:$B$293,A2)</f>
        <v>182</v>
      </c>
      <c r="M2" s="10" t="n">
        <f aca="false">SUMIFS(Applications!$AM$2:$AM$293,Applications!$B$2:$B$293,A2)</f>
        <v>0</v>
      </c>
      <c r="N2" s="10" t="n">
        <f aca="false">SUMIFS(Applications!$AK$2:$AK$293,Applications!$B$2:$B$293,A2)</f>
        <v>0</v>
      </c>
      <c r="O2" s="2" t="n">
        <f aca="false">I2-J2</f>
        <v>0</v>
      </c>
      <c r="P2" s="2" t="n">
        <f aca="false">COUNTIFS(Applications!$B$2:$B$293,A2,Applications!$W$2:$W$293,"Low",Applications!$X$2:$X$293,"")</f>
        <v>0</v>
      </c>
      <c r="Q2" s="2" t="n">
        <f aca="false">COUNTIFS(Applications!$B$2:$B$293,A2,Applications!$AH$2:$AH$293,"Past*")+COUNTIFS(Applications!$B$2:$B$293,A2,Applications!$AH$2:$AH$293,"No CIS*")</f>
        <v>0</v>
      </c>
      <c r="R2" s="2"/>
      <c r="S2" s="2" t="s">
        <v>124</v>
      </c>
      <c r="T2" s="2" t="str">
        <f aca="false">IF(OR(R2&lt;&gt;"",S2="Yes",P2&gt;0,Q2&gt;0),IF(U2="Yes","Resolved","Yes"),"No")</f>
        <v>No</v>
      </c>
      <c r="U2" s="7"/>
      <c r="V2" s="7"/>
    </row>
    <row r="3" customFormat="false" ht="15" hidden="false" customHeight="false" outlineLevel="0" collapsed="false">
      <c r="A3" s="2" t="s">
        <v>188</v>
      </c>
      <c r="B3" s="2" t="s">
        <v>184</v>
      </c>
      <c r="C3" s="2" t="s">
        <v>189</v>
      </c>
      <c r="D3" s="2" t="s">
        <v>190</v>
      </c>
      <c r="E3" s="2" t="s">
        <v>139</v>
      </c>
      <c r="F3" s="2" t="n">
        <v>52.6641222002498</v>
      </c>
      <c r="G3" s="2" t="n">
        <v>-8.56180672321082</v>
      </c>
      <c r="H3" s="2" t="s">
        <v>187</v>
      </c>
      <c r="I3" s="2" t="n">
        <f aca="false">COUNTIF(Applications!$B$2:$B$293,A3)</f>
        <v>1</v>
      </c>
      <c r="J3" s="2" t="n">
        <f aca="false">COUNTIFS(Applications!$B$2:$B$293,A3,Applications!$Z$2:$Z$293,"Yes")</f>
        <v>1</v>
      </c>
      <c r="K3" s="10" t="n">
        <f aca="false">SUMIFS(Applications!$AI$2:$AI$293,Applications!$B$2:$B$293,A3)</f>
        <v>523</v>
      </c>
      <c r="L3" s="10" t="n">
        <f aca="false">SUMIFS(Applications!$AL$2:$AL$293,Applications!$B$2:$B$293,A3)</f>
        <v>523</v>
      </c>
      <c r="M3" s="10" t="n">
        <f aca="false">SUMIFS(Applications!$AM$2:$AM$293,Applications!$B$2:$B$293,A3)</f>
        <v>0</v>
      </c>
      <c r="N3" s="10" t="n">
        <f aca="false">SUMIFS(Applications!$AK$2:$AK$293,Applications!$B$2:$B$293,A3)</f>
        <v>0</v>
      </c>
      <c r="O3" s="2" t="n">
        <f aca="false">I3-J3</f>
        <v>0</v>
      </c>
      <c r="P3" s="2" t="n">
        <f aca="false">COUNTIFS(Applications!$B$2:$B$293,A3,Applications!$W$2:$W$293,"Low",Applications!$X$2:$X$293,"")</f>
        <v>0</v>
      </c>
      <c r="Q3" s="2" t="n">
        <f aca="false">COUNTIFS(Applications!$B$2:$B$293,A3,Applications!$AH$2:$AH$293,"Past*")+COUNTIFS(Applications!$B$2:$B$293,A3,Applications!$AH$2:$AH$293,"No CIS*")</f>
        <v>0</v>
      </c>
      <c r="R3" s="2"/>
      <c r="S3" s="2" t="s">
        <v>124</v>
      </c>
      <c r="T3" s="2" t="str">
        <f aca="false">IF(OR(R3&lt;&gt;"",S3="Yes",P3&gt;0,Q3&gt;0),IF(U3="Yes","Resolved","Yes"),"No")</f>
        <v>No</v>
      </c>
      <c r="U3" s="7"/>
      <c r="V3" s="7"/>
    </row>
    <row r="4" customFormat="false" ht="15" hidden="false" customHeight="false" outlineLevel="0" collapsed="false">
      <c r="A4" s="2" t="s">
        <v>191</v>
      </c>
      <c r="B4" s="2" t="s">
        <v>184</v>
      </c>
      <c r="C4" s="2" t="s">
        <v>192</v>
      </c>
      <c r="D4" s="2" t="s">
        <v>193</v>
      </c>
      <c r="E4" s="2" t="s">
        <v>144</v>
      </c>
      <c r="F4" s="2" t="n">
        <v>52.431086779168</v>
      </c>
      <c r="G4" s="2" t="n">
        <v>-9.01089931783045</v>
      </c>
      <c r="H4" s="2" t="s">
        <v>194</v>
      </c>
      <c r="I4" s="2" t="n">
        <f aca="false">COUNTIF(Applications!$B$2:$B$293,A4)</f>
        <v>1</v>
      </c>
      <c r="J4" s="2" t="n">
        <f aca="false">COUNTIFS(Applications!$B$2:$B$293,A4,Applications!$Z$2:$Z$293,"Yes")</f>
        <v>1</v>
      </c>
      <c r="K4" s="10" t="n">
        <f aca="false">SUMIFS(Applications!$AI$2:$AI$293,Applications!$B$2:$B$293,A4)</f>
        <v>18</v>
      </c>
      <c r="L4" s="10" t="n">
        <f aca="false">SUMIFS(Applications!$AL$2:$AL$293,Applications!$B$2:$B$293,A4)</f>
        <v>18</v>
      </c>
      <c r="M4" s="10" t="n">
        <f aca="false">SUMIFS(Applications!$AM$2:$AM$293,Applications!$B$2:$B$293,A4)</f>
        <v>0</v>
      </c>
      <c r="N4" s="10" t="n">
        <f aca="false">SUMIFS(Applications!$AK$2:$AK$293,Applications!$B$2:$B$293,A4)</f>
        <v>0</v>
      </c>
      <c r="O4" s="2" t="n">
        <f aca="false">I4-J4</f>
        <v>0</v>
      </c>
      <c r="P4" s="2" t="n">
        <f aca="false">COUNTIFS(Applications!$B$2:$B$293,A4,Applications!$W$2:$W$293,"Low",Applications!$X$2:$X$293,"")</f>
        <v>0</v>
      </c>
      <c r="Q4" s="2" t="n">
        <f aca="false">COUNTIFS(Applications!$B$2:$B$293,A4,Applications!$AH$2:$AH$293,"Past*")+COUNTIFS(Applications!$B$2:$B$293,A4,Applications!$AH$2:$AH$293,"No CIS*")</f>
        <v>0</v>
      </c>
      <c r="R4" s="2"/>
      <c r="S4" s="2" t="s">
        <v>124</v>
      </c>
      <c r="T4" s="2" t="str">
        <f aca="false">IF(OR(R4&lt;&gt;"",S4="Yes",P4&gt;0,Q4&gt;0),IF(U4="Yes","Resolved","Yes"),"No")</f>
        <v>No</v>
      </c>
      <c r="U4" s="7"/>
      <c r="V4" s="7"/>
    </row>
    <row r="5" customFormat="false" ht="15" hidden="false" customHeight="false" outlineLevel="0" collapsed="false">
      <c r="A5" s="2" t="s">
        <v>195</v>
      </c>
      <c r="B5" s="2" t="s">
        <v>184</v>
      </c>
      <c r="C5" s="2" t="s">
        <v>196</v>
      </c>
      <c r="D5" s="2" t="s">
        <v>197</v>
      </c>
      <c r="E5" s="2" t="s">
        <v>142</v>
      </c>
      <c r="F5" s="2" t="n">
        <v>52.6013534731076</v>
      </c>
      <c r="G5" s="2" t="n">
        <v>-8.70513565563042</v>
      </c>
      <c r="H5" s="2" t="s">
        <v>198</v>
      </c>
      <c r="I5" s="2" t="n">
        <f aca="false">COUNTIF(Applications!$B$2:$B$293,A5)</f>
        <v>10</v>
      </c>
      <c r="J5" s="2" t="n">
        <f aca="false">COUNTIFS(Applications!$B$2:$B$293,A5,Applications!$Z$2:$Z$293,"Yes")</f>
        <v>10</v>
      </c>
      <c r="K5" s="10" t="n">
        <f aca="false">SUMIFS(Applications!$AI$2:$AI$293,Applications!$B$2:$B$293,A5)</f>
        <v>314</v>
      </c>
      <c r="L5" s="10" t="n">
        <f aca="false">SUMIFS(Applications!$AL$2:$AL$293,Applications!$B$2:$B$293,A5)</f>
        <v>305</v>
      </c>
      <c r="M5" s="10" t="n">
        <f aca="false">SUMIFS(Applications!$AM$2:$AM$293,Applications!$B$2:$B$293,A5)</f>
        <v>0</v>
      </c>
      <c r="N5" s="10" t="n">
        <f aca="false">SUMIFS(Applications!$AK$2:$AK$293,Applications!$B$2:$B$293,A5)</f>
        <v>9</v>
      </c>
      <c r="O5" s="2" t="n">
        <f aca="false">I5-J5</f>
        <v>0</v>
      </c>
      <c r="P5" s="2" t="n">
        <f aca="false">COUNTIFS(Applications!$B$2:$B$293,A5,Applications!$W$2:$W$293,"Low",Applications!$X$2:$X$293,"")</f>
        <v>9</v>
      </c>
      <c r="Q5" s="2" t="n">
        <f aca="false">COUNTIFS(Applications!$B$2:$B$293,A5,Applications!$AH$2:$AH$293,"Past*")+COUNTIFS(Applications!$B$2:$B$293,A5,Applications!$AH$2:$AH$293,"No CIS*")</f>
        <v>3</v>
      </c>
      <c r="R5" s="2"/>
      <c r="S5" s="2" t="s">
        <v>121</v>
      </c>
      <c r="T5" s="2" t="str">
        <f aca="false">IF(OR(R5&lt;&gt;"",S5="Yes",P5&gt;0,Q5&gt;0),IF(U5="Yes","Resolved","Yes"),"No")</f>
        <v>Yes</v>
      </c>
      <c r="U5" s="7"/>
      <c r="V5" s="7"/>
    </row>
    <row r="6" customFormat="false" ht="15" hidden="false" customHeight="false" outlineLevel="0" collapsed="false">
      <c r="A6" s="2" t="s">
        <v>199</v>
      </c>
      <c r="B6" s="2" t="s">
        <v>184</v>
      </c>
      <c r="C6" s="2" t="s">
        <v>200</v>
      </c>
      <c r="D6" s="2" t="s">
        <v>201</v>
      </c>
      <c r="E6" s="2" t="s">
        <v>132</v>
      </c>
      <c r="F6" s="2" t="n">
        <v>52.5617261567986</v>
      </c>
      <c r="G6" s="2" t="n">
        <v>-8.76577410743167</v>
      </c>
      <c r="H6" s="2" t="s">
        <v>187</v>
      </c>
      <c r="I6" s="2" t="n">
        <f aca="false">COUNTIF(Applications!$B$2:$B$293,A6)</f>
        <v>1</v>
      </c>
      <c r="J6" s="2" t="n">
        <f aca="false">COUNTIFS(Applications!$B$2:$B$293,A6,Applications!$Z$2:$Z$293,"Yes")</f>
        <v>1</v>
      </c>
      <c r="K6" s="10" t="n">
        <f aca="false">SUMIFS(Applications!$AI$2:$AI$293,Applications!$B$2:$B$293,A6)</f>
        <v>28</v>
      </c>
      <c r="L6" s="10" t="n">
        <f aca="false">SUMIFS(Applications!$AL$2:$AL$293,Applications!$B$2:$B$293,A6)</f>
        <v>28</v>
      </c>
      <c r="M6" s="10" t="n">
        <f aca="false">SUMIFS(Applications!$AM$2:$AM$293,Applications!$B$2:$B$293,A6)</f>
        <v>0</v>
      </c>
      <c r="N6" s="10" t="n">
        <f aca="false">SUMIFS(Applications!$AK$2:$AK$293,Applications!$B$2:$B$293,A6)</f>
        <v>0</v>
      </c>
      <c r="O6" s="2" t="n">
        <f aca="false">I6-J6</f>
        <v>0</v>
      </c>
      <c r="P6" s="2" t="n">
        <f aca="false">COUNTIFS(Applications!$B$2:$B$293,A6,Applications!$W$2:$W$293,"Low",Applications!$X$2:$X$293,"")</f>
        <v>0</v>
      </c>
      <c r="Q6" s="2" t="n">
        <f aca="false">COUNTIFS(Applications!$B$2:$B$293,A6,Applications!$AH$2:$AH$293,"Past*")+COUNTIFS(Applications!$B$2:$B$293,A6,Applications!$AH$2:$AH$293,"No CIS*")</f>
        <v>0</v>
      </c>
      <c r="R6" s="2"/>
      <c r="S6" s="2" t="s">
        <v>124</v>
      </c>
      <c r="T6" s="2" t="str">
        <f aca="false">IF(OR(R6&lt;&gt;"",S6="Yes",P6&gt;0,Q6&gt;0),IF(U6="Yes","Resolved","Yes"),"No")</f>
        <v>No</v>
      </c>
      <c r="U6" s="7"/>
      <c r="V6" s="7"/>
    </row>
    <row r="7" customFormat="false" ht="15" hidden="false" customHeight="false" outlineLevel="0" collapsed="false">
      <c r="A7" s="2" t="s">
        <v>202</v>
      </c>
      <c r="B7" s="2" t="s">
        <v>184</v>
      </c>
      <c r="C7" s="2" t="s">
        <v>203</v>
      </c>
      <c r="D7" s="2" t="s">
        <v>204</v>
      </c>
      <c r="E7" s="2" t="s">
        <v>134</v>
      </c>
      <c r="F7" s="2" t="n">
        <v>52.4769405016095</v>
      </c>
      <c r="G7" s="2" t="n">
        <v>-8.53704669825166</v>
      </c>
      <c r="H7" s="2" t="s">
        <v>187</v>
      </c>
      <c r="I7" s="2" t="n">
        <f aca="false">COUNTIF(Applications!$B$2:$B$293,A7)</f>
        <v>1</v>
      </c>
      <c r="J7" s="2" t="n">
        <f aca="false">COUNTIFS(Applications!$B$2:$B$293,A7,Applications!$Z$2:$Z$293,"Yes")</f>
        <v>1</v>
      </c>
      <c r="K7" s="10" t="n">
        <f aca="false">SUMIFS(Applications!$AI$2:$AI$293,Applications!$B$2:$B$293,A7)</f>
        <v>8</v>
      </c>
      <c r="L7" s="10" t="n">
        <f aca="false">SUMIFS(Applications!$AL$2:$AL$293,Applications!$B$2:$B$293,A7)</f>
        <v>8</v>
      </c>
      <c r="M7" s="10" t="n">
        <f aca="false">SUMIFS(Applications!$AM$2:$AM$293,Applications!$B$2:$B$293,A7)</f>
        <v>0</v>
      </c>
      <c r="N7" s="10" t="n">
        <f aca="false">SUMIFS(Applications!$AK$2:$AK$293,Applications!$B$2:$B$293,A7)</f>
        <v>0</v>
      </c>
      <c r="O7" s="2" t="n">
        <f aca="false">I7-J7</f>
        <v>0</v>
      </c>
      <c r="P7" s="2" t="n">
        <f aca="false">COUNTIFS(Applications!$B$2:$B$293,A7,Applications!$W$2:$W$293,"Low",Applications!$X$2:$X$293,"")</f>
        <v>0</v>
      </c>
      <c r="Q7" s="2" t="n">
        <f aca="false">COUNTIFS(Applications!$B$2:$B$293,A7,Applications!$AH$2:$AH$293,"Past*")+COUNTIFS(Applications!$B$2:$B$293,A7,Applications!$AH$2:$AH$293,"No CIS*")</f>
        <v>0</v>
      </c>
      <c r="R7" s="2"/>
      <c r="S7" s="2" t="s">
        <v>124</v>
      </c>
      <c r="T7" s="2" t="str">
        <f aca="false">IF(OR(R7&lt;&gt;"",S7="Yes",P7&gt;0,Q7&gt;0),IF(U7="Yes","Resolved","Yes"),"No")</f>
        <v>No</v>
      </c>
      <c r="U7" s="7"/>
      <c r="V7" s="7"/>
    </row>
    <row r="8" customFormat="false" ht="15" hidden="false" customHeight="false" outlineLevel="0" collapsed="false">
      <c r="A8" s="2" t="s">
        <v>205</v>
      </c>
      <c r="B8" s="2" t="s">
        <v>184</v>
      </c>
      <c r="C8" s="2" t="s">
        <v>206</v>
      </c>
      <c r="D8" s="2" t="s">
        <v>207</v>
      </c>
      <c r="E8" s="2" t="s">
        <v>144</v>
      </c>
      <c r="F8" s="2" t="n">
        <v>52.344978</v>
      </c>
      <c r="G8" s="2" t="n">
        <v>-8.9745614</v>
      </c>
      <c r="H8" s="2" t="s">
        <v>208</v>
      </c>
      <c r="I8" s="2" t="n">
        <f aca="false">COUNTIF(Applications!$B$2:$B$293,A8)</f>
        <v>2</v>
      </c>
      <c r="J8" s="2" t="n">
        <f aca="false">COUNTIFS(Applications!$B$2:$B$293,A8,Applications!$Z$2:$Z$293,"Yes")</f>
        <v>1</v>
      </c>
      <c r="K8" s="10" t="n">
        <f aca="false">SUMIFS(Applications!$AI$2:$AI$293,Applications!$B$2:$B$293,A8)</f>
        <v>18</v>
      </c>
      <c r="L8" s="10" t="n">
        <f aca="false">SUMIFS(Applications!$AL$2:$AL$293,Applications!$B$2:$B$293,A8)</f>
        <v>7</v>
      </c>
      <c r="M8" s="10" t="n">
        <f aca="false">SUMIFS(Applications!$AM$2:$AM$293,Applications!$B$2:$B$293,A8)</f>
        <v>0</v>
      </c>
      <c r="N8" s="10" t="n">
        <f aca="false">SUMIFS(Applications!$AK$2:$AK$293,Applications!$B$2:$B$293,A8)</f>
        <v>11</v>
      </c>
      <c r="O8" s="2" t="n">
        <f aca="false">I8-J8</f>
        <v>1</v>
      </c>
      <c r="P8" s="2" t="n">
        <f aca="false">COUNTIFS(Applications!$B$2:$B$293,A8,Applications!$W$2:$W$293,"Low",Applications!$X$2:$X$293,"")</f>
        <v>1</v>
      </c>
      <c r="Q8" s="2" t="n">
        <f aca="false">COUNTIFS(Applications!$B$2:$B$293,A8,Applications!$AH$2:$AH$293,"Past*")+COUNTIFS(Applications!$B$2:$B$293,A8,Applications!$AH$2:$AH$293,"No CIS*")</f>
        <v>0</v>
      </c>
      <c r="R8" s="2"/>
      <c r="S8" s="2" t="s">
        <v>121</v>
      </c>
      <c r="T8" s="2" t="str">
        <f aca="false">IF(OR(R8&lt;&gt;"",S8="Yes",P8&gt;0,Q8&gt;0),IF(U8="Yes","Resolved","Yes"),"No")</f>
        <v>Yes</v>
      </c>
      <c r="U8" s="7"/>
      <c r="V8" s="7"/>
    </row>
    <row r="9" customFormat="false" ht="15" hidden="false" customHeight="false" outlineLevel="0" collapsed="false">
      <c r="A9" s="2" t="s">
        <v>209</v>
      </c>
      <c r="B9" s="2" t="s">
        <v>184</v>
      </c>
      <c r="C9" s="2" t="s">
        <v>210</v>
      </c>
      <c r="D9" s="2" t="s">
        <v>211</v>
      </c>
      <c r="E9" s="2" t="s">
        <v>142</v>
      </c>
      <c r="F9" s="2" t="n">
        <v>52.5990948553881</v>
      </c>
      <c r="G9" s="2" t="n">
        <v>-8.70912812256399</v>
      </c>
      <c r="H9" s="2" t="s">
        <v>208</v>
      </c>
      <c r="I9" s="2" t="n">
        <f aca="false">COUNTIF(Applications!$B$2:$B$293,A9)</f>
        <v>7</v>
      </c>
      <c r="J9" s="2" t="n">
        <f aca="false">COUNTIFS(Applications!$B$2:$B$293,A9,Applications!$Z$2:$Z$293,"Yes")</f>
        <v>3</v>
      </c>
      <c r="K9" s="10" t="n">
        <f aca="false">SUMIFS(Applications!$AI$2:$AI$293,Applications!$B$2:$B$293,A9)</f>
        <v>112</v>
      </c>
      <c r="L9" s="10" t="n">
        <f aca="false">SUMIFS(Applications!$AL$2:$AL$293,Applications!$B$2:$B$293,A9)</f>
        <v>86</v>
      </c>
      <c r="M9" s="10" t="n">
        <f aca="false">SUMIFS(Applications!$AM$2:$AM$293,Applications!$B$2:$B$293,A9)</f>
        <v>0</v>
      </c>
      <c r="N9" s="10" t="n">
        <f aca="false">SUMIFS(Applications!$AK$2:$AK$293,Applications!$B$2:$B$293,A9)</f>
        <v>26</v>
      </c>
      <c r="O9" s="2" t="n">
        <f aca="false">I9-J9</f>
        <v>4</v>
      </c>
      <c r="P9" s="2" t="n">
        <f aca="false">COUNTIFS(Applications!$B$2:$B$293,A9,Applications!$W$2:$W$293,"Low",Applications!$X$2:$X$293,"")</f>
        <v>2</v>
      </c>
      <c r="Q9" s="2" t="n">
        <f aca="false">COUNTIFS(Applications!$B$2:$B$293,A9,Applications!$AH$2:$AH$293,"Past*")+COUNTIFS(Applications!$B$2:$B$293,A9,Applications!$AH$2:$AH$293,"No CIS*")</f>
        <v>0</v>
      </c>
      <c r="R9" s="2"/>
      <c r="S9" s="2" t="s">
        <v>121</v>
      </c>
      <c r="T9" s="2" t="str">
        <f aca="false">IF(OR(R9&lt;&gt;"",S9="Yes",P9&gt;0,Q9&gt;0),IF(U9="Yes","Resolved","Yes"),"No")</f>
        <v>Yes</v>
      </c>
      <c r="U9" s="7"/>
      <c r="V9" s="7"/>
    </row>
    <row r="10" customFormat="false" ht="15" hidden="false" customHeight="false" outlineLevel="0" collapsed="false">
      <c r="A10" s="2" t="s">
        <v>212</v>
      </c>
      <c r="B10" s="2" t="s">
        <v>184</v>
      </c>
      <c r="C10" s="2" t="s">
        <v>213</v>
      </c>
      <c r="D10" s="2" t="s">
        <v>214</v>
      </c>
      <c r="E10" s="2" t="s">
        <v>139</v>
      </c>
      <c r="F10" s="2" t="n">
        <v>52.6669520940277</v>
      </c>
      <c r="G10" s="2" t="n">
        <v>-8.5497456255914</v>
      </c>
      <c r="H10" s="2" t="s">
        <v>198</v>
      </c>
      <c r="I10" s="2" t="n">
        <f aca="false">COUNTIF(Applications!$B$2:$B$293,A10)</f>
        <v>3</v>
      </c>
      <c r="J10" s="2" t="n">
        <f aca="false">COUNTIFS(Applications!$B$2:$B$293,A10,Applications!$Z$2:$Z$293,"Yes")</f>
        <v>3</v>
      </c>
      <c r="K10" s="10" t="n">
        <f aca="false">SUMIFS(Applications!$AI$2:$AI$293,Applications!$B$2:$B$293,A10)</f>
        <v>227</v>
      </c>
      <c r="L10" s="10" t="n">
        <f aca="false">SUMIFS(Applications!$AL$2:$AL$293,Applications!$B$2:$B$293,A10)</f>
        <v>27</v>
      </c>
      <c r="M10" s="10" t="n">
        <f aca="false">SUMIFS(Applications!$AM$2:$AM$293,Applications!$B$2:$B$293,A10)</f>
        <v>0</v>
      </c>
      <c r="N10" s="10" t="n">
        <f aca="false">SUMIFS(Applications!$AK$2:$AK$293,Applications!$B$2:$B$293,A10)</f>
        <v>200</v>
      </c>
      <c r="O10" s="2" t="n">
        <f aca="false">I10-J10</f>
        <v>0</v>
      </c>
      <c r="P10" s="2" t="n">
        <f aca="false">COUNTIFS(Applications!$B$2:$B$293,A10,Applications!$W$2:$W$293,"Low",Applications!$X$2:$X$293,"")</f>
        <v>2</v>
      </c>
      <c r="Q10" s="2" t="n">
        <f aca="false">COUNTIFS(Applications!$B$2:$B$293,A10,Applications!$AH$2:$AH$293,"Past*")+COUNTIFS(Applications!$B$2:$B$293,A10,Applications!$AH$2:$AH$293,"No CIS*")</f>
        <v>0</v>
      </c>
      <c r="R10" s="2"/>
      <c r="S10" s="2" t="s">
        <v>121</v>
      </c>
      <c r="T10" s="2" t="str">
        <f aca="false">IF(OR(R10&lt;&gt;"",S10="Yes",P10&gt;0,Q10&gt;0),IF(U10="Yes","Resolved","Yes"),"No")</f>
        <v>Yes</v>
      </c>
      <c r="U10" s="7"/>
      <c r="V10" s="7"/>
    </row>
    <row r="11" customFormat="false" ht="15" hidden="false" customHeight="false" outlineLevel="0" collapsed="false">
      <c r="A11" s="2" t="s">
        <v>215</v>
      </c>
      <c r="B11" s="2" t="s">
        <v>184</v>
      </c>
      <c r="C11" s="2" t="s">
        <v>216</v>
      </c>
      <c r="D11" s="2" t="s">
        <v>217</v>
      </c>
      <c r="E11" s="2" t="s">
        <v>144</v>
      </c>
      <c r="F11" s="2" t="n">
        <v>52.6601730476715</v>
      </c>
      <c r="G11" s="2" t="n">
        <v>-8.58854987829922</v>
      </c>
      <c r="H11" s="2" t="s">
        <v>187</v>
      </c>
      <c r="I11" s="2" t="n">
        <f aca="false">COUNTIF(Applications!$B$2:$B$293,A11)</f>
        <v>1</v>
      </c>
      <c r="J11" s="2" t="n">
        <f aca="false">COUNTIFS(Applications!$B$2:$B$293,A11,Applications!$Z$2:$Z$293,"Yes")</f>
        <v>1</v>
      </c>
      <c r="K11" s="10" t="n">
        <f aca="false">SUMIFS(Applications!$AI$2:$AI$293,Applications!$B$2:$B$293,A11)</f>
        <v>403</v>
      </c>
      <c r="L11" s="10" t="n">
        <f aca="false">SUMIFS(Applications!$AL$2:$AL$293,Applications!$B$2:$B$293,A11)</f>
        <v>403</v>
      </c>
      <c r="M11" s="10" t="n">
        <f aca="false">SUMIFS(Applications!$AM$2:$AM$293,Applications!$B$2:$B$293,A11)</f>
        <v>0</v>
      </c>
      <c r="N11" s="10" t="n">
        <f aca="false">SUMIFS(Applications!$AK$2:$AK$293,Applications!$B$2:$B$293,A11)</f>
        <v>0</v>
      </c>
      <c r="O11" s="2" t="n">
        <f aca="false">I11-J11</f>
        <v>0</v>
      </c>
      <c r="P11" s="2" t="n">
        <f aca="false">COUNTIFS(Applications!$B$2:$B$293,A11,Applications!$W$2:$W$293,"Low",Applications!$X$2:$X$293,"")</f>
        <v>0</v>
      </c>
      <c r="Q11" s="2" t="n">
        <f aca="false">COUNTIFS(Applications!$B$2:$B$293,A11,Applications!$AH$2:$AH$293,"Past*")+COUNTIFS(Applications!$B$2:$B$293,A11,Applications!$AH$2:$AH$293,"No CIS*")</f>
        <v>0</v>
      </c>
      <c r="R11" s="2"/>
      <c r="S11" s="2" t="s">
        <v>124</v>
      </c>
      <c r="T11" s="2" t="str">
        <f aca="false">IF(OR(R11&lt;&gt;"",S11="Yes",P11&gt;0,Q11&gt;0),IF(U11="Yes","Resolved","Yes"),"No")</f>
        <v>No</v>
      </c>
      <c r="U11" s="7"/>
      <c r="V11" s="7"/>
    </row>
    <row r="12" customFormat="false" ht="15" hidden="false" customHeight="false" outlineLevel="0" collapsed="false">
      <c r="A12" s="2" t="s">
        <v>218</v>
      </c>
      <c r="B12" s="2" t="s">
        <v>184</v>
      </c>
      <c r="C12" s="2" t="s">
        <v>219</v>
      </c>
      <c r="D12" s="2" t="s">
        <v>220</v>
      </c>
      <c r="E12" s="2" t="s">
        <v>139</v>
      </c>
      <c r="F12" s="2" t="n">
        <v>52.6556110480767</v>
      </c>
      <c r="G12" s="2" t="n">
        <v>-8.58159546007589</v>
      </c>
      <c r="H12" s="2" t="s">
        <v>187</v>
      </c>
      <c r="I12" s="2" t="n">
        <f aca="false">COUNTIF(Applications!$B$2:$B$293,A12)</f>
        <v>1</v>
      </c>
      <c r="J12" s="2" t="n">
        <f aca="false">COUNTIFS(Applications!$B$2:$B$293,A12,Applications!$Z$2:$Z$293,"Yes")</f>
        <v>1</v>
      </c>
      <c r="K12" s="10" t="n">
        <f aca="false">SUMIFS(Applications!$AI$2:$AI$293,Applications!$B$2:$B$293,A12)</f>
        <v>212</v>
      </c>
      <c r="L12" s="10" t="n">
        <f aca="false">SUMIFS(Applications!$AL$2:$AL$293,Applications!$B$2:$B$293,A12)</f>
        <v>212</v>
      </c>
      <c r="M12" s="10" t="n">
        <f aca="false">SUMIFS(Applications!$AM$2:$AM$293,Applications!$B$2:$B$293,A12)</f>
        <v>0</v>
      </c>
      <c r="N12" s="10" t="n">
        <f aca="false">SUMIFS(Applications!$AK$2:$AK$293,Applications!$B$2:$B$293,A12)</f>
        <v>0</v>
      </c>
      <c r="O12" s="2" t="n">
        <f aca="false">I12-J12</f>
        <v>0</v>
      </c>
      <c r="P12" s="2" t="n">
        <f aca="false">COUNTIFS(Applications!$B$2:$B$293,A12,Applications!$W$2:$W$293,"Low",Applications!$X$2:$X$293,"")</f>
        <v>0</v>
      </c>
      <c r="Q12" s="2" t="n">
        <f aca="false">COUNTIFS(Applications!$B$2:$B$293,A12,Applications!$AH$2:$AH$293,"Past*")+COUNTIFS(Applications!$B$2:$B$293,A12,Applications!$AH$2:$AH$293,"No CIS*")</f>
        <v>0</v>
      </c>
      <c r="R12" s="2"/>
      <c r="S12" s="2" t="s">
        <v>124</v>
      </c>
      <c r="T12" s="2" t="str">
        <f aca="false">IF(OR(R12&lt;&gt;"",S12="Yes",P12&gt;0,Q12&gt;0),IF(U12="Yes","Resolved","Yes"),"No")</f>
        <v>No</v>
      </c>
      <c r="U12" s="7"/>
      <c r="V12" s="7"/>
    </row>
    <row r="13" customFormat="false" ht="15" hidden="false" customHeight="false" outlineLevel="0" collapsed="false">
      <c r="A13" s="2" t="s">
        <v>221</v>
      </c>
      <c r="B13" s="2" t="s">
        <v>184</v>
      </c>
      <c r="C13" s="2" t="s">
        <v>222</v>
      </c>
      <c r="D13" s="2" t="s">
        <v>223</v>
      </c>
      <c r="E13" s="2" t="s">
        <v>140</v>
      </c>
      <c r="F13" s="2" t="n">
        <v>52.629687577304</v>
      </c>
      <c r="G13" s="2" t="n">
        <v>-8.67738681327131</v>
      </c>
      <c r="H13" s="2" t="s">
        <v>198</v>
      </c>
      <c r="I13" s="2" t="n">
        <f aca="false">COUNTIF(Applications!$B$2:$B$293,A13)</f>
        <v>2</v>
      </c>
      <c r="J13" s="2" t="n">
        <f aca="false">COUNTIFS(Applications!$B$2:$B$293,A13,Applications!$Z$2:$Z$293,"Yes")</f>
        <v>2</v>
      </c>
      <c r="K13" s="10" t="n">
        <f aca="false">SUMIFS(Applications!$AI$2:$AI$293,Applications!$B$2:$B$293,A13)</f>
        <v>419</v>
      </c>
      <c r="L13" s="10" t="n">
        <f aca="false">SUMIFS(Applications!$AL$2:$AL$293,Applications!$B$2:$B$293,A13)</f>
        <v>419</v>
      </c>
      <c r="M13" s="10" t="n">
        <f aca="false">SUMIFS(Applications!$AM$2:$AM$293,Applications!$B$2:$B$293,A13)</f>
        <v>0</v>
      </c>
      <c r="N13" s="10" t="n">
        <f aca="false">SUMIFS(Applications!$AK$2:$AK$293,Applications!$B$2:$B$293,A13)</f>
        <v>0</v>
      </c>
      <c r="O13" s="2" t="n">
        <f aca="false">I13-J13</f>
        <v>0</v>
      </c>
      <c r="P13" s="2" t="n">
        <f aca="false">COUNTIFS(Applications!$B$2:$B$293,A13,Applications!$W$2:$W$293,"Low",Applications!$X$2:$X$293,"")</f>
        <v>1</v>
      </c>
      <c r="Q13" s="2" t="n">
        <f aca="false">COUNTIFS(Applications!$B$2:$B$293,A13,Applications!$AH$2:$AH$293,"Past*")+COUNTIFS(Applications!$B$2:$B$293,A13,Applications!$AH$2:$AH$293,"No CIS*")</f>
        <v>0</v>
      </c>
      <c r="R13" s="2"/>
      <c r="S13" s="2" t="s">
        <v>121</v>
      </c>
      <c r="T13" s="2" t="str">
        <f aca="false">IF(OR(R13&lt;&gt;"",S13="Yes",P13&gt;0,Q13&gt;0),IF(U13="Yes","Resolved","Yes"),"No")</f>
        <v>Yes</v>
      </c>
      <c r="U13" s="7"/>
      <c r="V13" s="7"/>
    </row>
    <row r="14" customFormat="false" ht="15" hidden="false" customHeight="false" outlineLevel="0" collapsed="false">
      <c r="A14" s="2" t="s">
        <v>224</v>
      </c>
      <c r="B14" s="2" t="s">
        <v>184</v>
      </c>
      <c r="C14" s="2" t="s">
        <v>225</v>
      </c>
      <c r="D14" s="2" t="s">
        <v>226</v>
      </c>
      <c r="E14" s="2" t="s">
        <v>139</v>
      </c>
      <c r="F14" s="2" t="n">
        <v>52.6648635649427</v>
      </c>
      <c r="G14" s="2" t="n">
        <v>-8.55845944607597</v>
      </c>
      <c r="H14" s="2" t="s">
        <v>208</v>
      </c>
      <c r="I14" s="2" t="n">
        <f aca="false">COUNTIF(Applications!$B$2:$B$293,A14)</f>
        <v>1</v>
      </c>
      <c r="J14" s="2" t="n">
        <f aca="false">COUNTIFS(Applications!$B$2:$B$293,A14,Applications!$Z$2:$Z$293,"Yes")</f>
        <v>1</v>
      </c>
      <c r="K14" s="10" t="n">
        <f aca="false">SUMIFS(Applications!$AI$2:$AI$293,Applications!$B$2:$B$293,A14)</f>
        <v>14</v>
      </c>
      <c r="L14" s="10" t="n">
        <f aca="false">SUMIFS(Applications!$AL$2:$AL$293,Applications!$B$2:$B$293,A14)</f>
        <v>12</v>
      </c>
      <c r="M14" s="10" t="n">
        <f aca="false">SUMIFS(Applications!$AM$2:$AM$293,Applications!$B$2:$B$293,A14)</f>
        <v>0</v>
      </c>
      <c r="N14" s="10" t="n">
        <f aca="false">SUMIFS(Applications!$AK$2:$AK$293,Applications!$B$2:$B$293,A14)</f>
        <v>2</v>
      </c>
      <c r="O14" s="2" t="n">
        <f aca="false">I14-J14</f>
        <v>0</v>
      </c>
      <c r="P14" s="2" t="n">
        <f aca="false">COUNTIFS(Applications!$B$2:$B$293,A14,Applications!$W$2:$W$293,"Low",Applications!$X$2:$X$293,"")</f>
        <v>0</v>
      </c>
      <c r="Q14" s="2" t="n">
        <f aca="false">COUNTIFS(Applications!$B$2:$B$293,A14,Applications!$AH$2:$AH$293,"Past*")+COUNTIFS(Applications!$B$2:$B$293,A14,Applications!$AH$2:$AH$293,"No CIS*")</f>
        <v>0</v>
      </c>
      <c r="R14" s="2"/>
      <c r="S14" s="2" t="s">
        <v>124</v>
      </c>
      <c r="T14" s="2" t="str">
        <f aca="false">IF(OR(R14&lt;&gt;"",S14="Yes",P14&gt;0,Q14&gt;0),IF(U14="Yes","Resolved","Yes"),"No")</f>
        <v>No</v>
      </c>
      <c r="U14" s="7"/>
      <c r="V14" s="7"/>
    </row>
    <row r="15" customFormat="false" ht="15" hidden="false" customHeight="false" outlineLevel="0" collapsed="false">
      <c r="A15" s="2" t="s">
        <v>227</v>
      </c>
      <c r="B15" s="2" t="s">
        <v>184</v>
      </c>
      <c r="C15" s="2" t="s">
        <v>228</v>
      </c>
      <c r="D15" s="2" t="s">
        <v>229</v>
      </c>
      <c r="E15" s="2" t="s">
        <v>141</v>
      </c>
      <c r="F15" s="2" t="n">
        <v>52.4573433664476</v>
      </c>
      <c r="G15" s="2" t="n">
        <v>-9.06285964052424</v>
      </c>
      <c r="H15" s="2" t="s">
        <v>208</v>
      </c>
      <c r="I15" s="2" t="n">
        <f aca="false">COUNTIF(Applications!$B$2:$B$293,A15)</f>
        <v>1</v>
      </c>
      <c r="J15" s="2" t="n">
        <f aca="false">COUNTIFS(Applications!$B$2:$B$293,A15,Applications!$Z$2:$Z$293,"Yes")</f>
        <v>1</v>
      </c>
      <c r="K15" s="10" t="n">
        <f aca="false">SUMIFS(Applications!$AI$2:$AI$293,Applications!$B$2:$B$293,A15)</f>
        <v>93</v>
      </c>
      <c r="L15" s="10" t="n">
        <f aca="false">SUMIFS(Applications!$AL$2:$AL$293,Applications!$B$2:$B$293,A15)</f>
        <v>86</v>
      </c>
      <c r="M15" s="10" t="n">
        <f aca="false">SUMIFS(Applications!$AM$2:$AM$293,Applications!$B$2:$B$293,A15)</f>
        <v>0</v>
      </c>
      <c r="N15" s="10" t="n">
        <f aca="false">SUMIFS(Applications!$AK$2:$AK$293,Applications!$B$2:$B$293,A15)</f>
        <v>7</v>
      </c>
      <c r="O15" s="2" t="n">
        <f aca="false">I15-J15</f>
        <v>0</v>
      </c>
      <c r="P15" s="2" t="n">
        <f aca="false">COUNTIFS(Applications!$B$2:$B$293,A15,Applications!$W$2:$W$293,"Low",Applications!$X$2:$X$293,"")</f>
        <v>0</v>
      </c>
      <c r="Q15" s="2" t="n">
        <f aca="false">COUNTIFS(Applications!$B$2:$B$293,A15,Applications!$AH$2:$AH$293,"Past*")+COUNTIFS(Applications!$B$2:$B$293,A15,Applications!$AH$2:$AH$293,"No CIS*")</f>
        <v>0</v>
      </c>
      <c r="R15" s="2"/>
      <c r="S15" s="2" t="s">
        <v>124</v>
      </c>
      <c r="T15" s="2" t="str">
        <f aca="false">IF(OR(R15&lt;&gt;"",S15="Yes",P15&gt;0,Q15&gt;0),IF(U15="Yes","Resolved","Yes"),"No")</f>
        <v>No</v>
      </c>
      <c r="U15" s="7"/>
      <c r="V15" s="7"/>
    </row>
    <row r="16" customFormat="false" ht="15" hidden="false" customHeight="false" outlineLevel="0" collapsed="false">
      <c r="A16" s="2" t="s">
        <v>230</v>
      </c>
      <c r="B16" s="2" t="s">
        <v>184</v>
      </c>
      <c r="C16" s="2" t="s">
        <v>231</v>
      </c>
      <c r="D16" s="2" t="s">
        <v>232</v>
      </c>
      <c r="E16" s="2" t="s">
        <v>140</v>
      </c>
      <c r="F16" s="2" t="n">
        <v>52.6343010763582</v>
      </c>
      <c r="G16" s="2" t="n">
        <v>-8.67143335753515</v>
      </c>
      <c r="H16" s="2" t="s">
        <v>208</v>
      </c>
      <c r="I16" s="2" t="n">
        <f aca="false">COUNTIF(Applications!$B$2:$B$293,A16)</f>
        <v>6</v>
      </c>
      <c r="J16" s="2" t="n">
        <f aca="false">COUNTIFS(Applications!$B$2:$B$293,A16,Applications!$Z$2:$Z$293,"Yes")</f>
        <v>5</v>
      </c>
      <c r="K16" s="10" t="n">
        <f aca="false">SUMIFS(Applications!$AI$2:$AI$293,Applications!$B$2:$B$293,A16)</f>
        <v>273</v>
      </c>
      <c r="L16" s="10" t="n">
        <f aca="false">SUMIFS(Applications!$AL$2:$AL$293,Applications!$B$2:$B$293,A16)</f>
        <v>194</v>
      </c>
      <c r="M16" s="10" t="n">
        <f aca="false">SUMIFS(Applications!$AM$2:$AM$293,Applications!$B$2:$B$293,A16)</f>
        <v>0</v>
      </c>
      <c r="N16" s="10" t="n">
        <f aca="false">SUMIFS(Applications!$AK$2:$AK$293,Applications!$B$2:$B$293,A16)</f>
        <v>79</v>
      </c>
      <c r="O16" s="2" t="n">
        <f aca="false">I16-J16</f>
        <v>1</v>
      </c>
      <c r="P16" s="2" t="n">
        <f aca="false">COUNTIFS(Applications!$B$2:$B$293,A16,Applications!$W$2:$W$293,"Low",Applications!$X$2:$X$293,"")</f>
        <v>4</v>
      </c>
      <c r="Q16" s="2" t="n">
        <f aca="false">COUNTIFS(Applications!$B$2:$B$293,A16,Applications!$AH$2:$AH$293,"Past*")+COUNTIFS(Applications!$B$2:$B$293,A16,Applications!$AH$2:$AH$293,"No CIS*")</f>
        <v>0</v>
      </c>
      <c r="R16" s="2"/>
      <c r="S16" s="2" t="s">
        <v>121</v>
      </c>
      <c r="T16" s="2" t="str">
        <f aca="false">IF(OR(R16&lt;&gt;"",S16="Yes",P16&gt;0,Q16&gt;0),IF(U16="Yes","Resolved","Yes"),"No")</f>
        <v>Yes</v>
      </c>
      <c r="U16" s="7"/>
      <c r="V16" s="7"/>
    </row>
    <row r="17" customFormat="false" ht="15" hidden="false" customHeight="false" outlineLevel="0" collapsed="false">
      <c r="A17" s="2" t="s">
        <v>233</v>
      </c>
      <c r="B17" s="2" t="s">
        <v>184</v>
      </c>
      <c r="C17" s="2" t="s">
        <v>234</v>
      </c>
      <c r="D17" s="2" t="s">
        <v>235</v>
      </c>
      <c r="E17" s="2" t="s">
        <v>144</v>
      </c>
      <c r="F17" s="2" t="n">
        <v>52.6541608</v>
      </c>
      <c r="G17" s="2" t="n">
        <v>-8.6531591</v>
      </c>
      <c r="H17" s="2" t="s">
        <v>198</v>
      </c>
      <c r="I17" s="2" t="n">
        <f aca="false">COUNTIF(Applications!$B$2:$B$293,A17)</f>
        <v>1</v>
      </c>
      <c r="J17" s="2" t="n">
        <f aca="false">COUNTIFS(Applications!$B$2:$B$293,A17,Applications!$Z$2:$Z$293,"Yes")</f>
        <v>1</v>
      </c>
      <c r="K17" s="10" t="n">
        <f aca="false">SUMIFS(Applications!$AI$2:$AI$293,Applications!$B$2:$B$293,A17)</f>
        <v>371</v>
      </c>
      <c r="L17" s="10" t="n">
        <f aca="false">SUMIFS(Applications!$AL$2:$AL$293,Applications!$B$2:$B$293,A17)</f>
        <v>371</v>
      </c>
      <c r="M17" s="10" t="n">
        <f aca="false">SUMIFS(Applications!$AM$2:$AM$293,Applications!$B$2:$B$293,A17)</f>
        <v>0</v>
      </c>
      <c r="N17" s="10" t="n">
        <f aca="false">SUMIFS(Applications!$AK$2:$AK$293,Applications!$B$2:$B$293,A17)</f>
        <v>0</v>
      </c>
      <c r="O17" s="2" t="n">
        <f aca="false">I17-J17</f>
        <v>0</v>
      </c>
      <c r="P17" s="2" t="n">
        <f aca="false">COUNTIFS(Applications!$B$2:$B$293,A17,Applications!$W$2:$W$293,"Low",Applications!$X$2:$X$293,"")</f>
        <v>0</v>
      </c>
      <c r="Q17" s="2" t="n">
        <f aca="false">COUNTIFS(Applications!$B$2:$B$293,A17,Applications!$AH$2:$AH$293,"Past*")+COUNTIFS(Applications!$B$2:$B$293,A17,Applications!$AH$2:$AH$293,"No CIS*")</f>
        <v>0</v>
      </c>
      <c r="R17" s="2"/>
      <c r="S17" s="2" t="s">
        <v>124</v>
      </c>
      <c r="T17" s="2" t="str">
        <f aca="false">IF(OR(R17&lt;&gt;"",S17="Yes",P17&gt;0,Q17&gt;0),IF(U17="Yes","Resolved","Yes"),"No")</f>
        <v>No</v>
      </c>
      <c r="U17" s="7"/>
      <c r="V17" s="7"/>
    </row>
    <row r="18" customFormat="false" ht="15" hidden="false" customHeight="false" outlineLevel="0" collapsed="false">
      <c r="A18" s="2" t="s">
        <v>236</v>
      </c>
      <c r="B18" s="2" t="s">
        <v>184</v>
      </c>
      <c r="C18" s="2" t="s">
        <v>237</v>
      </c>
      <c r="D18" s="2" t="s">
        <v>238</v>
      </c>
      <c r="E18" s="2" t="s">
        <v>136</v>
      </c>
      <c r="F18" s="2" t="n">
        <v>52.6156756454526</v>
      </c>
      <c r="G18" s="2" t="n">
        <v>-8.34319372043867</v>
      </c>
      <c r="H18" s="2" t="s">
        <v>187</v>
      </c>
      <c r="I18" s="2" t="n">
        <f aca="false">COUNTIF(Applications!$B$2:$B$293,A18)</f>
        <v>3</v>
      </c>
      <c r="J18" s="2" t="n">
        <f aca="false">COUNTIFS(Applications!$B$2:$B$293,A18,Applications!$Z$2:$Z$293,"Yes")</f>
        <v>2</v>
      </c>
      <c r="K18" s="10" t="n">
        <f aca="false">SUMIFS(Applications!$AI$2:$AI$293,Applications!$B$2:$B$293,A18)</f>
        <v>24</v>
      </c>
      <c r="L18" s="10" t="n">
        <f aca="false">SUMIFS(Applications!$AL$2:$AL$293,Applications!$B$2:$B$293,A18)</f>
        <v>7</v>
      </c>
      <c r="M18" s="10" t="n">
        <f aca="false">SUMIFS(Applications!$AM$2:$AM$293,Applications!$B$2:$B$293,A18)</f>
        <v>0</v>
      </c>
      <c r="N18" s="10" t="n">
        <f aca="false">SUMIFS(Applications!$AK$2:$AK$293,Applications!$B$2:$B$293,A18)</f>
        <v>17</v>
      </c>
      <c r="O18" s="2" t="n">
        <f aca="false">I18-J18</f>
        <v>1</v>
      </c>
      <c r="P18" s="2" t="n">
        <f aca="false">COUNTIFS(Applications!$B$2:$B$293,A18,Applications!$W$2:$W$293,"Low",Applications!$X$2:$X$293,"")</f>
        <v>1</v>
      </c>
      <c r="Q18" s="2" t="n">
        <f aca="false">COUNTIFS(Applications!$B$2:$B$293,A18,Applications!$AH$2:$AH$293,"Past*")+COUNTIFS(Applications!$B$2:$B$293,A18,Applications!$AH$2:$AH$293,"No CIS*")</f>
        <v>0</v>
      </c>
      <c r="R18" s="2"/>
      <c r="S18" s="2" t="s">
        <v>121</v>
      </c>
      <c r="T18" s="2" t="str">
        <f aca="false">IF(OR(R18&lt;&gt;"",S18="Yes",P18&gt;0,Q18&gt;0),IF(U18="Yes","Resolved","Yes"),"No")</f>
        <v>Yes</v>
      </c>
      <c r="U18" s="7"/>
      <c r="V18" s="7"/>
    </row>
    <row r="19" customFormat="false" ht="15" hidden="false" customHeight="false" outlineLevel="0" collapsed="false">
      <c r="A19" s="2" t="s">
        <v>239</v>
      </c>
      <c r="B19" s="2" t="s">
        <v>184</v>
      </c>
      <c r="C19" s="2" t="s">
        <v>240</v>
      </c>
      <c r="D19" s="2" t="s">
        <v>241</v>
      </c>
      <c r="E19" s="2" t="s">
        <v>139</v>
      </c>
      <c r="F19" s="2" t="n">
        <v>52.6568595236236</v>
      </c>
      <c r="G19" s="2" t="n">
        <v>-8.57367296464959</v>
      </c>
      <c r="H19" s="2" t="s">
        <v>187</v>
      </c>
      <c r="I19" s="2" t="n">
        <f aca="false">COUNTIF(Applications!$B$2:$B$293,A19)</f>
        <v>1</v>
      </c>
      <c r="J19" s="2" t="n">
        <f aca="false">COUNTIFS(Applications!$B$2:$B$293,A19,Applications!$Z$2:$Z$293,"Yes")</f>
        <v>1</v>
      </c>
      <c r="K19" s="10" t="n">
        <f aca="false">SUMIFS(Applications!$AI$2:$AI$293,Applications!$B$2:$B$293,A19)</f>
        <v>465</v>
      </c>
      <c r="L19" s="10" t="n">
        <f aca="false">SUMIFS(Applications!$AL$2:$AL$293,Applications!$B$2:$B$293,A19)</f>
        <v>0</v>
      </c>
      <c r="M19" s="10" t="n">
        <f aca="false">SUMIFS(Applications!$AM$2:$AM$293,Applications!$B$2:$B$293,A19)</f>
        <v>465</v>
      </c>
      <c r="N19" s="10" t="n">
        <f aca="false">SUMIFS(Applications!$AK$2:$AK$293,Applications!$B$2:$B$293,A19)</f>
        <v>0</v>
      </c>
      <c r="O19" s="2" t="n">
        <f aca="false">I19-J19</f>
        <v>0</v>
      </c>
      <c r="P19" s="2" t="n">
        <f aca="false">COUNTIFS(Applications!$B$2:$B$293,A19,Applications!$W$2:$W$293,"Low",Applications!$X$2:$X$293,"")</f>
        <v>0</v>
      </c>
      <c r="Q19" s="2" t="n">
        <f aca="false">COUNTIFS(Applications!$B$2:$B$293,A19,Applications!$AH$2:$AH$293,"Past*")+COUNTIFS(Applications!$B$2:$B$293,A19,Applications!$AH$2:$AH$293,"No CIS*")</f>
        <v>0</v>
      </c>
      <c r="R19" s="2"/>
      <c r="S19" s="2" t="s">
        <v>124</v>
      </c>
      <c r="T19" s="2" t="str">
        <f aca="false">IF(OR(R19&lt;&gt;"",S19="Yes",P19&gt;0,Q19&gt;0),IF(U19="Yes","Resolved","Yes"),"No")</f>
        <v>No</v>
      </c>
      <c r="U19" s="7"/>
      <c r="V19" s="7"/>
    </row>
    <row r="20" customFormat="false" ht="15" hidden="false" customHeight="false" outlineLevel="0" collapsed="false">
      <c r="A20" s="2" t="s">
        <v>242</v>
      </c>
      <c r="B20" s="2" t="s">
        <v>184</v>
      </c>
      <c r="C20" s="2" t="s">
        <v>243</v>
      </c>
      <c r="D20" s="2" t="s">
        <v>244</v>
      </c>
      <c r="E20" s="2" t="s">
        <v>133</v>
      </c>
      <c r="F20" s="2" t="n">
        <v>52.6657445379565</v>
      </c>
      <c r="G20" s="2" t="n">
        <v>-8.53388261464643</v>
      </c>
      <c r="H20" s="2" t="s">
        <v>187</v>
      </c>
      <c r="I20" s="2" t="n">
        <f aca="false">COUNTIF(Applications!$B$2:$B$293,A20)</f>
        <v>1</v>
      </c>
      <c r="J20" s="2" t="n">
        <f aca="false">COUNTIFS(Applications!$B$2:$B$293,A20,Applications!$Z$2:$Z$293,"Yes")</f>
        <v>1</v>
      </c>
      <c r="K20" s="10" t="n">
        <f aca="false">SUMIFS(Applications!$AI$2:$AI$293,Applications!$B$2:$B$293,A20)</f>
        <v>76</v>
      </c>
      <c r="L20" s="10" t="n">
        <f aca="false">SUMIFS(Applications!$AL$2:$AL$293,Applications!$B$2:$B$293,A20)</f>
        <v>76</v>
      </c>
      <c r="M20" s="10" t="n">
        <f aca="false">SUMIFS(Applications!$AM$2:$AM$293,Applications!$B$2:$B$293,A20)</f>
        <v>0</v>
      </c>
      <c r="N20" s="10" t="n">
        <f aca="false">SUMIFS(Applications!$AK$2:$AK$293,Applications!$B$2:$B$293,A20)</f>
        <v>0</v>
      </c>
      <c r="O20" s="2" t="n">
        <f aca="false">I20-J20</f>
        <v>0</v>
      </c>
      <c r="P20" s="2" t="n">
        <f aca="false">COUNTIFS(Applications!$B$2:$B$293,A20,Applications!$W$2:$W$293,"Low",Applications!$X$2:$X$293,"")</f>
        <v>0</v>
      </c>
      <c r="Q20" s="2" t="n">
        <f aca="false">COUNTIFS(Applications!$B$2:$B$293,A20,Applications!$AH$2:$AH$293,"Past*")+COUNTIFS(Applications!$B$2:$B$293,A20,Applications!$AH$2:$AH$293,"No CIS*")</f>
        <v>0</v>
      </c>
      <c r="R20" s="2"/>
      <c r="S20" s="2" t="s">
        <v>124</v>
      </c>
      <c r="T20" s="2" t="str">
        <f aca="false">IF(OR(R20&lt;&gt;"",S20="Yes",P20&gt;0,Q20&gt;0),IF(U20="Yes","Resolved","Yes"),"No")</f>
        <v>No</v>
      </c>
      <c r="U20" s="7"/>
      <c r="V20" s="7"/>
    </row>
    <row r="21" customFormat="false" ht="15" hidden="false" customHeight="false" outlineLevel="0" collapsed="false">
      <c r="A21" s="2" t="s">
        <v>245</v>
      </c>
      <c r="B21" s="2" t="s">
        <v>184</v>
      </c>
      <c r="C21" s="2" t="s">
        <v>246</v>
      </c>
      <c r="D21" s="2" t="s">
        <v>247</v>
      </c>
      <c r="E21" s="2" t="s">
        <v>139</v>
      </c>
      <c r="F21" s="2" t="n">
        <v>52.662220093466</v>
      </c>
      <c r="G21" s="2" t="n">
        <v>-8.54940392538562</v>
      </c>
      <c r="H21" s="2" t="s">
        <v>208</v>
      </c>
      <c r="I21" s="2" t="n">
        <f aca="false">COUNTIF(Applications!$B$2:$B$293,A21)</f>
        <v>9</v>
      </c>
      <c r="J21" s="2" t="n">
        <f aca="false">COUNTIFS(Applications!$B$2:$B$293,A21,Applications!$Z$2:$Z$293,"Yes")</f>
        <v>8</v>
      </c>
      <c r="K21" s="10" t="n">
        <f aca="false">SUMIFS(Applications!$AI$2:$AI$293,Applications!$B$2:$B$293,A21)</f>
        <v>607</v>
      </c>
      <c r="L21" s="10" t="n">
        <f aca="false">SUMIFS(Applications!$AL$2:$AL$293,Applications!$B$2:$B$293,A21)</f>
        <v>325</v>
      </c>
      <c r="M21" s="10" t="n">
        <f aca="false">SUMIFS(Applications!$AM$2:$AM$293,Applications!$B$2:$B$293,A21)</f>
        <v>0</v>
      </c>
      <c r="N21" s="10" t="n">
        <f aca="false">SUMIFS(Applications!$AK$2:$AK$293,Applications!$B$2:$B$293,A21)</f>
        <v>282</v>
      </c>
      <c r="O21" s="2" t="n">
        <f aca="false">I21-J21</f>
        <v>1</v>
      </c>
      <c r="P21" s="2" t="n">
        <f aca="false">COUNTIFS(Applications!$B$2:$B$293,A21,Applications!$W$2:$W$293,"Low",Applications!$X$2:$X$293,"")</f>
        <v>6</v>
      </c>
      <c r="Q21" s="2" t="n">
        <f aca="false">COUNTIFS(Applications!$B$2:$B$293,A21,Applications!$AH$2:$AH$293,"Past*")+COUNTIFS(Applications!$B$2:$B$293,A21,Applications!$AH$2:$AH$293,"No CIS*")</f>
        <v>1</v>
      </c>
      <c r="R21" s="2"/>
      <c r="S21" s="2" t="s">
        <v>121</v>
      </c>
      <c r="T21" s="2" t="str">
        <f aca="false">IF(OR(R21&lt;&gt;"",S21="Yes",P21&gt;0,Q21&gt;0),IF(U21="Yes","Resolved","Yes"),"No")</f>
        <v>Yes</v>
      </c>
      <c r="U21" s="7"/>
      <c r="V21" s="7"/>
    </row>
    <row r="22" customFormat="false" ht="15" hidden="false" customHeight="false" outlineLevel="0" collapsed="false">
      <c r="A22" s="2" t="s">
        <v>248</v>
      </c>
      <c r="B22" s="2" t="s">
        <v>184</v>
      </c>
      <c r="C22" s="2" t="s">
        <v>249</v>
      </c>
      <c r="D22" s="2" t="s">
        <v>250</v>
      </c>
      <c r="E22" s="2" t="s">
        <v>135</v>
      </c>
      <c r="F22" s="2" t="n">
        <v>52.5953831475238</v>
      </c>
      <c r="G22" s="2" t="n">
        <v>-8.47124554644562</v>
      </c>
      <c r="H22" s="2" t="s">
        <v>251</v>
      </c>
      <c r="I22" s="2" t="n">
        <f aca="false">COUNTIF(Applications!$B$2:$B$293,A22)</f>
        <v>1</v>
      </c>
      <c r="J22" s="2" t="n">
        <f aca="false">COUNTIFS(Applications!$B$2:$B$293,A22,Applications!$Z$2:$Z$293,"Yes")</f>
        <v>1</v>
      </c>
      <c r="K22" s="10" t="n">
        <f aca="false">SUMIFS(Applications!$AI$2:$AI$293,Applications!$B$2:$B$293,A22)</f>
        <v>9</v>
      </c>
      <c r="L22" s="10" t="n">
        <f aca="false">SUMIFS(Applications!$AL$2:$AL$293,Applications!$B$2:$B$293,A22)</f>
        <v>0</v>
      </c>
      <c r="M22" s="10" t="n">
        <f aca="false">SUMIFS(Applications!$AM$2:$AM$293,Applications!$B$2:$B$293,A22)</f>
        <v>0</v>
      </c>
      <c r="N22" s="10" t="n">
        <f aca="false">SUMIFS(Applications!$AK$2:$AK$293,Applications!$B$2:$B$293,A22)</f>
        <v>9</v>
      </c>
      <c r="O22" s="2" t="n">
        <f aca="false">I22-J22</f>
        <v>0</v>
      </c>
      <c r="P22" s="2" t="n">
        <f aca="false">COUNTIFS(Applications!$B$2:$B$293,A22,Applications!$W$2:$W$293,"Low",Applications!$X$2:$X$293,"")</f>
        <v>0</v>
      </c>
      <c r="Q22" s="2" t="n">
        <f aca="false">COUNTIFS(Applications!$B$2:$B$293,A22,Applications!$AH$2:$AH$293,"Past*")+COUNTIFS(Applications!$B$2:$B$293,A22,Applications!$AH$2:$AH$293,"No CIS*")</f>
        <v>0</v>
      </c>
      <c r="R22" s="2"/>
      <c r="S22" s="2" t="s">
        <v>124</v>
      </c>
      <c r="T22" s="2" t="str">
        <f aca="false">IF(OR(R22&lt;&gt;"",S22="Yes",P22&gt;0,Q22&gt;0),IF(U22="Yes","Resolved","Yes"),"No")</f>
        <v>No</v>
      </c>
      <c r="U22" s="7"/>
      <c r="V22" s="7"/>
    </row>
    <row r="23" customFormat="false" ht="15" hidden="false" customHeight="false" outlineLevel="0" collapsed="false">
      <c r="A23" s="2" t="s">
        <v>252</v>
      </c>
      <c r="B23" s="2" t="s">
        <v>184</v>
      </c>
      <c r="C23" s="2" t="s">
        <v>253</v>
      </c>
      <c r="D23" s="2" t="s">
        <v>254</v>
      </c>
      <c r="E23" s="2" t="s">
        <v>144</v>
      </c>
      <c r="F23" s="2" t="n">
        <v>52.6843877675315</v>
      </c>
      <c r="G23" s="2" t="n">
        <v>-8.65499551686093</v>
      </c>
      <c r="H23" s="2" t="s">
        <v>198</v>
      </c>
      <c r="I23" s="2" t="n">
        <f aca="false">COUNTIF(Applications!$B$2:$B$293,A23)</f>
        <v>1</v>
      </c>
      <c r="J23" s="2" t="n">
        <f aca="false">COUNTIFS(Applications!$B$2:$B$293,A23,Applications!$Z$2:$Z$293,"Yes")</f>
        <v>1</v>
      </c>
      <c r="K23" s="10" t="n">
        <f aca="false">SUMIFS(Applications!$AI$2:$AI$293,Applications!$B$2:$B$293,A23)</f>
        <v>115</v>
      </c>
      <c r="L23" s="10" t="n">
        <f aca="false">SUMIFS(Applications!$AL$2:$AL$293,Applications!$B$2:$B$293,A23)</f>
        <v>115</v>
      </c>
      <c r="M23" s="10" t="n">
        <f aca="false">SUMIFS(Applications!$AM$2:$AM$293,Applications!$B$2:$B$293,A23)</f>
        <v>0</v>
      </c>
      <c r="N23" s="10" t="n">
        <f aca="false">SUMIFS(Applications!$AK$2:$AK$293,Applications!$B$2:$B$293,A23)</f>
        <v>0</v>
      </c>
      <c r="O23" s="2" t="n">
        <f aca="false">I23-J23</f>
        <v>0</v>
      </c>
      <c r="P23" s="2" t="n">
        <f aca="false">COUNTIFS(Applications!$B$2:$B$293,A23,Applications!$W$2:$W$293,"Low",Applications!$X$2:$X$293,"")</f>
        <v>0</v>
      </c>
      <c r="Q23" s="2" t="n">
        <f aca="false">COUNTIFS(Applications!$B$2:$B$293,A23,Applications!$AH$2:$AH$293,"Past*")+COUNTIFS(Applications!$B$2:$B$293,A23,Applications!$AH$2:$AH$293,"No CIS*")</f>
        <v>0</v>
      </c>
      <c r="R23" s="2"/>
      <c r="S23" s="2" t="s">
        <v>124</v>
      </c>
      <c r="T23" s="2" t="str">
        <f aca="false">IF(OR(R23&lt;&gt;"",S23="Yes",P23&gt;0,Q23&gt;0),IF(U23="Yes","Resolved","Yes"),"No")</f>
        <v>No</v>
      </c>
      <c r="U23" s="7"/>
      <c r="V23" s="7"/>
    </row>
    <row r="24" customFormat="false" ht="15" hidden="false" customHeight="false" outlineLevel="0" collapsed="false">
      <c r="A24" s="2" t="s">
        <v>255</v>
      </c>
      <c r="B24" s="2" t="s">
        <v>184</v>
      </c>
      <c r="C24" s="2" t="s">
        <v>256</v>
      </c>
      <c r="D24" s="2" t="s">
        <v>257</v>
      </c>
      <c r="E24" s="2" t="s">
        <v>143</v>
      </c>
      <c r="F24" s="2" t="n">
        <v>52.554604490326</v>
      </c>
      <c r="G24" s="2" t="n">
        <v>-8.78939731086375</v>
      </c>
      <c r="H24" s="2" t="s">
        <v>198</v>
      </c>
      <c r="I24" s="2" t="n">
        <f aca="false">COUNTIF(Applications!$B$2:$B$293,A24)</f>
        <v>1</v>
      </c>
      <c r="J24" s="2" t="n">
        <f aca="false">COUNTIFS(Applications!$B$2:$B$293,A24,Applications!$Z$2:$Z$293,"Yes")</f>
        <v>1</v>
      </c>
      <c r="K24" s="10" t="n">
        <f aca="false">SUMIFS(Applications!$AI$2:$AI$293,Applications!$B$2:$B$293,A24)</f>
        <v>10</v>
      </c>
      <c r="L24" s="10" t="n">
        <f aca="false">SUMIFS(Applications!$AL$2:$AL$293,Applications!$B$2:$B$293,A24)</f>
        <v>10</v>
      </c>
      <c r="M24" s="10" t="n">
        <f aca="false">SUMIFS(Applications!$AM$2:$AM$293,Applications!$B$2:$B$293,A24)</f>
        <v>0</v>
      </c>
      <c r="N24" s="10" t="n">
        <f aca="false">SUMIFS(Applications!$AK$2:$AK$293,Applications!$B$2:$B$293,A24)</f>
        <v>0</v>
      </c>
      <c r="O24" s="2" t="n">
        <f aca="false">I24-J24</f>
        <v>0</v>
      </c>
      <c r="P24" s="2" t="n">
        <f aca="false">COUNTIFS(Applications!$B$2:$B$293,A24,Applications!$W$2:$W$293,"Low",Applications!$X$2:$X$293,"")</f>
        <v>0</v>
      </c>
      <c r="Q24" s="2" t="n">
        <f aca="false">COUNTIFS(Applications!$B$2:$B$293,A24,Applications!$AH$2:$AH$293,"Past*")+COUNTIFS(Applications!$B$2:$B$293,A24,Applications!$AH$2:$AH$293,"No CIS*")</f>
        <v>0</v>
      </c>
      <c r="R24" s="2"/>
      <c r="S24" s="2" t="s">
        <v>124</v>
      </c>
      <c r="T24" s="2" t="str">
        <f aca="false">IF(OR(R24&lt;&gt;"",S24="Yes",P24&gt;0,Q24&gt;0),IF(U24="Yes","Resolved","Yes"),"No")</f>
        <v>No</v>
      </c>
      <c r="U24" s="7"/>
      <c r="V24" s="7"/>
    </row>
    <row r="25" customFormat="false" ht="15" hidden="false" customHeight="false" outlineLevel="0" collapsed="false">
      <c r="A25" s="2" t="s">
        <v>258</v>
      </c>
      <c r="B25" s="2" t="s">
        <v>184</v>
      </c>
      <c r="C25" s="2" t="s">
        <v>259</v>
      </c>
      <c r="D25" s="2" t="s">
        <v>260</v>
      </c>
      <c r="E25" s="2" t="s">
        <v>133</v>
      </c>
      <c r="F25" s="2" t="n">
        <v>52.6689444376307</v>
      </c>
      <c r="G25" s="2" t="n">
        <v>-8.53141335555358</v>
      </c>
      <c r="H25" s="2" t="s">
        <v>198</v>
      </c>
      <c r="I25" s="2" t="n">
        <f aca="false">COUNTIF(Applications!$B$2:$B$293,A25)</f>
        <v>1</v>
      </c>
      <c r="J25" s="2" t="n">
        <f aca="false">COUNTIFS(Applications!$B$2:$B$293,A25,Applications!$Z$2:$Z$293,"Yes")</f>
        <v>1</v>
      </c>
      <c r="K25" s="10" t="n">
        <f aca="false">SUMIFS(Applications!$AI$2:$AI$293,Applications!$B$2:$B$293,A25)</f>
        <v>6</v>
      </c>
      <c r="L25" s="10" t="n">
        <f aca="false">SUMIFS(Applications!$AL$2:$AL$293,Applications!$B$2:$B$293,A25)</f>
        <v>6</v>
      </c>
      <c r="M25" s="10" t="n">
        <f aca="false">SUMIFS(Applications!$AM$2:$AM$293,Applications!$B$2:$B$293,A25)</f>
        <v>0</v>
      </c>
      <c r="N25" s="10" t="n">
        <f aca="false">SUMIFS(Applications!$AK$2:$AK$293,Applications!$B$2:$B$293,A25)</f>
        <v>0</v>
      </c>
      <c r="O25" s="2" t="n">
        <f aca="false">I25-J25</f>
        <v>0</v>
      </c>
      <c r="P25" s="2" t="n">
        <f aca="false">COUNTIFS(Applications!$B$2:$B$293,A25,Applications!$W$2:$W$293,"Low",Applications!$X$2:$X$293,"")</f>
        <v>0</v>
      </c>
      <c r="Q25" s="2" t="n">
        <f aca="false">COUNTIFS(Applications!$B$2:$B$293,A25,Applications!$AH$2:$AH$293,"Past*")+COUNTIFS(Applications!$B$2:$B$293,A25,Applications!$AH$2:$AH$293,"No CIS*")</f>
        <v>0</v>
      </c>
      <c r="R25" s="2"/>
      <c r="S25" s="2" t="s">
        <v>124</v>
      </c>
      <c r="T25" s="2" t="str">
        <f aca="false">IF(OR(R25&lt;&gt;"",S25="Yes",P25&gt;0,Q25&gt;0),IF(U25="Yes","Resolved","Yes"),"No")</f>
        <v>No</v>
      </c>
      <c r="U25" s="7"/>
      <c r="V25" s="7"/>
    </row>
    <row r="26" customFormat="false" ht="15" hidden="false" customHeight="false" outlineLevel="0" collapsed="false">
      <c r="A26" s="2" t="s">
        <v>261</v>
      </c>
      <c r="B26" s="2" t="s">
        <v>184</v>
      </c>
      <c r="C26" s="2" t="s">
        <v>262</v>
      </c>
      <c r="D26" s="2" t="s">
        <v>263</v>
      </c>
      <c r="E26" s="2" t="s">
        <v>141</v>
      </c>
      <c r="F26" s="2" t="n">
        <v>52.4562145437101</v>
      </c>
      <c r="G26" s="2" t="n">
        <v>-9.04743137980765</v>
      </c>
      <c r="H26" s="2" t="s">
        <v>251</v>
      </c>
      <c r="I26" s="2" t="n">
        <f aca="false">COUNTIF(Applications!$B$2:$B$293,A26)</f>
        <v>1</v>
      </c>
      <c r="J26" s="2" t="n">
        <f aca="false">COUNTIFS(Applications!$B$2:$B$293,A26,Applications!$Z$2:$Z$293,"Yes")</f>
        <v>1</v>
      </c>
      <c r="K26" s="10" t="n">
        <f aca="false">SUMIFS(Applications!$AI$2:$AI$293,Applications!$B$2:$B$293,A26)</f>
        <v>6</v>
      </c>
      <c r="L26" s="10" t="n">
        <f aca="false">SUMIFS(Applications!$AL$2:$AL$293,Applications!$B$2:$B$293,A26)</f>
        <v>0</v>
      </c>
      <c r="M26" s="10" t="n">
        <f aca="false">SUMIFS(Applications!$AM$2:$AM$293,Applications!$B$2:$B$293,A26)</f>
        <v>0</v>
      </c>
      <c r="N26" s="10" t="n">
        <f aca="false">SUMIFS(Applications!$AK$2:$AK$293,Applications!$B$2:$B$293,A26)</f>
        <v>6</v>
      </c>
      <c r="O26" s="2" t="n">
        <f aca="false">I26-J26</f>
        <v>0</v>
      </c>
      <c r="P26" s="2" t="n">
        <f aca="false">COUNTIFS(Applications!$B$2:$B$293,A26,Applications!$W$2:$W$293,"Low",Applications!$X$2:$X$293,"")</f>
        <v>0</v>
      </c>
      <c r="Q26" s="2" t="n">
        <f aca="false">COUNTIFS(Applications!$B$2:$B$293,A26,Applications!$AH$2:$AH$293,"Past*")+COUNTIFS(Applications!$B$2:$B$293,A26,Applications!$AH$2:$AH$293,"No CIS*")</f>
        <v>0</v>
      </c>
      <c r="R26" s="2"/>
      <c r="S26" s="2" t="s">
        <v>124</v>
      </c>
      <c r="T26" s="2" t="str">
        <f aca="false">IF(OR(R26&lt;&gt;"",S26="Yes",P26&gt;0,Q26&gt;0),IF(U26="Yes","Resolved","Yes"),"No")</f>
        <v>No</v>
      </c>
      <c r="U26" s="7"/>
      <c r="V26" s="7"/>
    </row>
    <row r="27" customFormat="false" ht="15" hidden="false" customHeight="false" outlineLevel="0" collapsed="false">
      <c r="A27" s="2" t="s">
        <v>264</v>
      </c>
      <c r="B27" s="2" t="s">
        <v>184</v>
      </c>
      <c r="C27" s="2" t="s">
        <v>265</v>
      </c>
      <c r="D27" s="2" t="s">
        <v>266</v>
      </c>
      <c r="E27" s="2" t="s">
        <v>134</v>
      </c>
      <c r="F27" s="2" t="n">
        <v>52.4755485</v>
      </c>
      <c r="G27" s="2" t="n">
        <v>-8.5474034</v>
      </c>
      <c r="H27" s="2" t="s">
        <v>198</v>
      </c>
      <c r="I27" s="2" t="n">
        <f aca="false">COUNTIF(Applications!$B$2:$B$293,A27)</f>
        <v>1</v>
      </c>
      <c r="J27" s="2" t="n">
        <f aca="false">COUNTIFS(Applications!$B$2:$B$293,A27,Applications!$Z$2:$Z$293,"Yes")</f>
        <v>1</v>
      </c>
      <c r="K27" s="10" t="n">
        <f aca="false">SUMIFS(Applications!$AI$2:$AI$293,Applications!$B$2:$B$293,A27)</f>
        <v>18</v>
      </c>
      <c r="L27" s="10" t="n">
        <f aca="false">SUMIFS(Applications!$AL$2:$AL$293,Applications!$B$2:$B$293,A27)</f>
        <v>18</v>
      </c>
      <c r="M27" s="10" t="n">
        <f aca="false">SUMIFS(Applications!$AM$2:$AM$293,Applications!$B$2:$B$293,A27)</f>
        <v>0</v>
      </c>
      <c r="N27" s="10" t="n">
        <f aca="false">SUMIFS(Applications!$AK$2:$AK$293,Applications!$B$2:$B$293,A27)</f>
        <v>0</v>
      </c>
      <c r="O27" s="2" t="n">
        <f aca="false">I27-J27</f>
        <v>0</v>
      </c>
      <c r="P27" s="2" t="n">
        <f aca="false">COUNTIFS(Applications!$B$2:$B$293,A27,Applications!$W$2:$W$293,"Low",Applications!$X$2:$X$293,"")</f>
        <v>0</v>
      </c>
      <c r="Q27" s="2" t="n">
        <f aca="false">COUNTIFS(Applications!$B$2:$B$293,A27,Applications!$AH$2:$AH$293,"Past*")+COUNTIFS(Applications!$B$2:$B$293,A27,Applications!$AH$2:$AH$293,"No CIS*")</f>
        <v>0</v>
      </c>
      <c r="R27" s="2"/>
      <c r="S27" s="2" t="s">
        <v>124</v>
      </c>
      <c r="T27" s="2" t="str">
        <f aca="false">IF(OR(R27&lt;&gt;"",S27="Yes",P27&gt;0,Q27&gt;0),IF(U27="Yes","Resolved","Yes"),"No")</f>
        <v>No</v>
      </c>
      <c r="U27" s="7"/>
      <c r="V27" s="7"/>
    </row>
    <row r="28" customFormat="false" ht="15" hidden="false" customHeight="false" outlineLevel="0" collapsed="false">
      <c r="A28" s="2" t="s">
        <v>267</v>
      </c>
      <c r="B28" s="2" t="s">
        <v>184</v>
      </c>
      <c r="C28" s="2" t="s">
        <v>268</v>
      </c>
      <c r="D28" s="2" t="s">
        <v>269</v>
      </c>
      <c r="E28" s="2" t="s">
        <v>144</v>
      </c>
      <c r="F28" s="2" t="n">
        <v>52.6719830797502</v>
      </c>
      <c r="G28" s="2" t="n">
        <v>-8.63802436103739</v>
      </c>
      <c r="H28" s="2" t="s">
        <v>198</v>
      </c>
      <c r="I28" s="2" t="n">
        <f aca="false">COUNTIF(Applications!$B$2:$B$293,A28)</f>
        <v>1</v>
      </c>
      <c r="J28" s="2" t="n">
        <f aca="false">COUNTIFS(Applications!$B$2:$B$293,A28,Applications!$Z$2:$Z$293,"Yes")</f>
        <v>1</v>
      </c>
      <c r="K28" s="10" t="n">
        <f aca="false">SUMIFS(Applications!$AI$2:$AI$293,Applications!$B$2:$B$293,A28)</f>
        <v>28</v>
      </c>
      <c r="L28" s="10" t="n">
        <f aca="false">SUMIFS(Applications!$AL$2:$AL$293,Applications!$B$2:$B$293,A28)</f>
        <v>28</v>
      </c>
      <c r="M28" s="10" t="n">
        <f aca="false">SUMIFS(Applications!$AM$2:$AM$293,Applications!$B$2:$B$293,A28)</f>
        <v>0</v>
      </c>
      <c r="N28" s="10" t="n">
        <f aca="false">SUMIFS(Applications!$AK$2:$AK$293,Applications!$B$2:$B$293,A28)</f>
        <v>0</v>
      </c>
      <c r="O28" s="2" t="n">
        <f aca="false">I28-J28</f>
        <v>0</v>
      </c>
      <c r="P28" s="2" t="n">
        <f aca="false">COUNTIFS(Applications!$B$2:$B$293,A28,Applications!$W$2:$W$293,"Low",Applications!$X$2:$X$293,"")</f>
        <v>0</v>
      </c>
      <c r="Q28" s="2" t="n">
        <f aca="false">COUNTIFS(Applications!$B$2:$B$293,A28,Applications!$AH$2:$AH$293,"Past*")+COUNTIFS(Applications!$B$2:$B$293,A28,Applications!$AH$2:$AH$293,"No CIS*")</f>
        <v>0</v>
      </c>
      <c r="R28" s="2"/>
      <c r="S28" s="2" t="s">
        <v>124</v>
      </c>
      <c r="T28" s="2" t="str">
        <f aca="false">IF(OR(R28&lt;&gt;"",S28="Yes",P28&gt;0,Q28&gt;0),IF(U28="Yes","Resolved","Yes"),"No")</f>
        <v>No</v>
      </c>
      <c r="U28" s="7"/>
      <c r="V28" s="7"/>
    </row>
    <row r="29" customFormat="false" ht="15" hidden="false" customHeight="false" outlineLevel="0" collapsed="false">
      <c r="A29" s="2" t="s">
        <v>270</v>
      </c>
      <c r="B29" s="2" t="s">
        <v>184</v>
      </c>
      <c r="C29" s="2" t="s">
        <v>271</v>
      </c>
      <c r="D29" s="2" t="s">
        <v>272</v>
      </c>
      <c r="E29" s="2" t="s">
        <v>144</v>
      </c>
      <c r="F29" s="2" t="n">
        <v>52.3590720706858</v>
      </c>
      <c r="G29" s="2" t="n">
        <v>-8.47365044313424</v>
      </c>
      <c r="H29" s="2" t="s">
        <v>251</v>
      </c>
      <c r="I29" s="2" t="n">
        <f aca="false">COUNTIF(Applications!$B$2:$B$293,A29)</f>
        <v>1</v>
      </c>
      <c r="J29" s="2" t="n">
        <f aca="false">COUNTIFS(Applications!$B$2:$B$293,A29,Applications!$Z$2:$Z$293,"Yes")</f>
        <v>1</v>
      </c>
      <c r="K29" s="10" t="n">
        <f aca="false">SUMIFS(Applications!$AI$2:$AI$293,Applications!$B$2:$B$293,A29)</f>
        <v>10</v>
      </c>
      <c r="L29" s="10" t="n">
        <f aca="false">SUMIFS(Applications!$AL$2:$AL$293,Applications!$B$2:$B$293,A29)</f>
        <v>0</v>
      </c>
      <c r="M29" s="10" t="n">
        <f aca="false">SUMIFS(Applications!$AM$2:$AM$293,Applications!$B$2:$B$293,A29)</f>
        <v>0</v>
      </c>
      <c r="N29" s="10" t="n">
        <f aca="false">SUMIFS(Applications!$AK$2:$AK$293,Applications!$B$2:$B$293,A29)</f>
        <v>10</v>
      </c>
      <c r="O29" s="2" t="n">
        <f aca="false">I29-J29</f>
        <v>0</v>
      </c>
      <c r="P29" s="2" t="n">
        <f aca="false">COUNTIFS(Applications!$B$2:$B$293,A29,Applications!$W$2:$W$293,"Low",Applications!$X$2:$X$293,"")</f>
        <v>0</v>
      </c>
      <c r="Q29" s="2" t="n">
        <f aca="false">COUNTIFS(Applications!$B$2:$B$293,A29,Applications!$AH$2:$AH$293,"Past*")+COUNTIFS(Applications!$B$2:$B$293,A29,Applications!$AH$2:$AH$293,"No CIS*")</f>
        <v>0</v>
      </c>
      <c r="R29" s="2"/>
      <c r="S29" s="2" t="s">
        <v>124</v>
      </c>
      <c r="T29" s="2" t="str">
        <f aca="false">IF(OR(R29&lt;&gt;"",S29="Yes",P29&gt;0,Q29&gt;0),IF(U29="Yes","Resolved","Yes"),"No")</f>
        <v>No</v>
      </c>
      <c r="U29" s="7"/>
      <c r="V29" s="7"/>
    </row>
    <row r="30" customFormat="false" ht="15" hidden="false" customHeight="false" outlineLevel="0" collapsed="false">
      <c r="A30" s="2" t="s">
        <v>273</v>
      </c>
      <c r="B30" s="2" t="s">
        <v>184</v>
      </c>
      <c r="C30" s="2" t="s">
        <v>274</v>
      </c>
      <c r="D30" s="2" t="s">
        <v>275</v>
      </c>
      <c r="E30" s="2" t="s">
        <v>144</v>
      </c>
      <c r="F30" s="2" t="n">
        <v>52.6601798117102</v>
      </c>
      <c r="G30" s="2" t="n">
        <v>-8.62920967613434</v>
      </c>
      <c r="H30" s="2" t="s">
        <v>187</v>
      </c>
      <c r="I30" s="2" t="n">
        <f aca="false">COUNTIF(Applications!$B$2:$B$293,A30)</f>
        <v>2</v>
      </c>
      <c r="J30" s="2" t="n">
        <f aca="false">COUNTIFS(Applications!$B$2:$B$293,A30,Applications!$Z$2:$Z$293,"Yes")</f>
        <v>2</v>
      </c>
      <c r="K30" s="10" t="n">
        <f aca="false">SUMIFS(Applications!$AI$2:$AI$293,Applications!$B$2:$B$293,A30)</f>
        <v>100</v>
      </c>
      <c r="L30" s="10" t="n">
        <f aca="false">SUMIFS(Applications!$AL$2:$AL$293,Applications!$B$2:$B$293,A30)</f>
        <v>100</v>
      </c>
      <c r="M30" s="10" t="n">
        <f aca="false">SUMIFS(Applications!$AM$2:$AM$293,Applications!$B$2:$B$293,A30)</f>
        <v>0</v>
      </c>
      <c r="N30" s="10" t="n">
        <f aca="false">SUMIFS(Applications!$AK$2:$AK$293,Applications!$B$2:$B$293,A30)</f>
        <v>0</v>
      </c>
      <c r="O30" s="2" t="n">
        <f aca="false">I30-J30</f>
        <v>0</v>
      </c>
      <c r="P30" s="2" t="n">
        <f aca="false">COUNTIFS(Applications!$B$2:$B$293,A30,Applications!$W$2:$W$293,"Low",Applications!$X$2:$X$293,"")</f>
        <v>1</v>
      </c>
      <c r="Q30" s="2" t="n">
        <f aca="false">COUNTIFS(Applications!$B$2:$B$293,A30,Applications!$AH$2:$AH$293,"Past*")+COUNTIFS(Applications!$B$2:$B$293,A30,Applications!$AH$2:$AH$293,"No CIS*")</f>
        <v>1</v>
      </c>
      <c r="R30" s="2"/>
      <c r="S30" s="2" t="s">
        <v>121</v>
      </c>
      <c r="T30" s="2" t="str">
        <f aca="false">IF(OR(R30&lt;&gt;"",S30="Yes",P30&gt;0,Q30&gt;0),IF(U30="Yes","Resolved","Yes"),"No")</f>
        <v>Yes</v>
      </c>
      <c r="U30" s="7"/>
      <c r="V30" s="7"/>
    </row>
    <row r="31" customFormat="false" ht="15" hidden="false" customHeight="false" outlineLevel="0" collapsed="false">
      <c r="A31" s="2" t="s">
        <v>276</v>
      </c>
      <c r="B31" s="2" t="s">
        <v>184</v>
      </c>
      <c r="C31" s="2" t="s">
        <v>277</v>
      </c>
      <c r="D31" s="2" t="s">
        <v>278</v>
      </c>
      <c r="E31" s="2" t="s">
        <v>139</v>
      </c>
      <c r="F31" s="2" t="n">
        <v>52.6652626638506</v>
      </c>
      <c r="G31" s="2" t="n">
        <v>-8.62259877942965</v>
      </c>
      <c r="H31" s="2" t="s">
        <v>187</v>
      </c>
      <c r="I31" s="2" t="n">
        <f aca="false">COUNTIF(Applications!$B$2:$B$293,A31)</f>
        <v>1</v>
      </c>
      <c r="J31" s="2" t="n">
        <f aca="false">COUNTIFS(Applications!$B$2:$B$293,A31,Applications!$Z$2:$Z$293,"Yes")</f>
        <v>1</v>
      </c>
      <c r="K31" s="10" t="n">
        <f aca="false">SUMIFS(Applications!$AI$2:$AI$293,Applications!$B$2:$B$293,A31)</f>
        <v>22</v>
      </c>
      <c r="L31" s="10" t="n">
        <f aca="false">SUMIFS(Applications!$AL$2:$AL$293,Applications!$B$2:$B$293,A31)</f>
        <v>22</v>
      </c>
      <c r="M31" s="10" t="n">
        <f aca="false">SUMIFS(Applications!$AM$2:$AM$293,Applications!$B$2:$B$293,A31)</f>
        <v>0</v>
      </c>
      <c r="N31" s="10" t="n">
        <f aca="false">SUMIFS(Applications!$AK$2:$AK$293,Applications!$B$2:$B$293,A31)</f>
        <v>0</v>
      </c>
      <c r="O31" s="2" t="n">
        <f aca="false">I31-J31</f>
        <v>0</v>
      </c>
      <c r="P31" s="2" t="n">
        <f aca="false">COUNTIFS(Applications!$B$2:$B$293,A31,Applications!$W$2:$W$293,"Low",Applications!$X$2:$X$293,"")</f>
        <v>1</v>
      </c>
      <c r="Q31" s="2" t="n">
        <f aca="false">COUNTIFS(Applications!$B$2:$B$293,A31,Applications!$AH$2:$AH$293,"Past*")+COUNTIFS(Applications!$B$2:$B$293,A31,Applications!$AH$2:$AH$293,"No CIS*")</f>
        <v>0</v>
      </c>
      <c r="R31" s="2"/>
      <c r="S31" s="2" t="s">
        <v>124</v>
      </c>
      <c r="T31" s="2" t="str">
        <f aca="false">IF(OR(R31&lt;&gt;"",S31="Yes",P31&gt;0,Q31&gt;0),IF(U31="Yes","Resolved","Yes"),"No")</f>
        <v>Yes</v>
      </c>
      <c r="U31" s="7"/>
      <c r="V31" s="7"/>
    </row>
    <row r="32" customFormat="false" ht="15" hidden="false" customHeight="false" outlineLevel="0" collapsed="false">
      <c r="A32" s="2" t="s">
        <v>279</v>
      </c>
      <c r="B32" s="2" t="s">
        <v>184</v>
      </c>
      <c r="C32" s="2" t="s">
        <v>280</v>
      </c>
      <c r="D32" s="2" t="s">
        <v>281</v>
      </c>
      <c r="E32" s="2" t="s">
        <v>139</v>
      </c>
      <c r="F32" s="2" t="n">
        <v>52.6638120330614</v>
      </c>
      <c r="G32" s="2" t="n">
        <v>-8.58024223530128</v>
      </c>
      <c r="H32" s="2" t="s">
        <v>194</v>
      </c>
      <c r="I32" s="2" t="n">
        <f aca="false">COUNTIF(Applications!$B$2:$B$293,A32)</f>
        <v>1</v>
      </c>
      <c r="J32" s="2" t="n">
        <f aca="false">COUNTIFS(Applications!$B$2:$B$293,A32,Applications!$Z$2:$Z$293,"Yes")</f>
        <v>1</v>
      </c>
      <c r="K32" s="10" t="n">
        <f aca="false">SUMIFS(Applications!$AI$2:$AI$293,Applications!$B$2:$B$293,A32)</f>
        <v>196</v>
      </c>
      <c r="L32" s="10" t="n">
        <f aca="false">SUMIFS(Applications!$AL$2:$AL$293,Applications!$B$2:$B$293,A32)</f>
        <v>0</v>
      </c>
      <c r="M32" s="10" t="n">
        <f aca="false">SUMIFS(Applications!$AM$2:$AM$293,Applications!$B$2:$B$293,A32)</f>
        <v>196</v>
      </c>
      <c r="N32" s="10" t="n">
        <f aca="false">SUMIFS(Applications!$AK$2:$AK$293,Applications!$B$2:$B$293,A32)</f>
        <v>0</v>
      </c>
      <c r="O32" s="2" t="n">
        <f aca="false">I32-J32</f>
        <v>0</v>
      </c>
      <c r="P32" s="2" t="n">
        <f aca="false">COUNTIFS(Applications!$B$2:$B$293,A32,Applications!$W$2:$W$293,"Low",Applications!$X$2:$X$293,"")</f>
        <v>0</v>
      </c>
      <c r="Q32" s="2" t="n">
        <f aca="false">COUNTIFS(Applications!$B$2:$B$293,A32,Applications!$AH$2:$AH$293,"Past*")+COUNTIFS(Applications!$B$2:$B$293,A32,Applications!$AH$2:$AH$293,"No CIS*")</f>
        <v>0</v>
      </c>
      <c r="R32" s="2"/>
      <c r="S32" s="2" t="s">
        <v>124</v>
      </c>
      <c r="T32" s="2" t="str">
        <f aca="false">IF(OR(R32&lt;&gt;"",S32="Yes",P32&gt;0,Q32&gt;0),IF(U32="Yes","Resolved","Yes"),"No")</f>
        <v>No</v>
      </c>
      <c r="U32" s="7"/>
      <c r="V32" s="7"/>
    </row>
    <row r="33" customFormat="false" ht="15" hidden="false" customHeight="false" outlineLevel="0" collapsed="false">
      <c r="A33" s="2" t="s">
        <v>282</v>
      </c>
      <c r="B33" s="2" t="s">
        <v>184</v>
      </c>
      <c r="C33" s="2" t="s">
        <v>283</v>
      </c>
      <c r="D33" s="2" t="s">
        <v>284</v>
      </c>
      <c r="E33" s="2" t="s">
        <v>139</v>
      </c>
      <c r="F33" s="2" t="n">
        <v>52.6598826055585</v>
      </c>
      <c r="G33" s="2" t="n">
        <v>-8.63059431146838</v>
      </c>
      <c r="H33" s="2" t="s">
        <v>198</v>
      </c>
      <c r="I33" s="2" t="n">
        <f aca="false">COUNTIF(Applications!$B$2:$B$293,A33)</f>
        <v>1</v>
      </c>
      <c r="J33" s="2" t="n">
        <f aca="false">COUNTIFS(Applications!$B$2:$B$293,A33,Applications!$Z$2:$Z$293,"Yes")</f>
        <v>1</v>
      </c>
      <c r="K33" s="10" t="n">
        <f aca="false">SUMIFS(Applications!$AI$2:$AI$293,Applications!$B$2:$B$293,A33)</f>
        <v>7</v>
      </c>
      <c r="L33" s="10" t="n">
        <f aca="false">SUMIFS(Applications!$AL$2:$AL$293,Applications!$B$2:$B$293,A33)</f>
        <v>7</v>
      </c>
      <c r="M33" s="10" t="n">
        <f aca="false">SUMIFS(Applications!$AM$2:$AM$293,Applications!$B$2:$B$293,A33)</f>
        <v>0</v>
      </c>
      <c r="N33" s="10" t="n">
        <f aca="false">SUMIFS(Applications!$AK$2:$AK$293,Applications!$B$2:$B$293,A33)</f>
        <v>0</v>
      </c>
      <c r="O33" s="2" t="n">
        <f aca="false">I33-J33</f>
        <v>0</v>
      </c>
      <c r="P33" s="2" t="n">
        <f aca="false">COUNTIFS(Applications!$B$2:$B$293,A33,Applications!$W$2:$W$293,"Low",Applications!$X$2:$X$293,"")</f>
        <v>1</v>
      </c>
      <c r="Q33" s="2" t="n">
        <f aca="false">COUNTIFS(Applications!$B$2:$B$293,A33,Applications!$AH$2:$AH$293,"Past*")+COUNTIFS(Applications!$B$2:$B$293,A33,Applications!$AH$2:$AH$293,"No CIS*")</f>
        <v>0</v>
      </c>
      <c r="R33" s="2"/>
      <c r="S33" s="2" t="s">
        <v>124</v>
      </c>
      <c r="T33" s="2" t="str">
        <f aca="false">IF(OR(R33&lt;&gt;"",S33="Yes",P33&gt;0,Q33&gt;0),IF(U33="Yes","Resolved","Yes"),"No")</f>
        <v>Yes</v>
      </c>
      <c r="U33" s="7"/>
      <c r="V33" s="7"/>
    </row>
    <row r="34" customFormat="false" ht="15" hidden="false" customHeight="false" outlineLevel="0" collapsed="false">
      <c r="A34" s="2" t="s">
        <v>285</v>
      </c>
      <c r="B34" s="2" t="s">
        <v>184</v>
      </c>
      <c r="C34" s="2" t="s">
        <v>286</v>
      </c>
      <c r="D34" s="2" t="s">
        <v>287</v>
      </c>
      <c r="E34" s="2" t="s">
        <v>139</v>
      </c>
      <c r="F34" s="2" t="n">
        <v>52.6626309871117</v>
      </c>
      <c r="G34" s="2" t="n">
        <v>-8.56533998876551</v>
      </c>
      <c r="H34" s="2" t="s">
        <v>198</v>
      </c>
      <c r="I34" s="2" t="n">
        <f aca="false">COUNTIF(Applications!$B$2:$B$293,A34)</f>
        <v>5</v>
      </c>
      <c r="J34" s="2" t="n">
        <f aca="false">COUNTIFS(Applications!$B$2:$B$293,A34,Applications!$Z$2:$Z$293,"Yes")</f>
        <v>4</v>
      </c>
      <c r="K34" s="10" t="n">
        <f aca="false">SUMIFS(Applications!$AI$2:$AI$293,Applications!$B$2:$B$293,A34)</f>
        <v>151</v>
      </c>
      <c r="L34" s="10" t="n">
        <f aca="false">SUMIFS(Applications!$AL$2:$AL$293,Applications!$B$2:$B$293,A34)</f>
        <v>151</v>
      </c>
      <c r="M34" s="10" t="n">
        <f aca="false">SUMIFS(Applications!$AM$2:$AM$293,Applications!$B$2:$B$293,A34)</f>
        <v>0</v>
      </c>
      <c r="N34" s="10" t="n">
        <f aca="false">SUMIFS(Applications!$AK$2:$AK$293,Applications!$B$2:$B$293,A34)</f>
        <v>0</v>
      </c>
      <c r="O34" s="2" t="n">
        <f aca="false">I34-J34</f>
        <v>1</v>
      </c>
      <c r="P34" s="2" t="n">
        <f aca="false">COUNTIFS(Applications!$B$2:$B$293,A34,Applications!$W$2:$W$293,"Low",Applications!$X$2:$X$293,"")</f>
        <v>3</v>
      </c>
      <c r="Q34" s="2" t="n">
        <f aca="false">COUNTIFS(Applications!$B$2:$B$293,A34,Applications!$AH$2:$AH$293,"Past*")+COUNTIFS(Applications!$B$2:$B$293,A34,Applications!$AH$2:$AH$293,"No CIS*")</f>
        <v>2</v>
      </c>
      <c r="R34" s="2"/>
      <c r="S34" s="2" t="s">
        <v>121</v>
      </c>
      <c r="T34" s="2" t="str">
        <f aca="false">IF(OR(R34&lt;&gt;"",S34="Yes",P34&gt;0,Q34&gt;0),IF(U34="Yes","Resolved","Yes"),"No")</f>
        <v>Yes</v>
      </c>
      <c r="U34" s="7"/>
      <c r="V34" s="7"/>
    </row>
    <row r="35" customFormat="false" ht="15" hidden="false" customHeight="false" outlineLevel="0" collapsed="false">
      <c r="A35" s="2" t="s">
        <v>288</v>
      </c>
      <c r="B35" s="2" t="s">
        <v>184</v>
      </c>
      <c r="C35" s="2" t="s">
        <v>289</v>
      </c>
      <c r="D35" s="2" t="s">
        <v>290</v>
      </c>
      <c r="E35" s="2" t="s">
        <v>139</v>
      </c>
      <c r="F35" s="2" t="n">
        <v>52.6224348</v>
      </c>
      <c r="G35" s="2" t="n">
        <v>-8.6547434</v>
      </c>
      <c r="H35" s="2" t="s">
        <v>187</v>
      </c>
      <c r="I35" s="2" t="n">
        <f aca="false">COUNTIF(Applications!$B$2:$B$293,A35)</f>
        <v>3</v>
      </c>
      <c r="J35" s="2" t="n">
        <f aca="false">COUNTIFS(Applications!$B$2:$B$293,A35,Applications!$Z$2:$Z$293,"Yes")</f>
        <v>2</v>
      </c>
      <c r="K35" s="10" t="n">
        <f aca="false">SUMIFS(Applications!$AI$2:$AI$293,Applications!$B$2:$B$293,A35)</f>
        <v>44</v>
      </c>
      <c r="L35" s="10" t="n">
        <f aca="false">SUMIFS(Applications!$AL$2:$AL$293,Applications!$B$2:$B$293,A35)</f>
        <v>44</v>
      </c>
      <c r="M35" s="10" t="n">
        <f aca="false">SUMIFS(Applications!$AM$2:$AM$293,Applications!$B$2:$B$293,A35)</f>
        <v>0</v>
      </c>
      <c r="N35" s="10" t="n">
        <f aca="false">SUMIFS(Applications!$AK$2:$AK$293,Applications!$B$2:$B$293,A35)</f>
        <v>0</v>
      </c>
      <c r="O35" s="2" t="n">
        <f aca="false">I35-J35</f>
        <v>1</v>
      </c>
      <c r="P35" s="2" t="n">
        <f aca="false">COUNTIFS(Applications!$B$2:$B$293,A35,Applications!$W$2:$W$293,"Low",Applications!$X$2:$X$293,"")</f>
        <v>1</v>
      </c>
      <c r="Q35" s="2" t="n">
        <f aca="false">COUNTIFS(Applications!$B$2:$B$293,A35,Applications!$AH$2:$AH$293,"Past*")+COUNTIFS(Applications!$B$2:$B$293,A35,Applications!$AH$2:$AH$293,"No CIS*")</f>
        <v>0</v>
      </c>
      <c r="R35" s="2"/>
      <c r="S35" s="2" t="s">
        <v>121</v>
      </c>
      <c r="T35" s="2" t="str">
        <f aca="false">IF(OR(R35&lt;&gt;"",S35="Yes",P35&gt;0,Q35&gt;0),IF(U35="Yes","Resolved","Yes"),"No")</f>
        <v>Yes</v>
      </c>
      <c r="U35" s="7"/>
      <c r="V35" s="7"/>
    </row>
    <row r="36" customFormat="false" ht="15" hidden="false" customHeight="false" outlineLevel="0" collapsed="false">
      <c r="A36" s="2" t="s">
        <v>291</v>
      </c>
      <c r="B36" s="2" t="s">
        <v>184</v>
      </c>
      <c r="C36" s="2" t="s">
        <v>292</v>
      </c>
      <c r="D36" s="2" t="s">
        <v>293</v>
      </c>
      <c r="E36" s="2" t="s">
        <v>144</v>
      </c>
      <c r="F36" s="2" t="n">
        <v>52.6050767929578</v>
      </c>
      <c r="G36" s="2" t="n">
        <v>-8.25118792477772</v>
      </c>
      <c r="H36" s="2" t="s">
        <v>187</v>
      </c>
      <c r="I36" s="2" t="n">
        <f aca="false">COUNTIF(Applications!$B$2:$B$293,A36)</f>
        <v>1</v>
      </c>
      <c r="J36" s="2" t="n">
        <f aca="false">COUNTIFS(Applications!$B$2:$B$293,A36,Applications!$Z$2:$Z$293,"Yes")</f>
        <v>1</v>
      </c>
      <c r="K36" s="10" t="n">
        <f aca="false">SUMIFS(Applications!$AI$2:$AI$293,Applications!$B$2:$B$293,A36)</f>
        <v>27</v>
      </c>
      <c r="L36" s="10" t="n">
        <f aca="false">SUMIFS(Applications!$AL$2:$AL$293,Applications!$B$2:$B$293,A36)</f>
        <v>27</v>
      </c>
      <c r="M36" s="10" t="n">
        <f aca="false">SUMIFS(Applications!$AM$2:$AM$293,Applications!$B$2:$B$293,A36)</f>
        <v>0</v>
      </c>
      <c r="N36" s="10" t="n">
        <f aca="false">SUMIFS(Applications!$AK$2:$AK$293,Applications!$B$2:$B$293,A36)</f>
        <v>0</v>
      </c>
      <c r="O36" s="2" t="n">
        <f aca="false">I36-J36</f>
        <v>0</v>
      </c>
      <c r="P36" s="2" t="n">
        <f aca="false">COUNTIFS(Applications!$B$2:$B$293,A36,Applications!$W$2:$W$293,"Low",Applications!$X$2:$X$293,"")</f>
        <v>0</v>
      </c>
      <c r="Q36" s="2" t="n">
        <f aca="false">COUNTIFS(Applications!$B$2:$B$293,A36,Applications!$AH$2:$AH$293,"Past*")+COUNTIFS(Applications!$B$2:$B$293,A36,Applications!$AH$2:$AH$293,"No CIS*")</f>
        <v>0</v>
      </c>
      <c r="R36" s="2"/>
      <c r="S36" s="2" t="s">
        <v>124</v>
      </c>
      <c r="T36" s="2" t="str">
        <f aca="false">IF(OR(R36&lt;&gt;"",S36="Yes",P36&gt;0,Q36&gt;0),IF(U36="Yes","Resolved","Yes"),"No")</f>
        <v>No</v>
      </c>
      <c r="U36" s="7"/>
      <c r="V36" s="7"/>
    </row>
    <row r="37" customFormat="false" ht="15" hidden="false" customHeight="false" outlineLevel="0" collapsed="false">
      <c r="A37" s="2" t="s">
        <v>294</v>
      </c>
      <c r="B37" s="2" t="s">
        <v>184</v>
      </c>
      <c r="C37" s="2" t="s">
        <v>295</v>
      </c>
      <c r="D37" s="2" t="s">
        <v>296</v>
      </c>
      <c r="E37" s="2" t="s">
        <v>139</v>
      </c>
      <c r="F37" s="2" t="n">
        <v>52.6762593924602</v>
      </c>
      <c r="G37" s="2" t="n">
        <v>-8.60794212533766</v>
      </c>
      <c r="H37" s="2" t="s">
        <v>198</v>
      </c>
      <c r="I37" s="2" t="n">
        <f aca="false">COUNTIF(Applications!$B$2:$B$293,A37)</f>
        <v>1</v>
      </c>
      <c r="J37" s="2" t="n">
        <f aca="false">COUNTIFS(Applications!$B$2:$B$293,A37,Applications!$Z$2:$Z$293,"Yes")</f>
        <v>1</v>
      </c>
      <c r="K37" s="10" t="n">
        <f aca="false">SUMIFS(Applications!$AI$2:$AI$293,Applications!$B$2:$B$293,A37)</f>
        <v>26</v>
      </c>
      <c r="L37" s="10" t="n">
        <f aca="false">SUMIFS(Applications!$AL$2:$AL$293,Applications!$B$2:$B$293,A37)</f>
        <v>26</v>
      </c>
      <c r="M37" s="10" t="n">
        <f aca="false">SUMIFS(Applications!$AM$2:$AM$293,Applications!$B$2:$B$293,A37)</f>
        <v>0</v>
      </c>
      <c r="N37" s="10" t="n">
        <f aca="false">SUMIFS(Applications!$AK$2:$AK$293,Applications!$B$2:$B$293,A37)</f>
        <v>0</v>
      </c>
      <c r="O37" s="2" t="n">
        <f aca="false">I37-J37</f>
        <v>0</v>
      </c>
      <c r="P37" s="2" t="n">
        <f aca="false">COUNTIFS(Applications!$B$2:$B$293,A37,Applications!$W$2:$W$293,"Low",Applications!$X$2:$X$293,"")</f>
        <v>0</v>
      </c>
      <c r="Q37" s="2" t="n">
        <f aca="false">COUNTIFS(Applications!$B$2:$B$293,A37,Applications!$AH$2:$AH$293,"Past*")+COUNTIFS(Applications!$B$2:$B$293,A37,Applications!$AH$2:$AH$293,"No CIS*")</f>
        <v>0</v>
      </c>
      <c r="R37" s="2"/>
      <c r="S37" s="2" t="s">
        <v>124</v>
      </c>
      <c r="T37" s="2" t="str">
        <f aca="false">IF(OR(R37&lt;&gt;"",S37="Yes",P37&gt;0,Q37&gt;0),IF(U37="Yes","Resolved","Yes"),"No")</f>
        <v>No</v>
      </c>
      <c r="U37" s="7"/>
      <c r="V37" s="7"/>
    </row>
    <row r="38" customFormat="false" ht="15" hidden="false" customHeight="false" outlineLevel="0" collapsed="false">
      <c r="A38" s="2" t="s">
        <v>297</v>
      </c>
      <c r="B38" s="2" t="s">
        <v>184</v>
      </c>
      <c r="C38" s="2" t="s">
        <v>298</v>
      </c>
      <c r="D38" s="2" t="s">
        <v>299</v>
      </c>
      <c r="E38" s="2" t="s">
        <v>140</v>
      </c>
      <c r="F38" s="2" t="n">
        <v>52.6381011372637</v>
      </c>
      <c r="G38" s="2" t="n">
        <v>-8.67669584793722</v>
      </c>
      <c r="H38" s="2" t="s">
        <v>198</v>
      </c>
      <c r="I38" s="2" t="n">
        <f aca="false">COUNTIF(Applications!$B$2:$B$293,A38)</f>
        <v>3</v>
      </c>
      <c r="J38" s="2" t="n">
        <f aca="false">COUNTIFS(Applications!$B$2:$B$293,A38,Applications!$Z$2:$Z$293,"Yes")</f>
        <v>3</v>
      </c>
      <c r="K38" s="10" t="n">
        <f aca="false">SUMIFS(Applications!$AI$2:$AI$293,Applications!$B$2:$B$293,A38)</f>
        <v>192</v>
      </c>
      <c r="L38" s="10" t="n">
        <f aca="false">SUMIFS(Applications!$AL$2:$AL$293,Applications!$B$2:$B$293,A38)</f>
        <v>192</v>
      </c>
      <c r="M38" s="10" t="n">
        <f aca="false">SUMIFS(Applications!$AM$2:$AM$293,Applications!$B$2:$B$293,A38)</f>
        <v>0</v>
      </c>
      <c r="N38" s="10" t="n">
        <f aca="false">SUMIFS(Applications!$AK$2:$AK$293,Applications!$B$2:$B$293,A38)</f>
        <v>0</v>
      </c>
      <c r="O38" s="2" t="n">
        <f aca="false">I38-J38</f>
        <v>0</v>
      </c>
      <c r="P38" s="2" t="n">
        <f aca="false">COUNTIFS(Applications!$B$2:$B$293,A38,Applications!$W$2:$W$293,"Low",Applications!$X$2:$X$293,"")</f>
        <v>3</v>
      </c>
      <c r="Q38" s="2" t="n">
        <f aca="false">COUNTIFS(Applications!$B$2:$B$293,A38,Applications!$AH$2:$AH$293,"Past*")+COUNTIFS(Applications!$B$2:$B$293,A38,Applications!$AH$2:$AH$293,"No CIS*")</f>
        <v>2</v>
      </c>
      <c r="R38" s="2"/>
      <c r="S38" s="2" t="s">
        <v>121</v>
      </c>
      <c r="T38" s="2" t="str">
        <f aca="false">IF(OR(R38&lt;&gt;"",S38="Yes",P38&gt;0,Q38&gt;0),IF(U38="Yes","Resolved","Yes"),"No")</f>
        <v>Yes</v>
      </c>
      <c r="U38" s="7"/>
      <c r="V38" s="7"/>
    </row>
    <row r="39" customFormat="false" ht="15" hidden="false" customHeight="false" outlineLevel="0" collapsed="false">
      <c r="A39" s="2" t="s">
        <v>300</v>
      </c>
      <c r="B39" s="2" t="s">
        <v>184</v>
      </c>
      <c r="C39" s="2" t="s">
        <v>301</v>
      </c>
      <c r="D39" s="2" t="s">
        <v>302</v>
      </c>
      <c r="E39" s="2" t="s">
        <v>138</v>
      </c>
      <c r="F39" s="2" t="n">
        <v>52.3972899705045</v>
      </c>
      <c r="G39" s="2" t="n">
        <v>-8.57792892481999</v>
      </c>
      <c r="H39" s="2" t="s">
        <v>198</v>
      </c>
      <c r="I39" s="2" t="n">
        <f aca="false">COUNTIF(Applications!$B$2:$B$293,A39)</f>
        <v>1</v>
      </c>
      <c r="J39" s="2" t="n">
        <f aca="false">COUNTIFS(Applications!$B$2:$B$293,A39,Applications!$Z$2:$Z$293,"Yes")</f>
        <v>1</v>
      </c>
      <c r="K39" s="10" t="n">
        <f aca="false">SUMIFS(Applications!$AI$2:$AI$293,Applications!$B$2:$B$293,A39)</f>
        <v>42</v>
      </c>
      <c r="L39" s="10" t="n">
        <f aca="false">SUMIFS(Applications!$AL$2:$AL$293,Applications!$B$2:$B$293,A39)</f>
        <v>42</v>
      </c>
      <c r="M39" s="10" t="n">
        <f aca="false">SUMIFS(Applications!$AM$2:$AM$293,Applications!$B$2:$B$293,A39)</f>
        <v>0</v>
      </c>
      <c r="N39" s="10" t="n">
        <f aca="false">SUMIFS(Applications!$AK$2:$AK$293,Applications!$B$2:$B$293,A39)</f>
        <v>0</v>
      </c>
      <c r="O39" s="2" t="n">
        <f aca="false">I39-J39</f>
        <v>0</v>
      </c>
      <c r="P39" s="2" t="n">
        <f aca="false">COUNTIFS(Applications!$B$2:$B$293,A39,Applications!$W$2:$W$293,"Low",Applications!$X$2:$X$293,"")</f>
        <v>0</v>
      </c>
      <c r="Q39" s="2" t="n">
        <f aca="false">COUNTIFS(Applications!$B$2:$B$293,A39,Applications!$AH$2:$AH$293,"Past*")+COUNTIFS(Applications!$B$2:$B$293,A39,Applications!$AH$2:$AH$293,"No CIS*")</f>
        <v>0</v>
      </c>
      <c r="R39" s="2"/>
      <c r="S39" s="2" t="s">
        <v>124</v>
      </c>
      <c r="T39" s="2" t="str">
        <f aca="false">IF(OR(R39&lt;&gt;"",S39="Yes",P39&gt;0,Q39&gt;0),IF(U39="Yes","Resolved","Yes"),"No")</f>
        <v>No</v>
      </c>
      <c r="U39" s="7"/>
      <c r="V39" s="7"/>
    </row>
    <row r="40" customFormat="false" ht="15" hidden="false" customHeight="false" outlineLevel="0" collapsed="false">
      <c r="A40" s="2" t="s">
        <v>303</v>
      </c>
      <c r="B40" s="2" t="s">
        <v>184</v>
      </c>
      <c r="C40" s="2" t="s">
        <v>304</v>
      </c>
      <c r="D40" s="2" t="s">
        <v>305</v>
      </c>
      <c r="E40" s="2" t="s">
        <v>144</v>
      </c>
      <c r="F40" s="2" t="n">
        <v>52.6598387337392</v>
      </c>
      <c r="G40" s="2" t="n">
        <v>-8.6252278980239</v>
      </c>
      <c r="H40" s="2" t="s">
        <v>187</v>
      </c>
      <c r="I40" s="2" t="n">
        <f aca="false">COUNTIF(Applications!$B$2:$B$293,A40)</f>
        <v>2</v>
      </c>
      <c r="J40" s="2" t="n">
        <f aca="false">COUNTIFS(Applications!$B$2:$B$293,A40,Applications!$Z$2:$Z$293,"Yes")</f>
        <v>2</v>
      </c>
      <c r="K40" s="10" t="n">
        <f aca="false">SUMIFS(Applications!$AI$2:$AI$293,Applications!$B$2:$B$293,A40)</f>
        <v>74</v>
      </c>
      <c r="L40" s="10" t="n">
        <f aca="false">SUMIFS(Applications!$AL$2:$AL$293,Applications!$B$2:$B$293,A40)</f>
        <v>74</v>
      </c>
      <c r="M40" s="10" t="n">
        <f aca="false">SUMIFS(Applications!$AM$2:$AM$293,Applications!$B$2:$B$293,A40)</f>
        <v>0</v>
      </c>
      <c r="N40" s="10" t="n">
        <f aca="false">SUMIFS(Applications!$AK$2:$AK$293,Applications!$B$2:$B$293,A40)</f>
        <v>0</v>
      </c>
      <c r="O40" s="2" t="n">
        <f aca="false">I40-J40</f>
        <v>0</v>
      </c>
      <c r="P40" s="2" t="n">
        <f aca="false">COUNTIFS(Applications!$B$2:$B$293,A40,Applications!$W$2:$W$293,"Low",Applications!$X$2:$X$293,"")</f>
        <v>1</v>
      </c>
      <c r="Q40" s="2" t="n">
        <f aca="false">COUNTIFS(Applications!$B$2:$B$293,A40,Applications!$AH$2:$AH$293,"Past*")+COUNTIFS(Applications!$B$2:$B$293,A40,Applications!$AH$2:$AH$293,"No CIS*")</f>
        <v>1</v>
      </c>
      <c r="R40" s="2"/>
      <c r="S40" s="2" t="s">
        <v>121</v>
      </c>
      <c r="T40" s="2" t="str">
        <f aca="false">IF(OR(R40&lt;&gt;"",S40="Yes",P40&gt;0,Q40&gt;0),IF(U40="Yes","Resolved","Yes"),"No")</f>
        <v>Yes</v>
      </c>
      <c r="U40" s="7"/>
      <c r="V40" s="7"/>
    </row>
    <row r="41" customFormat="false" ht="15" hidden="false" customHeight="false" outlineLevel="0" collapsed="false">
      <c r="A41" s="2" t="s">
        <v>306</v>
      </c>
      <c r="B41" s="2" t="s">
        <v>184</v>
      </c>
      <c r="C41" s="2" t="s">
        <v>307</v>
      </c>
      <c r="D41" s="2" t="s">
        <v>308</v>
      </c>
      <c r="E41" s="2" t="s">
        <v>144</v>
      </c>
      <c r="F41" s="2" t="n">
        <v>52.6645137597806</v>
      </c>
      <c r="G41" s="2" t="n">
        <v>-8.61452957340762</v>
      </c>
      <c r="H41" s="2" t="s">
        <v>187</v>
      </c>
      <c r="I41" s="2" t="n">
        <f aca="false">COUNTIF(Applications!$B$2:$B$293,A41)</f>
        <v>1</v>
      </c>
      <c r="J41" s="2" t="n">
        <f aca="false">COUNTIFS(Applications!$B$2:$B$293,A41,Applications!$Z$2:$Z$293,"Yes")</f>
        <v>1</v>
      </c>
      <c r="K41" s="10" t="n">
        <f aca="false">SUMIFS(Applications!$AI$2:$AI$293,Applications!$B$2:$B$293,A41)</f>
        <v>0</v>
      </c>
      <c r="L41" s="10" t="n">
        <f aca="false">SUMIFS(Applications!$AL$2:$AL$293,Applications!$B$2:$B$293,A41)</f>
        <v>0</v>
      </c>
      <c r="M41" s="10" t="n">
        <f aca="false">SUMIFS(Applications!$AM$2:$AM$293,Applications!$B$2:$B$293,A41)</f>
        <v>0</v>
      </c>
      <c r="N41" s="10" t="n">
        <f aca="false">SUMIFS(Applications!$AK$2:$AK$293,Applications!$B$2:$B$293,A41)</f>
        <v>0</v>
      </c>
      <c r="O41" s="2" t="n">
        <f aca="false">I41-J41</f>
        <v>0</v>
      </c>
      <c r="P41" s="2" t="n">
        <f aca="false">COUNTIFS(Applications!$B$2:$B$293,A41,Applications!$W$2:$W$293,"Low",Applications!$X$2:$X$293,"")</f>
        <v>0</v>
      </c>
      <c r="Q41" s="2" t="n">
        <f aca="false">COUNTIFS(Applications!$B$2:$B$293,A41,Applications!$AH$2:$AH$293,"Past*")+COUNTIFS(Applications!$B$2:$B$293,A41,Applications!$AH$2:$AH$293,"No CIS*")</f>
        <v>0</v>
      </c>
      <c r="R41" s="2"/>
      <c r="S41" s="2" t="s">
        <v>124</v>
      </c>
      <c r="T41" s="2" t="str">
        <f aca="false">IF(OR(R41&lt;&gt;"",S41="Yes",P41&gt;0,Q41&gt;0),IF(U41="Yes","Resolved","Yes"),"No")</f>
        <v>No</v>
      </c>
      <c r="U41" s="7"/>
      <c r="V41" s="7"/>
    </row>
    <row r="42" customFormat="false" ht="15" hidden="false" customHeight="false" outlineLevel="0" collapsed="false">
      <c r="A42" s="2" t="s">
        <v>309</v>
      </c>
      <c r="B42" s="2" t="s">
        <v>184</v>
      </c>
      <c r="C42" s="2" t="s">
        <v>310</v>
      </c>
      <c r="D42" s="2" t="s">
        <v>311</v>
      </c>
      <c r="E42" s="2" t="s">
        <v>139</v>
      </c>
      <c r="F42" s="2" t="n">
        <v>52.6752035288073</v>
      </c>
      <c r="G42" s="2" t="n">
        <v>-8.61632473622669</v>
      </c>
      <c r="H42" s="2" t="s">
        <v>187</v>
      </c>
      <c r="I42" s="2" t="n">
        <f aca="false">COUNTIF(Applications!$B$2:$B$293,A42)</f>
        <v>1</v>
      </c>
      <c r="J42" s="2" t="n">
        <f aca="false">COUNTIFS(Applications!$B$2:$B$293,A42,Applications!$Z$2:$Z$293,"Yes")</f>
        <v>1</v>
      </c>
      <c r="K42" s="10" t="n">
        <f aca="false">SUMIFS(Applications!$AI$2:$AI$293,Applications!$B$2:$B$293,A42)</f>
        <v>25</v>
      </c>
      <c r="L42" s="10" t="n">
        <f aca="false">SUMIFS(Applications!$AL$2:$AL$293,Applications!$B$2:$B$293,A42)</f>
        <v>25</v>
      </c>
      <c r="M42" s="10" t="n">
        <f aca="false">SUMIFS(Applications!$AM$2:$AM$293,Applications!$B$2:$B$293,A42)</f>
        <v>0</v>
      </c>
      <c r="N42" s="10" t="n">
        <f aca="false">SUMIFS(Applications!$AK$2:$AK$293,Applications!$B$2:$B$293,A42)</f>
        <v>0</v>
      </c>
      <c r="O42" s="2" t="n">
        <f aca="false">I42-J42</f>
        <v>0</v>
      </c>
      <c r="P42" s="2" t="n">
        <f aca="false">COUNTIFS(Applications!$B$2:$B$293,A42,Applications!$W$2:$W$293,"Low",Applications!$X$2:$X$293,"")</f>
        <v>0</v>
      </c>
      <c r="Q42" s="2" t="n">
        <f aca="false">COUNTIFS(Applications!$B$2:$B$293,A42,Applications!$AH$2:$AH$293,"Past*")+COUNTIFS(Applications!$B$2:$B$293,A42,Applications!$AH$2:$AH$293,"No CIS*")</f>
        <v>0</v>
      </c>
      <c r="R42" s="2"/>
      <c r="S42" s="2" t="s">
        <v>124</v>
      </c>
      <c r="T42" s="2" t="str">
        <f aca="false">IF(OR(R42&lt;&gt;"",S42="Yes",P42&gt;0,Q42&gt;0),IF(U42="Yes","Resolved","Yes"),"No")</f>
        <v>No</v>
      </c>
      <c r="U42" s="7"/>
      <c r="V42" s="7"/>
    </row>
    <row r="43" customFormat="false" ht="15" hidden="false" customHeight="false" outlineLevel="0" collapsed="false">
      <c r="A43" s="2" t="s">
        <v>312</v>
      </c>
      <c r="B43" s="2" t="s">
        <v>184</v>
      </c>
      <c r="C43" s="2" t="s">
        <v>313</v>
      </c>
      <c r="D43" s="2" t="s">
        <v>314</v>
      </c>
      <c r="E43" s="2" t="s">
        <v>144</v>
      </c>
      <c r="F43" s="2" t="n">
        <v>52.6824332</v>
      </c>
      <c r="G43" s="2" t="n">
        <v>-8.6566413</v>
      </c>
      <c r="H43" s="2" t="s">
        <v>251</v>
      </c>
      <c r="I43" s="2" t="n">
        <f aca="false">COUNTIF(Applications!$B$2:$B$293,A43)</f>
        <v>1</v>
      </c>
      <c r="J43" s="2" t="n">
        <f aca="false">COUNTIFS(Applications!$B$2:$B$293,A43,Applications!$Z$2:$Z$293,"Yes")</f>
        <v>1</v>
      </c>
      <c r="K43" s="10" t="n">
        <f aca="false">SUMIFS(Applications!$AI$2:$AI$293,Applications!$B$2:$B$293,A43)</f>
        <v>6</v>
      </c>
      <c r="L43" s="10" t="n">
        <f aca="false">SUMIFS(Applications!$AL$2:$AL$293,Applications!$B$2:$B$293,A43)</f>
        <v>0</v>
      </c>
      <c r="M43" s="10" t="n">
        <f aca="false">SUMIFS(Applications!$AM$2:$AM$293,Applications!$B$2:$B$293,A43)</f>
        <v>0</v>
      </c>
      <c r="N43" s="10" t="n">
        <f aca="false">SUMIFS(Applications!$AK$2:$AK$293,Applications!$B$2:$B$293,A43)</f>
        <v>6</v>
      </c>
      <c r="O43" s="2" t="n">
        <f aca="false">I43-J43</f>
        <v>0</v>
      </c>
      <c r="P43" s="2" t="n">
        <f aca="false">COUNTIFS(Applications!$B$2:$B$293,A43,Applications!$W$2:$W$293,"Low",Applications!$X$2:$X$293,"")</f>
        <v>0</v>
      </c>
      <c r="Q43" s="2" t="n">
        <f aca="false">COUNTIFS(Applications!$B$2:$B$293,A43,Applications!$AH$2:$AH$293,"Past*")+COUNTIFS(Applications!$B$2:$B$293,A43,Applications!$AH$2:$AH$293,"No CIS*")</f>
        <v>0</v>
      </c>
      <c r="R43" s="2"/>
      <c r="S43" s="2" t="s">
        <v>124</v>
      </c>
      <c r="T43" s="2" t="str">
        <f aca="false">IF(OR(R43&lt;&gt;"",S43="Yes",P43&gt;0,Q43&gt;0),IF(U43="Yes","Resolved","Yes"),"No")</f>
        <v>No</v>
      </c>
      <c r="U43" s="7"/>
      <c r="V43" s="7"/>
    </row>
    <row r="44" customFormat="false" ht="15" hidden="false" customHeight="false" outlineLevel="0" collapsed="false">
      <c r="A44" s="2" t="s">
        <v>315</v>
      </c>
      <c r="B44" s="2" t="s">
        <v>184</v>
      </c>
      <c r="C44" s="2" t="s">
        <v>316</v>
      </c>
      <c r="D44" s="2" t="s">
        <v>317</v>
      </c>
      <c r="E44" s="2" t="s">
        <v>138</v>
      </c>
      <c r="F44" s="2" t="n">
        <v>52.4026548979546</v>
      </c>
      <c r="G44" s="2" t="n">
        <v>-8.58380679602411</v>
      </c>
      <c r="H44" s="2" t="s">
        <v>198</v>
      </c>
      <c r="I44" s="2" t="n">
        <f aca="false">COUNTIF(Applications!$B$2:$B$293,A44)</f>
        <v>1</v>
      </c>
      <c r="J44" s="2" t="n">
        <f aca="false">COUNTIFS(Applications!$B$2:$B$293,A44,Applications!$Z$2:$Z$293,"Yes")</f>
        <v>1</v>
      </c>
      <c r="K44" s="10" t="n">
        <f aca="false">SUMIFS(Applications!$AI$2:$AI$293,Applications!$B$2:$B$293,A44)</f>
        <v>28</v>
      </c>
      <c r="L44" s="10" t="n">
        <f aca="false">SUMIFS(Applications!$AL$2:$AL$293,Applications!$B$2:$B$293,A44)</f>
        <v>28</v>
      </c>
      <c r="M44" s="10" t="n">
        <f aca="false">SUMIFS(Applications!$AM$2:$AM$293,Applications!$B$2:$B$293,A44)</f>
        <v>0</v>
      </c>
      <c r="N44" s="10" t="n">
        <f aca="false">SUMIFS(Applications!$AK$2:$AK$293,Applications!$B$2:$B$293,A44)</f>
        <v>0</v>
      </c>
      <c r="O44" s="2" t="n">
        <f aca="false">I44-J44</f>
        <v>0</v>
      </c>
      <c r="P44" s="2" t="n">
        <f aca="false">COUNTIFS(Applications!$B$2:$B$293,A44,Applications!$W$2:$W$293,"Low",Applications!$X$2:$X$293,"")</f>
        <v>0</v>
      </c>
      <c r="Q44" s="2" t="n">
        <f aca="false">COUNTIFS(Applications!$B$2:$B$293,A44,Applications!$AH$2:$AH$293,"Past*")+COUNTIFS(Applications!$B$2:$B$293,A44,Applications!$AH$2:$AH$293,"No CIS*")</f>
        <v>0</v>
      </c>
      <c r="R44" s="2"/>
      <c r="S44" s="2" t="s">
        <v>124</v>
      </c>
      <c r="T44" s="2" t="str">
        <f aca="false">IF(OR(R44&lt;&gt;"",S44="Yes",P44&gt;0,Q44&gt;0),IF(U44="Yes","Resolved","Yes"),"No")</f>
        <v>No</v>
      </c>
      <c r="U44" s="7"/>
      <c r="V44" s="7"/>
    </row>
    <row r="45" customFormat="false" ht="15" hidden="false" customHeight="false" outlineLevel="0" collapsed="false">
      <c r="A45" s="2" t="s">
        <v>318</v>
      </c>
      <c r="B45" s="2" t="s">
        <v>184</v>
      </c>
      <c r="C45" s="2" t="s">
        <v>319</v>
      </c>
      <c r="D45" s="2" t="s">
        <v>320</v>
      </c>
      <c r="E45" s="2" t="s">
        <v>144</v>
      </c>
      <c r="F45" s="2" t="n">
        <v>52.6455127</v>
      </c>
      <c r="G45" s="2" t="n">
        <v>-8.6157724</v>
      </c>
      <c r="H45" s="2" t="s">
        <v>251</v>
      </c>
      <c r="I45" s="2" t="n">
        <f aca="false">COUNTIF(Applications!$B$2:$B$293,A45)</f>
        <v>1</v>
      </c>
      <c r="J45" s="2" t="n">
        <f aca="false">COUNTIFS(Applications!$B$2:$B$293,A45,Applications!$Z$2:$Z$293,"Yes")</f>
        <v>1</v>
      </c>
      <c r="K45" s="10" t="n">
        <f aca="false">SUMIFS(Applications!$AI$2:$AI$293,Applications!$B$2:$B$293,A45)</f>
        <v>14</v>
      </c>
      <c r="L45" s="10" t="n">
        <f aca="false">SUMIFS(Applications!$AL$2:$AL$293,Applications!$B$2:$B$293,A45)</f>
        <v>0</v>
      </c>
      <c r="M45" s="10" t="n">
        <f aca="false">SUMIFS(Applications!$AM$2:$AM$293,Applications!$B$2:$B$293,A45)</f>
        <v>0</v>
      </c>
      <c r="N45" s="10" t="n">
        <f aca="false">SUMIFS(Applications!$AK$2:$AK$293,Applications!$B$2:$B$293,A45)</f>
        <v>14</v>
      </c>
      <c r="O45" s="2" t="n">
        <f aca="false">I45-J45</f>
        <v>0</v>
      </c>
      <c r="P45" s="2" t="n">
        <f aca="false">COUNTIFS(Applications!$B$2:$B$293,A45,Applications!$W$2:$W$293,"Low",Applications!$X$2:$X$293,"")</f>
        <v>0</v>
      </c>
      <c r="Q45" s="2" t="n">
        <f aca="false">COUNTIFS(Applications!$B$2:$B$293,A45,Applications!$AH$2:$AH$293,"Past*")+COUNTIFS(Applications!$B$2:$B$293,A45,Applications!$AH$2:$AH$293,"No CIS*")</f>
        <v>0</v>
      </c>
      <c r="R45" s="2"/>
      <c r="S45" s="2" t="s">
        <v>124</v>
      </c>
      <c r="T45" s="2" t="str">
        <f aca="false">IF(OR(R45&lt;&gt;"",S45="Yes",P45&gt;0,Q45&gt;0),IF(U45="Yes","Resolved","Yes"),"No")</f>
        <v>No</v>
      </c>
      <c r="U45" s="7"/>
      <c r="V45" s="7"/>
    </row>
    <row r="46" customFormat="false" ht="15" hidden="false" customHeight="false" outlineLevel="0" collapsed="false">
      <c r="A46" s="2" t="s">
        <v>321</v>
      </c>
      <c r="B46" s="2" t="s">
        <v>184</v>
      </c>
      <c r="C46" s="2" t="s">
        <v>322</v>
      </c>
      <c r="D46" s="2" t="s">
        <v>323</v>
      </c>
      <c r="E46" s="2" t="s">
        <v>144</v>
      </c>
      <c r="F46" s="2" t="n">
        <v>52.6524698487682</v>
      </c>
      <c r="G46" s="2" t="n">
        <v>-8.39868153426293</v>
      </c>
      <c r="H46" s="2" t="s">
        <v>198</v>
      </c>
      <c r="I46" s="2" t="n">
        <f aca="false">COUNTIF(Applications!$B$2:$B$293,A46)</f>
        <v>1</v>
      </c>
      <c r="J46" s="2" t="n">
        <f aca="false">COUNTIFS(Applications!$B$2:$B$293,A46,Applications!$Z$2:$Z$293,"Yes")</f>
        <v>1</v>
      </c>
      <c r="K46" s="10" t="n">
        <f aca="false">SUMIFS(Applications!$AI$2:$AI$293,Applications!$B$2:$B$293,A46)</f>
        <v>4</v>
      </c>
      <c r="L46" s="10" t="n">
        <f aca="false">SUMIFS(Applications!$AL$2:$AL$293,Applications!$B$2:$B$293,A46)</f>
        <v>4</v>
      </c>
      <c r="M46" s="10" t="n">
        <f aca="false">SUMIFS(Applications!$AM$2:$AM$293,Applications!$B$2:$B$293,A46)</f>
        <v>0</v>
      </c>
      <c r="N46" s="10" t="n">
        <f aca="false">SUMIFS(Applications!$AK$2:$AK$293,Applications!$B$2:$B$293,A46)</f>
        <v>0</v>
      </c>
      <c r="O46" s="2" t="n">
        <f aca="false">I46-J46</f>
        <v>0</v>
      </c>
      <c r="P46" s="2" t="n">
        <f aca="false">COUNTIFS(Applications!$B$2:$B$293,A46,Applications!$W$2:$W$293,"Low",Applications!$X$2:$X$293,"")</f>
        <v>0</v>
      </c>
      <c r="Q46" s="2" t="n">
        <f aca="false">COUNTIFS(Applications!$B$2:$B$293,A46,Applications!$AH$2:$AH$293,"Past*")+COUNTIFS(Applications!$B$2:$B$293,A46,Applications!$AH$2:$AH$293,"No CIS*")</f>
        <v>0</v>
      </c>
      <c r="R46" s="2"/>
      <c r="S46" s="2" t="s">
        <v>124</v>
      </c>
      <c r="T46" s="2" t="str">
        <f aca="false">IF(OR(R46&lt;&gt;"",S46="Yes",P46&gt;0,Q46&gt;0),IF(U46="Yes","Resolved","Yes"),"No")</f>
        <v>No</v>
      </c>
      <c r="U46" s="7"/>
      <c r="V46" s="7"/>
    </row>
    <row r="47" customFormat="false" ht="15" hidden="false" customHeight="false" outlineLevel="0" collapsed="false">
      <c r="A47" s="2" t="s">
        <v>324</v>
      </c>
      <c r="B47" s="2" t="s">
        <v>184</v>
      </c>
      <c r="C47" s="2" t="s">
        <v>325</v>
      </c>
      <c r="D47" s="2" t="s">
        <v>326</v>
      </c>
      <c r="E47" s="2" t="s">
        <v>144</v>
      </c>
      <c r="F47" s="2" t="n">
        <v>52.672368846509</v>
      </c>
      <c r="G47" s="2" t="n">
        <v>-8.63084298029283</v>
      </c>
      <c r="H47" s="2" t="s">
        <v>198</v>
      </c>
      <c r="I47" s="2" t="n">
        <f aca="false">COUNTIF(Applications!$B$2:$B$293,A47)</f>
        <v>1</v>
      </c>
      <c r="J47" s="2" t="n">
        <f aca="false">COUNTIFS(Applications!$B$2:$B$293,A47,Applications!$Z$2:$Z$293,"Yes")</f>
        <v>1</v>
      </c>
      <c r="K47" s="10" t="n">
        <f aca="false">SUMIFS(Applications!$AI$2:$AI$293,Applications!$B$2:$B$293,A47)</f>
        <v>7</v>
      </c>
      <c r="L47" s="10" t="n">
        <f aca="false">SUMIFS(Applications!$AL$2:$AL$293,Applications!$B$2:$B$293,A47)</f>
        <v>7</v>
      </c>
      <c r="M47" s="10" t="n">
        <f aca="false">SUMIFS(Applications!$AM$2:$AM$293,Applications!$B$2:$B$293,A47)</f>
        <v>0</v>
      </c>
      <c r="N47" s="10" t="n">
        <f aca="false">SUMIFS(Applications!$AK$2:$AK$293,Applications!$B$2:$B$293,A47)</f>
        <v>0</v>
      </c>
      <c r="O47" s="2" t="n">
        <f aca="false">I47-J47</f>
        <v>0</v>
      </c>
      <c r="P47" s="2" t="n">
        <f aca="false">COUNTIFS(Applications!$B$2:$B$293,A47,Applications!$W$2:$W$293,"Low",Applications!$X$2:$X$293,"")</f>
        <v>0</v>
      </c>
      <c r="Q47" s="2" t="n">
        <f aca="false">COUNTIFS(Applications!$B$2:$B$293,A47,Applications!$AH$2:$AH$293,"Past*")+COUNTIFS(Applications!$B$2:$B$293,A47,Applications!$AH$2:$AH$293,"No CIS*")</f>
        <v>0</v>
      </c>
      <c r="R47" s="2"/>
      <c r="S47" s="2" t="s">
        <v>124</v>
      </c>
      <c r="T47" s="2" t="str">
        <f aca="false">IF(OR(R47&lt;&gt;"",S47="Yes",P47&gt;0,Q47&gt;0),IF(U47="Yes","Resolved","Yes"),"No")</f>
        <v>No</v>
      </c>
      <c r="U47" s="7"/>
      <c r="V47" s="7"/>
    </row>
    <row r="48" customFormat="false" ht="15" hidden="false" customHeight="false" outlineLevel="0" collapsed="false">
      <c r="A48" s="2" t="s">
        <v>327</v>
      </c>
      <c r="B48" s="2" t="s">
        <v>184</v>
      </c>
      <c r="C48" s="2" t="s">
        <v>328</v>
      </c>
      <c r="D48" s="2" t="s">
        <v>329</v>
      </c>
      <c r="E48" s="2" t="s">
        <v>144</v>
      </c>
      <c r="F48" s="2" t="n">
        <v>52.662030308979</v>
      </c>
      <c r="G48" s="2" t="n">
        <v>-8.62381831488659</v>
      </c>
      <c r="H48" s="2" t="s">
        <v>198</v>
      </c>
      <c r="I48" s="2" t="n">
        <f aca="false">COUNTIF(Applications!$B$2:$B$293,A48)</f>
        <v>3</v>
      </c>
      <c r="J48" s="2" t="n">
        <f aca="false">COUNTIFS(Applications!$B$2:$B$293,A48,Applications!$Z$2:$Z$293,"Yes")</f>
        <v>2</v>
      </c>
      <c r="K48" s="10" t="n">
        <f aca="false">SUMIFS(Applications!$AI$2:$AI$293,Applications!$B$2:$B$293,A48)</f>
        <v>19</v>
      </c>
      <c r="L48" s="10" t="n">
        <f aca="false">SUMIFS(Applications!$AL$2:$AL$293,Applications!$B$2:$B$293,A48)</f>
        <v>19</v>
      </c>
      <c r="M48" s="10" t="n">
        <f aca="false">SUMIFS(Applications!$AM$2:$AM$293,Applications!$B$2:$B$293,A48)</f>
        <v>0</v>
      </c>
      <c r="N48" s="10" t="n">
        <f aca="false">SUMIFS(Applications!$AK$2:$AK$293,Applications!$B$2:$B$293,A48)</f>
        <v>0</v>
      </c>
      <c r="O48" s="2" t="n">
        <f aca="false">I48-J48</f>
        <v>1</v>
      </c>
      <c r="P48" s="2" t="n">
        <f aca="false">COUNTIFS(Applications!$B$2:$B$293,A48,Applications!$W$2:$W$293,"Low",Applications!$X$2:$X$293,"")</f>
        <v>1</v>
      </c>
      <c r="Q48" s="2" t="n">
        <f aca="false">COUNTIFS(Applications!$B$2:$B$293,A48,Applications!$AH$2:$AH$293,"Past*")+COUNTIFS(Applications!$B$2:$B$293,A48,Applications!$AH$2:$AH$293,"No CIS*")</f>
        <v>0</v>
      </c>
      <c r="R48" s="2"/>
      <c r="S48" s="2" t="s">
        <v>121</v>
      </c>
      <c r="T48" s="2" t="str">
        <f aca="false">IF(OR(R48&lt;&gt;"",S48="Yes",P48&gt;0,Q48&gt;0),IF(U48="Yes","Resolved","Yes"),"No")</f>
        <v>Yes</v>
      </c>
      <c r="U48" s="7"/>
      <c r="V48" s="7"/>
    </row>
    <row r="49" customFormat="false" ht="15" hidden="false" customHeight="false" outlineLevel="0" collapsed="false">
      <c r="A49" s="2" t="s">
        <v>330</v>
      </c>
      <c r="B49" s="2" t="s">
        <v>184</v>
      </c>
      <c r="C49" s="2" t="s">
        <v>331</v>
      </c>
      <c r="D49" s="2" t="s">
        <v>332</v>
      </c>
      <c r="E49" s="2" t="s">
        <v>144</v>
      </c>
      <c r="F49" s="2" t="n">
        <v>52.6629056</v>
      </c>
      <c r="G49" s="2" t="n">
        <v>-8.6672443</v>
      </c>
      <c r="H49" s="2" t="s">
        <v>187</v>
      </c>
      <c r="I49" s="2" t="n">
        <f aca="false">COUNTIF(Applications!$B$2:$B$293,A49)</f>
        <v>1</v>
      </c>
      <c r="J49" s="2" t="n">
        <f aca="false">COUNTIFS(Applications!$B$2:$B$293,A49,Applications!$Z$2:$Z$293,"Yes")</f>
        <v>1</v>
      </c>
      <c r="K49" s="10" t="n">
        <f aca="false">SUMIFS(Applications!$AI$2:$AI$293,Applications!$B$2:$B$293,A49)</f>
        <v>165</v>
      </c>
      <c r="L49" s="10" t="n">
        <f aca="false">SUMIFS(Applications!$AL$2:$AL$293,Applications!$B$2:$B$293,A49)</f>
        <v>165</v>
      </c>
      <c r="M49" s="10" t="n">
        <f aca="false">SUMIFS(Applications!$AM$2:$AM$293,Applications!$B$2:$B$293,A49)</f>
        <v>0</v>
      </c>
      <c r="N49" s="10" t="n">
        <f aca="false">SUMIFS(Applications!$AK$2:$AK$293,Applications!$B$2:$B$293,A49)</f>
        <v>0</v>
      </c>
      <c r="O49" s="2" t="n">
        <f aca="false">I49-J49</f>
        <v>0</v>
      </c>
      <c r="P49" s="2" t="n">
        <f aca="false">COUNTIFS(Applications!$B$2:$B$293,A49,Applications!$W$2:$W$293,"Low",Applications!$X$2:$X$293,"")</f>
        <v>0</v>
      </c>
      <c r="Q49" s="2" t="n">
        <f aca="false">COUNTIFS(Applications!$B$2:$B$293,A49,Applications!$AH$2:$AH$293,"Past*")+COUNTIFS(Applications!$B$2:$B$293,A49,Applications!$AH$2:$AH$293,"No CIS*")</f>
        <v>0</v>
      </c>
      <c r="R49" s="2"/>
      <c r="S49" s="2" t="s">
        <v>124</v>
      </c>
      <c r="T49" s="2" t="str">
        <f aca="false">IF(OR(R49&lt;&gt;"",S49="Yes",P49&gt;0,Q49&gt;0),IF(U49="Yes","Resolved","Yes"),"No")</f>
        <v>No</v>
      </c>
      <c r="U49" s="7"/>
      <c r="V49" s="7"/>
    </row>
    <row r="50" customFormat="false" ht="15" hidden="false" customHeight="false" outlineLevel="0" collapsed="false">
      <c r="A50" s="2" t="s">
        <v>333</v>
      </c>
      <c r="B50" s="2" t="s">
        <v>184</v>
      </c>
      <c r="C50" s="2" t="s">
        <v>334</v>
      </c>
      <c r="D50" s="2" t="s">
        <v>335</v>
      </c>
      <c r="E50" s="2" t="s">
        <v>144</v>
      </c>
      <c r="F50" s="2" t="n">
        <v>52.6637126509345</v>
      </c>
      <c r="G50" s="2" t="n">
        <v>-8.62569857975843</v>
      </c>
      <c r="H50" s="2" t="s">
        <v>198</v>
      </c>
      <c r="I50" s="2" t="n">
        <f aca="false">COUNTIF(Applications!$B$2:$B$293,A50)</f>
        <v>1</v>
      </c>
      <c r="J50" s="2" t="n">
        <f aca="false">COUNTIFS(Applications!$B$2:$B$293,A50,Applications!$Z$2:$Z$293,"Yes")</f>
        <v>1</v>
      </c>
      <c r="K50" s="10" t="n">
        <f aca="false">SUMIFS(Applications!$AI$2:$AI$293,Applications!$B$2:$B$293,A50)</f>
        <v>6</v>
      </c>
      <c r="L50" s="10" t="n">
        <f aca="false">SUMIFS(Applications!$AL$2:$AL$293,Applications!$B$2:$B$293,A50)</f>
        <v>6</v>
      </c>
      <c r="M50" s="10" t="n">
        <f aca="false">SUMIFS(Applications!$AM$2:$AM$293,Applications!$B$2:$B$293,A50)</f>
        <v>0</v>
      </c>
      <c r="N50" s="10" t="n">
        <f aca="false">SUMIFS(Applications!$AK$2:$AK$293,Applications!$B$2:$B$293,A50)</f>
        <v>0</v>
      </c>
      <c r="O50" s="2" t="n">
        <f aca="false">I50-J50</f>
        <v>0</v>
      </c>
      <c r="P50" s="2" t="n">
        <f aca="false">COUNTIFS(Applications!$B$2:$B$293,A50,Applications!$W$2:$W$293,"Low",Applications!$X$2:$X$293,"")</f>
        <v>0</v>
      </c>
      <c r="Q50" s="2" t="n">
        <f aca="false">COUNTIFS(Applications!$B$2:$B$293,A50,Applications!$AH$2:$AH$293,"Past*")+COUNTIFS(Applications!$B$2:$B$293,A50,Applications!$AH$2:$AH$293,"No CIS*")</f>
        <v>0</v>
      </c>
      <c r="R50" s="2"/>
      <c r="S50" s="2" t="s">
        <v>124</v>
      </c>
      <c r="T50" s="2" t="str">
        <f aca="false">IF(OR(R50&lt;&gt;"",S50="Yes",P50&gt;0,Q50&gt;0),IF(U50="Yes","Resolved","Yes"),"No")</f>
        <v>No</v>
      </c>
      <c r="U50" s="7"/>
      <c r="V50" s="7"/>
    </row>
    <row r="51" customFormat="false" ht="15" hidden="false" customHeight="false" outlineLevel="0" collapsed="false">
      <c r="A51" s="2" t="s">
        <v>336</v>
      </c>
      <c r="B51" s="2" t="s">
        <v>184</v>
      </c>
      <c r="C51" s="2" t="s">
        <v>337</v>
      </c>
      <c r="D51" s="2" t="s">
        <v>338</v>
      </c>
      <c r="E51" s="2" t="s">
        <v>144</v>
      </c>
      <c r="F51" s="2" t="n">
        <v>52.6652774257167</v>
      </c>
      <c r="G51" s="2" t="n">
        <v>-8.59786008194628</v>
      </c>
      <c r="H51" s="2" t="s">
        <v>198</v>
      </c>
      <c r="I51" s="2" t="n">
        <f aca="false">COUNTIF(Applications!$B$2:$B$293,A51)</f>
        <v>1</v>
      </c>
      <c r="J51" s="2" t="n">
        <f aca="false">COUNTIFS(Applications!$B$2:$B$293,A51,Applications!$Z$2:$Z$293,"Yes")</f>
        <v>1</v>
      </c>
      <c r="K51" s="10" t="n">
        <f aca="false">SUMIFS(Applications!$AI$2:$AI$293,Applications!$B$2:$B$293,A51)</f>
        <v>6</v>
      </c>
      <c r="L51" s="10" t="n">
        <f aca="false">SUMIFS(Applications!$AL$2:$AL$293,Applications!$B$2:$B$293,A51)</f>
        <v>6</v>
      </c>
      <c r="M51" s="10" t="n">
        <f aca="false">SUMIFS(Applications!$AM$2:$AM$293,Applications!$B$2:$B$293,A51)</f>
        <v>0</v>
      </c>
      <c r="N51" s="10" t="n">
        <f aca="false">SUMIFS(Applications!$AK$2:$AK$293,Applications!$B$2:$B$293,A51)</f>
        <v>0</v>
      </c>
      <c r="O51" s="2" t="n">
        <f aca="false">I51-J51</f>
        <v>0</v>
      </c>
      <c r="P51" s="2" t="n">
        <f aca="false">COUNTIFS(Applications!$B$2:$B$293,A51,Applications!$W$2:$W$293,"Low",Applications!$X$2:$X$293,"")</f>
        <v>0</v>
      </c>
      <c r="Q51" s="2" t="n">
        <f aca="false">COUNTIFS(Applications!$B$2:$B$293,A51,Applications!$AH$2:$AH$293,"Past*")+COUNTIFS(Applications!$B$2:$B$293,A51,Applications!$AH$2:$AH$293,"No CIS*")</f>
        <v>0</v>
      </c>
      <c r="R51" s="2"/>
      <c r="S51" s="2" t="s">
        <v>124</v>
      </c>
      <c r="T51" s="2" t="str">
        <f aca="false">IF(OR(R51&lt;&gt;"",S51="Yes",P51&gt;0,Q51&gt;0),IF(U51="Yes","Resolved","Yes"),"No")</f>
        <v>No</v>
      </c>
      <c r="U51" s="7"/>
      <c r="V51" s="7"/>
    </row>
    <row r="52" customFormat="false" ht="15" hidden="false" customHeight="false" outlineLevel="0" collapsed="false">
      <c r="A52" s="2" t="s">
        <v>339</v>
      </c>
      <c r="B52" s="2" t="s">
        <v>184</v>
      </c>
      <c r="C52" s="2" t="s">
        <v>340</v>
      </c>
      <c r="D52" s="2" t="s">
        <v>341</v>
      </c>
      <c r="E52" s="2" t="s">
        <v>144</v>
      </c>
      <c r="F52" s="2" t="n">
        <v>52.6490543978173</v>
      </c>
      <c r="G52" s="2" t="n">
        <v>-8.86677478399085</v>
      </c>
      <c r="H52" s="2" t="s">
        <v>198</v>
      </c>
      <c r="I52" s="2" t="n">
        <f aca="false">COUNTIF(Applications!$B$2:$B$293,A52)</f>
        <v>1</v>
      </c>
      <c r="J52" s="2" t="n">
        <f aca="false">COUNTIFS(Applications!$B$2:$B$293,A52,Applications!$Z$2:$Z$293,"Yes")</f>
        <v>1</v>
      </c>
      <c r="K52" s="10" t="n">
        <f aca="false">SUMIFS(Applications!$AI$2:$AI$293,Applications!$B$2:$B$293,A52)</f>
        <v>30</v>
      </c>
      <c r="L52" s="10" t="n">
        <f aca="false">SUMIFS(Applications!$AL$2:$AL$293,Applications!$B$2:$B$293,A52)</f>
        <v>30</v>
      </c>
      <c r="M52" s="10" t="n">
        <f aca="false">SUMIFS(Applications!$AM$2:$AM$293,Applications!$B$2:$B$293,A52)</f>
        <v>0</v>
      </c>
      <c r="N52" s="10" t="n">
        <f aca="false">SUMIFS(Applications!$AK$2:$AK$293,Applications!$B$2:$B$293,A52)</f>
        <v>0</v>
      </c>
      <c r="O52" s="2" t="n">
        <f aca="false">I52-J52</f>
        <v>0</v>
      </c>
      <c r="P52" s="2" t="n">
        <f aca="false">COUNTIFS(Applications!$B$2:$B$293,A52,Applications!$W$2:$W$293,"Low",Applications!$X$2:$X$293,"")</f>
        <v>0</v>
      </c>
      <c r="Q52" s="2" t="n">
        <f aca="false">COUNTIFS(Applications!$B$2:$B$293,A52,Applications!$AH$2:$AH$293,"Past*")+COUNTIFS(Applications!$B$2:$B$293,A52,Applications!$AH$2:$AH$293,"No CIS*")</f>
        <v>0</v>
      </c>
      <c r="R52" s="2"/>
      <c r="S52" s="2" t="s">
        <v>124</v>
      </c>
      <c r="T52" s="2" t="str">
        <f aca="false">IF(OR(R52&lt;&gt;"",S52="Yes",P52&gt;0,Q52&gt;0),IF(U52="Yes","Resolved","Yes"),"No")</f>
        <v>No</v>
      </c>
      <c r="U52" s="7"/>
      <c r="V52" s="7"/>
    </row>
    <row r="53" customFormat="false" ht="15" hidden="false" customHeight="false" outlineLevel="0" collapsed="false">
      <c r="A53" s="2" t="s">
        <v>342</v>
      </c>
      <c r="B53" s="2" t="s">
        <v>184</v>
      </c>
      <c r="C53" s="2" t="s">
        <v>343</v>
      </c>
      <c r="D53" s="2" t="s">
        <v>344</v>
      </c>
      <c r="E53" s="2" t="s">
        <v>144</v>
      </c>
      <c r="F53" s="2" t="n">
        <v>52.5231410242126</v>
      </c>
      <c r="G53" s="2" t="n">
        <v>-8.71715477469788</v>
      </c>
      <c r="H53" s="2" t="s">
        <v>251</v>
      </c>
      <c r="I53" s="2" t="n">
        <f aca="false">COUNTIF(Applications!$B$2:$B$293,A53)</f>
        <v>1</v>
      </c>
      <c r="J53" s="2" t="n">
        <f aca="false">COUNTIFS(Applications!$B$2:$B$293,A53,Applications!$Z$2:$Z$293,"Yes")</f>
        <v>1</v>
      </c>
      <c r="K53" s="10" t="n">
        <f aca="false">SUMIFS(Applications!$AI$2:$AI$293,Applications!$B$2:$B$293,A53)</f>
        <v>16</v>
      </c>
      <c r="L53" s="10" t="n">
        <f aca="false">SUMIFS(Applications!$AL$2:$AL$293,Applications!$B$2:$B$293,A53)</f>
        <v>0</v>
      </c>
      <c r="M53" s="10" t="n">
        <f aca="false">SUMIFS(Applications!$AM$2:$AM$293,Applications!$B$2:$B$293,A53)</f>
        <v>0</v>
      </c>
      <c r="N53" s="10" t="n">
        <f aca="false">SUMIFS(Applications!$AK$2:$AK$293,Applications!$B$2:$B$293,A53)</f>
        <v>16</v>
      </c>
      <c r="O53" s="2" t="n">
        <f aca="false">I53-J53</f>
        <v>0</v>
      </c>
      <c r="P53" s="2" t="n">
        <f aca="false">COUNTIFS(Applications!$B$2:$B$293,A53,Applications!$W$2:$W$293,"Low",Applications!$X$2:$X$293,"")</f>
        <v>0</v>
      </c>
      <c r="Q53" s="2" t="n">
        <f aca="false">COUNTIFS(Applications!$B$2:$B$293,A53,Applications!$AH$2:$AH$293,"Past*")+COUNTIFS(Applications!$B$2:$B$293,A53,Applications!$AH$2:$AH$293,"No CIS*")</f>
        <v>0</v>
      </c>
      <c r="R53" s="2"/>
      <c r="S53" s="2" t="s">
        <v>124</v>
      </c>
      <c r="T53" s="2" t="str">
        <f aca="false">IF(OR(R53&lt;&gt;"",S53="Yes",P53&gt;0,Q53&gt;0),IF(U53="Yes","Resolved","Yes"),"No")</f>
        <v>No</v>
      </c>
      <c r="U53" s="7"/>
      <c r="V53" s="7"/>
    </row>
    <row r="54" customFormat="false" ht="15" hidden="false" customHeight="false" outlineLevel="0" collapsed="false">
      <c r="A54" s="2" t="s">
        <v>345</v>
      </c>
      <c r="B54" s="2" t="s">
        <v>184</v>
      </c>
      <c r="C54" s="2" t="s">
        <v>346</v>
      </c>
      <c r="D54" s="2" t="s">
        <v>347</v>
      </c>
      <c r="E54" s="2" t="s">
        <v>144</v>
      </c>
      <c r="F54" s="2" t="n">
        <v>52.6668456016972</v>
      </c>
      <c r="G54" s="2" t="n">
        <v>-8.64988336863819</v>
      </c>
      <c r="H54" s="2" t="s">
        <v>198</v>
      </c>
      <c r="I54" s="2" t="n">
        <f aca="false">COUNTIF(Applications!$B$2:$B$293,A54)</f>
        <v>2</v>
      </c>
      <c r="J54" s="2" t="n">
        <f aca="false">COUNTIFS(Applications!$B$2:$B$293,A54,Applications!$Z$2:$Z$293,"Yes")</f>
        <v>2</v>
      </c>
      <c r="K54" s="10" t="n">
        <f aca="false">SUMIFS(Applications!$AI$2:$AI$293,Applications!$B$2:$B$293,A54)</f>
        <v>232</v>
      </c>
      <c r="L54" s="10" t="n">
        <f aca="false">SUMIFS(Applications!$AL$2:$AL$293,Applications!$B$2:$B$293,A54)</f>
        <v>167</v>
      </c>
      <c r="M54" s="10" t="n">
        <f aca="false">SUMIFS(Applications!$AM$2:$AM$293,Applications!$B$2:$B$293,A54)</f>
        <v>0</v>
      </c>
      <c r="N54" s="10" t="n">
        <f aca="false">SUMIFS(Applications!$AK$2:$AK$293,Applications!$B$2:$B$293,A54)</f>
        <v>65</v>
      </c>
      <c r="O54" s="2" t="n">
        <f aca="false">I54-J54</f>
        <v>0</v>
      </c>
      <c r="P54" s="2" t="n">
        <f aca="false">COUNTIFS(Applications!$B$2:$B$293,A54,Applications!$W$2:$W$293,"Low",Applications!$X$2:$X$293,"")</f>
        <v>1</v>
      </c>
      <c r="Q54" s="2" t="n">
        <f aca="false">COUNTIFS(Applications!$B$2:$B$293,A54,Applications!$AH$2:$AH$293,"Past*")+COUNTIFS(Applications!$B$2:$B$293,A54,Applications!$AH$2:$AH$293,"No CIS*")</f>
        <v>0</v>
      </c>
      <c r="R54" s="2"/>
      <c r="S54" s="2" t="s">
        <v>121</v>
      </c>
      <c r="T54" s="2" t="str">
        <f aca="false">IF(OR(R54&lt;&gt;"",S54="Yes",P54&gt;0,Q54&gt;0),IF(U54="Yes","Resolved","Yes"),"No")</f>
        <v>Yes</v>
      </c>
      <c r="U54" s="7"/>
      <c r="V54" s="7"/>
    </row>
    <row r="55" customFormat="false" ht="15" hidden="false" customHeight="false" outlineLevel="0" collapsed="false">
      <c r="A55" s="2" t="s">
        <v>348</v>
      </c>
      <c r="B55" s="2" t="s">
        <v>184</v>
      </c>
      <c r="C55" s="2" t="s">
        <v>349</v>
      </c>
      <c r="D55" s="2" t="s">
        <v>350</v>
      </c>
      <c r="E55" s="2" t="s">
        <v>138</v>
      </c>
      <c r="F55" s="2" t="n">
        <v>52.4017125336232</v>
      </c>
      <c r="G55" s="2" t="n">
        <v>-8.57870664427509</v>
      </c>
      <c r="H55" s="2" t="s">
        <v>251</v>
      </c>
      <c r="I55" s="2" t="n">
        <f aca="false">COUNTIF(Applications!$B$2:$B$293,A55)</f>
        <v>1</v>
      </c>
      <c r="J55" s="2" t="n">
        <f aca="false">COUNTIFS(Applications!$B$2:$B$293,A55,Applications!$Z$2:$Z$293,"Yes")</f>
        <v>1</v>
      </c>
      <c r="K55" s="10" t="n">
        <f aca="false">SUMIFS(Applications!$AI$2:$AI$293,Applications!$B$2:$B$293,A55)</f>
        <v>5</v>
      </c>
      <c r="L55" s="10" t="n">
        <f aca="false">SUMIFS(Applications!$AL$2:$AL$293,Applications!$B$2:$B$293,A55)</f>
        <v>0</v>
      </c>
      <c r="M55" s="10" t="n">
        <f aca="false">SUMIFS(Applications!$AM$2:$AM$293,Applications!$B$2:$B$293,A55)</f>
        <v>0</v>
      </c>
      <c r="N55" s="10" t="n">
        <f aca="false">SUMIFS(Applications!$AK$2:$AK$293,Applications!$B$2:$B$293,A55)</f>
        <v>5</v>
      </c>
      <c r="O55" s="2" t="n">
        <f aca="false">I55-J55</f>
        <v>0</v>
      </c>
      <c r="P55" s="2" t="n">
        <f aca="false">COUNTIFS(Applications!$B$2:$B$293,A55,Applications!$W$2:$W$293,"Low",Applications!$X$2:$X$293,"")</f>
        <v>0</v>
      </c>
      <c r="Q55" s="2" t="n">
        <f aca="false">COUNTIFS(Applications!$B$2:$B$293,A55,Applications!$AH$2:$AH$293,"Past*")+COUNTIFS(Applications!$B$2:$B$293,A55,Applications!$AH$2:$AH$293,"No CIS*")</f>
        <v>0</v>
      </c>
      <c r="R55" s="2"/>
      <c r="S55" s="2" t="s">
        <v>124</v>
      </c>
      <c r="T55" s="2" t="str">
        <f aca="false">IF(OR(R55&lt;&gt;"",S55="Yes",P55&gt;0,Q55&gt;0),IF(U55="Yes","Resolved","Yes"),"No")</f>
        <v>No</v>
      </c>
      <c r="U55" s="7"/>
      <c r="V55" s="7"/>
    </row>
    <row r="56" customFormat="false" ht="15" hidden="false" customHeight="false" outlineLevel="0" collapsed="false">
      <c r="A56" s="2" t="s">
        <v>351</v>
      </c>
      <c r="B56" s="2" t="s">
        <v>184</v>
      </c>
      <c r="C56" s="2" t="s">
        <v>352</v>
      </c>
      <c r="D56" s="2" t="s">
        <v>353</v>
      </c>
      <c r="E56" s="2" t="s">
        <v>144</v>
      </c>
      <c r="F56" s="2" t="n">
        <v>52.5641069871393</v>
      </c>
      <c r="G56" s="2" t="n">
        <v>-8.33788716808454</v>
      </c>
      <c r="H56" s="2" t="s">
        <v>251</v>
      </c>
      <c r="I56" s="2" t="n">
        <f aca="false">COUNTIF(Applications!$B$2:$B$293,A56)</f>
        <v>1</v>
      </c>
      <c r="J56" s="2" t="n">
        <f aca="false">COUNTIFS(Applications!$B$2:$B$293,A56,Applications!$Z$2:$Z$293,"Yes")</f>
        <v>1</v>
      </c>
      <c r="K56" s="10" t="n">
        <f aca="false">SUMIFS(Applications!$AI$2:$AI$293,Applications!$B$2:$B$293,A56)</f>
        <v>3</v>
      </c>
      <c r="L56" s="10" t="n">
        <f aca="false">SUMIFS(Applications!$AL$2:$AL$293,Applications!$B$2:$B$293,A56)</f>
        <v>0</v>
      </c>
      <c r="M56" s="10" t="n">
        <f aca="false">SUMIFS(Applications!$AM$2:$AM$293,Applications!$B$2:$B$293,A56)</f>
        <v>0</v>
      </c>
      <c r="N56" s="10" t="n">
        <f aca="false">SUMIFS(Applications!$AK$2:$AK$293,Applications!$B$2:$B$293,A56)</f>
        <v>3</v>
      </c>
      <c r="O56" s="2" t="n">
        <f aca="false">I56-J56</f>
        <v>0</v>
      </c>
      <c r="P56" s="2" t="n">
        <f aca="false">COUNTIFS(Applications!$B$2:$B$293,A56,Applications!$W$2:$W$293,"Low",Applications!$X$2:$X$293,"")</f>
        <v>1</v>
      </c>
      <c r="Q56" s="2" t="n">
        <f aca="false">COUNTIFS(Applications!$B$2:$B$293,A56,Applications!$AH$2:$AH$293,"Past*")+COUNTIFS(Applications!$B$2:$B$293,A56,Applications!$AH$2:$AH$293,"No CIS*")</f>
        <v>0</v>
      </c>
      <c r="R56" s="2"/>
      <c r="S56" s="2" t="s">
        <v>124</v>
      </c>
      <c r="T56" s="2" t="str">
        <f aca="false">IF(OR(R56&lt;&gt;"",S56="Yes",P56&gt;0,Q56&gt;0),IF(U56="Yes","Resolved","Yes"),"No")</f>
        <v>Yes</v>
      </c>
      <c r="U56" s="7"/>
      <c r="V56" s="7"/>
    </row>
    <row r="57" customFormat="false" ht="15" hidden="false" customHeight="false" outlineLevel="0" collapsed="false">
      <c r="A57" s="2" t="s">
        <v>354</v>
      </c>
      <c r="B57" s="2" t="s">
        <v>184</v>
      </c>
      <c r="C57" s="2" t="s">
        <v>355</v>
      </c>
      <c r="D57" s="2" t="s">
        <v>356</v>
      </c>
      <c r="E57" s="2" t="s">
        <v>139</v>
      </c>
      <c r="F57" s="2" t="n">
        <v>52.666077492929</v>
      </c>
      <c r="G57" s="2" t="n">
        <v>-8.59961662343529</v>
      </c>
      <c r="H57" s="2" t="s">
        <v>187</v>
      </c>
      <c r="I57" s="2" t="n">
        <f aca="false">COUNTIF(Applications!$B$2:$B$293,A57)</f>
        <v>1</v>
      </c>
      <c r="J57" s="2" t="n">
        <f aca="false">COUNTIFS(Applications!$B$2:$B$293,A57,Applications!$Z$2:$Z$293,"Yes")</f>
        <v>1</v>
      </c>
      <c r="K57" s="10" t="n">
        <f aca="false">SUMIFS(Applications!$AI$2:$AI$293,Applications!$B$2:$B$293,A57)</f>
        <v>25</v>
      </c>
      <c r="L57" s="10" t="n">
        <f aca="false">SUMIFS(Applications!$AL$2:$AL$293,Applications!$B$2:$B$293,A57)</f>
        <v>25</v>
      </c>
      <c r="M57" s="10" t="n">
        <f aca="false">SUMIFS(Applications!$AM$2:$AM$293,Applications!$B$2:$B$293,A57)</f>
        <v>0</v>
      </c>
      <c r="N57" s="10" t="n">
        <f aca="false">SUMIFS(Applications!$AK$2:$AK$293,Applications!$B$2:$B$293,A57)</f>
        <v>0</v>
      </c>
      <c r="O57" s="2" t="n">
        <f aca="false">I57-J57</f>
        <v>0</v>
      </c>
      <c r="P57" s="2" t="n">
        <f aca="false">COUNTIFS(Applications!$B$2:$B$293,A57,Applications!$W$2:$W$293,"Low",Applications!$X$2:$X$293,"")</f>
        <v>0</v>
      </c>
      <c r="Q57" s="2" t="n">
        <f aca="false">COUNTIFS(Applications!$B$2:$B$293,A57,Applications!$AH$2:$AH$293,"Past*")+COUNTIFS(Applications!$B$2:$B$293,A57,Applications!$AH$2:$AH$293,"No CIS*")</f>
        <v>0</v>
      </c>
      <c r="R57" s="2"/>
      <c r="S57" s="2" t="s">
        <v>124</v>
      </c>
      <c r="T57" s="2" t="str">
        <f aca="false">IF(OR(R57&lt;&gt;"",S57="Yes",P57&gt;0,Q57&gt;0),IF(U57="Yes","Resolved","Yes"),"No")</f>
        <v>No</v>
      </c>
      <c r="U57" s="7"/>
      <c r="V57" s="7"/>
    </row>
    <row r="58" customFormat="false" ht="15" hidden="false" customHeight="false" outlineLevel="0" collapsed="false">
      <c r="A58" s="2" t="s">
        <v>357</v>
      </c>
      <c r="B58" s="2" t="s">
        <v>184</v>
      </c>
      <c r="C58" s="2" t="s">
        <v>358</v>
      </c>
      <c r="D58" s="2" t="s">
        <v>359</v>
      </c>
      <c r="E58" s="2" t="s">
        <v>144</v>
      </c>
      <c r="F58" s="2" t="n">
        <v>52.4349724667315</v>
      </c>
      <c r="G58" s="2" t="n">
        <v>-8.40964315521037</v>
      </c>
      <c r="H58" s="2" t="s">
        <v>198</v>
      </c>
      <c r="I58" s="2" t="n">
        <f aca="false">COUNTIF(Applications!$B$2:$B$293,A58)</f>
        <v>2</v>
      </c>
      <c r="J58" s="2" t="n">
        <f aca="false">COUNTIFS(Applications!$B$2:$B$293,A58,Applications!$Z$2:$Z$293,"Yes")</f>
        <v>2</v>
      </c>
      <c r="K58" s="10" t="n">
        <f aca="false">SUMIFS(Applications!$AI$2:$AI$293,Applications!$B$2:$B$293,A58)</f>
        <v>10</v>
      </c>
      <c r="L58" s="10" t="n">
        <f aca="false">SUMIFS(Applications!$AL$2:$AL$293,Applications!$B$2:$B$293,A58)</f>
        <v>6</v>
      </c>
      <c r="M58" s="10" t="n">
        <f aca="false">SUMIFS(Applications!$AM$2:$AM$293,Applications!$B$2:$B$293,A58)</f>
        <v>0</v>
      </c>
      <c r="N58" s="10" t="n">
        <f aca="false">SUMIFS(Applications!$AK$2:$AK$293,Applications!$B$2:$B$293,A58)</f>
        <v>4</v>
      </c>
      <c r="O58" s="2" t="n">
        <f aca="false">I58-J58</f>
        <v>0</v>
      </c>
      <c r="P58" s="2" t="n">
        <f aca="false">COUNTIFS(Applications!$B$2:$B$293,A58,Applications!$W$2:$W$293,"Low",Applications!$X$2:$X$293,"")</f>
        <v>0</v>
      </c>
      <c r="Q58" s="2" t="n">
        <f aca="false">COUNTIFS(Applications!$B$2:$B$293,A58,Applications!$AH$2:$AH$293,"Past*")+COUNTIFS(Applications!$B$2:$B$293,A58,Applications!$AH$2:$AH$293,"No CIS*")</f>
        <v>0</v>
      </c>
      <c r="R58" s="2"/>
      <c r="S58" s="2" t="s">
        <v>121</v>
      </c>
      <c r="T58" s="2" t="str">
        <f aca="false">IF(OR(R58&lt;&gt;"",S58="Yes",P58&gt;0,Q58&gt;0),IF(U58="Yes","Resolved","Yes"),"No")</f>
        <v>Yes</v>
      </c>
      <c r="U58" s="7"/>
      <c r="V58" s="7"/>
    </row>
    <row r="59" customFormat="false" ht="15" hidden="false" customHeight="false" outlineLevel="0" collapsed="false">
      <c r="A59" s="2" t="s">
        <v>360</v>
      </c>
      <c r="B59" s="2" t="s">
        <v>184</v>
      </c>
      <c r="C59" s="2" t="s">
        <v>361</v>
      </c>
      <c r="D59" s="2" t="s">
        <v>362</v>
      </c>
      <c r="E59" s="2" t="s">
        <v>144</v>
      </c>
      <c r="F59" s="2" t="n">
        <v>52.6478708651899</v>
      </c>
      <c r="G59" s="2" t="n">
        <v>-8.63311249918326</v>
      </c>
      <c r="H59" s="2" t="s">
        <v>198</v>
      </c>
      <c r="I59" s="2" t="n">
        <f aca="false">COUNTIF(Applications!$B$2:$B$293,A59)</f>
        <v>2</v>
      </c>
      <c r="J59" s="2" t="n">
        <f aca="false">COUNTIFS(Applications!$B$2:$B$293,A59,Applications!$Z$2:$Z$293,"Yes")</f>
        <v>1</v>
      </c>
      <c r="K59" s="10" t="n">
        <f aca="false">SUMIFS(Applications!$AI$2:$AI$293,Applications!$B$2:$B$293,A59)</f>
        <v>21</v>
      </c>
      <c r="L59" s="10" t="n">
        <f aca="false">SUMIFS(Applications!$AL$2:$AL$293,Applications!$B$2:$B$293,A59)</f>
        <v>21</v>
      </c>
      <c r="M59" s="10" t="n">
        <f aca="false">SUMIFS(Applications!$AM$2:$AM$293,Applications!$B$2:$B$293,A59)</f>
        <v>0</v>
      </c>
      <c r="N59" s="10" t="n">
        <f aca="false">SUMIFS(Applications!$AK$2:$AK$293,Applications!$B$2:$B$293,A59)</f>
        <v>0</v>
      </c>
      <c r="O59" s="2" t="n">
        <f aca="false">I59-J59</f>
        <v>1</v>
      </c>
      <c r="P59" s="2" t="n">
        <f aca="false">COUNTIFS(Applications!$B$2:$B$293,A59,Applications!$W$2:$W$293,"Low",Applications!$X$2:$X$293,"")</f>
        <v>0</v>
      </c>
      <c r="Q59" s="2" t="n">
        <f aca="false">COUNTIFS(Applications!$B$2:$B$293,A59,Applications!$AH$2:$AH$293,"Past*")+COUNTIFS(Applications!$B$2:$B$293,A59,Applications!$AH$2:$AH$293,"No CIS*")</f>
        <v>0</v>
      </c>
      <c r="R59" s="2"/>
      <c r="S59" s="2" t="s">
        <v>121</v>
      </c>
      <c r="T59" s="2" t="str">
        <f aca="false">IF(OR(R59&lt;&gt;"",S59="Yes",P59&gt;0,Q59&gt;0),IF(U59="Yes","Resolved","Yes"),"No")</f>
        <v>Yes</v>
      </c>
      <c r="U59" s="7"/>
      <c r="V59" s="7"/>
    </row>
    <row r="60" customFormat="false" ht="15" hidden="false" customHeight="false" outlineLevel="0" collapsed="false">
      <c r="A60" s="2" t="s">
        <v>363</v>
      </c>
      <c r="B60" s="2" t="s">
        <v>184</v>
      </c>
      <c r="C60" s="2" t="s">
        <v>364</v>
      </c>
      <c r="D60" s="2" t="s">
        <v>365</v>
      </c>
      <c r="E60" s="2" t="s">
        <v>144</v>
      </c>
      <c r="F60" s="2" t="n">
        <v>52.4959985530279</v>
      </c>
      <c r="G60" s="2" t="n">
        <v>-9.0633988366718</v>
      </c>
      <c r="H60" s="2" t="s">
        <v>198</v>
      </c>
      <c r="I60" s="2" t="n">
        <f aca="false">COUNTIF(Applications!$B$2:$B$293,A60)</f>
        <v>1</v>
      </c>
      <c r="J60" s="2" t="n">
        <f aca="false">COUNTIFS(Applications!$B$2:$B$293,A60,Applications!$Z$2:$Z$293,"Yes")</f>
        <v>1</v>
      </c>
      <c r="K60" s="10" t="n">
        <f aca="false">SUMIFS(Applications!$AI$2:$AI$293,Applications!$B$2:$B$293,A60)</f>
        <v>10</v>
      </c>
      <c r="L60" s="10" t="n">
        <f aca="false">SUMIFS(Applications!$AL$2:$AL$293,Applications!$B$2:$B$293,A60)</f>
        <v>10</v>
      </c>
      <c r="M60" s="10" t="n">
        <f aca="false">SUMIFS(Applications!$AM$2:$AM$293,Applications!$B$2:$B$293,A60)</f>
        <v>0</v>
      </c>
      <c r="N60" s="10" t="n">
        <f aca="false">SUMIFS(Applications!$AK$2:$AK$293,Applications!$B$2:$B$293,A60)</f>
        <v>0</v>
      </c>
      <c r="O60" s="2" t="n">
        <f aca="false">I60-J60</f>
        <v>0</v>
      </c>
      <c r="P60" s="2" t="n">
        <f aca="false">COUNTIFS(Applications!$B$2:$B$293,A60,Applications!$W$2:$W$293,"Low",Applications!$X$2:$X$293,"")</f>
        <v>0</v>
      </c>
      <c r="Q60" s="2" t="n">
        <f aca="false">COUNTIFS(Applications!$B$2:$B$293,A60,Applications!$AH$2:$AH$293,"Past*")+COUNTIFS(Applications!$B$2:$B$293,A60,Applications!$AH$2:$AH$293,"No CIS*")</f>
        <v>0</v>
      </c>
      <c r="R60" s="2"/>
      <c r="S60" s="2" t="s">
        <v>124</v>
      </c>
      <c r="T60" s="2" t="str">
        <f aca="false">IF(OR(R60&lt;&gt;"",S60="Yes",P60&gt;0,Q60&gt;0),IF(U60="Yes","Resolved","Yes"),"No")</f>
        <v>No</v>
      </c>
      <c r="U60" s="7"/>
      <c r="V60" s="7"/>
    </row>
    <row r="61" customFormat="false" ht="15" hidden="false" customHeight="false" outlineLevel="0" collapsed="false">
      <c r="A61" s="2" t="s">
        <v>366</v>
      </c>
      <c r="B61" s="2" t="s">
        <v>184</v>
      </c>
      <c r="C61" s="2" t="s">
        <v>367</v>
      </c>
      <c r="D61" s="2" t="s">
        <v>368</v>
      </c>
      <c r="E61" s="2" t="s">
        <v>143</v>
      </c>
      <c r="F61" s="2" t="n">
        <v>52.5575125539271</v>
      </c>
      <c r="G61" s="2" t="n">
        <v>-8.79861517628301</v>
      </c>
      <c r="H61" s="2" t="s">
        <v>187</v>
      </c>
      <c r="I61" s="2" t="n">
        <f aca="false">COUNTIF(Applications!$B$2:$B$293,A61)</f>
        <v>4</v>
      </c>
      <c r="J61" s="2" t="n">
        <f aca="false">COUNTIFS(Applications!$B$2:$B$293,A61,Applications!$Z$2:$Z$293,"Yes")</f>
        <v>4</v>
      </c>
      <c r="K61" s="10" t="n">
        <f aca="false">SUMIFS(Applications!$AI$2:$AI$293,Applications!$B$2:$B$293,A61)</f>
        <v>183</v>
      </c>
      <c r="L61" s="10" t="n">
        <f aca="false">SUMIFS(Applications!$AL$2:$AL$293,Applications!$B$2:$B$293,A61)</f>
        <v>183</v>
      </c>
      <c r="M61" s="10" t="n">
        <f aca="false">SUMIFS(Applications!$AM$2:$AM$293,Applications!$B$2:$B$293,A61)</f>
        <v>0</v>
      </c>
      <c r="N61" s="10" t="n">
        <f aca="false">SUMIFS(Applications!$AK$2:$AK$293,Applications!$B$2:$B$293,A61)</f>
        <v>0</v>
      </c>
      <c r="O61" s="2" t="n">
        <f aca="false">I61-J61</f>
        <v>0</v>
      </c>
      <c r="P61" s="2" t="n">
        <f aca="false">COUNTIFS(Applications!$B$2:$B$293,A61,Applications!$W$2:$W$293,"Low",Applications!$X$2:$X$293,"")</f>
        <v>1</v>
      </c>
      <c r="Q61" s="2" t="n">
        <f aca="false">COUNTIFS(Applications!$B$2:$B$293,A61,Applications!$AH$2:$AH$293,"Past*")+COUNTIFS(Applications!$B$2:$B$293,A61,Applications!$AH$2:$AH$293,"No CIS*")</f>
        <v>2</v>
      </c>
      <c r="R61" s="2"/>
      <c r="S61" s="2" t="s">
        <v>121</v>
      </c>
      <c r="T61" s="2" t="str">
        <f aca="false">IF(OR(R61&lt;&gt;"",S61="Yes",P61&gt;0,Q61&gt;0),IF(U61="Yes","Resolved","Yes"),"No")</f>
        <v>Yes</v>
      </c>
      <c r="U61" s="7"/>
      <c r="V61" s="7"/>
    </row>
    <row r="62" customFormat="false" ht="15" hidden="false" customHeight="false" outlineLevel="0" collapsed="false">
      <c r="A62" s="2" t="s">
        <v>369</v>
      </c>
      <c r="B62" s="2" t="s">
        <v>184</v>
      </c>
      <c r="C62" s="2" t="s">
        <v>370</v>
      </c>
      <c r="D62" s="2" t="s">
        <v>371</v>
      </c>
      <c r="E62" s="2" t="s">
        <v>140</v>
      </c>
      <c r="F62" s="2" t="n">
        <v>52.6341928396917</v>
      </c>
      <c r="G62" s="2" t="n">
        <v>-8.69695740120786</v>
      </c>
      <c r="H62" s="2" t="s">
        <v>187</v>
      </c>
      <c r="I62" s="2" t="n">
        <f aca="false">COUNTIF(Applications!$B$2:$B$293,A62)</f>
        <v>1</v>
      </c>
      <c r="J62" s="2" t="n">
        <f aca="false">COUNTIFS(Applications!$B$2:$B$293,A62,Applications!$Z$2:$Z$293,"Yes")</f>
        <v>1</v>
      </c>
      <c r="K62" s="10" t="n">
        <f aca="false">SUMIFS(Applications!$AI$2:$AI$293,Applications!$B$2:$B$293,A62)</f>
        <v>139</v>
      </c>
      <c r="L62" s="10" t="n">
        <f aca="false">SUMIFS(Applications!$AL$2:$AL$293,Applications!$B$2:$B$293,A62)</f>
        <v>139</v>
      </c>
      <c r="M62" s="10" t="n">
        <f aca="false">SUMIFS(Applications!$AM$2:$AM$293,Applications!$B$2:$B$293,A62)</f>
        <v>0</v>
      </c>
      <c r="N62" s="10" t="n">
        <f aca="false">SUMIFS(Applications!$AK$2:$AK$293,Applications!$B$2:$B$293,A62)</f>
        <v>0</v>
      </c>
      <c r="O62" s="2" t="n">
        <f aca="false">I62-J62</f>
        <v>0</v>
      </c>
      <c r="P62" s="2" t="n">
        <f aca="false">COUNTIFS(Applications!$B$2:$B$293,A62,Applications!$W$2:$W$293,"Low",Applications!$X$2:$X$293,"")</f>
        <v>0</v>
      </c>
      <c r="Q62" s="2" t="n">
        <f aca="false">COUNTIFS(Applications!$B$2:$B$293,A62,Applications!$AH$2:$AH$293,"Past*")+COUNTIFS(Applications!$B$2:$B$293,A62,Applications!$AH$2:$AH$293,"No CIS*")</f>
        <v>0</v>
      </c>
      <c r="R62" s="2"/>
      <c r="S62" s="2" t="s">
        <v>124</v>
      </c>
      <c r="T62" s="2" t="str">
        <f aca="false">IF(OR(R62&lt;&gt;"",S62="Yes",P62&gt;0,Q62&gt;0),IF(U62="Yes","Resolved","Yes"),"No")</f>
        <v>No</v>
      </c>
      <c r="U62" s="7"/>
      <c r="V62" s="7"/>
    </row>
    <row r="63" customFormat="false" ht="15" hidden="false" customHeight="false" outlineLevel="0" collapsed="false">
      <c r="A63" s="2" t="s">
        <v>372</v>
      </c>
      <c r="B63" s="2" t="s">
        <v>184</v>
      </c>
      <c r="C63" s="2" t="s">
        <v>373</v>
      </c>
      <c r="D63" s="2" t="s">
        <v>374</v>
      </c>
      <c r="E63" s="2" t="s">
        <v>136</v>
      </c>
      <c r="F63" s="2" t="n">
        <v>52.6124091514475</v>
      </c>
      <c r="G63" s="2" t="n">
        <v>-8.33576474650149</v>
      </c>
      <c r="H63" s="2" t="s">
        <v>198</v>
      </c>
      <c r="I63" s="2" t="n">
        <f aca="false">COUNTIF(Applications!$B$2:$B$293,A63)</f>
        <v>1</v>
      </c>
      <c r="J63" s="2" t="n">
        <f aca="false">COUNTIFS(Applications!$B$2:$B$293,A63,Applications!$Z$2:$Z$293,"Yes")</f>
        <v>1</v>
      </c>
      <c r="K63" s="10" t="n">
        <f aca="false">SUMIFS(Applications!$AI$2:$AI$293,Applications!$B$2:$B$293,A63)</f>
        <v>22</v>
      </c>
      <c r="L63" s="10" t="n">
        <f aca="false">SUMIFS(Applications!$AL$2:$AL$293,Applications!$B$2:$B$293,A63)</f>
        <v>22</v>
      </c>
      <c r="M63" s="10" t="n">
        <f aca="false">SUMIFS(Applications!$AM$2:$AM$293,Applications!$B$2:$B$293,A63)</f>
        <v>0</v>
      </c>
      <c r="N63" s="10" t="n">
        <f aca="false">SUMIFS(Applications!$AK$2:$AK$293,Applications!$B$2:$B$293,A63)</f>
        <v>0</v>
      </c>
      <c r="O63" s="2" t="n">
        <f aca="false">I63-J63</f>
        <v>0</v>
      </c>
      <c r="P63" s="2" t="n">
        <f aca="false">COUNTIFS(Applications!$B$2:$B$293,A63,Applications!$W$2:$W$293,"Low",Applications!$X$2:$X$293,"")</f>
        <v>0</v>
      </c>
      <c r="Q63" s="2" t="n">
        <f aca="false">COUNTIFS(Applications!$B$2:$B$293,A63,Applications!$AH$2:$AH$293,"Past*")+COUNTIFS(Applications!$B$2:$B$293,A63,Applications!$AH$2:$AH$293,"No CIS*")</f>
        <v>0</v>
      </c>
      <c r="R63" s="2"/>
      <c r="S63" s="2" t="s">
        <v>124</v>
      </c>
      <c r="T63" s="2" t="str">
        <f aca="false">IF(OR(R63&lt;&gt;"",S63="Yes",P63&gt;0,Q63&gt;0),IF(U63="Yes","Resolved","Yes"),"No")</f>
        <v>No</v>
      </c>
      <c r="U63" s="7"/>
      <c r="V63" s="7"/>
    </row>
    <row r="64" customFormat="false" ht="15" hidden="false" customHeight="false" outlineLevel="0" collapsed="false">
      <c r="A64" s="2" t="s">
        <v>375</v>
      </c>
      <c r="B64" s="2" t="s">
        <v>184</v>
      </c>
      <c r="C64" s="2" t="s">
        <v>376</v>
      </c>
      <c r="D64" s="2" t="s">
        <v>377</v>
      </c>
      <c r="E64" s="2" t="s">
        <v>144</v>
      </c>
      <c r="F64" s="2" t="n">
        <v>52.3688321330801</v>
      </c>
      <c r="G64" s="2" t="n">
        <v>-8.34460316361237</v>
      </c>
      <c r="H64" s="2" t="s">
        <v>198</v>
      </c>
      <c r="I64" s="2" t="n">
        <f aca="false">COUNTIF(Applications!$B$2:$B$293,A64)</f>
        <v>1</v>
      </c>
      <c r="J64" s="2" t="n">
        <f aca="false">COUNTIFS(Applications!$B$2:$B$293,A64,Applications!$Z$2:$Z$293,"Yes")</f>
        <v>1</v>
      </c>
      <c r="K64" s="10" t="n">
        <f aca="false">SUMIFS(Applications!$AI$2:$AI$293,Applications!$B$2:$B$293,A64)</f>
        <v>9</v>
      </c>
      <c r="L64" s="10" t="n">
        <f aca="false">SUMIFS(Applications!$AL$2:$AL$293,Applications!$B$2:$B$293,A64)</f>
        <v>9</v>
      </c>
      <c r="M64" s="10" t="n">
        <f aca="false">SUMIFS(Applications!$AM$2:$AM$293,Applications!$B$2:$B$293,A64)</f>
        <v>0</v>
      </c>
      <c r="N64" s="10" t="n">
        <f aca="false">SUMIFS(Applications!$AK$2:$AK$293,Applications!$B$2:$B$293,A64)</f>
        <v>0</v>
      </c>
      <c r="O64" s="2" t="n">
        <f aca="false">I64-J64</f>
        <v>0</v>
      </c>
      <c r="P64" s="2" t="n">
        <f aca="false">COUNTIFS(Applications!$B$2:$B$293,A64,Applications!$W$2:$W$293,"Low",Applications!$X$2:$X$293,"")</f>
        <v>1</v>
      </c>
      <c r="Q64" s="2" t="n">
        <f aca="false">COUNTIFS(Applications!$B$2:$B$293,A64,Applications!$AH$2:$AH$293,"Past*")+COUNTIFS(Applications!$B$2:$B$293,A64,Applications!$AH$2:$AH$293,"No CIS*")</f>
        <v>0</v>
      </c>
      <c r="R64" s="2"/>
      <c r="S64" s="2" t="s">
        <v>124</v>
      </c>
      <c r="T64" s="2" t="str">
        <f aca="false">IF(OR(R64&lt;&gt;"",S64="Yes",P64&gt;0,Q64&gt;0),IF(U64="Yes","Resolved","Yes"),"No")</f>
        <v>Yes</v>
      </c>
      <c r="U64" s="7"/>
      <c r="V64" s="7"/>
    </row>
    <row r="65" customFormat="false" ht="15" hidden="false" customHeight="false" outlineLevel="0" collapsed="false">
      <c r="A65" s="2" t="s">
        <v>378</v>
      </c>
      <c r="B65" s="2" t="s">
        <v>184</v>
      </c>
      <c r="C65" s="2" t="s">
        <v>379</v>
      </c>
      <c r="D65" s="2" t="s">
        <v>380</v>
      </c>
      <c r="E65" s="2" t="s">
        <v>137</v>
      </c>
      <c r="F65" s="2" t="n">
        <v>52.7105176363494</v>
      </c>
      <c r="G65" s="2" t="n">
        <v>-8.50170035676512</v>
      </c>
      <c r="H65" s="2" t="s">
        <v>198</v>
      </c>
      <c r="I65" s="2" t="n">
        <f aca="false">COUNTIF(Applications!$B$2:$B$293,A65)</f>
        <v>2</v>
      </c>
      <c r="J65" s="2" t="n">
        <f aca="false">COUNTIFS(Applications!$B$2:$B$293,A65,Applications!$Z$2:$Z$293,"Yes")</f>
        <v>2</v>
      </c>
      <c r="K65" s="10" t="n">
        <f aca="false">SUMIFS(Applications!$AI$2:$AI$293,Applications!$B$2:$B$293,A65)</f>
        <v>65</v>
      </c>
      <c r="L65" s="10" t="n">
        <f aca="false">SUMIFS(Applications!$AL$2:$AL$293,Applications!$B$2:$B$293,A65)</f>
        <v>65</v>
      </c>
      <c r="M65" s="10" t="n">
        <f aca="false">SUMIFS(Applications!$AM$2:$AM$293,Applications!$B$2:$B$293,A65)</f>
        <v>0</v>
      </c>
      <c r="N65" s="10" t="n">
        <f aca="false">SUMIFS(Applications!$AK$2:$AK$293,Applications!$B$2:$B$293,A65)</f>
        <v>0</v>
      </c>
      <c r="O65" s="2" t="n">
        <f aca="false">I65-J65</f>
        <v>0</v>
      </c>
      <c r="P65" s="2" t="n">
        <f aca="false">COUNTIFS(Applications!$B$2:$B$293,A65,Applications!$W$2:$W$293,"Low",Applications!$X$2:$X$293,"")</f>
        <v>1</v>
      </c>
      <c r="Q65" s="2" t="n">
        <f aca="false">COUNTIFS(Applications!$B$2:$B$293,A65,Applications!$AH$2:$AH$293,"Past*")+COUNTIFS(Applications!$B$2:$B$293,A65,Applications!$AH$2:$AH$293,"No CIS*")</f>
        <v>0</v>
      </c>
      <c r="R65" s="2"/>
      <c r="S65" s="2" t="s">
        <v>121</v>
      </c>
      <c r="T65" s="2" t="str">
        <f aca="false">IF(OR(R65&lt;&gt;"",S65="Yes",P65&gt;0,Q65&gt;0),IF(U65="Yes","Resolved","Yes"),"No")</f>
        <v>Yes</v>
      </c>
      <c r="U65" s="7"/>
      <c r="V65" s="7"/>
    </row>
    <row r="66" customFormat="false" ht="15" hidden="false" customHeight="false" outlineLevel="0" collapsed="false">
      <c r="A66" s="2" t="s">
        <v>381</v>
      </c>
      <c r="B66" s="2" t="s">
        <v>184</v>
      </c>
      <c r="C66" s="2" t="s">
        <v>382</v>
      </c>
      <c r="D66" s="2" t="s">
        <v>383</v>
      </c>
      <c r="E66" s="2" t="s">
        <v>144</v>
      </c>
      <c r="F66" s="2" t="n">
        <v>52.6613695740086</v>
      </c>
      <c r="G66" s="2" t="n">
        <v>-8.62815853596214</v>
      </c>
      <c r="H66" s="2" t="s">
        <v>198</v>
      </c>
      <c r="I66" s="2" t="n">
        <f aca="false">COUNTIF(Applications!$B$2:$B$293,A66)</f>
        <v>2</v>
      </c>
      <c r="J66" s="2" t="n">
        <f aca="false">COUNTIFS(Applications!$B$2:$B$293,A66,Applications!$Z$2:$Z$293,"Yes")</f>
        <v>2</v>
      </c>
      <c r="K66" s="10" t="n">
        <f aca="false">SUMIFS(Applications!$AI$2:$AI$293,Applications!$B$2:$B$293,A66)</f>
        <v>11</v>
      </c>
      <c r="L66" s="10" t="n">
        <f aca="false">SUMIFS(Applications!$AL$2:$AL$293,Applications!$B$2:$B$293,A66)</f>
        <v>11</v>
      </c>
      <c r="M66" s="10" t="n">
        <f aca="false">SUMIFS(Applications!$AM$2:$AM$293,Applications!$B$2:$B$293,A66)</f>
        <v>0</v>
      </c>
      <c r="N66" s="10" t="n">
        <f aca="false">SUMIFS(Applications!$AK$2:$AK$293,Applications!$B$2:$B$293,A66)</f>
        <v>0</v>
      </c>
      <c r="O66" s="2" t="n">
        <f aca="false">I66-J66</f>
        <v>0</v>
      </c>
      <c r="P66" s="2" t="n">
        <f aca="false">COUNTIFS(Applications!$B$2:$B$293,A66,Applications!$W$2:$W$293,"Low",Applications!$X$2:$X$293,"")</f>
        <v>1</v>
      </c>
      <c r="Q66" s="2" t="n">
        <f aca="false">COUNTIFS(Applications!$B$2:$B$293,A66,Applications!$AH$2:$AH$293,"Past*")+COUNTIFS(Applications!$B$2:$B$293,A66,Applications!$AH$2:$AH$293,"No CIS*")</f>
        <v>0</v>
      </c>
      <c r="R66" s="2"/>
      <c r="S66" s="2" t="s">
        <v>121</v>
      </c>
      <c r="T66" s="2" t="str">
        <f aca="false">IF(OR(R66&lt;&gt;"",S66="Yes",P66&gt;0,Q66&gt;0),IF(U66="Yes","Resolved","Yes"),"No")</f>
        <v>Yes</v>
      </c>
      <c r="U66" s="7"/>
      <c r="V66" s="7"/>
    </row>
    <row r="67" customFormat="false" ht="15" hidden="false" customHeight="false" outlineLevel="0" collapsed="false">
      <c r="A67" s="2" t="s">
        <v>384</v>
      </c>
      <c r="B67" s="2" t="s">
        <v>184</v>
      </c>
      <c r="C67" s="2" t="s">
        <v>385</v>
      </c>
      <c r="D67" s="2" t="s">
        <v>386</v>
      </c>
      <c r="E67" s="2" t="s">
        <v>139</v>
      </c>
      <c r="F67" s="2" t="n">
        <v>52.635943586934</v>
      </c>
      <c r="G67" s="2" t="n">
        <v>-8.6774305615687</v>
      </c>
      <c r="H67" s="2" t="s">
        <v>198</v>
      </c>
      <c r="I67" s="2" t="n">
        <f aca="false">COUNTIF(Applications!$B$2:$B$293,A67)</f>
        <v>1</v>
      </c>
      <c r="J67" s="2" t="n">
        <f aca="false">COUNTIFS(Applications!$B$2:$B$293,A67,Applications!$Z$2:$Z$293,"Yes")</f>
        <v>1</v>
      </c>
      <c r="K67" s="10" t="n">
        <f aca="false">SUMIFS(Applications!$AI$2:$AI$293,Applications!$B$2:$B$293,A67)</f>
        <v>66</v>
      </c>
      <c r="L67" s="10" t="n">
        <f aca="false">SUMIFS(Applications!$AL$2:$AL$293,Applications!$B$2:$B$293,A67)</f>
        <v>66</v>
      </c>
      <c r="M67" s="10" t="n">
        <f aca="false">SUMIFS(Applications!$AM$2:$AM$293,Applications!$B$2:$B$293,A67)</f>
        <v>0</v>
      </c>
      <c r="N67" s="10" t="n">
        <f aca="false">SUMIFS(Applications!$AK$2:$AK$293,Applications!$B$2:$B$293,A67)</f>
        <v>0</v>
      </c>
      <c r="O67" s="2" t="n">
        <f aca="false">I67-J67</f>
        <v>0</v>
      </c>
      <c r="P67" s="2" t="n">
        <f aca="false">COUNTIFS(Applications!$B$2:$B$293,A67,Applications!$W$2:$W$293,"Low",Applications!$X$2:$X$293,"")</f>
        <v>0</v>
      </c>
      <c r="Q67" s="2" t="n">
        <f aca="false">COUNTIFS(Applications!$B$2:$B$293,A67,Applications!$AH$2:$AH$293,"Past*")+COUNTIFS(Applications!$B$2:$B$293,A67,Applications!$AH$2:$AH$293,"No CIS*")</f>
        <v>0</v>
      </c>
      <c r="R67" s="2"/>
      <c r="S67" s="2" t="s">
        <v>124</v>
      </c>
      <c r="T67" s="2" t="str">
        <f aca="false">IF(OR(R67&lt;&gt;"",S67="Yes",P67&gt;0,Q67&gt;0),IF(U67="Yes","Resolved","Yes"),"No")</f>
        <v>No</v>
      </c>
      <c r="U67" s="7"/>
      <c r="V67" s="7"/>
    </row>
    <row r="68" customFormat="false" ht="15" hidden="false" customHeight="false" outlineLevel="0" collapsed="false">
      <c r="A68" s="2" t="s">
        <v>387</v>
      </c>
      <c r="B68" s="2" t="s">
        <v>184</v>
      </c>
      <c r="C68" s="2" t="s">
        <v>388</v>
      </c>
      <c r="D68" s="2" t="s">
        <v>389</v>
      </c>
      <c r="E68" s="2" t="s">
        <v>144</v>
      </c>
      <c r="F68" s="2" t="n">
        <v>52.6833919663068</v>
      </c>
      <c r="G68" s="2" t="n">
        <v>-8.66680793832293</v>
      </c>
      <c r="H68" s="2" t="s">
        <v>198</v>
      </c>
      <c r="I68" s="2" t="n">
        <f aca="false">COUNTIF(Applications!$B$2:$B$293,A68)</f>
        <v>5</v>
      </c>
      <c r="J68" s="2" t="n">
        <f aca="false">COUNTIFS(Applications!$B$2:$B$293,A68,Applications!$Z$2:$Z$293,"Yes")</f>
        <v>5</v>
      </c>
      <c r="K68" s="10" t="n">
        <f aca="false">SUMIFS(Applications!$AI$2:$AI$293,Applications!$B$2:$B$293,A68)</f>
        <v>362</v>
      </c>
      <c r="L68" s="10" t="n">
        <f aca="false">SUMIFS(Applications!$AL$2:$AL$293,Applications!$B$2:$B$293,A68)</f>
        <v>362</v>
      </c>
      <c r="M68" s="10" t="n">
        <f aca="false">SUMIFS(Applications!$AM$2:$AM$293,Applications!$B$2:$B$293,A68)</f>
        <v>0</v>
      </c>
      <c r="N68" s="10" t="n">
        <f aca="false">SUMIFS(Applications!$AK$2:$AK$293,Applications!$B$2:$B$293,A68)</f>
        <v>0</v>
      </c>
      <c r="O68" s="2" t="n">
        <f aca="false">I68-J68</f>
        <v>0</v>
      </c>
      <c r="P68" s="2" t="n">
        <f aca="false">COUNTIFS(Applications!$B$2:$B$293,A68,Applications!$W$2:$W$293,"Low",Applications!$X$2:$X$293,"")</f>
        <v>4</v>
      </c>
      <c r="Q68" s="2" t="n">
        <f aca="false">COUNTIFS(Applications!$B$2:$B$293,A68,Applications!$AH$2:$AH$293,"Past*")+COUNTIFS(Applications!$B$2:$B$293,A68,Applications!$AH$2:$AH$293,"No CIS*")</f>
        <v>2</v>
      </c>
      <c r="R68" s="2"/>
      <c r="S68" s="2" t="s">
        <v>121</v>
      </c>
      <c r="T68" s="2" t="str">
        <f aca="false">IF(OR(R68&lt;&gt;"",S68="Yes",P68&gt;0,Q68&gt;0),IF(U68="Yes","Resolved","Yes"),"No")</f>
        <v>Yes</v>
      </c>
      <c r="U68" s="7"/>
      <c r="V68" s="7"/>
    </row>
    <row r="69" customFormat="false" ht="15" hidden="false" customHeight="false" outlineLevel="0" collapsed="false">
      <c r="A69" s="2" t="s">
        <v>390</v>
      </c>
      <c r="B69" s="2" t="s">
        <v>184</v>
      </c>
      <c r="C69" s="2" t="s">
        <v>391</v>
      </c>
      <c r="D69" s="2" t="s">
        <v>392</v>
      </c>
      <c r="E69" s="2" t="s">
        <v>139</v>
      </c>
      <c r="F69" s="2" t="n">
        <v>52.6858972332422</v>
      </c>
      <c r="G69" s="2" t="n">
        <v>-8.61970230188261</v>
      </c>
      <c r="H69" s="2" t="s">
        <v>251</v>
      </c>
      <c r="I69" s="2" t="n">
        <f aca="false">COUNTIF(Applications!$B$2:$B$293,A69)</f>
        <v>1</v>
      </c>
      <c r="J69" s="2" t="n">
        <f aca="false">COUNTIFS(Applications!$B$2:$B$293,A69,Applications!$Z$2:$Z$293,"Yes")</f>
        <v>1</v>
      </c>
      <c r="K69" s="10" t="n">
        <f aca="false">SUMIFS(Applications!$AI$2:$AI$293,Applications!$B$2:$B$293,A69)</f>
        <v>24</v>
      </c>
      <c r="L69" s="10" t="n">
        <f aca="false">SUMIFS(Applications!$AL$2:$AL$293,Applications!$B$2:$B$293,A69)</f>
        <v>0</v>
      </c>
      <c r="M69" s="10" t="n">
        <f aca="false">SUMIFS(Applications!$AM$2:$AM$293,Applications!$B$2:$B$293,A69)</f>
        <v>0</v>
      </c>
      <c r="N69" s="10" t="n">
        <f aca="false">SUMIFS(Applications!$AK$2:$AK$293,Applications!$B$2:$B$293,A69)</f>
        <v>24</v>
      </c>
      <c r="O69" s="2" t="n">
        <f aca="false">I69-J69</f>
        <v>0</v>
      </c>
      <c r="P69" s="2" t="n">
        <f aca="false">COUNTIFS(Applications!$B$2:$B$293,A69,Applications!$W$2:$W$293,"Low",Applications!$X$2:$X$293,"")</f>
        <v>1</v>
      </c>
      <c r="Q69" s="2" t="n">
        <f aca="false">COUNTIFS(Applications!$B$2:$B$293,A69,Applications!$AH$2:$AH$293,"Past*")+COUNTIFS(Applications!$B$2:$B$293,A69,Applications!$AH$2:$AH$293,"No CIS*")</f>
        <v>0</v>
      </c>
      <c r="R69" s="2"/>
      <c r="S69" s="2" t="s">
        <v>124</v>
      </c>
      <c r="T69" s="2" t="str">
        <f aca="false">IF(OR(R69&lt;&gt;"",S69="Yes",P69&gt;0,Q69&gt;0),IF(U69="Yes","Resolved","Yes"),"No")</f>
        <v>Yes</v>
      </c>
      <c r="U69" s="7"/>
      <c r="V69" s="7"/>
    </row>
    <row r="70" customFormat="false" ht="15" hidden="false" customHeight="false" outlineLevel="0" collapsed="false">
      <c r="A70" s="2" t="s">
        <v>393</v>
      </c>
      <c r="B70" s="2" t="s">
        <v>184</v>
      </c>
      <c r="C70" s="2" t="s">
        <v>394</v>
      </c>
      <c r="D70" s="2" t="s">
        <v>395</v>
      </c>
      <c r="E70" s="2" t="s">
        <v>136</v>
      </c>
      <c r="F70" s="2" t="n">
        <v>52.6126208790732</v>
      </c>
      <c r="G70" s="2" t="n">
        <v>-8.33272472051472</v>
      </c>
      <c r="H70" s="2" t="s">
        <v>198</v>
      </c>
      <c r="I70" s="2" t="n">
        <f aca="false">COUNTIF(Applications!$B$2:$B$293,A70)</f>
        <v>1</v>
      </c>
      <c r="J70" s="2" t="n">
        <f aca="false">COUNTIFS(Applications!$B$2:$B$293,A70,Applications!$Z$2:$Z$293,"Yes")</f>
        <v>1</v>
      </c>
      <c r="K70" s="10" t="n">
        <f aca="false">SUMIFS(Applications!$AI$2:$AI$293,Applications!$B$2:$B$293,A70)</f>
        <v>10</v>
      </c>
      <c r="L70" s="10" t="n">
        <f aca="false">SUMIFS(Applications!$AL$2:$AL$293,Applications!$B$2:$B$293,A70)</f>
        <v>10</v>
      </c>
      <c r="M70" s="10" t="n">
        <f aca="false">SUMIFS(Applications!$AM$2:$AM$293,Applications!$B$2:$B$293,A70)</f>
        <v>0</v>
      </c>
      <c r="N70" s="10" t="n">
        <f aca="false">SUMIFS(Applications!$AK$2:$AK$293,Applications!$B$2:$B$293,A70)</f>
        <v>0</v>
      </c>
      <c r="O70" s="2" t="n">
        <f aca="false">I70-J70</f>
        <v>0</v>
      </c>
      <c r="P70" s="2" t="n">
        <f aca="false">COUNTIFS(Applications!$B$2:$B$293,A70,Applications!$W$2:$W$293,"Low",Applications!$X$2:$X$293,"")</f>
        <v>0</v>
      </c>
      <c r="Q70" s="2" t="n">
        <f aca="false">COUNTIFS(Applications!$B$2:$B$293,A70,Applications!$AH$2:$AH$293,"Past*")+COUNTIFS(Applications!$B$2:$B$293,A70,Applications!$AH$2:$AH$293,"No CIS*")</f>
        <v>0</v>
      </c>
      <c r="R70" s="2"/>
      <c r="S70" s="2" t="s">
        <v>124</v>
      </c>
      <c r="T70" s="2" t="str">
        <f aca="false">IF(OR(R70&lt;&gt;"",S70="Yes",P70&gt;0,Q70&gt;0),IF(U70="Yes","Resolved","Yes"),"No")</f>
        <v>No</v>
      </c>
      <c r="U70" s="7"/>
      <c r="V70" s="7"/>
    </row>
    <row r="71" customFormat="false" ht="15" hidden="false" customHeight="false" outlineLevel="0" collapsed="false">
      <c r="A71" s="2" t="s">
        <v>396</v>
      </c>
      <c r="B71" s="2" t="s">
        <v>184</v>
      </c>
      <c r="C71" s="2" t="s">
        <v>397</v>
      </c>
      <c r="D71" s="2" t="s">
        <v>398</v>
      </c>
      <c r="E71" s="2" t="s">
        <v>139</v>
      </c>
      <c r="F71" s="2" t="n">
        <v>52.6547476523497</v>
      </c>
      <c r="G71" s="2" t="n">
        <v>-8.60213212154159</v>
      </c>
      <c r="H71" s="2" t="s">
        <v>251</v>
      </c>
      <c r="I71" s="2" t="n">
        <f aca="false">COUNTIF(Applications!$B$2:$B$293,A71)</f>
        <v>1</v>
      </c>
      <c r="J71" s="2" t="n">
        <f aca="false">COUNTIFS(Applications!$B$2:$B$293,A71,Applications!$Z$2:$Z$293,"Yes")</f>
        <v>1</v>
      </c>
      <c r="K71" s="10" t="n">
        <f aca="false">SUMIFS(Applications!$AI$2:$AI$293,Applications!$B$2:$B$293,A71)</f>
        <v>15</v>
      </c>
      <c r="L71" s="10" t="n">
        <f aca="false">SUMIFS(Applications!$AL$2:$AL$293,Applications!$B$2:$B$293,A71)</f>
        <v>0</v>
      </c>
      <c r="M71" s="10" t="n">
        <f aca="false">SUMIFS(Applications!$AM$2:$AM$293,Applications!$B$2:$B$293,A71)</f>
        <v>0</v>
      </c>
      <c r="N71" s="10" t="n">
        <f aca="false">SUMIFS(Applications!$AK$2:$AK$293,Applications!$B$2:$B$293,A71)</f>
        <v>15</v>
      </c>
      <c r="O71" s="2" t="n">
        <f aca="false">I71-J71</f>
        <v>0</v>
      </c>
      <c r="P71" s="2" t="n">
        <f aca="false">COUNTIFS(Applications!$B$2:$B$293,A71,Applications!$W$2:$W$293,"Low",Applications!$X$2:$X$293,"")</f>
        <v>0</v>
      </c>
      <c r="Q71" s="2" t="n">
        <f aca="false">COUNTIFS(Applications!$B$2:$B$293,A71,Applications!$AH$2:$AH$293,"Past*")+COUNTIFS(Applications!$B$2:$B$293,A71,Applications!$AH$2:$AH$293,"No CIS*")</f>
        <v>0</v>
      </c>
      <c r="R71" s="2"/>
      <c r="S71" s="2" t="s">
        <v>124</v>
      </c>
      <c r="T71" s="2" t="str">
        <f aca="false">IF(OR(R71&lt;&gt;"",S71="Yes",P71&gt;0,Q71&gt;0),IF(U71="Yes","Resolved","Yes"),"No")</f>
        <v>No</v>
      </c>
      <c r="U71" s="7"/>
      <c r="V71" s="7"/>
    </row>
    <row r="72" customFormat="false" ht="15" hidden="false" customHeight="false" outlineLevel="0" collapsed="false">
      <c r="A72" s="2" t="s">
        <v>399</v>
      </c>
      <c r="B72" s="2" t="s">
        <v>184</v>
      </c>
      <c r="C72" s="2" t="s">
        <v>400</v>
      </c>
      <c r="D72" s="2" t="s">
        <v>401</v>
      </c>
      <c r="E72" s="2" t="s">
        <v>144</v>
      </c>
      <c r="F72" s="2" t="n">
        <v>52.6721372003894</v>
      </c>
      <c r="G72" s="2" t="n">
        <v>-8.67224206933343</v>
      </c>
      <c r="H72" s="2" t="s">
        <v>194</v>
      </c>
      <c r="I72" s="2" t="n">
        <f aca="false">COUNTIF(Applications!$B$2:$B$293,A72)</f>
        <v>2</v>
      </c>
      <c r="J72" s="2" t="n">
        <f aca="false">COUNTIFS(Applications!$B$2:$B$293,A72,Applications!$Z$2:$Z$293,"Yes")</f>
        <v>1</v>
      </c>
      <c r="K72" s="10" t="n">
        <f aca="false">SUMIFS(Applications!$AI$2:$AI$293,Applications!$B$2:$B$293,A72)</f>
        <v>92</v>
      </c>
      <c r="L72" s="10" t="n">
        <f aca="false">SUMIFS(Applications!$AL$2:$AL$293,Applications!$B$2:$B$293,A72)</f>
        <v>92</v>
      </c>
      <c r="M72" s="10" t="n">
        <f aca="false">SUMIFS(Applications!$AM$2:$AM$293,Applications!$B$2:$B$293,A72)</f>
        <v>0</v>
      </c>
      <c r="N72" s="10" t="n">
        <f aca="false">SUMIFS(Applications!$AK$2:$AK$293,Applications!$B$2:$B$293,A72)</f>
        <v>0</v>
      </c>
      <c r="O72" s="2" t="n">
        <f aca="false">I72-J72</f>
        <v>1</v>
      </c>
      <c r="P72" s="2" t="n">
        <f aca="false">COUNTIFS(Applications!$B$2:$B$293,A72,Applications!$W$2:$W$293,"Low",Applications!$X$2:$X$293,"")</f>
        <v>0</v>
      </c>
      <c r="Q72" s="2" t="n">
        <f aca="false">COUNTIFS(Applications!$B$2:$B$293,A72,Applications!$AH$2:$AH$293,"Past*")+COUNTIFS(Applications!$B$2:$B$293,A72,Applications!$AH$2:$AH$293,"No CIS*")</f>
        <v>0</v>
      </c>
      <c r="R72" s="2"/>
      <c r="S72" s="2" t="s">
        <v>121</v>
      </c>
      <c r="T72" s="2" t="str">
        <f aca="false">IF(OR(R72&lt;&gt;"",S72="Yes",P72&gt;0,Q72&gt;0),IF(U72="Yes","Resolved","Yes"),"No")</f>
        <v>Yes</v>
      </c>
      <c r="U72" s="7"/>
      <c r="V72" s="7"/>
    </row>
    <row r="73" customFormat="false" ht="15" hidden="false" customHeight="false" outlineLevel="0" collapsed="false">
      <c r="A73" s="2" t="s">
        <v>402</v>
      </c>
      <c r="B73" s="2" t="s">
        <v>184</v>
      </c>
      <c r="C73" s="2" t="s">
        <v>403</v>
      </c>
      <c r="D73" s="2" t="s">
        <v>404</v>
      </c>
      <c r="E73" s="2" t="s">
        <v>142</v>
      </c>
      <c r="F73" s="2" t="n">
        <v>52.6029075246949</v>
      </c>
      <c r="G73" s="2" t="n">
        <v>-8.7105348424143</v>
      </c>
      <c r="H73" s="2" t="s">
        <v>198</v>
      </c>
      <c r="I73" s="2" t="n">
        <f aca="false">COUNTIF(Applications!$B$2:$B$293,A73)</f>
        <v>1</v>
      </c>
      <c r="J73" s="2" t="n">
        <f aca="false">COUNTIFS(Applications!$B$2:$B$293,A73,Applications!$Z$2:$Z$293,"Yes")</f>
        <v>1</v>
      </c>
      <c r="K73" s="10" t="n">
        <f aca="false">SUMIFS(Applications!$AI$2:$AI$293,Applications!$B$2:$B$293,A73)</f>
        <v>52</v>
      </c>
      <c r="L73" s="10" t="n">
        <f aca="false">SUMIFS(Applications!$AL$2:$AL$293,Applications!$B$2:$B$293,A73)</f>
        <v>52</v>
      </c>
      <c r="M73" s="10" t="n">
        <f aca="false">SUMIFS(Applications!$AM$2:$AM$293,Applications!$B$2:$B$293,A73)</f>
        <v>0</v>
      </c>
      <c r="N73" s="10" t="n">
        <f aca="false">SUMIFS(Applications!$AK$2:$AK$293,Applications!$B$2:$B$293,A73)</f>
        <v>0</v>
      </c>
      <c r="O73" s="2" t="n">
        <f aca="false">I73-J73</f>
        <v>0</v>
      </c>
      <c r="P73" s="2" t="n">
        <f aca="false">COUNTIFS(Applications!$B$2:$B$293,A73,Applications!$W$2:$W$293,"Low",Applications!$X$2:$X$293,"")</f>
        <v>0</v>
      </c>
      <c r="Q73" s="2" t="n">
        <f aca="false">COUNTIFS(Applications!$B$2:$B$293,A73,Applications!$AH$2:$AH$293,"Past*")+COUNTIFS(Applications!$B$2:$B$293,A73,Applications!$AH$2:$AH$293,"No CIS*")</f>
        <v>0</v>
      </c>
      <c r="R73" s="2"/>
      <c r="S73" s="2" t="s">
        <v>124</v>
      </c>
      <c r="T73" s="2" t="str">
        <f aca="false">IF(OR(R73&lt;&gt;"",S73="Yes",P73&gt;0,Q73&gt;0),IF(U73="Yes","Resolved","Yes"),"No")</f>
        <v>No</v>
      </c>
      <c r="U73" s="7"/>
      <c r="V73" s="7"/>
    </row>
    <row r="74" customFormat="false" ht="15" hidden="false" customHeight="false" outlineLevel="0" collapsed="false">
      <c r="A74" s="2" t="s">
        <v>405</v>
      </c>
      <c r="B74" s="2" t="s">
        <v>184</v>
      </c>
      <c r="C74" s="2" t="s">
        <v>406</v>
      </c>
      <c r="D74" s="2" t="s">
        <v>407</v>
      </c>
      <c r="E74" s="2" t="s">
        <v>144</v>
      </c>
      <c r="F74" s="2" t="n">
        <v>52.6637687022183</v>
      </c>
      <c r="G74" s="2" t="n">
        <v>-8.62354484858622</v>
      </c>
      <c r="H74" s="2" t="s">
        <v>187</v>
      </c>
      <c r="I74" s="2" t="n">
        <f aca="false">COUNTIF(Applications!$B$2:$B$293,A74)</f>
        <v>1</v>
      </c>
      <c r="J74" s="2" t="n">
        <f aca="false">COUNTIFS(Applications!$B$2:$B$293,A74,Applications!$Z$2:$Z$293,"Yes")</f>
        <v>1</v>
      </c>
      <c r="K74" s="10" t="n">
        <f aca="false">SUMIFS(Applications!$AI$2:$AI$293,Applications!$B$2:$B$293,A74)</f>
        <v>16</v>
      </c>
      <c r="L74" s="10" t="n">
        <f aca="false">SUMIFS(Applications!$AL$2:$AL$293,Applications!$B$2:$B$293,A74)</f>
        <v>16</v>
      </c>
      <c r="M74" s="10" t="n">
        <f aca="false">SUMIFS(Applications!$AM$2:$AM$293,Applications!$B$2:$B$293,A74)</f>
        <v>0</v>
      </c>
      <c r="N74" s="10" t="n">
        <f aca="false">SUMIFS(Applications!$AK$2:$AK$293,Applications!$B$2:$B$293,A74)</f>
        <v>0</v>
      </c>
      <c r="O74" s="2" t="n">
        <f aca="false">I74-J74</f>
        <v>0</v>
      </c>
      <c r="P74" s="2" t="n">
        <f aca="false">COUNTIFS(Applications!$B$2:$B$293,A74,Applications!$W$2:$W$293,"Low",Applications!$X$2:$X$293,"")</f>
        <v>1</v>
      </c>
      <c r="Q74" s="2" t="n">
        <f aca="false">COUNTIFS(Applications!$B$2:$B$293,A74,Applications!$AH$2:$AH$293,"Past*")+COUNTIFS(Applications!$B$2:$B$293,A74,Applications!$AH$2:$AH$293,"No CIS*")</f>
        <v>0</v>
      </c>
      <c r="R74" s="2"/>
      <c r="S74" s="2" t="s">
        <v>124</v>
      </c>
      <c r="T74" s="2" t="str">
        <f aca="false">IF(OR(R74&lt;&gt;"",S74="Yes",P74&gt;0,Q74&gt;0),IF(U74="Yes","Resolved","Yes"),"No")</f>
        <v>Yes</v>
      </c>
      <c r="U74" s="7"/>
      <c r="V74" s="7"/>
    </row>
    <row r="75" customFormat="false" ht="15" hidden="false" customHeight="false" outlineLevel="0" collapsed="false">
      <c r="A75" s="2" t="s">
        <v>408</v>
      </c>
      <c r="B75" s="2" t="s">
        <v>184</v>
      </c>
      <c r="C75" s="2" t="s">
        <v>409</v>
      </c>
      <c r="D75" s="2" t="s">
        <v>410</v>
      </c>
      <c r="E75" s="2" t="s">
        <v>139</v>
      </c>
      <c r="F75" s="2" t="n">
        <v>52.6554281871539</v>
      </c>
      <c r="G75" s="2" t="n">
        <v>-8.57913640784168</v>
      </c>
      <c r="H75" s="2" t="s">
        <v>198</v>
      </c>
      <c r="I75" s="2" t="n">
        <f aca="false">COUNTIF(Applications!$B$2:$B$293,A75)</f>
        <v>1</v>
      </c>
      <c r="J75" s="2" t="n">
        <f aca="false">COUNTIFS(Applications!$B$2:$B$293,A75,Applications!$Z$2:$Z$293,"Yes")</f>
        <v>1</v>
      </c>
      <c r="K75" s="10" t="n">
        <f aca="false">SUMIFS(Applications!$AI$2:$AI$293,Applications!$B$2:$B$293,A75)</f>
        <v>48</v>
      </c>
      <c r="L75" s="10" t="n">
        <f aca="false">SUMIFS(Applications!$AL$2:$AL$293,Applications!$B$2:$B$293,A75)</f>
        <v>48</v>
      </c>
      <c r="M75" s="10" t="n">
        <f aca="false">SUMIFS(Applications!$AM$2:$AM$293,Applications!$B$2:$B$293,A75)</f>
        <v>0</v>
      </c>
      <c r="N75" s="10" t="n">
        <f aca="false">SUMIFS(Applications!$AK$2:$AK$293,Applications!$B$2:$B$293,A75)</f>
        <v>0</v>
      </c>
      <c r="O75" s="2" t="n">
        <f aca="false">I75-J75</f>
        <v>0</v>
      </c>
      <c r="P75" s="2" t="n">
        <f aca="false">COUNTIFS(Applications!$B$2:$B$293,A75,Applications!$W$2:$W$293,"Low",Applications!$X$2:$X$293,"")</f>
        <v>0</v>
      </c>
      <c r="Q75" s="2" t="n">
        <f aca="false">COUNTIFS(Applications!$B$2:$B$293,A75,Applications!$AH$2:$AH$293,"Past*")+COUNTIFS(Applications!$B$2:$B$293,A75,Applications!$AH$2:$AH$293,"No CIS*")</f>
        <v>0</v>
      </c>
      <c r="R75" s="2"/>
      <c r="S75" s="2" t="s">
        <v>124</v>
      </c>
      <c r="T75" s="2" t="str">
        <f aca="false">IF(OR(R75&lt;&gt;"",S75="Yes",P75&gt;0,Q75&gt;0),IF(U75="Yes","Resolved","Yes"),"No")</f>
        <v>No</v>
      </c>
      <c r="U75" s="7"/>
      <c r="V75" s="7"/>
    </row>
    <row r="76" customFormat="false" ht="15" hidden="false" customHeight="false" outlineLevel="0" collapsed="false">
      <c r="A76" s="2" t="s">
        <v>411</v>
      </c>
      <c r="B76" s="2" t="s">
        <v>184</v>
      </c>
      <c r="C76" s="2" t="s">
        <v>412</v>
      </c>
      <c r="D76" s="2" t="s">
        <v>413</v>
      </c>
      <c r="E76" s="2" t="s">
        <v>144</v>
      </c>
      <c r="F76" s="2" t="n">
        <v>52.6562979003596</v>
      </c>
      <c r="G76" s="2" t="n">
        <v>-8.62576637938615</v>
      </c>
      <c r="H76" s="2" t="s">
        <v>187</v>
      </c>
      <c r="I76" s="2" t="n">
        <f aca="false">COUNTIF(Applications!$B$2:$B$293,A76)</f>
        <v>2</v>
      </c>
      <c r="J76" s="2" t="n">
        <f aca="false">COUNTIFS(Applications!$B$2:$B$293,A76,Applications!$Z$2:$Z$293,"Yes")</f>
        <v>2</v>
      </c>
      <c r="K76" s="10" t="n">
        <f aca="false">SUMIFS(Applications!$AI$2:$AI$293,Applications!$B$2:$B$293,A76)</f>
        <v>17</v>
      </c>
      <c r="L76" s="10" t="n">
        <f aca="false">SUMIFS(Applications!$AL$2:$AL$293,Applications!$B$2:$B$293,A76)</f>
        <v>8</v>
      </c>
      <c r="M76" s="10" t="n">
        <f aca="false">SUMIFS(Applications!$AM$2:$AM$293,Applications!$B$2:$B$293,A76)</f>
        <v>0</v>
      </c>
      <c r="N76" s="10" t="n">
        <f aca="false">SUMIFS(Applications!$AK$2:$AK$293,Applications!$B$2:$B$293,A76)</f>
        <v>9</v>
      </c>
      <c r="O76" s="2" t="n">
        <f aca="false">I76-J76</f>
        <v>0</v>
      </c>
      <c r="P76" s="2" t="n">
        <f aca="false">COUNTIFS(Applications!$B$2:$B$293,A76,Applications!$W$2:$W$293,"Low",Applications!$X$2:$X$293,"")</f>
        <v>1</v>
      </c>
      <c r="Q76" s="2" t="n">
        <f aca="false">COUNTIFS(Applications!$B$2:$B$293,A76,Applications!$AH$2:$AH$293,"Past*")+COUNTIFS(Applications!$B$2:$B$293,A76,Applications!$AH$2:$AH$293,"No CIS*")</f>
        <v>1</v>
      </c>
      <c r="R76" s="2"/>
      <c r="S76" s="2" t="s">
        <v>121</v>
      </c>
      <c r="T76" s="2" t="str">
        <f aca="false">IF(OR(R76&lt;&gt;"",S76="Yes",P76&gt;0,Q76&gt;0),IF(U76="Yes","Resolved","Yes"),"No")</f>
        <v>Yes</v>
      </c>
      <c r="U76" s="7"/>
      <c r="V76" s="7"/>
    </row>
    <row r="77" customFormat="false" ht="15" hidden="false" customHeight="false" outlineLevel="0" collapsed="false">
      <c r="A77" s="2" t="s">
        <v>414</v>
      </c>
      <c r="B77" s="2" t="s">
        <v>184</v>
      </c>
      <c r="C77" s="2" t="s">
        <v>415</v>
      </c>
      <c r="D77" s="2" t="s">
        <v>416</v>
      </c>
      <c r="E77" s="2" t="s">
        <v>139</v>
      </c>
      <c r="F77" s="2" t="n">
        <v>52.6647626584402</v>
      </c>
      <c r="G77" s="2" t="n">
        <v>-8.62031843876948</v>
      </c>
      <c r="H77" s="2" t="s">
        <v>187</v>
      </c>
      <c r="I77" s="2" t="n">
        <f aca="false">COUNTIF(Applications!$B$2:$B$293,A77)</f>
        <v>1</v>
      </c>
      <c r="J77" s="2" t="n">
        <f aca="false">COUNTIFS(Applications!$B$2:$B$293,A77,Applications!$Z$2:$Z$293,"Yes")</f>
        <v>1</v>
      </c>
      <c r="K77" s="10" t="n">
        <f aca="false">SUMIFS(Applications!$AI$2:$AI$293,Applications!$B$2:$B$293,A77)</f>
        <v>40</v>
      </c>
      <c r="L77" s="10" t="n">
        <f aca="false">SUMIFS(Applications!$AL$2:$AL$293,Applications!$B$2:$B$293,A77)</f>
        <v>40</v>
      </c>
      <c r="M77" s="10" t="n">
        <f aca="false">SUMIFS(Applications!$AM$2:$AM$293,Applications!$B$2:$B$293,A77)</f>
        <v>0</v>
      </c>
      <c r="N77" s="10" t="n">
        <f aca="false">SUMIFS(Applications!$AK$2:$AK$293,Applications!$B$2:$B$293,A77)</f>
        <v>0</v>
      </c>
      <c r="O77" s="2" t="n">
        <f aca="false">I77-J77</f>
        <v>0</v>
      </c>
      <c r="P77" s="2" t="n">
        <f aca="false">COUNTIFS(Applications!$B$2:$B$293,A77,Applications!$W$2:$W$293,"Low",Applications!$X$2:$X$293,"")</f>
        <v>0</v>
      </c>
      <c r="Q77" s="2" t="n">
        <f aca="false">COUNTIFS(Applications!$B$2:$B$293,A77,Applications!$AH$2:$AH$293,"Past*")+COUNTIFS(Applications!$B$2:$B$293,A77,Applications!$AH$2:$AH$293,"No CIS*")</f>
        <v>0</v>
      </c>
      <c r="R77" s="2"/>
      <c r="S77" s="2" t="s">
        <v>124</v>
      </c>
      <c r="T77" s="2" t="str">
        <f aca="false">IF(OR(R77&lt;&gt;"",S77="Yes",P77&gt;0,Q77&gt;0),IF(U77="Yes","Resolved","Yes"),"No")</f>
        <v>No</v>
      </c>
      <c r="U77" s="7"/>
      <c r="V77" s="7"/>
    </row>
    <row r="78" customFormat="false" ht="15" hidden="false" customHeight="false" outlineLevel="0" collapsed="false">
      <c r="A78" s="2" t="s">
        <v>417</v>
      </c>
      <c r="B78" s="2" t="s">
        <v>184</v>
      </c>
      <c r="C78" s="2" t="s">
        <v>418</v>
      </c>
      <c r="D78" s="2" t="s">
        <v>419</v>
      </c>
      <c r="E78" s="2" t="s">
        <v>137</v>
      </c>
      <c r="F78" s="2" t="n">
        <v>52.7112088185369</v>
      </c>
      <c r="G78" s="2" t="n">
        <v>-8.49534088497273</v>
      </c>
      <c r="H78" s="2" t="s">
        <v>198</v>
      </c>
      <c r="I78" s="2" t="n">
        <f aca="false">COUNTIF(Applications!$B$2:$B$293,A78)</f>
        <v>1</v>
      </c>
      <c r="J78" s="2" t="n">
        <f aca="false">COUNTIFS(Applications!$B$2:$B$293,A78,Applications!$Z$2:$Z$293,"Yes")</f>
        <v>1</v>
      </c>
      <c r="K78" s="10" t="n">
        <f aca="false">SUMIFS(Applications!$AI$2:$AI$293,Applications!$B$2:$B$293,A78)</f>
        <v>74</v>
      </c>
      <c r="L78" s="10" t="n">
        <f aca="false">SUMIFS(Applications!$AL$2:$AL$293,Applications!$B$2:$B$293,A78)</f>
        <v>74</v>
      </c>
      <c r="M78" s="10" t="n">
        <f aca="false">SUMIFS(Applications!$AM$2:$AM$293,Applications!$B$2:$B$293,A78)</f>
        <v>0</v>
      </c>
      <c r="N78" s="10" t="n">
        <f aca="false">SUMIFS(Applications!$AK$2:$AK$293,Applications!$B$2:$B$293,A78)</f>
        <v>0</v>
      </c>
      <c r="O78" s="2" t="n">
        <f aca="false">I78-J78</f>
        <v>0</v>
      </c>
      <c r="P78" s="2" t="n">
        <f aca="false">COUNTIFS(Applications!$B$2:$B$293,A78,Applications!$W$2:$W$293,"Low",Applications!$X$2:$X$293,"")</f>
        <v>0</v>
      </c>
      <c r="Q78" s="2" t="n">
        <f aca="false">COUNTIFS(Applications!$B$2:$B$293,A78,Applications!$AH$2:$AH$293,"Past*")+COUNTIFS(Applications!$B$2:$B$293,A78,Applications!$AH$2:$AH$293,"No CIS*")</f>
        <v>0</v>
      </c>
      <c r="R78" s="2"/>
      <c r="S78" s="2" t="s">
        <v>124</v>
      </c>
      <c r="T78" s="2" t="str">
        <f aca="false">IF(OR(R78&lt;&gt;"",S78="Yes",P78&gt;0,Q78&gt;0),IF(U78="Yes","Resolved","Yes"),"No")</f>
        <v>No</v>
      </c>
      <c r="U78" s="7"/>
      <c r="V78" s="7"/>
    </row>
    <row r="79" customFormat="false" ht="15" hidden="false" customHeight="false" outlineLevel="0" collapsed="false">
      <c r="A79" s="2" t="s">
        <v>420</v>
      </c>
      <c r="B79" s="2" t="s">
        <v>184</v>
      </c>
      <c r="C79" s="2" t="s">
        <v>421</v>
      </c>
      <c r="D79" s="2" t="s">
        <v>422</v>
      </c>
      <c r="E79" s="2" t="s">
        <v>139</v>
      </c>
      <c r="F79" s="2" t="n">
        <v>52.6637041720006</v>
      </c>
      <c r="G79" s="2" t="n">
        <v>-8.59061334968384</v>
      </c>
      <c r="H79" s="2" t="s">
        <v>198</v>
      </c>
      <c r="I79" s="2" t="n">
        <f aca="false">COUNTIF(Applications!$B$2:$B$293,A79)</f>
        <v>1</v>
      </c>
      <c r="J79" s="2" t="n">
        <f aca="false">COUNTIFS(Applications!$B$2:$B$293,A79,Applications!$Z$2:$Z$293,"Yes")</f>
        <v>1</v>
      </c>
      <c r="K79" s="10" t="n">
        <f aca="false">SUMIFS(Applications!$AI$2:$AI$293,Applications!$B$2:$B$293,A79)</f>
        <v>26</v>
      </c>
      <c r="L79" s="10" t="n">
        <f aca="false">SUMIFS(Applications!$AL$2:$AL$293,Applications!$B$2:$B$293,A79)</f>
        <v>0</v>
      </c>
      <c r="M79" s="10" t="n">
        <f aca="false">SUMIFS(Applications!$AM$2:$AM$293,Applications!$B$2:$B$293,A79)</f>
        <v>26</v>
      </c>
      <c r="N79" s="10" t="n">
        <f aca="false">SUMIFS(Applications!$AK$2:$AK$293,Applications!$B$2:$B$293,A79)</f>
        <v>0</v>
      </c>
      <c r="O79" s="2" t="n">
        <f aca="false">I79-J79</f>
        <v>0</v>
      </c>
      <c r="P79" s="2" t="n">
        <f aca="false">COUNTIFS(Applications!$B$2:$B$293,A79,Applications!$W$2:$W$293,"Low",Applications!$X$2:$X$293,"")</f>
        <v>0</v>
      </c>
      <c r="Q79" s="2" t="n">
        <f aca="false">COUNTIFS(Applications!$B$2:$B$293,A79,Applications!$AH$2:$AH$293,"Past*")+COUNTIFS(Applications!$B$2:$B$293,A79,Applications!$AH$2:$AH$293,"No CIS*")</f>
        <v>0</v>
      </c>
      <c r="R79" s="2"/>
      <c r="S79" s="2" t="s">
        <v>124</v>
      </c>
      <c r="T79" s="2" t="str">
        <f aca="false">IF(OR(R79&lt;&gt;"",S79="Yes",P79&gt;0,Q79&gt;0),IF(U79="Yes","Resolved","Yes"),"No")</f>
        <v>No</v>
      </c>
      <c r="U79" s="7"/>
      <c r="V79" s="7"/>
    </row>
    <row r="80" customFormat="false" ht="15" hidden="false" customHeight="false" outlineLevel="0" collapsed="false">
      <c r="A80" s="2" t="s">
        <v>423</v>
      </c>
      <c r="B80" s="2" t="s">
        <v>184</v>
      </c>
      <c r="C80" s="2" t="s">
        <v>424</v>
      </c>
      <c r="D80" s="2" t="s">
        <v>425</v>
      </c>
      <c r="E80" s="2" t="s">
        <v>138</v>
      </c>
      <c r="F80" s="2" t="n">
        <v>52.6445304341546</v>
      </c>
      <c r="G80" s="2" t="n">
        <v>-8.58798550243273</v>
      </c>
      <c r="H80" s="2" t="s">
        <v>198</v>
      </c>
      <c r="I80" s="2" t="n">
        <f aca="false">COUNTIF(Applications!$B$2:$B$293,A80)</f>
        <v>3</v>
      </c>
      <c r="J80" s="2" t="n">
        <f aca="false">COUNTIFS(Applications!$B$2:$B$293,A80,Applications!$Z$2:$Z$293,"Yes")</f>
        <v>3</v>
      </c>
      <c r="K80" s="10" t="n">
        <f aca="false">SUMIFS(Applications!$AI$2:$AI$293,Applications!$B$2:$B$293,A80)</f>
        <v>69</v>
      </c>
      <c r="L80" s="10" t="n">
        <f aca="false">SUMIFS(Applications!$AL$2:$AL$293,Applications!$B$2:$B$293,A80)</f>
        <v>16</v>
      </c>
      <c r="M80" s="10" t="n">
        <f aca="false">SUMIFS(Applications!$AM$2:$AM$293,Applications!$B$2:$B$293,A80)</f>
        <v>0</v>
      </c>
      <c r="N80" s="10" t="n">
        <f aca="false">SUMIFS(Applications!$AK$2:$AK$293,Applications!$B$2:$B$293,A80)</f>
        <v>53</v>
      </c>
      <c r="O80" s="2" t="n">
        <f aca="false">I80-J80</f>
        <v>0</v>
      </c>
      <c r="P80" s="2" t="n">
        <f aca="false">COUNTIFS(Applications!$B$2:$B$293,A80,Applications!$W$2:$W$293,"Low",Applications!$X$2:$X$293,"")</f>
        <v>2</v>
      </c>
      <c r="Q80" s="2" t="n">
        <f aca="false">COUNTIFS(Applications!$B$2:$B$293,A80,Applications!$AH$2:$AH$293,"Past*")+COUNTIFS(Applications!$B$2:$B$293,A80,Applications!$AH$2:$AH$293,"No CIS*")</f>
        <v>1</v>
      </c>
      <c r="R80" s="2"/>
      <c r="S80" s="2" t="s">
        <v>121</v>
      </c>
      <c r="T80" s="2" t="str">
        <f aca="false">IF(OR(R80&lt;&gt;"",S80="Yes",P80&gt;0,Q80&gt;0),IF(U80="Yes","Resolved","Yes"),"No")</f>
        <v>Yes</v>
      </c>
      <c r="U80" s="7"/>
      <c r="V80" s="7"/>
    </row>
    <row r="81" customFormat="false" ht="15" hidden="false" customHeight="false" outlineLevel="0" collapsed="false">
      <c r="A81" s="2" t="s">
        <v>426</v>
      </c>
      <c r="B81" s="2" t="s">
        <v>184</v>
      </c>
      <c r="C81" s="2" t="s">
        <v>427</v>
      </c>
      <c r="D81" s="2" t="s">
        <v>428</v>
      </c>
      <c r="E81" s="2" t="s">
        <v>139</v>
      </c>
      <c r="F81" s="2" t="n">
        <v>52.6206557</v>
      </c>
      <c r="G81" s="2" t="n">
        <v>-8.6537251</v>
      </c>
      <c r="H81" s="2" t="s">
        <v>194</v>
      </c>
      <c r="I81" s="2" t="n">
        <f aca="false">COUNTIF(Applications!$B$2:$B$293,A81)</f>
        <v>1</v>
      </c>
      <c r="J81" s="2" t="n">
        <f aca="false">COUNTIFS(Applications!$B$2:$B$293,A81,Applications!$Z$2:$Z$293,"Yes")</f>
        <v>1</v>
      </c>
      <c r="K81" s="10" t="n">
        <f aca="false">SUMIFS(Applications!$AI$2:$AI$293,Applications!$B$2:$B$293,A81)</f>
        <v>384</v>
      </c>
      <c r="L81" s="10" t="n">
        <f aca="false">SUMIFS(Applications!$AL$2:$AL$293,Applications!$B$2:$B$293,A81)</f>
        <v>384</v>
      </c>
      <c r="M81" s="10" t="n">
        <f aca="false">SUMIFS(Applications!$AM$2:$AM$293,Applications!$B$2:$B$293,A81)</f>
        <v>0</v>
      </c>
      <c r="N81" s="10" t="n">
        <f aca="false">SUMIFS(Applications!$AK$2:$AK$293,Applications!$B$2:$B$293,A81)</f>
        <v>0</v>
      </c>
      <c r="O81" s="2" t="n">
        <f aca="false">I81-J81</f>
        <v>0</v>
      </c>
      <c r="P81" s="2" t="n">
        <f aca="false">COUNTIFS(Applications!$B$2:$B$293,A81,Applications!$W$2:$W$293,"Low",Applications!$X$2:$X$293,"")</f>
        <v>0</v>
      </c>
      <c r="Q81" s="2" t="n">
        <f aca="false">COUNTIFS(Applications!$B$2:$B$293,A81,Applications!$AH$2:$AH$293,"Past*")+COUNTIFS(Applications!$B$2:$B$293,A81,Applications!$AH$2:$AH$293,"No CIS*")</f>
        <v>0</v>
      </c>
      <c r="R81" s="2"/>
      <c r="S81" s="2" t="s">
        <v>124</v>
      </c>
      <c r="T81" s="2" t="str">
        <f aca="false">IF(OR(R81&lt;&gt;"",S81="Yes",P81&gt;0,Q81&gt;0),IF(U81="Yes","Resolved","Yes"),"No")</f>
        <v>No</v>
      </c>
      <c r="U81" s="7"/>
      <c r="V81" s="7"/>
    </row>
    <row r="82" customFormat="false" ht="15" hidden="false" customHeight="false" outlineLevel="0" collapsed="false">
      <c r="A82" s="2" t="s">
        <v>429</v>
      </c>
      <c r="B82" s="2" t="s">
        <v>184</v>
      </c>
      <c r="C82" s="2" t="s">
        <v>430</v>
      </c>
      <c r="D82" s="2" t="s">
        <v>431</v>
      </c>
      <c r="E82" s="2" t="s">
        <v>144</v>
      </c>
      <c r="F82" s="2" t="n">
        <v>52.6611480076211</v>
      </c>
      <c r="G82" s="2" t="n">
        <v>-8.6655436787304</v>
      </c>
      <c r="H82" s="2" t="s">
        <v>251</v>
      </c>
      <c r="I82" s="2" t="n">
        <f aca="false">COUNTIF(Applications!$B$2:$B$293,A82)</f>
        <v>1</v>
      </c>
      <c r="J82" s="2" t="n">
        <f aca="false">COUNTIFS(Applications!$B$2:$B$293,A82,Applications!$Z$2:$Z$293,"Yes")</f>
        <v>1</v>
      </c>
      <c r="K82" s="10" t="n">
        <f aca="false">SUMIFS(Applications!$AI$2:$AI$293,Applications!$B$2:$B$293,A82)</f>
        <v>43</v>
      </c>
      <c r="L82" s="10" t="n">
        <f aca="false">SUMIFS(Applications!$AL$2:$AL$293,Applications!$B$2:$B$293,A82)</f>
        <v>0</v>
      </c>
      <c r="M82" s="10" t="n">
        <f aca="false">SUMIFS(Applications!$AM$2:$AM$293,Applications!$B$2:$B$293,A82)</f>
        <v>0</v>
      </c>
      <c r="N82" s="10" t="n">
        <f aca="false">SUMIFS(Applications!$AK$2:$AK$293,Applications!$B$2:$B$293,A82)</f>
        <v>43</v>
      </c>
      <c r="O82" s="2" t="n">
        <f aca="false">I82-J82</f>
        <v>0</v>
      </c>
      <c r="P82" s="2" t="n">
        <f aca="false">COUNTIFS(Applications!$B$2:$B$293,A82,Applications!$W$2:$W$293,"Low",Applications!$X$2:$X$293,"")</f>
        <v>0</v>
      </c>
      <c r="Q82" s="2" t="n">
        <f aca="false">COUNTIFS(Applications!$B$2:$B$293,A82,Applications!$AH$2:$AH$293,"Past*")+COUNTIFS(Applications!$B$2:$B$293,A82,Applications!$AH$2:$AH$293,"No CIS*")</f>
        <v>0</v>
      </c>
      <c r="R82" s="2"/>
      <c r="S82" s="2" t="s">
        <v>124</v>
      </c>
      <c r="T82" s="2" t="str">
        <f aca="false">IF(OR(R82&lt;&gt;"",S82="Yes",P82&gt;0,Q82&gt;0),IF(U82="Yes","Resolved","Yes"),"No")</f>
        <v>No</v>
      </c>
      <c r="U82" s="7"/>
      <c r="V82" s="7"/>
    </row>
    <row r="83" customFormat="false" ht="15" hidden="false" customHeight="false" outlineLevel="0" collapsed="false">
      <c r="A83" s="2" t="s">
        <v>432</v>
      </c>
      <c r="B83" s="2" t="s">
        <v>184</v>
      </c>
      <c r="C83" s="2" t="s">
        <v>433</v>
      </c>
      <c r="D83" s="2" t="s">
        <v>434</v>
      </c>
      <c r="E83" s="2" t="s">
        <v>138</v>
      </c>
      <c r="F83" s="2" t="n">
        <v>52.4787723960867</v>
      </c>
      <c r="G83" s="2" t="n">
        <v>-8.54761102285402</v>
      </c>
      <c r="H83" s="2" t="s">
        <v>251</v>
      </c>
      <c r="I83" s="2" t="n">
        <f aca="false">COUNTIF(Applications!$B$2:$B$293,A83)</f>
        <v>1</v>
      </c>
      <c r="J83" s="2" t="n">
        <f aca="false">COUNTIFS(Applications!$B$2:$B$293,A83,Applications!$Z$2:$Z$293,"Yes")</f>
        <v>1</v>
      </c>
      <c r="K83" s="10" t="n">
        <f aca="false">SUMIFS(Applications!$AI$2:$AI$293,Applications!$B$2:$B$293,A83)</f>
        <v>2</v>
      </c>
      <c r="L83" s="10" t="n">
        <f aca="false">SUMIFS(Applications!$AL$2:$AL$293,Applications!$B$2:$B$293,A83)</f>
        <v>0</v>
      </c>
      <c r="M83" s="10" t="n">
        <f aca="false">SUMIFS(Applications!$AM$2:$AM$293,Applications!$B$2:$B$293,A83)</f>
        <v>0</v>
      </c>
      <c r="N83" s="10" t="n">
        <f aca="false">SUMIFS(Applications!$AK$2:$AK$293,Applications!$B$2:$B$293,A83)</f>
        <v>2</v>
      </c>
      <c r="O83" s="2" t="n">
        <f aca="false">I83-J83</f>
        <v>0</v>
      </c>
      <c r="P83" s="2" t="n">
        <f aca="false">COUNTIFS(Applications!$B$2:$B$293,A83,Applications!$W$2:$W$293,"Low",Applications!$X$2:$X$293,"")</f>
        <v>0</v>
      </c>
      <c r="Q83" s="2" t="n">
        <f aca="false">COUNTIFS(Applications!$B$2:$B$293,A83,Applications!$AH$2:$AH$293,"Past*")+COUNTIFS(Applications!$B$2:$B$293,A83,Applications!$AH$2:$AH$293,"No CIS*")</f>
        <v>0</v>
      </c>
      <c r="R83" s="2"/>
      <c r="S83" s="2" t="s">
        <v>124</v>
      </c>
      <c r="T83" s="2" t="str">
        <f aca="false">IF(OR(R83&lt;&gt;"",S83="Yes",P83&gt;0,Q83&gt;0),IF(U83="Yes","Resolved","Yes"),"No")</f>
        <v>No</v>
      </c>
      <c r="U83" s="7"/>
      <c r="V83" s="7"/>
    </row>
    <row r="84" customFormat="false" ht="15" hidden="false" customHeight="false" outlineLevel="0" collapsed="false">
      <c r="A84" s="2" t="s">
        <v>435</v>
      </c>
      <c r="B84" s="2" t="s">
        <v>184</v>
      </c>
      <c r="C84" s="2" t="s">
        <v>436</v>
      </c>
      <c r="D84" s="2" t="s">
        <v>437</v>
      </c>
      <c r="E84" s="2" t="s">
        <v>143</v>
      </c>
      <c r="F84" s="2" t="n">
        <v>52.5264203</v>
      </c>
      <c r="G84" s="2" t="n">
        <v>-8.9374848</v>
      </c>
      <c r="H84" s="2" t="s">
        <v>198</v>
      </c>
      <c r="I84" s="2" t="n">
        <f aca="false">COUNTIF(Applications!$B$2:$B$293,A84)</f>
        <v>1</v>
      </c>
      <c r="J84" s="2" t="n">
        <f aca="false">COUNTIFS(Applications!$B$2:$B$293,A84,Applications!$Z$2:$Z$293,"Yes")</f>
        <v>1</v>
      </c>
      <c r="K84" s="10" t="n">
        <f aca="false">SUMIFS(Applications!$AI$2:$AI$293,Applications!$B$2:$B$293,A84)</f>
        <v>11</v>
      </c>
      <c r="L84" s="10" t="n">
        <f aca="false">SUMIFS(Applications!$AL$2:$AL$293,Applications!$B$2:$B$293,A84)</f>
        <v>11</v>
      </c>
      <c r="M84" s="10" t="n">
        <f aca="false">SUMIFS(Applications!$AM$2:$AM$293,Applications!$B$2:$B$293,A84)</f>
        <v>0</v>
      </c>
      <c r="N84" s="10" t="n">
        <f aca="false">SUMIFS(Applications!$AK$2:$AK$293,Applications!$B$2:$B$293,A84)</f>
        <v>0</v>
      </c>
      <c r="O84" s="2" t="n">
        <f aca="false">I84-J84</f>
        <v>0</v>
      </c>
      <c r="P84" s="2" t="n">
        <f aca="false">COUNTIFS(Applications!$B$2:$B$293,A84,Applications!$W$2:$W$293,"Low",Applications!$X$2:$X$293,"")</f>
        <v>0</v>
      </c>
      <c r="Q84" s="2" t="n">
        <f aca="false">COUNTIFS(Applications!$B$2:$B$293,A84,Applications!$AH$2:$AH$293,"Past*")+COUNTIFS(Applications!$B$2:$B$293,A84,Applications!$AH$2:$AH$293,"No CIS*")</f>
        <v>0</v>
      </c>
      <c r="R84" s="2"/>
      <c r="S84" s="2" t="s">
        <v>124</v>
      </c>
      <c r="T84" s="2" t="str">
        <f aca="false">IF(OR(R84&lt;&gt;"",S84="Yes",P84&gt;0,Q84&gt;0),IF(U84="Yes","Resolved","Yes"),"No")</f>
        <v>No</v>
      </c>
      <c r="U84" s="7"/>
      <c r="V84" s="7"/>
    </row>
    <row r="85" customFormat="false" ht="15" hidden="false" customHeight="false" outlineLevel="0" collapsed="false">
      <c r="A85" s="2" t="s">
        <v>438</v>
      </c>
      <c r="B85" s="2" t="s">
        <v>184</v>
      </c>
      <c r="C85" s="2" t="s">
        <v>439</v>
      </c>
      <c r="D85" s="2" t="s">
        <v>440</v>
      </c>
      <c r="E85" s="2" t="s">
        <v>144</v>
      </c>
      <c r="F85" s="2" t="n">
        <v>52.4369720245788</v>
      </c>
      <c r="G85" s="2" t="n">
        <v>-8.40946578197422</v>
      </c>
      <c r="H85" s="2" t="s">
        <v>194</v>
      </c>
      <c r="I85" s="2" t="n">
        <f aca="false">COUNTIF(Applications!$B$2:$B$293,A85)</f>
        <v>2</v>
      </c>
      <c r="J85" s="2" t="n">
        <f aca="false">COUNTIFS(Applications!$B$2:$B$293,A85,Applications!$Z$2:$Z$293,"Yes")</f>
        <v>2</v>
      </c>
      <c r="K85" s="10" t="n">
        <f aca="false">SUMIFS(Applications!$AI$2:$AI$293,Applications!$B$2:$B$293,A85)</f>
        <v>13</v>
      </c>
      <c r="L85" s="10" t="n">
        <f aca="false">SUMIFS(Applications!$AL$2:$AL$293,Applications!$B$2:$B$293,A85)</f>
        <v>5</v>
      </c>
      <c r="M85" s="10" t="n">
        <f aca="false">SUMIFS(Applications!$AM$2:$AM$293,Applications!$B$2:$B$293,A85)</f>
        <v>0</v>
      </c>
      <c r="N85" s="10" t="n">
        <f aca="false">SUMIFS(Applications!$AK$2:$AK$293,Applications!$B$2:$B$293,A85)</f>
        <v>8</v>
      </c>
      <c r="O85" s="2" t="n">
        <f aca="false">I85-J85</f>
        <v>0</v>
      </c>
      <c r="P85" s="2" t="n">
        <f aca="false">COUNTIFS(Applications!$B$2:$B$293,A85,Applications!$W$2:$W$293,"Low",Applications!$X$2:$X$293,"")</f>
        <v>2</v>
      </c>
      <c r="Q85" s="2" t="n">
        <f aca="false">COUNTIFS(Applications!$B$2:$B$293,A85,Applications!$AH$2:$AH$293,"Past*")+COUNTIFS(Applications!$B$2:$B$293,A85,Applications!$AH$2:$AH$293,"No CIS*")</f>
        <v>1</v>
      </c>
      <c r="R85" s="2"/>
      <c r="S85" s="2" t="s">
        <v>121</v>
      </c>
      <c r="T85" s="2" t="str">
        <f aca="false">IF(OR(R85&lt;&gt;"",S85="Yes",P85&gt;0,Q85&gt;0),IF(U85="Yes","Resolved","Yes"),"No")</f>
        <v>Yes</v>
      </c>
      <c r="U85" s="7"/>
      <c r="V85" s="7"/>
    </row>
    <row r="86" customFormat="false" ht="15" hidden="false" customHeight="false" outlineLevel="0" collapsed="false">
      <c r="A86" s="2" t="s">
        <v>441</v>
      </c>
      <c r="B86" s="2" t="s">
        <v>184</v>
      </c>
      <c r="C86" s="2" t="s">
        <v>442</v>
      </c>
      <c r="D86" s="2" t="s">
        <v>443</v>
      </c>
      <c r="E86" s="2" t="s">
        <v>144</v>
      </c>
      <c r="F86" s="2" t="n">
        <v>52.6582421730143</v>
      </c>
      <c r="G86" s="2" t="n">
        <v>-8.63403803436284</v>
      </c>
      <c r="H86" s="2" t="s">
        <v>198</v>
      </c>
      <c r="I86" s="2" t="n">
        <f aca="false">COUNTIF(Applications!$B$2:$B$293,A86)</f>
        <v>2</v>
      </c>
      <c r="J86" s="2" t="n">
        <f aca="false">COUNTIFS(Applications!$B$2:$B$293,A86,Applications!$Z$2:$Z$293,"Yes")</f>
        <v>1</v>
      </c>
      <c r="K86" s="10" t="n">
        <f aca="false">SUMIFS(Applications!$AI$2:$AI$293,Applications!$B$2:$B$293,A86)</f>
        <v>5</v>
      </c>
      <c r="L86" s="10" t="n">
        <f aca="false">SUMIFS(Applications!$AL$2:$AL$293,Applications!$B$2:$B$293,A86)</f>
        <v>5</v>
      </c>
      <c r="M86" s="10" t="n">
        <f aca="false">SUMIFS(Applications!$AM$2:$AM$293,Applications!$B$2:$B$293,A86)</f>
        <v>0</v>
      </c>
      <c r="N86" s="10" t="n">
        <f aca="false">SUMIFS(Applications!$AK$2:$AK$293,Applications!$B$2:$B$293,A86)</f>
        <v>0</v>
      </c>
      <c r="O86" s="2" t="n">
        <f aca="false">I86-J86</f>
        <v>1</v>
      </c>
      <c r="P86" s="2" t="n">
        <f aca="false">COUNTIFS(Applications!$B$2:$B$293,A86,Applications!$W$2:$W$293,"Low",Applications!$X$2:$X$293,"")</f>
        <v>0</v>
      </c>
      <c r="Q86" s="2" t="n">
        <f aca="false">COUNTIFS(Applications!$B$2:$B$293,A86,Applications!$AH$2:$AH$293,"Past*")+COUNTIFS(Applications!$B$2:$B$293,A86,Applications!$AH$2:$AH$293,"No CIS*")</f>
        <v>0</v>
      </c>
      <c r="R86" s="2"/>
      <c r="S86" s="2" t="s">
        <v>121</v>
      </c>
      <c r="T86" s="2" t="str">
        <f aca="false">IF(OR(R86&lt;&gt;"",S86="Yes",P86&gt;0,Q86&gt;0),IF(U86="Yes","Resolved","Yes"),"No")</f>
        <v>Yes</v>
      </c>
      <c r="U86" s="7"/>
      <c r="V86" s="7"/>
    </row>
    <row r="87" customFormat="false" ht="15" hidden="false" customHeight="false" outlineLevel="0" collapsed="false">
      <c r="A87" s="2" t="s">
        <v>444</v>
      </c>
      <c r="B87" s="2" t="s">
        <v>184</v>
      </c>
      <c r="C87" s="2" t="s">
        <v>445</v>
      </c>
      <c r="D87" s="2" t="s">
        <v>446</v>
      </c>
      <c r="E87" s="2" t="s">
        <v>141</v>
      </c>
      <c r="F87" s="2" t="n">
        <v>52.4425730921793</v>
      </c>
      <c r="G87" s="2" t="n">
        <v>-9.05203665829991</v>
      </c>
      <c r="H87" s="2" t="s">
        <v>198</v>
      </c>
      <c r="I87" s="2" t="n">
        <f aca="false">COUNTIF(Applications!$B$2:$B$293,A87)</f>
        <v>2</v>
      </c>
      <c r="J87" s="2" t="n">
        <f aca="false">COUNTIFS(Applications!$B$2:$B$293,A87,Applications!$Z$2:$Z$293,"Yes")</f>
        <v>2</v>
      </c>
      <c r="K87" s="10" t="n">
        <f aca="false">SUMIFS(Applications!$AI$2:$AI$293,Applications!$B$2:$B$293,A87)</f>
        <v>73</v>
      </c>
      <c r="L87" s="10" t="n">
        <f aca="false">SUMIFS(Applications!$AL$2:$AL$293,Applications!$B$2:$B$293,A87)</f>
        <v>73</v>
      </c>
      <c r="M87" s="10" t="n">
        <f aca="false">SUMIFS(Applications!$AM$2:$AM$293,Applications!$B$2:$B$293,A87)</f>
        <v>0</v>
      </c>
      <c r="N87" s="10" t="n">
        <f aca="false">SUMIFS(Applications!$AK$2:$AK$293,Applications!$B$2:$B$293,A87)</f>
        <v>0</v>
      </c>
      <c r="O87" s="2" t="n">
        <f aca="false">I87-J87</f>
        <v>0</v>
      </c>
      <c r="P87" s="2" t="n">
        <f aca="false">COUNTIFS(Applications!$B$2:$B$293,A87,Applications!$W$2:$W$293,"Low",Applications!$X$2:$X$293,"")</f>
        <v>1</v>
      </c>
      <c r="Q87" s="2" t="n">
        <f aca="false">COUNTIFS(Applications!$B$2:$B$293,A87,Applications!$AH$2:$AH$293,"Past*")+COUNTIFS(Applications!$B$2:$B$293,A87,Applications!$AH$2:$AH$293,"No CIS*")</f>
        <v>1</v>
      </c>
      <c r="R87" s="2"/>
      <c r="S87" s="2" t="s">
        <v>121</v>
      </c>
      <c r="T87" s="2" t="str">
        <f aca="false">IF(OR(R87&lt;&gt;"",S87="Yes",P87&gt;0,Q87&gt;0),IF(U87="Yes","Resolved","Yes"),"No")</f>
        <v>Yes</v>
      </c>
      <c r="U87" s="7"/>
      <c r="V87" s="7"/>
    </row>
    <row r="88" customFormat="false" ht="15" hidden="false" customHeight="false" outlineLevel="0" collapsed="false">
      <c r="A88" s="2" t="s">
        <v>447</v>
      </c>
      <c r="B88" s="2" t="s">
        <v>184</v>
      </c>
      <c r="C88" s="2" t="s">
        <v>448</v>
      </c>
      <c r="D88" s="2" t="s">
        <v>449</v>
      </c>
      <c r="E88" s="2" t="s">
        <v>144</v>
      </c>
      <c r="F88" s="2" t="n">
        <v>52.6570836408476</v>
      </c>
      <c r="G88" s="2" t="n">
        <v>-8.62580973467803</v>
      </c>
      <c r="H88" s="2" t="s">
        <v>198</v>
      </c>
      <c r="I88" s="2" t="n">
        <f aca="false">COUNTIF(Applications!$B$2:$B$293,A88)</f>
        <v>2</v>
      </c>
      <c r="J88" s="2" t="n">
        <f aca="false">COUNTIFS(Applications!$B$2:$B$293,A88,Applications!$Z$2:$Z$293,"Yes")</f>
        <v>1</v>
      </c>
      <c r="K88" s="10" t="n">
        <f aca="false">SUMIFS(Applications!$AI$2:$AI$293,Applications!$B$2:$B$293,A88)</f>
        <v>36</v>
      </c>
      <c r="L88" s="10" t="n">
        <f aca="false">SUMIFS(Applications!$AL$2:$AL$293,Applications!$B$2:$B$293,A88)</f>
        <v>36</v>
      </c>
      <c r="M88" s="10" t="n">
        <f aca="false">SUMIFS(Applications!$AM$2:$AM$293,Applications!$B$2:$B$293,A88)</f>
        <v>0</v>
      </c>
      <c r="N88" s="10" t="n">
        <f aca="false">SUMIFS(Applications!$AK$2:$AK$293,Applications!$B$2:$B$293,A88)</f>
        <v>0</v>
      </c>
      <c r="O88" s="2" t="n">
        <f aca="false">I88-J88</f>
        <v>1</v>
      </c>
      <c r="P88" s="2" t="n">
        <f aca="false">COUNTIFS(Applications!$B$2:$B$293,A88,Applications!$W$2:$W$293,"Low",Applications!$X$2:$X$293,"")</f>
        <v>1</v>
      </c>
      <c r="Q88" s="2" t="n">
        <f aca="false">COUNTIFS(Applications!$B$2:$B$293,A88,Applications!$AH$2:$AH$293,"Past*")+COUNTIFS(Applications!$B$2:$B$293,A88,Applications!$AH$2:$AH$293,"No CIS*")</f>
        <v>0</v>
      </c>
      <c r="R88" s="2"/>
      <c r="S88" s="2" t="s">
        <v>121</v>
      </c>
      <c r="T88" s="2" t="str">
        <f aca="false">IF(OR(R88&lt;&gt;"",S88="Yes",P88&gt;0,Q88&gt;0),IF(U88="Yes","Resolved","Yes"),"No")</f>
        <v>Yes</v>
      </c>
      <c r="U88" s="7"/>
      <c r="V88" s="7"/>
    </row>
    <row r="89" customFormat="false" ht="15" hidden="false" customHeight="false" outlineLevel="0" collapsed="false">
      <c r="A89" s="2" t="s">
        <v>450</v>
      </c>
      <c r="B89" s="2" t="s">
        <v>184</v>
      </c>
      <c r="C89" s="2" t="s">
        <v>451</v>
      </c>
      <c r="D89" s="2" t="s">
        <v>452</v>
      </c>
      <c r="E89" s="2" t="s">
        <v>141</v>
      </c>
      <c r="F89" s="2" t="n">
        <v>52.4542757997914</v>
      </c>
      <c r="G89" s="2" t="n">
        <v>-9.06660700243448</v>
      </c>
      <c r="H89" s="2" t="s">
        <v>453</v>
      </c>
      <c r="I89" s="2" t="n">
        <f aca="false">COUNTIF(Applications!$B$2:$B$293,A89)</f>
        <v>1</v>
      </c>
      <c r="J89" s="2" t="n">
        <f aca="false">COUNTIFS(Applications!$B$2:$B$293,A89,Applications!$Z$2:$Z$293,"Yes")</f>
        <v>1</v>
      </c>
      <c r="K89" s="10" t="n">
        <f aca="false">SUMIFS(Applications!$AI$2:$AI$293,Applications!$B$2:$B$293,A89)</f>
        <v>53</v>
      </c>
      <c r="L89" s="10" t="n">
        <f aca="false">SUMIFS(Applications!$AL$2:$AL$293,Applications!$B$2:$B$293,A89)</f>
        <v>53</v>
      </c>
      <c r="M89" s="10" t="n">
        <f aca="false">SUMIFS(Applications!$AM$2:$AM$293,Applications!$B$2:$B$293,A89)</f>
        <v>0</v>
      </c>
      <c r="N89" s="10" t="n">
        <f aca="false">SUMIFS(Applications!$AK$2:$AK$293,Applications!$B$2:$B$293,A89)</f>
        <v>0</v>
      </c>
      <c r="O89" s="2" t="n">
        <f aca="false">I89-J89</f>
        <v>0</v>
      </c>
      <c r="P89" s="2" t="n">
        <f aca="false">COUNTIFS(Applications!$B$2:$B$293,A89,Applications!$W$2:$W$293,"Low",Applications!$X$2:$X$293,"")</f>
        <v>0</v>
      </c>
      <c r="Q89" s="2" t="n">
        <f aca="false">COUNTIFS(Applications!$B$2:$B$293,A89,Applications!$AH$2:$AH$293,"Past*")+COUNTIFS(Applications!$B$2:$B$293,A89,Applications!$AH$2:$AH$293,"No CIS*")</f>
        <v>0</v>
      </c>
      <c r="R89" s="2"/>
      <c r="S89" s="2" t="s">
        <v>124</v>
      </c>
      <c r="T89" s="2" t="str">
        <f aca="false">IF(OR(R89&lt;&gt;"",S89="Yes",P89&gt;0,Q89&gt;0),IF(U89="Yes","Resolved","Yes"),"No")</f>
        <v>No</v>
      </c>
      <c r="U89" s="7"/>
      <c r="V89" s="7"/>
    </row>
    <row r="90" customFormat="false" ht="15" hidden="false" customHeight="false" outlineLevel="0" collapsed="false">
      <c r="A90" s="2" t="s">
        <v>454</v>
      </c>
      <c r="B90" s="2" t="s">
        <v>184</v>
      </c>
      <c r="C90" s="2" t="s">
        <v>455</v>
      </c>
      <c r="D90" s="2" t="s">
        <v>456</v>
      </c>
      <c r="E90" s="2" t="s">
        <v>132</v>
      </c>
      <c r="F90" s="2" t="n">
        <v>52.5555415528155</v>
      </c>
      <c r="G90" s="2" t="n">
        <v>-8.79319916545363</v>
      </c>
      <c r="H90" s="2" t="s">
        <v>198</v>
      </c>
      <c r="I90" s="2" t="n">
        <f aca="false">COUNTIF(Applications!$B$2:$B$293,A90)</f>
        <v>1</v>
      </c>
      <c r="J90" s="2" t="n">
        <f aca="false">COUNTIFS(Applications!$B$2:$B$293,A90,Applications!$Z$2:$Z$293,"Yes")</f>
        <v>1</v>
      </c>
      <c r="K90" s="10" t="n">
        <f aca="false">SUMIFS(Applications!$AI$2:$AI$293,Applications!$B$2:$B$293,A90)</f>
        <v>5</v>
      </c>
      <c r="L90" s="10" t="n">
        <f aca="false">SUMIFS(Applications!$AL$2:$AL$293,Applications!$B$2:$B$293,A90)</f>
        <v>5</v>
      </c>
      <c r="M90" s="10" t="n">
        <f aca="false">SUMIFS(Applications!$AM$2:$AM$293,Applications!$B$2:$B$293,A90)</f>
        <v>0</v>
      </c>
      <c r="N90" s="10" t="n">
        <f aca="false">SUMIFS(Applications!$AK$2:$AK$293,Applications!$B$2:$B$293,A90)</f>
        <v>0</v>
      </c>
      <c r="O90" s="2" t="n">
        <f aca="false">I90-J90</f>
        <v>0</v>
      </c>
      <c r="P90" s="2" t="n">
        <f aca="false">COUNTIFS(Applications!$B$2:$B$293,A90,Applications!$W$2:$W$293,"Low",Applications!$X$2:$X$293,"")</f>
        <v>0</v>
      </c>
      <c r="Q90" s="2" t="n">
        <f aca="false">COUNTIFS(Applications!$B$2:$B$293,A90,Applications!$AH$2:$AH$293,"Past*")+COUNTIFS(Applications!$B$2:$B$293,A90,Applications!$AH$2:$AH$293,"No CIS*")</f>
        <v>0</v>
      </c>
      <c r="R90" s="2"/>
      <c r="S90" s="2" t="s">
        <v>124</v>
      </c>
      <c r="T90" s="2" t="str">
        <f aca="false">IF(OR(R90&lt;&gt;"",S90="Yes",P90&gt;0,Q90&gt;0),IF(U90="Yes","Resolved","Yes"),"No")</f>
        <v>No</v>
      </c>
      <c r="U90" s="7"/>
      <c r="V90" s="7"/>
    </row>
    <row r="91" customFormat="false" ht="15" hidden="false" customHeight="false" outlineLevel="0" collapsed="false">
      <c r="A91" s="2" t="s">
        <v>457</v>
      </c>
      <c r="B91" s="2" t="s">
        <v>184</v>
      </c>
      <c r="C91" s="2" t="s">
        <v>458</v>
      </c>
      <c r="D91" s="2" t="s">
        <v>459</v>
      </c>
      <c r="E91" s="2" t="s">
        <v>134</v>
      </c>
      <c r="F91" s="2" t="n">
        <v>52.4724174453634</v>
      </c>
      <c r="G91" s="2" t="n">
        <v>-8.54934361326175</v>
      </c>
      <c r="H91" s="2" t="s">
        <v>187</v>
      </c>
      <c r="I91" s="2" t="n">
        <f aca="false">COUNTIF(Applications!$B$2:$B$293,A91)</f>
        <v>1</v>
      </c>
      <c r="J91" s="2" t="n">
        <f aca="false">COUNTIFS(Applications!$B$2:$B$293,A91,Applications!$Z$2:$Z$293,"Yes")</f>
        <v>1</v>
      </c>
      <c r="K91" s="10" t="n">
        <f aca="false">SUMIFS(Applications!$AI$2:$AI$293,Applications!$B$2:$B$293,A91)</f>
        <v>74</v>
      </c>
      <c r="L91" s="10" t="n">
        <f aca="false">SUMIFS(Applications!$AL$2:$AL$293,Applications!$B$2:$B$293,A91)</f>
        <v>74</v>
      </c>
      <c r="M91" s="10" t="n">
        <f aca="false">SUMIFS(Applications!$AM$2:$AM$293,Applications!$B$2:$B$293,A91)</f>
        <v>0</v>
      </c>
      <c r="N91" s="10" t="n">
        <f aca="false">SUMIFS(Applications!$AK$2:$AK$293,Applications!$B$2:$B$293,A91)</f>
        <v>0</v>
      </c>
      <c r="O91" s="2" t="n">
        <f aca="false">I91-J91</f>
        <v>0</v>
      </c>
      <c r="P91" s="2" t="n">
        <f aca="false">COUNTIFS(Applications!$B$2:$B$293,A91,Applications!$W$2:$W$293,"Low",Applications!$X$2:$X$293,"")</f>
        <v>0</v>
      </c>
      <c r="Q91" s="2" t="n">
        <f aca="false">COUNTIFS(Applications!$B$2:$B$293,A91,Applications!$AH$2:$AH$293,"Past*")+COUNTIFS(Applications!$B$2:$B$293,A91,Applications!$AH$2:$AH$293,"No CIS*")</f>
        <v>1</v>
      </c>
      <c r="R91" s="2"/>
      <c r="S91" s="2" t="s">
        <v>124</v>
      </c>
      <c r="T91" s="2" t="str">
        <f aca="false">IF(OR(R91&lt;&gt;"",S91="Yes",P91&gt;0,Q91&gt;0),IF(U91="Yes","Resolved","Yes"),"No")</f>
        <v>Yes</v>
      </c>
      <c r="U91" s="7"/>
      <c r="V91" s="7"/>
    </row>
    <row r="92" customFormat="false" ht="15" hidden="false" customHeight="false" outlineLevel="0" collapsed="false">
      <c r="A92" s="2" t="s">
        <v>460</v>
      </c>
      <c r="B92" s="2" t="s">
        <v>184</v>
      </c>
      <c r="C92" s="2" t="s">
        <v>461</v>
      </c>
      <c r="D92" s="2" t="s">
        <v>462</v>
      </c>
      <c r="E92" s="2" t="s">
        <v>144</v>
      </c>
      <c r="F92" s="2" t="n">
        <v>52.675041707558</v>
      </c>
      <c r="G92" s="2" t="n">
        <v>-8.63283719934436</v>
      </c>
      <c r="H92" s="2" t="s">
        <v>187</v>
      </c>
      <c r="I92" s="2" t="n">
        <f aca="false">COUNTIF(Applications!$B$2:$B$293,A92)</f>
        <v>1</v>
      </c>
      <c r="J92" s="2" t="n">
        <f aca="false">COUNTIFS(Applications!$B$2:$B$293,A92,Applications!$Z$2:$Z$293,"Yes")</f>
        <v>1</v>
      </c>
      <c r="K92" s="10" t="n">
        <f aca="false">SUMIFS(Applications!$AI$2:$AI$293,Applications!$B$2:$B$293,A92)</f>
        <v>46</v>
      </c>
      <c r="L92" s="10" t="n">
        <f aca="false">SUMIFS(Applications!$AL$2:$AL$293,Applications!$B$2:$B$293,A92)</f>
        <v>46</v>
      </c>
      <c r="M92" s="10" t="n">
        <f aca="false">SUMIFS(Applications!$AM$2:$AM$293,Applications!$B$2:$B$293,A92)</f>
        <v>0</v>
      </c>
      <c r="N92" s="10" t="n">
        <f aca="false">SUMIFS(Applications!$AK$2:$AK$293,Applications!$B$2:$B$293,A92)</f>
        <v>0</v>
      </c>
      <c r="O92" s="2" t="n">
        <f aca="false">I92-J92</f>
        <v>0</v>
      </c>
      <c r="P92" s="2" t="n">
        <f aca="false">COUNTIFS(Applications!$B$2:$B$293,A92,Applications!$W$2:$W$293,"Low",Applications!$X$2:$X$293,"")</f>
        <v>0</v>
      </c>
      <c r="Q92" s="2" t="n">
        <f aca="false">COUNTIFS(Applications!$B$2:$B$293,A92,Applications!$AH$2:$AH$293,"Past*")+COUNTIFS(Applications!$B$2:$B$293,A92,Applications!$AH$2:$AH$293,"No CIS*")</f>
        <v>1</v>
      </c>
      <c r="R92" s="2"/>
      <c r="S92" s="2" t="s">
        <v>124</v>
      </c>
      <c r="T92" s="2" t="str">
        <f aca="false">IF(OR(R92&lt;&gt;"",S92="Yes",P92&gt;0,Q92&gt;0),IF(U92="Yes","Resolved","Yes"),"No")</f>
        <v>Yes</v>
      </c>
      <c r="U92" s="7"/>
      <c r="V92" s="7"/>
    </row>
    <row r="93" customFormat="false" ht="15" hidden="false" customHeight="false" outlineLevel="0" collapsed="false">
      <c r="A93" s="2" t="s">
        <v>463</v>
      </c>
      <c r="B93" s="2" t="s">
        <v>184</v>
      </c>
      <c r="C93" s="2" t="s">
        <v>464</v>
      </c>
      <c r="D93" s="2" t="s">
        <v>465</v>
      </c>
      <c r="E93" s="2" t="s">
        <v>144</v>
      </c>
      <c r="F93" s="2" t="n">
        <v>52.6658638718412</v>
      </c>
      <c r="G93" s="2" t="n">
        <v>-8.61939154193003</v>
      </c>
      <c r="H93" s="2" t="s">
        <v>194</v>
      </c>
      <c r="I93" s="2" t="n">
        <f aca="false">COUNTIF(Applications!$B$2:$B$293,A93)</f>
        <v>1</v>
      </c>
      <c r="J93" s="2" t="n">
        <f aca="false">COUNTIFS(Applications!$B$2:$B$293,A93,Applications!$Z$2:$Z$293,"Yes")</f>
        <v>1</v>
      </c>
      <c r="K93" s="10" t="n">
        <f aca="false">SUMIFS(Applications!$AI$2:$AI$293,Applications!$B$2:$B$293,A93)</f>
        <v>30</v>
      </c>
      <c r="L93" s="10" t="n">
        <f aca="false">SUMIFS(Applications!$AL$2:$AL$293,Applications!$B$2:$B$293,A93)</f>
        <v>30</v>
      </c>
      <c r="M93" s="10" t="n">
        <f aca="false">SUMIFS(Applications!$AM$2:$AM$293,Applications!$B$2:$B$293,A93)</f>
        <v>0</v>
      </c>
      <c r="N93" s="10" t="n">
        <f aca="false">SUMIFS(Applications!$AK$2:$AK$293,Applications!$B$2:$B$293,A93)</f>
        <v>0</v>
      </c>
      <c r="O93" s="2" t="n">
        <f aca="false">I93-J93</f>
        <v>0</v>
      </c>
      <c r="P93" s="2" t="n">
        <f aca="false">COUNTIFS(Applications!$B$2:$B$293,A93,Applications!$W$2:$W$293,"Low",Applications!$X$2:$X$293,"")</f>
        <v>0</v>
      </c>
      <c r="Q93" s="2" t="n">
        <f aca="false">COUNTIFS(Applications!$B$2:$B$293,A93,Applications!$AH$2:$AH$293,"Past*")+COUNTIFS(Applications!$B$2:$B$293,A93,Applications!$AH$2:$AH$293,"No CIS*")</f>
        <v>1</v>
      </c>
      <c r="R93" s="2"/>
      <c r="S93" s="2" t="s">
        <v>124</v>
      </c>
      <c r="T93" s="2" t="str">
        <f aca="false">IF(OR(R93&lt;&gt;"",S93="Yes",P93&gt;0,Q93&gt;0),IF(U93="Yes","Resolved","Yes"),"No")</f>
        <v>Yes</v>
      </c>
      <c r="U93" s="7"/>
      <c r="V93" s="7"/>
    </row>
    <row r="94" customFormat="false" ht="15" hidden="false" customHeight="false" outlineLevel="0" collapsed="false">
      <c r="A94" s="2" t="s">
        <v>466</v>
      </c>
      <c r="B94" s="2" t="s">
        <v>184</v>
      </c>
      <c r="C94" s="2" t="s">
        <v>467</v>
      </c>
      <c r="D94" s="2" t="s">
        <v>468</v>
      </c>
      <c r="E94" s="2" t="s">
        <v>144</v>
      </c>
      <c r="F94" s="2" t="n">
        <v>52.6654870717626</v>
      </c>
      <c r="G94" s="2" t="n">
        <v>-8.61654081944876</v>
      </c>
      <c r="H94" s="2" t="s">
        <v>187</v>
      </c>
      <c r="I94" s="2" t="n">
        <f aca="false">COUNTIF(Applications!$B$2:$B$293,A94)</f>
        <v>2</v>
      </c>
      <c r="J94" s="2" t="n">
        <f aca="false">COUNTIFS(Applications!$B$2:$B$293,A94,Applications!$Z$2:$Z$293,"Yes")</f>
        <v>2</v>
      </c>
      <c r="K94" s="10" t="n">
        <f aca="false">SUMIFS(Applications!$AI$2:$AI$293,Applications!$B$2:$B$293,A94)</f>
        <v>22</v>
      </c>
      <c r="L94" s="10" t="n">
        <f aca="false">SUMIFS(Applications!$AL$2:$AL$293,Applications!$B$2:$B$293,A94)</f>
        <v>22</v>
      </c>
      <c r="M94" s="10" t="n">
        <f aca="false">SUMIFS(Applications!$AM$2:$AM$293,Applications!$B$2:$B$293,A94)</f>
        <v>0</v>
      </c>
      <c r="N94" s="10" t="n">
        <f aca="false">SUMIFS(Applications!$AK$2:$AK$293,Applications!$B$2:$B$293,A94)</f>
        <v>0</v>
      </c>
      <c r="O94" s="2" t="n">
        <f aca="false">I94-J94</f>
        <v>0</v>
      </c>
      <c r="P94" s="2" t="n">
        <f aca="false">COUNTIFS(Applications!$B$2:$B$293,A94,Applications!$W$2:$W$293,"Low",Applications!$X$2:$X$293,"")</f>
        <v>1</v>
      </c>
      <c r="Q94" s="2" t="n">
        <f aca="false">COUNTIFS(Applications!$B$2:$B$293,A94,Applications!$AH$2:$AH$293,"Past*")+COUNTIFS(Applications!$B$2:$B$293,A94,Applications!$AH$2:$AH$293,"No CIS*")</f>
        <v>2</v>
      </c>
      <c r="R94" s="2"/>
      <c r="S94" s="2" t="s">
        <v>121</v>
      </c>
      <c r="T94" s="2" t="str">
        <f aca="false">IF(OR(R94&lt;&gt;"",S94="Yes",P94&gt;0,Q94&gt;0),IF(U94="Yes","Resolved","Yes"),"No")</f>
        <v>Yes</v>
      </c>
      <c r="U94" s="7"/>
      <c r="V94" s="7"/>
    </row>
    <row r="95" customFormat="false" ht="15" hidden="false" customHeight="false" outlineLevel="0" collapsed="false">
      <c r="A95" s="2" t="s">
        <v>469</v>
      </c>
      <c r="B95" s="2" t="s">
        <v>184</v>
      </c>
      <c r="C95" s="2" t="s">
        <v>470</v>
      </c>
      <c r="D95" s="2" t="s">
        <v>471</v>
      </c>
      <c r="E95" s="2" t="s">
        <v>144</v>
      </c>
      <c r="F95" s="2" t="n">
        <v>52.6577952126045</v>
      </c>
      <c r="G95" s="2" t="n">
        <v>-8.63409498213069</v>
      </c>
      <c r="H95" s="2" t="s">
        <v>187</v>
      </c>
      <c r="I95" s="2" t="n">
        <f aca="false">COUNTIF(Applications!$B$2:$B$293,A95)</f>
        <v>1</v>
      </c>
      <c r="J95" s="2" t="n">
        <f aca="false">COUNTIFS(Applications!$B$2:$B$293,A95,Applications!$Z$2:$Z$293,"Yes")</f>
        <v>1</v>
      </c>
      <c r="K95" s="10" t="n">
        <f aca="false">SUMIFS(Applications!$AI$2:$AI$293,Applications!$B$2:$B$293,A95)</f>
        <v>8</v>
      </c>
      <c r="L95" s="10" t="n">
        <f aca="false">SUMIFS(Applications!$AL$2:$AL$293,Applications!$B$2:$B$293,A95)</f>
        <v>8</v>
      </c>
      <c r="M95" s="10" t="n">
        <f aca="false">SUMIFS(Applications!$AM$2:$AM$293,Applications!$B$2:$B$293,A95)</f>
        <v>0</v>
      </c>
      <c r="N95" s="10" t="n">
        <f aca="false">SUMIFS(Applications!$AK$2:$AK$293,Applications!$B$2:$B$293,A95)</f>
        <v>0</v>
      </c>
      <c r="O95" s="2" t="n">
        <f aca="false">I95-J95</f>
        <v>0</v>
      </c>
      <c r="P95" s="2" t="n">
        <f aca="false">COUNTIFS(Applications!$B$2:$B$293,A95,Applications!$W$2:$W$293,"Low",Applications!$X$2:$X$293,"")</f>
        <v>1</v>
      </c>
      <c r="Q95" s="2" t="n">
        <f aca="false">COUNTIFS(Applications!$B$2:$B$293,A95,Applications!$AH$2:$AH$293,"Past*")+COUNTIFS(Applications!$B$2:$B$293,A95,Applications!$AH$2:$AH$293,"No CIS*")</f>
        <v>1</v>
      </c>
      <c r="R95" s="2"/>
      <c r="S95" s="2" t="s">
        <v>124</v>
      </c>
      <c r="T95" s="2" t="str">
        <f aca="false">IF(OR(R95&lt;&gt;"",S95="Yes",P95&gt;0,Q95&gt;0),IF(U95="Yes","Resolved","Yes"),"No")</f>
        <v>Yes</v>
      </c>
      <c r="U95" s="7"/>
      <c r="V95" s="7"/>
    </row>
    <row r="96" customFormat="false" ht="15" hidden="false" customHeight="false" outlineLevel="0" collapsed="false">
      <c r="A96" s="2" t="s">
        <v>472</v>
      </c>
      <c r="B96" s="2" t="s">
        <v>184</v>
      </c>
      <c r="C96" s="2" t="s">
        <v>473</v>
      </c>
      <c r="D96" s="2" t="s">
        <v>474</v>
      </c>
      <c r="E96" s="2" t="s">
        <v>144</v>
      </c>
      <c r="F96" s="2" t="n">
        <v>52.6590396404586</v>
      </c>
      <c r="G96" s="2" t="n">
        <v>-8.62568446240315</v>
      </c>
      <c r="H96" s="2" t="s">
        <v>187</v>
      </c>
      <c r="I96" s="2" t="n">
        <f aca="false">COUNTIF(Applications!$B$2:$B$293,A96)</f>
        <v>1</v>
      </c>
      <c r="J96" s="2" t="n">
        <f aca="false">COUNTIFS(Applications!$B$2:$B$293,A96,Applications!$Z$2:$Z$293,"Yes")</f>
        <v>1</v>
      </c>
      <c r="K96" s="10" t="n">
        <f aca="false">SUMIFS(Applications!$AI$2:$AI$293,Applications!$B$2:$B$293,A96)</f>
        <v>25</v>
      </c>
      <c r="L96" s="10" t="n">
        <f aca="false">SUMIFS(Applications!$AL$2:$AL$293,Applications!$B$2:$B$293,A96)</f>
        <v>0</v>
      </c>
      <c r="M96" s="10" t="n">
        <f aca="false">SUMIFS(Applications!$AM$2:$AM$293,Applications!$B$2:$B$293,A96)</f>
        <v>25</v>
      </c>
      <c r="N96" s="10" t="n">
        <f aca="false">SUMIFS(Applications!$AK$2:$AK$293,Applications!$B$2:$B$293,A96)</f>
        <v>0</v>
      </c>
      <c r="O96" s="2" t="n">
        <f aca="false">I96-J96</f>
        <v>0</v>
      </c>
      <c r="P96" s="2" t="n">
        <f aca="false">COUNTIFS(Applications!$B$2:$B$293,A96,Applications!$W$2:$W$293,"Low",Applications!$X$2:$X$293,"")</f>
        <v>1</v>
      </c>
      <c r="Q96" s="2" t="n">
        <f aca="false">COUNTIFS(Applications!$B$2:$B$293,A96,Applications!$AH$2:$AH$293,"Past*")+COUNTIFS(Applications!$B$2:$B$293,A96,Applications!$AH$2:$AH$293,"No CIS*")</f>
        <v>1</v>
      </c>
      <c r="R96" s="2"/>
      <c r="S96" s="2" t="s">
        <v>124</v>
      </c>
      <c r="T96" s="2" t="str">
        <f aca="false">IF(OR(R96&lt;&gt;"",S96="Yes",P96&gt;0,Q96&gt;0),IF(U96="Yes","Resolved","Yes"),"No")</f>
        <v>Yes</v>
      </c>
      <c r="U96" s="7"/>
      <c r="V96" s="7"/>
    </row>
    <row r="97" customFormat="false" ht="15" hidden="false" customHeight="false" outlineLevel="0" collapsed="false">
      <c r="A97" s="2" t="s">
        <v>475</v>
      </c>
      <c r="B97" s="2" t="s">
        <v>184</v>
      </c>
      <c r="C97" s="2" t="s">
        <v>476</v>
      </c>
      <c r="D97" s="2" t="s">
        <v>477</v>
      </c>
      <c r="E97" s="2" t="s">
        <v>139</v>
      </c>
      <c r="F97" s="2" t="n">
        <v>52.662519408043</v>
      </c>
      <c r="G97" s="2" t="n">
        <v>-8.63124828344195</v>
      </c>
      <c r="H97" s="2" t="s">
        <v>251</v>
      </c>
      <c r="I97" s="2" t="n">
        <f aca="false">COUNTIF(Applications!$B$2:$B$293,A97)</f>
        <v>1</v>
      </c>
      <c r="J97" s="2" t="n">
        <f aca="false">COUNTIFS(Applications!$B$2:$B$293,A97,Applications!$Z$2:$Z$293,"Yes")</f>
        <v>1</v>
      </c>
      <c r="K97" s="10" t="n">
        <f aca="false">SUMIFS(Applications!$AI$2:$AI$293,Applications!$B$2:$B$293,A97)</f>
        <v>35</v>
      </c>
      <c r="L97" s="10" t="n">
        <f aca="false">SUMIFS(Applications!$AL$2:$AL$293,Applications!$B$2:$B$293,A97)</f>
        <v>0</v>
      </c>
      <c r="M97" s="10" t="n">
        <f aca="false">SUMIFS(Applications!$AM$2:$AM$293,Applications!$B$2:$B$293,A97)</f>
        <v>0</v>
      </c>
      <c r="N97" s="10" t="n">
        <f aca="false">SUMIFS(Applications!$AK$2:$AK$293,Applications!$B$2:$B$293,A97)</f>
        <v>35</v>
      </c>
      <c r="O97" s="2" t="n">
        <f aca="false">I97-J97</f>
        <v>0</v>
      </c>
      <c r="P97" s="2" t="n">
        <f aca="false">COUNTIFS(Applications!$B$2:$B$293,A97,Applications!$W$2:$W$293,"Low",Applications!$X$2:$X$293,"")</f>
        <v>0</v>
      </c>
      <c r="Q97" s="2" t="n">
        <f aca="false">COUNTIFS(Applications!$B$2:$B$293,A97,Applications!$AH$2:$AH$293,"Past*")+COUNTIFS(Applications!$B$2:$B$293,A97,Applications!$AH$2:$AH$293,"No CIS*")</f>
        <v>0</v>
      </c>
      <c r="R97" s="2"/>
      <c r="S97" s="2" t="s">
        <v>124</v>
      </c>
      <c r="T97" s="2" t="str">
        <f aca="false">IF(OR(R97&lt;&gt;"",S97="Yes",P97&gt;0,Q97&gt;0),IF(U97="Yes","Resolved","Yes"),"No")</f>
        <v>No</v>
      </c>
      <c r="U97" s="7"/>
      <c r="V97" s="7"/>
    </row>
    <row r="98" customFormat="false" ht="15" hidden="false" customHeight="false" outlineLevel="0" collapsed="false">
      <c r="A98" s="2" t="s">
        <v>478</v>
      </c>
      <c r="B98" s="2" t="s">
        <v>184</v>
      </c>
      <c r="C98" s="2" t="s">
        <v>479</v>
      </c>
      <c r="D98" s="2" t="s">
        <v>480</v>
      </c>
      <c r="E98" s="2" t="s">
        <v>144</v>
      </c>
      <c r="F98" s="2" t="n">
        <v>52.4595630463061</v>
      </c>
      <c r="G98" s="2" t="n">
        <v>-8.76080006822087</v>
      </c>
      <c r="H98" s="2" t="s">
        <v>187</v>
      </c>
      <c r="I98" s="2" t="n">
        <f aca="false">COUNTIF(Applications!$B$2:$B$293,A98)</f>
        <v>1</v>
      </c>
      <c r="J98" s="2" t="n">
        <f aca="false">COUNTIFS(Applications!$B$2:$B$293,A98,Applications!$Z$2:$Z$293,"Yes")</f>
        <v>1</v>
      </c>
      <c r="K98" s="10" t="n">
        <f aca="false">SUMIFS(Applications!$AI$2:$AI$293,Applications!$B$2:$B$293,A98)</f>
        <v>3</v>
      </c>
      <c r="L98" s="10" t="n">
        <f aca="false">SUMIFS(Applications!$AL$2:$AL$293,Applications!$B$2:$B$293,A98)</f>
        <v>3</v>
      </c>
      <c r="M98" s="10" t="n">
        <f aca="false">SUMIFS(Applications!$AM$2:$AM$293,Applications!$B$2:$B$293,A98)</f>
        <v>0</v>
      </c>
      <c r="N98" s="10" t="n">
        <f aca="false">SUMIFS(Applications!$AK$2:$AK$293,Applications!$B$2:$B$293,A98)</f>
        <v>0</v>
      </c>
      <c r="O98" s="2" t="n">
        <f aca="false">I98-J98</f>
        <v>0</v>
      </c>
      <c r="P98" s="2" t="n">
        <f aca="false">COUNTIFS(Applications!$B$2:$B$293,A98,Applications!$W$2:$W$293,"Low",Applications!$X$2:$X$293,"")</f>
        <v>0</v>
      </c>
      <c r="Q98" s="2" t="n">
        <f aca="false">COUNTIFS(Applications!$B$2:$B$293,A98,Applications!$AH$2:$AH$293,"Past*")+COUNTIFS(Applications!$B$2:$B$293,A98,Applications!$AH$2:$AH$293,"No CIS*")</f>
        <v>1</v>
      </c>
      <c r="R98" s="2"/>
      <c r="S98" s="2" t="s">
        <v>124</v>
      </c>
      <c r="T98" s="2" t="str">
        <f aca="false">IF(OR(R98&lt;&gt;"",S98="Yes",P98&gt;0,Q98&gt;0),IF(U98="Yes","Resolved","Yes"),"No")</f>
        <v>Yes</v>
      </c>
      <c r="U98" s="7"/>
      <c r="V98" s="7"/>
    </row>
    <row r="99" customFormat="false" ht="15" hidden="false" customHeight="false" outlineLevel="0" collapsed="false">
      <c r="A99" s="2" t="s">
        <v>481</v>
      </c>
      <c r="B99" s="2" t="s">
        <v>184</v>
      </c>
      <c r="C99" s="2" t="s">
        <v>482</v>
      </c>
      <c r="D99" s="2" t="s">
        <v>483</v>
      </c>
      <c r="E99" s="2" t="s">
        <v>144</v>
      </c>
      <c r="F99" s="2" t="n">
        <v>52.3581348743052</v>
      </c>
      <c r="G99" s="2" t="n">
        <v>-8.46277176656097</v>
      </c>
      <c r="H99" s="2" t="s">
        <v>198</v>
      </c>
      <c r="I99" s="2" t="n">
        <f aca="false">COUNTIF(Applications!$B$2:$B$293,A99)</f>
        <v>1</v>
      </c>
      <c r="J99" s="2" t="n">
        <f aca="false">COUNTIFS(Applications!$B$2:$B$293,A99,Applications!$Z$2:$Z$293,"Yes")</f>
        <v>1</v>
      </c>
      <c r="K99" s="10" t="n">
        <f aca="false">SUMIFS(Applications!$AI$2:$AI$293,Applications!$B$2:$B$293,A99)</f>
        <v>14</v>
      </c>
      <c r="L99" s="10" t="n">
        <f aca="false">SUMIFS(Applications!$AL$2:$AL$293,Applications!$B$2:$B$293,A99)</f>
        <v>14</v>
      </c>
      <c r="M99" s="10" t="n">
        <f aca="false">SUMIFS(Applications!$AM$2:$AM$293,Applications!$B$2:$B$293,A99)</f>
        <v>0</v>
      </c>
      <c r="N99" s="10" t="n">
        <f aca="false">SUMIFS(Applications!$AK$2:$AK$293,Applications!$B$2:$B$293,A99)</f>
        <v>0</v>
      </c>
      <c r="O99" s="2" t="n">
        <f aca="false">I99-J99</f>
        <v>0</v>
      </c>
      <c r="P99" s="2" t="n">
        <f aca="false">COUNTIFS(Applications!$B$2:$B$293,A99,Applications!$W$2:$W$293,"Low",Applications!$X$2:$X$293,"")</f>
        <v>0</v>
      </c>
      <c r="Q99" s="2" t="n">
        <f aca="false">COUNTIFS(Applications!$B$2:$B$293,A99,Applications!$AH$2:$AH$293,"Past*")+COUNTIFS(Applications!$B$2:$B$293,A99,Applications!$AH$2:$AH$293,"No CIS*")</f>
        <v>0</v>
      </c>
      <c r="R99" s="2"/>
      <c r="S99" s="2" t="s">
        <v>124</v>
      </c>
      <c r="T99" s="2" t="str">
        <f aca="false">IF(OR(R99&lt;&gt;"",S99="Yes",P99&gt;0,Q99&gt;0),IF(U99="Yes","Resolved","Yes"),"No")</f>
        <v>No</v>
      </c>
      <c r="U99" s="7"/>
      <c r="V99" s="7"/>
    </row>
    <row r="100" customFormat="false" ht="15" hidden="false" customHeight="false" outlineLevel="0" collapsed="false">
      <c r="A100" s="2" t="s">
        <v>484</v>
      </c>
      <c r="B100" s="2" t="s">
        <v>184</v>
      </c>
      <c r="C100" s="2" t="s">
        <v>485</v>
      </c>
      <c r="D100" s="2" t="s">
        <v>486</v>
      </c>
      <c r="E100" s="2" t="s">
        <v>139</v>
      </c>
      <c r="F100" s="2" t="n">
        <v>52.6535930172935</v>
      </c>
      <c r="G100" s="2" t="n">
        <v>-8.56515623920782</v>
      </c>
      <c r="H100" s="2" t="s">
        <v>198</v>
      </c>
      <c r="I100" s="2" t="n">
        <f aca="false">COUNTIF(Applications!$B$2:$B$293,A100)</f>
        <v>2</v>
      </c>
      <c r="J100" s="2" t="n">
        <f aca="false">COUNTIFS(Applications!$B$2:$B$293,A100,Applications!$Z$2:$Z$293,"Yes")</f>
        <v>2</v>
      </c>
      <c r="K100" s="10" t="n">
        <f aca="false">SUMIFS(Applications!$AI$2:$AI$293,Applications!$B$2:$B$293,A100)</f>
        <v>20</v>
      </c>
      <c r="L100" s="10" t="n">
        <f aca="false">SUMIFS(Applications!$AL$2:$AL$293,Applications!$B$2:$B$293,A100)</f>
        <v>20</v>
      </c>
      <c r="M100" s="10" t="n">
        <f aca="false">SUMIFS(Applications!$AM$2:$AM$293,Applications!$B$2:$B$293,A100)</f>
        <v>0</v>
      </c>
      <c r="N100" s="10" t="n">
        <f aca="false">SUMIFS(Applications!$AK$2:$AK$293,Applications!$B$2:$B$293,A100)</f>
        <v>0</v>
      </c>
      <c r="O100" s="2" t="n">
        <f aca="false">I100-J100</f>
        <v>0</v>
      </c>
      <c r="P100" s="2" t="n">
        <f aca="false">COUNTIFS(Applications!$B$2:$B$293,A100,Applications!$W$2:$W$293,"Low",Applications!$X$2:$X$293,"")</f>
        <v>1</v>
      </c>
      <c r="Q100" s="2" t="n">
        <f aca="false">COUNTIFS(Applications!$B$2:$B$293,A100,Applications!$AH$2:$AH$293,"Past*")+COUNTIFS(Applications!$B$2:$B$293,A100,Applications!$AH$2:$AH$293,"No CIS*")</f>
        <v>1</v>
      </c>
      <c r="R100" s="2"/>
      <c r="S100" s="2" t="s">
        <v>121</v>
      </c>
      <c r="T100" s="2" t="str">
        <f aca="false">IF(OR(R100&lt;&gt;"",S100="Yes",P100&gt;0,Q100&gt;0),IF(U100="Yes","Resolved","Yes"),"No")</f>
        <v>Yes</v>
      </c>
      <c r="U100" s="7"/>
      <c r="V100" s="7"/>
    </row>
    <row r="101" customFormat="false" ht="15" hidden="false" customHeight="false" outlineLevel="0" collapsed="false">
      <c r="A101" s="2" t="s">
        <v>487</v>
      </c>
      <c r="B101" s="2" t="s">
        <v>184</v>
      </c>
      <c r="C101" s="2" t="s">
        <v>488</v>
      </c>
      <c r="D101" s="2" t="s">
        <v>489</v>
      </c>
      <c r="E101" s="2" t="s">
        <v>141</v>
      </c>
      <c r="F101" s="2" t="n">
        <v>52.4599735881</v>
      </c>
      <c r="G101" s="2" t="n">
        <v>-9.06421740657097</v>
      </c>
      <c r="H101" s="2" t="s">
        <v>187</v>
      </c>
      <c r="I101" s="2" t="n">
        <f aca="false">COUNTIF(Applications!$B$2:$B$293,A101)</f>
        <v>1</v>
      </c>
      <c r="J101" s="2" t="n">
        <f aca="false">COUNTIFS(Applications!$B$2:$B$293,A101,Applications!$Z$2:$Z$293,"Yes")</f>
        <v>1</v>
      </c>
      <c r="K101" s="10" t="n">
        <f aca="false">SUMIFS(Applications!$AI$2:$AI$293,Applications!$B$2:$B$293,A101)</f>
        <v>14</v>
      </c>
      <c r="L101" s="10" t="n">
        <f aca="false">SUMIFS(Applications!$AL$2:$AL$293,Applications!$B$2:$B$293,A101)</f>
        <v>14</v>
      </c>
      <c r="M101" s="10" t="n">
        <f aca="false">SUMIFS(Applications!$AM$2:$AM$293,Applications!$B$2:$B$293,A101)</f>
        <v>0</v>
      </c>
      <c r="N101" s="10" t="n">
        <f aca="false">SUMIFS(Applications!$AK$2:$AK$293,Applications!$B$2:$B$293,A101)</f>
        <v>0</v>
      </c>
      <c r="O101" s="2" t="n">
        <f aca="false">I101-J101</f>
        <v>0</v>
      </c>
      <c r="P101" s="2" t="n">
        <f aca="false">COUNTIFS(Applications!$B$2:$B$293,A101,Applications!$W$2:$W$293,"Low",Applications!$X$2:$X$293,"")</f>
        <v>0</v>
      </c>
      <c r="Q101" s="2" t="n">
        <f aca="false">COUNTIFS(Applications!$B$2:$B$293,A101,Applications!$AH$2:$AH$293,"Past*")+COUNTIFS(Applications!$B$2:$B$293,A101,Applications!$AH$2:$AH$293,"No CIS*")</f>
        <v>1</v>
      </c>
      <c r="R101" s="2"/>
      <c r="S101" s="2" t="s">
        <v>124</v>
      </c>
      <c r="T101" s="2" t="str">
        <f aca="false">IF(OR(R101&lt;&gt;"",S101="Yes",P101&gt;0,Q101&gt;0),IF(U101="Yes","Resolved","Yes"),"No")</f>
        <v>Yes</v>
      </c>
      <c r="U101" s="7"/>
      <c r="V101" s="7"/>
    </row>
    <row r="102" customFormat="false" ht="15" hidden="false" customHeight="false" outlineLevel="0" collapsed="false">
      <c r="A102" s="2" t="s">
        <v>490</v>
      </c>
      <c r="B102" s="2" t="s">
        <v>184</v>
      </c>
      <c r="C102" s="2" t="s">
        <v>491</v>
      </c>
      <c r="D102" s="2" t="s">
        <v>492</v>
      </c>
      <c r="E102" s="2" t="s">
        <v>144</v>
      </c>
      <c r="F102" s="2" t="n">
        <v>52.6083365056034</v>
      </c>
      <c r="G102" s="2" t="n">
        <v>-8.62405665138444</v>
      </c>
      <c r="H102" s="2" t="s">
        <v>194</v>
      </c>
      <c r="I102" s="2" t="n">
        <f aca="false">COUNTIF(Applications!$B$2:$B$293,A102)</f>
        <v>1</v>
      </c>
      <c r="J102" s="2" t="n">
        <f aca="false">COUNTIFS(Applications!$B$2:$B$293,A102,Applications!$Z$2:$Z$293,"Yes")</f>
        <v>1</v>
      </c>
      <c r="K102" s="10" t="n">
        <f aca="false">SUMIFS(Applications!$AI$2:$AI$293,Applications!$B$2:$B$293,A102)</f>
        <v>3</v>
      </c>
      <c r="L102" s="10" t="n">
        <f aca="false">SUMIFS(Applications!$AL$2:$AL$293,Applications!$B$2:$B$293,A102)</f>
        <v>3</v>
      </c>
      <c r="M102" s="10" t="n">
        <f aca="false">SUMIFS(Applications!$AM$2:$AM$293,Applications!$B$2:$B$293,A102)</f>
        <v>0</v>
      </c>
      <c r="N102" s="10" t="n">
        <f aca="false">SUMIFS(Applications!$AK$2:$AK$293,Applications!$B$2:$B$293,A102)</f>
        <v>0</v>
      </c>
      <c r="O102" s="2" t="n">
        <f aca="false">I102-J102</f>
        <v>0</v>
      </c>
      <c r="P102" s="2" t="n">
        <f aca="false">COUNTIFS(Applications!$B$2:$B$293,A102,Applications!$W$2:$W$293,"Low",Applications!$X$2:$X$293,"")</f>
        <v>0</v>
      </c>
      <c r="Q102" s="2" t="n">
        <f aca="false">COUNTIFS(Applications!$B$2:$B$293,A102,Applications!$AH$2:$AH$293,"Past*")+COUNTIFS(Applications!$B$2:$B$293,A102,Applications!$AH$2:$AH$293,"No CIS*")</f>
        <v>1</v>
      </c>
      <c r="R102" s="2"/>
      <c r="S102" s="2" t="s">
        <v>124</v>
      </c>
      <c r="T102" s="2" t="str">
        <f aca="false">IF(OR(R102&lt;&gt;"",S102="Yes",P102&gt;0,Q102&gt;0),IF(U102="Yes","Resolved","Yes"),"No")</f>
        <v>Yes</v>
      </c>
      <c r="U102" s="7"/>
      <c r="V102" s="7"/>
    </row>
    <row r="103" customFormat="false" ht="15" hidden="false" customHeight="false" outlineLevel="0" collapsed="false">
      <c r="A103" s="2" t="s">
        <v>493</v>
      </c>
      <c r="B103" s="2" t="s">
        <v>184</v>
      </c>
      <c r="C103" s="2" t="s">
        <v>494</v>
      </c>
      <c r="D103" s="2" t="s">
        <v>495</v>
      </c>
      <c r="E103" s="2" t="s">
        <v>144</v>
      </c>
      <c r="F103" s="2" t="n">
        <v>52.4365673110552</v>
      </c>
      <c r="G103" s="2" t="n">
        <v>-8.40736411283499</v>
      </c>
      <c r="H103" s="2" t="s">
        <v>251</v>
      </c>
      <c r="I103" s="2" t="n">
        <f aca="false">COUNTIF(Applications!$B$2:$B$293,A103)</f>
        <v>1</v>
      </c>
      <c r="J103" s="2" t="n">
        <f aca="false">COUNTIFS(Applications!$B$2:$B$293,A103,Applications!$Z$2:$Z$293,"Yes")</f>
        <v>1</v>
      </c>
      <c r="K103" s="10" t="n">
        <f aca="false">SUMIFS(Applications!$AI$2:$AI$293,Applications!$B$2:$B$293,A103)</f>
        <v>12</v>
      </c>
      <c r="L103" s="10" t="n">
        <f aca="false">SUMIFS(Applications!$AL$2:$AL$293,Applications!$B$2:$B$293,A103)</f>
        <v>0</v>
      </c>
      <c r="M103" s="10" t="n">
        <f aca="false">SUMIFS(Applications!$AM$2:$AM$293,Applications!$B$2:$B$293,A103)</f>
        <v>0</v>
      </c>
      <c r="N103" s="10" t="n">
        <f aca="false">SUMIFS(Applications!$AK$2:$AK$293,Applications!$B$2:$B$293,A103)</f>
        <v>12</v>
      </c>
      <c r="O103" s="2" t="n">
        <f aca="false">I103-J103</f>
        <v>0</v>
      </c>
      <c r="P103" s="2" t="n">
        <f aca="false">COUNTIFS(Applications!$B$2:$B$293,A103,Applications!$W$2:$W$293,"Low",Applications!$X$2:$X$293,"")</f>
        <v>0</v>
      </c>
      <c r="Q103" s="2" t="n">
        <f aca="false">COUNTIFS(Applications!$B$2:$B$293,A103,Applications!$AH$2:$AH$293,"Past*")+COUNTIFS(Applications!$B$2:$B$293,A103,Applications!$AH$2:$AH$293,"No CIS*")</f>
        <v>0</v>
      </c>
      <c r="R103" s="2"/>
      <c r="S103" s="2" t="s">
        <v>124</v>
      </c>
      <c r="T103" s="2" t="str">
        <f aca="false">IF(OR(R103&lt;&gt;"",S103="Yes",P103&gt;0,Q103&gt;0),IF(U103="Yes","Resolved","Yes"),"No")</f>
        <v>No</v>
      </c>
      <c r="U103" s="7"/>
      <c r="V103" s="7"/>
    </row>
    <row r="104" customFormat="false" ht="15" hidden="false" customHeight="false" outlineLevel="0" collapsed="false">
      <c r="A104" s="2" t="s">
        <v>496</v>
      </c>
      <c r="B104" s="2" t="s">
        <v>184</v>
      </c>
      <c r="C104" s="2" t="s">
        <v>497</v>
      </c>
      <c r="D104" s="2" t="s">
        <v>498</v>
      </c>
      <c r="E104" s="2" t="s">
        <v>144</v>
      </c>
      <c r="F104" s="2" t="n">
        <v>52.4725190905068</v>
      </c>
      <c r="G104" s="2" t="n">
        <v>-8.43034312600706</v>
      </c>
      <c r="H104" s="2" t="s">
        <v>251</v>
      </c>
      <c r="I104" s="2" t="n">
        <f aca="false">COUNTIF(Applications!$B$2:$B$293,A104)</f>
        <v>1</v>
      </c>
      <c r="J104" s="2" t="n">
        <f aca="false">COUNTIFS(Applications!$B$2:$B$293,A104,Applications!$Z$2:$Z$293,"Yes")</f>
        <v>1</v>
      </c>
      <c r="K104" s="10" t="n">
        <f aca="false">SUMIFS(Applications!$AI$2:$AI$293,Applications!$B$2:$B$293,A104)</f>
        <v>20</v>
      </c>
      <c r="L104" s="10" t="n">
        <f aca="false">SUMIFS(Applications!$AL$2:$AL$293,Applications!$B$2:$B$293,A104)</f>
        <v>0</v>
      </c>
      <c r="M104" s="10" t="n">
        <f aca="false">SUMIFS(Applications!$AM$2:$AM$293,Applications!$B$2:$B$293,A104)</f>
        <v>0</v>
      </c>
      <c r="N104" s="10" t="n">
        <f aca="false">SUMIFS(Applications!$AK$2:$AK$293,Applications!$B$2:$B$293,A104)</f>
        <v>20</v>
      </c>
      <c r="O104" s="2" t="n">
        <f aca="false">I104-J104</f>
        <v>0</v>
      </c>
      <c r="P104" s="2" t="n">
        <f aca="false">COUNTIFS(Applications!$B$2:$B$293,A104,Applications!$W$2:$W$293,"Low",Applications!$X$2:$X$293,"")</f>
        <v>0</v>
      </c>
      <c r="Q104" s="2" t="n">
        <f aca="false">COUNTIFS(Applications!$B$2:$B$293,A104,Applications!$AH$2:$AH$293,"Past*")+COUNTIFS(Applications!$B$2:$B$293,A104,Applications!$AH$2:$AH$293,"No CIS*")</f>
        <v>0</v>
      </c>
      <c r="R104" s="2"/>
      <c r="S104" s="2" t="s">
        <v>124</v>
      </c>
      <c r="T104" s="2" t="str">
        <f aca="false">IF(OR(R104&lt;&gt;"",S104="Yes",P104&gt;0,Q104&gt;0),IF(U104="Yes","Resolved","Yes"),"No")</f>
        <v>No</v>
      </c>
      <c r="U104" s="7"/>
      <c r="V104" s="7"/>
    </row>
    <row r="105" customFormat="false" ht="15" hidden="false" customHeight="false" outlineLevel="0" collapsed="false">
      <c r="A105" s="2" t="s">
        <v>499</v>
      </c>
      <c r="B105" s="2" t="s">
        <v>184</v>
      </c>
      <c r="C105" s="2" t="s">
        <v>500</v>
      </c>
      <c r="D105" s="2" t="s">
        <v>501</v>
      </c>
      <c r="E105" s="2" t="s">
        <v>144</v>
      </c>
      <c r="F105" s="2" t="n">
        <v>52.6488326087072</v>
      </c>
      <c r="G105" s="2" t="n">
        <v>-8.63451516680654</v>
      </c>
      <c r="H105" s="2" t="s">
        <v>187</v>
      </c>
      <c r="I105" s="2" t="n">
        <f aca="false">COUNTIF(Applications!$B$2:$B$293,A105)</f>
        <v>1</v>
      </c>
      <c r="J105" s="2" t="n">
        <f aca="false">COUNTIFS(Applications!$B$2:$B$293,A105,Applications!$Z$2:$Z$293,"Yes")</f>
        <v>0</v>
      </c>
      <c r="K105" s="10" t="n">
        <f aca="false">SUMIFS(Applications!$AI$2:$AI$293,Applications!$B$2:$B$293,A105)</f>
        <v>0</v>
      </c>
      <c r="L105" s="10" t="n">
        <f aca="false">SUMIFS(Applications!$AL$2:$AL$293,Applications!$B$2:$B$293,A105)</f>
        <v>0</v>
      </c>
      <c r="M105" s="10" t="n">
        <f aca="false">SUMIFS(Applications!$AM$2:$AM$293,Applications!$B$2:$B$293,A105)</f>
        <v>0</v>
      </c>
      <c r="N105" s="10" t="n">
        <f aca="false">SUMIFS(Applications!$AK$2:$AK$293,Applications!$B$2:$B$293,A105)</f>
        <v>0</v>
      </c>
      <c r="O105" s="2" t="n">
        <f aca="false">I105-J105</f>
        <v>1</v>
      </c>
      <c r="P105" s="2" t="n">
        <f aca="false">COUNTIFS(Applications!$B$2:$B$293,A105,Applications!$W$2:$W$293,"Low",Applications!$X$2:$X$293,"")</f>
        <v>0</v>
      </c>
      <c r="Q105" s="2" t="n">
        <f aca="false">COUNTIFS(Applications!$B$2:$B$293,A105,Applications!$AH$2:$AH$293,"Past*")+COUNTIFS(Applications!$B$2:$B$293,A105,Applications!$AH$2:$AH$293,"No CIS*")</f>
        <v>0</v>
      </c>
      <c r="R105" s="2"/>
      <c r="S105" s="2" t="s">
        <v>124</v>
      </c>
      <c r="T105" s="2" t="str">
        <f aca="false">IF(OR(R105&lt;&gt;"",S105="Yes",P105&gt;0,Q105&gt;0),IF(U105="Yes","Resolved","Yes"),"No")</f>
        <v>No</v>
      </c>
      <c r="U105" s="7"/>
      <c r="V105" s="7"/>
    </row>
    <row r="106" customFormat="false" ht="15" hidden="false" customHeight="false" outlineLevel="0" collapsed="false">
      <c r="A106" s="2" t="s">
        <v>502</v>
      </c>
      <c r="B106" s="2" t="s">
        <v>184</v>
      </c>
      <c r="C106" s="2" t="s">
        <v>503</v>
      </c>
      <c r="D106" s="2" t="s">
        <v>504</v>
      </c>
      <c r="E106" s="2" t="s">
        <v>144</v>
      </c>
      <c r="F106" s="2" t="n">
        <v>52.7130196869471</v>
      </c>
      <c r="G106" s="2" t="n">
        <v>-8.49614559095982</v>
      </c>
      <c r="H106" s="2" t="s">
        <v>251</v>
      </c>
      <c r="I106" s="2" t="n">
        <f aca="false">COUNTIF(Applications!$B$2:$B$293,A106)</f>
        <v>1</v>
      </c>
      <c r="J106" s="2" t="n">
        <f aca="false">COUNTIFS(Applications!$B$2:$B$293,A106,Applications!$Z$2:$Z$293,"Yes")</f>
        <v>1</v>
      </c>
      <c r="K106" s="10" t="n">
        <f aca="false">SUMIFS(Applications!$AI$2:$AI$293,Applications!$B$2:$B$293,A106)</f>
        <v>13</v>
      </c>
      <c r="L106" s="10" t="n">
        <f aca="false">SUMIFS(Applications!$AL$2:$AL$293,Applications!$B$2:$B$293,A106)</f>
        <v>0</v>
      </c>
      <c r="M106" s="10" t="n">
        <f aca="false">SUMIFS(Applications!$AM$2:$AM$293,Applications!$B$2:$B$293,A106)</f>
        <v>0</v>
      </c>
      <c r="N106" s="10" t="n">
        <f aca="false">SUMIFS(Applications!$AK$2:$AK$293,Applications!$B$2:$B$293,A106)</f>
        <v>13</v>
      </c>
      <c r="O106" s="2" t="n">
        <f aca="false">I106-J106</f>
        <v>0</v>
      </c>
      <c r="P106" s="2" t="n">
        <f aca="false">COUNTIFS(Applications!$B$2:$B$293,A106,Applications!$W$2:$W$293,"Low",Applications!$X$2:$X$293,"")</f>
        <v>0</v>
      </c>
      <c r="Q106" s="2" t="n">
        <f aca="false">COUNTIFS(Applications!$B$2:$B$293,A106,Applications!$AH$2:$AH$293,"Past*")+COUNTIFS(Applications!$B$2:$B$293,A106,Applications!$AH$2:$AH$293,"No CIS*")</f>
        <v>0</v>
      </c>
      <c r="R106" s="2"/>
      <c r="S106" s="2" t="s">
        <v>124</v>
      </c>
      <c r="T106" s="2" t="str">
        <f aca="false">IF(OR(R106&lt;&gt;"",S106="Yes",P106&gt;0,Q106&gt;0),IF(U106="Yes","Resolved","Yes"),"No")</f>
        <v>No</v>
      </c>
      <c r="U106" s="7"/>
      <c r="V106" s="7"/>
    </row>
    <row r="107" customFormat="false" ht="15" hidden="false" customHeight="false" outlineLevel="0" collapsed="false">
      <c r="A107" s="2" t="s">
        <v>505</v>
      </c>
      <c r="B107" s="2" t="s">
        <v>184</v>
      </c>
      <c r="C107" s="2" t="s">
        <v>506</v>
      </c>
      <c r="D107" s="2" t="s">
        <v>507</v>
      </c>
      <c r="E107" s="2" t="s">
        <v>144</v>
      </c>
      <c r="F107" s="2" t="n">
        <v>52.360611898729</v>
      </c>
      <c r="G107" s="2" t="n">
        <v>-8.47004819507868</v>
      </c>
      <c r="H107" s="2" t="s">
        <v>251</v>
      </c>
      <c r="I107" s="2" t="n">
        <f aca="false">COUNTIF(Applications!$B$2:$B$293,A107)</f>
        <v>1</v>
      </c>
      <c r="J107" s="2" t="n">
        <f aca="false">COUNTIFS(Applications!$B$2:$B$293,A107,Applications!$Z$2:$Z$293,"Yes")</f>
        <v>1</v>
      </c>
      <c r="K107" s="10" t="n">
        <f aca="false">SUMIFS(Applications!$AI$2:$AI$293,Applications!$B$2:$B$293,A107)</f>
        <v>9</v>
      </c>
      <c r="L107" s="10" t="n">
        <f aca="false">SUMIFS(Applications!$AL$2:$AL$293,Applications!$B$2:$B$293,A107)</f>
        <v>0</v>
      </c>
      <c r="M107" s="10" t="n">
        <f aca="false">SUMIFS(Applications!$AM$2:$AM$293,Applications!$B$2:$B$293,A107)</f>
        <v>0</v>
      </c>
      <c r="N107" s="10" t="n">
        <f aca="false">SUMIFS(Applications!$AK$2:$AK$293,Applications!$B$2:$B$293,A107)</f>
        <v>9</v>
      </c>
      <c r="O107" s="2" t="n">
        <f aca="false">I107-J107</f>
        <v>0</v>
      </c>
      <c r="P107" s="2" t="n">
        <f aca="false">COUNTIFS(Applications!$B$2:$B$293,A107,Applications!$W$2:$W$293,"Low",Applications!$X$2:$X$293,"")</f>
        <v>0</v>
      </c>
      <c r="Q107" s="2" t="n">
        <f aca="false">COUNTIFS(Applications!$B$2:$B$293,A107,Applications!$AH$2:$AH$293,"Past*")+COUNTIFS(Applications!$B$2:$B$293,A107,Applications!$AH$2:$AH$293,"No CIS*")</f>
        <v>0</v>
      </c>
      <c r="R107" s="2"/>
      <c r="S107" s="2" t="s">
        <v>124</v>
      </c>
      <c r="T107" s="2" t="str">
        <f aca="false">IF(OR(R107&lt;&gt;"",S107="Yes",P107&gt;0,Q107&gt;0),IF(U107="Yes","Resolved","Yes"),"No")</f>
        <v>No</v>
      </c>
      <c r="U107" s="7"/>
      <c r="V107" s="7"/>
    </row>
    <row r="108" customFormat="false" ht="15" hidden="false" customHeight="false" outlineLevel="0" collapsed="false">
      <c r="A108" s="2" t="s">
        <v>508</v>
      </c>
      <c r="B108" s="2" t="s">
        <v>184</v>
      </c>
      <c r="C108" s="2" t="s">
        <v>509</v>
      </c>
      <c r="D108" s="2" t="s">
        <v>510</v>
      </c>
      <c r="E108" s="2" t="s">
        <v>133</v>
      </c>
      <c r="F108" s="2" t="n">
        <v>52.6674835785784</v>
      </c>
      <c r="G108" s="2" t="n">
        <v>-8.53553625011763</v>
      </c>
      <c r="H108" s="2" t="s">
        <v>187</v>
      </c>
      <c r="I108" s="2" t="n">
        <f aca="false">COUNTIF(Applications!$B$2:$B$293,A108)</f>
        <v>1</v>
      </c>
      <c r="J108" s="2" t="n">
        <f aca="false">COUNTIFS(Applications!$B$2:$B$293,A108,Applications!$Z$2:$Z$293,"Yes")</f>
        <v>1</v>
      </c>
      <c r="K108" s="10" t="n">
        <f aca="false">SUMIFS(Applications!$AI$2:$AI$293,Applications!$B$2:$B$293,A108)</f>
        <v>137</v>
      </c>
      <c r="L108" s="10" t="n">
        <f aca="false">SUMIFS(Applications!$AL$2:$AL$293,Applications!$B$2:$B$293,A108)</f>
        <v>137</v>
      </c>
      <c r="M108" s="10" t="n">
        <f aca="false">SUMIFS(Applications!$AM$2:$AM$293,Applications!$B$2:$B$293,A108)</f>
        <v>0</v>
      </c>
      <c r="N108" s="10" t="n">
        <f aca="false">SUMIFS(Applications!$AK$2:$AK$293,Applications!$B$2:$B$293,A108)</f>
        <v>0</v>
      </c>
      <c r="O108" s="2" t="n">
        <f aca="false">I108-J108</f>
        <v>0</v>
      </c>
      <c r="P108" s="2" t="n">
        <f aca="false">COUNTIFS(Applications!$B$2:$B$293,A108,Applications!$W$2:$W$293,"Low",Applications!$X$2:$X$293,"")</f>
        <v>0</v>
      </c>
      <c r="Q108" s="2" t="n">
        <f aca="false">COUNTIFS(Applications!$B$2:$B$293,A108,Applications!$AH$2:$AH$293,"Past*")+COUNTIFS(Applications!$B$2:$B$293,A108,Applications!$AH$2:$AH$293,"No CIS*")</f>
        <v>1</v>
      </c>
      <c r="R108" s="2"/>
      <c r="S108" s="2" t="s">
        <v>124</v>
      </c>
      <c r="T108" s="2" t="str">
        <f aca="false">IF(OR(R108&lt;&gt;"",S108="Yes",P108&gt;0,Q108&gt;0),IF(U108="Yes","Resolved","Yes"),"No")</f>
        <v>Yes</v>
      </c>
      <c r="U108" s="7"/>
      <c r="V108" s="7"/>
    </row>
    <row r="109" customFormat="false" ht="15" hidden="false" customHeight="false" outlineLevel="0" collapsed="false">
      <c r="A109" s="2" t="s">
        <v>511</v>
      </c>
      <c r="B109" s="2" t="s">
        <v>184</v>
      </c>
      <c r="C109" s="2" t="s">
        <v>512</v>
      </c>
      <c r="D109" s="2" t="s">
        <v>513</v>
      </c>
      <c r="E109" s="2" t="s">
        <v>139</v>
      </c>
      <c r="F109" s="2" t="n">
        <v>52.6613527545857</v>
      </c>
      <c r="G109" s="2" t="n">
        <v>-8.57335511439373</v>
      </c>
      <c r="H109" s="2" t="s">
        <v>198</v>
      </c>
      <c r="I109" s="2" t="n">
        <f aca="false">COUNTIF(Applications!$B$2:$B$293,A109)</f>
        <v>1</v>
      </c>
      <c r="J109" s="2" t="n">
        <f aca="false">COUNTIFS(Applications!$B$2:$B$293,A109,Applications!$Z$2:$Z$293,"Yes")</f>
        <v>1</v>
      </c>
      <c r="K109" s="10" t="n">
        <f aca="false">SUMIFS(Applications!$AI$2:$AI$293,Applications!$B$2:$B$293,A109)</f>
        <v>62</v>
      </c>
      <c r="L109" s="10" t="n">
        <f aca="false">SUMIFS(Applications!$AL$2:$AL$293,Applications!$B$2:$B$293,A109)</f>
        <v>62</v>
      </c>
      <c r="M109" s="10" t="n">
        <f aca="false">SUMIFS(Applications!$AM$2:$AM$293,Applications!$B$2:$B$293,A109)</f>
        <v>0</v>
      </c>
      <c r="N109" s="10" t="n">
        <f aca="false">SUMIFS(Applications!$AK$2:$AK$293,Applications!$B$2:$B$293,A109)</f>
        <v>0</v>
      </c>
      <c r="O109" s="2" t="n">
        <f aca="false">I109-J109</f>
        <v>0</v>
      </c>
      <c r="P109" s="2" t="n">
        <f aca="false">COUNTIFS(Applications!$B$2:$B$293,A109,Applications!$W$2:$W$293,"Low",Applications!$X$2:$X$293,"")</f>
        <v>0</v>
      </c>
      <c r="Q109" s="2" t="n">
        <f aca="false">COUNTIFS(Applications!$B$2:$B$293,A109,Applications!$AH$2:$AH$293,"Past*")+COUNTIFS(Applications!$B$2:$B$293,A109,Applications!$AH$2:$AH$293,"No CIS*")</f>
        <v>0</v>
      </c>
      <c r="R109" s="2"/>
      <c r="S109" s="2" t="s">
        <v>124</v>
      </c>
      <c r="T109" s="2" t="str">
        <f aca="false">IF(OR(R109&lt;&gt;"",S109="Yes",P109&gt;0,Q109&gt;0),IF(U109="Yes","Resolved","Yes"),"No")</f>
        <v>No</v>
      </c>
      <c r="U109" s="7"/>
      <c r="V109" s="7"/>
    </row>
    <row r="110" customFormat="false" ht="15" hidden="false" customHeight="false" outlineLevel="0" collapsed="false">
      <c r="A110" s="2" t="s">
        <v>514</v>
      </c>
      <c r="B110" s="2" t="s">
        <v>184</v>
      </c>
      <c r="C110" s="2" t="s">
        <v>515</v>
      </c>
      <c r="D110" s="2" t="s">
        <v>516</v>
      </c>
      <c r="E110" s="2" t="s">
        <v>144</v>
      </c>
      <c r="F110" s="2" t="n">
        <v>52.6505532652232</v>
      </c>
      <c r="G110" s="2" t="n">
        <v>-8.39676290327956</v>
      </c>
      <c r="H110" s="2" t="s">
        <v>453</v>
      </c>
      <c r="I110" s="2" t="n">
        <f aca="false">COUNTIF(Applications!$B$2:$B$293,A110)</f>
        <v>1</v>
      </c>
      <c r="J110" s="2" t="n">
        <f aca="false">COUNTIFS(Applications!$B$2:$B$293,A110,Applications!$Z$2:$Z$293,"Yes")</f>
        <v>1</v>
      </c>
      <c r="K110" s="10" t="n">
        <f aca="false">SUMIFS(Applications!$AI$2:$AI$293,Applications!$B$2:$B$293,A110)</f>
        <v>32</v>
      </c>
      <c r="L110" s="10" t="n">
        <f aca="false">SUMIFS(Applications!$AL$2:$AL$293,Applications!$B$2:$B$293,A110)</f>
        <v>32</v>
      </c>
      <c r="M110" s="10" t="n">
        <f aca="false">SUMIFS(Applications!$AM$2:$AM$293,Applications!$B$2:$B$293,A110)</f>
        <v>0</v>
      </c>
      <c r="N110" s="10" t="n">
        <f aca="false">SUMIFS(Applications!$AK$2:$AK$293,Applications!$B$2:$B$293,A110)</f>
        <v>0</v>
      </c>
      <c r="O110" s="2" t="n">
        <f aca="false">I110-J110</f>
        <v>0</v>
      </c>
      <c r="P110" s="2" t="n">
        <f aca="false">COUNTIFS(Applications!$B$2:$B$293,A110,Applications!$W$2:$W$293,"Low",Applications!$X$2:$X$293,"")</f>
        <v>0</v>
      </c>
      <c r="Q110" s="2" t="n">
        <f aca="false">COUNTIFS(Applications!$B$2:$B$293,A110,Applications!$AH$2:$AH$293,"Past*")+COUNTIFS(Applications!$B$2:$B$293,A110,Applications!$AH$2:$AH$293,"No CIS*")</f>
        <v>0</v>
      </c>
      <c r="R110" s="2"/>
      <c r="S110" s="2" t="s">
        <v>124</v>
      </c>
      <c r="T110" s="2" t="str">
        <f aca="false">IF(OR(R110&lt;&gt;"",S110="Yes",P110&gt;0,Q110&gt;0),IF(U110="Yes","Resolved","Yes"),"No")</f>
        <v>No</v>
      </c>
      <c r="U110" s="7"/>
      <c r="V110" s="7"/>
    </row>
    <row r="111" customFormat="false" ht="15" hidden="false" customHeight="false" outlineLevel="0" collapsed="false">
      <c r="A111" s="2" t="s">
        <v>517</v>
      </c>
      <c r="B111" s="2" t="s">
        <v>184</v>
      </c>
      <c r="C111" s="2" t="s">
        <v>518</v>
      </c>
      <c r="D111" s="2" t="s">
        <v>519</v>
      </c>
      <c r="E111" s="2" t="s">
        <v>144</v>
      </c>
      <c r="F111" s="2" t="n">
        <v>52.6559615957444</v>
      </c>
      <c r="G111" s="2" t="n">
        <v>-8.62839479891528</v>
      </c>
      <c r="H111" s="2" t="s">
        <v>198</v>
      </c>
      <c r="I111" s="2" t="n">
        <f aca="false">COUNTIF(Applications!$B$2:$B$293,A111)</f>
        <v>1</v>
      </c>
      <c r="J111" s="2" t="n">
        <f aca="false">COUNTIFS(Applications!$B$2:$B$293,A111,Applications!$Z$2:$Z$293,"Yes")</f>
        <v>1</v>
      </c>
      <c r="K111" s="10" t="n">
        <f aca="false">SUMIFS(Applications!$AI$2:$AI$293,Applications!$B$2:$B$293,A111)</f>
        <v>2</v>
      </c>
      <c r="L111" s="10" t="n">
        <f aca="false">SUMIFS(Applications!$AL$2:$AL$293,Applications!$B$2:$B$293,A111)</f>
        <v>2</v>
      </c>
      <c r="M111" s="10" t="n">
        <f aca="false">SUMIFS(Applications!$AM$2:$AM$293,Applications!$B$2:$B$293,A111)</f>
        <v>0</v>
      </c>
      <c r="N111" s="10" t="n">
        <f aca="false">SUMIFS(Applications!$AK$2:$AK$293,Applications!$B$2:$B$293,A111)</f>
        <v>0</v>
      </c>
      <c r="O111" s="2" t="n">
        <f aca="false">I111-J111</f>
        <v>0</v>
      </c>
      <c r="P111" s="2" t="n">
        <f aca="false">COUNTIFS(Applications!$B$2:$B$293,A111,Applications!$W$2:$W$293,"Low",Applications!$X$2:$X$293,"")</f>
        <v>0</v>
      </c>
      <c r="Q111" s="2" t="n">
        <f aca="false">COUNTIFS(Applications!$B$2:$B$293,A111,Applications!$AH$2:$AH$293,"Past*")+COUNTIFS(Applications!$B$2:$B$293,A111,Applications!$AH$2:$AH$293,"No CIS*")</f>
        <v>0</v>
      </c>
      <c r="R111" s="2"/>
      <c r="S111" s="2" t="s">
        <v>124</v>
      </c>
      <c r="T111" s="2" t="str">
        <f aca="false">IF(OR(R111&lt;&gt;"",S111="Yes",P111&gt;0,Q111&gt;0),IF(U111="Yes","Resolved","Yes"),"No")</f>
        <v>No</v>
      </c>
      <c r="U111" s="7"/>
      <c r="V111" s="7"/>
    </row>
    <row r="112" customFormat="false" ht="15" hidden="false" customHeight="false" outlineLevel="0" collapsed="false">
      <c r="A112" s="2" t="s">
        <v>520</v>
      </c>
      <c r="B112" s="2" t="s">
        <v>184</v>
      </c>
      <c r="C112" s="2" t="s">
        <v>521</v>
      </c>
      <c r="D112" s="2" t="s">
        <v>522</v>
      </c>
      <c r="E112" s="2" t="s">
        <v>144</v>
      </c>
      <c r="F112" s="2" t="n">
        <v>52.657214766011</v>
      </c>
      <c r="G112" s="2" t="n">
        <v>-8.58625449560012</v>
      </c>
      <c r="H112" s="2" t="s">
        <v>198</v>
      </c>
      <c r="I112" s="2" t="n">
        <f aca="false">COUNTIF(Applications!$B$2:$B$293,A112)</f>
        <v>2</v>
      </c>
      <c r="J112" s="2" t="n">
        <f aca="false">COUNTIFS(Applications!$B$2:$B$293,A112,Applications!$Z$2:$Z$293,"Yes")</f>
        <v>2</v>
      </c>
      <c r="K112" s="10" t="n">
        <f aca="false">SUMIFS(Applications!$AI$2:$AI$293,Applications!$B$2:$B$293,A112)</f>
        <v>170</v>
      </c>
      <c r="L112" s="10" t="n">
        <f aca="false">SUMIFS(Applications!$AL$2:$AL$293,Applications!$B$2:$B$293,A112)</f>
        <v>37</v>
      </c>
      <c r="M112" s="10" t="n">
        <f aca="false">SUMIFS(Applications!$AM$2:$AM$293,Applications!$B$2:$B$293,A112)</f>
        <v>0</v>
      </c>
      <c r="N112" s="10" t="n">
        <f aca="false">SUMIFS(Applications!$AK$2:$AK$293,Applications!$B$2:$B$293,A112)</f>
        <v>133</v>
      </c>
      <c r="O112" s="2" t="n">
        <f aca="false">I112-J112</f>
        <v>0</v>
      </c>
      <c r="P112" s="2" t="n">
        <f aca="false">COUNTIFS(Applications!$B$2:$B$293,A112,Applications!$W$2:$W$293,"Low",Applications!$X$2:$X$293,"")</f>
        <v>1</v>
      </c>
      <c r="Q112" s="2" t="n">
        <f aca="false">COUNTIFS(Applications!$B$2:$B$293,A112,Applications!$AH$2:$AH$293,"Past*")+COUNTIFS(Applications!$B$2:$B$293,A112,Applications!$AH$2:$AH$293,"No CIS*")</f>
        <v>0</v>
      </c>
      <c r="R112" s="2"/>
      <c r="S112" s="2" t="s">
        <v>121</v>
      </c>
      <c r="T112" s="2" t="str">
        <f aca="false">IF(OR(R112&lt;&gt;"",S112="Yes",P112&gt;0,Q112&gt;0),IF(U112="Yes","Resolved","Yes"),"No")</f>
        <v>Yes</v>
      </c>
      <c r="U112" s="7"/>
      <c r="V112" s="7"/>
    </row>
    <row r="113" customFormat="false" ht="15" hidden="false" customHeight="false" outlineLevel="0" collapsed="false">
      <c r="A113" s="2" t="s">
        <v>523</v>
      </c>
      <c r="B113" s="2" t="s">
        <v>184</v>
      </c>
      <c r="C113" s="2" t="s">
        <v>524</v>
      </c>
      <c r="D113" s="2" t="s">
        <v>525</v>
      </c>
      <c r="E113" s="2" t="s">
        <v>139</v>
      </c>
      <c r="F113" s="2" t="n">
        <v>52.6590241840338</v>
      </c>
      <c r="G113" s="2" t="n">
        <v>-8.62705439944824</v>
      </c>
      <c r="H113" s="2" t="s">
        <v>187</v>
      </c>
      <c r="I113" s="2" t="n">
        <f aca="false">COUNTIF(Applications!$B$2:$B$293,A113)</f>
        <v>1</v>
      </c>
      <c r="J113" s="2" t="n">
        <f aca="false">COUNTIFS(Applications!$B$2:$B$293,A113,Applications!$Z$2:$Z$293,"Yes")</f>
        <v>1</v>
      </c>
      <c r="K113" s="10" t="n">
        <f aca="false">SUMIFS(Applications!$AI$2:$AI$293,Applications!$B$2:$B$293,A113)</f>
        <v>21</v>
      </c>
      <c r="L113" s="10" t="n">
        <f aca="false">SUMIFS(Applications!$AL$2:$AL$293,Applications!$B$2:$B$293,A113)</f>
        <v>21</v>
      </c>
      <c r="M113" s="10" t="n">
        <f aca="false">SUMIFS(Applications!$AM$2:$AM$293,Applications!$B$2:$B$293,A113)</f>
        <v>0</v>
      </c>
      <c r="N113" s="10" t="n">
        <f aca="false">SUMIFS(Applications!$AK$2:$AK$293,Applications!$B$2:$B$293,A113)</f>
        <v>0</v>
      </c>
      <c r="O113" s="2" t="n">
        <f aca="false">I113-J113</f>
        <v>0</v>
      </c>
      <c r="P113" s="2" t="n">
        <f aca="false">COUNTIFS(Applications!$B$2:$B$293,A113,Applications!$W$2:$W$293,"Low",Applications!$X$2:$X$293,"")</f>
        <v>1</v>
      </c>
      <c r="Q113" s="2" t="n">
        <f aca="false">COUNTIFS(Applications!$B$2:$B$293,A113,Applications!$AH$2:$AH$293,"Past*")+COUNTIFS(Applications!$B$2:$B$293,A113,Applications!$AH$2:$AH$293,"No CIS*")</f>
        <v>1</v>
      </c>
      <c r="R113" s="2"/>
      <c r="S113" s="2" t="s">
        <v>124</v>
      </c>
      <c r="T113" s="2" t="str">
        <f aca="false">IF(OR(R113&lt;&gt;"",S113="Yes",P113&gt;0,Q113&gt;0),IF(U113="Yes","Resolved","Yes"),"No")</f>
        <v>Yes</v>
      </c>
      <c r="U113" s="7"/>
      <c r="V113" s="7"/>
    </row>
    <row r="114" customFormat="false" ht="15" hidden="false" customHeight="false" outlineLevel="0" collapsed="false">
      <c r="A114" s="2" t="s">
        <v>526</v>
      </c>
      <c r="B114" s="2" t="s">
        <v>184</v>
      </c>
      <c r="C114" s="2" t="s">
        <v>527</v>
      </c>
      <c r="D114" s="2" t="s">
        <v>528</v>
      </c>
      <c r="E114" s="2" t="s">
        <v>144</v>
      </c>
      <c r="F114" s="2" t="n">
        <v>52.595344581374</v>
      </c>
      <c r="G114" s="2" t="n">
        <v>-9.18662878961945</v>
      </c>
      <c r="H114" s="2" t="s">
        <v>187</v>
      </c>
      <c r="I114" s="2" t="n">
        <f aca="false">COUNTIF(Applications!$B$2:$B$293,A114)</f>
        <v>1</v>
      </c>
      <c r="J114" s="2" t="n">
        <f aca="false">COUNTIFS(Applications!$B$2:$B$293,A114,Applications!$Z$2:$Z$293,"Yes")</f>
        <v>1</v>
      </c>
      <c r="K114" s="10" t="n">
        <f aca="false">SUMIFS(Applications!$AI$2:$AI$293,Applications!$B$2:$B$293,A114)</f>
        <v>3</v>
      </c>
      <c r="L114" s="10" t="n">
        <f aca="false">SUMIFS(Applications!$AL$2:$AL$293,Applications!$B$2:$B$293,A114)</f>
        <v>3</v>
      </c>
      <c r="M114" s="10" t="n">
        <f aca="false">SUMIFS(Applications!$AM$2:$AM$293,Applications!$B$2:$B$293,A114)</f>
        <v>0</v>
      </c>
      <c r="N114" s="10" t="n">
        <f aca="false">SUMIFS(Applications!$AK$2:$AK$293,Applications!$B$2:$B$293,A114)</f>
        <v>0</v>
      </c>
      <c r="O114" s="2" t="n">
        <f aca="false">I114-J114</f>
        <v>0</v>
      </c>
      <c r="P114" s="2" t="n">
        <f aca="false">COUNTIFS(Applications!$B$2:$B$293,A114,Applications!$W$2:$W$293,"Low",Applications!$X$2:$X$293,"")</f>
        <v>0</v>
      </c>
      <c r="Q114" s="2" t="n">
        <f aca="false">COUNTIFS(Applications!$B$2:$B$293,A114,Applications!$AH$2:$AH$293,"Past*")+COUNTIFS(Applications!$B$2:$B$293,A114,Applications!$AH$2:$AH$293,"No CIS*")</f>
        <v>1</v>
      </c>
      <c r="R114" s="2"/>
      <c r="S114" s="2" t="s">
        <v>124</v>
      </c>
      <c r="T114" s="2" t="str">
        <f aca="false">IF(OR(R114&lt;&gt;"",S114="Yes",P114&gt;0,Q114&gt;0),IF(U114="Yes","Resolved","Yes"),"No")</f>
        <v>Yes</v>
      </c>
      <c r="U114" s="7"/>
      <c r="V114" s="7"/>
    </row>
    <row r="115" customFormat="false" ht="15" hidden="false" customHeight="false" outlineLevel="0" collapsed="false">
      <c r="A115" s="2" t="s">
        <v>529</v>
      </c>
      <c r="B115" s="2" t="s">
        <v>184</v>
      </c>
      <c r="C115" s="2" t="s">
        <v>530</v>
      </c>
      <c r="D115" s="2" t="s">
        <v>531</v>
      </c>
      <c r="E115" s="2" t="s">
        <v>144</v>
      </c>
      <c r="F115" s="2" t="n">
        <v>52.661041190405</v>
      </c>
      <c r="G115" s="2" t="n">
        <v>-8.63039443408274</v>
      </c>
      <c r="H115" s="2" t="s">
        <v>187</v>
      </c>
      <c r="I115" s="2" t="n">
        <f aca="false">COUNTIF(Applications!$B$2:$B$293,A115)</f>
        <v>2</v>
      </c>
      <c r="J115" s="2" t="n">
        <f aca="false">COUNTIFS(Applications!$B$2:$B$293,A115,Applications!$Z$2:$Z$293,"Yes")</f>
        <v>2</v>
      </c>
      <c r="K115" s="10" t="n">
        <f aca="false">SUMIFS(Applications!$AI$2:$AI$293,Applications!$B$2:$B$293,A115)</f>
        <v>32</v>
      </c>
      <c r="L115" s="10" t="n">
        <f aca="false">SUMIFS(Applications!$AL$2:$AL$293,Applications!$B$2:$B$293,A115)</f>
        <v>32</v>
      </c>
      <c r="M115" s="10" t="n">
        <f aca="false">SUMIFS(Applications!$AM$2:$AM$293,Applications!$B$2:$B$293,A115)</f>
        <v>0</v>
      </c>
      <c r="N115" s="10" t="n">
        <f aca="false">SUMIFS(Applications!$AK$2:$AK$293,Applications!$B$2:$B$293,A115)</f>
        <v>0</v>
      </c>
      <c r="O115" s="2" t="n">
        <f aca="false">I115-J115</f>
        <v>0</v>
      </c>
      <c r="P115" s="2" t="n">
        <f aca="false">COUNTIFS(Applications!$B$2:$B$293,A115,Applications!$W$2:$W$293,"Low",Applications!$X$2:$X$293,"")</f>
        <v>1</v>
      </c>
      <c r="Q115" s="2" t="n">
        <f aca="false">COUNTIFS(Applications!$B$2:$B$293,A115,Applications!$AH$2:$AH$293,"Past*")+COUNTIFS(Applications!$B$2:$B$293,A115,Applications!$AH$2:$AH$293,"No CIS*")</f>
        <v>2</v>
      </c>
      <c r="R115" s="2"/>
      <c r="S115" s="2" t="s">
        <v>121</v>
      </c>
      <c r="T115" s="2" t="str">
        <f aca="false">IF(OR(R115&lt;&gt;"",S115="Yes",P115&gt;0,Q115&gt;0),IF(U115="Yes","Resolved","Yes"),"No")</f>
        <v>Yes</v>
      </c>
      <c r="U115" s="7"/>
      <c r="V115" s="7"/>
    </row>
    <row r="116" customFormat="false" ht="15" hidden="false" customHeight="false" outlineLevel="0" collapsed="false">
      <c r="A116" s="2" t="s">
        <v>532</v>
      </c>
      <c r="B116" s="2" t="s">
        <v>184</v>
      </c>
      <c r="C116" s="2" t="s">
        <v>533</v>
      </c>
      <c r="D116" s="2" t="s">
        <v>534</v>
      </c>
      <c r="E116" s="2" t="s">
        <v>144</v>
      </c>
      <c r="F116" s="2" t="n">
        <v>52.3718082759701</v>
      </c>
      <c r="G116" s="2" t="n">
        <v>-8.34784740711082</v>
      </c>
      <c r="H116" s="2" t="s">
        <v>198</v>
      </c>
      <c r="I116" s="2" t="n">
        <f aca="false">COUNTIF(Applications!$B$2:$B$293,A116)</f>
        <v>1</v>
      </c>
      <c r="J116" s="2" t="n">
        <f aca="false">COUNTIFS(Applications!$B$2:$B$293,A116,Applications!$Z$2:$Z$293,"Yes")</f>
        <v>1</v>
      </c>
      <c r="K116" s="10" t="n">
        <f aca="false">SUMIFS(Applications!$AI$2:$AI$293,Applications!$B$2:$B$293,A116)</f>
        <v>5</v>
      </c>
      <c r="L116" s="10" t="n">
        <f aca="false">SUMIFS(Applications!$AL$2:$AL$293,Applications!$B$2:$B$293,A116)</f>
        <v>5</v>
      </c>
      <c r="M116" s="10" t="n">
        <f aca="false">SUMIFS(Applications!$AM$2:$AM$293,Applications!$B$2:$B$293,A116)</f>
        <v>0</v>
      </c>
      <c r="N116" s="10" t="n">
        <f aca="false">SUMIFS(Applications!$AK$2:$AK$293,Applications!$B$2:$B$293,A116)</f>
        <v>0</v>
      </c>
      <c r="O116" s="2" t="n">
        <f aca="false">I116-J116</f>
        <v>0</v>
      </c>
      <c r="P116" s="2" t="n">
        <f aca="false">COUNTIFS(Applications!$B$2:$B$293,A116,Applications!$W$2:$W$293,"Low",Applications!$X$2:$X$293,"")</f>
        <v>0</v>
      </c>
      <c r="Q116" s="2" t="n">
        <f aca="false">COUNTIFS(Applications!$B$2:$B$293,A116,Applications!$AH$2:$AH$293,"Past*")+COUNTIFS(Applications!$B$2:$B$293,A116,Applications!$AH$2:$AH$293,"No CIS*")</f>
        <v>0</v>
      </c>
      <c r="R116" s="2"/>
      <c r="S116" s="2" t="s">
        <v>124</v>
      </c>
      <c r="T116" s="2" t="str">
        <f aca="false">IF(OR(R116&lt;&gt;"",S116="Yes",P116&gt;0,Q116&gt;0),IF(U116="Yes","Resolved","Yes"),"No")</f>
        <v>No</v>
      </c>
      <c r="U116" s="7"/>
      <c r="V116" s="7"/>
    </row>
    <row r="117" customFormat="false" ht="15" hidden="false" customHeight="false" outlineLevel="0" collapsed="false">
      <c r="A117" s="2" t="s">
        <v>535</v>
      </c>
      <c r="B117" s="2" t="s">
        <v>184</v>
      </c>
      <c r="C117" s="2" t="s">
        <v>536</v>
      </c>
      <c r="D117" s="2" t="s">
        <v>537</v>
      </c>
      <c r="E117" s="2" t="s">
        <v>144</v>
      </c>
      <c r="F117" s="2" t="n">
        <v>52.662574219697</v>
      </c>
      <c r="G117" s="2" t="n">
        <v>-8.61954365365873</v>
      </c>
      <c r="H117" s="2" t="s">
        <v>187</v>
      </c>
      <c r="I117" s="2" t="n">
        <f aca="false">COUNTIF(Applications!$B$2:$B$293,A117)</f>
        <v>1</v>
      </c>
      <c r="J117" s="2" t="n">
        <f aca="false">COUNTIFS(Applications!$B$2:$B$293,A117,Applications!$Z$2:$Z$293,"Yes")</f>
        <v>1</v>
      </c>
      <c r="K117" s="10" t="n">
        <f aca="false">SUMIFS(Applications!$AI$2:$AI$293,Applications!$B$2:$B$293,A117)</f>
        <v>4</v>
      </c>
      <c r="L117" s="10" t="n">
        <f aca="false">SUMIFS(Applications!$AL$2:$AL$293,Applications!$B$2:$B$293,A117)</f>
        <v>4</v>
      </c>
      <c r="M117" s="10" t="n">
        <f aca="false">SUMIFS(Applications!$AM$2:$AM$293,Applications!$B$2:$B$293,A117)</f>
        <v>0</v>
      </c>
      <c r="N117" s="10" t="n">
        <f aca="false">SUMIFS(Applications!$AK$2:$AK$293,Applications!$B$2:$B$293,A117)</f>
        <v>0</v>
      </c>
      <c r="O117" s="2" t="n">
        <f aca="false">I117-J117</f>
        <v>0</v>
      </c>
      <c r="P117" s="2" t="n">
        <f aca="false">COUNTIFS(Applications!$B$2:$B$293,A117,Applications!$W$2:$W$293,"Low",Applications!$X$2:$X$293,"")</f>
        <v>0</v>
      </c>
      <c r="Q117" s="2" t="n">
        <f aca="false">COUNTIFS(Applications!$B$2:$B$293,A117,Applications!$AH$2:$AH$293,"Past*")+COUNTIFS(Applications!$B$2:$B$293,A117,Applications!$AH$2:$AH$293,"No CIS*")</f>
        <v>1</v>
      </c>
      <c r="R117" s="2"/>
      <c r="S117" s="2" t="s">
        <v>124</v>
      </c>
      <c r="T117" s="2" t="str">
        <f aca="false">IF(OR(R117&lt;&gt;"",S117="Yes",P117&gt;0,Q117&gt;0),IF(U117="Yes","Resolved","Yes"),"No")</f>
        <v>Yes</v>
      </c>
      <c r="U117" s="7"/>
      <c r="V117" s="7"/>
    </row>
    <row r="118" customFormat="false" ht="15" hidden="false" customHeight="false" outlineLevel="0" collapsed="false">
      <c r="A118" s="2" t="s">
        <v>538</v>
      </c>
      <c r="B118" s="2" t="s">
        <v>184</v>
      </c>
      <c r="C118" s="2" t="s">
        <v>539</v>
      </c>
      <c r="D118" s="2" t="s">
        <v>540</v>
      </c>
      <c r="E118" s="2" t="s">
        <v>144</v>
      </c>
      <c r="F118" s="2" t="n">
        <v>52.6822649531245</v>
      </c>
      <c r="G118" s="2" t="n">
        <v>-8.66401424128093</v>
      </c>
      <c r="H118" s="2" t="s">
        <v>187</v>
      </c>
      <c r="I118" s="2" t="n">
        <f aca="false">COUNTIF(Applications!$B$2:$B$293,A118)</f>
        <v>1</v>
      </c>
      <c r="J118" s="2" t="n">
        <f aca="false">COUNTIFS(Applications!$B$2:$B$293,A118,Applications!$Z$2:$Z$293,"Yes")</f>
        <v>1</v>
      </c>
      <c r="K118" s="10" t="n">
        <f aca="false">SUMIFS(Applications!$AI$2:$AI$293,Applications!$B$2:$B$293,A118)</f>
        <v>86</v>
      </c>
      <c r="L118" s="10" t="n">
        <f aca="false">SUMIFS(Applications!$AL$2:$AL$293,Applications!$B$2:$B$293,A118)</f>
        <v>86</v>
      </c>
      <c r="M118" s="10" t="n">
        <f aca="false">SUMIFS(Applications!$AM$2:$AM$293,Applications!$B$2:$B$293,A118)</f>
        <v>0</v>
      </c>
      <c r="N118" s="10" t="n">
        <f aca="false">SUMIFS(Applications!$AK$2:$AK$293,Applications!$B$2:$B$293,A118)</f>
        <v>0</v>
      </c>
      <c r="O118" s="2" t="n">
        <f aca="false">I118-J118</f>
        <v>0</v>
      </c>
      <c r="P118" s="2" t="n">
        <f aca="false">COUNTIFS(Applications!$B$2:$B$293,A118,Applications!$W$2:$W$293,"Low",Applications!$X$2:$X$293,"")</f>
        <v>0</v>
      </c>
      <c r="Q118" s="2" t="n">
        <f aca="false">COUNTIFS(Applications!$B$2:$B$293,A118,Applications!$AH$2:$AH$293,"Past*")+COUNTIFS(Applications!$B$2:$B$293,A118,Applications!$AH$2:$AH$293,"No CIS*")</f>
        <v>1</v>
      </c>
      <c r="R118" s="2"/>
      <c r="S118" s="2" t="s">
        <v>124</v>
      </c>
      <c r="T118" s="2" t="str">
        <f aca="false">IF(OR(R118&lt;&gt;"",S118="Yes",P118&gt;0,Q118&gt;0),IF(U118="Yes","Resolved","Yes"),"No")</f>
        <v>Yes</v>
      </c>
      <c r="U118" s="7"/>
      <c r="V118" s="7"/>
    </row>
    <row r="119" customFormat="false" ht="15" hidden="false" customHeight="false" outlineLevel="0" collapsed="false">
      <c r="A119" s="2" t="s">
        <v>541</v>
      </c>
      <c r="B119" s="2" t="s">
        <v>184</v>
      </c>
      <c r="C119" s="2" t="s">
        <v>542</v>
      </c>
      <c r="D119" s="2" t="s">
        <v>543</v>
      </c>
      <c r="E119" s="2" t="s">
        <v>144</v>
      </c>
      <c r="F119" s="2" t="n">
        <v>52.6488880145774</v>
      </c>
      <c r="G119" s="2" t="n">
        <v>-8.63309638641798</v>
      </c>
      <c r="H119" s="2" t="s">
        <v>251</v>
      </c>
      <c r="I119" s="2" t="n">
        <f aca="false">COUNTIF(Applications!$B$2:$B$293,A119)</f>
        <v>1</v>
      </c>
      <c r="J119" s="2" t="n">
        <f aca="false">COUNTIFS(Applications!$B$2:$B$293,A119,Applications!$Z$2:$Z$293,"Yes")</f>
        <v>1</v>
      </c>
      <c r="K119" s="10" t="n">
        <f aca="false">SUMIFS(Applications!$AI$2:$AI$293,Applications!$B$2:$B$293,A119)</f>
        <v>17</v>
      </c>
      <c r="L119" s="10" t="n">
        <f aca="false">SUMIFS(Applications!$AL$2:$AL$293,Applications!$B$2:$B$293,A119)</f>
        <v>0</v>
      </c>
      <c r="M119" s="10" t="n">
        <f aca="false">SUMIFS(Applications!$AM$2:$AM$293,Applications!$B$2:$B$293,A119)</f>
        <v>0</v>
      </c>
      <c r="N119" s="10" t="n">
        <f aca="false">SUMIFS(Applications!$AK$2:$AK$293,Applications!$B$2:$B$293,A119)</f>
        <v>17</v>
      </c>
      <c r="O119" s="2" t="n">
        <f aca="false">I119-J119</f>
        <v>0</v>
      </c>
      <c r="P119" s="2" t="n">
        <f aca="false">COUNTIFS(Applications!$B$2:$B$293,A119,Applications!$W$2:$W$293,"Low",Applications!$X$2:$X$293,"")</f>
        <v>0</v>
      </c>
      <c r="Q119" s="2" t="n">
        <f aca="false">COUNTIFS(Applications!$B$2:$B$293,A119,Applications!$AH$2:$AH$293,"Past*")+COUNTIFS(Applications!$B$2:$B$293,A119,Applications!$AH$2:$AH$293,"No CIS*")</f>
        <v>0</v>
      </c>
      <c r="R119" s="2"/>
      <c r="S119" s="2" t="s">
        <v>124</v>
      </c>
      <c r="T119" s="2" t="str">
        <f aca="false">IF(OR(R119&lt;&gt;"",S119="Yes",P119&gt;0,Q119&gt;0),IF(U119="Yes","Resolved","Yes"),"No")</f>
        <v>No</v>
      </c>
      <c r="U119" s="7"/>
      <c r="V119" s="7"/>
    </row>
    <row r="120" customFormat="false" ht="15" hidden="false" customHeight="false" outlineLevel="0" collapsed="false">
      <c r="A120" s="2" t="s">
        <v>544</v>
      </c>
      <c r="B120" s="2" t="s">
        <v>184</v>
      </c>
      <c r="C120" s="2" t="s">
        <v>545</v>
      </c>
      <c r="D120" s="2" t="s">
        <v>546</v>
      </c>
      <c r="E120" s="2" t="s">
        <v>139</v>
      </c>
      <c r="F120" s="2" t="n">
        <v>52.6751303523792</v>
      </c>
      <c r="G120" s="2" t="n">
        <v>-8.65459053958535</v>
      </c>
      <c r="H120" s="2" t="s">
        <v>251</v>
      </c>
      <c r="I120" s="2" t="n">
        <f aca="false">COUNTIF(Applications!$B$2:$B$293,A120)</f>
        <v>1</v>
      </c>
      <c r="J120" s="2" t="n">
        <f aca="false">COUNTIFS(Applications!$B$2:$B$293,A120,Applications!$Z$2:$Z$293,"Yes")</f>
        <v>1</v>
      </c>
      <c r="K120" s="10" t="n">
        <f aca="false">SUMIFS(Applications!$AI$2:$AI$293,Applications!$B$2:$B$293,A120)</f>
        <v>6</v>
      </c>
      <c r="L120" s="10" t="n">
        <f aca="false">SUMIFS(Applications!$AL$2:$AL$293,Applications!$B$2:$B$293,A120)</f>
        <v>0</v>
      </c>
      <c r="M120" s="10" t="n">
        <f aca="false">SUMIFS(Applications!$AM$2:$AM$293,Applications!$B$2:$B$293,A120)</f>
        <v>0</v>
      </c>
      <c r="N120" s="10" t="n">
        <f aca="false">SUMIFS(Applications!$AK$2:$AK$293,Applications!$B$2:$B$293,A120)</f>
        <v>6</v>
      </c>
      <c r="O120" s="2" t="n">
        <f aca="false">I120-J120</f>
        <v>0</v>
      </c>
      <c r="P120" s="2" t="n">
        <f aca="false">COUNTIFS(Applications!$B$2:$B$293,A120,Applications!$W$2:$W$293,"Low",Applications!$X$2:$X$293,"")</f>
        <v>0</v>
      </c>
      <c r="Q120" s="2" t="n">
        <f aca="false">COUNTIFS(Applications!$B$2:$B$293,A120,Applications!$AH$2:$AH$293,"Past*")+COUNTIFS(Applications!$B$2:$B$293,A120,Applications!$AH$2:$AH$293,"No CIS*")</f>
        <v>0</v>
      </c>
      <c r="R120" s="2"/>
      <c r="S120" s="2" t="s">
        <v>124</v>
      </c>
      <c r="T120" s="2" t="str">
        <f aca="false">IF(OR(R120&lt;&gt;"",S120="Yes",P120&gt;0,Q120&gt;0),IF(U120="Yes","Resolved","Yes"),"No")</f>
        <v>No</v>
      </c>
      <c r="U120" s="7"/>
      <c r="V120" s="7"/>
    </row>
    <row r="121" customFormat="false" ht="15" hidden="false" customHeight="false" outlineLevel="0" collapsed="false">
      <c r="A121" s="2" t="s">
        <v>547</v>
      </c>
      <c r="B121" s="2" t="s">
        <v>184</v>
      </c>
      <c r="C121" s="2" t="s">
        <v>548</v>
      </c>
      <c r="D121" s="2" t="s">
        <v>549</v>
      </c>
      <c r="E121" s="2" t="s">
        <v>144</v>
      </c>
      <c r="F121" s="2" t="n">
        <v>52.671409822933</v>
      </c>
      <c r="G121" s="2" t="n">
        <v>-8.6249986346307</v>
      </c>
      <c r="H121" s="2" t="s">
        <v>187</v>
      </c>
      <c r="I121" s="2" t="n">
        <f aca="false">COUNTIF(Applications!$B$2:$B$293,A121)</f>
        <v>1</v>
      </c>
      <c r="J121" s="2" t="n">
        <f aca="false">COUNTIFS(Applications!$B$2:$B$293,A121,Applications!$Z$2:$Z$293,"Yes")</f>
        <v>1</v>
      </c>
      <c r="K121" s="10" t="n">
        <f aca="false">SUMIFS(Applications!$AI$2:$AI$293,Applications!$B$2:$B$293,A121)</f>
        <v>27</v>
      </c>
      <c r="L121" s="10" t="n">
        <f aca="false">SUMIFS(Applications!$AL$2:$AL$293,Applications!$B$2:$B$293,A121)</f>
        <v>27</v>
      </c>
      <c r="M121" s="10" t="n">
        <f aca="false">SUMIFS(Applications!$AM$2:$AM$293,Applications!$B$2:$B$293,A121)</f>
        <v>0</v>
      </c>
      <c r="N121" s="10" t="n">
        <f aca="false">SUMIFS(Applications!$AK$2:$AK$293,Applications!$B$2:$B$293,A121)</f>
        <v>0</v>
      </c>
      <c r="O121" s="2" t="n">
        <f aca="false">I121-J121</f>
        <v>0</v>
      </c>
      <c r="P121" s="2" t="n">
        <f aca="false">COUNTIFS(Applications!$B$2:$B$293,A121,Applications!$W$2:$W$293,"Low",Applications!$X$2:$X$293,"")</f>
        <v>1</v>
      </c>
      <c r="Q121" s="2" t="n">
        <f aca="false">COUNTIFS(Applications!$B$2:$B$293,A121,Applications!$AH$2:$AH$293,"Past*")+COUNTIFS(Applications!$B$2:$B$293,A121,Applications!$AH$2:$AH$293,"No CIS*")</f>
        <v>1</v>
      </c>
      <c r="R121" s="2"/>
      <c r="S121" s="2" t="s">
        <v>124</v>
      </c>
      <c r="T121" s="2" t="str">
        <f aca="false">IF(OR(R121&lt;&gt;"",S121="Yes",P121&gt;0,Q121&gt;0),IF(U121="Yes","Resolved","Yes"),"No")</f>
        <v>Yes</v>
      </c>
      <c r="U121" s="7"/>
      <c r="V121" s="7"/>
    </row>
    <row r="122" customFormat="false" ht="15" hidden="false" customHeight="false" outlineLevel="0" collapsed="false">
      <c r="A122" s="2" t="s">
        <v>550</v>
      </c>
      <c r="B122" s="2" t="s">
        <v>184</v>
      </c>
      <c r="C122" s="2" t="s">
        <v>551</v>
      </c>
      <c r="D122" s="2" t="s">
        <v>552</v>
      </c>
      <c r="E122" s="2" t="s">
        <v>141</v>
      </c>
      <c r="F122" s="2" t="n">
        <v>52.4585086873793</v>
      </c>
      <c r="G122" s="2" t="n">
        <v>-9.05060969607402</v>
      </c>
      <c r="H122" s="2" t="s">
        <v>187</v>
      </c>
      <c r="I122" s="2" t="n">
        <f aca="false">COUNTIF(Applications!$B$2:$B$293,A122)</f>
        <v>1</v>
      </c>
      <c r="J122" s="2" t="n">
        <f aca="false">COUNTIFS(Applications!$B$2:$B$293,A122,Applications!$Z$2:$Z$293,"Yes")</f>
        <v>1</v>
      </c>
      <c r="K122" s="10" t="n">
        <f aca="false">SUMIFS(Applications!$AI$2:$AI$293,Applications!$B$2:$B$293,A122)</f>
        <v>31</v>
      </c>
      <c r="L122" s="10" t="n">
        <f aca="false">SUMIFS(Applications!$AL$2:$AL$293,Applications!$B$2:$B$293,A122)</f>
        <v>31</v>
      </c>
      <c r="M122" s="10" t="n">
        <f aca="false">SUMIFS(Applications!$AM$2:$AM$293,Applications!$B$2:$B$293,A122)</f>
        <v>0</v>
      </c>
      <c r="N122" s="10" t="n">
        <f aca="false">SUMIFS(Applications!$AK$2:$AK$293,Applications!$B$2:$B$293,A122)</f>
        <v>0</v>
      </c>
      <c r="O122" s="2" t="n">
        <f aca="false">I122-J122</f>
        <v>0</v>
      </c>
      <c r="P122" s="2" t="n">
        <f aca="false">COUNTIFS(Applications!$B$2:$B$293,A122,Applications!$W$2:$W$293,"Low",Applications!$X$2:$X$293,"")</f>
        <v>0</v>
      </c>
      <c r="Q122" s="2" t="n">
        <f aca="false">COUNTIFS(Applications!$B$2:$B$293,A122,Applications!$AH$2:$AH$293,"Past*")+COUNTIFS(Applications!$B$2:$B$293,A122,Applications!$AH$2:$AH$293,"No CIS*")</f>
        <v>1</v>
      </c>
      <c r="R122" s="2"/>
      <c r="S122" s="2" t="s">
        <v>124</v>
      </c>
      <c r="T122" s="2" t="str">
        <f aca="false">IF(OR(R122&lt;&gt;"",S122="Yes",P122&gt;0,Q122&gt;0),IF(U122="Yes","Resolved","Yes"),"No")</f>
        <v>Yes</v>
      </c>
      <c r="U122" s="7"/>
      <c r="V122" s="7"/>
    </row>
    <row r="123" customFormat="false" ht="15" hidden="false" customHeight="false" outlineLevel="0" collapsed="false">
      <c r="A123" s="2" t="s">
        <v>553</v>
      </c>
      <c r="B123" s="2" t="s">
        <v>184</v>
      </c>
      <c r="C123" s="2" t="s">
        <v>554</v>
      </c>
      <c r="D123" s="2" t="s">
        <v>555</v>
      </c>
      <c r="E123" s="2" t="s">
        <v>144</v>
      </c>
      <c r="F123" s="2" t="n">
        <v>52.5222145638628</v>
      </c>
      <c r="G123" s="2" t="n">
        <v>-8.71251544816148</v>
      </c>
      <c r="H123" s="2" t="s">
        <v>187</v>
      </c>
      <c r="I123" s="2" t="n">
        <f aca="false">COUNTIF(Applications!$B$2:$B$293,A123)</f>
        <v>1</v>
      </c>
      <c r="J123" s="2" t="n">
        <f aca="false">COUNTIFS(Applications!$B$2:$B$293,A123,Applications!$Z$2:$Z$293,"Yes")</f>
        <v>1</v>
      </c>
      <c r="K123" s="10" t="n">
        <f aca="false">SUMIFS(Applications!$AI$2:$AI$293,Applications!$B$2:$B$293,A123)</f>
        <v>32</v>
      </c>
      <c r="L123" s="10" t="n">
        <f aca="false">SUMIFS(Applications!$AL$2:$AL$293,Applications!$B$2:$B$293,A123)</f>
        <v>32</v>
      </c>
      <c r="M123" s="10" t="n">
        <f aca="false">SUMIFS(Applications!$AM$2:$AM$293,Applications!$B$2:$B$293,A123)</f>
        <v>0</v>
      </c>
      <c r="N123" s="10" t="n">
        <f aca="false">SUMIFS(Applications!$AK$2:$AK$293,Applications!$B$2:$B$293,A123)</f>
        <v>0</v>
      </c>
      <c r="O123" s="2" t="n">
        <f aca="false">I123-J123</f>
        <v>0</v>
      </c>
      <c r="P123" s="2" t="n">
        <f aca="false">COUNTIFS(Applications!$B$2:$B$293,A123,Applications!$W$2:$W$293,"Low",Applications!$X$2:$X$293,"")</f>
        <v>0</v>
      </c>
      <c r="Q123" s="2" t="n">
        <f aca="false">COUNTIFS(Applications!$B$2:$B$293,A123,Applications!$AH$2:$AH$293,"Past*")+COUNTIFS(Applications!$B$2:$B$293,A123,Applications!$AH$2:$AH$293,"No CIS*")</f>
        <v>1</v>
      </c>
      <c r="R123" s="2"/>
      <c r="S123" s="2" t="s">
        <v>124</v>
      </c>
      <c r="T123" s="2" t="str">
        <f aca="false">IF(OR(R123&lt;&gt;"",S123="Yes",P123&gt;0,Q123&gt;0),IF(U123="Yes","Resolved","Yes"),"No")</f>
        <v>Yes</v>
      </c>
      <c r="U123" s="7"/>
      <c r="V123" s="7"/>
    </row>
    <row r="124" customFormat="false" ht="15" hidden="false" customHeight="false" outlineLevel="0" collapsed="false">
      <c r="A124" s="2" t="s">
        <v>556</v>
      </c>
      <c r="B124" s="2" t="s">
        <v>184</v>
      </c>
      <c r="C124" s="2" t="s">
        <v>557</v>
      </c>
      <c r="D124" s="2" t="s">
        <v>558</v>
      </c>
      <c r="E124" s="2" t="s">
        <v>144</v>
      </c>
      <c r="F124" s="2" t="n">
        <v>52.4559816168641</v>
      </c>
      <c r="G124" s="2" t="n">
        <v>-9.28367541510064</v>
      </c>
      <c r="H124" s="2" t="s">
        <v>194</v>
      </c>
      <c r="I124" s="2" t="n">
        <f aca="false">COUNTIF(Applications!$B$2:$B$293,A124)</f>
        <v>1</v>
      </c>
      <c r="J124" s="2" t="n">
        <f aca="false">COUNTIFS(Applications!$B$2:$B$293,A124,Applications!$Z$2:$Z$293,"Yes")</f>
        <v>1</v>
      </c>
      <c r="K124" s="10" t="n">
        <f aca="false">SUMIFS(Applications!$AI$2:$AI$293,Applications!$B$2:$B$293,A124)</f>
        <v>2</v>
      </c>
      <c r="L124" s="10" t="n">
        <f aca="false">SUMIFS(Applications!$AL$2:$AL$293,Applications!$B$2:$B$293,A124)</f>
        <v>2</v>
      </c>
      <c r="M124" s="10" t="n">
        <f aca="false">SUMIFS(Applications!$AM$2:$AM$293,Applications!$B$2:$B$293,A124)</f>
        <v>0</v>
      </c>
      <c r="N124" s="10" t="n">
        <f aca="false">SUMIFS(Applications!$AK$2:$AK$293,Applications!$B$2:$B$293,A124)</f>
        <v>0</v>
      </c>
      <c r="O124" s="2" t="n">
        <f aca="false">I124-J124</f>
        <v>0</v>
      </c>
      <c r="P124" s="2" t="n">
        <f aca="false">COUNTIFS(Applications!$B$2:$B$293,A124,Applications!$W$2:$W$293,"Low",Applications!$X$2:$X$293,"")</f>
        <v>0</v>
      </c>
      <c r="Q124" s="2" t="n">
        <f aca="false">COUNTIFS(Applications!$B$2:$B$293,A124,Applications!$AH$2:$AH$293,"Past*")+COUNTIFS(Applications!$B$2:$B$293,A124,Applications!$AH$2:$AH$293,"No CIS*")</f>
        <v>1</v>
      </c>
      <c r="R124" s="2"/>
      <c r="S124" s="2" t="s">
        <v>124</v>
      </c>
      <c r="T124" s="2" t="str">
        <f aca="false">IF(OR(R124&lt;&gt;"",S124="Yes",P124&gt;0,Q124&gt;0),IF(U124="Yes","Resolved","Yes"),"No")</f>
        <v>Yes</v>
      </c>
      <c r="U124" s="7"/>
      <c r="V124" s="7"/>
    </row>
    <row r="125" customFormat="false" ht="15" hidden="false" customHeight="false" outlineLevel="0" collapsed="false">
      <c r="A125" s="2" t="s">
        <v>559</v>
      </c>
      <c r="B125" s="2" t="s">
        <v>184</v>
      </c>
      <c r="C125" s="2" t="s">
        <v>560</v>
      </c>
      <c r="D125" s="2" t="s">
        <v>561</v>
      </c>
      <c r="E125" s="2" t="s">
        <v>144</v>
      </c>
      <c r="F125" s="2" t="n">
        <v>52.6729030636634</v>
      </c>
      <c r="G125" s="2" t="n">
        <v>-8.63990406677862</v>
      </c>
      <c r="H125" s="2" t="s">
        <v>453</v>
      </c>
      <c r="I125" s="2" t="n">
        <f aca="false">COUNTIF(Applications!$B$2:$B$293,A125)</f>
        <v>1</v>
      </c>
      <c r="J125" s="2" t="n">
        <f aca="false">COUNTIFS(Applications!$B$2:$B$293,A125,Applications!$Z$2:$Z$293,"Yes")</f>
        <v>1</v>
      </c>
      <c r="K125" s="10" t="n">
        <f aca="false">SUMIFS(Applications!$AI$2:$AI$293,Applications!$B$2:$B$293,A125)</f>
        <v>31</v>
      </c>
      <c r="L125" s="10" t="n">
        <f aca="false">SUMIFS(Applications!$AL$2:$AL$293,Applications!$B$2:$B$293,A125)</f>
        <v>0</v>
      </c>
      <c r="M125" s="10" t="n">
        <f aca="false">SUMIFS(Applications!$AM$2:$AM$293,Applications!$B$2:$B$293,A125)</f>
        <v>31</v>
      </c>
      <c r="N125" s="10" t="n">
        <f aca="false">SUMIFS(Applications!$AK$2:$AK$293,Applications!$B$2:$B$293,A125)</f>
        <v>0</v>
      </c>
      <c r="O125" s="2" t="n">
        <f aca="false">I125-J125</f>
        <v>0</v>
      </c>
      <c r="P125" s="2" t="n">
        <f aca="false">COUNTIFS(Applications!$B$2:$B$293,A125,Applications!$W$2:$W$293,"Low",Applications!$X$2:$X$293,"")</f>
        <v>0</v>
      </c>
      <c r="Q125" s="2" t="n">
        <f aca="false">COUNTIFS(Applications!$B$2:$B$293,A125,Applications!$AH$2:$AH$293,"Past*")+COUNTIFS(Applications!$B$2:$B$293,A125,Applications!$AH$2:$AH$293,"No CIS*")</f>
        <v>0</v>
      </c>
      <c r="R125" s="2"/>
      <c r="S125" s="2" t="s">
        <v>124</v>
      </c>
      <c r="T125" s="2" t="str">
        <f aca="false">IF(OR(R125&lt;&gt;"",S125="Yes",P125&gt;0,Q125&gt;0),IF(U125="Yes","Resolved","Yes"),"No")</f>
        <v>No</v>
      </c>
      <c r="U125" s="7"/>
      <c r="V125" s="7"/>
    </row>
    <row r="126" customFormat="false" ht="15" hidden="false" customHeight="false" outlineLevel="0" collapsed="false">
      <c r="A126" s="2" t="s">
        <v>562</v>
      </c>
      <c r="B126" s="2" t="s">
        <v>184</v>
      </c>
      <c r="C126" s="2" t="s">
        <v>563</v>
      </c>
      <c r="D126" s="2" t="s">
        <v>564</v>
      </c>
      <c r="E126" s="2" t="s">
        <v>144</v>
      </c>
      <c r="F126" s="2" t="n">
        <v>52.6593903802724</v>
      </c>
      <c r="G126" s="2" t="n">
        <v>-8.63477871245981</v>
      </c>
      <c r="H126" s="2" t="s">
        <v>187</v>
      </c>
      <c r="I126" s="2" t="n">
        <f aca="false">COUNTIF(Applications!$B$2:$B$293,A126)</f>
        <v>1</v>
      </c>
      <c r="J126" s="2" t="n">
        <f aca="false">COUNTIFS(Applications!$B$2:$B$293,A126,Applications!$Z$2:$Z$293,"Yes")</f>
        <v>1</v>
      </c>
      <c r="K126" s="10" t="n">
        <f aca="false">SUMIFS(Applications!$AI$2:$AI$293,Applications!$B$2:$B$293,A126)</f>
        <v>14</v>
      </c>
      <c r="L126" s="10" t="n">
        <f aca="false">SUMIFS(Applications!$AL$2:$AL$293,Applications!$B$2:$B$293,A126)</f>
        <v>14</v>
      </c>
      <c r="M126" s="10" t="n">
        <f aca="false">SUMIFS(Applications!$AM$2:$AM$293,Applications!$B$2:$B$293,A126)</f>
        <v>0</v>
      </c>
      <c r="N126" s="10" t="n">
        <f aca="false">SUMIFS(Applications!$AK$2:$AK$293,Applications!$B$2:$B$293,A126)</f>
        <v>0</v>
      </c>
      <c r="O126" s="2" t="n">
        <f aca="false">I126-J126</f>
        <v>0</v>
      </c>
      <c r="P126" s="2" t="n">
        <f aca="false">COUNTIFS(Applications!$B$2:$B$293,A126,Applications!$W$2:$W$293,"Low",Applications!$X$2:$X$293,"")</f>
        <v>0</v>
      </c>
      <c r="Q126" s="2" t="n">
        <f aca="false">COUNTIFS(Applications!$B$2:$B$293,A126,Applications!$AH$2:$AH$293,"Past*")+COUNTIFS(Applications!$B$2:$B$293,A126,Applications!$AH$2:$AH$293,"No CIS*")</f>
        <v>1</v>
      </c>
      <c r="R126" s="2"/>
      <c r="S126" s="2" t="s">
        <v>124</v>
      </c>
      <c r="T126" s="2" t="str">
        <f aca="false">IF(OR(R126&lt;&gt;"",S126="Yes",P126&gt;0,Q126&gt;0),IF(U126="Yes","Resolved","Yes"),"No")</f>
        <v>Yes</v>
      </c>
      <c r="U126" s="7"/>
      <c r="V126" s="7"/>
    </row>
    <row r="127" customFormat="false" ht="15" hidden="false" customHeight="false" outlineLevel="0" collapsed="false">
      <c r="A127" s="2" t="s">
        <v>565</v>
      </c>
      <c r="B127" s="2" t="s">
        <v>184</v>
      </c>
      <c r="C127" s="2" t="s">
        <v>566</v>
      </c>
      <c r="D127" s="2" t="s">
        <v>567</v>
      </c>
      <c r="E127" s="2" t="s">
        <v>139</v>
      </c>
      <c r="F127" s="2" t="n">
        <v>52.66705758089</v>
      </c>
      <c r="G127" s="2" t="n">
        <v>-8.54421783353052</v>
      </c>
      <c r="H127" s="2" t="s">
        <v>198</v>
      </c>
      <c r="I127" s="2" t="n">
        <f aca="false">COUNTIF(Applications!$B$2:$B$293,A127)</f>
        <v>2</v>
      </c>
      <c r="J127" s="2" t="n">
        <f aca="false">COUNTIFS(Applications!$B$2:$B$293,A127,Applications!$Z$2:$Z$293,"Yes")</f>
        <v>2</v>
      </c>
      <c r="K127" s="10" t="n">
        <f aca="false">SUMIFS(Applications!$AI$2:$AI$293,Applications!$B$2:$B$293,A127)</f>
        <v>75</v>
      </c>
      <c r="L127" s="10" t="n">
        <f aca="false">SUMIFS(Applications!$AL$2:$AL$293,Applications!$B$2:$B$293,A127)</f>
        <v>54</v>
      </c>
      <c r="M127" s="10" t="n">
        <f aca="false">SUMIFS(Applications!$AM$2:$AM$293,Applications!$B$2:$B$293,A127)</f>
        <v>0</v>
      </c>
      <c r="N127" s="10" t="n">
        <f aca="false">SUMIFS(Applications!$AK$2:$AK$293,Applications!$B$2:$B$293,A127)</f>
        <v>21</v>
      </c>
      <c r="O127" s="2" t="n">
        <f aca="false">I127-J127</f>
        <v>0</v>
      </c>
      <c r="P127" s="2" t="n">
        <f aca="false">COUNTIFS(Applications!$B$2:$B$293,A127,Applications!$W$2:$W$293,"Low",Applications!$X$2:$X$293,"")</f>
        <v>2</v>
      </c>
      <c r="Q127" s="2" t="n">
        <f aca="false">COUNTIFS(Applications!$B$2:$B$293,A127,Applications!$AH$2:$AH$293,"Past*")+COUNTIFS(Applications!$B$2:$B$293,A127,Applications!$AH$2:$AH$293,"No CIS*")</f>
        <v>0</v>
      </c>
      <c r="R127" s="2"/>
      <c r="S127" s="2" t="s">
        <v>121</v>
      </c>
      <c r="T127" s="2" t="str">
        <f aca="false">IF(OR(R127&lt;&gt;"",S127="Yes",P127&gt;0,Q127&gt;0),IF(U127="Yes","Resolved","Yes"),"No")</f>
        <v>Yes</v>
      </c>
      <c r="U127" s="7"/>
      <c r="V127" s="7"/>
    </row>
    <row r="128" customFormat="false" ht="15" hidden="false" customHeight="false" outlineLevel="0" collapsed="false">
      <c r="A128" s="2" t="s">
        <v>568</v>
      </c>
      <c r="B128" s="2" t="s">
        <v>184</v>
      </c>
      <c r="C128" s="2" t="s">
        <v>569</v>
      </c>
      <c r="D128" s="2" t="s">
        <v>570</v>
      </c>
      <c r="E128" s="2" t="s">
        <v>144</v>
      </c>
      <c r="F128" s="2" t="n">
        <v>52.6787875294108</v>
      </c>
      <c r="G128" s="2" t="n">
        <v>-8.63997822899478</v>
      </c>
      <c r="H128" s="2" t="s">
        <v>198</v>
      </c>
      <c r="I128" s="2" t="n">
        <f aca="false">COUNTIF(Applications!$B$2:$B$293,A128)</f>
        <v>1</v>
      </c>
      <c r="J128" s="2" t="n">
        <f aca="false">COUNTIFS(Applications!$B$2:$B$293,A128,Applications!$Z$2:$Z$293,"Yes")</f>
        <v>1</v>
      </c>
      <c r="K128" s="10" t="n">
        <f aca="false">SUMIFS(Applications!$AI$2:$AI$293,Applications!$B$2:$B$293,A128)</f>
        <v>27</v>
      </c>
      <c r="L128" s="10" t="n">
        <f aca="false">SUMIFS(Applications!$AL$2:$AL$293,Applications!$B$2:$B$293,A128)</f>
        <v>27</v>
      </c>
      <c r="M128" s="10" t="n">
        <f aca="false">SUMIFS(Applications!$AM$2:$AM$293,Applications!$B$2:$B$293,A128)</f>
        <v>0</v>
      </c>
      <c r="N128" s="10" t="n">
        <f aca="false">SUMIFS(Applications!$AK$2:$AK$293,Applications!$B$2:$B$293,A128)</f>
        <v>0</v>
      </c>
      <c r="O128" s="2" t="n">
        <f aca="false">I128-J128</f>
        <v>0</v>
      </c>
      <c r="P128" s="2" t="n">
        <f aca="false">COUNTIFS(Applications!$B$2:$B$293,A128,Applications!$W$2:$W$293,"Low",Applications!$X$2:$X$293,"")</f>
        <v>0</v>
      </c>
      <c r="Q128" s="2" t="n">
        <f aca="false">COUNTIFS(Applications!$B$2:$B$293,A128,Applications!$AH$2:$AH$293,"Past*")+COUNTIFS(Applications!$B$2:$B$293,A128,Applications!$AH$2:$AH$293,"No CIS*")</f>
        <v>0</v>
      </c>
      <c r="R128" s="2"/>
      <c r="S128" s="2" t="s">
        <v>124</v>
      </c>
      <c r="T128" s="2" t="str">
        <f aca="false">IF(OR(R128&lt;&gt;"",S128="Yes",P128&gt;0,Q128&gt;0),IF(U128="Yes","Resolved","Yes"),"No")</f>
        <v>No</v>
      </c>
      <c r="U128" s="7"/>
      <c r="V128" s="7"/>
    </row>
    <row r="129" customFormat="false" ht="15" hidden="false" customHeight="false" outlineLevel="0" collapsed="false">
      <c r="A129" s="2" t="s">
        <v>571</v>
      </c>
      <c r="B129" s="2" t="s">
        <v>184</v>
      </c>
      <c r="C129" s="2" t="s">
        <v>494</v>
      </c>
      <c r="D129" s="2" t="s">
        <v>572</v>
      </c>
      <c r="E129" s="2" t="s">
        <v>139</v>
      </c>
      <c r="F129" s="2" t="n">
        <v>52.6733202159574</v>
      </c>
      <c r="G129" s="2" t="n">
        <v>-8.65776704698475</v>
      </c>
      <c r="H129" s="2" t="s">
        <v>187</v>
      </c>
      <c r="I129" s="2" t="n">
        <f aca="false">COUNTIF(Applications!$B$2:$B$293,A129)</f>
        <v>2</v>
      </c>
      <c r="J129" s="2" t="n">
        <f aca="false">COUNTIFS(Applications!$B$2:$B$293,A129,Applications!$Z$2:$Z$293,"Yes")</f>
        <v>1</v>
      </c>
      <c r="K129" s="10" t="n">
        <f aca="false">SUMIFS(Applications!$AI$2:$AI$293,Applications!$B$2:$B$293,A129)</f>
        <v>11</v>
      </c>
      <c r="L129" s="10" t="n">
        <f aca="false">SUMIFS(Applications!$AL$2:$AL$293,Applications!$B$2:$B$293,A129)</f>
        <v>11</v>
      </c>
      <c r="M129" s="10" t="n">
        <f aca="false">SUMIFS(Applications!$AM$2:$AM$293,Applications!$B$2:$B$293,A129)</f>
        <v>0</v>
      </c>
      <c r="N129" s="10" t="n">
        <f aca="false">SUMIFS(Applications!$AK$2:$AK$293,Applications!$B$2:$B$293,A129)</f>
        <v>0</v>
      </c>
      <c r="O129" s="2" t="n">
        <f aca="false">I129-J129</f>
        <v>1</v>
      </c>
      <c r="P129" s="2" t="n">
        <f aca="false">COUNTIFS(Applications!$B$2:$B$293,A129,Applications!$W$2:$W$293,"Low",Applications!$X$2:$X$293,"")</f>
        <v>0</v>
      </c>
      <c r="Q129" s="2" t="n">
        <f aca="false">COUNTIFS(Applications!$B$2:$B$293,A129,Applications!$AH$2:$AH$293,"Past*")+COUNTIFS(Applications!$B$2:$B$293,A129,Applications!$AH$2:$AH$293,"No CIS*")</f>
        <v>1</v>
      </c>
      <c r="R129" s="2"/>
      <c r="S129" s="2" t="s">
        <v>121</v>
      </c>
      <c r="T129" s="2" t="str">
        <f aca="false">IF(OR(R129&lt;&gt;"",S129="Yes",P129&gt;0,Q129&gt;0),IF(U129="Yes","Resolved","Yes"),"No")</f>
        <v>Yes</v>
      </c>
      <c r="U129" s="7"/>
      <c r="V129" s="7"/>
    </row>
    <row r="130" customFormat="false" ht="15" hidden="false" customHeight="false" outlineLevel="0" collapsed="false">
      <c r="A130" s="2" t="s">
        <v>573</v>
      </c>
      <c r="B130" s="2" t="s">
        <v>184</v>
      </c>
      <c r="C130" s="2" t="s">
        <v>574</v>
      </c>
      <c r="D130" s="2" t="s">
        <v>575</v>
      </c>
      <c r="E130" s="2" t="s">
        <v>144</v>
      </c>
      <c r="F130" s="2" t="n">
        <v>52.4761407371843</v>
      </c>
      <c r="G130" s="2" t="n">
        <v>-8.86773375645383</v>
      </c>
      <c r="H130" s="2" t="s">
        <v>198</v>
      </c>
      <c r="I130" s="2" t="n">
        <f aca="false">COUNTIF(Applications!$B$2:$B$293,A130)</f>
        <v>1</v>
      </c>
      <c r="J130" s="2" t="n">
        <f aca="false">COUNTIFS(Applications!$B$2:$B$293,A130,Applications!$Z$2:$Z$293,"Yes")</f>
        <v>1</v>
      </c>
      <c r="K130" s="10" t="n">
        <f aca="false">SUMIFS(Applications!$AI$2:$AI$293,Applications!$B$2:$B$293,A130)</f>
        <v>4</v>
      </c>
      <c r="L130" s="10" t="n">
        <f aca="false">SUMIFS(Applications!$AL$2:$AL$293,Applications!$B$2:$B$293,A130)</f>
        <v>4</v>
      </c>
      <c r="M130" s="10" t="n">
        <f aca="false">SUMIFS(Applications!$AM$2:$AM$293,Applications!$B$2:$B$293,A130)</f>
        <v>0</v>
      </c>
      <c r="N130" s="10" t="n">
        <f aca="false">SUMIFS(Applications!$AK$2:$AK$293,Applications!$B$2:$B$293,A130)</f>
        <v>0</v>
      </c>
      <c r="O130" s="2" t="n">
        <f aca="false">I130-J130</f>
        <v>0</v>
      </c>
      <c r="P130" s="2" t="n">
        <f aca="false">COUNTIFS(Applications!$B$2:$B$293,A130,Applications!$W$2:$W$293,"Low",Applications!$X$2:$X$293,"")</f>
        <v>1</v>
      </c>
      <c r="Q130" s="2" t="n">
        <f aca="false">COUNTIFS(Applications!$B$2:$B$293,A130,Applications!$AH$2:$AH$293,"Past*")+COUNTIFS(Applications!$B$2:$B$293,A130,Applications!$AH$2:$AH$293,"No CIS*")</f>
        <v>0</v>
      </c>
      <c r="R130" s="2"/>
      <c r="S130" s="2" t="s">
        <v>124</v>
      </c>
      <c r="T130" s="2" t="str">
        <f aca="false">IF(OR(R130&lt;&gt;"",S130="Yes",P130&gt;0,Q130&gt;0),IF(U130="Yes","Resolved","Yes"),"No")</f>
        <v>Yes</v>
      </c>
      <c r="U130" s="7"/>
      <c r="V130" s="7"/>
    </row>
    <row r="131" customFormat="false" ht="15" hidden="false" customHeight="false" outlineLevel="0" collapsed="false">
      <c r="A131" s="2" t="s">
        <v>576</v>
      </c>
      <c r="B131" s="2" t="s">
        <v>184</v>
      </c>
      <c r="C131" s="2" t="s">
        <v>577</v>
      </c>
      <c r="D131" s="2" t="s">
        <v>578</v>
      </c>
      <c r="E131" s="2" t="s">
        <v>144</v>
      </c>
      <c r="F131" s="2" t="n">
        <v>52.6579368197747</v>
      </c>
      <c r="G131" s="2" t="n">
        <v>-8.6105481878277</v>
      </c>
      <c r="H131" s="2" t="s">
        <v>251</v>
      </c>
      <c r="I131" s="2" t="n">
        <f aca="false">COUNTIF(Applications!$B$2:$B$293,A131)</f>
        <v>1</v>
      </c>
      <c r="J131" s="2" t="n">
        <f aca="false">COUNTIFS(Applications!$B$2:$B$293,A131,Applications!$Z$2:$Z$293,"Yes")</f>
        <v>1</v>
      </c>
      <c r="K131" s="10" t="n">
        <f aca="false">SUMIFS(Applications!$AI$2:$AI$293,Applications!$B$2:$B$293,A131)</f>
        <v>14</v>
      </c>
      <c r="L131" s="10" t="n">
        <f aca="false">SUMIFS(Applications!$AL$2:$AL$293,Applications!$B$2:$B$293,A131)</f>
        <v>0</v>
      </c>
      <c r="M131" s="10" t="n">
        <f aca="false">SUMIFS(Applications!$AM$2:$AM$293,Applications!$B$2:$B$293,A131)</f>
        <v>0</v>
      </c>
      <c r="N131" s="10" t="n">
        <f aca="false">SUMIFS(Applications!$AK$2:$AK$293,Applications!$B$2:$B$293,A131)</f>
        <v>14</v>
      </c>
      <c r="O131" s="2" t="n">
        <f aca="false">I131-J131</f>
        <v>0</v>
      </c>
      <c r="P131" s="2" t="n">
        <f aca="false">COUNTIFS(Applications!$B$2:$B$293,A131,Applications!$W$2:$W$293,"Low",Applications!$X$2:$X$293,"")</f>
        <v>0</v>
      </c>
      <c r="Q131" s="2" t="n">
        <f aca="false">COUNTIFS(Applications!$B$2:$B$293,A131,Applications!$AH$2:$AH$293,"Past*")+COUNTIFS(Applications!$B$2:$B$293,A131,Applications!$AH$2:$AH$293,"No CIS*")</f>
        <v>0</v>
      </c>
      <c r="R131" s="2"/>
      <c r="S131" s="2" t="s">
        <v>124</v>
      </c>
      <c r="T131" s="2" t="str">
        <f aca="false">IF(OR(R131&lt;&gt;"",S131="Yes",P131&gt;0,Q131&gt;0),IF(U131="Yes","Resolved","Yes"),"No")</f>
        <v>No</v>
      </c>
      <c r="U131" s="7"/>
      <c r="V131" s="7"/>
    </row>
    <row r="132" customFormat="false" ht="15" hidden="false" customHeight="false" outlineLevel="0" collapsed="false">
      <c r="A132" s="2" t="s">
        <v>579</v>
      </c>
      <c r="B132" s="2" t="s">
        <v>184</v>
      </c>
      <c r="C132" s="2" t="s">
        <v>580</v>
      </c>
      <c r="D132" s="2" t="s">
        <v>581</v>
      </c>
      <c r="E132" s="2" t="s">
        <v>132</v>
      </c>
      <c r="F132" s="2" t="n">
        <v>52.5844902331145</v>
      </c>
      <c r="G132" s="2" t="n">
        <v>-8.76878357197253</v>
      </c>
      <c r="H132" s="2" t="s">
        <v>198</v>
      </c>
      <c r="I132" s="2" t="n">
        <f aca="false">COUNTIF(Applications!$B$2:$B$293,A132)</f>
        <v>1</v>
      </c>
      <c r="J132" s="2" t="n">
        <f aca="false">COUNTIFS(Applications!$B$2:$B$293,A132,Applications!$Z$2:$Z$293,"Yes")</f>
        <v>1</v>
      </c>
      <c r="K132" s="10" t="n">
        <f aca="false">SUMIFS(Applications!$AI$2:$AI$293,Applications!$B$2:$B$293,A132)</f>
        <v>6</v>
      </c>
      <c r="L132" s="10" t="n">
        <f aca="false">SUMIFS(Applications!$AL$2:$AL$293,Applications!$B$2:$B$293,A132)</f>
        <v>6</v>
      </c>
      <c r="M132" s="10" t="n">
        <f aca="false">SUMIFS(Applications!$AM$2:$AM$293,Applications!$B$2:$B$293,A132)</f>
        <v>0</v>
      </c>
      <c r="N132" s="10" t="n">
        <f aca="false">SUMIFS(Applications!$AK$2:$AK$293,Applications!$B$2:$B$293,A132)</f>
        <v>0</v>
      </c>
      <c r="O132" s="2" t="n">
        <f aca="false">I132-J132</f>
        <v>0</v>
      </c>
      <c r="P132" s="2" t="n">
        <f aca="false">COUNTIFS(Applications!$B$2:$B$293,A132,Applications!$W$2:$W$293,"Low",Applications!$X$2:$X$293,"")</f>
        <v>0</v>
      </c>
      <c r="Q132" s="2" t="n">
        <f aca="false">COUNTIFS(Applications!$B$2:$B$293,A132,Applications!$AH$2:$AH$293,"Past*")+COUNTIFS(Applications!$B$2:$B$293,A132,Applications!$AH$2:$AH$293,"No CIS*")</f>
        <v>0</v>
      </c>
      <c r="R132" s="2"/>
      <c r="S132" s="2" t="s">
        <v>124</v>
      </c>
      <c r="T132" s="2" t="str">
        <f aca="false">IF(OR(R132&lt;&gt;"",S132="Yes",P132&gt;0,Q132&gt;0),IF(U132="Yes","Resolved","Yes"),"No")</f>
        <v>No</v>
      </c>
      <c r="U132" s="7"/>
      <c r="V132" s="7"/>
    </row>
    <row r="133" customFormat="false" ht="15" hidden="false" customHeight="false" outlineLevel="0" collapsed="false">
      <c r="A133" s="2" t="s">
        <v>582</v>
      </c>
      <c r="B133" s="2" t="s">
        <v>184</v>
      </c>
      <c r="C133" s="2" t="s">
        <v>583</v>
      </c>
      <c r="D133" s="2" t="s">
        <v>584</v>
      </c>
      <c r="E133" s="2" t="s">
        <v>144</v>
      </c>
      <c r="F133" s="2" t="n">
        <v>52.6645243389537</v>
      </c>
      <c r="G133" s="2" t="n">
        <v>-8.59915525126538</v>
      </c>
      <c r="H133" s="2" t="s">
        <v>194</v>
      </c>
      <c r="I133" s="2" t="n">
        <f aca="false">COUNTIF(Applications!$B$2:$B$293,A133)</f>
        <v>1</v>
      </c>
      <c r="J133" s="2" t="n">
        <f aca="false">COUNTIFS(Applications!$B$2:$B$293,A133,Applications!$Z$2:$Z$293,"Yes")</f>
        <v>1</v>
      </c>
      <c r="K133" s="10" t="n">
        <f aca="false">SUMIFS(Applications!$AI$2:$AI$293,Applications!$B$2:$B$293,A133)</f>
        <v>26</v>
      </c>
      <c r="L133" s="10" t="n">
        <f aca="false">SUMIFS(Applications!$AL$2:$AL$293,Applications!$B$2:$B$293,A133)</f>
        <v>26</v>
      </c>
      <c r="M133" s="10" t="n">
        <f aca="false">SUMIFS(Applications!$AM$2:$AM$293,Applications!$B$2:$B$293,A133)</f>
        <v>0</v>
      </c>
      <c r="N133" s="10" t="n">
        <f aca="false">SUMIFS(Applications!$AK$2:$AK$293,Applications!$B$2:$B$293,A133)</f>
        <v>0</v>
      </c>
      <c r="O133" s="2" t="n">
        <f aca="false">I133-J133</f>
        <v>0</v>
      </c>
      <c r="P133" s="2" t="n">
        <f aca="false">COUNTIFS(Applications!$B$2:$B$293,A133,Applications!$W$2:$W$293,"Low",Applications!$X$2:$X$293,"")</f>
        <v>1</v>
      </c>
      <c r="Q133" s="2" t="n">
        <f aca="false">COUNTIFS(Applications!$B$2:$B$293,A133,Applications!$AH$2:$AH$293,"Past*")+COUNTIFS(Applications!$B$2:$B$293,A133,Applications!$AH$2:$AH$293,"No CIS*")</f>
        <v>1</v>
      </c>
      <c r="R133" s="2"/>
      <c r="S133" s="2" t="s">
        <v>124</v>
      </c>
      <c r="T133" s="2" t="str">
        <f aca="false">IF(OR(R133&lt;&gt;"",S133="Yes",P133&gt;0,Q133&gt;0),IF(U133="Yes","Resolved","Yes"),"No")</f>
        <v>Yes</v>
      </c>
      <c r="U133" s="7"/>
      <c r="V133" s="7"/>
    </row>
    <row r="134" customFormat="false" ht="15" hidden="false" customHeight="false" outlineLevel="0" collapsed="false">
      <c r="A134" s="2" t="s">
        <v>585</v>
      </c>
      <c r="B134" s="2" t="s">
        <v>184</v>
      </c>
      <c r="C134" s="2" t="s">
        <v>586</v>
      </c>
      <c r="D134" s="2" t="s">
        <v>587</v>
      </c>
      <c r="E134" s="2" t="s">
        <v>144</v>
      </c>
      <c r="F134" s="2" t="n">
        <v>52.3459256</v>
      </c>
      <c r="G134" s="2" t="n">
        <v>-8.9736273</v>
      </c>
      <c r="H134" s="2" t="s">
        <v>187</v>
      </c>
      <c r="I134" s="2" t="n">
        <f aca="false">COUNTIF(Applications!$B$2:$B$293,A134)</f>
        <v>1</v>
      </c>
      <c r="J134" s="2" t="n">
        <f aca="false">COUNTIFS(Applications!$B$2:$B$293,A134,Applications!$Z$2:$Z$293,"Yes")</f>
        <v>1</v>
      </c>
      <c r="K134" s="10" t="n">
        <f aca="false">SUMIFS(Applications!$AI$2:$AI$293,Applications!$B$2:$B$293,A134)</f>
        <v>18</v>
      </c>
      <c r="L134" s="10" t="n">
        <f aca="false">SUMIFS(Applications!$AL$2:$AL$293,Applications!$B$2:$B$293,A134)</f>
        <v>18</v>
      </c>
      <c r="M134" s="10" t="n">
        <f aca="false">SUMIFS(Applications!$AM$2:$AM$293,Applications!$B$2:$B$293,A134)</f>
        <v>0</v>
      </c>
      <c r="N134" s="10" t="n">
        <f aca="false">SUMIFS(Applications!$AK$2:$AK$293,Applications!$B$2:$B$293,A134)</f>
        <v>0</v>
      </c>
      <c r="O134" s="2" t="n">
        <f aca="false">I134-J134</f>
        <v>0</v>
      </c>
      <c r="P134" s="2" t="n">
        <f aca="false">COUNTIFS(Applications!$B$2:$B$293,A134,Applications!$W$2:$W$293,"Low",Applications!$X$2:$X$293,"")</f>
        <v>0</v>
      </c>
      <c r="Q134" s="2" t="n">
        <f aca="false">COUNTIFS(Applications!$B$2:$B$293,A134,Applications!$AH$2:$AH$293,"Past*")+COUNTIFS(Applications!$B$2:$B$293,A134,Applications!$AH$2:$AH$293,"No CIS*")</f>
        <v>1</v>
      </c>
      <c r="R134" s="2"/>
      <c r="S134" s="2" t="s">
        <v>124</v>
      </c>
      <c r="T134" s="2" t="str">
        <f aca="false">IF(OR(R134&lt;&gt;"",S134="Yes",P134&gt;0,Q134&gt;0),IF(U134="Yes","Resolved","Yes"),"No")</f>
        <v>Yes</v>
      </c>
      <c r="U134" s="7"/>
      <c r="V134" s="7"/>
    </row>
    <row r="135" customFormat="false" ht="15" hidden="false" customHeight="false" outlineLevel="0" collapsed="false">
      <c r="A135" s="2" t="s">
        <v>588</v>
      </c>
      <c r="B135" s="2" t="s">
        <v>184</v>
      </c>
      <c r="C135" s="2" t="s">
        <v>589</v>
      </c>
      <c r="D135" s="2" t="s">
        <v>590</v>
      </c>
      <c r="E135" s="2" t="s">
        <v>144</v>
      </c>
      <c r="F135" s="2" t="n">
        <v>52.3669591728498</v>
      </c>
      <c r="G135" s="2" t="n">
        <v>-9.14615467049841</v>
      </c>
      <c r="H135" s="2" t="s">
        <v>198</v>
      </c>
      <c r="I135" s="2" t="n">
        <f aca="false">COUNTIF(Applications!$B$2:$B$293,A135)</f>
        <v>1</v>
      </c>
      <c r="J135" s="2" t="n">
        <f aca="false">COUNTIFS(Applications!$B$2:$B$293,A135,Applications!$Z$2:$Z$293,"Yes")</f>
        <v>1</v>
      </c>
      <c r="K135" s="10" t="n">
        <f aca="false">SUMIFS(Applications!$AI$2:$AI$293,Applications!$B$2:$B$293,A135)</f>
        <v>4</v>
      </c>
      <c r="L135" s="10" t="n">
        <f aca="false">SUMIFS(Applications!$AL$2:$AL$293,Applications!$B$2:$B$293,A135)</f>
        <v>4</v>
      </c>
      <c r="M135" s="10" t="n">
        <f aca="false">SUMIFS(Applications!$AM$2:$AM$293,Applications!$B$2:$B$293,A135)</f>
        <v>0</v>
      </c>
      <c r="N135" s="10" t="n">
        <f aca="false">SUMIFS(Applications!$AK$2:$AK$293,Applications!$B$2:$B$293,A135)</f>
        <v>0</v>
      </c>
      <c r="O135" s="2" t="n">
        <f aca="false">I135-J135</f>
        <v>0</v>
      </c>
      <c r="P135" s="2" t="n">
        <f aca="false">COUNTIFS(Applications!$B$2:$B$293,A135,Applications!$W$2:$W$293,"Low",Applications!$X$2:$X$293,"")</f>
        <v>0</v>
      </c>
      <c r="Q135" s="2" t="n">
        <f aca="false">COUNTIFS(Applications!$B$2:$B$293,A135,Applications!$AH$2:$AH$293,"Past*")+COUNTIFS(Applications!$B$2:$B$293,A135,Applications!$AH$2:$AH$293,"No CIS*")</f>
        <v>0</v>
      </c>
      <c r="R135" s="2"/>
      <c r="S135" s="2" t="s">
        <v>124</v>
      </c>
      <c r="T135" s="2" t="str">
        <f aca="false">IF(OR(R135&lt;&gt;"",S135="Yes",P135&gt;0,Q135&gt;0),IF(U135="Yes","Resolved","Yes"),"No")</f>
        <v>No</v>
      </c>
      <c r="U135" s="7"/>
      <c r="V135" s="7"/>
    </row>
    <row r="136" customFormat="false" ht="15" hidden="false" customHeight="false" outlineLevel="0" collapsed="false">
      <c r="A136" s="2" t="s">
        <v>591</v>
      </c>
      <c r="B136" s="2" t="s">
        <v>184</v>
      </c>
      <c r="C136" s="2" t="s">
        <v>592</v>
      </c>
      <c r="D136" s="2" t="s">
        <v>593</v>
      </c>
      <c r="E136" s="2" t="s">
        <v>140</v>
      </c>
      <c r="F136" s="2" t="n">
        <v>52.63640093677</v>
      </c>
      <c r="G136" s="2" t="n">
        <v>-8.67566449809535</v>
      </c>
      <c r="H136" s="2" t="s">
        <v>198</v>
      </c>
      <c r="I136" s="2" t="n">
        <f aca="false">COUNTIF(Applications!$B$2:$B$293,A136)</f>
        <v>2</v>
      </c>
      <c r="J136" s="2" t="n">
        <f aca="false">COUNTIFS(Applications!$B$2:$B$293,A136,Applications!$Z$2:$Z$293,"Yes")</f>
        <v>2</v>
      </c>
      <c r="K136" s="10" t="n">
        <f aca="false">SUMIFS(Applications!$AI$2:$AI$293,Applications!$B$2:$B$293,A136)</f>
        <v>54</v>
      </c>
      <c r="L136" s="10" t="n">
        <f aca="false">SUMIFS(Applications!$AL$2:$AL$293,Applications!$B$2:$B$293,A136)</f>
        <v>29</v>
      </c>
      <c r="M136" s="10" t="n">
        <f aca="false">SUMIFS(Applications!$AM$2:$AM$293,Applications!$B$2:$B$293,A136)</f>
        <v>0</v>
      </c>
      <c r="N136" s="10" t="n">
        <f aca="false">SUMIFS(Applications!$AK$2:$AK$293,Applications!$B$2:$B$293,A136)</f>
        <v>25</v>
      </c>
      <c r="O136" s="2" t="n">
        <f aca="false">I136-J136</f>
        <v>0</v>
      </c>
      <c r="P136" s="2" t="n">
        <f aca="false">COUNTIFS(Applications!$B$2:$B$293,A136,Applications!$W$2:$W$293,"Low",Applications!$X$2:$X$293,"")</f>
        <v>2</v>
      </c>
      <c r="Q136" s="2" t="n">
        <f aca="false">COUNTIFS(Applications!$B$2:$B$293,A136,Applications!$AH$2:$AH$293,"Past*")+COUNTIFS(Applications!$B$2:$B$293,A136,Applications!$AH$2:$AH$293,"No CIS*")</f>
        <v>0</v>
      </c>
      <c r="R136" s="2"/>
      <c r="S136" s="2" t="s">
        <v>121</v>
      </c>
      <c r="T136" s="2" t="str">
        <f aca="false">IF(OR(R136&lt;&gt;"",S136="Yes",P136&gt;0,Q136&gt;0),IF(U136="Yes","Resolved","Yes"),"No")</f>
        <v>Yes</v>
      </c>
      <c r="U136" s="7"/>
      <c r="V136" s="7"/>
    </row>
    <row r="137" customFormat="false" ht="15" hidden="false" customHeight="false" outlineLevel="0" collapsed="false">
      <c r="A137" s="2" t="s">
        <v>594</v>
      </c>
      <c r="B137" s="2" t="s">
        <v>184</v>
      </c>
      <c r="C137" s="2" t="s">
        <v>595</v>
      </c>
      <c r="D137" s="2" t="s">
        <v>596</v>
      </c>
      <c r="E137" s="2" t="s">
        <v>144</v>
      </c>
      <c r="F137" s="2" t="n">
        <v>52.6568265279582</v>
      </c>
      <c r="G137" s="2" t="n">
        <v>-8.63437176270638</v>
      </c>
      <c r="H137" s="2" t="s">
        <v>187</v>
      </c>
      <c r="I137" s="2" t="n">
        <f aca="false">COUNTIF(Applications!$B$2:$B$293,A137)</f>
        <v>1</v>
      </c>
      <c r="J137" s="2" t="n">
        <f aca="false">COUNTIFS(Applications!$B$2:$B$293,A137,Applications!$Z$2:$Z$293,"Yes")</f>
        <v>1</v>
      </c>
      <c r="K137" s="10" t="n">
        <f aca="false">SUMIFS(Applications!$AI$2:$AI$293,Applications!$B$2:$B$293,A137)</f>
        <v>0</v>
      </c>
      <c r="L137" s="10" t="n">
        <f aca="false">SUMIFS(Applications!$AL$2:$AL$293,Applications!$B$2:$B$293,A137)</f>
        <v>0</v>
      </c>
      <c r="M137" s="10" t="n">
        <f aca="false">SUMIFS(Applications!$AM$2:$AM$293,Applications!$B$2:$B$293,A137)</f>
        <v>0</v>
      </c>
      <c r="N137" s="10" t="n">
        <f aca="false">SUMIFS(Applications!$AK$2:$AK$293,Applications!$B$2:$B$293,A137)</f>
        <v>0</v>
      </c>
      <c r="O137" s="2" t="n">
        <f aca="false">I137-J137</f>
        <v>0</v>
      </c>
      <c r="P137" s="2" t="n">
        <f aca="false">COUNTIFS(Applications!$B$2:$B$293,A137,Applications!$W$2:$W$293,"Low",Applications!$X$2:$X$293,"")</f>
        <v>0</v>
      </c>
      <c r="Q137" s="2" t="n">
        <f aca="false">COUNTIFS(Applications!$B$2:$B$293,A137,Applications!$AH$2:$AH$293,"Past*")+COUNTIFS(Applications!$B$2:$B$293,A137,Applications!$AH$2:$AH$293,"No CIS*")</f>
        <v>1</v>
      </c>
      <c r="R137" s="2"/>
      <c r="S137" s="2" t="s">
        <v>124</v>
      </c>
      <c r="T137" s="2" t="str">
        <f aca="false">IF(OR(R137&lt;&gt;"",S137="Yes",P137&gt;0,Q137&gt;0),IF(U137="Yes","Resolved","Yes"),"No")</f>
        <v>Yes</v>
      </c>
      <c r="U137" s="7"/>
      <c r="V137" s="7"/>
    </row>
    <row r="138" customFormat="false" ht="15" hidden="false" customHeight="false" outlineLevel="0" collapsed="false">
      <c r="A138" s="2" t="s">
        <v>597</v>
      </c>
      <c r="B138" s="2" t="s">
        <v>184</v>
      </c>
      <c r="C138" s="2" t="s">
        <v>598</v>
      </c>
      <c r="D138" s="2" t="s">
        <v>599</v>
      </c>
      <c r="E138" s="2" t="s">
        <v>144</v>
      </c>
      <c r="F138" s="2" t="n">
        <v>52.6670511461566</v>
      </c>
      <c r="G138" s="2" t="n">
        <v>-8.59369509196009</v>
      </c>
      <c r="H138" s="2" t="s">
        <v>187</v>
      </c>
      <c r="I138" s="2" t="n">
        <f aca="false">COUNTIF(Applications!$B$2:$B$293,A138)</f>
        <v>1</v>
      </c>
      <c r="J138" s="2" t="n">
        <f aca="false">COUNTIFS(Applications!$B$2:$B$293,A138,Applications!$Z$2:$Z$293,"Yes")</f>
        <v>1</v>
      </c>
      <c r="K138" s="10" t="n">
        <f aca="false">SUMIFS(Applications!$AI$2:$AI$293,Applications!$B$2:$B$293,A138)</f>
        <v>4</v>
      </c>
      <c r="L138" s="10" t="n">
        <f aca="false">SUMIFS(Applications!$AL$2:$AL$293,Applications!$B$2:$B$293,A138)</f>
        <v>4</v>
      </c>
      <c r="M138" s="10" t="n">
        <f aca="false">SUMIFS(Applications!$AM$2:$AM$293,Applications!$B$2:$B$293,A138)</f>
        <v>0</v>
      </c>
      <c r="N138" s="10" t="n">
        <f aca="false">SUMIFS(Applications!$AK$2:$AK$293,Applications!$B$2:$B$293,A138)</f>
        <v>0</v>
      </c>
      <c r="O138" s="2" t="n">
        <f aca="false">I138-J138</f>
        <v>0</v>
      </c>
      <c r="P138" s="2" t="n">
        <f aca="false">COUNTIFS(Applications!$B$2:$B$293,A138,Applications!$W$2:$W$293,"Low",Applications!$X$2:$X$293,"")</f>
        <v>0</v>
      </c>
      <c r="Q138" s="2" t="n">
        <f aca="false">COUNTIFS(Applications!$B$2:$B$293,A138,Applications!$AH$2:$AH$293,"Past*")+COUNTIFS(Applications!$B$2:$B$293,A138,Applications!$AH$2:$AH$293,"No CIS*")</f>
        <v>1</v>
      </c>
      <c r="R138" s="2"/>
      <c r="S138" s="2" t="s">
        <v>124</v>
      </c>
      <c r="T138" s="2" t="str">
        <f aca="false">IF(OR(R138&lt;&gt;"",S138="Yes",P138&gt;0,Q138&gt;0),IF(U138="Yes","Resolved","Yes"),"No")</f>
        <v>Yes</v>
      </c>
      <c r="U138" s="7"/>
      <c r="V138" s="7"/>
    </row>
    <row r="139" customFormat="false" ht="15" hidden="false" customHeight="false" outlineLevel="0" collapsed="false">
      <c r="A139" s="2" t="s">
        <v>600</v>
      </c>
      <c r="B139" s="2" t="s">
        <v>184</v>
      </c>
      <c r="C139" s="2" t="s">
        <v>601</v>
      </c>
      <c r="D139" s="2" t="s">
        <v>602</v>
      </c>
      <c r="E139" s="2" t="s">
        <v>144</v>
      </c>
      <c r="F139" s="2" t="n">
        <v>52.6810099548832</v>
      </c>
      <c r="G139" s="2" t="n">
        <v>-8.6505677312158</v>
      </c>
      <c r="H139" s="2" t="s">
        <v>198</v>
      </c>
      <c r="I139" s="2" t="n">
        <f aca="false">COUNTIF(Applications!$B$2:$B$293,A139)</f>
        <v>1</v>
      </c>
      <c r="J139" s="2" t="n">
        <f aca="false">COUNTIFS(Applications!$B$2:$B$293,A139,Applications!$Z$2:$Z$293,"Yes")</f>
        <v>1</v>
      </c>
      <c r="K139" s="10" t="n">
        <f aca="false">SUMIFS(Applications!$AI$2:$AI$293,Applications!$B$2:$B$293,A139)</f>
        <v>38</v>
      </c>
      <c r="L139" s="10" t="n">
        <f aca="false">SUMIFS(Applications!$AL$2:$AL$293,Applications!$B$2:$B$293,A139)</f>
        <v>38</v>
      </c>
      <c r="M139" s="10" t="n">
        <f aca="false">SUMIFS(Applications!$AM$2:$AM$293,Applications!$B$2:$B$293,A139)</f>
        <v>0</v>
      </c>
      <c r="N139" s="10" t="n">
        <f aca="false">SUMIFS(Applications!$AK$2:$AK$293,Applications!$B$2:$B$293,A139)</f>
        <v>0</v>
      </c>
      <c r="O139" s="2" t="n">
        <f aca="false">I139-J139</f>
        <v>0</v>
      </c>
      <c r="P139" s="2" t="n">
        <f aca="false">COUNTIFS(Applications!$B$2:$B$293,A139,Applications!$W$2:$W$293,"Low",Applications!$X$2:$X$293,"")</f>
        <v>0</v>
      </c>
      <c r="Q139" s="2" t="n">
        <f aca="false">COUNTIFS(Applications!$B$2:$B$293,A139,Applications!$AH$2:$AH$293,"Past*")+COUNTIFS(Applications!$B$2:$B$293,A139,Applications!$AH$2:$AH$293,"No CIS*")</f>
        <v>0</v>
      </c>
      <c r="R139" s="2"/>
      <c r="S139" s="2" t="s">
        <v>124</v>
      </c>
      <c r="T139" s="2" t="str">
        <f aca="false">IF(OR(R139&lt;&gt;"",S139="Yes",P139&gt;0,Q139&gt;0),IF(U139="Yes","Resolved","Yes"),"No")</f>
        <v>No</v>
      </c>
      <c r="U139" s="7"/>
      <c r="V139" s="7"/>
    </row>
    <row r="140" customFormat="false" ht="15" hidden="false" customHeight="false" outlineLevel="0" collapsed="false">
      <c r="A140" s="2" t="s">
        <v>603</v>
      </c>
      <c r="B140" s="2" t="s">
        <v>184</v>
      </c>
      <c r="C140" s="2" t="s">
        <v>604</v>
      </c>
      <c r="D140" s="2" t="s">
        <v>605</v>
      </c>
      <c r="E140" s="2" t="s">
        <v>144</v>
      </c>
      <c r="F140" s="2" t="n">
        <v>52.6562047585692</v>
      </c>
      <c r="G140" s="2" t="n">
        <v>-8.62303050939592</v>
      </c>
      <c r="H140" s="2" t="s">
        <v>251</v>
      </c>
      <c r="I140" s="2" t="n">
        <f aca="false">COUNTIF(Applications!$B$2:$B$293,A140)</f>
        <v>1</v>
      </c>
      <c r="J140" s="2" t="n">
        <f aca="false">COUNTIFS(Applications!$B$2:$B$293,A140,Applications!$Z$2:$Z$293,"Yes")</f>
        <v>1</v>
      </c>
      <c r="K140" s="10" t="n">
        <f aca="false">SUMIFS(Applications!$AI$2:$AI$293,Applications!$B$2:$B$293,A140)</f>
        <v>11</v>
      </c>
      <c r="L140" s="10" t="n">
        <f aca="false">SUMIFS(Applications!$AL$2:$AL$293,Applications!$B$2:$B$293,A140)</f>
        <v>0</v>
      </c>
      <c r="M140" s="10" t="n">
        <f aca="false">SUMIFS(Applications!$AM$2:$AM$293,Applications!$B$2:$B$293,A140)</f>
        <v>0</v>
      </c>
      <c r="N140" s="10" t="n">
        <f aca="false">SUMIFS(Applications!$AK$2:$AK$293,Applications!$B$2:$B$293,A140)</f>
        <v>11</v>
      </c>
      <c r="O140" s="2" t="n">
        <f aca="false">I140-J140</f>
        <v>0</v>
      </c>
      <c r="P140" s="2" t="n">
        <f aca="false">COUNTIFS(Applications!$B$2:$B$293,A140,Applications!$W$2:$W$293,"Low",Applications!$X$2:$X$293,"")</f>
        <v>0</v>
      </c>
      <c r="Q140" s="2" t="n">
        <f aca="false">COUNTIFS(Applications!$B$2:$B$293,A140,Applications!$AH$2:$AH$293,"Past*")+COUNTIFS(Applications!$B$2:$B$293,A140,Applications!$AH$2:$AH$293,"No CIS*")</f>
        <v>0</v>
      </c>
      <c r="R140" s="2"/>
      <c r="S140" s="2" t="s">
        <v>124</v>
      </c>
      <c r="T140" s="2" t="str">
        <f aca="false">IF(OR(R140&lt;&gt;"",S140="Yes",P140&gt;0,Q140&gt;0),IF(U140="Yes","Resolved","Yes"),"No")</f>
        <v>No</v>
      </c>
      <c r="U140" s="7"/>
      <c r="V140" s="7"/>
    </row>
    <row r="141" customFormat="false" ht="15" hidden="false" customHeight="false" outlineLevel="0" collapsed="false">
      <c r="A141" s="2" t="s">
        <v>606</v>
      </c>
      <c r="B141" s="2" t="s">
        <v>184</v>
      </c>
      <c r="C141" s="2" t="s">
        <v>607</v>
      </c>
      <c r="D141" s="2" t="s">
        <v>608</v>
      </c>
      <c r="E141" s="2" t="s">
        <v>144</v>
      </c>
      <c r="F141" s="2" t="n">
        <v>52.5247128225514</v>
      </c>
      <c r="G141" s="2" t="n">
        <v>-8.71450002008802</v>
      </c>
      <c r="H141" s="2" t="s">
        <v>187</v>
      </c>
      <c r="I141" s="2" t="n">
        <f aca="false">COUNTIF(Applications!$B$2:$B$293,A141)</f>
        <v>1</v>
      </c>
      <c r="J141" s="2" t="n">
        <f aca="false">COUNTIFS(Applications!$B$2:$B$293,A141,Applications!$Z$2:$Z$293,"Yes")</f>
        <v>1</v>
      </c>
      <c r="K141" s="10" t="n">
        <f aca="false">SUMIFS(Applications!$AI$2:$AI$293,Applications!$B$2:$B$293,A141)</f>
        <v>14</v>
      </c>
      <c r="L141" s="10" t="n">
        <f aca="false">SUMIFS(Applications!$AL$2:$AL$293,Applications!$B$2:$B$293,A141)</f>
        <v>14</v>
      </c>
      <c r="M141" s="10" t="n">
        <f aca="false">SUMIFS(Applications!$AM$2:$AM$293,Applications!$B$2:$B$293,A141)</f>
        <v>0</v>
      </c>
      <c r="N141" s="10" t="n">
        <f aca="false">SUMIFS(Applications!$AK$2:$AK$293,Applications!$B$2:$B$293,A141)</f>
        <v>0</v>
      </c>
      <c r="O141" s="2" t="n">
        <f aca="false">I141-J141</f>
        <v>0</v>
      </c>
      <c r="P141" s="2" t="n">
        <f aca="false">COUNTIFS(Applications!$B$2:$B$293,A141,Applications!$W$2:$W$293,"Low",Applications!$X$2:$X$293,"")</f>
        <v>0</v>
      </c>
      <c r="Q141" s="2" t="n">
        <f aca="false">COUNTIFS(Applications!$B$2:$B$293,A141,Applications!$AH$2:$AH$293,"Past*")+COUNTIFS(Applications!$B$2:$B$293,A141,Applications!$AH$2:$AH$293,"No CIS*")</f>
        <v>1</v>
      </c>
      <c r="R141" s="2"/>
      <c r="S141" s="2" t="s">
        <v>124</v>
      </c>
      <c r="T141" s="2" t="str">
        <f aca="false">IF(OR(R141&lt;&gt;"",S141="Yes",P141&gt;0,Q141&gt;0),IF(U141="Yes","Resolved","Yes"),"No")</f>
        <v>Yes</v>
      </c>
      <c r="U141" s="7"/>
      <c r="V141" s="7"/>
    </row>
    <row r="142" customFormat="false" ht="15" hidden="false" customHeight="false" outlineLevel="0" collapsed="false">
      <c r="A142" s="2" t="s">
        <v>609</v>
      </c>
      <c r="B142" s="2" t="s">
        <v>184</v>
      </c>
      <c r="C142" s="2" t="s">
        <v>610</v>
      </c>
      <c r="D142" s="2" t="s">
        <v>611</v>
      </c>
      <c r="E142" s="2" t="s">
        <v>144</v>
      </c>
      <c r="F142" s="2" t="n">
        <v>52.6601338780199</v>
      </c>
      <c r="G142" s="2" t="n">
        <v>-8.63161954966898</v>
      </c>
      <c r="H142" s="2" t="s">
        <v>187</v>
      </c>
      <c r="I142" s="2" t="n">
        <f aca="false">COUNTIF(Applications!$B$2:$B$293,A142)</f>
        <v>1</v>
      </c>
      <c r="J142" s="2" t="n">
        <f aca="false">COUNTIFS(Applications!$B$2:$B$293,A142,Applications!$Z$2:$Z$293,"Yes")</f>
        <v>1</v>
      </c>
      <c r="K142" s="10" t="n">
        <f aca="false">SUMIFS(Applications!$AI$2:$AI$293,Applications!$B$2:$B$293,A142)</f>
        <v>15</v>
      </c>
      <c r="L142" s="10" t="n">
        <f aca="false">SUMIFS(Applications!$AL$2:$AL$293,Applications!$B$2:$B$293,A142)</f>
        <v>15</v>
      </c>
      <c r="M142" s="10" t="n">
        <f aca="false">SUMIFS(Applications!$AM$2:$AM$293,Applications!$B$2:$B$293,A142)</f>
        <v>0</v>
      </c>
      <c r="N142" s="10" t="n">
        <f aca="false">SUMIFS(Applications!$AK$2:$AK$293,Applications!$B$2:$B$293,A142)</f>
        <v>0</v>
      </c>
      <c r="O142" s="2" t="n">
        <f aca="false">I142-J142</f>
        <v>0</v>
      </c>
      <c r="P142" s="2" t="n">
        <f aca="false">COUNTIFS(Applications!$B$2:$B$293,A142,Applications!$W$2:$W$293,"Low",Applications!$X$2:$X$293,"")</f>
        <v>0</v>
      </c>
      <c r="Q142" s="2" t="n">
        <f aca="false">COUNTIFS(Applications!$B$2:$B$293,A142,Applications!$AH$2:$AH$293,"Past*")+COUNTIFS(Applications!$B$2:$B$293,A142,Applications!$AH$2:$AH$293,"No CIS*")</f>
        <v>1</v>
      </c>
      <c r="R142" s="2"/>
      <c r="S142" s="2" t="s">
        <v>124</v>
      </c>
      <c r="T142" s="2" t="str">
        <f aca="false">IF(OR(R142&lt;&gt;"",S142="Yes",P142&gt;0,Q142&gt;0),IF(U142="Yes","Resolved","Yes"),"No")</f>
        <v>Yes</v>
      </c>
      <c r="U142" s="7"/>
      <c r="V142" s="7"/>
    </row>
    <row r="143" customFormat="false" ht="15" hidden="false" customHeight="false" outlineLevel="0" collapsed="false">
      <c r="A143" s="2" t="s">
        <v>612</v>
      </c>
      <c r="B143" s="2" t="s">
        <v>184</v>
      </c>
      <c r="C143" s="2" t="s">
        <v>613</v>
      </c>
      <c r="D143" s="2" t="s">
        <v>614</v>
      </c>
      <c r="E143" s="2" t="s">
        <v>144</v>
      </c>
      <c r="F143" s="2" t="n">
        <v>52.4121881641551</v>
      </c>
      <c r="G143" s="2" t="n">
        <v>-8.37932819463466</v>
      </c>
      <c r="H143" s="2" t="s">
        <v>187</v>
      </c>
      <c r="I143" s="2" t="n">
        <f aca="false">COUNTIF(Applications!$B$2:$B$293,A143)</f>
        <v>1</v>
      </c>
      <c r="J143" s="2" t="n">
        <f aca="false">COUNTIFS(Applications!$B$2:$B$293,A143,Applications!$Z$2:$Z$293,"Yes")</f>
        <v>1</v>
      </c>
      <c r="K143" s="10" t="n">
        <f aca="false">SUMIFS(Applications!$AI$2:$AI$293,Applications!$B$2:$B$293,A143)</f>
        <v>1</v>
      </c>
      <c r="L143" s="10" t="n">
        <f aca="false">SUMIFS(Applications!$AL$2:$AL$293,Applications!$B$2:$B$293,A143)</f>
        <v>1</v>
      </c>
      <c r="M143" s="10" t="n">
        <f aca="false">SUMIFS(Applications!$AM$2:$AM$293,Applications!$B$2:$B$293,A143)</f>
        <v>0</v>
      </c>
      <c r="N143" s="10" t="n">
        <f aca="false">SUMIFS(Applications!$AK$2:$AK$293,Applications!$B$2:$B$293,A143)</f>
        <v>0</v>
      </c>
      <c r="O143" s="2" t="n">
        <f aca="false">I143-J143</f>
        <v>0</v>
      </c>
      <c r="P143" s="2" t="n">
        <f aca="false">COUNTIFS(Applications!$B$2:$B$293,A143,Applications!$W$2:$W$293,"Low",Applications!$X$2:$X$293,"")</f>
        <v>0</v>
      </c>
      <c r="Q143" s="2" t="n">
        <f aca="false">COUNTIFS(Applications!$B$2:$B$293,A143,Applications!$AH$2:$AH$293,"Past*")+COUNTIFS(Applications!$B$2:$B$293,A143,Applications!$AH$2:$AH$293,"No CIS*")</f>
        <v>1</v>
      </c>
      <c r="R143" s="2"/>
      <c r="S143" s="2" t="s">
        <v>124</v>
      </c>
      <c r="T143" s="2" t="str">
        <f aca="false">IF(OR(R143&lt;&gt;"",S143="Yes",P143&gt;0,Q143&gt;0),IF(U143="Yes","Resolved","Yes"),"No")</f>
        <v>Yes</v>
      </c>
      <c r="U143" s="7"/>
      <c r="V143" s="7"/>
    </row>
    <row r="144" customFormat="false" ht="15" hidden="false" customHeight="false" outlineLevel="0" collapsed="false">
      <c r="A144" s="2" t="s">
        <v>615</v>
      </c>
      <c r="B144" s="2" t="s">
        <v>184</v>
      </c>
      <c r="C144" s="2" t="s">
        <v>616</v>
      </c>
      <c r="D144" s="2" t="s">
        <v>617</v>
      </c>
      <c r="E144" s="2" t="s">
        <v>144</v>
      </c>
      <c r="F144" s="2" t="n">
        <v>52.6561098491184</v>
      </c>
      <c r="G144" s="2" t="n">
        <v>-8.58690270635128</v>
      </c>
      <c r="H144" s="2" t="s">
        <v>251</v>
      </c>
      <c r="I144" s="2" t="n">
        <f aca="false">COUNTIF(Applications!$B$2:$B$293,A144)</f>
        <v>1</v>
      </c>
      <c r="J144" s="2" t="n">
        <f aca="false">COUNTIFS(Applications!$B$2:$B$293,A144,Applications!$Z$2:$Z$293,"Yes")</f>
        <v>1</v>
      </c>
      <c r="K144" s="10" t="n">
        <f aca="false">SUMIFS(Applications!$AI$2:$AI$293,Applications!$B$2:$B$293,A144)</f>
        <v>4</v>
      </c>
      <c r="L144" s="10" t="n">
        <f aca="false">SUMIFS(Applications!$AL$2:$AL$293,Applications!$B$2:$B$293,A144)</f>
        <v>0</v>
      </c>
      <c r="M144" s="10" t="n">
        <f aca="false">SUMIFS(Applications!$AM$2:$AM$293,Applications!$B$2:$B$293,A144)</f>
        <v>0</v>
      </c>
      <c r="N144" s="10" t="n">
        <f aca="false">SUMIFS(Applications!$AK$2:$AK$293,Applications!$B$2:$B$293,A144)</f>
        <v>4</v>
      </c>
      <c r="O144" s="2" t="n">
        <f aca="false">I144-J144</f>
        <v>0</v>
      </c>
      <c r="P144" s="2" t="n">
        <f aca="false">COUNTIFS(Applications!$B$2:$B$293,A144,Applications!$W$2:$W$293,"Low",Applications!$X$2:$X$293,"")</f>
        <v>0</v>
      </c>
      <c r="Q144" s="2" t="n">
        <f aca="false">COUNTIFS(Applications!$B$2:$B$293,A144,Applications!$AH$2:$AH$293,"Past*")+COUNTIFS(Applications!$B$2:$B$293,A144,Applications!$AH$2:$AH$293,"No CIS*")</f>
        <v>0</v>
      </c>
      <c r="R144" s="2"/>
      <c r="S144" s="2" t="s">
        <v>124</v>
      </c>
      <c r="T144" s="2" t="str">
        <f aca="false">IF(OR(R144&lt;&gt;"",S144="Yes",P144&gt;0,Q144&gt;0),IF(U144="Yes","Resolved","Yes"),"No")</f>
        <v>No</v>
      </c>
      <c r="U144" s="7"/>
      <c r="V144" s="7"/>
    </row>
    <row r="145" customFormat="false" ht="15" hidden="false" customHeight="false" outlineLevel="0" collapsed="false">
      <c r="A145" s="2" t="s">
        <v>618</v>
      </c>
      <c r="B145" s="2" t="s">
        <v>184</v>
      </c>
      <c r="C145" s="2" t="s">
        <v>619</v>
      </c>
      <c r="D145" s="2" t="s">
        <v>620</v>
      </c>
      <c r="E145" s="2" t="s">
        <v>144</v>
      </c>
      <c r="F145" s="2" t="n">
        <v>52.6747870779413</v>
      </c>
      <c r="G145" s="2" t="n">
        <v>-8.63885223888545</v>
      </c>
      <c r="H145" s="2" t="s">
        <v>251</v>
      </c>
      <c r="I145" s="2" t="n">
        <f aca="false">COUNTIF(Applications!$B$2:$B$293,A145)</f>
        <v>1</v>
      </c>
      <c r="J145" s="2" t="n">
        <f aca="false">COUNTIFS(Applications!$B$2:$B$293,A145,Applications!$Z$2:$Z$293,"Yes")</f>
        <v>1</v>
      </c>
      <c r="K145" s="10" t="n">
        <f aca="false">SUMIFS(Applications!$AI$2:$AI$293,Applications!$B$2:$B$293,A145)</f>
        <v>5</v>
      </c>
      <c r="L145" s="10" t="n">
        <f aca="false">SUMIFS(Applications!$AL$2:$AL$293,Applications!$B$2:$B$293,A145)</f>
        <v>0</v>
      </c>
      <c r="M145" s="10" t="n">
        <f aca="false">SUMIFS(Applications!$AM$2:$AM$293,Applications!$B$2:$B$293,A145)</f>
        <v>0</v>
      </c>
      <c r="N145" s="10" t="n">
        <f aca="false">SUMIFS(Applications!$AK$2:$AK$293,Applications!$B$2:$B$293,A145)</f>
        <v>5</v>
      </c>
      <c r="O145" s="2" t="n">
        <f aca="false">I145-J145</f>
        <v>0</v>
      </c>
      <c r="P145" s="2" t="n">
        <f aca="false">COUNTIFS(Applications!$B$2:$B$293,A145,Applications!$W$2:$W$293,"Low",Applications!$X$2:$X$293,"")</f>
        <v>0</v>
      </c>
      <c r="Q145" s="2" t="n">
        <f aca="false">COUNTIFS(Applications!$B$2:$B$293,A145,Applications!$AH$2:$AH$293,"Past*")+COUNTIFS(Applications!$B$2:$B$293,A145,Applications!$AH$2:$AH$293,"No CIS*")</f>
        <v>0</v>
      </c>
      <c r="R145" s="2"/>
      <c r="S145" s="2" t="s">
        <v>124</v>
      </c>
      <c r="T145" s="2" t="str">
        <f aca="false">IF(OR(R145&lt;&gt;"",S145="Yes",P145&gt;0,Q145&gt;0),IF(U145="Yes","Resolved","Yes"),"No")</f>
        <v>No</v>
      </c>
      <c r="U145" s="7"/>
      <c r="V145" s="7"/>
    </row>
    <row r="146" customFormat="false" ht="15" hidden="false" customHeight="false" outlineLevel="0" collapsed="false">
      <c r="A146" s="2" t="s">
        <v>621</v>
      </c>
      <c r="B146" s="2" t="s">
        <v>184</v>
      </c>
      <c r="C146" s="2" t="s">
        <v>622</v>
      </c>
      <c r="D146" s="2" t="s">
        <v>623</v>
      </c>
      <c r="E146" s="2" t="s">
        <v>144</v>
      </c>
      <c r="F146" s="2" t="n">
        <v>52.6458868952827</v>
      </c>
      <c r="G146" s="2" t="n">
        <v>-8.62597459027117</v>
      </c>
      <c r="H146" s="2" t="s">
        <v>251</v>
      </c>
      <c r="I146" s="2" t="n">
        <f aca="false">COUNTIF(Applications!$B$2:$B$293,A146)</f>
        <v>1</v>
      </c>
      <c r="J146" s="2" t="n">
        <f aca="false">COUNTIFS(Applications!$B$2:$B$293,A146,Applications!$Z$2:$Z$293,"Yes")</f>
        <v>1</v>
      </c>
      <c r="K146" s="10" t="n">
        <f aca="false">SUMIFS(Applications!$AI$2:$AI$293,Applications!$B$2:$B$293,A146)</f>
        <v>43</v>
      </c>
      <c r="L146" s="10" t="n">
        <f aca="false">SUMIFS(Applications!$AL$2:$AL$293,Applications!$B$2:$B$293,A146)</f>
        <v>0</v>
      </c>
      <c r="M146" s="10" t="n">
        <f aca="false">SUMIFS(Applications!$AM$2:$AM$293,Applications!$B$2:$B$293,A146)</f>
        <v>0</v>
      </c>
      <c r="N146" s="10" t="n">
        <f aca="false">SUMIFS(Applications!$AK$2:$AK$293,Applications!$B$2:$B$293,A146)</f>
        <v>43</v>
      </c>
      <c r="O146" s="2" t="n">
        <f aca="false">I146-J146</f>
        <v>0</v>
      </c>
      <c r="P146" s="2" t="n">
        <f aca="false">COUNTIFS(Applications!$B$2:$B$293,A146,Applications!$W$2:$W$293,"Low",Applications!$X$2:$X$293,"")</f>
        <v>0</v>
      </c>
      <c r="Q146" s="2" t="n">
        <f aca="false">COUNTIFS(Applications!$B$2:$B$293,A146,Applications!$AH$2:$AH$293,"Past*")+COUNTIFS(Applications!$B$2:$B$293,A146,Applications!$AH$2:$AH$293,"No CIS*")</f>
        <v>0</v>
      </c>
      <c r="R146" s="2"/>
      <c r="S146" s="2" t="s">
        <v>124</v>
      </c>
      <c r="T146" s="2" t="str">
        <f aca="false">IF(OR(R146&lt;&gt;"",S146="Yes",P146&gt;0,Q146&gt;0),IF(U146="Yes","Resolved","Yes"),"No")</f>
        <v>No</v>
      </c>
      <c r="U146" s="7"/>
      <c r="V146" s="7"/>
    </row>
    <row r="147" customFormat="false" ht="15" hidden="false" customHeight="false" outlineLevel="0" collapsed="false">
      <c r="A147" s="2" t="s">
        <v>624</v>
      </c>
      <c r="B147" s="2" t="s">
        <v>184</v>
      </c>
      <c r="C147" s="2" t="s">
        <v>625</v>
      </c>
      <c r="D147" s="2" t="s">
        <v>626</v>
      </c>
      <c r="E147" s="2" t="s">
        <v>144</v>
      </c>
      <c r="F147" s="2" t="n">
        <v>52.7509317096672</v>
      </c>
      <c r="G147" s="2" t="n">
        <v>-8.49340790321684</v>
      </c>
      <c r="H147" s="2" t="s">
        <v>187</v>
      </c>
      <c r="I147" s="2" t="n">
        <f aca="false">COUNTIF(Applications!$B$2:$B$293,A147)</f>
        <v>1</v>
      </c>
      <c r="J147" s="2" t="n">
        <f aca="false">COUNTIFS(Applications!$B$2:$B$293,A147,Applications!$Z$2:$Z$293,"Yes")</f>
        <v>1</v>
      </c>
      <c r="K147" s="10" t="n">
        <f aca="false">SUMIFS(Applications!$AI$2:$AI$293,Applications!$B$2:$B$293,A147)</f>
        <v>12</v>
      </c>
      <c r="L147" s="10" t="n">
        <f aca="false">SUMIFS(Applications!$AL$2:$AL$293,Applications!$B$2:$B$293,A147)</f>
        <v>12</v>
      </c>
      <c r="M147" s="10" t="n">
        <f aca="false">SUMIFS(Applications!$AM$2:$AM$293,Applications!$B$2:$B$293,A147)</f>
        <v>0</v>
      </c>
      <c r="N147" s="10" t="n">
        <f aca="false">SUMIFS(Applications!$AK$2:$AK$293,Applications!$B$2:$B$293,A147)</f>
        <v>0</v>
      </c>
      <c r="O147" s="2" t="n">
        <f aca="false">I147-J147</f>
        <v>0</v>
      </c>
      <c r="P147" s="2" t="n">
        <f aca="false">COUNTIFS(Applications!$B$2:$B$293,A147,Applications!$W$2:$W$293,"Low",Applications!$X$2:$X$293,"")</f>
        <v>0</v>
      </c>
      <c r="Q147" s="2" t="n">
        <f aca="false">COUNTIFS(Applications!$B$2:$B$293,A147,Applications!$AH$2:$AH$293,"Past*")+COUNTIFS(Applications!$B$2:$B$293,A147,Applications!$AH$2:$AH$293,"No CIS*")</f>
        <v>1</v>
      </c>
      <c r="R147" s="2"/>
      <c r="S147" s="2" t="s">
        <v>124</v>
      </c>
      <c r="T147" s="2" t="str">
        <f aca="false">IF(OR(R147&lt;&gt;"",S147="Yes",P147&gt;0,Q147&gt;0),IF(U147="Yes","Resolved","Yes"),"No")</f>
        <v>Yes</v>
      </c>
      <c r="U147" s="7"/>
      <c r="V147" s="7"/>
    </row>
    <row r="148" customFormat="false" ht="15" hidden="false" customHeight="false" outlineLevel="0" collapsed="false">
      <c r="A148" s="2" t="s">
        <v>627</v>
      </c>
      <c r="B148" s="2" t="s">
        <v>184</v>
      </c>
      <c r="C148" s="2" t="s">
        <v>628</v>
      </c>
      <c r="D148" s="2" t="s">
        <v>629</v>
      </c>
      <c r="E148" s="2" t="s">
        <v>133</v>
      </c>
      <c r="F148" s="2" t="n">
        <v>52.6596808439087</v>
      </c>
      <c r="G148" s="2" t="n">
        <v>-8.53871236195242</v>
      </c>
      <c r="H148" s="2" t="s">
        <v>251</v>
      </c>
      <c r="I148" s="2" t="n">
        <f aca="false">COUNTIF(Applications!$B$2:$B$293,A148)</f>
        <v>1</v>
      </c>
      <c r="J148" s="2" t="n">
        <f aca="false">COUNTIFS(Applications!$B$2:$B$293,A148,Applications!$Z$2:$Z$293,"Yes")</f>
        <v>1</v>
      </c>
      <c r="K148" s="10" t="n">
        <f aca="false">SUMIFS(Applications!$AI$2:$AI$293,Applications!$B$2:$B$293,A148)</f>
        <v>12</v>
      </c>
      <c r="L148" s="10" t="n">
        <f aca="false">SUMIFS(Applications!$AL$2:$AL$293,Applications!$B$2:$B$293,A148)</f>
        <v>0</v>
      </c>
      <c r="M148" s="10" t="n">
        <f aca="false">SUMIFS(Applications!$AM$2:$AM$293,Applications!$B$2:$B$293,A148)</f>
        <v>0</v>
      </c>
      <c r="N148" s="10" t="n">
        <f aca="false">SUMIFS(Applications!$AK$2:$AK$293,Applications!$B$2:$B$293,A148)</f>
        <v>12</v>
      </c>
      <c r="O148" s="2" t="n">
        <f aca="false">I148-J148</f>
        <v>0</v>
      </c>
      <c r="P148" s="2" t="n">
        <f aca="false">COUNTIFS(Applications!$B$2:$B$293,A148,Applications!$W$2:$W$293,"Low",Applications!$X$2:$X$293,"")</f>
        <v>0</v>
      </c>
      <c r="Q148" s="2" t="n">
        <f aca="false">COUNTIFS(Applications!$B$2:$B$293,A148,Applications!$AH$2:$AH$293,"Past*")+COUNTIFS(Applications!$B$2:$B$293,A148,Applications!$AH$2:$AH$293,"No CIS*")</f>
        <v>0</v>
      </c>
      <c r="R148" s="2"/>
      <c r="S148" s="2" t="s">
        <v>124</v>
      </c>
      <c r="T148" s="2" t="str">
        <f aca="false">IF(OR(R148&lt;&gt;"",S148="Yes",P148&gt;0,Q148&gt;0),IF(U148="Yes","Resolved","Yes"),"No")</f>
        <v>No</v>
      </c>
      <c r="U148" s="7"/>
      <c r="V148" s="7"/>
    </row>
    <row r="149" customFormat="false" ht="15" hidden="false" customHeight="false" outlineLevel="0" collapsed="false">
      <c r="A149" s="2" t="s">
        <v>630</v>
      </c>
      <c r="B149" s="2" t="s">
        <v>184</v>
      </c>
      <c r="C149" s="2" t="s">
        <v>631</v>
      </c>
      <c r="D149" s="2" t="s">
        <v>632</v>
      </c>
      <c r="E149" s="2" t="s">
        <v>144</v>
      </c>
      <c r="F149" s="2" t="n">
        <v>52.6533272262254</v>
      </c>
      <c r="G149" s="2" t="n">
        <v>-8.64713454117281</v>
      </c>
      <c r="H149" s="2" t="s">
        <v>198</v>
      </c>
      <c r="I149" s="2" t="n">
        <f aca="false">COUNTIF(Applications!$B$2:$B$293,A149)</f>
        <v>1</v>
      </c>
      <c r="J149" s="2" t="n">
        <f aca="false">COUNTIFS(Applications!$B$2:$B$293,A149,Applications!$Z$2:$Z$293,"Yes")</f>
        <v>1</v>
      </c>
      <c r="K149" s="10" t="n">
        <f aca="false">SUMIFS(Applications!$AI$2:$AI$293,Applications!$B$2:$B$293,A149)</f>
        <v>6</v>
      </c>
      <c r="L149" s="10" t="n">
        <f aca="false">SUMIFS(Applications!$AL$2:$AL$293,Applications!$B$2:$B$293,A149)</f>
        <v>6</v>
      </c>
      <c r="M149" s="10" t="n">
        <f aca="false">SUMIFS(Applications!$AM$2:$AM$293,Applications!$B$2:$B$293,A149)</f>
        <v>0</v>
      </c>
      <c r="N149" s="10" t="n">
        <f aca="false">SUMIFS(Applications!$AK$2:$AK$293,Applications!$B$2:$B$293,A149)</f>
        <v>0</v>
      </c>
      <c r="O149" s="2" t="n">
        <f aca="false">I149-J149</f>
        <v>0</v>
      </c>
      <c r="P149" s="2" t="n">
        <f aca="false">COUNTIFS(Applications!$B$2:$B$293,A149,Applications!$W$2:$W$293,"Low",Applications!$X$2:$X$293,"")</f>
        <v>0</v>
      </c>
      <c r="Q149" s="2" t="n">
        <f aca="false">COUNTIFS(Applications!$B$2:$B$293,A149,Applications!$AH$2:$AH$293,"Past*")+COUNTIFS(Applications!$B$2:$B$293,A149,Applications!$AH$2:$AH$293,"No CIS*")</f>
        <v>0</v>
      </c>
      <c r="R149" s="2"/>
      <c r="S149" s="2" t="s">
        <v>124</v>
      </c>
      <c r="T149" s="2" t="str">
        <f aca="false">IF(OR(R149&lt;&gt;"",S149="Yes",P149&gt;0,Q149&gt;0),IF(U149="Yes","Resolved","Yes"),"No")</f>
        <v>No</v>
      </c>
      <c r="U149" s="7"/>
      <c r="V149" s="7"/>
    </row>
    <row r="150" customFormat="false" ht="15" hidden="false" customHeight="false" outlineLevel="0" collapsed="false">
      <c r="A150" s="2" t="s">
        <v>633</v>
      </c>
      <c r="B150" s="2" t="s">
        <v>184</v>
      </c>
      <c r="C150" s="2" t="s">
        <v>607</v>
      </c>
      <c r="D150" s="2" t="s">
        <v>634</v>
      </c>
      <c r="E150" s="2" t="s">
        <v>144</v>
      </c>
      <c r="F150" s="2" t="n">
        <v>52.6599791536086</v>
      </c>
      <c r="G150" s="2" t="n">
        <v>-8.63496045888059</v>
      </c>
      <c r="H150" s="2" t="s">
        <v>251</v>
      </c>
      <c r="I150" s="2" t="n">
        <f aca="false">COUNTIF(Applications!$B$2:$B$293,A150)</f>
        <v>1</v>
      </c>
      <c r="J150" s="2" t="n">
        <f aca="false">COUNTIFS(Applications!$B$2:$B$293,A150,Applications!$Z$2:$Z$293,"Yes")</f>
        <v>1</v>
      </c>
      <c r="K150" s="10" t="n">
        <f aca="false">SUMIFS(Applications!$AI$2:$AI$293,Applications!$B$2:$B$293,A150)</f>
        <v>14</v>
      </c>
      <c r="L150" s="10" t="n">
        <f aca="false">SUMIFS(Applications!$AL$2:$AL$293,Applications!$B$2:$B$293,A150)</f>
        <v>0</v>
      </c>
      <c r="M150" s="10" t="n">
        <f aca="false">SUMIFS(Applications!$AM$2:$AM$293,Applications!$B$2:$B$293,A150)</f>
        <v>0</v>
      </c>
      <c r="N150" s="10" t="n">
        <f aca="false">SUMIFS(Applications!$AK$2:$AK$293,Applications!$B$2:$B$293,A150)</f>
        <v>14</v>
      </c>
      <c r="O150" s="2" t="n">
        <f aca="false">I150-J150</f>
        <v>0</v>
      </c>
      <c r="P150" s="2" t="n">
        <f aca="false">COUNTIFS(Applications!$B$2:$B$293,A150,Applications!$W$2:$W$293,"Low",Applications!$X$2:$X$293,"")</f>
        <v>0</v>
      </c>
      <c r="Q150" s="2" t="n">
        <f aca="false">COUNTIFS(Applications!$B$2:$B$293,A150,Applications!$AH$2:$AH$293,"Past*")+COUNTIFS(Applications!$B$2:$B$293,A150,Applications!$AH$2:$AH$293,"No CIS*")</f>
        <v>0</v>
      </c>
      <c r="R150" s="2"/>
      <c r="S150" s="2" t="s">
        <v>124</v>
      </c>
      <c r="T150" s="2" t="str">
        <f aca="false">IF(OR(R150&lt;&gt;"",S150="Yes",P150&gt;0,Q150&gt;0),IF(U150="Yes","Resolved","Yes"),"No")</f>
        <v>No</v>
      </c>
      <c r="U150" s="7"/>
      <c r="V150" s="7"/>
    </row>
    <row r="151" customFormat="false" ht="15" hidden="false" customHeight="false" outlineLevel="0" collapsed="false">
      <c r="A151" s="2" t="s">
        <v>635</v>
      </c>
      <c r="B151" s="2" t="s">
        <v>184</v>
      </c>
      <c r="C151" s="2" t="s">
        <v>636</v>
      </c>
      <c r="D151" s="2" t="s">
        <v>637</v>
      </c>
      <c r="E151" s="2" t="s">
        <v>139</v>
      </c>
      <c r="F151" s="2" t="n">
        <v>52.6597163424842</v>
      </c>
      <c r="G151" s="2" t="n">
        <v>-8.54957650371334</v>
      </c>
      <c r="H151" s="2" t="s">
        <v>251</v>
      </c>
      <c r="I151" s="2" t="n">
        <f aca="false">COUNTIF(Applications!$B$2:$B$293,A151)</f>
        <v>1</v>
      </c>
      <c r="J151" s="2" t="n">
        <f aca="false">COUNTIFS(Applications!$B$2:$B$293,A151,Applications!$Z$2:$Z$293,"Yes")</f>
        <v>1</v>
      </c>
      <c r="K151" s="10" t="n">
        <f aca="false">SUMIFS(Applications!$AI$2:$AI$293,Applications!$B$2:$B$293,A151)</f>
        <v>6</v>
      </c>
      <c r="L151" s="10" t="n">
        <f aca="false">SUMIFS(Applications!$AL$2:$AL$293,Applications!$B$2:$B$293,A151)</f>
        <v>0</v>
      </c>
      <c r="M151" s="10" t="n">
        <f aca="false">SUMIFS(Applications!$AM$2:$AM$293,Applications!$B$2:$B$293,A151)</f>
        <v>0</v>
      </c>
      <c r="N151" s="10" t="n">
        <f aca="false">SUMIFS(Applications!$AK$2:$AK$293,Applications!$B$2:$B$293,A151)</f>
        <v>6</v>
      </c>
      <c r="O151" s="2" t="n">
        <f aca="false">I151-J151</f>
        <v>0</v>
      </c>
      <c r="P151" s="2" t="n">
        <f aca="false">COUNTIFS(Applications!$B$2:$B$293,A151,Applications!$W$2:$W$293,"Low",Applications!$X$2:$X$293,"")</f>
        <v>1</v>
      </c>
      <c r="Q151" s="2" t="n">
        <f aca="false">COUNTIFS(Applications!$B$2:$B$293,A151,Applications!$AH$2:$AH$293,"Past*")+COUNTIFS(Applications!$B$2:$B$293,A151,Applications!$AH$2:$AH$293,"No CIS*")</f>
        <v>0</v>
      </c>
      <c r="R151" s="2"/>
      <c r="S151" s="2" t="s">
        <v>124</v>
      </c>
      <c r="T151" s="2" t="str">
        <f aca="false">IF(OR(R151&lt;&gt;"",S151="Yes",P151&gt;0,Q151&gt;0),IF(U151="Yes","Resolved","Yes"),"No")</f>
        <v>Yes</v>
      </c>
      <c r="U151" s="7"/>
      <c r="V151" s="7"/>
    </row>
    <row r="152" customFormat="false" ht="15" hidden="false" customHeight="false" outlineLevel="0" collapsed="false">
      <c r="A152" s="2" t="s">
        <v>638</v>
      </c>
      <c r="B152" s="2" t="s">
        <v>184</v>
      </c>
      <c r="C152" s="2" t="s">
        <v>639</v>
      </c>
      <c r="D152" s="2" t="s">
        <v>640</v>
      </c>
      <c r="E152" s="2" t="s">
        <v>144</v>
      </c>
      <c r="F152" s="2" t="n">
        <v>52.6343412017013</v>
      </c>
      <c r="G152" s="2" t="n">
        <v>-8.73234084844157</v>
      </c>
      <c r="H152" s="2" t="s">
        <v>187</v>
      </c>
      <c r="I152" s="2" t="n">
        <f aca="false">COUNTIF(Applications!$B$2:$B$293,A152)</f>
        <v>1</v>
      </c>
      <c r="J152" s="2" t="n">
        <f aca="false">COUNTIFS(Applications!$B$2:$B$293,A152,Applications!$Z$2:$Z$293,"Yes")</f>
        <v>1</v>
      </c>
      <c r="K152" s="10" t="n">
        <f aca="false">SUMIFS(Applications!$AI$2:$AI$293,Applications!$B$2:$B$293,A152)</f>
        <v>17</v>
      </c>
      <c r="L152" s="10" t="n">
        <f aca="false">SUMIFS(Applications!$AL$2:$AL$293,Applications!$B$2:$B$293,A152)</f>
        <v>17</v>
      </c>
      <c r="M152" s="10" t="n">
        <f aca="false">SUMIFS(Applications!$AM$2:$AM$293,Applications!$B$2:$B$293,A152)</f>
        <v>0</v>
      </c>
      <c r="N152" s="10" t="n">
        <f aca="false">SUMIFS(Applications!$AK$2:$AK$293,Applications!$B$2:$B$293,A152)</f>
        <v>0</v>
      </c>
      <c r="O152" s="2" t="n">
        <f aca="false">I152-J152</f>
        <v>0</v>
      </c>
      <c r="P152" s="2" t="n">
        <f aca="false">COUNTIFS(Applications!$B$2:$B$293,A152,Applications!$W$2:$W$293,"Low",Applications!$X$2:$X$293,"")</f>
        <v>0</v>
      </c>
      <c r="Q152" s="2" t="n">
        <f aca="false">COUNTIFS(Applications!$B$2:$B$293,A152,Applications!$AH$2:$AH$293,"Past*")+COUNTIFS(Applications!$B$2:$B$293,A152,Applications!$AH$2:$AH$293,"No CIS*")</f>
        <v>1</v>
      </c>
      <c r="R152" s="2"/>
      <c r="S152" s="2" t="s">
        <v>124</v>
      </c>
      <c r="T152" s="2" t="str">
        <f aca="false">IF(OR(R152&lt;&gt;"",S152="Yes",P152&gt;0,Q152&gt;0),IF(U152="Yes","Resolved","Yes"),"No")</f>
        <v>Yes</v>
      </c>
      <c r="U152" s="7"/>
      <c r="V152" s="7"/>
    </row>
    <row r="153" customFormat="false" ht="15" hidden="false" customHeight="false" outlineLevel="0" collapsed="false">
      <c r="A153" s="2" t="s">
        <v>641</v>
      </c>
      <c r="B153" s="2" t="s">
        <v>184</v>
      </c>
      <c r="C153" s="2" t="s">
        <v>642</v>
      </c>
      <c r="D153" s="2" t="s">
        <v>643</v>
      </c>
      <c r="E153" s="2" t="s">
        <v>131</v>
      </c>
      <c r="F153" s="2" t="n">
        <v>52.3864090033758</v>
      </c>
      <c r="G153" s="2" t="n">
        <v>-9.30053587959211</v>
      </c>
      <c r="H153" s="2" t="s">
        <v>187</v>
      </c>
      <c r="I153" s="2" t="n">
        <f aca="false">COUNTIF(Applications!$B$2:$B$293,A153)</f>
        <v>1</v>
      </c>
      <c r="J153" s="2" t="n">
        <f aca="false">COUNTIFS(Applications!$B$2:$B$293,A153,Applications!$Z$2:$Z$293,"Yes")</f>
        <v>1</v>
      </c>
      <c r="K153" s="10" t="n">
        <f aca="false">SUMIFS(Applications!$AI$2:$AI$293,Applications!$B$2:$B$293,A153)</f>
        <v>7</v>
      </c>
      <c r="L153" s="10" t="n">
        <f aca="false">SUMIFS(Applications!$AL$2:$AL$293,Applications!$B$2:$B$293,A153)</f>
        <v>7</v>
      </c>
      <c r="M153" s="10" t="n">
        <f aca="false">SUMIFS(Applications!$AM$2:$AM$293,Applications!$B$2:$B$293,A153)</f>
        <v>0</v>
      </c>
      <c r="N153" s="10" t="n">
        <f aca="false">SUMIFS(Applications!$AK$2:$AK$293,Applications!$B$2:$B$293,A153)</f>
        <v>0</v>
      </c>
      <c r="O153" s="2" t="n">
        <f aca="false">I153-J153</f>
        <v>0</v>
      </c>
      <c r="P153" s="2" t="n">
        <f aca="false">COUNTIFS(Applications!$B$2:$B$293,A153,Applications!$W$2:$W$293,"Low",Applications!$X$2:$X$293,"")</f>
        <v>0</v>
      </c>
      <c r="Q153" s="2" t="n">
        <f aca="false">COUNTIFS(Applications!$B$2:$B$293,A153,Applications!$AH$2:$AH$293,"Past*")+COUNTIFS(Applications!$B$2:$B$293,A153,Applications!$AH$2:$AH$293,"No CIS*")</f>
        <v>1</v>
      </c>
      <c r="R153" s="2"/>
      <c r="S153" s="2" t="s">
        <v>124</v>
      </c>
      <c r="T153" s="2" t="str">
        <f aca="false">IF(OR(R153&lt;&gt;"",S153="Yes",P153&gt;0,Q153&gt;0),IF(U153="Yes","Resolved","Yes"),"No")</f>
        <v>Yes</v>
      </c>
      <c r="U153" s="7"/>
      <c r="V153" s="7"/>
    </row>
    <row r="154" customFormat="false" ht="15" hidden="false" customHeight="false" outlineLevel="0" collapsed="false">
      <c r="A154" s="2" t="s">
        <v>644</v>
      </c>
      <c r="B154" s="2" t="s">
        <v>184</v>
      </c>
      <c r="C154" s="2" t="s">
        <v>645</v>
      </c>
      <c r="D154" s="2" t="s">
        <v>646</v>
      </c>
      <c r="E154" s="2" t="s">
        <v>144</v>
      </c>
      <c r="F154" s="2" t="n">
        <v>52.6640657442715</v>
      </c>
      <c r="G154" s="2" t="n">
        <v>-8.62206182280723</v>
      </c>
      <c r="H154" s="2" t="s">
        <v>187</v>
      </c>
      <c r="I154" s="2" t="n">
        <f aca="false">COUNTIF(Applications!$B$2:$B$293,A154)</f>
        <v>1</v>
      </c>
      <c r="J154" s="2" t="n">
        <f aca="false">COUNTIFS(Applications!$B$2:$B$293,A154,Applications!$Z$2:$Z$293,"Yes")</f>
        <v>1</v>
      </c>
      <c r="K154" s="10" t="n">
        <f aca="false">SUMIFS(Applications!$AI$2:$AI$293,Applications!$B$2:$B$293,A154)</f>
        <v>8</v>
      </c>
      <c r="L154" s="10" t="n">
        <f aca="false">SUMIFS(Applications!$AL$2:$AL$293,Applications!$B$2:$B$293,A154)</f>
        <v>8</v>
      </c>
      <c r="M154" s="10" t="n">
        <f aca="false">SUMIFS(Applications!$AM$2:$AM$293,Applications!$B$2:$B$293,A154)</f>
        <v>0</v>
      </c>
      <c r="N154" s="10" t="n">
        <f aca="false">SUMIFS(Applications!$AK$2:$AK$293,Applications!$B$2:$B$293,A154)</f>
        <v>0</v>
      </c>
      <c r="O154" s="2" t="n">
        <f aca="false">I154-J154</f>
        <v>0</v>
      </c>
      <c r="P154" s="2" t="n">
        <f aca="false">COUNTIFS(Applications!$B$2:$B$293,A154,Applications!$W$2:$W$293,"Low",Applications!$X$2:$X$293,"")</f>
        <v>0</v>
      </c>
      <c r="Q154" s="2" t="n">
        <f aca="false">COUNTIFS(Applications!$B$2:$B$293,A154,Applications!$AH$2:$AH$293,"Past*")+COUNTIFS(Applications!$B$2:$B$293,A154,Applications!$AH$2:$AH$293,"No CIS*")</f>
        <v>1</v>
      </c>
      <c r="R154" s="2"/>
      <c r="S154" s="2" t="s">
        <v>124</v>
      </c>
      <c r="T154" s="2" t="str">
        <f aca="false">IF(OR(R154&lt;&gt;"",S154="Yes",P154&gt;0,Q154&gt;0),IF(U154="Yes","Resolved","Yes"),"No")</f>
        <v>Yes</v>
      </c>
      <c r="U154" s="7"/>
      <c r="V154" s="7"/>
    </row>
    <row r="155" customFormat="false" ht="15" hidden="false" customHeight="false" outlineLevel="0" collapsed="false">
      <c r="A155" s="2" t="s">
        <v>647</v>
      </c>
      <c r="B155" s="2" t="s">
        <v>648</v>
      </c>
      <c r="C155" s="2" t="s">
        <v>649</v>
      </c>
      <c r="D155" s="2" t="s">
        <v>650</v>
      </c>
      <c r="E155" s="2" t="s">
        <v>144</v>
      </c>
      <c r="F155" s="2" t="n">
        <v>52.5641754272566</v>
      </c>
      <c r="G155" s="2" t="n">
        <v>-8.33817176764635</v>
      </c>
      <c r="H155" s="2" t="s">
        <v>651</v>
      </c>
      <c r="I155" s="2" t="n">
        <f aca="false">COUNTIF(Applications!$B$2:$B$293,A155)</f>
        <v>1</v>
      </c>
      <c r="J155" s="2" t="n">
        <f aca="false">COUNTIFS(Applications!$B$2:$B$293,A155,Applications!$Z$2:$Z$293,"Yes")</f>
        <v>1</v>
      </c>
      <c r="K155" s="10" t="n">
        <f aca="false">SUMIFS(Applications!$AI$2:$AI$293,Applications!$B$2:$B$293,A155)</f>
        <v>3</v>
      </c>
      <c r="L155" s="10" t="n">
        <f aca="false">SUMIFS(Applications!$AL$2:$AL$293,Applications!$B$2:$B$293,A155)</f>
        <v>3</v>
      </c>
      <c r="M155" s="10" t="n">
        <f aca="false">SUMIFS(Applications!$AM$2:$AM$293,Applications!$B$2:$B$293,A155)</f>
        <v>0</v>
      </c>
      <c r="N155" s="10" t="n">
        <f aca="false">SUMIFS(Applications!$AK$2:$AK$293,Applications!$B$2:$B$293,A155)</f>
        <v>0</v>
      </c>
      <c r="O155" s="2" t="n">
        <f aca="false">I155-J155</f>
        <v>0</v>
      </c>
      <c r="P155" s="2" t="n">
        <f aca="false">COUNTIFS(Applications!$B$2:$B$293,A155,Applications!$W$2:$W$293,"Low",Applications!$X$2:$X$293,"")</f>
        <v>0</v>
      </c>
      <c r="Q155" s="2" t="n">
        <f aca="false">COUNTIFS(Applications!$B$2:$B$293,A155,Applications!$AH$2:$AH$293,"Past*")+COUNTIFS(Applications!$B$2:$B$293,A155,Applications!$AH$2:$AH$293,"No CIS*")</f>
        <v>0</v>
      </c>
      <c r="R155" s="2" t="s">
        <v>652</v>
      </c>
      <c r="S155" s="2" t="s">
        <v>124</v>
      </c>
      <c r="T155" s="2" t="str">
        <f aca="false">IF(OR(R155&lt;&gt;"",S155="Yes",P155&gt;0,Q155&gt;0),IF(U155="Yes","Resolved","Yes"),"No")</f>
        <v>Yes</v>
      </c>
      <c r="U155" s="7"/>
      <c r="V155" s="7"/>
    </row>
    <row r="156" customFormat="false" ht="15" hidden="false" customHeight="false" outlineLevel="0" collapsed="false">
      <c r="A156" s="2" t="s">
        <v>653</v>
      </c>
      <c r="B156" s="2" t="s">
        <v>648</v>
      </c>
      <c r="C156" s="2" t="s">
        <v>654</v>
      </c>
      <c r="D156" s="2" t="s">
        <v>655</v>
      </c>
      <c r="E156" s="2" t="s">
        <v>144</v>
      </c>
      <c r="F156" s="2" t="n">
        <v>52.603894835467</v>
      </c>
      <c r="G156" s="2" t="n">
        <v>-8.24480800835233</v>
      </c>
      <c r="H156" s="2" t="s">
        <v>651</v>
      </c>
      <c r="I156" s="2" t="n">
        <f aca="false">COUNTIF(Applications!$B$2:$B$293,A156)</f>
        <v>1</v>
      </c>
      <c r="J156" s="2" t="n">
        <f aca="false">COUNTIFS(Applications!$B$2:$B$293,A156,Applications!$Z$2:$Z$293,"Yes")</f>
        <v>1</v>
      </c>
      <c r="K156" s="10" t="n">
        <f aca="false">SUMIFS(Applications!$AI$2:$AI$293,Applications!$B$2:$B$293,A156)</f>
        <v>21</v>
      </c>
      <c r="L156" s="10" t="n">
        <f aca="false">SUMIFS(Applications!$AL$2:$AL$293,Applications!$B$2:$B$293,A156)</f>
        <v>21</v>
      </c>
      <c r="M156" s="10" t="n">
        <f aca="false">SUMIFS(Applications!$AM$2:$AM$293,Applications!$B$2:$B$293,A156)</f>
        <v>0</v>
      </c>
      <c r="N156" s="10" t="n">
        <f aca="false">SUMIFS(Applications!$AK$2:$AK$293,Applications!$B$2:$B$293,A156)</f>
        <v>0</v>
      </c>
      <c r="O156" s="2" t="n">
        <f aca="false">I156-J156</f>
        <v>0</v>
      </c>
      <c r="P156" s="2" t="n">
        <f aca="false">COUNTIFS(Applications!$B$2:$B$293,A156,Applications!$W$2:$W$293,"Low",Applications!$X$2:$X$293,"")</f>
        <v>0</v>
      </c>
      <c r="Q156" s="2" t="n">
        <f aca="false">COUNTIFS(Applications!$B$2:$B$293,A156,Applications!$AH$2:$AH$293,"Past*")+COUNTIFS(Applications!$B$2:$B$293,A156,Applications!$AH$2:$AH$293,"No CIS*")</f>
        <v>0</v>
      </c>
      <c r="R156" s="2"/>
      <c r="S156" s="2" t="s">
        <v>124</v>
      </c>
      <c r="T156" s="2" t="str">
        <f aca="false">IF(OR(R156&lt;&gt;"",S156="Yes",P156&gt;0,Q156&gt;0),IF(U156="Yes","Resolved","Yes"),"No")</f>
        <v>No</v>
      </c>
      <c r="U156" s="7"/>
      <c r="V156" s="7"/>
    </row>
    <row r="157" customFormat="false" ht="15" hidden="false" customHeight="false" outlineLevel="0" collapsed="false">
      <c r="A157" s="2" t="s">
        <v>656</v>
      </c>
      <c r="B157" s="2" t="s">
        <v>648</v>
      </c>
      <c r="C157" s="2" t="s">
        <v>657</v>
      </c>
      <c r="D157" s="2" t="s">
        <v>658</v>
      </c>
      <c r="E157" s="2" t="s">
        <v>137</v>
      </c>
      <c r="F157" s="2" t="n">
        <v>52.7045250400127</v>
      </c>
      <c r="G157" s="2" t="n">
        <v>-8.50591941229045</v>
      </c>
      <c r="H157" s="2" t="s">
        <v>651</v>
      </c>
      <c r="I157" s="2" t="n">
        <f aca="false">COUNTIF(Applications!$B$2:$B$293,A157)</f>
        <v>1</v>
      </c>
      <c r="J157" s="2" t="n">
        <f aca="false">COUNTIFS(Applications!$B$2:$B$293,A157,Applications!$Z$2:$Z$293,"Yes")</f>
        <v>1</v>
      </c>
      <c r="K157" s="10" t="n">
        <f aca="false">SUMIFS(Applications!$AI$2:$AI$293,Applications!$B$2:$B$293,A157)</f>
        <v>4</v>
      </c>
      <c r="L157" s="10" t="n">
        <f aca="false">SUMIFS(Applications!$AL$2:$AL$293,Applications!$B$2:$B$293,A157)</f>
        <v>4</v>
      </c>
      <c r="M157" s="10" t="n">
        <f aca="false">SUMIFS(Applications!$AM$2:$AM$293,Applications!$B$2:$B$293,A157)</f>
        <v>0</v>
      </c>
      <c r="N157" s="10" t="n">
        <f aca="false">SUMIFS(Applications!$AK$2:$AK$293,Applications!$B$2:$B$293,A157)</f>
        <v>0</v>
      </c>
      <c r="O157" s="2" t="n">
        <f aca="false">I157-J157</f>
        <v>0</v>
      </c>
      <c r="P157" s="2" t="n">
        <f aca="false">COUNTIFS(Applications!$B$2:$B$293,A157,Applications!$W$2:$W$293,"Low",Applications!$X$2:$X$293,"")</f>
        <v>0</v>
      </c>
      <c r="Q157" s="2" t="n">
        <f aca="false">COUNTIFS(Applications!$B$2:$B$293,A157,Applications!$AH$2:$AH$293,"Past*")+COUNTIFS(Applications!$B$2:$B$293,A157,Applications!$AH$2:$AH$293,"No CIS*")</f>
        <v>0</v>
      </c>
      <c r="R157" s="2"/>
      <c r="S157" s="2" t="s">
        <v>124</v>
      </c>
      <c r="T157" s="2" t="str">
        <f aca="false">IF(OR(R157&lt;&gt;"",S157="Yes",P157&gt;0,Q157&gt;0),IF(U157="Yes","Resolved","Yes"),"No")</f>
        <v>No</v>
      </c>
      <c r="U157" s="7"/>
      <c r="V157" s="7"/>
    </row>
    <row r="158" customFormat="false" ht="15" hidden="false" customHeight="false" outlineLevel="0" collapsed="false">
      <c r="A158" s="2" t="s">
        <v>659</v>
      </c>
      <c r="B158" s="2" t="s">
        <v>648</v>
      </c>
      <c r="C158" s="2" t="s">
        <v>660</v>
      </c>
      <c r="D158" s="2" t="s">
        <v>661</v>
      </c>
      <c r="E158" s="2" t="s">
        <v>139</v>
      </c>
      <c r="F158" s="2" t="n">
        <v>52.6838276280481</v>
      </c>
      <c r="G158" s="2" t="n">
        <v>-8.64947621540253</v>
      </c>
      <c r="H158" s="2" t="s">
        <v>651</v>
      </c>
      <c r="I158" s="2" t="n">
        <f aca="false">COUNTIF(Applications!$B$2:$B$293,A158)</f>
        <v>1</v>
      </c>
      <c r="J158" s="2" t="n">
        <f aca="false">COUNTIFS(Applications!$B$2:$B$293,A158,Applications!$Z$2:$Z$293,"Yes")</f>
        <v>1</v>
      </c>
      <c r="K158" s="10" t="n">
        <f aca="false">SUMIFS(Applications!$AI$2:$AI$293,Applications!$B$2:$B$293,A158)</f>
        <v>12</v>
      </c>
      <c r="L158" s="10" t="n">
        <f aca="false">SUMIFS(Applications!$AL$2:$AL$293,Applications!$B$2:$B$293,A158)</f>
        <v>12</v>
      </c>
      <c r="M158" s="10" t="n">
        <f aca="false">SUMIFS(Applications!$AM$2:$AM$293,Applications!$B$2:$B$293,A158)</f>
        <v>0</v>
      </c>
      <c r="N158" s="10" t="n">
        <f aca="false">SUMIFS(Applications!$AK$2:$AK$293,Applications!$B$2:$B$293,A158)</f>
        <v>0</v>
      </c>
      <c r="O158" s="2" t="n">
        <f aca="false">I158-J158</f>
        <v>0</v>
      </c>
      <c r="P158" s="2" t="n">
        <f aca="false">COUNTIFS(Applications!$B$2:$B$293,A158,Applications!$W$2:$W$293,"Low",Applications!$X$2:$X$293,"")</f>
        <v>0</v>
      </c>
      <c r="Q158" s="2" t="n">
        <f aca="false">COUNTIFS(Applications!$B$2:$B$293,A158,Applications!$AH$2:$AH$293,"Past*")+COUNTIFS(Applications!$B$2:$B$293,A158,Applications!$AH$2:$AH$293,"No CIS*")</f>
        <v>0</v>
      </c>
      <c r="R158" s="2"/>
      <c r="S158" s="2" t="s">
        <v>124</v>
      </c>
      <c r="T158" s="2" t="str">
        <f aca="false">IF(OR(R158&lt;&gt;"",S158="Yes",P158&gt;0,Q158&gt;0),IF(U158="Yes","Resolved","Yes"),"No")</f>
        <v>No</v>
      </c>
      <c r="U158" s="7"/>
      <c r="V158" s="7"/>
    </row>
    <row r="159" customFormat="false" ht="15" hidden="false" customHeight="false" outlineLevel="0" collapsed="false">
      <c r="A159" s="2" t="s">
        <v>662</v>
      </c>
      <c r="B159" s="2" t="s">
        <v>648</v>
      </c>
      <c r="C159" s="2" t="s">
        <v>663</v>
      </c>
      <c r="D159" s="2" t="s">
        <v>664</v>
      </c>
      <c r="E159" s="2" t="s">
        <v>140</v>
      </c>
      <c r="F159" s="2" t="n">
        <v>52.6359317594785</v>
      </c>
      <c r="G159" s="2" t="n">
        <v>-8.6902517131775</v>
      </c>
      <c r="H159" s="2" t="s">
        <v>198</v>
      </c>
      <c r="I159" s="2" t="n">
        <f aca="false">COUNTIF(Applications!$B$2:$B$293,A159)</f>
        <v>1</v>
      </c>
      <c r="J159" s="2" t="n">
        <f aca="false">COUNTIFS(Applications!$B$2:$B$293,A159,Applications!$Z$2:$Z$293,"Yes")</f>
        <v>1</v>
      </c>
      <c r="K159" s="10" t="n">
        <f aca="false">SUMIFS(Applications!$AI$2:$AI$293,Applications!$B$2:$B$293,A159)</f>
        <v>12</v>
      </c>
      <c r="L159" s="10" t="n">
        <f aca="false">SUMIFS(Applications!$AL$2:$AL$293,Applications!$B$2:$B$293,A159)</f>
        <v>12</v>
      </c>
      <c r="M159" s="10" t="n">
        <f aca="false">SUMIFS(Applications!$AM$2:$AM$293,Applications!$B$2:$B$293,A159)</f>
        <v>0</v>
      </c>
      <c r="N159" s="10" t="n">
        <f aca="false">SUMIFS(Applications!$AK$2:$AK$293,Applications!$B$2:$B$293,A159)</f>
        <v>0</v>
      </c>
      <c r="O159" s="2" t="n">
        <f aca="false">I159-J159</f>
        <v>0</v>
      </c>
      <c r="P159" s="2" t="n">
        <f aca="false">COUNTIFS(Applications!$B$2:$B$293,A159,Applications!$W$2:$W$293,"Low",Applications!$X$2:$X$293,"")</f>
        <v>0</v>
      </c>
      <c r="Q159" s="2" t="n">
        <f aca="false">COUNTIFS(Applications!$B$2:$B$293,A159,Applications!$AH$2:$AH$293,"Past*")+COUNTIFS(Applications!$B$2:$B$293,A159,Applications!$AH$2:$AH$293,"No CIS*")</f>
        <v>0</v>
      </c>
      <c r="R159" s="2"/>
      <c r="S159" s="2" t="s">
        <v>124</v>
      </c>
      <c r="T159" s="2" t="str">
        <f aca="false">IF(OR(R159&lt;&gt;"",S159="Yes",P159&gt;0,Q159&gt;0),IF(U159="Yes","Resolved","Yes"),"No")</f>
        <v>No</v>
      </c>
      <c r="U159" s="7"/>
      <c r="V159" s="7"/>
    </row>
    <row r="160" customFormat="false" ht="15" hidden="false" customHeight="false" outlineLevel="0" collapsed="false">
      <c r="A160" s="2" t="s">
        <v>665</v>
      </c>
      <c r="B160" s="2" t="s">
        <v>648</v>
      </c>
      <c r="C160" s="2" t="s">
        <v>666</v>
      </c>
      <c r="D160" s="2" t="s">
        <v>667</v>
      </c>
      <c r="E160" s="2" t="s">
        <v>139</v>
      </c>
      <c r="F160" s="2" t="n">
        <v>52.6613736124242</v>
      </c>
      <c r="G160" s="2" t="n">
        <v>-8.59938813924996</v>
      </c>
      <c r="H160" s="2" t="s">
        <v>668</v>
      </c>
      <c r="I160" s="2" t="n">
        <f aca="false">COUNTIF(Applications!$B$2:$B$293,A160)</f>
        <v>1</v>
      </c>
      <c r="J160" s="2" t="n">
        <f aca="false">COUNTIFS(Applications!$B$2:$B$293,A160,Applications!$Z$2:$Z$293,"Yes")</f>
        <v>1</v>
      </c>
      <c r="K160" s="10" t="n">
        <f aca="false">SUMIFS(Applications!$AI$2:$AI$293,Applications!$B$2:$B$293,A160)</f>
        <v>55</v>
      </c>
      <c r="L160" s="10" t="n">
        <f aca="false">SUMIFS(Applications!$AL$2:$AL$293,Applications!$B$2:$B$293,A160)</f>
        <v>55</v>
      </c>
      <c r="M160" s="10" t="n">
        <f aca="false">SUMIFS(Applications!$AM$2:$AM$293,Applications!$B$2:$B$293,A160)</f>
        <v>0</v>
      </c>
      <c r="N160" s="10" t="n">
        <f aca="false">SUMIFS(Applications!$AK$2:$AK$293,Applications!$B$2:$B$293,A160)</f>
        <v>0</v>
      </c>
      <c r="O160" s="2" t="n">
        <f aca="false">I160-J160</f>
        <v>0</v>
      </c>
      <c r="P160" s="2" t="n">
        <f aca="false">COUNTIFS(Applications!$B$2:$B$293,A160,Applications!$W$2:$W$293,"Low",Applications!$X$2:$X$293,"")</f>
        <v>0</v>
      </c>
      <c r="Q160" s="2" t="n">
        <f aca="false">COUNTIFS(Applications!$B$2:$B$293,A160,Applications!$AH$2:$AH$293,"Past*")+COUNTIFS(Applications!$B$2:$B$293,A160,Applications!$AH$2:$AH$293,"No CIS*")</f>
        <v>0</v>
      </c>
      <c r="R160" s="2"/>
      <c r="S160" s="2" t="s">
        <v>124</v>
      </c>
      <c r="T160" s="2" t="str">
        <f aca="false">IF(OR(R160&lt;&gt;"",S160="Yes",P160&gt;0,Q160&gt;0),IF(U160="Yes","Resolved","Yes"),"No")</f>
        <v>No</v>
      </c>
      <c r="U160" s="7"/>
      <c r="V160" s="7"/>
    </row>
    <row r="161" customFormat="false" ht="15" hidden="false" customHeight="false" outlineLevel="0" collapsed="false">
      <c r="A161" s="2" t="s">
        <v>669</v>
      </c>
      <c r="B161" s="2" t="s">
        <v>648</v>
      </c>
      <c r="C161" s="2" t="s">
        <v>670</v>
      </c>
      <c r="D161" s="2" t="s">
        <v>671</v>
      </c>
      <c r="E161" s="2" t="s">
        <v>131</v>
      </c>
      <c r="F161" s="2" t="n">
        <v>52.3820358210501</v>
      </c>
      <c r="G161" s="2" t="n">
        <v>-9.29829557711754</v>
      </c>
      <c r="H161" s="2" t="s">
        <v>668</v>
      </c>
      <c r="I161" s="2" t="n">
        <f aca="false">COUNTIF(Applications!$B$2:$B$293,A161)</f>
        <v>1</v>
      </c>
      <c r="J161" s="2" t="n">
        <f aca="false">COUNTIFS(Applications!$B$2:$B$293,A161,Applications!$Z$2:$Z$293,"Yes")</f>
        <v>1</v>
      </c>
      <c r="K161" s="10" t="n">
        <f aca="false">SUMIFS(Applications!$AI$2:$AI$293,Applications!$B$2:$B$293,A161)</f>
        <v>68</v>
      </c>
      <c r="L161" s="10" t="n">
        <f aca="false">SUMIFS(Applications!$AL$2:$AL$293,Applications!$B$2:$B$293,A161)</f>
        <v>68</v>
      </c>
      <c r="M161" s="10" t="n">
        <f aca="false">SUMIFS(Applications!$AM$2:$AM$293,Applications!$B$2:$B$293,A161)</f>
        <v>0</v>
      </c>
      <c r="N161" s="10" t="n">
        <f aca="false">SUMIFS(Applications!$AK$2:$AK$293,Applications!$B$2:$B$293,A161)</f>
        <v>0</v>
      </c>
      <c r="O161" s="2" t="n">
        <f aca="false">I161-J161</f>
        <v>0</v>
      </c>
      <c r="P161" s="2" t="n">
        <f aca="false">COUNTIFS(Applications!$B$2:$B$293,A161,Applications!$W$2:$W$293,"Low",Applications!$X$2:$X$293,"")</f>
        <v>0</v>
      </c>
      <c r="Q161" s="2" t="n">
        <f aca="false">COUNTIFS(Applications!$B$2:$B$293,A161,Applications!$AH$2:$AH$293,"Past*")+COUNTIFS(Applications!$B$2:$B$293,A161,Applications!$AH$2:$AH$293,"No CIS*")</f>
        <v>0</v>
      </c>
      <c r="R161" s="2"/>
      <c r="S161" s="2" t="s">
        <v>124</v>
      </c>
      <c r="T161" s="2" t="str">
        <f aca="false">IF(OR(R161&lt;&gt;"",S161="Yes",P161&gt;0,Q161&gt;0),IF(U161="Yes","Resolved","Yes"),"No")</f>
        <v>No</v>
      </c>
      <c r="U161" s="7"/>
      <c r="V161" s="7"/>
    </row>
    <row r="162" customFormat="false" ht="15" hidden="false" customHeight="false" outlineLevel="0" collapsed="false">
      <c r="A162" s="2" t="s">
        <v>672</v>
      </c>
      <c r="B162" s="2" t="s">
        <v>648</v>
      </c>
      <c r="C162" s="2" t="s">
        <v>673</v>
      </c>
      <c r="D162" s="2" t="s">
        <v>674</v>
      </c>
      <c r="E162" s="2" t="s">
        <v>144</v>
      </c>
      <c r="F162" s="2" t="n">
        <v>52.525036502585</v>
      </c>
      <c r="G162" s="2" t="n">
        <v>-8.71709034415734</v>
      </c>
      <c r="H162" s="2" t="s">
        <v>668</v>
      </c>
      <c r="I162" s="2" t="n">
        <f aca="false">COUNTIF(Applications!$B$2:$B$293,A162)</f>
        <v>1</v>
      </c>
      <c r="J162" s="2" t="n">
        <f aca="false">COUNTIFS(Applications!$B$2:$B$293,A162,Applications!$Z$2:$Z$293,"Yes")</f>
        <v>1</v>
      </c>
      <c r="K162" s="10" t="n">
        <f aca="false">SUMIFS(Applications!$AI$2:$AI$293,Applications!$B$2:$B$293,A162)</f>
        <v>51</v>
      </c>
      <c r="L162" s="10" t="n">
        <f aca="false">SUMIFS(Applications!$AL$2:$AL$293,Applications!$B$2:$B$293,A162)</f>
        <v>51</v>
      </c>
      <c r="M162" s="10" t="n">
        <f aca="false">SUMIFS(Applications!$AM$2:$AM$293,Applications!$B$2:$B$293,A162)</f>
        <v>0</v>
      </c>
      <c r="N162" s="10" t="n">
        <f aca="false">SUMIFS(Applications!$AK$2:$AK$293,Applications!$B$2:$B$293,A162)</f>
        <v>0</v>
      </c>
      <c r="O162" s="2" t="n">
        <f aca="false">I162-J162</f>
        <v>0</v>
      </c>
      <c r="P162" s="2" t="n">
        <f aca="false">COUNTIFS(Applications!$B$2:$B$293,A162,Applications!$W$2:$W$293,"Low",Applications!$X$2:$X$293,"")</f>
        <v>0</v>
      </c>
      <c r="Q162" s="2" t="n">
        <f aca="false">COUNTIFS(Applications!$B$2:$B$293,A162,Applications!$AH$2:$AH$293,"Past*")+COUNTIFS(Applications!$B$2:$B$293,A162,Applications!$AH$2:$AH$293,"No CIS*")</f>
        <v>0</v>
      </c>
      <c r="R162" s="2"/>
      <c r="S162" s="2" t="s">
        <v>124</v>
      </c>
      <c r="T162" s="2" t="str">
        <f aca="false">IF(OR(R162&lt;&gt;"",S162="Yes",P162&gt;0,Q162&gt;0),IF(U162="Yes","Resolved","Yes"),"No")</f>
        <v>No</v>
      </c>
      <c r="U162" s="7"/>
      <c r="V162" s="7"/>
    </row>
    <row r="163" customFormat="false" ht="15" hidden="false" customHeight="false" outlineLevel="0" collapsed="false">
      <c r="A163" s="2" t="s">
        <v>675</v>
      </c>
      <c r="B163" s="2" t="s">
        <v>648</v>
      </c>
      <c r="C163" s="2" t="s">
        <v>676</v>
      </c>
      <c r="D163" s="2" t="s">
        <v>677</v>
      </c>
      <c r="E163" s="2" t="s">
        <v>144</v>
      </c>
      <c r="F163" s="2" t="n">
        <v>52.36881</v>
      </c>
      <c r="G163" s="2" t="n">
        <v>-8.34341</v>
      </c>
      <c r="H163" s="2" t="s">
        <v>668</v>
      </c>
      <c r="I163" s="2" t="n">
        <f aca="false">COUNTIF(Applications!$B$2:$B$293,A163)</f>
        <v>1</v>
      </c>
      <c r="J163" s="2" t="n">
        <f aca="false">COUNTIFS(Applications!$B$2:$B$293,A163,Applications!$Z$2:$Z$293,"Yes")</f>
        <v>0</v>
      </c>
      <c r="K163" s="10" t="n">
        <f aca="false">SUMIFS(Applications!$AI$2:$AI$293,Applications!$B$2:$B$293,A163)</f>
        <v>0</v>
      </c>
      <c r="L163" s="10" t="n">
        <f aca="false">SUMIFS(Applications!$AL$2:$AL$293,Applications!$B$2:$B$293,A163)</f>
        <v>0</v>
      </c>
      <c r="M163" s="10" t="n">
        <f aca="false">SUMIFS(Applications!$AM$2:$AM$293,Applications!$B$2:$B$293,A163)</f>
        <v>0</v>
      </c>
      <c r="N163" s="10" t="n">
        <f aca="false">SUMIFS(Applications!$AK$2:$AK$293,Applications!$B$2:$B$293,A163)</f>
        <v>0</v>
      </c>
      <c r="O163" s="2" t="n">
        <f aca="false">I163-J163</f>
        <v>1</v>
      </c>
      <c r="P163" s="2" t="n">
        <f aca="false">COUNTIFS(Applications!$B$2:$B$293,A163,Applications!$W$2:$W$293,"Low",Applications!$X$2:$X$293,"")</f>
        <v>0</v>
      </c>
      <c r="Q163" s="2" t="n">
        <f aca="false">COUNTIFS(Applications!$B$2:$B$293,A163,Applications!$AH$2:$AH$293,"Past*")+COUNTIFS(Applications!$B$2:$B$293,A163,Applications!$AH$2:$AH$293,"No CIS*")</f>
        <v>0</v>
      </c>
      <c r="R163" s="2" t="s">
        <v>678</v>
      </c>
      <c r="S163" s="2" t="s">
        <v>124</v>
      </c>
      <c r="T163" s="2" t="str">
        <f aca="false">IF(OR(R163&lt;&gt;"",S163="Yes",P163&gt;0,Q163&gt;0),IF(U163="Yes","Resolved","Yes"),"No")</f>
        <v>Yes</v>
      </c>
      <c r="U163" s="7"/>
      <c r="V163" s="7"/>
    </row>
    <row r="164" customFormat="false" ht="15" hidden="false" customHeight="false" outlineLevel="0" collapsed="false">
      <c r="A164" s="2" t="s">
        <v>679</v>
      </c>
      <c r="B164" s="2" t="s">
        <v>648</v>
      </c>
      <c r="C164" s="2" t="s">
        <v>680</v>
      </c>
      <c r="D164" s="2" t="s">
        <v>681</v>
      </c>
      <c r="E164" s="2" t="s">
        <v>140</v>
      </c>
      <c r="F164" s="2" t="n">
        <v>52.6328575898982</v>
      </c>
      <c r="G164" s="2" t="n">
        <v>-8.69834851099838</v>
      </c>
      <c r="H164" s="2" t="s">
        <v>187</v>
      </c>
      <c r="I164" s="2" t="n">
        <f aca="false">COUNTIF(Applications!$B$2:$B$293,A164)</f>
        <v>1</v>
      </c>
      <c r="J164" s="2" t="n">
        <f aca="false">COUNTIFS(Applications!$B$2:$B$293,A164,Applications!$Z$2:$Z$293,"Yes")</f>
        <v>1</v>
      </c>
      <c r="K164" s="10" t="n">
        <f aca="false">SUMIFS(Applications!$AI$2:$AI$293,Applications!$B$2:$B$293,A164)</f>
        <v>21</v>
      </c>
      <c r="L164" s="10" t="n">
        <f aca="false">SUMIFS(Applications!$AL$2:$AL$293,Applications!$B$2:$B$293,A164)</f>
        <v>21</v>
      </c>
      <c r="M164" s="10" t="n">
        <f aca="false">SUMIFS(Applications!$AM$2:$AM$293,Applications!$B$2:$B$293,A164)</f>
        <v>0</v>
      </c>
      <c r="N164" s="10" t="n">
        <f aca="false">SUMIFS(Applications!$AK$2:$AK$293,Applications!$B$2:$B$293,A164)</f>
        <v>0</v>
      </c>
      <c r="O164" s="2" t="n">
        <f aca="false">I164-J164</f>
        <v>0</v>
      </c>
      <c r="P164" s="2" t="n">
        <f aca="false">COUNTIFS(Applications!$B$2:$B$293,A164,Applications!$W$2:$W$293,"Low",Applications!$X$2:$X$293,"")</f>
        <v>0</v>
      </c>
      <c r="Q164" s="2" t="n">
        <f aca="false">COUNTIFS(Applications!$B$2:$B$293,A164,Applications!$AH$2:$AH$293,"Past*")+COUNTIFS(Applications!$B$2:$B$293,A164,Applications!$AH$2:$AH$293,"No CIS*")</f>
        <v>1</v>
      </c>
      <c r="R164" s="2"/>
      <c r="S164" s="2" t="s">
        <v>124</v>
      </c>
      <c r="T164" s="2" t="str">
        <f aca="false">IF(OR(R164&lt;&gt;"",S164="Yes",P164&gt;0,Q164&gt;0),IF(U164="Yes","Resolved","Yes"),"No")</f>
        <v>Yes</v>
      </c>
      <c r="U164" s="7"/>
      <c r="V164" s="7"/>
    </row>
    <row r="165" customFormat="false" ht="15" hidden="false" customHeight="false" outlineLevel="0" collapsed="false">
      <c r="A165" s="2" t="s">
        <v>682</v>
      </c>
      <c r="B165" s="2" t="s">
        <v>648</v>
      </c>
      <c r="C165" s="2" t="s">
        <v>683</v>
      </c>
      <c r="D165" s="2" t="s">
        <v>684</v>
      </c>
      <c r="E165" s="2" t="s">
        <v>139</v>
      </c>
      <c r="F165" s="2" t="n">
        <v>52.6647595820274</v>
      </c>
      <c r="G165" s="2" t="n">
        <v>-8.60875465403926</v>
      </c>
      <c r="H165" s="2" t="s">
        <v>668</v>
      </c>
      <c r="I165" s="2" t="n">
        <f aca="false">COUNTIF(Applications!$B$2:$B$293,A165)</f>
        <v>1</v>
      </c>
      <c r="J165" s="2" t="n">
        <f aca="false">COUNTIFS(Applications!$B$2:$B$293,A165,Applications!$Z$2:$Z$293,"Yes")</f>
        <v>1</v>
      </c>
      <c r="K165" s="10" t="n">
        <f aca="false">SUMIFS(Applications!$AI$2:$AI$293,Applications!$B$2:$B$293,A165)</f>
        <v>20</v>
      </c>
      <c r="L165" s="10" t="n">
        <f aca="false">SUMIFS(Applications!$AL$2:$AL$293,Applications!$B$2:$B$293,A165)</f>
        <v>20</v>
      </c>
      <c r="M165" s="10" t="n">
        <f aca="false">SUMIFS(Applications!$AM$2:$AM$293,Applications!$B$2:$B$293,A165)</f>
        <v>0</v>
      </c>
      <c r="N165" s="10" t="n">
        <f aca="false">SUMIFS(Applications!$AK$2:$AK$293,Applications!$B$2:$B$293,A165)</f>
        <v>0</v>
      </c>
      <c r="O165" s="2" t="n">
        <f aca="false">I165-J165</f>
        <v>0</v>
      </c>
      <c r="P165" s="2" t="n">
        <f aca="false">COUNTIFS(Applications!$B$2:$B$293,A165,Applications!$W$2:$W$293,"Low",Applications!$X$2:$X$293,"")</f>
        <v>0</v>
      </c>
      <c r="Q165" s="2" t="n">
        <f aca="false">COUNTIFS(Applications!$B$2:$B$293,A165,Applications!$AH$2:$AH$293,"Past*")+COUNTIFS(Applications!$B$2:$B$293,A165,Applications!$AH$2:$AH$293,"No CIS*")</f>
        <v>0</v>
      </c>
      <c r="R165" s="2"/>
      <c r="S165" s="2" t="s">
        <v>124</v>
      </c>
      <c r="T165" s="2" t="str">
        <f aca="false">IF(OR(R165&lt;&gt;"",S165="Yes",P165&gt;0,Q165&gt;0),IF(U165="Yes","Resolved","Yes"),"No")</f>
        <v>No</v>
      </c>
      <c r="U165" s="7"/>
      <c r="V165" s="7"/>
    </row>
    <row r="166" customFormat="false" ht="15" hidden="false" customHeight="false" outlineLevel="0" collapsed="false">
      <c r="A166" s="2" t="s">
        <v>685</v>
      </c>
      <c r="B166" s="2" t="s">
        <v>648</v>
      </c>
      <c r="C166" s="2" t="s">
        <v>686</v>
      </c>
      <c r="D166" s="2" t="s">
        <v>687</v>
      </c>
      <c r="E166" s="2" t="s">
        <v>139</v>
      </c>
      <c r="F166" s="2" t="n">
        <v>52.6593384001648</v>
      </c>
      <c r="G166" s="2" t="n">
        <v>-8.63543065903305</v>
      </c>
      <c r="H166" s="2" t="s">
        <v>187</v>
      </c>
      <c r="I166" s="2" t="n">
        <f aca="false">COUNTIF(Applications!$B$2:$B$293,A166)</f>
        <v>1</v>
      </c>
      <c r="J166" s="2" t="n">
        <f aca="false">COUNTIFS(Applications!$B$2:$B$293,A166,Applications!$Z$2:$Z$293,"Yes")</f>
        <v>1</v>
      </c>
      <c r="K166" s="10" t="n">
        <f aca="false">SUMIFS(Applications!$AI$2:$AI$293,Applications!$B$2:$B$293,A166)</f>
        <v>29</v>
      </c>
      <c r="L166" s="10" t="n">
        <f aca="false">SUMIFS(Applications!$AL$2:$AL$293,Applications!$B$2:$B$293,A166)</f>
        <v>29</v>
      </c>
      <c r="M166" s="10" t="n">
        <f aca="false">SUMIFS(Applications!$AM$2:$AM$293,Applications!$B$2:$B$293,A166)</f>
        <v>0</v>
      </c>
      <c r="N166" s="10" t="n">
        <f aca="false">SUMIFS(Applications!$AK$2:$AK$293,Applications!$B$2:$B$293,A166)</f>
        <v>0</v>
      </c>
      <c r="O166" s="2" t="n">
        <f aca="false">I166-J166</f>
        <v>0</v>
      </c>
      <c r="P166" s="2" t="n">
        <f aca="false">COUNTIFS(Applications!$B$2:$B$293,A166,Applications!$W$2:$W$293,"Low",Applications!$X$2:$X$293,"")</f>
        <v>1</v>
      </c>
      <c r="Q166" s="2" t="n">
        <f aca="false">COUNTIFS(Applications!$B$2:$B$293,A166,Applications!$AH$2:$AH$293,"Past*")+COUNTIFS(Applications!$B$2:$B$293,A166,Applications!$AH$2:$AH$293,"No CIS*")</f>
        <v>1</v>
      </c>
      <c r="R166" s="2" t="s">
        <v>688</v>
      </c>
      <c r="S166" s="2" t="s">
        <v>124</v>
      </c>
      <c r="T166" s="2" t="str">
        <f aca="false">IF(OR(R166&lt;&gt;"",S166="Yes",P166&gt;0,Q166&gt;0),IF(U166="Yes","Resolved","Yes"),"No")</f>
        <v>Yes</v>
      </c>
      <c r="U166" s="7"/>
      <c r="V166" s="7"/>
    </row>
    <row r="167" customFormat="false" ht="15" hidden="false" customHeight="false" outlineLevel="0" collapsed="false">
      <c r="A167" s="2" t="s">
        <v>689</v>
      </c>
      <c r="B167" s="2" t="s">
        <v>648</v>
      </c>
      <c r="C167" s="2" t="s">
        <v>690</v>
      </c>
      <c r="D167" s="2" t="s">
        <v>691</v>
      </c>
      <c r="E167" s="2" t="s">
        <v>139</v>
      </c>
      <c r="F167" s="2" t="n">
        <v>52.6399546299466</v>
      </c>
      <c r="G167" s="2" t="n">
        <v>-8.65046206024242</v>
      </c>
      <c r="H167" s="2" t="s">
        <v>187</v>
      </c>
      <c r="I167" s="2" t="n">
        <f aca="false">COUNTIF(Applications!$B$2:$B$293,A167)</f>
        <v>1</v>
      </c>
      <c r="J167" s="2" t="n">
        <f aca="false">COUNTIFS(Applications!$B$2:$B$293,A167,Applications!$Z$2:$Z$293,"Yes")</f>
        <v>1</v>
      </c>
      <c r="K167" s="10" t="n">
        <f aca="false">SUMIFS(Applications!$AI$2:$AI$293,Applications!$B$2:$B$293,A167)</f>
        <v>30</v>
      </c>
      <c r="L167" s="10" t="n">
        <f aca="false">SUMIFS(Applications!$AL$2:$AL$293,Applications!$B$2:$B$293,A167)</f>
        <v>30</v>
      </c>
      <c r="M167" s="10" t="n">
        <f aca="false">SUMIFS(Applications!$AM$2:$AM$293,Applications!$B$2:$B$293,A167)</f>
        <v>0</v>
      </c>
      <c r="N167" s="10" t="n">
        <f aca="false">SUMIFS(Applications!$AK$2:$AK$293,Applications!$B$2:$B$293,A167)</f>
        <v>0</v>
      </c>
      <c r="O167" s="2" t="n">
        <f aca="false">I167-J167</f>
        <v>0</v>
      </c>
      <c r="P167" s="2" t="n">
        <f aca="false">COUNTIFS(Applications!$B$2:$B$293,A167,Applications!$W$2:$W$293,"Low",Applications!$X$2:$X$293,"")</f>
        <v>0</v>
      </c>
      <c r="Q167" s="2" t="n">
        <f aca="false">COUNTIFS(Applications!$B$2:$B$293,A167,Applications!$AH$2:$AH$293,"Past*")+COUNTIFS(Applications!$B$2:$B$293,A167,Applications!$AH$2:$AH$293,"No CIS*")</f>
        <v>1</v>
      </c>
      <c r="R167" s="2"/>
      <c r="S167" s="2" t="s">
        <v>124</v>
      </c>
      <c r="T167" s="2" t="str">
        <f aca="false">IF(OR(R167&lt;&gt;"",S167="Yes",P167&gt;0,Q167&gt;0),IF(U167="Yes","Resolved","Yes"),"No")</f>
        <v>Yes</v>
      </c>
      <c r="U167" s="7"/>
      <c r="V167" s="7"/>
    </row>
    <row r="168" customFormat="false" ht="15" hidden="false" customHeight="false" outlineLevel="0" collapsed="false">
      <c r="A168" s="2" t="s">
        <v>692</v>
      </c>
      <c r="B168" s="2" t="s">
        <v>648</v>
      </c>
      <c r="C168" s="2" t="s">
        <v>693</v>
      </c>
      <c r="D168" s="2" t="s">
        <v>211</v>
      </c>
      <c r="E168" s="2" t="s">
        <v>142</v>
      </c>
      <c r="F168" s="2" t="n">
        <v>52.6009214319764</v>
      </c>
      <c r="G168" s="2" t="n">
        <v>-8.71174807914525</v>
      </c>
      <c r="H168" s="2" t="s">
        <v>668</v>
      </c>
      <c r="I168" s="2" t="n">
        <f aca="false">COUNTIF(Applications!$B$2:$B$293,A168)</f>
        <v>1</v>
      </c>
      <c r="J168" s="2" t="n">
        <f aca="false">COUNTIFS(Applications!$B$2:$B$293,A168,Applications!$Z$2:$Z$293,"Yes")</f>
        <v>1</v>
      </c>
      <c r="K168" s="10" t="n">
        <f aca="false">SUMIFS(Applications!$AI$2:$AI$293,Applications!$B$2:$B$293,A168)</f>
        <v>41</v>
      </c>
      <c r="L168" s="10" t="n">
        <f aca="false">SUMIFS(Applications!$AL$2:$AL$293,Applications!$B$2:$B$293,A168)</f>
        <v>41</v>
      </c>
      <c r="M168" s="10" t="n">
        <f aca="false">SUMIFS(Applications!$AM$2:$AM$293,Applications!$B$2:$B$293,A168)</f>
        <v>0</v>
      </c>
      <c r="N168" s="10" t="n">
        <f aca="false">SUMIFS(Applications!$AK$2:$AK$293,Applications!$B$2:$B$293,A168)</f>
        <v>0</v>
      </c>
      <c r="O168" s="2" t="n">
        <f aca="false">I168-J168</f>
        <v>0</v>
      </c>
      <c r="P168" s="2" t="n">
        <f aca="false">COUNTIFS(Applications!$B$2:$B$293,A168,Applications!$W$2:$W$293,"Low",Applications!$X$2:$X$293,"")</f>
        <v>1</v>
      </c>
      <c r="Q168" s="2" t="n">
        <f aca="false">COUNTIFS(Applications!$B$2:$B$293,A168,Applications!$AH$2:$AH$293,"Past*")+COUNTIFS(Applications!$B$2:$B$293,A168,Applications!$AH$2:$AH$293,"No CIS*")</f>
        <v>0</v>
      </c>
      <c r="R168" s="2" t="s">
        <v>694</v>
      </c>
      <c r="S168" s="2" t="s">
        <v>124</v>
      </c>
      <c r="T168" s="2" t="str">
        <f aca="false">IF(OR(R168&lt;&gt;"",S168="Yes",P168&gt;0,Q168&gt;0),IF(U168="Yes","Resolved","Yes"),"No")</f>
        <v>Yes</v>
      </c>
      <c r="U168" s="7"/>
      <c r="V168" s="7"/>
    </row>
    <row r="169" customFormat="false" ht="15" hidden="false" customHeight="false" outlineLevel="0" collapsed="false">
      <c r="A169" s="2" t="s">
        <v>695</v>
      </c>
      <c r="B169" s="2" t="s">
        <v>648</v>
      </c>
      <c r="C169" s="2" t="s">
        <v>696</v>
      </c>
      <c r="D169" s="2" t="s">
        <v>697</v>
      </c>
      <c r="E169" s="2" t="s">
        <v>139</v>
      </c>
      <c r="F169" s="2" t="n">
        <v>52.6580310662053</v>
      </c>
      <c r="G169" s="2" t="n">
        <v>-8.63140161980703</v>
      </c>
      <c r="H169" s="2" t="s">
        <v>198</v>
      </c>
      <c r="I169" s="2" t="n">
        <f aca="false">COUNTIF(Applications!$B$2:$B$293,A169)</f>
        <v>1</v>
      </c>
      <c r="J169" s="2" t="n">
        <f aca="false">COUNTIFS(Applications!$B$2:$B$293,A169,Applications!$Z$2:$Z$293,"Yes")</f>
        <v>1</v>
      </c>
      <c r="K169" s="10" t="n">
        <f aca="false">SUMIFS(Applications!$AI$2:$AI$293,Applications!$B$2:$B$293,A169)</f>
        <v>24</v>
      </c>
      <c r="L169" s="10" t="n">
        <f aca="false">SUMIFS(Applications!$AL$2:$AL$293,Applications!$B$2:$B$293,A169)</f>
        <v>24</v>
      </c>
      <c r="M169" s="10" t="n">
        <f aca="false">SUMIFS(Applications!$AM$2:$AM$293,Applications!$B$2:$B$293,A169)</f>
        <v>0</v>
      </c>
      <c r="N169" s="10" t="n">
        <f aca="false">SUMIFS(Applications!$AK$2:$AK$293,Applications!$B$2:$B$293,A169)</f>
        <v>0</v>
      </c>
      <c r="O169" s="2" t="n">
        <f aca="false">I169-J169</f>
        <v>0</v>
      </c>
      <c r="P169" s="2" t="n">
        <f aca="false">COUNTIFS(Applications!$B$2:$B$293,A169,Applications!$W$2:$W$293,"Low",Applications!$X$2:$X$293,"")</f>
        <v>0</v>
      </c>
      <c r="Q169" s="2" t="n">
        <f aca="false">COUNTIFS(Applications!$B$2:$B$293,A169,Applications!$AH$2:$AH$293,"Past*")+COUNTIFS(Applications!$B$2:$B$293,A169,Applications!$AH$2:$AH$293,"No CIS*")</f>
        <v>0</v>
      </c>
      <c r="R169" s="2"/>
      <c r="S169" s="2" t="s">
        <v>124</v>
      </c>
      <c r="T169" s="2" t="str">
        <f aca="false">IF(OR(R169&lt;&gt;"",S169="Yes",P169&gt;0,Q169&gt;0),IF(U169="Yes","Resolved","Yes"),"No")</f>
        <v>No</v>
      </c>
      <c r="U169" s="7"/>
      <c r="V169" s="7"/>
    </row>
    <row r="170" customFormat="false" ht="15" hidden="false" customHeight="false" outlineLevel="0" collapsed="false">
      <c r="A170" s="2" t="s">
        <v>698</v>
      </c>
      <c r="B170" s="2" t="s">
        <v>648</v>
      </c>
      <c r="C170" s="2" t="s">
        <v>699</v>
      </c>
      <c r="D170" s="2" t="s">
        <v>425</v>
      </c>
      <c r="E170" s="2" t="s">
        <v>138</v>
      </c>
      <c r="F170" s="2" t="n">
        <v>52.6441308602013</v>
      </c>
      <c r="G170" s="2" t="n">
        <v>-8.58770046041501</v>
      </c>
      <c r="H170" s="2" t="s">
        <v>700</v>
      </c>
      <c r="I170" s="2" t="n">
        <f aca="false">COUNTIF(Applications!$B$2:$B$293,A170)</f>
        <v>1</v>
      </c>
      <c r="J170" s="2" t="n">
        <f aca="false">COUNTIFS(Applications!$B$2:$B$293,A170,Applications!$Z$2:$Z$293,"Yes")</f>
        <v>0</v>
      </c>
      <c r="K170" s="10" t="n">
        <f aca="false">SUMIFS(Applications!$AI$2:$AI$293,Applications!$B$2:$B$293,A170)</f>
        <v>0</v>
      </c>
      <c r="L170" s="10" t="n">
        <f aca="false">SUMIFS(Applications!$AL$2:$AL$293,Applications!$B$2:$B$293,A170)</f>
        <v>0</v>
      </c>
      <c r="M170" s="10" t="n">
        <f aca="false">SUMIFS(Applications!$AM$2:$AM$293,Applications!$B$2:$B$293,A170)</f>
        <v>0</v>
      </c>
      <c r="N170" s="10" t="n">
        <f aca="false">SUMIFS(Applications!$AK$2:$AK$293,Applications!$B$2:$B$293,A170)</f>
        <v>0</v>
      </c>
      <c r="O170" s="2" t="n">
        <f aca="false">I170-J170</f>
        <v>1</v>
      </c>
      <c r="P170" s="2" t="n">
        <f aca="false">COUNTIFS(Applications!$B$2:$B$293,A170,Applications!$W$2:$W$293,"Low",Applications!$X$2:$X$293,"")</f>
        <v>0</v>
      </c>
      <c r="Q170" s="2" t="n">
        <f aca="false">COUNTIFS(Applications!$B$2:$B$293,A170,Applications!$AH$2:$AH$293,"Past*")+COUNTIFS(Applications!$B$2:$B$293,A170,Applications!$AH$2:$AH$293,"No CIS*")</f>
        <v>0</v>
      </c>
      <c r="R170" s="2" t="s">
        <v>701</v>
      </c>
      <c r="S170" s="2" t="s">
        <v>124</v>
      </c>
      <c r="T170" s="2" t="str">
        <f aca="false">IF(OR(R170&lt;&gt;"",S170="Yes",P170&gt;0,Q170&gt;0),IF(U170="Yes","Resolved","Yes"),"No")</f>
        <v>Yes</v>
      </c>
      <c r="U170" s="7"/>
      <c r="V170" s="7"/>
    </row>
    <row r="171" customFormat="false" ht="15" hidden="false" customHeight="false" outlineLevel="0" collapsed="false">
      <c r="A171" s="2" t="s">
        <v>702</v>
      </c>
      <c r="B171" s="2" t="s">
        <v>648</v>
      </c>
      <c r="C171" s="2" t="s">
        <v>703</v>
      </c>
      <c r="D171" s="2" t="s">
        <v>704</v>
      </c>
      <c r="E171" s="2" t="s">
        <v>139</v>
      </c>
      <c r="F171" s="2" t="n">
        <v>52.6282417276837</v>
      </c>
      <c r="G171" s="2" t="n">
        <v>-8.66363605733817</v>
      </c>
      <c r="H171" s="2" t="s">
        <v>651</v>
      </c>
      <c r="I171" s="2" t="n">
        <f aca="false">COUNTIF(Applications!$B$2:$B$293,A171)</f>
        <v>1</v>
      </c>
      <c r="J171" s="2" t="n">
        <f aca="false">COUNTIFS(Applications!$B$2:$B$293,A171,Applications!$Z$2:$Z$293,"Yes")</f>
        <v>1</v>
      </c>
      <c r="K171" s="10" t="n">
        <f aca="false">SUMIFS(Applications!$AI$2:$AI$293,Applications!$B$2:$B$293,A171)</f>
        <v>104</v>
      </c>
      <c r="L171" s="10" t="n">
        <f aca="false">SUMIFS(Applications!$AL$2:$AL$293,Applications!$B$2:$B$293,A171)</f>
        <v>104</v>
      </c>
      <c r="M171" s="10" t="n">
        <f aca="false">SUMIFS(Applications!$AM$2:$AM$293,Applications!$B$2:$B$293,A171)</f>
        <v>0</v>
      </c>
      <c r="N171" s="10" t="n">
        <f aca="false">SUMIFS(Applications!$AK$2:$AK$293,Applications!$B$2:$B$293,A171)</f>
        <v>0</v>
      </c>
      <c r="O171" s="2" t="n">
        <f aca="false">I171-J171</f>
        <v>0</v>
      </c>
      <c r="P171" s="2" t="n">
        <f aca="false">COUNTIFS(Applications!$B$2:$B$293,A171,Applications!$W$2:$W$293,"Low",Applications!$X$2:$X$293,"")</f>
        <v>0</v>
      </c>
      <c r="Q171" s="2" t="n">
        <f aca="false">COUNTIFS(Applications!$B$2:$B$293,A171,Applications!$AH$2:$AH$293,"Past*")+COUNTIFS(Applications!$B$2:$B$293,A171,Applications!$AH$2:$AH$293,"No CIS*")</f>
        <v>0</v>
      </c>
      <c r="R171" s="2"/>
      <c r="S171" s="2" t="s">
        <v>124</v>
      </c>
      <c r="T171" s="2" t="str">
        <f aca="false">IF(OR(R171&lt;&gt;"",S171="Yes",P171&gt;0,Q171&gt;0),IF(U171="Yes","Resolved","Yes"),"No")</f>
        <v>No</v>
      </c>
      <c r="U171" s="7"/>
      <c r="V171" s="7"/>
    </row>
    <row r="172" customFormat="false" ht="15" hidden="false" customHeight="false" outlineLevel="0" collapsed="false">
      <c r="A172" s="2" t="s">
        <v>705</v>
      </c>
      <c r="B172" s="2" t="s">
        <v>648</v>
      </c>
      <c r="C172" s="2" t="s">
        <v>706</v>
      </c>
      <c r="D172" s="2" t="s">
        <v>197</v>
      </c>
      <c r="E172" s="2" t="s">
        <v>142</v>
      </c>
      <c r="F172" s="2" t="n">
        <v>52.6010418547188</v>
      </c>
      <c r="G172" s="2" t="n">
        <v>-8.70455134528794</v>
      </c>
      <c r="H172" s="2" t="s">
        <v>700</v>
      </c>
      <c r="I172" s="2" t="n">
        <f aca="false">COUNTIF(Applications!$B$2:$B$293,A172)</f>
        <v>1</v>
      </c>
      <c r="J172" s="2" t="n">
        <f aca="false">COUNTIFS(Applications!$B$2:$B$293,A172,Applications!$Z$2:$Z$293,"Yes")</f>
        <v>0</v>
      </c>
      <c r="K172" s="10" t="n">
        <f aca="false">SUMIFS(Applications!$AI$2:$AI$293,Applications!$B$2:$B$293,A172)</f>
        <v>0</v>
      </c>
      <c r="L172" s="10" t="n">
        <f aca="false">SUMIFS(Applications!$AL$2:$AL$293,Applications!$B$2:$B$293,A172)</f>
        <v>0</v>
      </c>
      <c r="M172" s="10" t="n">
        <f aca="false">SUMIFS(Applications!$AM$2:$AM$293,Applications!$B$2:$B$293,A172)</f>
        <v>0</v>
      </c>
      <c r="N172" s="10" t="n">
        <f aca="false">SUMIFS(Applications!$AK$2:$AK$293,Applications!$B$2:$B$293,A172)</f>
        <v>0</v>
      </c>
      <c r="O172" s="2" t="n">
        <f aca="false">I172-J172</f>
        <v>1</v>
      </c>
      <c r="P172" s="2" t="n">
        <f aca="false">COUNTIFS(Applications!$B$2:$B$293,A172,Applications!$W$2:$W$293,"Low",Applications!$X$2:$X$293,"")</f>
        <v>0</v>
      </c>
      <c r="Q172" s="2" t="n">
        <f aca="false">COUNTIFS(Applications!$B$2:$B$293,A172,Applications!$AH$2:$AH$293,"Past*")+COUNTIFS(Applications!$B$2:$B$293,A172,Applications!$AH$2:$AH$293,"No CIS*")</f>
        <v>0</v>
      </c>
      <c r="R172" s="2" t="s">
        <v>707</v>
      </c>
      <c r="S172" s="2" t="s">
        <v>124</v>
      </c>
      <c r="T172" s="2" t="str">
        <f aca="false">IF(OR(R172&lt;&gt;"",S172="Yes",P172&gt;0,Q172&gt;0),IF(U172="Yes","Resolved","Yes"),"No")</f>
        <v>Yes</v>
      </c>
      <c r="U172" s="7"/>
      <c r="V172" s="7"/>
    </row>
    <row r="173" customFormat="false" ht="15" hidden="false" customHeight="false" outlineLevel="0" collapsed="false">
      <c r="A173" s="2" t="s">
        <v>708</v>
      </c>
      <c r="B173" s="2" t="s">
        <v>648</v>
      </c>
      <c r="C173" s="2" t="s">
        <v>709</v>
      </c>
      <c r="D173" s="2" t="s">
        <v>710</v>
      </c>
      <c r="E173" s="2" t="s">
        <v>144</v>
      </c>
      <c r="F173" s="2" t="n">
        <v>52.3187448</v>
      </c>
      <c r="G173" s="2" t="n">
        <v>-9.2332914</v>
      </c>
      <c r="H173" s="2" t="s">
        <v>651</v>
      </c>
      <c r="I173" s="2" t="n">
        <f aca="false">COUNTIF(Applications!$B$2:$B$293,A173)</f>
        <v>1</v>
      </c>
      <c r="J173" s="2" t="n">
        <f aca="false">COUNTIFS(Applications!$B$2:$B$293,A173,Applications!$Z$2:$Z$293,"Yes")</f>
        <v>1</v>
      </c>
      <c r="K173" s="10" t="n">
        <f aca="false">SUMIFS(Applications!$AI$2:$AI$293,Applications!$B$2:$B$293,A173)</f>
        <v>4</v>
      </c>
      <c r="L173" s="10" t="n">
        <f aca="false">SUMIFS(Applications!$AL$2:$AL$293,Applications!$B$2:$B$293,A173)</f>
        <v>4</v>
      </c>
      <c r="M173" s="10" t="n">
        <f aca="false">SUMIFS(Applications!$AM$2:$AM$293,Applications!$B$2:$B$293,A173)</f>
        <v>0</v>
      </c>
      <c r="N173" s="10" t="n">
        <f aca="false">SUMIFS(Applications!$AK$2:$AK$293,Applications!$B$2:$B$293,A173)</f>
        <v>0</v>
      </c>
      <c r="O173" s="2" t="n">
        <f aca="false">I173-J173</f>
        <v>0</v>
      </c>
      <c r="P173" s="2" t="n">
        <f aca="false">COUNTIFS(Applications!$B$2:$B$293,A173,Applications!$W$2:$W$293,"Low",Applications!$X$2:$X$293,"")</f>
        <v>0</v>
      </c>
      <c r="Q173" s="2" t="n">
        <f aca="false">COUNTIFS(Applications!$B$2:$B$293,A173,Applications!$AH$2:$AH$293,"Past*")+COUNTIFS(Applications!$B$2:$B$293,A173,Applications!$AH$2:$AH$293,"No CIS*")</f>
        <v>0</v>
      </c>
      <c r="R173" s="2"/>
      <c r="S173" s="2" t="s">
        <v>124</v>
      </c>
      <c r="T173" s="2" t="str">
        <f aca="false">IF(OR(R173&lt;&gt;"",S173="Yes",P173&gt;0,Q173&gt;0),IF(U173="Yes","Resolved","Yes"),"No")</f>
        <v>No</v>
      </c>
      <c r="U173" s="7"/>
      <c r="V173" s="7"/>
    </row>
    <row r="174" customFormat="false" ht="15" hidden="false" customHeight="false" outlineLevel="0" collapsed="false">
      <c r="A174" s="2" t="s">
        <v>711</v>
      </c>
      <c r="B174" s="2" t="s">
        <v>648</v>
      </c>
      <c r="C174" s="2" t="s">
        <v>712</v>
      </c>
      <c r="D174" s="2" t="s">
        <v>713</v>
      </c>
      <c r="E174" s="2" t="s">
        <v>139</v>
      </c>
      <c r="F174" s="2" t="n">
        <v>52.6527143904202</v>
      </c>
      <c r="G174" s="2" t="n">
        <v>-8.56041193444949</v>
      </c>
      <c r="H174" s="2" t="s">
        <v>198</v>
      </c>
      <c r="I174" s="2" t="n">
        <f aca="false">COUNTIF(Applications!$B$2:$B$293,A174)</f>
        <v>1</v>
      </c>
      <c r="J174" s="2" t="n">
        <f aca="false">COUNTIFS(Applications!$B$2:$B$293,A174,Applications!$Z$2:$Z$293,"Yes")</f>
        <v>1</v>
      </c>
      <c r="K174" s="10" t="n">
        <f aca="false">SUMIFS(Applications!$AI$2:$AI$293,Applications!$B$2:$B$293,A174)</f>
        <v>122</v>
      </c>
      <c r="L174" s="10" t="n">
        <f aca="false">SUMIFS(Applications!$AL$2:$AL$293,Applications!$B$2:$B$293,A174)</f>
        <v>122</v>
      </c>
      <c r="M174" s="10" t="n">
        <f aca="false">SUMIFS(Applications!$AM$2:$AM$293,Applications!$B$2:$B$293,A174)</f>
        <v>0</v>
      </c>
      <c r="N174" s="10" t="n">
        <f aca="false">SUMIFS(Applications!$AK$2:$AK$293,Applications!$B$2:$B$293,A174)</f>
        <v>0</v>
      </c>
      <c r="O174" s="2" t="n">
        <f aca="false">I174-J174</f>
        <v>0</v>
      </c>
      <c r="P174" s="2" t="n">
        <f aca="false">COUNTIFS(Applications!$B$2:$B$293,A174,Applications!$W$2:$W$293,"Low",Applications!$X$2:$X$293,"")</f>
        <v>0</v>
      </c>
      <c r="Q174" s="2" t="n">
        <f aca="false">COUNTIFS(Applications!$B$2:$B$293,A174,Applications!$AH$2:$AH$293,"Past*")+COUNTIFS(Applications!$B$2:$B$293,A174,Applications!$AH$2:$AH$293,"No CIS*")</f>
        <v>0</v>
      </c>
      <c r="R174" s="2"/>
      <c r="S174" s="2" t="s">
        <v>124</v>
      </c>
      <c r="T174" s="2" t="str">
        <f aca="false">IF(OR(R174&lt;&gt;"",S174="Yes",P174&gt;0,Q174&gt;0),IF(U174="Yes","Resolved","Yes"),"No")</f>
        <v>No</v>
      </c>
      <c r="U174" s="7"/>
      <c r="V174" s="7"/>
    </row>
    <row r="175" customFormat="false" ht="15" hidden="false" customHeight="false" outlineLevel="0" collapsed="false">
      <c r="A175" s="2" t="s">
        <v>714</v>
      </c>
      <c r="B175" s="2" t="s">
        <v>648</v>
      </c>
      <c r="C175" s="2" t="s">
        <v>715</v>
      </c>
      <c r="D175" s="2" t="s">
        <v>716</v>
      </c>
      <c r="E175" s="2" t="s">
        <v>144</v>
      </c>
      <c r="F175" s="2" t="n">
        <v>52.5697995634291</v>
      </c>
      <c r="G175" s="2" t="n">
        <v>-9.28060949055726</v>
      </c>
      <c r="H175" s="2" t="s">
        <v>651</v>
      </c>
      <c r="I175" s="2" t="n">
        <f aca="false">COUNTIF(Applications!$B$2:$B$293,A175)</f>
        <v>1</v>
      </c>
      <c r="J175" s="2" t="n">
        <f aca="false">COUNTIFS(Applications!$B$2:$B$293,A175,Applications!$Z$2:$Z$293,"Yes")</f>
        <v>1</v>
      </c>
      <c r="K175" s="10" t="n">
        <f aca="false">SUMIFS(Applications!$AI$2:$AI$293,Applications!$B$2:$B$293,A175)</f>
        <v>10</v>
      </c>
      <c r="L175" s="10" t="n">
        <f aca="false">SUMIFS(Applications!$AL$2:$AL$293,Applications!$B$2:$B$293,A175)</f>
        <v>10</v>
      </c>
      <c r="M175" s="10" t="n">
        <f aca="false">SUMIFS(Applications!$AM$2:$AM$293,Applications!$B$2:$B$293,A175)</f>
        <v>0</v>
      </c>
      <c r="N175" s="10" t="n">
        <f aca="false">SUMIFS(Applications!$AK$2:$AK$293,Applications!$B$2:$B$293,A175)</f>
        <v>0</v>
      </c>
      <c r="O175" s="2" t="n">
        <f aca="false">I175-J175</f>
        <v>0</v>
      </c>
      <c r="P175" s="2" t="n">
        <f aca="false">COUNTIFS(Applications!$B$2:$B$293,A175,Applications!$W$2:$W$293,"Low",Applications!$X$2:$X$293,"")</f>
        <v>0</v>
      </c>
      <c r="Q175" s="2" t="n">
        <f aca="false">COUNTIFS(Applications!$B$2:$B$293,A175,Applications!$AH$2:$AH$293,"Past*")+COUNTIFS(Applications!$B$2:$B$293,A175,Applications!$AH$2:$AH$293,"No CIS*")</f>
        <v>0</v>
      </c>
      <c r="R175" s="2"/>
      <c r="S175" s="2" t="s">
        <v>124</v>
      </c>
      <c r="T175" s="2" t="str">
        <f aca="false">IF(OR(R175&lt;&gt;"",S175="Yes",P175&gt;0,Q175&gt;0),IF(U175="Yes","Resolved","Yes"),"No")</f>
        <v>No</v>
      </c>
      <c r="U175" s="7"/>
      <c r="V175" s="7"/>
    </row>
    <row r="176" customFormat="false" ht="15" hidden="false" customHeight="false" outlineLevel="0" collapsed="false">
      <c r="A176" s="2" t="s">
        <v>717</v>
      </c>
      <c r="B176" s="2" t="s">
        <v>648</v>
      </c>
      <c r="C176" s="2" t="s">
        <v>718</v>
      </c>
      <c r="D176" s="2" t="s">
        <v>719</v>
      </c>
      <c r="E176" s="2" t="s">
        <v>144</v>
      </c>
      <c r="F176" s="2" t="n">
        <v>52.3458621840098</v>
      </c>
      <c r="G176" s="2" t="n">
        <v>-8.97448855554765</v>
      </c>
      <c r="H176" s="2" t="s">
        <v>651</v>
      </c>
      <c r="I176" s="2" t="n">
        <f aca="false">COUNTIF(Applications!$B$2:$B$293,A176)</f>
        <v>1</v>
      </c>
      <c r="J176" s="2" t="n">
        <f aca="false">COUNTIFS(Applications!$B$2:$B$293,A176,Applications!$Z$2:$Z$293,"Yes")</f>
        <v>1</v>
      </c>
      <c r="K176" s="10" t="n">
        <f aca="false">SUMIFS(Applications!$AI$2:$AI$293,Applications!$B$2:$B$293,A176)</f>
        <v>7</v>
      </c>
      <c r="L176" s="10" t="n">
        <f aca="false">SUMIFS(Applications!$AL$2:$AL$293,Applications!$B$2:$B$293,A176)</f>
        <v>7</v>
      </c>
      <c r="M176" s="10" t="n">
        <f aca="false">SUMIFS(Applications!$AM$2:$AM$293,Applications!$B$2:$B$293,A176)</f>
        <v>0</v>
      </c>
      <c r="N176" s="10" t="n">
        <f aca="false">SUMIFS(Applications!$AK$2:$AK$293,Applications!$B$2:$B$293,A176)</f>
        <v>0</v>
      </c>
      <c r="O176" s="2" t="n">
        <f aca="false">I176-J176</f>
        <v>0</v>
      </c>
      <c r="P176" s="2" t="n">
        <f aca="false">COUNTIFS(Applications!$B$2:$B$293,A176,Applications!$W$2:$W$293,"Low",Applications!$X$2:$X$293,"")</f>
        <v>1</v>
      </c>
      <c r="Q176" s="2" t="n">
        <f aca="false">COUNTIFS(Applications!$B$2:$B$293,A176,Applications!$AH$2:$AH$293,"Past*")+COUNTIFS(Applications!$B$2:$B$293,A176,Applications!$AH$2:$AH$293,"No CIS*")</f>
        <v>0</v>
      </c>
      <c r="R176" s="2" t="s">
        <v>720</v>
      </c>
      <c r="S176" s="2" t="s">
        <v>124</v>
      </c>
      <c r="T176" s="2" t="str">
        <f aca="false">IF(OR(R176&lt;&gt;"",S176="Yes",P176&gt;0,Q176&gt;0),IF(U176="Yes","Resolved","Yes"),"No")</f>
        <v>Yes</v>
      </c>
      <c r="U176" s="7"/>
      <c r="V176" s="7"/>
    </row>
    <row r="177" customFormat="false" ht="15" hidden="false" customHeight="false" outlineLevel="0" collapsed="false">
      <c r="A177" s="2" t="s">
        <v>721</v>
      </c>
      <c r="B177" s="2" t="s">
        <v>648</v>
      </c>
      <c r="C177" s="2" t="s">
        <v>722</v>
      </c>
      <c r="D177" s="2" t="s">
        <v>197</v>
      </c>
      <c r="E177" s="2" t="s">
        <v>142</v>
      </c>
      <c r="F177" s="2" t="n">
        <v>52.600309683119</v>
      </c>
      <c r="G177" s="2" t="n">
        <v>-8.70657183685689</v>
      </c>
      <c r="H177" s="2" t="s">
        <v>700</v>
      </c>
      <c r="I177" s="2" t="n">
        <f aca="false">COUNTIF(Applications!$B$2:$B$293,A177)</f>
        <v>1</v>
      </c>
      <c r="J177" s="2" t="n">
        <f aca="false">COUNTIFS(Applications!$B$2:$B$293,A177,Applications!$Z$2:$Z$293,"Yes")</f>
        <v>0</v>
      </c>
      <c r="K177" s="10" t="n">
        <f aca="false">SUMIFS(Applications!$AI$2:$AI$293,Applications!$B$2:$B$293,A177)</f>
        <v>0</v>
      </c>
      <c r="L177" s="10" t="n">
        <f aca="false">SUMIFS(Applications!$AL$2:$AL$293,Applications!$B$2:$B$293,A177)</f>
        <v>0</v>
      </c>
      <c r="M177" s="10" t="n">
        <f aca="false">SUMIFS(Applications!$AM$2:$AM$293,Applications!$B$2:$B$293,A177)</f>
        <v>0</v>
      </c>
      <c r="N177" s="10" t="n">
        <f aca="false">SUMIFS(Applications!$AK$2:$AK$293,Applications!$B$2:$B$293,A177)</f>
        <v>0</v>
      </c>
      <c r="O177" s="2" t="n">
        <f aca="false">I177-J177</f>
        <v>1</v>
      </c>
      <c r="P177" s="2" t="n">
        <f aca="false">COUNTIFS(Applications!$B$2:$B$293,A177,Applications!$W$2:$W$293,"Low",Applications!$X$2:$X$293,"")</f>
        <v>0</v>
      </c>
      <c r="Q177" s="2" t="n">
        <f aca="false">COUNTIFS(Applications!$B$2:$B$293,A177,Applications!$AH$2:$AH$293,"Past*")+COUNTIFS(Applications!$B$2:$B$293,A177,Applications!$AH$2:$AH$293,"No CIS*")</f>
        <v>0</v>
      </c>
      <c r="R177" s="2" t="s">
        <v>723</v>
      </c>
      <c r="S177" s="2" t="s">
        <v>124</v>
      </c>
      <c r="T177" s="2" t="str">
        <f aca="false">IF(OR(R177&lt;&gt;"",S177="Yes",P177&gt;0,Q177&gt;0),IF(U177="Yes","Resolved","Yes"),"No")</f>
        <v>Yes</v>
      </c>
      <c r="U177" s="7"/>
      <c r="V177" s="7"/>
    </row>
    <row r="178" customFormat="false" ht="15" hidden="false" customHeight="false" outlineLevel="0" collapsed="false">
      <c r="A178" s="2" t="s">
        <v>724</v>
      </c>
      <c r="B178" s="2" t="s">
        <v>648</v>
      </c>
      <c r="C178" s="2" t="s">
        <v>725</v>
      </c>
      <c r="D178" s="2" t="s">
        <v>726</v>
      </c>
      <c r="E178" s="2" t="s">
        <v>139</v>
      </c>
      <c r="F178" s="2" t="n">
        <v>52.6625636664068</v>
      </c>
      <c r="G178" s="2" t="n">
        <v>-8.62215174201212</v>
      </c>
      <c r="H178" s="2" t="s">
        <v>187</v>
      </c>
      <c r="I178" s="2" t="n">
        <f aca="false">COUNTIF(Applications!$B$2:$B$293,A178)</f>
        <v>1</v>
      </c>
      <c r="J178" s="2" t="n">
        <f aca="false">COUNTIFS(Applications!$B$2:$B$293,A178,Applications!$Z$2:$Z$293,"Yes")</f>
        <v>1</v>
      </c>
      <c r="K178" s="10" t="n">
        <f aca="false">SUMIFS(Applications!$AI$2:$AI$293,Applications!$B$2:$B$293,A178)</f>
        <v>15</v>
      </c>
      <c r="L178" s="10" t="n">
        <f aca="false">SUMIFS(Applications!$AL$2:$AL$293,Applications!$B$2:$B$293,A178)</f>
        <v>15</v>
      </c>
      <c r="M178" s="10" t="n">
        <f aca="false">SUMIFS(Applications!$AM$2:$AM$293,Applications!$B$2:$B$293,A178)</f>
        <v>0</v>
      </c>
      <c r="N178" s="10" t="n">
        <f aca="false">SUMIFS(Applications!$AK$2:$AK$293,Applications!$B$2:$B$293,A178)</f>
        <v>0</v>
      </c>
      <c r="O178" s="2" t="n">
        <f aca="false">I178-J178</f>
        <v>0</v>
      </c>
      <c r="P178" s="2" t="n">
        <f aca="false">COUNTIFS(Applications!$B$2:$B$293,A178,Applications!$W$2:$W$293,"Low",Applications!$X$2:$X$293,"")</f>
        <v>0</v>
      </c>
      <c r="Q178" s="2" t="n">
        <f aca="false">COUNTIFS(Applications!$B$2:$B$293,A178,Applications!$AH$2:$AH$293,"Past*")+COUNTIFS(Applications!$B$2:$B$293,A178,Applications!$AH$2:$AH$293,"No CIS*")</f>
        <v>0</v>
      </c>
      <c r="R178" s="2" t="s">
        <v>727</v>
      </c>
      <c r="S178" s="2" t="s">
        <v>124</v>
      </c>
      <c r="T178" s="2" t="str">
        <f aca="false">IF(OR(R178&lt;&gt;"",S178="Yes",P178&gt;0,Q178&gt;0),IF(U178="Yes","Resolved","Yes"),"No")</f>
        <v>Yes</v>
      </c>
      <c r="U178" s="7"/>
      <c r="V178" s="7"/>
    </row>
    <row r="179" customFormat="false" ht="15" hidden="false" customHeight="false" outlineLevel="0" collapsed="false">
      <c r="A179" s="2" t="s">
        <v>728</v>
      </c>
      <c r="B179" s="2" t="s">
        <v>648</v>
      </c>
      <c r="C179" s="2" t="s">
        <v>729</v>
      </c>
      <c r="D179" s="2" t="s">
        <v>730</v>
      </c>
      <c r="E179" s="2" t="s">
        <v>139</v>
      </c>
      <c r="F179" s="2" t="n">
        <v>52.6706806810291</v>
      </c>
      <c r="G179" s="2" t="n">
        <v>-8.60457170020531</v>
      </c>
      <c r="H179" s="2" t="s">
        <v>187</v>
      </c>
      <c r="I179" s="2" t="n">
        <f aca="false">COUNTIF(Applications!$B$2:$B$293,A179)</f>
        <v>1</v>
      </c>
      <c r="J179" s="2" t="n">
        <f aca="false">COUNTIFS(Applications!$B$2:$B$293,A179,Applications!$Z$2:$Z$293,"Yes")</f>
        <v>1</v>
      </c>
      <c r="K179" s="10" t="n">
        <f aca="false">SUMIFS(Applications!$AI$2:$AI$293,Applications!$B$2:$B$293,A179)</f>
        <v>15</v>
      </c>
      <c r="L179" s="10" t="n">
        <f aca="false">SUMIFS(Applications!$AL$2:$AL$293,Applications!$B$2:$B$293,A179)</f>
        <v>15</v>
      </c>
      <c r="M179" s="10" t="n">
        <f aca="false">SUMIFS(Applications!$AM$2:$AM$293,Applications!$B$2:$B$293,A179)</f>
        <v>0</v>
      </c>
      <c r="N179" s="10" t="n">
        <f aca="false">SUMIFS(Applications!$AK$2:$AK$293,Applications!$B$2:$B$293,A179)</f>
        <v>0</v>
      </c>
      <c r="O179" s="2" t="n">
        <f aca="false">I179-J179</f>
        <v>0</v>
      </c>
      <c r="P179" s="2" t="n">
        <f aca="false">COUNTIFS(Applications!$B$2:$B$293,A179,Applications!$W$2:$W$293,"Low",Applications!$X$2:$X$293,"")</f>
        <v>0</v>
      </c>
      <c r="Q179" s="2" t="n">
        <f aca="false">COUNTIFS(Applications!$B$2:$B$293,A179,Applications!$AH$2:$AH$293,"Past*")+COUNTIFS(Applications!$B$2:$B$293,A179,Applications!$AH$2:$AH$293,"No CIS*")</f>
        <v>1</v>
      </c>
      <c r="R179" s="2"/>
      <c r="S179" s="2" t="s">
        <v>124</v>
      </c>
      <c r="T179" s="2" t="str">
        <f aca="false">IF(OR(R179&lt;&gt;"",S179="Yes",P179&gt;0,Q179&gt;0),IF(U179="Yes","Resolved","Yes"),"No")</f>
        <v>Yes</v>
      </c>
      <c r="U179" s="7"/>
      <c r="V179" s="7"/>
    </row>
    <row r="180" customFormat="false" ht="15" hidden="false" customHeight="false" outlineLevel="0" collapsed="false">
      <c r="A180" s="2" t="s">
        <v>731</v>
      </c>
      <c r="B180" s="2" t="s">
        <v>648</v>
      </c>
      <c r="C180" s="2" t="s">
        <v>732</v>
      </c>
      <c r="D180" s="2" t="s">
        <v>733</v>
      </c>
      <c r="E180" s="2" t="s">
        <v>139</v>
      </c>
      <c r="F180" s="2" t="n">
        <v>52.6756356876471</v>
      </c>
      <c r="G180" s="2" t="n">
        <v>-8.63363453233696</v>
      </c>
      <c r="H180" s="2" t="s">
        <v>700</v>
      </c>
      <c r="I180" s="2" t="n">
        <f aca="false">COUNTIF(Applications!$B$2:$B$293,A180)</f>
        <v>1</v>
      </c>
      <c r="J180" s="2" t="n">
        <f aca="false">COUNTIFS(Applications!$B$2:$B$293,A180,Applications!$Z$2:$Z$293,"Yes")</f>
        <v>1</v>
      </c>
      <c r="K180" s="10" t="n">
        <f aca="false">SUMIFS(Applications!$AI$2:$AI$293,Applications!$B$2:$B$293,A180)</f>
        <v>6</v>
      </c>
      <c r="L180" s="10" t="n">
        <f aca="false">SUMIFS(Applications!$AL$2:$AL$293,Applications!$B$2:$B$293,A180)</f>
        <v>6</v>
      </c>
      <c r="M180" s="10" t="n">
        <f aca="false">SUMIFS(Applications!$AM$2:$AM$293,Applications!$B$2:$B$293,A180)</f>
        <v>0</v>
      </c>
      <c r="N180" s="10" t="n">
        <f aca="false">SUMIFS(Applications!$AK$2:$AK$293,Applications!$B$2:$B$293,A180)</f>
        <v>0</v>
      </c>
      <c r="O180" s="2" t="n">
        <f aca="false">I180-J180</f>
        <v>0</v>
      </c>
      <c r="P180" s="2" t="n">
        <f aca="false">COUNTIFS(Applications!$B$2:$B$293,A180,Applications!$W$2:$W$293,"Low",Applications!$X$2:$X$293,"")</f>
        <v>1</v>
      </c>
      <c r="Q180" s="2" t="n">
        <f aca="false">COUNTIFS(Applications!$B$2:$B$293,A180,Applications!$AH$2:$AH$293,"Past*")+COUNTIFS(Applications!$B$2:$B$293,A180,Applications!$AH$2:$AH$293,"No CIS*")</f>
        <v>0</v>
      </c>
      <c r="R180" s="2" t="s">
        <v>734</v>
      </c>
      <c r="S180" s="2" t="s">
        <v>124</v>
      </c>
      <c r="T180" s="2" t="str">
        <f aca="false">IF(OR(R180&lt;&gt;"",S180="Yes",P180&gt;0,Q180&gt;0),IF(U180="Yes","Resolved","Yes"),"No")</f>
        <v>Yes</v>
      </c>
      <c r="U180" s="7"/>
      <c r="V180" s="7"/>
    </row>
    <row r="181" customFormat="false" ht="15" hidden="false" customHeight="false" outlineLevel="0" collapsed="false">
      <c r="A181" s="2" t="s">
        <v>735</v>
      </c>
      <c r="B181" s="2" t="s">
        <v>648</v>
      </c>
      <c r="C181" s="2" t="s">
        <v>736</v>
      </c>
      <c r="D181" s="2" t="s">
        <v>737</v>
      </c>
      <c r="E181" s="2" t="s">
        <v>139</v>
      </c>
      <c r="F181" s="2" t="n">
        <v>52.6756282</v>
      </c>
      <c r="G181" s="2" t="n">
        <v>-8.6335879</v>
      </c>
      <c r="H181" s="2" t="s">
        <v>651</v>
      </c>
      <c r="I181" s="2" t="n">
        <f aca="false">COUNTIF(Applications!$B$2:$B$293,A181)</f>
        <v>1</v>
      </c>
      <c r="J181" s="2" t="n">
        <f aca="false">COUNTIFS(Applications!$B$2:$B$293,A181,Applications!$Z$2:$Z$293,"Yes")</f>
        <v>0</v>
      </c>
      <c r="K181" s="10" t="n">
        <f aca="false">SUMIFS(Applications!$AI$2:$AI$293,Applications!$B$2:$B$293,A181)</f>
        <v>0</v>
      </c>
      <c r="L181" s="10" t="n">
        <f aca="false">SUMIFS(Applications!$AL$2:$AL$293,Applications!$B$2:$B$293,A181)</f>
        <v>0</v>
      </c>
      <c r="M181" s="10" t="n">
        <f aca="false">SUMIFS(Applications!$AM$2:$AM$293,Applications!$B$2:$B$293,A181)</f>
        <v>0</v>
      </c>
      <c r="N181" s="10" t="n">
        <f aca="false">SUMIFS(Applications!$AK$2:$AK$293,Applications!$B$2:$B$293,A181)</f>
        <v>0</v>
      </c>
      <c r="O181" s="2" t="n">
        <f aca="false">I181-J181</f>
        <v>1</v>
      </c>
      <c r="P181" s="2" t="n">
        <f aca="false">COUNTIFS(Applications!$B$2:$B$293,A181,Applications!$W$2:$W$293,"Low",Applications!$X$2:$X$293,"")</f>
        <v>0</v>
      </c>
      <c r="Q181" s="2" t="n">
        <f aca="false">COUNTIFS(Applications!$B$2:$B$293,A181,Applications!$AH$2:$AH$293,"Past*")+COUNTIFS(Applications!$B$2:$B$293,A181,Applications!$AH$2:$AH$293,"No CIS*")</f>
        <v>0</v>
      </c>
      <c r="R181" s="2" t="s">
        <v>738</v>
      </c>
      <c r="S181" s="2" t="s">
        <v>124</v>
      </c>
      <c r="T181" s="2" t="str">
        <f aca="false">IF(OR(R181&lt;&gt;"",S181="Yes",P181&gt;0,Q181&gt;0),IF(U181="Yes","Resolved","Yes"),"No")</f>
        <v>Yes</v>
      </c>
      <c r="U181" s="7"/>
      <c r="V181" s="7"/>
    </row>
    <row r="182" customFormat="false" ht="15" hidden="false" customHeight="false" outlineLevel="0" collapsed="false">
      <c r="A182" s="2" t="s">
        <v>739</v>
      </c>
      <c r="B182" s="2" t="s">
        <v>648</v>
      </c>
      <c r="C182" s="2" t="s">
        <v>740</v>
      </c>
      <c r="D182" s="2" t="s">
        <v>197</v>
      </c>
      <c r="E182" s="2" t="s">
        <v>142</v>
      </c>
      <c r="F182" s="2" t="n">
        <v>52.6005925020224</v>
      </c>
      <c r="G182" s="2" t="n">
        <v>-8.70524897864811</v>
      </c>
      <c r="H182" s="2" t="s">
        <v>700</v>
      </c>
      <c r="I182" s="2" t="n">
        <f aca="false">COUNTIF(Applications!$B$2:$B$293,A182)</f>
        <v>1</v>
      </c>
      <c r="J182" s="2" t="n">
        <f aca="false">COUNTIFS(Applications!$B$2:$B$293,A182,Applications!$Z$2:$Z$293,"Yes")</f>
        <v>0</v>
      </c>
      <c r="K182" s="10" t="n">
        <f aca="false">SUMIFS(Applications!$AI$2:$AI$293,Applications!$B$2:$B$293,A182)</f>
        <v>0</v>
      </c>
      <c r="L182" s="10" t="n">
        <f aca="false">SUMIFS(Applications!$AL$2:$AL$293,Applications!$B$2:$B$293,A182)</f>
        <v>0</v>
      </c>
      <c r="M182" s="10" t="n">
        <f aca="false">SUMIFS(Applications!$AM$2:$AM$293,Applications!$B$2:$B$293,A182)</f>
        <v>0</v>
      </c>
      <c r="N182" s="10" t="n">
        <f aca="false">SUMIFS(Applications!$AK$2:$AK$293,Applications!$B$2:$B$293,A182)</f>
        <v>0</v>
      </c>
      <c r="O182" s="2" t="n">
        <f aca="false">I182-J182</f>
        <v>1</v>
      </c>
      <c r="P182" s="2" t="n">
        <f aca="false">COUNTIFS(Applications!$B$2:$B$293,A182,Applications!$W$2:$W$293,"Low",Applications!$X$2:$X$293,"")</f>
        <v>0</v>
      </c>
      <c r="Q182" s="2" t="n">
        <f aca="false">COUNTIFS(Applications!$B$2:$B$293,A182,Applications!$AH$2:$AH$293,"Past*")+COUNTIFS(Applications!$B$2:$B$293,A182,Applications!$AH$2:$AH$293,"No CIS*")</f>
        <v>0</v>
      </c>
      <c r="R182" s="2" t="s">
        <v>741</v>
      </c>
      <c r="S182" s="2" t="s">
        <v>124</v>
      </c>
      <c r="T182" s="2" t="str">
        <f aca="false">IF(OR(R182&lt;&gt;"",S182="Yes",P182&gt;0,Q182&gt;0),IF(U182="Yes","Resolved","Yes"),"No")</f>
        <v>Yes</v>
      </c>
      <c r="U182" s="7"/>
      <c r="V182" s="7"/>
    </row>
    <row r="183" customFormat="false" ht="15" hidden="false" customHeight="false" outlineLevel="0" collapsed="false">
      <c r="A183" s="2" t="s">
        <v>742</v>
      </c>
      <c r="B183" s="2" t="s">
        <v>648</v>
      </c>
      <c r="C183" s="2" t="s">
        <v>743</v>
      </c>
      <c r="D183" s="2" t="s">
        <v>744</v>
      </c>
      <c r="E183" s="2" t="s">
        <v>139</v>
      </c>
      <c r="F183" s="2" t="n">
        <v>52.6251959416955</v>
      </c>
      <c r="G183" s="2" t="n">
        <v>-8.66786633823148</v>
      </c>
      <c r="H183" s="2" t="s">
        <v>700</v>
      </c>
      <c r="I183" s="2" t="n">
        <f aca="false">COUNTIF(Applications!$B$2:$B$293,A183)</f>
        <v>1</v>
      </c>
      <c r="J183" s="2" t="n">
        <f aca="false">COUNTIFS(Applications!$B$2:$B$293,A183,Applications!$Z$2:$Z$293,"Yes")</f>
        <v>0</v>
      </c>
      <c r="K183" s="10" t="n">
        <f aca="false">SUMIFS(Applications!$AI$2:$AI$293,Applications!$B$2:$B$293,A183)</f>
        <v>0</v>
      </c>
      <c r="L183" s="10" t="n">
        <f aca="false">SUMIFS(Applications!$AL$2:$AL$293,Applications!$B$2:$B$293,A183)</f>
        <v>0</v>
      </c>
      <c r="M183" s="10" t="n">
        <f aca="false">SUMIFS(Applications!$AM$2:$AM$293,Applications!$B$2:$B$293,A183)</f>
        <v>0</v>
      </c>
      <c r="N183" s="10" t="n">
        <f aca="false">SUMIFS(Applications!$AK$2:$AK$293,Applications!$B$2:$B$293,A183)</f>
        <v>0</v>
      </c>
      <c r="O183" s="2" t="n">
        <f aca="false">I183-J183</f>
        <v>1</v>
      </c>
      <c r="P183" s="2" t="n">
        <f aca="false">COUNTIFS(Applications!$B$2:$B$293,A183,Applications!$W$2:$W$293,"Low",Applications!$X$2:$X$293,"")</f>
        <v>0</v>
      </c>
      <c r="Q183" s="2" t="n">
        <f aca="false">COUNTIFS(Applications!$B$2:$B$293,A183,Applications!$AH$2:$AH$293,"Past*")+COUNTIFS(Applications!$B$2:$B$293,A183,Applications!$AH$2:$AH$293,"No CIS*")</f>
        <v>0</v>
      </c>
      <c r="R183" s="2"/>
      <c r="S183" s="2" t="s">
        <v>124</v>
      </c>
      <c r="T183" s="2" t="str">
        <f aca="false">IF(OR(R183&lt;&gt;"",S183="Yes",P183&gt;0,Q183&gt;0),IF(U183="Yes","Resolved","Yes"),"No")</f>
        <v>No</v>
      </c>
      <c r="U183" s="7"/>
      <c r="V183" s="7"/>
    </row>
    <row r="184" customFormat="false" ht="15" hidden="false" customHeight="false" outlineLevel="0" collapsed="false">
      <c r="A184" s="2" t="s">
        <v>745</v>
      </c>
      <c r="B184" s="2" t="s">
        <v>648</v>
      </c>
      <c r="C184" s="2" t="s">
        <v>746</v>
      </c>
      <c r="D184" s="2" t="s">
        <v>747</v>
      </c>
      <c r="E184" s="2" t="s">
        <v>139</v>
      </c>
      <c r="F184" s="2" t="n">
        <v>52.6447201</v>
      </c>
      <c r="G184" s="2" t="n">
        <v>-8.6173166</v>
      </c>
      <c r="H184" s="2" t="s">
        <v>700</v>
      </c>
      <c r="I184" s="2" t="n">
        <f aca="false">COUNTIF(Applications!$B$2:$B$293,A184)</f>
        <v>1</v>
      </c>
      <c r="J184" s="2" t="n">
        <f aca="false">COUNTIFS(Applications!$B$2:$B$293,A184,Applications!$Z$2:$Z$293,"Yes")</f>
        <v>1</v>
      </c>
      <c r="K184" s="10" t="n">
        <f aca="false">SUMIFS(Applications!$AI$2:$AI$293,Applications!$B$2:$B$293,A184)</f>
        <v>4</v>
      </c>
      <c r="L184" s="10" t="n">
        <f aca="false">SUMIFS(Applications!$AL$2:$AL$293,Applications!$B$2:$B$293,A184)</f>
        <v>4</v>
      </c>
      <c r="M184" s="10" t="n">
        <f aca="false">SUMIFS(Applications!$AM$2:$AM$293,Applications!$B$2:$B$293,A184)</f>
        <v>0</v>
      </c>
      <c r="N184" s="10" t="n">
        <f aca="false">SUMIFS(Applications!$AK$2:$AK$293,Applications!$B$2:$B$293,A184)</f>
        <v>0</v>
      </c>
      <c r="O184" s="2" t="n">
        <f aca="false">I184-J184</f>
        <v>0</v>
      </c>
      <c r="P184" s="2" t="n">
        <f aca="false">COUNTIFS(Applications!$B$2:$B$293,A184,Applications!$W$2:$W$293,"Low",Applications!$X$2:$X$293,"")</f>
        <v>0</v>
      </c>
      <c r="Q184" s="2" t="n">
        <f aca="false">COUNTIFS(Applications!$B$2:$B$293,A184,Applications!$AH$2:$AH$293,"Past*")+COUNTIFS(Applications!$B$2:$B$293,A184,Applications!$AH$2:$AH$293,"No CIS*")</f>
        <v>0</v>
      </c>
      <c r="R184" s="2" t="s">
        <v>748</v>
      </c>
      <c r="S184" s="2" t="s">
        <v>124</v>
      </c>
      <c r="T184" s="2" t="str">
        <f aca="false">IF(OR(R184&lt;&gt;"",S184="Yes",P184&gt;0,Q184&gt;0),IF(U184="Yes","Resolved","Yes"),"No")</f>
        <v>Yes</v>
      </c>
      <c r="U184" s="7"/>
      <c r="V184" s="7"/>
    </row>
    <row r="185" customFormat="false" ht="15" hidden="false" customHeight="false" outlineLevel="0" collapsed="false">
      <c r="A185" s="2" t="s">
        <v>749</v>
      </c>
      <c r="B185" s="2" t="s">
        <v>648</v>
      </c>
      <c r="C185" s="2" t="s">
        <v>750</v>
      </c>
      <c r="D185" s="2" t="s">
        <v>751</v>
      </c>
      <c r="E185" s="2" t="s">
        <v>144</v>
      </c>
      <c r="F185" s="2" t="n">
        <v>52.4001827</v>
      </c>
      <c r="G185" s="2" t="n">
        <v>-8.2967428</v>
      </c>
      <c r="H185" s="2" t="s">
        <v>700</v>
      </c>
      <c r="I185" s="2" t="n">
        <f aca="false">COUNTIF(Applications!$B$2:$B$293,A185)</f>
        <v>1</v>
      </c>
      <c r="J185" s="2" t="n">
        <f aca="false">COUNTIFS(Applications!$B$2:$B$293,A185,Applications!$Z$2:$Z$293,"Yes")</f>
        <v>1</v>
      </c>
      <c r="K185" s="10" t="n">
        <f aca="false">SUMIFS(Applications!$AI$2:$AI$293,Applications!$B$2:$B$293,A185)</f>
        <v>4</v>
      </c>
      <c r="L185" s="10" t="n">
        <f aca="false">SUMIFS(Applications!$AL$2:$AL$293,Applications!$B$2:$B$293,A185)</f>
        <v>4</v>
      </c>
      <c r="M185" s="10" t="n">
        <f aca="false">SUMIFS(Applications!$AM$2:$AM$293,Applications!$B$2:$B$293,A185)</f>
        <v>0</v>
      </c>
      <c r="N185" s="10" t="n">
        <f aca="false">SUMIFS(Applications!$AK$2:$AK$293,Applications!$B$2:$B$293,A185)</f>
        <v>0</v>
      </c>
      <c r="O185" s="2" t="n">
        <f aca="false">I185-J185</f>
        <v>0</v>
      </c>
      <c r="P185" s="2" t="n">
        <f aca="false">COUNTIFS(Applications!$B$2:$B$293,A185,Applications!$W$2:$W$293,"Low",Applications!$X$2:$X$293,"")</f>
        <v>0</v>
      </c>
      <c r="Q185" s="2" t="n">
        <f aca="false">COUNTIFS(Applications!$B$2:$B$293,A185,Applications!$AH$2:$AH$293,"Past*")+COUNTIFS(Applications!$B$2:$B$293,A185,Applications!$AH$2:$AH$293,"No CIS*")</f>
        <v>0</v>
      </c>
      <c r="R185" s="2"/>
      <c r="S185" s="2" t="s">
        <v>124</v>
      </c>
      <c r="T185" s="2" t="str">
        <f aca="false">IF(OR(R185&lt;&gt;"",S185="Yes",P185&gt;0,Q185&gt;0),IF(U185="Yes","Resolved","Yes"),"No")</f>
        <v>No</v>
      </c>
      <c r="U185" s="7"/>
      <c r="V185" s="7"/>
    </row>
    <row r="186" customFormat="false" ht="15" hidden="false" customHeight="false" outlineLevel="0" collapsed="false">
      <c r="A186" s="2" t="s">
        <v>752</v>
      </c>
      <c r="B186" s="2" t="s">
        <v>648</v>
      </c>
      <c r="C186" s="2" t="s">
        <v>753</v>
      </c>
      <c r="D186" s="2" t="s">
        <v>754</v>
      </c>
      <c r="E186" s="2" t="s">
        <v>139</v>
      </c>
      <c r="F186" s="2" t="n">
        <v>52.6569298909035</v>
      </c>
      <c r="G186" s="2" t="n">
        <v>-8.58951964057013</v>
      </c>
      <c r="H186" s="2" t="s">
        <v>668</v>
      </c>
      <c r="I186" s="2" t="n">
        <f aca="false">COUNTIF(Applications!$B$2:$B$293,A186)</f>
        <v>1</v>
      </c>
      <c r="J186" s="2" t="n">
        <f aca="false">COUNTIFS(Applications!$B$2:$B$293,A186,Applications!$Z$2:$Z$293,"Yes")</f>
        <v>1</v>
      </c>
      <c r="K186" s="10" t="n">
        <f aca="false">SUMIFS(Applications!$AI$2:$AI$293,Applications!$B$2:$B$293,A186)</f>
        <v>31</v>
      </c>
      <c r="L186" s="10" t="n">
        <f aca="false">SUMIFS(Applications!$AL$2:$AL$293,Applications!$B$2:$B$293,A186)</f>
        <v>31</v>
      </c>
      <c r="M186" s="10" t="n">
        <f aca="false">SUMIFS(Applications!$AM$2:$AM$293,Applications!$B$2:$B$293,A186)</f>
        <v>0</v>
      </c>
      <c r="N186" s="10" t="n">
        <f aca="false">SUMIFS(Applications!$AK$2:$AK$293,Applications!$B$2:$B$293,A186)</f>
        <v>0</v>
      </c>
      <c r="O186" s="2" t="n">
        <f aca="false">I186-J186</f>
        <v>0</v>
      </c>
      <c r="P186" s="2" t="n">
        <f aca="false">COUNTIFS(Applications!$B$2:$B$293,A186,Applications!$W$2:$W$293,"Low",Applications!$X$2:$X$293,"")</f>
        <v>0</v>
      </c>
      <c r="Q186" s="2" t="n">
        <f aca="false">COUNTIFS(Applications!$B$2:$B$293,A186,Applications!$AH$2:$AH$293,"Past*")+COUNTIFS(Applications!$B$2:$B$293,A186,Applications!$AH$2:$AH$293,"No CIS*")</f>
        <v>0</v>
      </c>
      <c r="R186" s="2" t="s">
        <v>755</v>
      </c>
      <c r="S186" s="2" t="s">
        <v>124</v>
      </c>
      <c r="T186" s="2" t="str">
        <f aca="false">IF(OR(R186&lt;&gt;"",S186="Yes",P186&gt;0,Q186&gt;0),IF(U186="Yes","Resolved","Yes"),"No")</f>
        <v>Yes</v>
      </c>
      <c r="U186" s="7"/>
      <c r="V186" s="7"/>
    </row>
    <row r="187" customFormat="false" ht="15" hidden="false" customHeight="false" outlineLevel="0" collapsed="false">
      <c r="A187" s="2" t="s">
        <v>756</v>
      </c>
      <c r="B187" s="2" t="s">
        <v>648</v>
      </c>
      <c r="C187" s="2" t="s">
        <v>757</v>
      </c>
      <c r="D187" s="2" t="s">
        <v>758</v>
      </c>
      <c r="E187" s="2" t="s">
        <v>139</v>
      </c>
      <c r="F187" s="2" t="n">
        <v>52.6655096091942</v>
      </c>
      <c r="G187" s="2" t="n">
        <v>-8.61652963189345</v>
      </c>
      <c r="H187" s="2" t="s">
        <v>187</v>
      </c>
      <c r="I187" s="2" t="n">
        <f aca="false">COUNTIF(Applications!$B$2:$B$293,A187)</f>
        <v>1</v>
      </c>
      <c r="J187" s="2" t="n">
        <f aca="false">COUNTIFS(Applications!$B$2:$B$293,A187,Applications!$Z$2:$Z$293,"Yes")</f>
        <v>1</v>
      </c>
      <c r="K187" s="10" t="n">
        <f aca="false">SUMIFS(Applications!$AI$2:$AI$293,Applications!$B$2:$B$293,A187)</f>
        <v>30</v>
      </c>
      <c r="L187" s="10" t="n">
        <f aca="false">SUMIFS(Applications!$AL$2:$AL$293,Applications!$B$2:$B$293,A187)</f>
        <v>30</v>
      </c>
      <c r="M187" s="10" t="n">
        <f aca="false">SUMIFS(Applications!$AM$2:$AM$293,Applications!$B$2:$B$293,A187)</f>
        <v>0</v>
      </c>
      <c r="N187" s="10" t="n">
        <f aca="false">SUMIFS(Applications!$AK$2:$AK$293,Applications!$B$2:$B$293,A187)</f>
        <v>0</v>
      </c>
      <c r="O187" s="2" t="n">
        <f aca="false">I187-J187</f>
        <v>0</v>
      </c>
      <c r="P187" s="2" t="n">
        <f aca="false">COUNTIFS(Applications!$B$2:$B$293,A187,Applications!$W$2:$W$293,"Low",Applications!$X$2:$X$293,"")</f>
        <v>1</v>
      </c>
      <c r="Q187" s="2" t="n">
        <f aca="false">COUNTIFS(Applications!$B$2:$B$293,A187,Applications!$AH$2:$AH$293,"Past*")+COUNTIFS(Applications!$B$2:$B$293,A187,Applications!$AH$2:$AH$293,"No CIS*")</f>
        <v>0</v>
      </c>
      <c r="R187" s="2" t="s">
        <v>759</v>
      </c>
      <c r="S187" s="2" t="s">
        <v>124</v>
      </c>
      <c r="T187" s="2" t="str">
        <f aca="false">IF(OR(R187&lt;&gt;"",S187="Yes",P187&gt;0,Q187&gt;0),IF(U187="Yes","Resolved","Yes"),"No")</f>
        <v>Yes</v>
      </c>
      <c r="U187" s="7"/>
      <c r="V187" s="7"/>
    </row>
    <row r="188" customFormat="false" ht="15" hidden="false" customHeight="false" outlineLevel="0" collapsed="false">
      <c r="A188" s="2" t="s">
        <v>760</v>
      </c>
      <c r="B188" s="2" t="s">
        <v>648</v>
      </c>
      <c r="C188" s="2" t="s">
        <v>761</v>
      </c>
      <c r="D188" s="2" t="s">
        <v>762</v>
      </c>
      <c r="E188" s="2" t="s">
        <v>139</v>
      </c>
      <c r="F188" s="2" t="n">
        <v>52.6621287492918</v>
      </c>
      <c r="G188" s="2" t="n">
        <v>-8.55094140003388</v>
      </c>
      <c r="H188" s="2" t="s">
        <v>700</v>
      </c>
      <c r="I188" s="2" t="n">
        <f aca="false">COUNTIF(Applications!$B$2:$B$293,A188)</f>
        <v>1</v>
      </c>
      <c r="J188" s="2" t="n">
        <f aca="false">COUNTIFS(Applications!$B$2:$B$293,A188,Applications!$Z$2:$Z$293,"Yes")</f>
        <v>0</v>
      </c>
      <c r="K188" s="10" t="n">
        <f aca="false">SUMIFS(Applications!$AI$2:$AI$293,Applications!$B$2:$B$293,A188)</f>
        <v>0</v>
      </c>
      <c r="L188" s="10" t="n">
        <f aca="false">SUMIFS(Applications!$AL$2:$AL$293,Applications!$B$2:$B$293,A188)</f>
        <v>0</v>
      </c>
      <c r="M188" s="10" t="n">
        <f aca="false">SUMIFS(Applications!$AM$2:$AM$293,Applications!$B$2:$B$293,A188)</f>
        <v>0</v>
      </c>
      <c r="N188" s="10" t="n">
        <f aca="false">SUMIFS(Applications!$AK$2:$AK$293,Applications!$B$2:$B$293,A188)</f>
        <v>0</v>
      </c>
      <c r="O188" s="2" t="n">
        <f aca="false">I188-J188</f>
        <v>1</v>
      </c>
      <c r="P188" s="2" t="n">
        <f aca="false">COUNTIFS(Applications!$B$2:$B$293,A188,Applications!$W$2:$W$293,"Low",Applications!$X$2:$X$293,"")</f>
        <v>0</v>
      </c>
      <c r="Q188" s="2" t="n">
        <f aca="false">COUNTIFS(Applications!$B$2:$B$293,A188,Applications!$AH$2:$AH$293,"Past*")+COUNTIFS(Applications!$B$2:$B$293,A188,Applications!$AH$2:$AH$293,"No CIS*")</f>
        <v>0</v>
      </c>
      <c r="R188" s="2" t="s">
        <v>763</v>
      </c>
      <c r="S188" s="2" t="s">
        <v>124</v>
      </c>
      <c r="T188" s="2" t="str">
        <f aca="false">IF(OR(R188&lt;&gt;"",S188="Yes",P188&gt;0,Q188&gt;0),IF(U188="Yes","Resolved","Yes"),"No")</f>
        <v>Yes</v>
      </c>
      <c r="U188" s="7"/>
      <c r="V188" s="7"/>
    </row>
    <row r="189" customFormat="false" ht="15" hidden="false" customHeight="false" outlineLevel="0" collapsed="false">
      <c r="A189" s="2" t="s">
        <v>764</v>
      </c>
      <c r="B189" s="2" t="s">
        <v>648</v>
      </c>
      <c r="C189" s="2" t="s">
        <v>765</v>
      </c>
      <c r="D189" s="2" t="s">
        <v>766</v>
      </c>
      <c r="E189" s="2" t="s">
        <v>139</v>
      </c>
      <c r="F189" s="2" t="n">
        <v>52.6575110989144</v>
      </c>
      <c r="G189" s="2" t="n">
        <v>-8.63555063229777</v>
      </c>
      <c r="H189" s="2" t="s">
        <v>187</v>
      </c>
      <c r="I189" s="2" t="n">
        <f aca="false">COUNTIF(Applications!$B$2:$B$293,A189)</f>
        <v>1</v>
      </c>
      <c r="J189" s="2" t="n">
        <f aca="false">COUNTIFS(Applications!$B$2:$B$293,A189,Applications!$Z$2:$Z$293,"Yes")</f>
        <v>1</v>
      </c>
      <c r="K189" s="10" t="n">
        <f aca="false">SUMIFS(Applications!$AI$2:$AI$293,Applications!$B$2:$B$293,A189)</f>
        <v>48</v>
      </c>
      <c r="L189" s="10" t="n">
        <f aca="false">SUMIFS(Applications!$AL$2:$AL$293,Applications!$B$2:$B$293,A189)</f>
        <v>48</v>
      </c>
      <c r="M189" s="10" t="n">
        <f aca="false">SUMIFS(Applications!$AM$2:$AM$293,Applications!$B$2:$B$293,A189)</f>
        <v>0</v>
      </c>
      <c r="N189" s="10" t="n">
        <f aca="false">SUMIFS(Applications!$AK$2:$AK$293,Applications!$B$2:$B$293,A189)</f>
        <v>0</v>
      </c>
      <c r="O189" s="2" t="n">
        <f aca="false">I189-J189</f>
        <v>0</v>
      </c>
      <c r="P189" s="2" t="n">
        <f aca="false">COUNTIFS(Applications!$B$2:$B$293,A189,Applications!$W$2:$W$293,"Low",Applications!$X$2:$X$293,"")</f>
        <v>0</v>
      </c>
      <c r="Q189" s="2" t="n">
        <f aca="false">COUNTIFS(Applications!$B$2:$B$293,A189,Applications!$AH$2:$AH$293,"Past*")+COUNTIFS(Applications!$B$2:$B$293,A189,Applications!$AH$2:$AH$293,"No CIS*")</f>
        <v>0</v>
      </c>
      <c r="R189" s="2" t="s">
        <v>767</v>
      </c>
      <c r="S189" s="2" t="s">
        <v>124</v>
      </c>
      <c r="T189" s="2" t="str">
        <f aca="false">IF(OR(R189&lt;&gt;"",S189="Yes",P189&gt;0,Q189&gt;0),IF(U189="Yes","Resolved","Yes"),"No")</f>
        <v>Yes</v>
      </c>
      <c r="U189" s="7"/>
      <c r="V189" s="7"/>
    </row>
    <row r="190" customFormat="false" ht="15" hidden="false" customHeight="false" outlineLevel="0" collapsed="false">
      <c r="A190" s="2" t="s">
        <v>768</v>
      </c>
      <c r="B190" s="2" t="s">
        <v>648</v>
      </c>
      <c r="C190" s="2" t="s">
        <v>769</v>
      </c>
      <c r="D190" s="2" t="s">
        <v>770</v>
      </c>
      <c r="E190" s="2" t="s">
        <v>139</v>
      </c>
      <c r="F190" s="2" t="n">
        <v>52.6519515</v>
      </c>
      <c r="G190" s="2" t="n">
        <v>-8.6101618</v>
      </c>
      <c r="H190" s="2" t="s">
        <v>651</v>
      </c>
      <c r="I190" s="2" t="n">
        <f aca="false">COUNTIF(Applications!$B$2:$B$293,A190)</f>
        <v>1</v>
      </c>
      <c r="J190" s="2" t="n">
        <f aca="false">COUNTIFS(Applications!$B$2:$B$293,A190,Applications!$Z$2:$Z$293,"Yes")</f>
        <v>1</v>
      </c>
      <c r="K190" s="10" t="n">
        <f aca="false">SUMIFS(Applications!$AI$2:$AI$293,Applications!$B$2:$B$293,A190)</f>
        <v>5</v>
      </c>
      <c r="L190" s="10" t="n">
        <f aca="false">SUMIFS(Applications!$AL$2:$AL$293,Applications!$B$2:$B$293,A190)</f>
        <v>5</v>
      </c>
      <c r="M190" s="10" t="n">
        <f aca="false">SUMIFS(Applications!$AM$2:$AM$293,Applications!$B$2:$B$293,A190)</f>
        <v>0</v>
      </c>
      <c r="N190" s="10" t="n">
        <f aca="false">SUMIFS(Applications!$AK$2:$AK$293,Applications!$B$2:$B$293,A190)</f>
        <v>0</v>
      </c>
      <c r="O190" s="2" t="n">
        <f aca="false">I190-J190</f>
        <v>0</v>
      </c>
      <c r="P190" s="2" t="n">
        <f aca="false">COUNTIFS(Applications!$B$2:$B$293,A190,Applications!$W$2:$W$293,"Low",Applications!$X$2:$X$293,"")</f>
        <v>0</v>
      </c>
      <c r="Q190" s="2" t="n">
        <f aca="false">COUNTIFS(Applications!$B$2:$B$293,A190,Applications!$AH$2:$AH$293,"Past*")+COUNTIFS(Applications!$B$2:$B$293,A190,Applications!$AH$2:$AH$293,"No CIS*")</f>
        <v>0</v>
      </c>
      <c r="R190" s="2"/>
      <c r="S190" s="2" t="s">
        <v>124</v>
      </c>
      <c r="T190" s="2" t="str">
        <f aca="false">IF(OR(R190&lt;&gt;"",S190="Yes",P190&gt;0,Q190&gt;0),IF(U190="Yes","Resolved","Yes"),"No")</f>
        <v>No</v>
      </c>
      <c r="U190" s="7"/>
      <c r="V190" s="7"/>
    </row>
    <row r="191" customFormat="false" ht="15" hidden="false" customHeight="false" outlineLevel="0" collapsed="false">
      <c r="A191" s="2" t="s">
        <v>771</v>
      </c>
      <c r="B191" s="2" t="s">
        <v>648</v>
      </c>
      <c r="C191" s="2" t="s">
        <v>772</v>
      </c>
      <c r="D191" s="2" t="s">
        <v>773</v>
      </c>
      <c r="E191" s="2" t="s">
        <v>139</v>
      </c>
      <c r="F191" s="2" t="n">
        <v>52.6589827340802</v>
      </c>
      <c r="G191" s="2" t="n">
        <v>-8.63697656893807</v>
      </c>
      <c r="H191" s="2" t="s">
        <v>651</v>
      </c>
      <c r="I191" s="2" t="n">
        <f aca="false">COUNTIF(Applications!$B$2:$B$293,A191)</f>
        <v>1</v>
      </c>
      <c r="J191" s="2" t="n">
        <f aca="false">COUNTIFS(Applications!$B$2:$B$293,A191,Applications!$Z$2:$Z$293,"Yes")</f>
        <v>1</v>
      </c>
      <c r="K191" s="10" t="n">
        <f aca="false">SUMIFS(Applications!$AI$2:$AI$293,Applications!$B$2:$B$293,A191)</f>
        <v>285</v>
      </c>
      <c r="L191" s="10" t="n">
        <f aca="false">SUMIFS(Applications!$AL$2:$AL$293,Applications!$B$2:$B$293,A191)</f>
        <v>285</v>
      </c>
      <c r="M191" s="10" t="n">
        <f aca="false">SUMIFS(Applications!$AM$2:$AM$293,Applications!$B$2:$B$293,A191)</f>
        <v>0</v>
      </c>
      <c r="N191" s="10" t="n">
        <f aca="false">SUMIFS(Applications!$AK$2:$AK$293,Applications!$B$2:$B$293,A191)</f>
        <v>0</v>
      </c>
      <c r="O191" s="2" t="n">
        <f aca="false">I191-J191</f>
        <v>0</v>
      </c>
      <c r="P191" s="2" t="n">
        <f aca="false">COUNTIFS(Applications!$B$2:$B$293,A191,Applications!$W$2:$W$293,"Low",Applications!$X$2:$X$293,"")</f>
        <v>0</v>
      </c>
      <c r="Q191" s="2" t="n">
        <f aca="false">COUNTIFS(Applications!$B$2:$B$293,A191,Applications!$AH$2:$AH$293,"Past*")+COUNTIFS(Applications!$B$2:$B$293,A191,Applications!$AH$2:$AH$293,"No CIS*")</f>
        <v>0</v>
      </c>
      <c r="R191" s="2" t="s">
        <v>774</v>
      </c>
      <c r="S191" s="2" t="s">
        <v>124</v>
      </c>
      <c r="T191" s="2" t="str">
        <f aca="false">IF(OR(R191&lt;&gt;"",S191="Yes",P191&gt;0,Q191&gt;0),IF(U191="Yes","Resolved","Yes"),"No")</f>
        <v>Yes</v>
      </c>
      <c r="U191" s="7"/>
      <c r="V191" s="7"/>
    </row>
    <row r="192" customFormat="false" ht="15" hidden="false" customHeight="false" outlineLevel="0" collapsed="false">
      <c r="A192" s="2" t="s">
        <v>775</v>
      </c>
      <c r="B192" s="2" t="s">
        <v>648</v>
      </c>
      <c r="C192" s="2" t="s">
        <v>776</v>
      </c>
      <c r="D192" s="2" t="s">
        <v>777</v>
      </c>
      <c r="E192" s="2" t="s">
        <v>138</v>
      </c>
      <c r="F192" s="2" t="n">
        <v>52.6503185410725</v>
      </c>
      <c r="G192" s="2" t="n">
        <v>-8.59967319027824</v>
      </c>
      <c r="H192" s="2" t="s">
        <v>668</v>
      </c>
      <c r="I192" s="2" t="n">
        <f aca="false">COUNTIF(Applications!$B$2:$B$293,A192)</f>
        <v>1</v>
      </c>
      <c r="J192" s="2" t="n">
        <f aca="false">COUNTIFS(Applications!$B$2:$B$293,A192,Applications!$Z$2:$Z$293,"Yes")</f>
        <v>1</v>
      </c>
      <c r="K192" s="10" t="n">
        <f aca="false">SUMIFS(Applications!$AI$2:$AI$293,Applications!$B$2:$B$293,A192)</f>
        <v>10</v>
      </c>
      <c r="L192" s="10" t="n">
        <f aca="false">SUMIFS(Applications!$AL$2:$AL$293,Applications!$B$2:$B$293,A192)</f>
        <v>10</v>
      </c>
      <c r="M192" s="10" t="n">
        <f aca="false">SUMIFS(Applications!$AM$2:$AM$293,Applications!$B$2:$B$293,A192)</f>
        <v>0</v>
      </c>
      <c r="N192" s="10" t="n">
        <f aca="false">SUMIFS(Applications!$AK$2:$AK$293,Applications!$B$2:$B$293,A192)</f>
        <v>0</v>
      </c>
      <c r="O192" s="2" t="n">
        <f aca="false">I192-J192</f>
        <v>0</v>
      </c>
      <c r="P192" s="2" t="n">
        <f aca="false">COUNTIFS(Applications!$B$2:$B$293,A192,Applications!$W$2:$W$293,"Low",Applications!$X$2:$X$293,"")</f>
        <v>0</v>
      </c>
      <c r="Q192" s="2" t="n">
        <f aca="false">COUNTIFS(Applications!$B$2:$B$293,A192,Applications!$AH$2:$AH$293,"Past*")+COUNTIFS(Applications!$B$2:$B$293,A192,Applications!$AH$2:$AH$293,"No CIS*")</f>
        <v>0</v>
      </c>
      <c r="R192" s="2"/>
      <c r="S192" s="2" t="s">
        <v>124</v>
      </c>
      <c r="T192" s="2" t="str">
        <f aca="false">IF(OR(R192&lt;&gt;"",S192="Yes",P192&gt;0,Q192&gt;0),IF(U192="Yes","Resolved","Yes"),"No")</f>
        <v>No</v>
      </c>
      <c r="U192" s="7"/>
      <c r="V192" s="7"/>
    </row>
    <row r="193" customFormat="false" ht="15" hidden="false" customHeight="false" outlineLevel="0" collapsed="false">
      <c r="A193" s="2" t="s">
        <v>778</v>
      </c>
      <c r="B193" s="2" t="s">
        <v>648</v>
      </c>
      <c r="C193" s="2" t="s">
        <v>779</v>
      </c>
      <c r="D193" s="2" t="s">
        <v>780</v>
      </c>
      <c r="E193" s="2" t="s">
        <v>139</v>
      </c>
      <c r="F193" s="2" t="n">
        <v>52.6807847670667</v>
      </c>
      <c r="G193" s="2" t="n">
        <v>-8.64280962703867</v>
      </c>
      <c r="H193" s="2" t="s">
        <v>700</v>
      </c>
      <c r="I193" s="2" t="n">
        <f aca="false">COUNTIF(Applications!$B$2:$B$293,A193)</f>
        <v>1</v>
      </c>
      <c r="J193" s="2" t="n">
        <f aca="false">COUNTIFS(Applications!$B$2:$B$293,A193,Applications!$Z$2:$Z$293,"Yes")</f>
        <v>1</v>
      </c>
      <c r="K193" s="10" t="n">
        <f aca="false">SUMIFS(Applications!$AI$2:$AI$293,Applications!$B$2:$B$293,A193)</f>
        <v>22</v>
      </c>
      <c r="L193" s="10" t="n">
        <f aca="false">SUMIFS(Applications!$AL$2:$AL$293,Applications!$B$2:$B$293,A193)</f>
        <v>22</v>
      </c>
      <c r="M193" s="10" t="n">
        <f aca="false">SUMIFS(Applications!$AM$2:$AM$293,Applications!$B$2:$B$293,A193)</f>
        <v>0</v>
      </c>
      <c r="N193" s="10" t="n">
        <f aca="false">SUMIFS(Applications!$AK$2:$AK$293,Applications!$B$2:$B$293,A193)</f>
        <v>0</v>
      </c>
      <c r="O193" s="2" t="n">
        <f aca="false">I193-J193</f>
        <v>0</v>
      </c>
      <c r="P193" s="2" t="n">
        <f aca="false">COUNTIFS(Applications!$B$2:$B$293,A193,Applications!$W$2:$W$293,"Low",Applications!$X$2:$X$293,"")</f>
        <v>0</v>
      </c>
      <c r="Q193" s="2" t="n">
        <f aca="false">COUNTIFS(Applications!$B$2:$B$293,A193,Applications!$AH$2:$AH$293,"Past*")+COUNTIFS(Applications!$B$2:$B$293,A193,Applications!$AH$2:$AH$293,"No CIS*")</f>
        <v>0</v>
      </c>
      <c r="R193" s="2"/>
      <c r="S193" s="2" t="s">
        <v>124</v>
      </c>
      <c r="T193" s="2" t="str">
        <f aca="false">IF(OR(R193&lt;&gt;"",S193="Yes",P193&gt;0,Q193&gt;0),IF(U193="Yes","Resolved","Yes"),"No")</f>
        <v>No</v>
      </c>
      <c r="U193" s="7"/>
      <c r="V193" s="7"/>
    </row>
    <row r="194" customFormat="false" ht="15" hidden="false" customHeight="false" outlineLevel="0" collapsed="false">
      <c r="A194" s="2" t="s">
        <v>781</v>
      </c>
      <c r="B194" s="2" t="s">
        <v>648</v>
      </c>
      <c r="C194" s="2" t="s">
        <v>782</v>
      </c>
      <c r="D194" s="2" t="s">
        <v>783</v>
      </c>
      <c r="E194" s="2" t="s">
        <v>131</v>
      </c>
      <c r="F194" s="2" t="n">
        <v>52.3830149434526</v>
      </c>
      <c r="G194" s="2" t="n">
        <v>-9.28357991781578</v>
      </c>
      <c r="H194" s="2" t="s">
        <v>651</v>
      </c>
      <c r="I194" s="2" t="n">
        <f aca="false">COUNTIF(Applications!$B$2:$B$293,A194)</f>
        <v>1</v>
      </c>
      <c r="J194" s="2" t="n">
        <f aca="false">COUNTIFS(Applications!$B$2:$B$293,A194,Applications!$Z$2:$Z$293,"Yes")</f>
        <v>1</v>
      </c>
      <c r="K194" s="10" t="n">
        <f aca="false">SUMIFS(Applications!$AI$2:$AI$293,Applications!$B$2:$B$293,A194)</f>
        <v>12</v>
      </c>
      <c r="L194" s="10" t="n">
        <f aca="false">SUMIFS(Applications!$AL$2:$AL$293,Applications!$B$2:$B$293,A194)</f>
        <v>12</v>
      </c>
      <c r="M194" s="10" t="n">
        <f aca="false">SUMIFS(Applications!$AM$2:$AM$293,Applications!$B$2:$B$293,A194)</f>
        <v>0</v>
      </c>
      <c r="N194" s="10" t="n">
        <f aca="false">SUMIFS(Applications!$AK$2:$AK$293,Applications!$B$2:$B$293,A194)</f>
        <v>0</v>
      </c>
      <c r="O194" s="2" t="n">
        <f aca="false">I194-J194</f>
        <v>0</v>
      </c>
      <c r="P194" s="2" t="n">
        <f aca="false">COUNTIFS(Applications!$B$2:$B$293,A194,Applications!$W$2:$W$293,"Low",Applications!$X$2:$X$293,"")</f>
        <v>0</v>
      </c>
      <c r="Q194" s="2" t="n">
        <f aca="false">COUNTIFS(Applications!$B$2:$B$293,A194,Applications!$AH$2:$AH$293,"Past*")+COUNTIFS(Applications!$B$2:$B$293,A194,Applications!$AH$2:$AH$293,"No CIS*")</f>
        <v>0</v>
      </c>
      <c r="R194" s="2"/>
      <c r="S194" s="2" t="s">
        <v>124</v>
      </c>
      <c r="T194" s="2" t="str">
        <f aca="false">IF(OR(R194&lt;&gt;"",S194="Yes",P194&gt;0,Q194&gt;0),IF(U194="Yes","Resolved","Yes"),"No")</f>
        <v>No</v>
      </c>
      <c r="U194" s="7"/>
      <c r="V194" s="7"/>
    </row>
    <row r="195" customFormat="false" ht="15" hidden="false" customHeight="false" outlineLevel="0" collapsed="false">
      <c r="A195" s="2" t="s">
        <v>784</v>
      </c>
      <c r="B195" s="2" t="s">
        <v>648</v>
      </c>
      <c r="C195" s="2" t="s">
        <v>785</v>
      </c>
      <c r="D195" s="2" t="s">
        <v>786</v>
      </c>
      <c r="E195" s="2" t="s">
        <v>139</v>
      </c>
      <c r="F195" s="2" t="n">
        <v>52.654388562726</v>
      </c>
      <c r="G195" s="2" t="n">
        <v>-8.63634751635242</v>
      </c>
      <c r="H195" s="2" t="s">
        <v>700</v>
      </c>
      <c r="I195" s="2" t="n">
        <f aca="false">COUNTIF(Applications!$B$2:$B$293,A195)</f>
        <v>1</v>
      </c>
      <c r="J195" s="2" t="n">
        <f aca="false">COUNTIFS(Applications!$B$2:$B$293,A195,Applications!$Z$2:$Z$293,"Yes")</f>
        <v>0</v>
      </c>
      <c r="K195" s="10" t="n">
        <f aca="false">SUMIFS(Applications!$AI$2:$AI$293,Applications!$B$2:$B$293,A195)</f>
        <v>0</v>
      </c>
      <c r="L195" s="10" t="n">
        <f aca="false">SUMIFS(Applications!$AL$2:$AL$293,Applications!$B$2:$B$293,A195)</f>
        <v>0</v>
      </c>
      <c r="M195" s="10" t="n">
        <f aca="false">SUMIFS(Applications!$AM$2:$AM$293,Applications!$B$2:$B$293,A195)</f>
        <v>0</v>
      </c>
      <c r="N195" s="10" t="n">
        <f aca="false">SUMIFS(Applications!$AK$2:$AK$293,Applications!$B$2:$B$293,A195)</f>
        <v>0</v>
      </c>
      <c r="O195" s="2" t="n">
        <f aca="false">I195-J195</f>
        <v>1</v>
      </c>
      <c r="P195" s="2" t="n">
        <f aca="false">COUNTIFS(Applications!$B$2:$B$293,A195,Applications!$W$2:$W$293,"Low",Applications!$X$2:$X$293,"")</f>
        <v>0</v>
      </c>
      <c r="Q195" s="2" t="n">
        <f aca="false">COUNTIFS(Applications!$B$2:$B$293,A195,Applications!$AH$2:$AH$293,"Past*")+COUNTIFS(Applications!$B$2:$B$293,A195,Applications!$AH$2:$AH$293,"No CIS*")</f>
        <v>0</v>
      </c>
      <c r="R195" s="2"/>
      <c r="S195" s="2" t="s">
        <v>124</v>
      </c>
      <c r="T195" s="2" t="str">
        <f aca="false">IF(OR(R195&lt;&gt;"",S195="Yes",P195&gt;0,Q195&gt;0),IF(U195="Yes","Resolved","Yes"),"No")</f>
        <v>No</v>
      </c>
      <c r="U195" s="7"/>
      <c r="V195" s="7"/>
    </row>
    <row r="196" customFormat="false" ht="15" hidden="false" customHeight="false" outlineLevel="0" collapsed="false">
      <c r="A196" s="2" t="s">
        <v>787</v>
      </c>
      <c r="B196" s="2" t="s">
        <v>648</v>
      </c>
      <c r="C196" s="2" t="s">
        <v>788</v>
      </c>
      <c r="D196" s="2" t="s">
        <v>789</v>
      </c>
      <c r="E196" s="2" t="s">
        <v>141</v>
      </c>
      <c r="F196" s="2" t="n">
        <v>52.4526059408511</v>
      </c>
      <c r="G196" s="2" t="n">
        <v>-9.058376774059</v>
      </c>
      <c r="H196" s="2" t="s">
        <v>668</v>
      </c>
      <c r="I196" s="2" t="n">
        <f aca="false">COUNTIF(Applications!$B$2:$B$293,A196)</f>
        <v>1</v>
      </c>
      <c r="J196" s="2" t="n">
        <f aca="false">COUNTIFS(Applications!$B$2:$B$293,A196,Applications!$Z$2:$Z$293,"Yes")</f>
        <v>1</v>
      </c>
      <c r="K196" s="10" t="n">
        <f aca="false">SUMIFS(Applications!$AI$2:$AI$293,Applications!$B$2:$B$293,A196)</f>
        <v>10</v>
      </c>
      <c r="L196" s="10" t="n">
        <f aca="false">SUMIFS(Applications!$AL$2:$AL$293,Applications!$B$2:$B$293,A196)</f>
        <v>10</v>
      </c>
      <c r="M196" s="10" t="n">
        <f aca="false">SUMIFS(Applications!$AM$2:$AM$293,Applications!$B$2:$B$293,A196)</f>
        <v>0</v>
      </c>
      <c r="N196" s="10" t="n">
        <f aca="false">SUMIFS(Applications!$AK$2:$AK$293,Applications!$B$2:$B$293,A196)</f>
        <v>0</v>
      </c>
      <c r="O196" s="2" t="n">
        <f aca="false">I196-J196</f>
        <v>0</v>
      </c>
      <c r="P196" s="2" t="n">
        <f aca="false">COUNTIFS(Applications!$B$2:$B$293,A196,Applications!$W$2:$W$293,"Low",Applications!$X$2:$X$293,"")</f>
        <v>0</v>
      </c>
      <c r="Q196" s="2" t="n">
        <f aca="false">COUNTIFS(Applications!$B$2:$B$293,A196,Applications!$AH$2:$AH$293,"Past*")+COUNTIFS(Applications!$B$2:$B$293,A196,Applications!$AH$2:$AH$293,"No CIS*")</f>
        <v>0</v>
      </c>
      <c r="R196" s="2"/>
      <c r="S196" s="2" t="s">
        <v>124</v>
      </c>
      <c r="T196" s="2" t="str">
        <f aca="false">IF(OR(R196&lt;&gt;"",S196="Yes",P196&gt;0,Q196&gt;0),IF(U196="Yes","Resolved","Yes"),"No")</f>
        <v>No</v>
      </c>
      <c r="U196" s="7"/>
      <c r="V196" s="7"/>
    </row>
    <row r="197" customFormat="false" ht="15" hidden="false" customHeight="false" outlineLevel="0" collapsed="false">
      <c r="A197" s="2" t="s">
        <v>790</v>
      </c>
      <c r="B197" s="2" t="s">
        <v>648</v>
      </c>
      <c r="C197" s="2" t="s">
        <v>791</v>
      </c>
      <c r="D197" s="2" t="s">
        <v>792</v>
      </c>
      <c r="E197" s="2" t="s">
        <v>139</v>
      </c>
      <c r="F197" s="2" t="n">
        <v>52.6667558786056</v>
      </c>
      <c r="G197" s="2" t="n">
        <v>-8.62044330350171</v>
      </c>
      <c r="H197" s="2" t="s">
        <v>700</v>
      </c>
      <c r="I197" s="2" t="n">
        <f aca="false">COUNTIF(Applications!$B$2:$B$293,A197)</f>
        <v>1</v>
      </c>
      <c r="J197" s="2" t="n">
        <f aca="false">COUNTIFS(Applications!$B$2:$B$293,A197,Applications!$Z$2:$Z$293,"Yes")</f>
        <v>0</v>
      </c>
      <c r="K197" s="10" t="n">
        <f aca="false">SUMIFS(Applications!$AI$2:$AI$293,Applications!$B$2:$B$293,A197)</f>
        <v>0</v>
      </c>
      <c r="L197" s="10" t="n">
        <f aca="false">SUMIFS(Applications!$AL$2:$AL$293,Applications!$B$2:$B$293,A197)</f>
        <v>0</v>
      </c>
      <c r="M197" s="10" t="n">
        <f aca="false">SUMIFS(Applications!$AM$2:$AM$293,Applications!$B$2:$B$293,A197)</f>
        <v>0</v>
      </c>
      <c r="N197" s="10" t="n">
        <f aca="false">SUMIFS(Applications!$AK$2:$AK$293,Applications!$B$2:$B$293,A197)</f>
        <v>0</v>
      </c>
      <c r="O197" s="2" t="n">
        <f aca="false">I197-J197</f>
        <v>1</v>
      </c>
      <c r="P197" s="2" t="n">
        <f aca="false">COUNTIFS(Applications!$B$2:$B$293,A197,Applications!$W$2:$W$293,"Low",Applications!$X$2:$X$293,"")</f>
        <v>0</v>
      </c>
      <c r="Q197" s="2" t="n">
        <f aca="false">COUNTIFS(Applications!$B$2:$B$293,A197,Applications!$AH$2:$AH$293,"Past*")+COUNTIFS(Applications!$B$2:$B$293,A197,Applications!$AH$2:$AH$293,"No CIS*")</f>
        <v>0</v>
      </c>
      <c r="R197" s="2" t="s">
        <v>793</v>
      </c>
      <c r="S197" s="2" t="s">
        <v>124</v>
      </c>
      <c r="T197" s="2" t="str">
        <f aca="false">IF(OR(R197&lt;&gt;"",S197="Yes",P197&gt;0,Q197&gt;0),IF(U197="Yes","Resolved","Yes"),"No")</f>
        <v>Yes</v>
      </c>
      <c r="U197" s="7"/>
      <c r="V197" s="7"/>
    </row>
    <row r="198" customFormat="false" ht="15" hidden="false" customHeight="false" outlineLevel="0" collapsed="false">
      <c r="A198" s="2" t="s">
        <v>794</v>
      </c>
      <c r="B198" s="2" t="s">
        <v>648</v>
      </c>
      <c r="C198" s="2" t="s">
        <v>795</v>
      </c>
      <c r="D198" s="2" t="s">
        <v>796</v>
      </c>
      <c r="E198" s="2" t="s">
        <v>139</v>
      </c>
      <c r="F198" s="2" t="n">
        <v>52.6670534939026</v>
      </c>
      <c r="G198" s="2" t="n">
        <v>-8.6203801282896</v>
      </c>
      <c r="H198" s="2" t="s">
        <v>700</v>
      </c>
      <c r="I198" s="2" t="n">
        <f aca="false">COUNTIF(Applications!$B$2:$B$293,A198)</f>
        <v>1</v>
      </c>
      <c r="J198" s="2" t="n">
        <f aca="false">COUNTIFS(Applications!$B$2:$B$293,A198,Applications!$Z$2:$Z$293,"Yes")</f>
        <v>1</v>
      </c>
      <c r="K198" s="10" t="n">
        <f aca="false">SUMIFS(Applications!$AI$2:$AI$293,Applications!$B$2:$B$293,A198)</f>
        <v>30</v>
      </c>
      <c r="L198" s="10" t="n">
        <f aca="false">SUMIFS(Applications!$AL$2:$AL$293,Applications!$B$2:$B$293,A198)</f>
        <v>30</v>
      </c>
      <c r="M198" s="10" t="n">
        <f aca="false">SUMIFS(Applications!$AM$2:$AM$293,Applications!$B$2:$B$293,A198)</f>
        <v>0</v>
      </c>
      <c r="N198" s="10" t="n">
        <f aca="false">SUMIFS(Applications!$AK$2:$AK$293,Applications!$B$2:$B$293,A198)</f>
        <v>0</v>
      </c>
      <c r="O198" s="2" t="n">
        <f aca="false">I198-J198</f>
        <v>0</v>
      </c>
      <c r="P198" s="2" t="n">
        <f aca="false">COUNTIFS(Applications!$B$2:$B$293,A198,Applications!$W$2:$W$293,"Low",Applications!$X$2:$X$293,"")</f>
        <v>1</v>
      </c>
      <c r="Q198" s="2" t="n">
        <f aca="false">COUNTIFS(Applications!$B$2:$B$293,A198,Applications!$AH$2:$AH$293,"Past*")+COUNTIFS(Applications!$B$2:$B$293,A198,Applications!$AH$2:$AH$293,"No CIS*")</f>
        <v>0</v>
      </c>
      <c r="R198" s="2" t="s">
        <v>797</v>
      </c>
      <c r="S198" s="2" t="s">
        <v>124</v>
      </c>
      <c r="T198" s="2" t="str">
        <f aca="false">IF(OR(R198&lt;&gt;"",S198="Yes",P198&gt;0,Q198&gt;0),IF(U198="Yes","Resolved","Yes"),"No")</f>
        <v>Yes</v>
      </c>
      <c r="U198" s="7"/>
      <c r="V198" s="7"/>
    </row>
    <row r="199" customFormat="false" ht="15" hidden="false" customHeight="false" outlineLevel="0" collapsed="false">
      <c r="A199" s="2" t="s">
        <v>798</v>
      </c>
      <c r="B199" s="2" t="s">
        <v>648</v>
      </c>
      <c r="C199" s="2" t="s">
        <v>799</v>
      </c>
      <c r="D199" s="2" t="s">
        <v>800</v>
      </c>
      <c r="E199" s="2" t="s">
        <v>138</v>
      </c>
      <c r="F199" s="2" t="n">
        <v>52.6489066537853</v>
      </c>
      <c r="G199" s="2" t="n">
        <v>-8.5979346611748</v>
      </c>
      <c r="H199" s="2" t="s">
        <v>700</v>
      </c>
      <c r="I199" s="2" t="n">
        <f aca="false">COUNTIF(Applications!$B$2:$B$293,A199)</f>
        <v>1</v>
      </c>
      <c r="J199" s="2" t="n">
        <f aca="false">COUNTIFS(Applications!$B$2:$B$293,A199,Applications!$Z$2:$Z$293,"Yes")</f>
        <v>1</v>
      </c>
      <c r="K199" s="10" t="n">
        <f aca="false">SUMIFS(Applications!$AI$2:$AI$293,Applications!$B$2:$B$293,A199)</f>
        <v>12</v>
      </c>
      <c r="L199" s="10" t="n">
        <f aca="false">SUMIFS(Applications!$AL$2:$AL$293,Applications!$B$2:$B$293,A199)</f>
        <v>12</v>
      </c>
      <c r="M199" s="10" t="n">
        <f aca="false">SUMIFS(Applications!$AM$2:$AM$293,Applications!$B$2:$B$293,A199)</f>
        <v>0</v>
      </c>
      <c r="N199" s="10" t="n">
        <f aca="false">SUMIFS(Applications!$AK$2:$AK$293,Applications!$B$2:$B$293,A199)</f>
        <v>0</v>
      </c>
      <c r="O199" s="2" t="n">
        <f aca="false">I199-J199</f>
        <v>0</v>
      </c>
      <c r="P199" s="2" t="n">
        <f aca="false">COUNTIFS(Applications!$B$2:$B$293,A199,Applications!$W$2:$W$293,"Low",Applications!$X$2:$X$293,"")</f>
        <v>0</v>
      </c>
      <c r="Q199" s="2" t="n">
        <f aca="false">COUNTIFS(Applications!$B$2:$B$293,A199,Applications!$AH$2:$AH$293,"Past*")+COUNTIFS(Applications!$B$2:$B$293,A199,Applications!$AH$2:$AH$293,"No CIS*")</f>
        <v>0</v>
      </c>
      <c r="R199" s="2"/>
      <c r="S199" s="2" t="s">
        <v>124</v>
      </c>
      <c r="T199" s="2" t="str">
        <f aca="false">IF(OR(R199&lt;&gt;"",S199="Yes",P199&gt;0,Q199&gt;0),IF(U199="Yes","Resolved","Yes"),"No")</f>
        <v>No</v>
      </c>
      <c r="U199" s="7"/>
      <c r="V199" s="7"/>
    </row>
    <row r="200" customFormat="false" ht="15" hidden="false" customHeight="false" outlineLevel="0" collapsed="false">
      <c r="A200" s="2" t="s">
        <v>801</v>
      </c>
      <c r="B200" s="2" t="s">
        <v>648</v>
      </c>
      <c r="C200" s="2" t="s">
        <v>802</v>
      </c>
      <c r="D200" s="2" t="s">
        <v>803</v>
      </c>
      <c r="E200" s="2" t="s">
        <v>139</v>
      </c>
      <c r="F200" s="2" t="n">
        <v>52.647253841624</v>
      </c>
      <c r="G200" s="2" t="n">
        <v>-8.62220029178879</v>
      </c>
      <c r="H200" s="2" t="s">
        <v>700</v>
      </c>
      <c r="I200" s="2" t="n">
        <f aca="false">COUNTIF(Applications!$B$2:$B$293,A200)</f>
        <v>1</v>
      </c>
      <c r="J200" s="2" t="n">
        <f aca="false">COUNTIFS(Applications!$B$2:$B$293,A200,Applications!$Z$2:$Z$293,"Yes")</f>
        <v>1</v>
      </c>
      <c r="K200" s="10" t="n">
        <f aca="false">SUMIFS(Applications!$AI$2:$AI$293,Applications!$B$2:$B$293,A200)</f>
        <v>57</v>
      </c>
      <c r="L200" s="10" t="n">
        <f aca="false">SUMIFS(Applications!$AL$2:$AL$293,Applications!$B$2:$B$293,A200)</f>
        <v>57</v>
      </c>
      <c r="M200" s="10" t="n">
        <f aca="false">SUMIFS(Applications!$AM$2:$AM$293,Applications!$B$2:$B$293,A200)</f>
        <v>0</v>
      </c>
      <c r="N200" s="10" t="n">
        <f aca="false">SUMIFS(Applications!$AK$2:$AK$293,Applications!$B$2:$B$293,A200)</f>
        <v>0</v>
      </c>
      <c r="O200" s="2" t="n">
        <f aca="false">I200-J200</f>
        <v>0</v>
      </c>
      <c r="P200" s="2" t="n">
        <f aca="false">COUNTIFS(Applications!$B$2:$B$293,A200,Applications!$W$2:$W$293,"Low",Applications!$X$2:$X$293,"")</f>
        <v>0</v>
      </c>
      <c r="Q200" s="2" t="n">
        <f aca="false">COUNTIFS(Applications!$B$2:$B$293,A200,Applications!$AH$2:$AH$293,"Past*")+COUNTIFS(Applications!$B$2:$B$293,A200,Applications!$AH$2:$AH$293,"No CIS*")</f>
        <v>0</v>
      </c>
      <c r="R200" s="2"/>
      <c r="S200" s="2" t="s">
        <v>124</v>
      </c>
      <c r="T200" s="2" t="str">
        <f aca="false">IF(OR(R200&lt;&gt;"",S200="Yes",P200&gt;0,Q200&gt;0),IF(U200="Yes","Resolved","Yes"),"No")</f>
        <v>No</v>
      </c>
      <c r="U200" s="7"/>
      <c r="V200" s="7"/>
    </row>
    <row r="201" customFormat="false" ht="15" hidden="false" customHeight="false" outlineLevel="0" collapsed="false">
      <c r="A201" s="2" t="s">
        <v>804</v>
      </c>
      <c r="B201" s="2" t="s">
        <v>648</v>
      </c>
      <c r="C201" s="2" t="s">
        <v>805</v>
      </c>
      <c r="D201" s="2" t="s">
        <v>806</v>
      </c>
      <c r="E201" s="2" t="s">
        <v>141</v>
      </c>
      <c r="F201" s="2" t="n">
        <v>52.4406271942774</v>
      </c>
      <c r="G201" s="2" t="n">
        <v>-9.04790939536832</v>
      </c>
      <c r="H201" s="2" t="s">
        <v>700</v>
      </c>
      <c r="I201" s="2" t="n">
        <f aca="false">COUNTIF(Applications!$B$2:$B$293,A201)</f>
        <v>1</v>
      </c>
      <c r="J201" s="2" t="n">
        <f aca="false">COUNTIFS(Applications!$B$2:$B$293,A201,Applications!$Z$2:$Z$293,"Yes")</f>
        <v>0</v>
      </c>
      <c r="K201" s="10" t="n">
        <f aca="false">SUMIFS(Applications!$AI$2:$AI$293,Applications!$B$2:$B$293,A201)</f>
        <v>0</v>
      </c>
      <c r="L201" s="10" t="n">
        <f aca="false">SUMIFS(Applications!$AL$2:$AL$293,Applications!$B$2:$B$293,A201)</f>
        <v>0</v>
      </c>
      <c r="M201" s="10" t="n">
        <f aca="false">SUMIFS(Applications!$AM$2:$AM$293,Applications!$B$2:$B$293,A201)</f>
        <v>0</v>
      </c>
      <c r="N201" s="10" t="n">
        <f aca="false">SUMIFS(Applications!$AK$2:$AK$293,Applications!$B$2:$B$293,A201)</f>
        <v>0</v>
      </c>
      <c r="O201" s="2" t="n">
        <f aca="false">I201-J201</f>
        <v>1</v>
      </c>
      <c r="P201" s="2" t="n">
        <f aca="false">COUNTIFS(Applications!$B$2:$B$293,A201,Applications!$W$2:$W$293,"Low",Applications!$X$2:$X$293,"")</f>
        <v>0</v>
      </c>
      <c r="Q201" s="2" t="n">
        <f aca="false">COUNTIFS(Applications!$B$2:$B$293,A201,Applications!$AH$2:$AH$293,"Past*")+COUNTIFS(Applications!$B$2:$B$293,A201,Applications!$AH$2:$AH$293,"No CIS*")</f>
        <v>0</v>
      </c>
      <c r="R201" s="2"/>
      <c r="S201" s="2" t="s">
        <v>124</v>
      </c>
      <c r="T201" s="2" t="str">
        <f aca="false">IF(OR(R201&lt;&gt;"",S201="Yes",P201&gt;0,Q201&gt;0),IF(U201="Yes","Resolved","Yes"),"No")</f>
        <v>No</v>
      </c>
      <c r="U201" s="7"/>
      <c r="V201" s="7"/>
    </row>
    <row r="202" customFormat="false" ht="15" hidden="false" customHeight="false" outlineLevel="0" collapsed="false">
      <c r="A202" s="2" t="s">
        <v>807</v>
      </c>
      <c r="B202" s="2" t="s">
        <v>648</v>
      </c>
      <c r="C202" s="2" t="s">
        <v>808</v>
      </c>
      <c r="D202" s="2" t="s">
        <v>809</v>
      </c>
      <c r="E202" s="2" t="s">
        <v>144</v>
      </c>
      <c r="F202" s="2" t="n">
        <v>52.390146448753</v>
      </c>
      <c r="G202" s="2" t="n">
        <v>-8.87956639372565</v>
      </c>
      <c r="H202" s="2" t="s">
        <v>700</v>
      </c>
      <c r="I202" s="2" t="n">
        <f aca="false">COUNTIF(Applications!$B$2:$B$293,A202)</f>
        <v>1</v>
      </c>
      <c r="J202" s="2" t="n">
        <f aca="false">COUNTIFS(Applications!$B$2:$B$293,A202,Applications!$Z$2:$Z$293,"Yes")</f>
        <v>1</v>
      </c>
      <c r="K202" s="10" t="n">
        <f aca="false">SUMIFS(Applications!$AI$2:$AI$293,Applications!$B$2:$B$293,A202)</f>
        <v>8</v>
      </c>
      <c r="L202" s="10" t="n">
        <f aca="false">SUMIFS(Applications!$AL$2:$AL$293,Applications!$B$2:$B$293,A202)</f>
        <v>8</v>
      </c>
      <c r="M202" s="10" t="n">
        <f aca="false">SUMIFS(Applications!$AM$2:$AM$293,Applications!$B$2:$B$293,A202)</f>
        <v>0</v>
      </c>
      <c r="N202" s="10" t="n">
        <f aca="false">SUMIFS(Applications!$AK$2:$AK$293,Applications!$B$2:$B$293,A202)</f>
        <v>0</v>
      </c>
      <c r="O202" s="2" t="n">
        <f aca="false">I202-J202</f>
        <v>0</v>
      </c>
      <c r="P202" s="2" t="n">
        <f aca="false">COUNTIFS(Applications!$B$2:$B$293,A202,Applications!$W$2:$W$293,"Low",Applications!$X$2:$X$293,"")</f>
        <v>0</v>
      </c>
      <c r="Q202" s="2" t="n">
        <f aca="false">COUNTIFS(Applications!$B$2:$B$293,A202,Applications!$AH$2:$AH$293,"Past*")+COUNTIFS(Applications!$B$2:$B$293,A202,Applications!$AH$2:$AH$293,"No CIS*")</f>
        <v>0</v>
      </c>
      <c r="R202" s="2"/>
      <c r="S202" s="2" t="s">
        <v>124</v>
      </c>
      <c r="T202" s="2" t="str">
        <f aca="false">IF(OR(R202&lt;&gt;"",S202="Yes",P202&gt;0,Q202&gt;0),IF(U202="Yes","Resolved","Yes"),"No")</f>
        <v>No</v>
      </c>
      <c r="U202" s="7"/>
      <c r="V202" s="7"/>
    </row>
    <row r="203" customFormat="false" ht="15" hidden="false" customHeight="false" outlineLevel="0" collapsed="false">
      <c r="A203" s="2" t="s">
        <v>810</v>
      </c>
      <c r="B203" s="2" t="s">
        <v>648</v>
      </c>
      <c r="C203" s="2" t="s">
        <v>811</v>
      </c>
      <c r="D203" s="2" t="s">
        <v>812</v>
      </c>
      <c r="E203" s="2" t="s">
        <v>132</v>
      </c>
      <c r="F203" s="2" t="n">
        <v>52.5568570307926</v>
      </c>
      <c r="G203" s="2" t="n">
        <v>-8.79550109649527</v>
      </c>
      <c r="H203" s="2" t="s">
        <v>700</v>
      </c>
      <c r="I203" s="2" t="n">
        <f aca="false">COUNTIF(Applications!$B$2:$B$293,A203)</f>
        <v>1</v>
      </c>
      <c r="J203" s="2" t="n">
        <f aca="false">COUNTIFS(Applications!$B$2:$B$293,A203,Applications!$Z$2:$Z$293,"Yes")</f>
        <v>0</v>
      </c>
      <c r="K203" s="10" t="n">
        <f aca="false">SUMIFS(Applications!$AI$2:$AI$293,Applications!$B$2:$B$293,A203)</f>
        <v>0</v>
      </c>
      <c r="L203" s="10" t="n">
        <f aca="false">SUMIFS(Applications!$AL$2:$AL$293,Applications!$B$2:$B$293,A203)</f>
        <v>0</v>
      </c>
      <c r="M203" s="10" t="n">
        <f aca="false">SUMIFS(Applications!$AM$2:$AM$293,Applications!$B$2:$B$293,A203)</f>
        <v>0</v>
      </c>
      <c r="N203" s="10" t="n">
        <f aca="false">SUMIFS(Applications!$AK$2:$AK$293,Applications!$B$2:$B$293,A203)</f>
        <v>0</v>
      </c>
      <c r="O203" s="2" t="n">
        <f aca="false">I203-J203</f>
        <v>1</v>
      </c>
      <c r="P203" s="2" t="n">
        <f aca="false">COUNTIFS(Applications!$B$2:$B$293,A203,Applications!$W$2:$W$293,"Low",Applications!$X$2:$X$293,"")</f>
        <v>0</v>
      </c>
      <c r="Q203" s="2" t="n">
        <f aca="false">COUNTIFS(Applications!$B$2:$B$293,A203,Applications!$AH$2:$AH$293,"Past*")+COUNTIFS(Applications!$B$2:$B$293,A203,Applications!$AH$2:$AH$293,"No CIS*")</f>
        <v>0</v>
      </c>
      <c r="R203" s="2"/>
      <c r="S203" s="2" t="s">
        <v>124</v>
      </c>
      <c r="T203" s="2" t="str">
        <f aca="false">IF(OR(R203&lt;&gt;"",S203="Yes",P203&gt;0,Q203&gt;0),IF(U203="Yes","Resolved","Yes"),"No")</f>
        <v>No</v>
      </c>
      <c r="U203" s="7"/>
      <c r="V203" s="7"/>
    </row>
    <row r="204" customFormat="false" ht="15" hidden="false" customHeight="false" outlineLevel="0" collapsed="false">
      <c r="A204" s="2" t="s">
        <v>813</v>
      </c>
      <c r="B204" s="2" t="s">
        <v>648</v>
      </c>
      <c r="C204" s="2" t="s">
        <v>814</v>
      </c>
      <c r="D204" s="2" t="s">
        <v>671</v>
      </c>
      <c r="E204" s="2" t="s">
        <v>131</v>
      </c>
      <c r="F204" s="2" t="n">
        <v>52.3821287452019</v>
      </c>
      <c r="G204" s="2" t="n">
        <v>-9.29838414378331</v>
      </c>
      <c r="H204" s="2" t="s">
        <v>700</v>
      </c>
      <c r="I204" s="2" t="n">
        <f aca="false">COUNTIF(Applications!$B$2:$B$293,A204)</f>
        <v>1</v>
      </c>
      <c r="J204" s="2" t="n">
        <f aca="false">COUNTIFS(Applications!$B$2:$B$293,A204,Applications!$Z$2:$Z$293,"Yes")</f>
        <v>1</v>
      </c>
      <c r="K204" s="10" t="n">
        <f aca="false">SUMIFS(Applications!$AI$2:$AI$293,Applications!$B$2:$B$293,A204)</f>
        <v>48</v>
      </c>
      <c r="L204" s="10" t="n">
        <f aca="false">SUMIFS(Applications!$AL$2:$AL$293,Applications!$B$2:$B$293,A204)</f>
        <v>48</v>
      </c>
      <c r="M204" s="10" t="n">
        <f aca="false">SUMIFS(Applications!$AM$2:$AM$293,Applications!$B$2:$B$293,A204)</f>
        <v>0</v>
      </c>
      <c r="N204" s="10" t="n">
        <f aca="false">SUMIFS(Applications!$AK$2:$AK$293,Applications!$B$2:$B$293,A204)</f>
        <v>0</v>
      </c>
      <c r="O204" s="2" t="n">
        <f aca="false">I204-J204</f>
        <v>0</v>
      </c>
      <c r="P204" s="2" t="n">
        <f aca="false">COUNTIFS(Applications!$B$2:$B$293,A204,Applications!$W$2:$W$293,"Low",Applications!$X$2:$X$293,"")</f>
        <v>1</v>
      </c>
      <c r="Q204" s="2" t="n">
        <f aca="false">COUNTIFS(Applications!$B$2:$B$293,A204,Applications!$AH$2:$AH$293,"Past*")+COUNTIFS(Applications!$B$2:$B$293,A204,Applications!$AH$2:$AH$293,"No CIS*")</f>
        <v>0</v>
      </c>
      <c r="R204" s="2" t="s">
        <v>815</v>
      </c>
      <c r="S204" s="2" t="s">
        <v>124</v>
      </c>
      <c r="T204" s="2" t="str">
        <f aca="false">IF(OR(R204&lt;&gt;"",S204="Yes",P204&gt;0,Q204&gt;0),IF(U204="Yes","Resolved","Yes"),"No")</f>
        <v>Yes</v>
      </c>
      <c r="U204" s="7"/>
      <c r="V204" s="7"/>
    </row>
    <row r="205" customFormat="false" ht="15" hidden="false" customHeight="false" outlineLevel="0" collapsed="false">
      <c r="A205" s="2" t="s">
        <v>816</v>
      </c>
      <c r="B205" s="2" t="s">
        <v>648</v>
      </c>
      <c r="C205" s="2" t="s">
        <v>817</v>
      </c>
      <c r="D205" s="2" t="s">
        <v>818</v>
      </c>
      <c r="E205" s="2" t="s">
        <v>139</v>
      </c>
      <c r="F205" s="2" t="n">
        <v>52.67321896</v>
      </c>
      <c r="G205" s="2" t="n">
        <v>-8.6711213</v>
      </c>
      <c r="H205" s="2" t="s">
        <v>700</v>
      </c>
      <c r="I205" s="2" t="n">
        <f aca="false">COUNTIF(Applications!$B$2:$B$293,A205)</f>
        <v>1</v>
      </c>
      <c r="J205" s="2" t="n">
        <f aca="false">COUNTIFS(Applications!$B$2:$B$293,A205,Applications!$Z$2:$Z$293,"Yes")</f>
        <v>1</v>
      </c>
      <c r="K205" s="10" t="n">
        <f aca="false">SUMIFS(Applications!$AI$2:$AI$293,Applications!$B$2:$B$293,A205)</f>
        <v>6</v>
      </c>
      <c r="L205" s="10" t="n">
        <f aca="false">SUMIFS(Applications!$AL$2:$AL$293,Applications!$B$2:$B$293,A205)</f>
        <v>6</v>
      </c>
      <c r="M205" s="10" t="n">
        <f aca="false">SUMIFS(Applications!$AM$2:$AM$293,Applications!$B$2:$B$293,A205)</f>
        <v>0</v>
      </c>
      <c r="N205" s="10" t="n">
        <f aca="false">SUMIFS(Applications!$AK$2:$AK$293,Applications!$B$2:$B$293,A205)</f>
        <v>0</v>
      </c>
      <c r="O205" s="2" t="n">
        <f aca="false">I205-J205</f>
        <v>0</v>
      </c>
      <c r="P205" s="2" t="n">
        <f aca="false">COUNTIFS(Applications!$B$2:$B$293,A205,Applications!$W$2:$W$293,"Low",Applications!$X$2:$X$293,"")</f>
        <v>0</v>
      </c>
      <c r="Q205" s="2" t="n">
        <f aca="false">COUNTIFS(Applications!$B$2:$B$293,A205,Applications!$AH$2:$AH$293,"Past*")+COUNTIFS(Applications!$B$2:$B$293,A205,Applications!$AH$2:$AH$293,"No CIS*")</f>
        <v>0</v>
      </c>
      <c r="R205" s="2" t="s">
        <v>819</v>
      </c>
      <c r="S205" s="2" t="s">
        <v>124</v>
      </c>
      <c r="T205" s="2" t="str">
        <f aca="false">IF(OR(R205&lt;&gt;"",S205="Yes",P205&gt;0,Q205&gt;0),IF(U205="Yes","Resolved","Yes"),"No")</f>
        <v>Yes</v>
      </c>
      <c r="U205" s="7"/>
      <c r="V205" s="7"/>
    </row>
    <row r="206" customFormat="false" ht="15" hidden="false" customHeight="false" outlineLevel="0" collapsed="false">
      <c r="A206" s="2" t="s">
        <v>820</v>
      </c>
      <c r="B206" s="2" t="s">
        <v>648</v>
      </c>
      <c r="C206" s="2" t="s">
        <v>821</v>
      </c>
      <c r="D206" s="2" t="s">
        <v>822</v>
      </c>
      <c r="E206" s="2" t="s">
        <v>139</v>
      </c>
      <c r="F206" s="2" t="n">
        <v>52.68509014</v>
      </c>
      <c r="G206" s="2" t="n">
        <v>-8.6231185</v>
      </c>
      <c r="H206" s="2" t="s">
        <v>700</v>
      </c>
      <c r="I206" s="2" t="n">
        <f aca="false">COUNTIF(Applications!$B$2:$B$293,A206)</f>
        <v>1</v>
      </c>
      <c r="J206" s="2" t="n">
        <f aca="false">COUNTIFS(Applications!$B$2:$B$293,A206,Applications!$Z$2:$Z$293,"Yes")</f>
        <v>1</v>
      </c>
      <c r="K206" s="10" t="n">
        <f aca="false">SUMIFS(Applications!$AI$2:$AI$293,Applications!$B$2:$B$293,A206)</f>
        <v>6</v>
      </c>
      <c r="L206" s="10" t="n">
        <f aca="false">SUMIFS(Applications!$AL$2:$AL$293,Applications!$B$2:$B$293,A206)</f>
        <v>6</v>
      </c>
      <c r="M206" s="10" t="n">
        <f aca="false">SUMIFS(Applications!$AM$2:$AM$293,Applications!$B$2:$B$293,A206)</f>
        <v>0</v>
      </c>
      <c r="N206" s="10" t="n">
        <f aca="false">SUMIFS(Applications!$AK$2:$AK$293,Applications!$B$2:$B$293,A206)</f>
        <v>0</v>
      </c>
      <c r="O206" s="2" t="n">
        <f aca="false">I206-J206</f>
        <v>0</v>
      </c>
      <c r="P206" s="2" t="n">
        <f aca="false">COUNTIFS(Applications!$B$2:$B$293,A206,Applications!$W$2:$W$293,"Low",Applications!$X$2:$X$293,"")</f>
        <v>0</v>
      </c>
      <c r="Q206" s="2" t="n">
        <f aca="false">COUNTIFS(Applications!$B$2:$B$293,A206,Applications!$AH$2:$AH$293,"Past*")+COUNTIFS(Applications!$B$2:$B$293,A206,Applications!$AH$2:$AH$293,"No CIS*")</f>
        <v>0</v>
      </c>
      <c r="R206" s="2"/>
      <c r="S206" s="2" t="s">
        <v>124</v>
      </c>
      <c r="T206" s="2" t="str">
        <f aca="false">IF(OR(R206&lt;&gt;"",S206="Yes",P206&gt;0,Q206&gt;0),IF(U206="Yes","Resolved","Yes"),"No")</f>
        <v>No</v>
      </c>
      <c r="U206" s="7"/>
      <c r="V206" s="7"/>
    </row>
    <row r="207" customFormat="false" ht="15" hidden="false" customHeight="false" outlineLevel="0" collapsed="false">
      <c r="A207" s="2" t="s">
        <v>823</v>
      </c>
      <c r="B207" s="2" t="s">
        <v>648</v>
      </c>
      <c r="C207" s="2" t="s">
        <v>824</v>
      </c>
      <c r="D207" s="2" t="s">
        <v>825</v>
      </c>
      <c r="E207" s="2" t="s">
        <v>139</v>
      </c>
      <c r="F207" s="2" t="n">
        <v>52.673609</v>
      </c>
      <c r="G207" s="2" t="n">
        <v>-8.632195</v>
      </c>
      <c r="H207" s="2" t="s">
        <v>700</v>
      </c>
      <c r="I207" s="2" t="n">
        <f aca="false">COUNTIF(Applications!$B$2:$B$293,A207)</f>
        <v>1</v>
      </c>
      <c r="J207" s="2" t="n">
        <f aca="false">COUNTIFS(Applications!$B$2:$B$293,A207,Applications!$Z$2:$Z$293,"Yes")</f>
        <v>1</v>
      </c>
      <c r="K207" s="10" t="n">
        <f aca="false">SUMIFS(Applications!$AI$2:$AI$293,Applications!$B$2:$B$293,A207)</f>
        <v>13</v>
      </c>
      <c r="L207" s="10" t="n">
        <f aca="false">SUMIFS(Applications!$AL$2:$AL$293,Applications!$B$2:$B$293,A207)</f>
        <v>13</v>
      </c>
      <c r="M207" s="10" t="n">
        <f aca="false">SUMIFS(Applications!$AM$2:$AM$293,Applications!$B$2:$B$293,A207)</f>
        <v>0</v>
      </c>
      <c r="N207" s="10" t="n">
        <f aca="false">SUMIFS(Applications!$AK$2:$AK$293,Applications!$B$2:$B$293,A207)</f>
        <v>0</v>
      </c>
      <c r="O207" s="2" t="n">
        <f aca="false">I207-J207</f>
        <v>0</v>
      </c>
      <c r="P207" s="2" t="n">
        <f aca="false">COUNTIFS(Applications!$B$2:$B$293,A207,Applications!$W$2:$W$293,"Low",Applications!$X$2:$X$293,"")</f>
        <v>0</v>
      </c>
      <c r="Q207" s="2" t="n">
        <f aca="false">COUNTIFS(Applications!$B$2:$B$293,A207,Applications!$AH$2:$AH$293,"Past*")+COUNTIFS(Applications!$B$2:$B$293,A207,Applications!$AH$2:$AH$293,"No CIS*")</f>
        <v>0</v>
      </c>
      <c r="R207" s="2"/>
      <c r="S207" s="2" t="s">
        <v>124</v>
      </c>
      <c r="T207" s="2" t="str">
        <f aca="false">IF(OR(R207&lt;&gt;"",S207="Yes",P207&gt;0,Q207&gt;0),IF(U207="Yes","Resolved","Yes"),"No")</f>
        <v>No</v>
      </c>
      <c r="U207" s="7"/>
      <c r="V207" s="7"/>
    </row>
    <row r="208" customFormat="false" ht="15" hidden="false" customHeight="false" outlineLevel="0" collapsed="false">
      <c r="A208" s="2" t="s">
        <v>826</v>
      </c>
      <c r="B208" s="2" t="s">
        <v>648</v>
      </c>
      <c r="C208" s="2" t="s">
        <v>827</v>
      </c>
      <c r="D208" s="2" t="s">
        <v>828</v>
      </c>
      <c r="E208" s="2" t="s">
        <v>139</v>
      </c>
      <c r="F208" s="2" t="n">
        <v>52.67202987</v>
      </c>
      <c r="G208" s="2" t="n">
        <v>-8.63073582</v>
      </c>
      <c r="H208" s="2" t="s">
        <v>700</v>
      </c>
      <c r="I208" s="2" t="n">
        <f aca="false">COUNTIF(Applications!$B$2:$B$293,A208)</f>
        <v>1</v>
      </c>
      <c r="J208" s="2" t="n">
        <f aca="false">COUNTIFS(Applications!$B$2:$B$293,A208,Applications!$Z$2:$Z$293,"Yes")</f>
        <v>1</v>
      </c>
      <c r="K208" s="10" t="n">
        <f aca="false">SUMIFS(Applications!$AI$2:$AI$293,Applications!$B$2:$B$293,A208)</f>
        <v>13</v>
      </c>
      <c r="L208" s="10" t="n">
        <f aca="false">SUMIFS(Applications!$AL$2:$AL$293,Applications!$B$2:$B$293,A208)</f>
        <v>13</v>
      </c>
      <c r="M208" s="10" t="n">
        <f aca="false">SUMIFS(Applications!$AM$2:$AM$293,Applications!$B$2:$B$293,A208)</f>
        <v>0</v>
      </c>
      <c r="N208" s="10" t="n">
        <f aca="false">SUMIFS(Applications!$AK$2:$AK$293,Applications!$B$2:$B$293,A208)</f>
        <v>0</v>
      </c>
      <c r="O208" s="2" t="n">
        <f aca="false">I208-J208</f>
        <v>0</v>
      </c>
      <c r="P208" s="2" t="n">
        <f aca="false">COUNTIFS(Applications!$B$2:$B$293,A208,Applications!$W$2:$W$293,"Low",Applications!$X$2:$X$293,"")</f>
        <v>1</v>
      </c>
      <c r="Q208" s="2" t="n">
        <f aca="false">COUNTIFS(Applications!$B$2:$B$293,A208,Applications!$AH$2:$AH$293,"Past*")+COUNTIFS(Applications!$B$2:$B$293,A208,Applications!$AH$2:$AH$293,"No CIS*")</f>
        <v>0</v>
      </c>
      <c r="R208" s="2" t="s">
        <v>829</v>
      </c>
      <c r="S208" s="2" t="s">
        <v>124</v>
      </c>
      <c r="T208" s="2" t="str">
        <f aca="false">IF(OR(R208&lt;&gt;"",S208="Yes",P208&gt;0,Q208&gt;0),IF(U208="Yes","Resolved","Yes"),"No")</f>
        <v>Yes</v>
      </c>
      <c r="U208" s="7"/>
      <c r="V208" s="7"/>
    </row>
    <row r="209" customFormat="false" ht="15" hidden="false" customHeight="false" outlineLevel="0" collapsed="false">
      <c r="A209" s="2" t="s">
        <v>830</v>
      </c>
      <c r="B209" s="2" t="s">
        <v>648</v>
      </c>
      <c r="C209" s="2" t="s">
        <v>831</v>
      </c>
      <c r="D209" s="2" t="s">
        <v>832</v>
      </c>
      <c r="E209" s="2" t="s">
        <v>141</v>
      </c>
      <c r="F209" s="2" t="n">
        <v>52.4534651828913</v>
      </c>
      <c r="G209" s="2" t="n">
        <v>-9.05413128805592</v>
      </c>
      <c r="H209" s="2" t="s">
        <v>700</v>
      </c>
      <c r="I209" s="2" t="n">
        <f aca="false">COUNTIF(Applications!$B$2:$B$293,A209)</f>
        <v>1</v>
      </c>
      <c r="J209" s="2" t="n">
        <f aca="false">COUNTIFS(Applications!$B$2:$B$293,A209,Applications!$Z$2:$Z$293,"Yes")</f>
        <v>1</v>
      </c>
      <c r="K209" s="10" t="n">
        <f aca="false">SUMIFS(Applications!$AI$2:$AI$293,Applications!$B$2:$B$293,A209)</f>
        <v>30</v>
      </c>
      <c r="L209" s="10" t="n">
        <f aca="false">SUMIFS(Applications!$AL$2:$AL$293,Applications!$B$2:$B$293,A209)</f>
        <v>30</v>
      </c>
      <c r="M209" s="10" t="n">
        <f aca="false">SUMIFS(Applications!$AM$2:$AM$293,Applications!$B$2:$B$293,A209)</f>
        <v>0</v>
      </c>
      <c r="N209" s="10" t="n">
        <f aca="false">SUMIFS(Applications!$AK$2:$AK$293,Applications!$B$2:$B$293,A209)</f>
        <v>0</v>
      </c>
      <c r="O209" s="2" t="n">
        <f aca="false">I209-J209</f>
        <v>0</v>
      </c>
      <c r="P209" s="2" t="n">
        <f aca="false">COUNTIFS(Applications!$B$2:$B$293,A209,Applications!$W$2:$W$293,"Low",Applications!$X$2:$X$293,"")</f>
        <v>0</v>
      </c>
      <c r="Q209" s="2" t="n">
        <f aca="false">COUNTIFS(Applications!$B$2:$B$293,A209,Applications!$AH$2:$AH$293,"Past*")+COUNTIFS(Applications!$B$2:$B$293,A209,Applications!$AH$2:$AH$293,"No CIS*")</f>
        <v>0</v>
      </c>
      <c r="R209" s="2"/>
      <c r="S209" s="2" t="s">
        <v>124</v>
      </c>
      <c r="T209" s="2" t="str">
        <f aca="false">IF(OR(R209&lt;&gt;"",S209="Yes",P209&gt;0,Q209&gt;0),IF(U209="Yes","Resolved","Yes"),"No")</f>
        <v>No</v>
      </c>
      <c r="U209" s="7"/>
      <c r="V209" s="7"/>
    </row>
    <row r="210" customFormat="false" ht="15" hidden="false" customHeight="false" outlineLevel="0" collapsed="false">
      <c r="A210" s="2" t="s">
        <v>833</v>
      </c>
      <c r="B210" s="2" t="s">
        <v>648</v>
      </c>
      <c r="C210" s="2" t="s">
        <v>834</v>
      </c>
      <c r="D210" s="2" t="s">
        <v>835</v>
      </c>
      <c r="E210" s="2" t="s">
        <v>144</v>
      </c>
      <c r="F210" s="2" t="n">
        <v>52.4167882126718</v>
      </c>
      <c r="G210" s="2" t="n">
        <v>-8.66130328292176</v>
      </c>
      <c r="H210" s="2" t="s">
        <v>700</v>
      </c>
      <c r="I210" s="2" t="n">
        <f aca="false">COUNTIF(Applications!$B$2:$B$293,A210)</f>
        <v>1</v>
      </c>
      <c r="J210" s="2" t="n">
        <f aca="false">COUNTIFS(Applications!$B$2:$B$293,A210,Applications!$Z$2:$Z$293,"Yes")</f>
        <v>0</v>
      </c>
      <c r="K210" s="10" t="n">
        <f aca="false">SUMIFS(Applications!$AI$2:$AI$293,Applications!$B$2:$B$293,A210)</f>
        <v>0</v>
      </c>
      <c r="L210" s="10" t="n">
        <f aca="false">SUMIFS(Applications!$AL$2:$AL$293,Applications!$B$2:$B$293,A210)</f>
        <v>0</v>
      </c>
      <c r="M210" s="10" t="n">
        <f aca="false">SUMIFS(Applications!$AM$2:$AM$293,Applications!$B$2:$B$293,A210)</f>
        <v>0</v>
      </c>
      <c r="N210" s="10" t="n">
        <f aca="false">SUMIFS(Applications!$AK$2:$AK$293,Applications!$B$2:$B$293,A210)</f>
        <v>0</v>
      </c>
      <c r="O210" s="2" t="n">
        <f aca="false">I210-J210</f>
        <v>1</v>
      </c>
      <c r="P210" s="2" t="n">
        <f aca="false">COUNTIFS(Applications!$B$2:$B$293,A210,Applications!$W$2:$W$293,"Low",Applications!$X$2:$X$293,"")</f>
        <v>0</v>
      </c>
      <c r="Q210" s="2" t="n">
        <f aca="false">COUNTIFS(Applications!$B$2:$B$293,A210,Applications!$AH$2:$AH$293,"Past*")+COUNTIFS(Applications!$B$2:$B$293,A210,Applications!$AH$2:$AH$293,"No CIS*")</f>
        <v>0</v>
      </c>
      <c r="R210" s="2"/>
      <c r="S210" s="2" t="s">
        <v>124</v>
      </c>
      <c r="T210" s="2" t="str">
        <f aca="false">IF(OR(R210&lt;&gt;"",S210="Yes",P210&gt;0,Q210&gt;0),IF(U210="Yes","Resolved","Yes"),"No")</f>
        <v>No</v>
      </c>
      <c r="U210" s="7"/>
      <c r="V210" s="7"/>
    </row>
    <row r="211" customFormat="false" ht="15" hidden="false" customHeight="false" outlineLevel="0" collapsed="false">
      <c r="A211" s="2" t="s">
        <v>836</v>
      </c>
      <c r="B211" s="2" t="s">
        <v>648</v>
      </c>
      <c r="C211" s="2" t="s">
        <v>837</v>
      </c>
      <c r="D211" s="2" t="s">
        <v>838</v>
      </c>
      <c r="E211" s="2" t="s">
        <v>139</v>
      </c>
      <c r="F211" s="2" t="n">
        <v>52.6605725856049</v>
      </c>
      <c r="G211" s="2" t="n">
        <v>-8.62404086876357</v>
      </c>
      <c r="H211" s="2" t="s">
        <v>700</v>
      </c>
      <c r="I211" s="2" t="n">
        <f aca="false">COUNTIF(Applications!$B$2:$B$293,A211)</f>
        <v>1</v>
      </c>
      <c r="J211" s="2" t="n">
        <f aca="false">COUNTIFS(Applications!$B$2:$B$293,A211,Applications!$Z$2:$Z$293,"Yes")</f>
        <v>1</v>
      </c>
      <c r="K211" s="10" t="n">
        <f aca="false">SUMIFS(Applications!$AI$2:$AI$293,Applications!$B$2:$B$293,A211)</f>
        <v>4</v>
      </c>
      <c r="L211" s="10" t="n">
        <f aca="false">SUMIFS(Applications!$AL$2:$AL$293,Applications!$B$2:$B$293,A211)</f>
        <v>4</v>
      </c>
      <c r="M211" s="10" t="n">
        <f aca="false">SUMIFS(Applications!$AM$2:$AM$293,Applications!$B$2:$B$293,A211)</f>
        <v>0</v>
      </c>
      <c r="N211" s="10" t="n">
        <f aca="false">SUMIFS(Applications!$AK$2:$AK$293,Applications!$B$2:$B$293,A211)</f>
        <v>0</v>
      </c>
      <c r="O211" s="2" t="n">
        <f aca="false">I211-J211</f>
        <v>0</v>
      </c>
      <c r="P211" s="2" t="n">
        <f aca="false">COUNTIFS(Applications!$B$2:$B$293,A211,Applications!$W$2:$W$293,"Low",Applications!$X$2:$X$293,"")</f>
        <v>0</v>
      </c>
      <c r="Q211" s="2" t="n">
        <f aca="false">COUNTIFS(Applications!$B$2:$B$293,A211,Applications!$AH$2:$AH$293,"Past*")+COUNTIFS(Applications!$B$2:$B$293,A211,Applications!$AH$2:$AH$293,"No CIS*")</f>
        <v>0</v>
      </c>
      <c r="R211" s="2" t="s">
        <v>839</v>
      </c>
      <c r="S211" s="2" t="s">
        <v>124</v>
      </c>
      <c r="T211" s="2" t="str">
        <f aca="false">IF(OR(R211&lt;&gt;"",S211="Yes",P211&gt;0,Q211&gt;0),IF(U211="Yes","Resolved","Yes"),"No")</f>
        <v>Yes</v>
      </c>
      <c r="U211" s="7"/>
      <c r="V211" s="7"/>
    </row>
    <row r="212" customFormat="false" ht="15" hidden="false" customHeight="false" outlineLevel="0" collapsed="false">
      <c r="A212" s="2" t="s">
        <v>840</v>
      </c>
      <c r="B212" s="2" t="s">
        <v>648</v>
      </c>
      <c r="C212" s="2" t="s">
        <v>841</v>
      </c>
      <c r="D212" s="2" t="s">
        <v>842</v>
      </c>
      <c r="E212" s="2" t="s">
        <v>139</v>
      </c>
      <c r="F212" s="2" t="n">
        <v>52.6530226153334</v>
      </c>
      <c r="G212" s="2" t="n">
        <v>-8.56041691893919</v>
      </c>
      <c r="H212" s="2" t="s">
        <v>700</v>
      </c>
      <c r="I212" s="2" t="n">
        <f aca="false">COUNTIF(Applications!$B$2:$B$293,A212)</f>
        <v>1</v>
      </c>
      <c r="J212" s="2" t="n">
        <f aca="false">COUNTIFS(Applications!$B$2:$B$293,A212,Applications!$Z$2:$Z$293,"Yes")</f>
        <v>0</v>
      </c>
      <c r="K212" s="10" t="n">
        <f aca="false">SUMIFS(Applications!$AI$2:$AI$293,Applications!$B$2:$B$293,A212)</f>
        <v>0</v>
      </c>
      <c r="L212" s="10" t="n">
        <f aca="false">SUMIFS(Applications!$AL$2:$AL$293,Applications!$B$2:$B$293,A212)</f>
        <v>0</v>
      </c>
      <c r="M212" s="10" t="n">
        <f aca="false">SUMIFS(Applications!$AM$2:$AM$293,Applications!$B$2:$B$293,A212)</f>
        <v>0</v>
      </c>
      <c r="N212" s="10" t="n">
        <f aca="false">SUMIFS(Applications!$AK$2:$AK$293,Applications!$B$2:$B$293,A212)</f>
        <v>0</v>
      </c>
      <c r="O212" s="2" t="n">
        <f aca="false">I212-J212</f>
        <v>1</v>
      </c>
      <c r="P212" s="2" t="n">
        <f aca="false">COUNTIFS(Applications!$B$2:$B$293,A212,Applications!$W$2:$W$293,"Low",Applications!$X$2:$X$293,"")</f>
        <v>0</v>
      </c>
      <c r="Q212" s="2" t="n">
        <f aca="false">COUNTIFS(Applications!$B$2:$B$293,A212,Applications!$AH$2:$AH$293,"Past*")+COUNTIFS(Applications!$B$2:$B$293,A212,Applications!$AH$2:$AH$293,"No CIS*")</f>
        <v>0</v>
      </c>
      <c r="R212" s="2" t="s">
        <v>843</v>
      </c>
      <c r="S212" s="2" t="s">
        <v>124</v>
      </c>
      <c r="T212" s="2" t="str">
        <f aca="false">IF(OR(R212&lt;&gt;"",S212="Yes",P212&gt;0,Q212&gt;0),IF(U212="Yes","Resolved","Yes"),"No")</f>
        <v>Yes</v>
      </c>
      <c r="U212" s="7"/>
      <c r="V212" s="7"/>
    </row>
    <row r="213" customFormat="false" ht="15" hidden="false" customHeight="false" outlineLevel="0" collapsed="false">
      <c r="A213" s="2" t="s">
        <v>844</v>
      </c>
      <c r="B213" s="2" t="s">
        <v>648</v>
      </c>
      <c r="C213" s="2" t="s">
        <v>845</v>
      </c>
      <c r="D213" s="2" t="s">
        <v>846</v>
      </c>
      <c r="E213" s="2" t="s">
        <v>140</v>
      </c>
      <c r="F213" s="2" t="n">
        <v>52.6348816062314</v>
      </c>
      <c r="G213" s="2" t="n">
        <v>-8.6779096032375</v>
      </c>
      <c r="H213" s="2" t="s">
        <v>700</v>
      </c>
      <c r="I213" s="2" t="n">
        <f aca="false">COUNTIF(Applications!$B$2:$B$293,A213)</f>
        <v>1</v>
      </c>
      <c r="J213" s="2" t="n">
        <f aca="false">COUNTIFS(Applications!$B$2:$B$293,A213,Applications!$Z$2:$Z$293,"Yes")</f>
        <v>0</v>
      </c>
      <c r="K213" s="10" t="n">
        <f aca="false">SUMIFS(Applications!$AI$2:$AI$293,Applications!$B$2:$B$293,A213)</f>
        <v>0</v>
      </c>
      <c r="L213" s="10" t="n">
        <f aca="false">SUMIFS(Applications!$AL$2:$AL$293,Applications!$B$2:$B$293,A213)</f>
        <v>0</v>
      </c>
      <c r="M213" s="10" t="n">
        <f aca="false">SUMIFS(Applications!$AM$2:$AM$293,Applications!$B$2:$B$293,A213)</f>
        <v>0</v>
      </c>
      <c r="N213" s="10" t="n">
        <f aca="false">SUMIFS(Applications!$AK$2:$AK$293,Applications!$B$2:$B$293,A213)</f>
        <v>0</v>
      </c>
      <c r="O213" s="2" t="n">
        <f aca="false">I213-J213</f>
        <v>1</v>
      </c>
      <c r="P213" s="2" t="n">
        <f aca="false">COUNTIFS(Applications!$B$2:$B$293,A213,Applications!$W$2:$W$293,"Low",Applications!$X$2:$X$293,"")</f>
        <v>0</v>
      </c>
      <c r="Q213" s="2" t="n">
        <f aca="false">COUNTIFS(Applications!$B$2:$B$293,A213,Applications!$AH$2:$AH$293,"Past*")+COUNTIFS(Applications!$B$2:$B$293,A213,Applications!$AH$2:$AH$293,"No CIS*")</f>
        <v>0</v>
      </c>
      <c r="R213" s="2" t="s">
        <v>847</v>
      </c>
      <c r="S213" s="2" t="s">
        <v>124</v>
      </c>
      <c r="T213" s="2" t="str">
        <f aca="false">IF(OR(R213&lt;&gt;"",S213="Yes",P213&gt;0,Q213&gt;0),IF(U213="Yes","Resolved","Yes"),"No")</f>
        <v>Yes</v>
      </c>
      <c r="U213" s="7"/>
      <c r="V213" s="7"/>
    </row>
    <row r="214" customFormat="false" ht="15" hidden="false" customHeight="false" outlineLevel="0" collapsed="false">
      <c r="A214" s="2" t="s">
        <v>848</v>
      </c>
      <c r="B214" s="2" t="s">
        <v>648</v>
      </c>
      <c r="C214" s="2" t="s">
        <v>849</v>
      </c>
      <c r="D214" s="2" t="s">
        <v>850</v>
      </c>
      <c r="E214" s="2" t="s">
        <v>139</v>
      </c>
      <c r="F214" s="2" t="n">
        <v>52.6802431</v>
      </c>
      <c r="G214" s="2" t="n">
        <v>-8.6482002</v>
      </c>
      <c r="H214" s="2" t="s">
        <v>668</v>
      </c>
      <c r="I214" s="2" t="n">
        <f aca="false">COUNTIF(Applications!$B$2:$B$293,A214)</f>
        <v>1</v>
      </c>
      <c r="J214" s="2" t="n">
        <f aca="false">COUNTIFS(Applications!$B$2:$B$293,A214,Applications!$Z$2:$Z$293,"Yes")</f>
        <v>1</v>
      </c>
      <c r="K214" s="10" t="n">
        <f aca="false">SUMIFS(Applications!$AI$2:$AI$293,Applications!$B$2:$B$293,A214)</f>
        <v>0</v>
      </c>
      <c r="L214" s="10" t="n">
        <f aca="false">SUMIFS(Applications!$AL$2:$AL$293,Applications!$B$2:$B$293,A214)</f>
        <v>0</v>
      </c>
      <c r="M214" s="10" t="n">
        <f aca="false">SUMIFS(Applications!$AM$2:$AM$293,Applications!$B$2:$B$293,A214)</f>
        <v>0</v>
      </c>
      <c r="N214" s="10" t="n">
        <f aca="false">SUMIFS(Applications!$AK$2:$AK$293,Applications!$B$2:$B$293,A214)</f>
        <v>0</v>
      </c>
      <c r="O214" s="2" t="n">
        <f aca="false">I214-J214</f>
        <v>0</v>
      </c>
      <c r="P214" s="2" t="n">
        <f aca="false">COUNTIFS(Applications!$B$2:$B$293,A214,Applications!$W$2:$W$293,"Low",Applications!$X$2:$X$293,"")</f>
        <v>0</v>
      </c>
      <c r="Q214" s="2" t="n">
        <f aca="false">COUNTIFS(Applications!$B$2:$B$293,A214,Applications!$AH$2:$AH$293,"Past*")+COUNTIFS(Applications!$B$2:$B$293,A214,Applications!$AH$2:$AH$293,"No CIS*")</f>
        <v>0</v>
      </c>
      <c r="R214" s="2"/>
      <c r="S214" s="2" t="s">
        <v>124</v>
      </c>
      <c r="T214" s="2" t="str">
        <f aca="false">IF(OR(R214&lt;&gt;"",S214="Yes",P214&gt;0,Q214&gt;0),IF(U214="Yes","Resolved","Yes"),"No")</f>
        <v>No</v>
      </c>
      <c r="U214" s="7"/>
      <c r="V214" s="7"/>
    </row>
    <row r="215" customFormat="false" ht="15" hidden="false" customHeight="false" outlineLevel="0" collapsed="false">
      <c r="A215" s="2" t="s">
        <v>851</v>
      </c>
      <c r="B215" s="2" t="s">
        <v>648</v>
      </c>
      <c r="C215" s="2" t="s">
        <v>852</v>
      </c>
      <c r="D215" s="2" t="s">
        <v>853</v>
      </c>
      <c r="E215" s="2" t="s">
        <v>139</v>
      </c>
      <c r="F215" s="2" t="n">
        <v>52.671</v>
      </c>
      <c r="G215" s="2" t="n">
        <v>-8.625</v>
      </c>
      <c r="H215" s="2" t="s">
        <v>668</v>
      </c>
      <c r="I215" s="2" t="n">
        <f aca="false">COUNTIF(Applications!$B$2:$B$293,A215)</f>
        <v>1</v>
      </c>
      <c r="J215" s="2" t="n">
        <f aca="false">COUNTIFS(Applications!$B$2:$B$293,A215,Applications!$Z$2:$Z$293,"Yes")</f>
        <v>1</v>
      </c>
      <c r="K215" s="10" t="n">
        <f aca="false">SUMIFS(Applications!$AI$2:$AI$293,Applications!$B$2:$B$293,A215)</f>
        <v>23</v>
      </c>
      <c r="L215" s="10" t="n">
        <f aca="false">SUMIFS(Applications!$AL$2:$AL$293,Applications!$B$2:$B$293,A215)</f>
        <v>23</v>
      </c>
      <c r="M215" s="10" t="n">
        <f aca="false">SUMIFS(Applications!$AM$2:$AM$293,Applications!$B$2:$B$293,A215)</f>
        <v>0</v>
      </c>
      <c r="N215" s="10" t="n">
        <f aca="false">SUMIFS(Applications!$AK$2:$AK$293,Applications!$B$2:$B$293,A215)</f>
        <v>0</v>
      </c>
      <c r="O215" s="2" t="n">
        <f aca="false">I215-J215</f>
        <v>0</v>
      </c>
      <c r="P215" s="2" t="n">
        <f aca="false">COUNTIFS(Applications!$B$2:$B$293,A215,Applications!$W$2:$W$293,"Low",Applications!$X$2:$X$293,"")</f>
        <v>1</v>
      </c>
      <c r="Q215" s="2" t="n">
        <f aca="false">COUNTIFS(Applications!$B$2:$B$293,A215,Applications!$AH$2:$AH$293,"Past*")+COUNTIFS(Applications!$B$2:$B$293,A215,Applications!$AH$2:$AH$293,"No CIS*")</f>
        <v>0</v>
      </c>
      <c r="R215" s="2" t="s">
        <v>854</v>
      </c>
      <c r="S215" s="2" t="s">
        <v>124</v>
      </c>
      <c r="T215" s="2" t="str">
        <f aca="false">IF(OR(R215&lt;&gt;"",S215="Yes",P215&gt;0,Q215&gt;0),IF(U215="Yes","Resolved","Yes"),"No")</f>
        <v>Yes</v>
      </c>
      <c r="U215" s="7"/>
      <c r="V215" s="7"/>
    </row>
    <row r="216" customFormat="false" ht="15" hidden="false" customHeight="false" outlineLevel="0" collapsed="false">
      <c r="A216" s="2" t="s">
        <v>855</v>
      </c>
      <c r="B216" s="2" t="s">
        <v>648</v>
      </c>
      <c r="C216" s="2" t="s">
        <v>856</v>
      </c>
      <c r="D216" s="2" t="s">
        <v>857</v>
      </c>
      <c r="E216" s="2" t="s">
        <v>139</v>
      </c>
      <c r="F216" s="2"/>
      <c r="G216" s="2"/>
      <c r="H216" s="2" t="s">
        <v>651</v>
      </c>
      <c r="I216" s="2" t="n">
        <f aca="false">COUNTIF(Applications!$B$2:$B$293,A216)</f>
        <v>1</v>
      </c>
      <c r="J216" s="2" t="n">
        <f aca="false">COUNTIFS(Applications!$B$2:$B$293,A216,Applications!$Z$2:$Z$293,"Yes")</f>
        <v>1</v>
      </c>
      <c r="K216" s="10" t="n">
        <f aca="false">SUMIFS(Applications!$AI$2:$AI$293,Applications!$B$2:$B$293,A216)</f>
        <v>0</v>
      </c>
      <c r="L216" s="10" t="n">
        <f aca="false">SUMIFS(Applications!$AL$2:$AL$293,Applications!$B$2:$B$293,A216)</f>
        <v>0</v>
      </c>
      <c r="M216" s="10" t="n">
        <f aca="false">SUMIFS(Applications!$AM$2:$AM$293,Applications!$B$2:$B$293,A216)</f>
        <v>0</v>
      </c>
      <c r="N216" s="10" t="n">
        <f aca="false">SUMIFS(Applications!$AK$2:$AK$293,Applications!$B$2:$B$293,A216)</f>
        <v>0</v>
      </c>
      <c r="O216" s="2" t="n">
        <f aca="false">I216-J216</f>
        <v>0</v>
      </c>
      <c r="P216" s="2" t="n">
        <f aca="false">COUNTIFS(Applications!$B$2:$B$293,A216,Applications!$W$2:$W$293,"Low",Applications!$X$2:$X$293,"")</f>
        <v>0</v>
      </c>
      <c r="Q216" s="2" t="n">
        <f aca="false">COUNTIFS(Applications!$B$2:$B$293,A216,Applications!$AH$2:$AH$293,"Past*")+COUNTIFS(Applications!$B$2:$B$293,A216,Applications!$AH$2:$AH$293,"No CIS*")</f>
        <v>0</v>
      </c>
      <c r="R216" s="2"/>
      <c r="S216" s="2" t="s">
        <v>124</v>
      </c>
      <c r="T216" s="2" t="str">
        <f aca="false">IF(OR(R216&lt;&gt;"",S216="Yes",P216&gt;0,Q216&gt;0),IF(U216="Yes","Resolved","Yes"),"No")</f>
        <v>No</v>
      </c>
      <c r="U216" s="7"/>
      <c r="V216" s="7"/>
    </row>
    <row r="217" customFormat="false" ht="15" hidden="false" customHeight="false" outlineLevel="0" collapsed="false">
      <c r="A217" s="2" t="s">
        <v>858</v>
      </c>
      <c r="B217" s="2" t="s">
        <v>648</v>
      </c>
      <c r="C217" s="2" t="s">
        <v>859</v>
      </c>
      <c r="D217" s="2" t="s">
        <v>860</v>
      </c>
      <c r="E217" s="2" t="s">
        <v>139</v>
      </c>
      <c r="F217" s="2"/>
      <c r="G217" s="2"/>
      <c r="H217" s="2" t="s">
        <v>651</v>
      </c>
      <c r="I217" s="2" t="n">
        <f aca="false">COUNTIF(Applications!$B$2:$B$293,A217)</f>
        <v>1</v>
      </c>
      <c r="J217" s="2" t="n">
        <f aca="false">COUNTIFS(Applications!$B$2:$B$293,A217,Applications!$Z$2:$Z$293,"Yes")</f>
        <v>1</v>
      </c>
      <c r="K217" s="10" t="n">
        <f aca="false">SUMIFS(Applications!$AI$2:$AI$293,Applications!$B$2:$B$293,A217)</f>
        <v>0</v>
      </c>
      <c r="L217" s="10" t="n">
        <f aca="false">SUMIFS(Applications!$AL$2:$AL$293,Applications!$B$2:$B$293,A217)</f>
        <v>0</v>
      </c>
      <c r="M217" s="10" t="n">
        <f aca="false">SUMIFS(Applications!$AM$2:$AM$293,Applications!$B$2:$B$293,A217)</f>
        <v>0</v>
      </c>
      <c r="N217" s="10" t="n">
        <f aca="false">SUMIFS(Applications!$AK$2:$AK$293,Applications!$B$2:$B$293,A217)</f>
        <v>0</v>
      </c>
      <c r="O217" s="2" t="n">
        <f aca="false">I217-J217</f>
        <v>0</v>
      </c>
      <c r="P217" s="2" t="n">
        <f aca="false">COUNTIFS(Applications!$B$2:$B$293,A217,Applications!$W$2:$W$293,"Low",Applications!$X$2:$X$293,"")</f>
        <v>0</v>
      </c>
      <c r="Q217" s="2" t="n">
        <f aca="false">COUNTIFS(Applications!$B$2:$B$293,A217,Applications!$AH$2:$AH$293,"Past*")+COUNTIFS(Applications!$B$2:$B$293,A217,Applications!$AH$2:$AH$293,"No CIS*")</f>
        <v>0</v>
      </c>
      <c r="R217" s="2"/>
      <c r="S217" s="2" t="s">
        <v>124</v>
      </c>
      <c r="T217" s="2" t="str">
        <f aca="false">IF(OR(R217&lt;&gt;"",S217="Yes",P217&gt;0,Q217&gt;0),IF(U217="Yes","Resolved","Yes"),"No")</f>
        <v>No</v>
      </c>
      <c r="U217" s="7"/>
      <c r="V217" s="7"/>
    </row>
  </sheetData>
  <autoFilter ref="A1:V217"/>
  <conditionalFormatting sqref="T2:T217">
    <cfRule type="expression" priority="2" aboveAverage="0" equalAverage="0" bottom="0" percent="0" rank="0" text="" dxfId="7">
      <formula>T2="Yes"</formula>
    </cfRule>
  </conditionalFormatting>
  <dataValidations count="1">
    <dataValidation allowBlank="true" errorStyle="stop" operator="between" showDropDown="false" showErrorMessage="false" showInputMessage="false" sqref="U2:U217" type="list">
      <formula1>"Yes"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40"/>
    <col collapsed="false" customWidth="true" hidden="false" outlineLevel="0" max="5" min="4" style="0" width="18"/>
    <col collapsed="false" customWidth="true" hidden="false" outlineLevel="0" max="6" min="6" style="0" width="11"/>
    <col collapsed="false" customWidth="true" hidden="false" outlineLevel="0" max="7" min="7" style="0" width="80"/>
    <col collapsed="false" customWidth="true" hidden="false" outlineLevel="0" max="8" min="8" style="0" width="50"/>
    <col collapsed="false" customWidth="true" hidden="false" outlineLevel="0" max="9" min="9" style="0" width="12"/>
  </cols>
  <sheetData>
    <row r="1" customFormat="false" ht="30" hidden="false" customHeight="true" outlineLevel="0" collapsed="false">
      <c r="A1" s="13" t="s">
        <v>861</v>
      </c>
      <c r="B1" s="13" t="s">
        <v>163</v>
      </c>
      <c r="C1" s="13" t="s">
        <v>165</v>
      </c>
      <c r="D1" s="13" t="s">
        <v>127</v>
      </c>
      <c r="E1" s="13" t="s">
        <v>862</v>
      </c>
      <c r="F1" s="13" t="s">
        <v>863</v>
      </c>
      <c r="G1" s="13" t="s">
        <v>864</v>
      </c>
      <c r="H1" s="13" t="s">
        <v>865</v>
      </c>
      <c r="I1" s="13" t="s">
        <v>866</v>
      </c>
    </row>
    <row r="2" customFormat="false" ht="46.25" hidden="false" customHeight="false" outlineLevel="0" collapsed="false">
      <c r="A2" s="2" t="n">
        <v>1</v>
      </c>
      <c r="B2" s="2" t="s">
        <v>245</v>
      </c>
      <c r="C2" s="2" t="s">
        <v>246</v>
      </c>
      <c r="D2" s="2" t="s">
        <v>139</v>
      </c>
      <c r="E2" s="2" t="s">
        <v>208</v>
      </c>
      <c r="F2" s="10" t="n">
        <f aca="false">IFERROR(INDEX(Sites!$K$2:$K$217,MATCH($B2,Sites!$A$2:$A$217,0)),"")</f>
        <v>607</v>
      </c>
      <c r="G2" s="17" t="s">
        <v>867</v>
      </c>
      <c r="H2" s="17"/>
      <c r="I2" s="2" t="str">
        <f aca="false">IFERROR(INDEX(Sites!$T$2:$T$217,MATCH($B2,Sites!$A$2:$A$217,0)),"")</f>
        <v>Yes</v>
      </c>
    </row>
    <row r="3" customFormat="false" ht="23.85" hidden="false" customHeight="false" outlineLevel="0" collapsed="false">
      <c r="A3" s="2" t="n">
        <v>2</v>
      </c>
      <c r="B3" s="2" t="s">
        <v>221</v>
      </c>
      <c r="C3" s="2" t="s">
        <v>222</v>
      </c>
      <c r="D3" s="2" t="s">
        <v>140</v>
      </c>
      <c r="E3" s="2" t="s">
        <v>198</v>
      </c>
      <c r="F3" s="10" t="n">
        <f aca="false">IFERROR(INDEX(Sites!$K$2:$K$217,MATCH($B3,Sites!$A$2:$A$217,0)),"")</f>
        <v>419</v>
      </c>
      <c r="G3" s="17" t="s">
        <v>868</v>
      </c>
      <c r="H3" s="17"/>
      <c r="I3" s="2" t="str">
        <f aca="false">IFERROR(INDEX(Sites!$T$2:$T$217,MATCH($B3,Sites!$A$2:$A$217,0)),"")</f>
        <v>Yes</v>
      </c>
    </row>
    <row r="4" customFormat="false" ht="35.05" hidden="false" customHeight="false" outlineLevel="0" collapsed="false">
      <c r="A4" s="2" t="n">
        <v>3</v>
      </c>
      <c r="B4" s="2" t="s">
        <v>387</v>
      </c>
      <c r="C4" s="2" t="s">
        <v>388</v>
      </c>
      <c r="D4" s="2" t="s">
        <v>144</v>
      </c>
      <c r="E4" s="2" t="s">
        <v>198</v>
      </c>
      <c r="F4" s="10" t="n">
        <f aca="false">IFERROR(INDEX(Sites!$K$2:$K$217,MATCH($B4,Sites!$A$2:$A$217,0)),"")</f>
        <v>362</v>
      </c>
      <c r="G4" s="17" t="s">
        <v>869</v>
      </c>
      <c r="H4" s="17"/>
      <c r="I4" s="2" t="str">
        <f aca="false">IFERROR(INDEX(Sites!$T$2:$T$217,MATCH($B4,Sites!$A$2:$A$217,0)),"")</f>
        <v>Yes</v>
      </c>
    </row>
    <row r="5" customFormat="false" ht="57.45" hidden="false" customHeight="false" outlineLevel="0" collapsed="false">
      <c r="A5" s="2" t="n">
        <v>4</v>
      </c>
      <c r="B5" s="2" t="s">
        <v>195</v>
      </c>
      <c r="C5" s="2" t="s">
        <v>196</v>
      </c>
      <c r="D5" s="2" t="s">
        <v>142</v>
      </c>
      <c r="E5" s="2" t="s">
        <v>198</v>
      </c>
      <c r="F5" s="10" t="n">
        <f aca="false">IFERROR(INDEX(Sites!$K$2:$K$217,MATCH($B5,Sites!$A$2:$A$217,0)),"")</f>
        <v>314</v>
      </c>
      <c r="G5" s="17" t="s">
        <v>870</v>
      </c>
      <c r="H5" s="17"/>
      <c r="I5" s="2" t="str">
        <f aca="false">IFERROR(INDEX(Sites!$T$2:$T$217,MATCH($B5,Sites!$A$2:$A$217,0)),"")</f>
        <v>Yes</v>
      </c>
    </row>
    <row r="6" customFormat="false" ht="23.85" hidden="false" customHeight="false" outlineLevel="0" collapsed="false">
      <c r="A6" s="2" t="n">
        <v>5</v>
      </c>
      <c r="B6" s="2" t="s">
        <v>771</v>
      </c>
      <c r="C6" s="2" t="s">
        <v>772</v>
      </c>
      <c r="D6" s="2" t="s">
        <v>139</v>
      </c>
      <c r="E6" s="2" t="s">
        <v>651</v>
      </c>
      <c r="F6" s="10" t="n">
        <f aca="false">IFERROR(INDEX(Sites!$K$2:$K$217,MATCH($B6,Sites!$A$2:$A$217,0)),"")</f>
        <v>285</v>
      </c>
      <c r="G6" s="17" t="s">
        <v>871</v>
      </c>
      <c r="H6" s="17" t="s">
        <v>774</v>
      </c>
      <c r="I6" s="2" t="str">
        <f aca="false">IFERROR(INDEX(Sites!$T$2:$T$217,MATCH($B6,Sites!$A$2:$A$217,0)),"")</f>
        <v>Yes</v>
      </c>
    </row>
    <row r="7" customFormat="false" ht="35.05" hidden="false" customHeight="false" outlineLevel="0" collapsed="false">
      <c r="A7" s="2" t="n">
        <v>6</v>
      </c>
      <c r="B7" s="2" t="s">
        <v>230</v>
      </c>
      <c r="C7" s="2" t="s">
        <v>231</v>
      </c>
      <c r="D7" s="2" t="s">
        <v>140</v>
      </c>
      <c r="E7" s="2" t="s">
        <v>208</v>
      </c>
      <c r="F7" s="10" t="n">
        <f aca="false">IFERROR(INDEX(Sites!$K$2:$K$217,MATCH($B7,Sites!$A$2:$A$217,0)),"")</f>
        <v>273</v>
      </c>
      <c r="G7" s="17" t="s">
        <v>872</v>
      </c>
      <c r="H7" s="17"/>
      <c r="I7" s="2" t="str">
        <f aca="false">IFERROR(INDEX(Sites!$T$2:$T$217,MATCH($B7,Sites!$A$2:$A$217,0)),"")</f>
        <v>Yes</v>
      </c>
    </row>
    <row r="8" customFormat="false" ht="23.85" hidden="false" customHeight="false" outlineLevel="0" collapsed="false">
      <c r="A8" s="2" t="n">
        <v>7</v>
      </c>
      <c r="B8" s="2" t="s">
        <v>345</v>
      </c>
      <c r="C8" s="2" t="s">
        <v>346</v>
      </c>
      <c r="D8" s="2" t="s">
        <v>144</v>
      </c>
      <c r="E8" s="2" t="s">
        <v>198</v>
      </c>
      <c r="F8" s="10" t="n">
        <f aca="false">IFERROR(INDEX(Sites!$K$2:$K$217,MATCH($B8,Sites!$A$2:$A$217,0)),"")</f>
        <v>232</v>
      </c>
      <c r="G8" s="17" t="s">
        <v>873</v>
      </c>
      <c r="H8" s="17"/>
      <c r="I8" s="2" t="str">
        <f aca="false">IFERROR(INDEX(Sites!$T$2:$T$217,MATCH($B8,Sites!$A$2:$A$217,0)),"")</f>
        <v>Yes</v>
      </c>
    </row>
    <row r="9" customFormat="false" ht="23.85" hidden="false" customHeight="false" outlineLevel="0" collapsed="false">
      <c r="A9" s="2" t="n">
        <v>8</v>
      </c>
      <c r="B9" s="2" t="s">
        <v>212</v>
      </c>
      <c r="C9" s="2" t="s">
        <v>213</v>
      </c>
      <c r="D9" s="2" t="s">
        <v>139</v>
      </c>
      <c r="E9" s="2" t="s">
        <v>198</v>
      </c>
      <c r="F9" s="10" t="n">
        <f aca="false">IFERROR(INDEX(Sites!$K$2:$K$217,MATCH($B9,Sites!$A$2:$A$217,0)),"")</f>
        <v>227</v>
      </c>
      <c r="G9" s="17" t="s">
        <v>874</v>
      </c>
      <c r="H9" s="17"/>
      <c r="I9" s="2" t="str">
        <f aca="false">IFERROR(INDEX(Sites!$T$2:$T$217,MATCH($B9,Sites!$A$2:$A$217,0)),"")</f>
        <v>Yes</v>
      </c>
    </row>
    <row r="10" customFormat="false" ht="35.05" hidden="false" customHeight="false" outlineLevel="0" collapsed="false">
      <c r="A10" s="2" t="n">
        <v>9</v>
      </c>
      <c r="B10" s="2" t="s">
        <v>297</v>
      </c>
      <c r="C10" s="2" t="s">
        <v>298</v>
      </c>
      <c r="D10" s="2" t="s">
        <v>140</v>
      </c>
      <c r="E10" s="2" t="s">
        <v>198</v>
      </c>
      <c r="F10" s="10" t="n">
        <f aca="false">IFERROR(INDEX(Sites!$K$2:$K$217,MATCH($B10,Sites!$A$2:$A$217,0)),"")</f>
        <v>192</v>
      </c>
      <c r="G10" s="17" t="s">
        <v>875</v>
      </c>
      <c r="H10" s="17"/>
      <c r="I10" s="2" t="str">
        <f aca="false">IFERROR(INDEX(Sites!$T$2:$T$217,MATCH($B10,Sites!$A$2:$A$217,0)),"")</f>
        <v>Yes</v>
      </c>
    </row>
    <row r="11" customFormat="false" ht="35.05" hidden="false" customHeight="false" outlineLevel="0" collapsed="false">
      <c r="A11" s="2" t="n">
        <v>10</v>
      </c>
      <c r="B11" s="2" t="s">
        <v>366</v>
      </c>
      <c r="C11" s="2" t="s">
        <v>367</v>
      </c>
      <c r="D11" s="2" t="s">
        <v>143</v>
      </c>
      <c r="E11" s="2" t="s">
        <v>187</v>
      </c>
      <c r="F11" s="10" t="n">
        <f aca="false">IFERROR(INDEX(Sites!$K$2:$K$217,MATCH($B11,Sites!$A$2:$A$217,0)),"")</f>
        <v>183</v>
      </c>
      <c r="G11" s="17" t="s">
        <v>876</v>
      </c>
      <c r="H11" s="17"/>
      <c r="I11" s="2" t="str">
        <f aca="false">IFERROR(INDEX(Sites!$T$2:$T$217,MATCH($B11,Sites!$A$2:$A$217,0)),"")</f>
        <v>Yes</v>
      </c>
    </row>
    <row r="12" customFormat="false" ht="23.85" hidden="false" customHeight="false" outlineLevel="0" collapsed="false">
      <c r="A12" s="2" t="n">
        <v>11</v>
      </c>
      <c r="B12" s="2" t="s">
        <v>520</v>
      </c>
      <c r="C12" s="2" t="s">
        <v>521</v>
      </c>
      <c r="D12" s="2" t="s">
        <v>144</v>
      </c>
      <c r="E12" s="2" t="s">
        <v>198</v>
      </c>
      <c r="F12" s="10" t="n">
        <f aca="false">IFERROR(INDEX(Sites!$K$2:$K$217,MATCH($B12,Sites!$A$2:$A$217,0)),"")</f>
        <v>170</v>
      </c>
      <c r="G12" s="17" t="s">
        <v>877</v>
      </c>
      <c r="H12" s="17"/>
      <c r="I12" s="2" t="str">
        <f aca="false">IFERROR(INDEX(Sites!$T$2:$T$217,MATCH($B12,Sites!$A$2:$A$217,0)),"")</f>
        <v>Yes</v>
      </c>
    </row>
    <row r="13" customFormat="false" ht="35.05" hidden="false" customHeight="false" outlineLevel="0" collapsed="false">
      <c r="A13" s="2" t="n">
        <v>12</v>
      </c>
      <c r="B13" s="2" t="s">
        <v>285</v>
      </c>
      <c r="C13" s="2" t="s">
        <v>286</v>
      </c>
      <c r="D13" s="2" t="s">
        <v>139</v>
      </c>
      <c r="E13" s="2" t="s">
        <v>198</v>
      </c>
      <c r="F13" s="10" t="n">
        <f aca="false">IFERROR(INDEX(Sites!$K$2:$K$217,MATCH($B13,Sites!$A$2:$A$217,0)),"")</f>
        <v>151</v>
      </c>
      <c r="G13" s="17" t="s">
        <v>878</v>
      </c>
      <c r="H13" s="17"/>
      <c r="I13" s="2" t="str">
        <f aca="false">IFERROR(INDEX(Sites!$T$2:$T$217,MATCH($B13,Sites!$A$2:$A$217,0)),"")</f>
        <v>Yes</v>
      </c>
    </row>
    <row r="14" customFormat="false" ht="15" hidden="false" customHeight="false" outlineLevel="0" collapsed="false">
      <c r="A14" s="2" t="n">
        <v>13</v>
      </c>
      <c r="B14" s="2" t="s">
        <v>508</v>
      </c>
      <c r="C14" s="2" t="s">
        <v>509</v>
      </c>
      <c r="D14" s="2" t="s">
        <v>133</v>
      </c>
      <c r="E14" s="2" t="s">
        <v>187</v>
      </c>
      <c r="F14" s="10" t="n">
        <f aca="false">IFERROR(INDEX(Sites!$K$2:$K$217,MATCH($B14,Sites!$A$2:$A$217,0)),"")</f>
        <v>137</v>
      </c>
      <c r="G14" s="17" t="s">
        <v>879</v>
      </c>
      <c r="H14" s="17"/>
      <c r="I14" s="2" t="str">
        <f aca="false">IFERROR(INDEX(Sites!$T$2:$T$217,MATCH($B14,Sites!$A$2:$A$217,0)),"")</f>
        <v>Yes</v>
      </c>
    </row>
    <row r="15" customFormat="false" ht="23.85" hidden="false" customHeight="false" outlineLevel="0" collapsed="false">
      <c r="A15" s="2" t="n">
        <v>14</v>
      </c>
      <c r="B15" s="2" t="s">
        <v>209</v>
      </c>
      <c r="C15" s="2" t="s">
        <v>210</v>
      </c>
      <c r="D15" s="2" t="s">
        <v>142</v>
      </c>
      <c r="E15" s="2" t="s">
        <v>208</v>
      </c>
      <c r="F15" s="10" t="n">
        <f aca="false">IFERROR(INDEX(Sites!$K$2:$K$217,MATCH($B15,Sites!$A$2:$A$217,0)),"")</f>
        <v>112</v>
      </c>
      <c r="G15" s="17" t="s">
        <v>880</v>
      </c>
      <c r="H15" s="17"/>
      <c r="I15" s="2" t="str">
        <f aca="false">IFERROR(INDEX(Sites!$T$2:$T$217,MATCH($B15,Sites!$A$2:$A$217,0)),"")</f>
        <v>Yes</v>
      </c>
    </row>
    <row r="16" customFormat="false" ht="23.85" hidden="false" customHeight="false" outlineLevel="0" collapsed="false">
      <c r="A16" s="2" t="n">
        <v>15</v>
      </c>
      <c r="B16" s="2" t="s">
        <v>273</v>
      </c>
      <c r="C16" s="2" t="s">
        <v>274</v>
      </c>
      <c r="D16" s="2" t="s">
        <v>144</v>
      </c>
      <c r="E16" s="2" t="s">
        <v>187</v>
      </c>
      <c r="F16" s="10" t="n">
        <f aca="false">IFERROR(INDEX(Sites!$K$2:$K$217,MATCH($B16,Sites!$A$2:$A$217,0)),"")</f>
        <v>100</v>
      </c>
      <c r="G16" s="17" t="s">
        <v>881</v>
      </c>
      <c r="H16" s="17"/>
      <c r="I16" s="2" t="str">
        <f aca="false">IFERROR(INDEX(Sites!$T$2:$T$217,MATCH($B16,Sites!$A$2:$A$217,0)),"")</f>
        <v>Yes</v>
      </c>
    </row>
    <row r="17" customFormat="false" ht="15" hidden="false" customHeight="false" outlineLevel="0" collapsed="false">
      <c r="A17" s="2" t="n">
        <v>16</v>
      </c>
      <c r="B17" s="2" t="s">
        <v>399</v>
      </c>
      <c r="C17" s="2" t="s">
        <v>400</v>
      </c>
      <c r="D17" s="2" t="s">
        <v>144</v>
      </c>
      <c r="E17" s="2" t="s">
        <v>194</v>
      </c>
      <c r="F17" s="10" t="n">
        <f aca="false">IFERROR(INDEX(Sites!$K$2:$K$217,MATCH($B17,Sites!$A$2:$A$217,0)),"")</f>
        <v>92</v>
      </c>
      <c r="G17" s="17" t="s">
        <v>882</v>
      </c>
      <c r="H17" s="17"/>
      <c r="I17" s="2" t="str">
        <f aca="false">IFERROR(INDEX(Sites!$T$2:$T$217,MATCH($B17,Sites!$A$2:$A$217,0)),"")</f>
        <v>Yes</v>
      </c>
    </row>
    <row r="18" customFormat="false" ht="15" hidden="false" customHeight="false" outlineLevel="0" collapsed="false">
      <c r="A18" s="2" t="n">
        <v>17</v>
      </c>
      <c r="B18" s="2" t="s">
        <v>538</v>
      </c>
      <c r="C18" s="2" t="s">
        <v>539</v>
      </c>
      <c r="D18" s="2" t="s">
        <v>144</v>
      </c>
      <c r="E18" s="2" t="s">
        <v>187</v>
      </c>
      <c r="F18" s="10" t="n">
        <f aca="false">IFERROR(INDEX(Sites!$K$2:$K$217,MATCH($B18,Sites!$A$2:$A$217,0)),"")</f>
        <v>86</v>
      </c>
      <c r="G18" s="17" t="s">
        <v>883</v>
      </c>
      <c r="H18" s="17"/>
      <c r="I18" s="2" t="str">
        <f aca="false">IFERROR(INDEX(Sites!$T$2:$T$217,MATCH($B18,Sites!$A$2:$A$217,0)),"")</f>
        <v>Yes</v>
      </c>
    </row>
    <row r="19" customFormat="false" ht="23.85" hidden="false" customHeight="false" outlineLevel="0" collapsed="false">
      <c r="A19" s="2" t="n">
        <v>18</v>
      </c>
      <c r="B19" s="2" t="s">
        <v>565</v>
      </c>
      <c r="C19" s="2" t="s">
        <v>566</v>
      </c>
      <c r="D19" s="2" t="s">
        <v>139</v>
      </c>
      <c r="E19" s="2" t="s">
        <v>198</v>
      </c>
      <c r="F19" s="10" t="n">
        <f aca="false">IFERROR(INDEX(Sites!$K$2:$K$217,MATCH($B19,Sites!$A$2:$A$217,0)),"")</f>
        <v>75</v>
      </c>
      <c r="G19" s="17" t="s">
        <v>884</v>
      </c>
      <c r="H19" s="17"/>
      <c r="I19" s="2" t="str">
        <f aca="false">IFERROR(INDEX(Sites!$T$2:$T$217,MATCH($B19,Sites!$A$2:$A$217,0)),"")</f>
        <v>Yes</v>
      </c>
    </row>
    <row r="20" customFormat="false" ht="23.85" hidden="false" customHeight="false" outlineLevel="0" collapsed="false">
      <c r="A20" s="2" t="n">
        <v>19</v>
      </c>
      <c r="B20" s="2" t="s">
        <v>303</v>
      </c>
      <c r="C20" s="2" t="s">
        <v>304</v>
      </c>
      <c r="D20" s="2" t="s">
        <v>144</v>
      </c>
      <c r="E20" s="2" t="s">
        <v>187</v>
      </c>
      <c r="F20" s="10" t="n">
        <f aca="false">IFERROR(INDEX(Sites!$K$2:$K$217,MATCH($B20,Sites!$A$2:$A$217,0)),"")</f>
        <v>74</v>
      </c>
      <c r="G20" s="17" t="s">
        <v>885</v>
      </c>
      <c r="H20" s="17"/>
      <c r="I20" s="2" t="str">
        <f aca="false">IFERROR(INDEX(Sites!$T$2:$T$217,MATCH($B20,Sites!$A$2:$A$217,0)),"")</f>
        <v>Yes</v>
      </c>
    </row>
    <row r="21" customFormat="false" ht="15" hidden="false" customHeight="false" outlineLevel="0" collapsed="false">
      <c r="A21" s="2" t="n">
        <v>20</v>
      </c>
      <c r="B21" s="2" t="s">
        <v>457</v>
      </c>
      <c r="C21" s="2" t="s">
        <v>458</v>
      </c>
      <c r="D21" s="2" t="s">
        <v>134</v>
      </c>
      <c r="E21" s="2" t="s">
        <v>187</v>
      </c>
      <c r="F21" s="10" t="n">
        <f aca="false">IFERROR(INDEX(Sites!$K$2:$K$217,MATCH($B21,Sites!$A$2:$A$217,0)),"")</f>
        <v>74</v>
      </c>
      <c r="G21" s="17" t="s">
        <v>886</v>
      </c>
      <c r="H21" s="17"/>
      <c r="I21" s="2" t="str">
        <f aca="false">IFERROR(INDEX(Sites!$T$2:$T$217,MATCH($B21,Sites!$A$2:$A$217,0)),"")</f>
        <v>Yes</v>
      </c>
    </row>
    <row r="22" customFormat="false" ht="23.85" hidden="false" customHeight="false" outlineLevel="0" collapsed="false">
      <c r="A22" s="2" t="n">
        <v>21</v>
      </c>
      <c r="B22" s="2" t="s">
        <v>444</v>
      </c>
      <c r="C22" s="2" t="s">
        <v>445</v>
      </c>
      <c r="D22" s="2" t="s">
        <v>141</v>
      </c>
      <c r="E22" s="2" t="s">
        <v>198</v>
      </c>
      <c r="F22" s="10" t="n">
        <f aca="false">IFERROR(INDEX(Sites!$K$2:$K$217,MATCH($B22,Sites!$A$2:$A$217,0)),"")</f>
        <v>73</v>
      </c>
      <c r="G22" s="17" t="s">
        <v>887</v>
      </c>
      <c r="H22" s="17"/>
      <c r="I22" s="2" t="str">
        <f aca="false">IFERROR(INDEX(Sites!$T$2:$T$217,MATCH($B22,Sites!$A$2:$A$217,0)),"")</f>
        <v>Yes</v>
      </c>
    </row>
    <row r="23" customFormat="false" ht="23.85" hidden="false" customHeight="false" outlineLevel="0" collapsed="false">
      <c r="A23" s="2" t="n">
        <v>22</v>
      </c>
      <c r="B23" s="2" t="s">
        <v>423</v>
      </c>
      <c r="C23" s="2" t="s">
        <v>424</v>
      </c>
      <c r="D23" s="2" t="s">
        <v>138</v>
      </c>
      <c r="E23" s="2" t="s">
        <v>198</v>
      </c>
      <c r="F23" s="10" t="n">
        <f aca="false">IFERROR(INDEX(Sites!$K$2:$K$217,MATCH($B23,Sites!$A$2:$A$217,0)),"")</f>
        <v>69</v>
      </c>
      <c r="G23" s="17" t="s">
        <v>888</v>
      </c>
      <c r="H23" s="17"/>
      <c r="I23" s="2" t="str">
        <f aca="false">IFERROR(INDEX(Sites!$T$2:$T$217,MATCH($B23,Sites!$A$2:$A$217,0)),"")</f>
        <v>Yes</v>
      </c>
    </row>
    <row r="24" customFormat="false" ht="23.85" hidden="false" customHeight="false" outlineLevel="0" collapsed="false">
      <c r="A24" s="2" t="n">
        <v>23</v>
      </c>
      <c r="B24" s="2" t="s">
        <v>378</v>
      </c>
      <c r="C24" s="2" t="s">
        <v>379</v>
      </c>
      <c r="D24" s="2" t="s">
        <v>137</v>
      </c>
      <c r="E24" s="2" t="s">
        <v>198</v>
      </c>
      <c r="F24" s="10" t="n">
        <f aca="false">IFERROR(INDEX(Sites!$K$2:$K$217,MATCH($B24,Sites!$A$2:$A$217,0)),"")</f>
        <v>65</v>
      </c>
      <c r="G24" s="17" t="s">
        <v>889</v>
      </c>
      <c r="H24" s="17"/>
      <c r="I24" s="2" t="str">
        <f aca="false">IFERROR(INDEX(Sites!$T$2:$T$217,MATCH($B24,Sites!$A$2:$A$217,0)),"")</f>
        <v>Yes</v>
      </c>
    </row>
    <row r="25" customFormat="false" ht="23.85" hidden="false" customHeight="false" outlineLevel="0" collapsed="false">
      <c r="A25" s="2" t="n">
        <v>24</v>
      </c>
      <c r="B25" s="2" t="s">
        <v>591</v>
      </c>
      <c r="C25" s="2" t="s">
        <v>592</v>
      </c>
      <c r="D25" s="2" t="s">
        <v>140</v>
      </c>
      <c r="E25" s="2" t="s">
        <v>198</v>
      </c>
      <c r="F25" s="10" t="n">
        <f aca="false">IFERROR(INDEX(Sites!$K$2:$K$217,MATCH($B25,Sites!$A$2:$A$217,0)),"")</f>
        <v>54</v>
      </c>
      <c r="G25" s="17" t="s">
        <v>890</v>
      </c>
      <c r="H25" s="17"/>
      <c r="I25" s="2" t="str">
        <f aca="false">IFERROR(INDEX(Sites!$T$2:$T$217,MATCH($B25,Sites!$A$2:$A$217,0)),"")</f>
        <v>Yes</v>
      </c>
    </row>
    <row r="26" customFormat="false" ht="35.05" hidden="false" customHeight="false" outlineLevel="0" collapsed="false">
      <c r="A26" s="2" t="n">
        <v>25</v>
      </c>
      <c r="B26" s="2" t="s">
        <v>764</v>
      </c>
      <c r="C26" s="2" t="s">
        <v>765</v>
      </c>
      <c r="D26" s="2" t="s">
        <v>139</v>
      </c>
      <c r="E26" s="2" t="s">
        <v>187</v>
      </c>
      <c r="F26" s="10" t="n">
        <f aca="false">IFERROR(INDEX(Sites!$K$2:$K$217,MATCH($B26,Sites!$A$2:$A$217,0)),"")</f>
        <v>48</v>
      </c>
      <c r="G26" s="17" t="s">
        <v>871</v>
      </c>
      <c r="H26" s="17" t="s">
        <v>767</v>
      </c>
      <c r="I26" s="2" t="str">
        <f aca="false">IFERROR(INDEX(Sites!$T$2:$T$217,MATCH($B26,Sites!$A$2:$A$217,0)),"")</f>
        <v>Yes</v>
      </c>
    </row>
    <row r="27" customFormat="false" ht="23.85" hidden="false" customHeight="false" outlineLevel="0" collapsed="false">
      <c r="A27" s="2" t="n">
        <v>26</v>
      </c>
      <c r="B27" s="2" t="s">
        <v>813</v>
      </c>
      <c r="C27" s="2" t="s">
        <v>814</v>
      </c>
      <c r="D27" s="2" t="s">
        <v>131</v>
      </c>
      <c r="E27" s="2" t="s">
        <v>700</v>
      </c>
      <c r="F27" s="10" t="n">
        <f aca="false">IFERROR(INDEX(Sites!$K$2:$K$217,MATCH($B27,Sites!$A$2:$A$217,0)),"")</f>
        <v>48</v>
      </c>
      <c r="G27" s="17" t="s">
        <v>891</v>
      </c>
      <c r="H27" s="17" t="s">
        <v>815</v>
      </c>
      <c r="I27" s="2" t="str">
        <f aca="false">IFERROR(INDEX(Sites!$T$2:$T$217,MATCH($B27,Sites!$A$2:$A$217,0)),"")</f>
        <v>Yes</v>
      </c>
    </row>
    <row r="28" customFormat="false" ht="15" hidden="false" customHeight="false" outlineLevel="0" collapsed="false">
      <c r="A28" s="2" t="n">
        <v>27</v>
      </c>
      <c r="B28" s="2" t="s">
        <v>460</v>
      </c>
      <c r="C28" s="2" t="s">
        <v>461</v>
      </c>
      <c r="D28" s="2" t="s">
        <v>144</v>
      </c>
      <c r="E28" s="2" t="s">
        <v>187</v>
      </c>
      <c r="F28" s="10" t="n">
        <f aca="false">IFERROR(INDEX(Sites!$K$2:$K$217,MATCH($B28,Sites!$A$2:$A$217,0)),"")</f>
        <v>46</v>
      </c>
      <c r="G28" s="17" t="s">
        <v>892</v>
      </c>
      <c r="H28" s="17"/>
      <c r="I28" s="2" t="str">
        <f aca="false">IFERROR(INDEX(Sites!$T$2:$T$217,MATCH($B28,Sites!$A$2:$A$217,0)),"")</f>
        <v>Yes</v>
      </c>
    </row>
    <row r="29" customFormat="false" ht="23.85" hidden="false" customHeight="false" outlineLevel="0" collapsed="false">
      <c r="A29" s="2" t="n">
        <v>28</v>
      </c>
      <c r="B29" s="2" t="s">
        <v>288</v>
      </c>
      <c r="C29" s="2" t="s">
        <v>289</v>
      </c>
      <c r="D29" s="2" t="s">
        <v>139</v>
      </c>
      <c r="E29" s="2" t="s">
        <v>187</v>
      </c>
      <c r="F29" s="10" t="n">
        <f aca="false">IFERROR(INDEX(Sites!$K$2:$K$217,MATCH($B29,Sites!$A$2:$A$217,0)),"")</f>
        <v>44</v>
      </c>
      <c r="G29" s="17" t="s">
        <v>893</v>
      </c>
      <c r="H29" s="17"/>
      <c r="I29" s="2" t="str">
        <f aca="false">IFERROR(INDEX(Sites!$T$2:$T$217,MATCH($B29,Sites!$A$2:$A$217,0)),"")</f>
        <v>Yes</v>
      </c>
    </row>
    <row r="30" customFormat="false" ht="23.85" hidden="false" customHeight="false" outlineLevel="0" collapsed="false">
      <c r="A30" s="2" t="n">
        <v>29</v>
      </c>
      <c r="B30" s="2" t="s">
        <v>692</v>
      </c>
      <c r="C30" s="2" t="s">
        <v>693</v>
      </c>
      <c r="D30" s="2" t="s">
        <v>142</v>
      </c>
      <c r="E30" s="2" t="s">
        <v>668</v>
      </c>
      <c r="F30" s="10" t="n">
        <f aca="false">IFERROR(INDEX(Sites!$K$2:$K$217,MATCH($B30,Sites!$A$2:$A$217,0)),"")</f>
        <v>41</v>
      </c>
      <c r="G30" s="17" t="s">
        <v>894</v>
      </c>
      <c r="H30" s="17" t="s">
        <v>694</v>
      </c>
      <c r="I30" s="2" t="str">
        <f aca="false">IFERROR(INDEX(Sites!$T$2:$T$217,MATCH($B30,Sites!$A$2:$A$217,0)),"")</f>
        <v>Yes</v>
      </c>
    </row>
    <row r="31" customFormat="false" ht="23.85" hidden="false" customHeight="false" outlineLevel="0" collapsed="false">
      <c r="A31" s="2" t="n">
        <v>30</v>
      </c>
      <c r="B31" s="2" t="s">
        <v>447</v>
      </c>
      <c r="C31" s="2" t="s">
        <v>448</v>
      </c>
      <c r="D31" s="2" t="s">
        <v>144</v>
      </c>
      <c r="E31" s="2" t="s">
        <v>198</v>
      </c>
      <c r="F31" s="10" t="n">
        <f aca="false">IFERROR(INDEX(Sites!$K$2:$K$217,MATCH($B31,Sites!$A$2:$A$217,0)),"")</f>
        <v>36</v>
      </c>
      <c r="G31" s="17" t="s">
        <v>895</v>
      </c>
      <c r="H31" s="17"/>
      <c r="I31" s="2" t="str">
        <f aca="false">IFERROR(INDEX(Sites!$T$2:$T$217,MATCH($B31,Sites!$A$2:$A$217,0)),"")</f>
        <v>Yes</v>
      </c>
    </row>
    <row r="32" customFormat="false" ht="23.85" hidden="false" customHeight="false" outlineLevel="0" collapsed="false">
      <c r="A32" s="2" t="n">
        <v>31</v>
      </c>
      <c r="B32" s="2" t="s">
        <v>529</v>
      </c>
      <c r="C32" s="2" t="s">
        <v>530</v>
      </c>
      <c r="D32" s="2" t="s">
        <v>144</v>
      </c>
      <c r="E32" s="2" t="s">
        <v>187</v>
      </c>
      <c r="F32" s="10" t="n">
        <f aca="false">IFERROR(INDEX(Sites!$K$2:$K$217,MATCH($B32,Sites!$A$2:$A$217,0)),"")</f>
        <v>32</v>
      </c>
      <c r="G32" s="17" t="s">
        <v>896</v>
      </c>
      <c r="H32" s="17"/>
      <c r="I32" s="2" t="str">
        <f aca="false">IFERROR(INDEX(Sites!$T$2:$T$217,MATCH($B32,Sites!$A$2:$A$217,0)),"")</f>
        <v>Yes</v>
      </c>
    </row>
    <row r="33" customFormat="false" ht="15" hidden="false" customHeight="false" outlineLevel="0" collapsed="false">
      <c r="A33" s="2" t="n">
        <v>32</v>
      </c>
      <c r="B33" s="2" t="s">
        <v>553</v>
      </c>
      <c r="C33" s="2" t="s">
        <v>554</v>
      </c>
      <c r="D33" s="2" t="s">
        <v>144</v>
      </c>
      <c r="E33" s="2" t="s">
        <v>187</v>
      </c>
      <c r="F33" s="10" t="n">
        <f aca="false">IFERROR(INDEX(Sites!$K$2:$K$217,MATCH($B33,Sites!$A$2:$A$217,0)),"")</f>
        <v>32</v>
      </c>
      <c r="G33" s="17" t="s">
        <v>897</v>
      </c>
      <c r="H33" s="17"/>
      <c r="I33" s="2" t="str">
        <f aca="false">IFERROR(INDEX(Sites!$T$2:$T$217,MATCH($B33,Sites!$A$2:$A$217,0)),"")</f>
        <v>Yes</v>
      </c>
    </row>
    <row r="34" customFormat="false" ht="15" hidden="false" customHeight="false" outlineLevel="0" collapsed="false">
      <c r="A34" s="2" t="n">
        <v>33</v>
      </c>
      <c r="B34" s="2" t="s">
        <v>550</v>
      </c>
      <c r="C34" s="2" t="s">
        <v>551</v>
      </c>
      <c r="D34" s="2" t="s">
        <v>141</v>
      </c>
      <c r="E34" s="2" t="s">
        <v>187</v>
      </c>
      <c r="F34" s="10" t="n">
        <f aca="false">IFERROR(INDEX(Sites!$K$2:$K$217,MATCH($B34,Sites!$A$2:$A$217,0)),"")</f>
        <v>31</v>
      </c>
      <c r="G34" s="17" t="s">
        <v>898</v>
      </c>
      <c r="H34" s="17"/>
      <c r="I34" s="2" t="str">
        <f aca="false">IFERROR(INDEX(Sites!$T$2:$T$217,MATCH($B34,Sites!$A$2:$A$217,0)),"")</f>
        <v>Yes</v>
      </c>
    </row>
    <row r="35" customFormat="false" ht="15" hidden="false" customHeight="false" outlineLevel="0" collapsed="false">
      <c r="A35" s="2" t="n">
        <v>34</v>
      </c>
      <c r="B35" s="2" t="s">
        <v>752</v>
      </c>
      <c r="C35" s="2" t="s">
        <v>753</v>
      </c>
      <c r="D35" s="2" t="s">
        <v>139</v>
      </c>
      <c r="E35" s="2" t="s">
        <v>668</v>
      </c>
      <c r="F35" s="10" t="n">
        <f aca="false">IFERROR(INDEX(Sites!$K$2:$K$217,MATCH($B35,Sites!$A$2:$A$217,0)),"")</f>
        <v>31</v>
      </c>
      <c r="G35" s="17" t="s">
        <v>871</v>
      </c>
      <c r="H35" s="17" t="s">
        <v>755</v>
      </c>
      <c r="I35" s="2" t="str">
        <f aca="false">IFERROR(INDEX(Sites!$T$2:$T$217,MATCH($B35,Sites!$A$2:$A$217,0)),"")</f>
        <v>Yes</v>
      </c>
    </row>
    <row r="36" customFormat="false" ht="15" hidden="false" customHeight="false" outlineLevel="0" collapsed="false">
      <c r="A36" s="2" t="n">
        <v>35</v>
      </c>
      <c r="B36" s="2" t="s">
        <v>463</v>
      </c>
      <c r="C36" s="2" t="s">
        <v>464</v>
      </c>
      <c r="D36" s="2" t="s">
        <v>144</v>
      </c>
      <c r="E36" s="2" t="s">
        <v>194</v>
      </c>
      <c r="F36" s="10" t="n">
        <f aca="false">IFERROR(INDEX(Sites!$K$2:$K$217,MATCH($B36,Sites!$A$2:$A$217,0)),"")</f>
        <v>30</v>
      </c>
      <c r="G36" s="17" t="s">
        <v>899</v>
      </c>
      <c r="H36" s="17"/>
      <c r="I36" s="2" t="str">
        <f aca="false">IFERROR(INDEX(Sites!$T$2:$T$217,MATCH($B36,Sites!$A$2:$A$217,0)),"")</f>
        <v>Yes</v>
      </c>
    </row>
    <row r="37" customFormat="false" ht="15" hidden="false" customHeight="false" outlineLevel="0" collapsed="false">
      <c r="A37" s="2" t="n">
        <v>36</v>
      </c>
      <c r="B37" s="2" t="s">
        <v>689</v>
      </c>
      <c r="C37" s="2" t="s">
        <v>690</v>
      </c>
      <c r="D37" s="2" t="s">
        <v>139</v>
      </c>
      <c r="E37" s="2" t="s">
        <v>187</v>
      </c>
      <c r="F37" s="10" t="n">
        <f aca="false">IFERROR(INDEX(Sites!$K$2:$K$217,MATCH($B37,Sites!$A$2:$A$217,0)),"")</f>
        <v>30</v>
      </c>
      <c r="G37" s="17" t="s">
        <v>900</v>
      </c>
      <c r="H37" s="17"/>
      <c r="I37" s="2" t="str">
        <f aca="false">IFERROR(INDEX(Sites!$T$2:$T$217,MATCH($B37,Sites!$A$2:$A$217,0)),"")</f>
        <v>Yes</v>
      </c>
    </row>
    <row r="38" customFormat="false" ht="35.05" hidden="false" customHeight="false" outlineLevel="0" collapsed="false">
      <c r="A38" s="2" t="n">
        <v>37</v>
      </c>
      <c r="B38" s="2" t="s">
        <v>756</v>
      </c>
      <c r="C38" s="2" t="s">
        <v>757</v>
      </c>
      <c r="D38" s="2" t="s">
        <v>139</v>
      </c>
      <c r="E38" s="2" t="s">
        <v>187</v>
      </c>
      <c r="F38" s="10" t="n">
        <f aca="false">IFERROR(INDEX(Sites!$K$2:$K$217,MATCH($B38,Sites!$A$2:$A$217,0)),"")</f>
        <v>30</v>
      </c>
      <c r="G38" s="17" t="s">
        <v>901</v>
      </c>
      <c r="H38" s="17" t="s">
        <v>759</v>
      </c>
      <c r="I38" s="2" t="str">
        <f aca="false">IFERROR(INDEX(Sites!$T$2:$T$217,MATCH($B38,Sites!$A$2:$A$217,0)),"")</f>
        <v>Yes</v>
      </c>
    </row>
    <row r="39" customFormat="false" ht="35.05" hidden="false" customHeight="false" outlineLevel="0" collapsed="false">
      <c r="A39" s="2" t="n">
        <v>38</v>
      </c>
      <c r="B39" s="2" t="s">
        <v>794</v>
      </c>
      <c r="C39" s="2" t="s">
        <v>795</v>
      </c>
      <c r="D39" s="2" t="s">
        <v>139</v>
      </c>
      <c r="E39" s="2" t="s">
        <v>700</v>
      </c>
      <c r="F39" s="10" t="n">
        <f aca="false">IFERROR(INDEX(Sites!$K$2:$K$217,MATCH($B39,Sites!$A$2:$A$217,0)),"")</f>
        <v>30</v>
      </c>
      <c r="G39" s="17" t="s">
        <v>902</v>
      </c>
      <c r="H39" s="17" t="s">
        <v>797</v>
      </c>
      <c r="I39" s="2" t="str">
        <f aca="false">IFERROR(INDEX(Sites!$T$2:$T$217,MATCH($B39,Sites!$A$2:$A$217,0)),"")</f>
        <v>Yes</v>
      </c>
    </row>
    <row r="40" customFormat="false" ht="23.85" hidden="false" customHeight="false" outlineLevel="0" collapsed="false">
      <c r="A40" s="2" t="n">
        <v>39</v>
      </c>
      <c r="B40" s="2" t="s">
        <v>685</v>
      </c>
      <c r="C40" s="2" t="s">
        <v>686</v>
      </c>
      <c r="D40" s="2" t="s">
        <v>139</v>
      </c>
      <c r="E40" s="2" t="s">
        <v>187</v>
      </c>
      <c r="F40" s="10" t="n">
        <f aca="false">IFERROR(INDEX(Sites!$K$2:$K$217,MATCH($B40,Sites!$A$2:$A$217,0)),"")</f>
        <v>29</v>
      </c>
      <c r="G40" s="17" t="s">
        <v>903</v>
      </c>
      <c r="H40" s="17" t="s">
        <v>688</v>
      </c>
      <c r="I40" s="2" t="str">
        <f aca="false">IFERROR(INDEX(Sites!$T$2:$T$217,MATCH($B40,Sites!$A$2:$A$217,0)),"")</f>
        <v>Yes</v>
      </c>
    </row>
    <row r="41" customFormat="false" ht="15" hidden="false" customHeight="false" outlineLevel="0" collapsed="false">
      <c r="A41" s="2" t="n">
        <v>40</v>
      </c>
      <c r="B41" s="2" t="s">
        <v>547</v>
      </c>
      <c r="C41" s="2" t="s">
        <v>548</v>
      </c>
      <c r="D41" s="2" t="s">
        <v>144</v>
      </c>
      <c r="E41" s="2" t="s">
        <v>187</v>
      </c>
      <c r="F41" s="10" t="n">
        <f aca="false">IFERROR(INDEX(Sites!$K$2:$K$217,MATCH($B41,Sites!$A$2:$A$217,0)),"")</f>
        <v>27</v>
      </c>
      <c r="G41" s="17" t="s">
        <v>904</v>
      </c>
      <c r="H41" s="17"/>
      <c r="I41" s="2" t="str">
        <f aca="false">IFERROR(INDEX(Sites!$T$2:$T$217,MATCH($B41,Sites!$A$2:$A$217,0)),"")</f>
        <v>Yes</v>
      </c>
    </row>
    <row r="42" customFormat="false" ht="23.85" hidden="false" customHeight="false" outlineLevel="0" collapsed="false">
      <c r="A42" s="2" t="n">
        <v>41</v>
      </c>
      <c r="B42" s="2" t="s">
        <v>582</v>
      </c>
      <c r="C42" s="2" t="s">
        <v>583</v>
      </c>
      <c r="D42" s="2" t="s">
        <v>144</v>
      </c>
      <c r="E42" s="2" t="s">
        <v>194</v>
      </c>
      <c r="F42" s="10" t="n">
        <f aca="false">IFERROR(INDEX(Sites!$K$2:$K$217,MATCH($B42,Sites!$A$2:$A$217,0)),"")</f>
        <v>26</v>
      </c>
      <c r="G42" s="17" t="s">
        <v>905</v>
      </c>
      <c r="H42" s="17"/>
      <c r="I42" s="2" t="str">
        <f aca="false">IFERROR(INDEX(Sites!$T$2:$T$217,MATCH($B42,Sites!$A$2:$A$217,0)),"")</f>
        <v>Yes</v>
      </c>
    </row>
    <row r="43" customFormat="false" ht="15" hidden="false" customHeight="false" outlineLevel="0" collapsed="false">
      <c r="A43" s="2" t="n">
        <v>42</v>
      </c>
      <c r="B43" s="2" t="s">
        <v>472</v>
      </c>
      <c r="C43" s="2" t="s">
        <v>473</v>
      </c>
      <c r="D43" s="2" t="s">
        <v>144</v>
      </c>
      <c r="E43" s="2" t="s">
        <v>187</v>
      </c>
      <c r="F43" s="10" t="n">
        <f aca="false">IFERROR(INDEX(Sites!$K$2:$K$217,MATCH($B43,Sites!$A$2:$A$217,0)),"")</f>
        <v>25</v>
      </c>
      <c r="G43" s="17" t="s">
        <v>906</v>
      </c>
      <c r="H43" s="17"/>
      <c r="I43" s="2" t="str">
        <f aca="false">IFERROR(INDEX(Sites!$T$2:$T$217,MATCH($B43,Sites!$A$2:$A$217,0)),"")</f>
        <v>Yes</v>
      </c>
    </row>
    <row r="44" customFormat="false" ht="15" hidden="false" customHeight="false" outlineLevel="0" collapsed="false">
      <c r="A44" s="2" t="n">
        <v>43</v>
      </c>
      <c r="B44" s="2" t="s">
        <v>236</v>
      </c>
      <c r="C44" s="2" t="s">
        <v>237</v>
      </c>
      <c r="D44" s="2" t="s">
        <v>136</v>
      </c>
      <c r="E44" s="2" t="s">
        <v>187</v>
      </c>
      <c r="F44" s="10" t="n">
        <f aca="false">IFERROR(INDEX(Sites!$K$2:$K$217,MATCH($B44,Sites!$A$2:$A$217,0)),"")</f>
        <v>24</v>
      </c>
      <c r="G44" s="17" t="s">
        <v>907</v>
      </c>
      <c r="H44" s="17"/>
      <c r="I44" s="2" t="str">
        <f aca="false">IFERROR(INDEX(Sites!$T$2:$T$217,MATCH($B44,Sites!$A$2:$A$217,0)),"")</f>
        <v>Yes</v>
      </c>
    </row>
    <row r="45" customFormat="false" ht="15" hidden="false" customHeight="false" outlineLevel="0" collapsed="false">
      <c r="A45" s="2" t="n">
        <v>44</v>
      </c>
      <c r="B45" s="2" t="s">
        <v>390</v>
      </c>
      <c r="C45" s="2" t="s">
        <v>391</v>
      </c>
      <c r="D45" s="2" t="s">
        <v>139</v>
      </c>
      <c r="E45" s="2" t="s">
        <v>251</v>
      </c>
      <c r="F45" s="10" t="n">
        <f aca="false">IFERROR(INDEX(Sites!$K$2:$K$217,MATCH($B45,Sites!$A$2:$A$217,0)),"")</f>
        <v>24</v>
      </c>
      <c r="G45" s="17" t="s">
        <v>908</v>
      </c>
      <c r="H45" s="17"/>
      <c r="I45" s="2" t="str">
        <f aca="false">IFERROR(INDEX(Sites!$T$2:$T$217,MATCH($B45,Sites!$A$2:$A$217,0)),"")</f>
        <v>Yes</v>
      </c>
    </row>
    <row r="46" customFormat="false" ht="23.85" hidden="false" customHeight="false" outlineLevel="0" collapsed="false">
      <c r="A46" s="2" t="n">
        <v>45</v>
      </c>
      <c r="B46" s="2" t="s">
        <v>851</v>
      </c>
      <c r="C46" s="2" t="s">
        <v>852</v>
      </c>
      <c r="D46" s="2" t="s">
        <v>139</v>
      </c>
      <c r="E46" s="2" t="s">
        <v>668</v>
      </c>
      <c r="F46" s="10" t="n">
        <f aca="false">IFERROR(INDEX(Sites!$K$2:$K$217,MATCH($B46,Sites!$A$2:$A$217,0)),"")</f>
        <v>23</v>
      </c>
      <c r="G46" s="17" t="s">
        <v>909</v>
      </c>
      <c r="H46" s="17" t="s">
        <v>854</v>
      </c>
      <c r="I46" s="2" t="str">
        <f aca="false">IFERROR(INDEX(Sites!$T$2:$T$217,MATCH($B46,Sites!$A$2:$A$217,0)),"")</f>
        <v>Yes</v>
      </c>
    </row>
    <row r="47" customFormat="false" ht="15" hidden="false" customHeight="false" outlineLevel="0" collapsed="false">
      <c r="A47" s="2" t="n">
        <v>46</v>
      </c>
      <c r="B47" s="2" t="s">
        <v>276</v>
      </c>
      <c r="C47" s="2" t="s">
        <v>277</v>
      </c>
      <c r="D47" s="2" t="s">
        <v>139</v>
      </c>
      <c r="E47" s="2" t="s">
        <v>187</v>
      </c>
      <c r="F47" s="10" t="n">
        <f aca="false">IFERROR(INDEX(Sites!$K$2:$K$217,MATCH($B47,Sites!$A$2:$A$217,0)),"")</f>
        <v>22</v>
      </c>
      <c r="G47" s="17" t="s">
        <v>910</v>
      </c>
      <c r="H47" s="17"/>
      <c r="I47" s="2" t="str">
        <f aca="false">IFERROR(INDEX(Sites!$T$2:$T$217,MATCH($B47,Sites!$A$2:$A$217,0)),"")</f>
        <v>Yes</v>
      </c>
    </row>
    <row r="48" customFormat="false" ht="23.85" hidden="false" customHeight="false" outlineLevel="0" collapsed="false">
      <c r="A48" s="2" t="n">
        <v>47</v>
      </c>
      <c r="B48" s="2" t="s">
        <v>466</v>
      </c>
      <c r="C48" s="2" t="s">
        <v>467</v>
      </c>
      <c r="D48" s="2" t="s">
        <v>144</v>
      </c>
      <c r="E48" s="2" t="s">
        <v>187</v>
      </c>
      <c r="F48" s="10" t="n">
        <f aca="false">IFERROR(INDEX(Sites!$K$2:$K$217,MATCH($B48,Sites!$A$2:$A$217,0)),"")</f>
        <v>22</v>
      </c>
      <c r="G48" s="17" t="s">
        <v>911</v>
      </c>
      <c r="H48" s="17"/>
      <c r="I48" s="2" t="str">
        <f aca="false">IFERROR(INDEX(Sites!$T$2:$T$217,MATCH($B48,Sites!$A$2:$A$217,0)),"")</f>
        <v>Yes</v>
      </c>
    </row>
    <row r="49" customFormat="false" ht="23.85" hidden="false" customHeight="false" outlineLevel="0" collapsed="false">
      <c r="A49" s="2" t="n">
        <v>48</v>
      </c>
      <c r="B49" s="2" t="s">
        <v>360</v>
      </c>
      <c r="C49" s="2" t="s">
        <v>361</v>
      </c>
      <c r="D49" s="2" t="s">
        <v>144</v>
      </c>
      <c r="E49" s="2" t="s">
        <v>198</v>
      </c>
      <c r="F49" s="10" t="n">
        <f aca="false">IFERROR(INDEX(Sites!$K$2:$K$217,MATCH($B49,Sites!$A$2:$A$217,0)),"")</f>
        <v>21</v>
      </c>
      <c r="G49" s="17" t="s">
        <v>912</v>
      </c>
      <c r="H49" s="17"/>
      <c r="I49" s="2" t="str">
        <f aca="false">IFERROR(INDEX(Sites!$T$2:$T$217,MATCH($B49,Sites!$A$2:$A$217,0)),"")</f>
        <v>Yes</v>
      </c>
    </row>
    <row r="50" customFormat="false" ht="15" hidden="false" customHeight="false" outlineLevel="0" collapsed="false">
      <c r="A50" s="2" t="n">
        <v>49</v>
      </c>
      <c r="B50" s="2" t="s">
        <v>523</v>
      </c>
      <c r="C50" s="2" t="s">
        <v>524</v>
      </c>
      <c r="D50" s="2" t="s">
        <v>139</v>
      </c>
      <c r="E50" s="2" t="s">
        <v>187</v>
      </c>
      <c r="F50" s="10" t="n">
        <f aca="false">IFERROR(INDEX(Sites!$K$2:$K$217,MATCH($B50,Sites!$A$2:$A$217,0)),"")</f>
        <v>21</v>
      </c>
      <c r="G50" s="17" t="s">
        <v>913</v>
      </c>
      <c r="H50" s="17"/>
      <c r="I50" s="2" t="str">
        <f aca="false">IFERROR(INDEX(Sites!$T$2:$T$217,MATCH($B50,Sites!$A$2:$A$217,0)),"")</f>
        <v>Yes</v>
      </c>
    </row>
    <row r="51" customFormat="false" ht="15" hidden="false" customHeight="false" outlineLevel="0" collapsed="false">
      <c r="A51" s="2" t="n">
        <v>50</v>
      </c>
      <c r="B51" s="2" t="s">
        <v>679</v>
      </c>
      <c r="C51" s="2" t="s">
        <v>680</v>
      </c>
      <c r="D51" s="2" t="s">
        <v>140</v>
      </c>
      <c r="E51" s="2" t="s">
        <v>187</v>
      </c>
      <c r="F51" s="10" t="n">
        <f aca="false">IFERROR(INDEX(Sites!$K$2:$K$217,MATCH($B51,Sites!$A$2:$A$217,0)),"")</f>
        <v>21</v>
      </c>
      <c r="G51" s="17" t="s">
        <v>914</v>
      </c>
      <c r="H51" s="17"/>
      <c r="I51" s="2" t="str">
        <f aca="false">IFERROR(INDEX(Sites!$T$2:$T$217,MATCH($B51,Sites!$A$2:$A$217,0)),"")</f>
        <v>Yes</v>
      </c>
    </row>
    <row r="52" customFormat="false" ht="23.85" hidden="false" customHeight="false" outlineLevel="0" collapsed="false">
      <c r="A52" s="2" t="n">
        <v>51</v>
      </c>
      <c r="B52" s="2" t="s">
        <v>484</v>
      </c>
      <c r="C52" s="2" t="s">
        <v>485</v>
      </c>
      <c r="D52" s="2" t="s">
        <v>139</v>
      </c>
      <c r="E52" s="2" t="s">
        <v>198</v>
      </c>
      <c r="F52" s="10" t="n">
        <f aca="false">IFERROR(INDEX(Sites!$K$2:$K$217,MATCH($B52,Sites!$A$2:$A$217,0)),"")</f>
        <v>20</v>
      </c>
      <c r="G52" s="17" t="s">
        <v>915</v>
      </c>
      <c r="H52" s="17"/>
      <c r="I52" s="2" t="str">
        <f aca="false">IFERROR(INDEX(Sites!$T$2:$T$217,MATCH($B52,Sites!$A$2:$A$217,0)),"")</f>
        <v>Yes</v>
      </c>
    </row>
    <row r="53" customFormat="false" ht="23.85" hidden="false" customHeight="false" outlineLevel="0" collapsed="false">
      <c r="A53" s="2" t="n">
        <v>52</v>
      </c>
      <c r="B53" s="2" t="s">
        <v>327</v>
      </c>
      <c r="C53" s="2" t="s">
        <v>328</v>
      </c>
      <c r="D53" s="2" t="s">
        <v>144</v>
      </c>
      <c r="E53" s="2" t="s">
        <v>198</v>
      </c>
      <c r="F53" s="10" t="n">
        <f aca="false">IFERROR(INDEX(Sites!$K$2:$K$217,MATCH($B53,Sites!$A$2:$A$217,0)),"")</f>
        <v>19</v>
      </c>
      <c r="G53" s="17" t="s">
        <v>916</v>
      </c>
      <c r="H53" s="17"/>
      <c r="I53" s="2" t="str">
        <f aca="false">IFERROR(INDEX(Sites!$T$2:$T$217,MATCH($B53,Sites!$A$2:$A$217,0)),"")</f>
        <v>Yes</v>
      </c>
    </row>
    <row r="54" customFormat="false" ht="23.85" hidden="false" customHeight="false" outlineLevel="0" collapsed="false">
      <c r="A54" s="2" t="n">
        <v>53</v>
      </c>
      <c r="B54" s="2" t="s">
        <v>205</v>
      </c>
      <c r="C54" s="2" t="s">
        <v>206</v>
      </c>
      <c r="D54" s="2" t="s">
        <v>144</v>
      </c>
      <c r="E54" s="2" t="s">
        <v>208</v>
      </c>
      <c r="F54" s="10" t="n">
        <f aca="false">IFERROR(INDEX(Sites!$K$2:$K$217,MATCH($B54,Sites!$A$2:$A$217,0)),"")</f>
        <v>18</v>
      </c>
      <c r="G54" s="17" t="s">
        <v>917</v>
      </c>
      <c r="H54" s="17"/>
      <c r="I54" s="2" t="str">
        <f aca="false">IFERROR(INDEX(Sites!$T$2:$T$217,MATCH($B54,Sites!$A$2:$A$217,0)),"")</f>
        <v>Yes</v>
      </c>
    </row>
    <row r="55" customFormat="false" ht="15" hidden="false" customHeight="false" outlineLevel="0" collapsed="false">
      <c r="A55" s="2" t="n">
        <v>54</v>
      </c>
      <c r="B55" s="2" t="s">
        <v>585</v>
      </c>
      <c r="C55" s="2" t="s">
        <v>586</v>
      </c>
      <c r="D55" s="2" t="s">
        <v>144</v>
      </c>
      <c r="E55" s="2" t="s">
        <v>187</v>
      </c>
      <c r="F55" s="10" t="n">
        <f aca="false">IFERROR(INDEX(Sites!$K$2:$K$217,MATCH($B55,Sites!$A$2:$A$217,0)),"")</f>
        <v>18</v>
      </c>
      <c r="G55" s="17" t="s">
        <v>918</v>
      </c>
      <c r="H55" s="17"/>
      <c r="I55" s="2" t="str">
        <f aca="false">IFERROR(INDEX(Sites!$T$2:$T$217,MATCH($B55,Sites!$A$2:$A$217,0)),"")</f>
        <v>Yes</v>
      </c>
    </row>
    <row r="56" customFormat="false" ht="23.85" hidden="false" customHeight="false" outlineLevel="0" collapsed="false">
      <c r="A56" s="2" t="n">
        <v>55</v>
      </c>
      <c r="B56" s="2" t="s">
        <v>411</v>
      </c>
      <c r="C56" s="2" t="s">
        <v>412</v>
      </c>
      <c r="D56" s="2" t="s">
        <v>144</v>
      </c>
      <c r="E56" s="2" t="s">
        <v>187</v>
      </c>
      <c r="F56" s="10" t="n">
        <f aca="false">IFERROR(INDEX(Sites!$K$2:$K$217,MATCH($B56,Sites!$A$2:$A$217,0)),"")</f>
        <v>17</v>
      </c>
      <c r="G56" s="17" t="s">
        <v>919</v>
      </c>
      <c r="H56" s="17"/>
      <c r="I56" s="2" t="str">
        <f aca="false">IFERROR(INDEX(Sites!$T$2:$T$217,MATCH($B56,Sites!$A$2:$A$217,0)),"")</f>
        <v>Yes</v>
      </c>
    </row>
    <row r="57" customFormat="false" ht="15" hidden="false" customHeight="false" outlineLevel="0" collapsed="false">
      <c r="A57" s="2" t="n">
        <v>56</v>
      </c>
      <c r="B57" s="2" t="s">
        <v>638</v>
      </c>
      <c r="C57" s="2" t="s">
        <v>639</v>
      </c>
      <c r="D57" s="2" t="s">
        <v>144</v>
      </c>
      <c r="E57" s="2" t="s">
        <v>187</v>
      </c>
      <c r="F57" s="10" t="n">
        <f aca="false">IFERROR(INDEX(Sites!$K$2:$K$217,MATCH($B57,Sites!$A$2:$A$217,0)),"")</f>
        <v>17</v>
      </c>
      <c r="G57" s="17" t="s">
        <v>920</v>
      </c>
      <c r="H57" s="17"/>
      <c r="I57" s="2" t="str">
        <f aca="false">IFERROR(INDEX(Sites!$T$2:$T$217,MATCH($B57,Sites!$A$2:$A$217,0)),"")</f>
        <v>Yes</v>
      </c>
    </row>
    <row r="58" customFormat="false" ht="15" hidden="false" customHeight="false" outlineLevel="0" collapsed="false">
      <c r="A58" s="2" t="n">
        <v>57</v>
      </c>
      <c r="B58" s="2" t="s">
        <v>405</v>
      </c>
      <c r="C58" s="2" t="s">
        <v>406</v>
      </c>
      <c r="D58" s="2" t="s">
        <v>144</v>
      </c>
      <c r="E58" s="2" t="s">
        <v>187</v>
      </c>
      <c r="F58" s="10" t="n">
        <f aca="false">IFERROR(INDEX(Sites!$K$2:$K$217,MATCH($B58,Sites!$A$2:$A$217,0)),"")</f>
        <v>16</v>
      </c>
      <c r="G58" s="17" t="s">
        <v>921</v>
      </c>
      <c r="H58" s="17"/>
      <c r="I58" s="2" t="str">
        <f aca="false">IFERROR(INDEX(Sites!$T$2:$T$217,MATCH($B58,Sites!$A$2:$A$217,0)),"")</f>
        <v>Yes</v>
      </c>
    </row>
    <row r="59" customFormat="false" ht="15" hidden="false" customHeight="false" outlineLevel="0" collapsed="false">
      <c r="A59" s="2" t="n">
        <v>58</v>
      </c>
      <c r="B59" s="2" t="s">
        <v>609</v>
      </c>
      <c r="C59" s="2" t="s">
        <v>610</v>
      </c>
      <c r="D59" s="2" t="s">
        <v>144</v>
      </c>
      <c r="E59" s="2" t="s">
        <v>187</v>
      </c>
      <c r="F59" s="10" t="n">
        <f aca="false">IFERROR(INDEX(Sites!$K$2:$K$217,MATCH($B59,Sites!$A$2:$A$217,0)),"")</f>
        <v>15</v>
      </c>
      <c r="G59" s="17" t="s">
        <v>922</v>
      </c>
      <c r="H59" s="17"/>
      <c r="I59" s="2" t="str">
        <f aca="false">IFERROR(INDEX(Sites!$T$2:$T$217,MATCH($B59,Sites!$A$2:$A$217,0)),"")</f>
        <v>Yes</v>
      </c>
    </row>
    <row r="60" customFormat="false" ht="35.05" hidden="false" customHeight="false" outlineLevel="0" collapsed="false">
      <c r="A60" s="2" t="n">
        <v>59</v>
      </c>
      <c r="B60" s="2" t="s">
        <v>724</v>
      </c>
      <c r="C60" s="2" t="s">
        <v>725</v>
      </c>
      <c r="D60" s="2" t="s">
        <v>139</v>
      </c>
      <c r="E60" s="2" t="s">
        <v>187</v>
      </c>
      <c r="F60" s="10" t="n">
        <f aca="false">IFERROR(INDEX(Sites!$K$2:$K$217,MATCH($B60,Sites!$A$2:$A$217,0)),"")</f>
        <v>15</v>
      </c>
      <c r="G60" s="17" t="s">
        <v>871</v>
      </c>
      <c r="H60" s="17" t="s">
        <v>727</v>
      </c>
      <c r="I60" s="2" t="str">
        <f aca="false">IFERROR(INDEX(Sites!$T$2:$T$217,MATCH($B60,Sites!$A$2:$A$217,0)),"")</f>
        <v>Yes</v>
      </c>
    </row>
    <row r="61" customFormat="false" ht="15" hidden="false" customHeight="false" outlineLevel="0" collapsed="false">
      <c r="A61" s="2" t="n">
        <v>60</v>
      </c>
      <c r="B61" s="2" t="s">
        <v>728</v>
      </c>
      <c r="C61" s="2" t="s">
        <v>729</v>
      </c>
      <c r="D61" s="2" t="s">
        <v>139</v>
      </c>
      <c r="E61" s="2" t="s">
        <v>187</v>
      </c>
      <c r="F61" s="10" t="n">
        <f aca="false">IFERROR(INDEX(Sites!$K$2:$K$217,MATCH($B61,Sites!$A$2:$A$217,0)),"")</f>
        <v>15</v>
      </c>
      <c r="G61" s="17" t="s">
        <v>923</v>
      </c>
      <c r="H61" s="17"/>
      <c r="I61" s="2" t="str">
        <f aca="false">IFERROR(INDEX(Sites!$T$2:$T$217,MATCH($B61,Sites!$A$2:$A$217,0)),"")</f>
        <v>Yes</v>
      </c>
    </row>
    <row r="62" customFormat="false" ht="15" hidden="false" customHeight="false" outlineLevel="0" collapsed="false">
      <c r="A62" s="2" t="n">
        <v>61</v>
      </c>
      <c r="B62" s="2" t="s">
        <v>487</v>
      </c>
      <c r="C62" s="2" t="s">
        <v>488</v>
      </c>
      <c r="D62" s="2" t="s">
        <v>141</v>
      </c>
      <c r="E62" s="2" t="s">
        <v>187</v>
      </c>
      <c r="F62" s="10" t="n">
        <f aca="false">IFERROR(INDEX(Sites!$K$2:$K$217,MATCH($B62,Sites!$A$2:$A$217,0)),"")</f>
        <v>14</v>
      </c>
      <c r="G62" s="17" t="s">
        <v>924</v>
      </c>
      <c r="H62" s="17"/>
      <c r="I62" s="2" t="str">
        <f aca="false">IFERROR(INDEX(Sites!$T$2:$T$217,MATCH($B62,Sites!$A$2:$A$217,0)),"")</f>
        <v>Yes</v>
      </c>
    </row>
    <row r="63" customFormat="false" ht="15" hidden="false" customHeight="false" outlineLevel="0" collapsed="false">
      <c r="A63" s="2" t="n">
        <v>62</v>
      </c>
      <c r="B63" s="2" t="s">
        <v>562</v>
      </c>
      <c r="C63" s="2" t="s">
        <v>563</v>
      </c>
      <c r="D63" s="2" t="s">
        <v>144</v>
      </c>
      <c r="E63" s="2" t="s">
        <v>187</v>
      </c>
      <c r="F63" s="10" t="n">
        <f aca="false">IFERROR(INDEX(Sites!$K$2:$K$217,MATCH($B63,Sites!$A$2:$A$217,0)),"")</f>
        <v>14</v>
      </c>
      <c r="G63" s="17" t="s">
        <v>925</v>
      </c>
      <c r="H63" s="17"/>
      <c r="I63" s="2" t="str">
        <f aca="false">IFERROR(INDEX(Sites!$T$2:$T$217,MATCH($B63,Sites!$A$2:$A$217,0)),"")</f>
        <v>Yes</v>
      </c>
    </row>
    <row r="64" customFormat="false" ht="15" hidden="false" customHeight="false" outlineLevel="0" collapsed="false">
      <c r="A64" s="2" t="n">
        <v>63</v>
      </c>
      <c r="B64" s="2" t="s">
        <v>606</v>
      </c>
      <c r="C64" s="2" t="s">
        <v>607</v>
      </c>
      <c r="D64" s="2" t="s">
        <v>144</v>
      </c>
      <c r="E64" s="2" t="s">
        <v>187</v>
      </c>
      <c r="F64" s="10" t="n">
        <f aca="false">IFERROR(INDEX(Sites!$K$2:$K$217,MATCH($B64,Sites!$A$2:$A$217,0)),"")</f>
        <v>14</v>
      </c>
      <c r="G64" s="17" t="s">
        <v>926</v>
      </c>
      <c r="H64" s="17"/>
      <c r="I64" s="2" t="str">
        <f aca="false">IFERROR(INDEX(Sites!$T$2:$T$217,MATCH($B64,Sites!$A$2:$A$217,0)),"")</f>
        <v>Yes</v>
      </c>
    </row>
    <row r="65" customFormat="false" ht="23.85" hidden="false" customHeight="false" outlineLevel="0" collapsed="false">
      <c r="A65" s="2" t="n">
        <v>64</v>
      </c>
      <c r="B65" s="2" t="s">
        <v>438</v>
      </c>
      <c r="C65" s="2" t="s">
        <v>439</v>
      </c>
      <c r="D65" s="2" t="s">
        <v>144</v>
      </c>
      <c r="E65" s="2" t="s">
        <v>194</v>
      </c>
      <c r="F65" s="10" t="n">
        <f aca="false">IFERROR(INDEX(Sites!$K$2:$K$217,MATCH($B65,Sites!$A$2:$A$217,0)),"")</f>
        <v>13</v>
      </c>
      <c r="G65" s="17" t="s">
        <v>927</v>
      </c>
      <c r="H65" s="17"/>
      <c r="I65" s="2" t="str">
        <f aca="false">IFERROR(INDEX(Sites!$T$2:$T$217,MATCH($B65,Sites!$A$2:$A$217,0)),"")</f>
        <v>Yes</v>
      </c>
    </row>
    <row r="66" customFormat="false" ht="23.85" hidden="false" customHeight="false" outlineLevel="0" collapsed="false">
      <c r="A66" s="2" t="n">
        <v>65</v>
      </c>
      <c r="B66" s="2" t="s">
        <v>826</v>
      </c>
      <c r="C66" s="2" t="s">
        <v>827</v>
      </c>
      <c r="D66" s="2" t="s">
        <v>139</v>
      </c>
      <c r="E66" s="2" t="s">
        <v>700</v>
      </c>
      <c r="F66" s="10" t="n">
        <f aca="false">IFERROR(INDEX(Sites!$K$2:$K$217,MATCH($B66,Sites!$A$2:$A$217,0)),"")</f>
        <v>13</v>
      </c>
      <c r="G66" s="17" t="s">
        <v>928</v>
      </c>
      <c r="H66" s="17" t="s">
        <v>829</v>
      </c>
      <c r="I66" s="2" t="str">
        <f aca="false">IFERROR(INDEX(Sites!$T$2:$T$217,MATCH($B66,Sites!$A$2:$A$217,0)),"")</f>
        <v>Yes</v>
      </c>
    </row>
    <row r="67" customFormat="false" ht="15" hidden="false" customHeight="false" outlineLevel="0" collapsed="false">
      <c r="A67" s="2" t="n">
        <v>66</v>
      </c>
      <c r="B67" s="2" t="s">
        <v>624</v>
      </c>
      <c r="C67" s="2" t="s">
        <v>625</v>
      </c>
      <c r="D67" s="2" t="s">
        <v>144</v>
      </c>
      <c r="E67" s="2" t="s">
        <v>187</v>
      </c>
      <c r="F67" s="10" t="n">
        <f aca="false">IFERROR(INDEX(Sites!$K$2:$K$217,MATCH($B67,Sites!$A$2:$A$217,0)),"")</f>
        <v>12</v>
      </c>
      <c r="G67" s="17" t="s">
        <v>929</v>
      </c>
      <c r="H67" s="17"/>
      <c r="I67" s="2" t="str">
        <f aca="false">IFERROR(INDEX(Sites!$T$2:$T$217,MATCH($B67,Sites!$A$2:$A$217,0)),"")</f>
        <v>Yes</v>
      </c>
    </row>
    <row r="68" customFormat="false" ht="23.85" hidden="false" customHeight="false" outlineLevel="0" collapsed="false">
      <c r="A68" s="2" t="n">
        <v>67</v>
      </c>
      <c r="B68" s="2" t="s">
        <v>381</v>
      </c>
      <c r="C68" s="2" t="s">
        <v>382</v>
      </c>
      <c r="D68" s="2" t="s">
        <v>144</v>
      </c>
      <c r="E68" s="2" t="s">
        <v>198</v>
      </c>
      <c r="F68" s="10" t="n">
        <f aca="false">IFERROR(INDEX(Sites!$K$2:$K$217,MATCH($B68,Sites!$A$2:$A$217,0)),"")</f>
        <v>11</v>
      </c>
      <c r="G68" s="17" t="s">
        <v>930</v>
      </c>
      <c r="H68" s="17"/>
      <c r="I68" s="2" t="str">
        <f aca="false">IFERROR(INDEX(Sites!$T$2:$T$217,MATCH($B68,Sites!$A$2:$A$217,0)),"")</f>
        <v>Yes</v>
      </c>
    </row>
    <row r="69" customFormat="false" ht="23.85" hidden="false" customHeight="false" outlineLevel="0" collapsed="false">
      <c r="A69" s="2" t="n">
        <v>68</v>
      </c>
      <c r="B69" s="2" t="s">
        <v>571</v>
      </c>
      <c r="C69" s="2" t="s">
        <v>494</v>
      </c>
      <c r="D69" s="2" t="s">
        <v>139</v>
      </c>
      <c r="E69" s="2" t="s">
        <v>187</v>
      </c>
      <c r="F69" s="10" t="n">
        <f aca="false">IFERROR(INDEX(Sites!$K$2:$K$217,MATCH($B69,Sites!$A$2:$A$217,0)),"")</f>
        <v>11</v>
      </c>
      <c r="G69" s="17" t="s">
        <v>931</v>
      </c>
      <c r="H69" s="17"/>
      <c r="I69" s="2" t="str">
        <f aca="false">IFERROR(INDEX(Sites!$T$2:$T$217,MATCH($B69,Sites!$A$2:$A$217,0)),"")</f>
        <v>Yes</v>
      </c>
    </row>
    <row r="70" customFormat="false" ht="15" hidden="false" customHeight="false" outlineLevel="0" collapsed="false">
      <c r="A70" s="2" t="n">
        <v>69</v>
      </c>
      <c r="B70" s="2" t="s">
        <v>357</v>
      </c>
      <c r="C70" s="2" t="s">
        <v>358</v>
      </c>
      <c r="D70" s="2" t="s">
        <v>144</v>
      </c>
      <c r="E70" s="2" t="s">
        <v>198</v>
      </c>
      <c r="F70" s="10" t="n">
        <f aca="false">IFERROR(INDEX(Sites!$K$2:$K$217,MATCH($B70,Sites!$A$2:$A$217,0)),"")</f>
        <v>10</v>
      </c>
      <c r="G70" s="17" t="s">
        <v>932</v>
      </c>
      <c r="H70" s="17"/>
      <c r="I70" s="2" t="str">
        <f aca="false">IFERROR(INDEX(Sites!$T$2:$T$217,MATCH($B70,Sites!$A$2:$A$217,0)),"")</f>
        <v>Yes</v>
      </c>
    </row>
    <row r="71" customFormat="false" ht="15" hidden="false" customHeight="false" outlineLevel="0" collapsed="false">
      <c r="A71" s="2" t="n">
        <v>70</v>
      </c>
      <c r="B71" s="2" t="s">
        <v>375</v>
      </c>
      <c r="C71" s="2" t="s">
        <v>376</v>
      </c>
      <c r="D71" s="2" t="s">
        <v>144</v>
      </c>
      <c r="E71" s="2" t="s">
        <v>198</v>
      </c>
      <c r="F71" s="10" t="n">
        <f aca="false">IFERROR(INDEX(Sites!$K$2:$K$217,MATCH($B71,Sites!$A$2:$A$217,0)),"")</f>
        <v>9</v>
      </c>
      <c r="G71" s="17" t="s">
        <v>933</v>
      </c>
      <c r="H71" s="17"/>
      <c r="I71" s="2" t="str">
        <f aca="false">IFERROR(INDEX(Sites!$T$2:$T$217,MATCH($B71,Sites!$A$2:$A$217,0)),"")</f>
        <v>Yes</v>
      </c>
    </row>
    <row r="72" customFormat="false" ht="15" hidden="false" customHeight="false" outlineLevel="0" collapsed="false">
      <c r="A72" s="2" t="n">
        <v>71</v>
      </c>
      <c r="B72" s="2" t="s">
        <v>469</v>
      </c>
      <c r="C72" s="2" t="s">
        <v>470</v>
      </c>
      <c r="D72" s="2" t="s">
        <v>144</v>
      </c>
      <c r="E72" s="2" t="s">
        <v>187</v>
      </c>
      <c r="F72" s="10" t="n">
        <f aca="false">IFERROR(INDEX(Sites!$K$2:$K$217,MATCH($B72,Sites!$A$2:$A$217,0)),"")</f>
        <v>8</v>
      </c>
      <c r="G72" s="17" t="s">
        <v>934</v>
      </c>
      <c r="H72" s="17"/>
      <c r="I72" s="2" t="str">
        <f aca="false">IFERROR(INDEX(Sites!$T$2:$T$217,MATCH($B72,Sites!$A$2:$A$217,0)),"")</f>
        <v>Yes</v>
      </c>
    </row>
    <row r="73" customFormat="false" ht="15" hidden="false" customHeight="false" outlineLevel="0" collapsed="false">
      <c r="A73" s="2" t="n">
        <v>72</v>
      </c>
      <c r="B73" s="2" t="s">
        <v>644</v>
      </c>
      <c r="C73" s="2" t="s">
        <v>645</v>
      </c>
      <c r="D73" s="2" t="s">
        <v>144</v>
      </c>
      <c r="E73" s="2" t="s">
        <v>187</v>
      </c>
      <c r="F73" s="10" t="n">
        <f aca="false">IFERROR(INDEX(Sites!$K$2:$K$217,MATCH($B73,Sites!$A$2:$A$217,0)),"")</f>
        <v>8</v>
      </c>
      <c r="G73" s="17" t="s">
        <v>935</v>
      </c>
      <c r="H73" s="17"/>
      <c r="I73" s="2" t="str">
        <f aca="false">IFERROR(INDEX(Sites!$T$2:$T$217,MATCH($B73,Sites!$A$2:$A$217,0)),"")</f>
        <v>Yes</v>
      </c>
    </row>
    <row r="74" customFormat="false" ht="15" hidden="false" customHeight="false" outlineLevel="0" collapsed="false">
      <c r="A74" s="2" t="n">
        <v>73</v>
      </c>
      <c r="B74" s="2" t="s">
        <v>282</v>
      </c>
      <c r="C74" s="2" t="s">
        <v>283</v>
      </c>
      <c r="D74" s="2" t="s">
        <v>139</v>
      </c>
      <c r="E74" s="2" t="s">
        <v>198</v>
      </c>
      <c r="F74" s="10" t="n">
        <f aca="false">IFERROR(INDEX(Sites!$K$2:$K$217,MATCH($B74,Sites!$A$2:$A$217,0)),"")</f>
        <v>7</v>
      </c>
      <c r="G74" s="17" t="s">
        <v>936</v>
      </c>
      <c r="H74" s="17"/>
      <c r="I74" s="2" t="str">
        <f aca="false">IFERROR(INDEX(Sites!$T$2:$T$217,MATCH($B74,Sites!$A$2:$A$217,0)),"")</f>
        <v>Yes</v>
      </c>
    </row>
    <row r="75" customFormat="false" ht="15" hidden="false" customHeight="false" outlineLevel="0" collapsed="false">
      <c r="A75" s="2" t="n">
        <v>74</v>
      </c>
      <c r="B75" s="2" t="s">
        <v>641</v>
      </c>
      <c r="C75" s="2" t="s">
        <v>642</v>
      </c>
      <c r="D75" s="2" t="s">
        <v>131</v>
      </c>
      <c r="E75" s="2" t="s">
        <v>187</v>
      </c>
      <c r="F75" s="10" t="n">
        <f aca="false">IFERROR(INDEX(Sites!$K$2:$K$217,MATCH($B75,Sites!$A$2:$A$217,0)),"")</f>
        <v>7</v>
      </c>
      <c r="G75" s="17" t="s">
        <v>937</v>
      </c>
      <c r="H75" s="17"/>
      <c r="I75" s="2" t="str">
        <f aca="false">IFERROR(INDEX(Sites!$T$2:$T$217,MATCH($B75,Sites!$A$2:$A$217,0)),"")</f>
        <v>Yes</v>
      </c>
    </row>
    <row r="76" customFormat="false" ht="35.05" hidden="false" customHeight="false" outlineLevel="0" collapsed="false">
      <c r="A76" s="2" t="n">
        <v>75</v>
      </c>
      <c r="B76" s="2" t="s">
        <v>717</v>
      </c>
      <c r="C76" s="2" t="s">
        <v>718</v>
      </c>
      <c r="D76" s="2" t="s">
        <v>144</v>
      </c>
      <c r="E76" s="2" t="s">
        <v>651</v>
      </c>
      <c r="F76" s="10" t="n">
        <f aca="false">IFERROR(INDEX(Sites!$K$2:$K$217,MATCH($B76,Sites!$A$2:$A$217,0)),"")</f>
        <v>7</v>
      </c>
      <c r="G76" s="17" t="s">
        <v>938</v>
      </c>
      <c r="H76" s="17" t="s">
        <v>720</v>
      </c>
      <c r="I76" s="2" t="str">
        <f aca="false">IFERROR(INDEX(Sites!$T$2:$T$217,MATCH($B76,Sites!$A$2:$A$217,0)),"")</f>
        <v>Yes</v>
      </c>
    </row>
    <row r="77" customFormat="false" ht="15" hidden="false" customHeight="false" outlineLevel="0" collapsed="false">
      <c r="A77" s="2" t="n">
        <v>76</v>
      </c>
      <c r="B77" s="2" t="s">
        <v>635</v>
      </c>
      <c r="C77" s="2" t="s">
        <v>636</v>
      </c>
      <c r="D77" s="2" t="s">
        <v>139</v>
      </c>
      <c r="E77" s="2" t="s">
        <v>251</v>
      </c>
      <c r="F77" s="10" t="n">
        <f aca="false">IFERROR(INDEX(Sites!$K$2:$K$217,MATCH($B77,Sites!$A$2:$A$217,0)),"")</f>
        <v>6</v>
      </c>
      <c r="G77" s="17" t="s">
        <v>939</v>
      </c>
      <c r="H77" s="17"/>
      <c r="I77" s="2" t="str">
        <f aca="false">IFERROR(INDEX(Sites!$T$2:$T$217,MATCH($B77,Sites!$A$2:$A$217,0)),"")</f>
        <v>Yes</v>
      </c>
    </row>
    <row r="78" customFormat="false" ht="23.85" hidden="false" customHeight="false" outlineLevel="0" collapsed="false">
      <c r="A78" s="2" t="n">
        <v>77</v>
      </c>
      <c r="B78" s="2" t="s">
        <v>731</v>
      </c>
      <c r="C78" s="2" t="s">
        <v>732</v>
      </c>
      <c r="D78" s="2" t="s">
        <v>139</v>
      </c>
      <c r="E78" s="2" t="s">
        <v>700</v>
      </c>
      <c r="F78" s="10" t="n">
        <f aca="false">IFERROR(INDEX(Sites!$K$2:$K$217,MATCH($B78,Sites!$A$2:$A$217,0)),"")</f>
        <v>6</v>
      </c>
      <c r="G78" s="17" t="s">
        <v>940</v>
      </c>
      <c r="H78" s="17" t="s">
        <v>734</v>
      </c>
      <c r="I78" s="2" t="str">
        <f aca="false">IFERROR(INDEX(Sites!$T$2:$T$217,MATCH($B78,Sites!$A$2:$A$217,0)),"")</f>
        <v>Yes</v>
      </c>
    </row>
    <row r="79" customFormat="false" ht="35.05" hidden="false" customHeight="false" outlineLevel="0" collapsed="false">
      <c r="A79" s="2" t="n">
        <v>78</v>
      </c>
      <c r="B79" s="2" t="s">
        <v>816</v>
      </c>
      <c r="C79" s="2" t="s">
        <v>817</v>
      </c>
      <c r="D79" s="2" t="s">
        <v>139</v>
      </c>
      <c r="E79" s="2" t="s">
        <v>700</v>
      </c>
      <c r="F79" s="10" t="n">
        <f aca="false">IFERROR(INDEX(Sites!$K$2:$K$217,MATCH($B79,Sites!$A$2:$A$217,0)),"")</f>
        <v>6</v>
      </c>
      <c r="G79" s="17" t="s">
        <v>871</v>
      </c>
      <c r="H79" s="17" t="s">
        <v>819</v>
      </c>
      <c r="I79" s="2" t="str">
        <f aca="false">IFERROR(INDEX(Sites!$T$2:$T$217,MATCH($B79,Sites!$A$2:$A$217,0)),"")</f>
        <v>Yes</v>
      </c>
    </row>
    <row r="80" customFormat="false" ht="15" hidden="false" customHeight="false" outlineLevel="0" collapsed="false">
      <c r="A80" s="2" t="n">
        <v>79</v>
      </c>
      <c r="B80" s="2" t="s">
        <v>441</v>
      </c>
      <c r="C80" s="2" t="s">
        <v>442</v>
      </c>
      <c r="D80" s="2" t="s">
        <v>144</v>
      </c>
      <c r="E80" s="2" t="s">
        <v>198</v>
      </c>
      <c r="F80" s="10" t="n">
        <f aca="false">IFERROR(INDEX(Sites!$K$2:$K$217,MATCH($B80,Sites!$A$2:$A$217,0)),"")</f>
        <v>5</v>
      </c>
      <c r="G80" s="17" t="s">
        <v>882</v>
      </c>
      <c r="H80" s="17"/>
      <c r="I80" s="2" t="str">
        <f aca="false">IFERROR(INDEX(Sites!$T$2:$T$217,MATCH($B80,Sites!$A$2:$A$217,0)),"")</f>
        <v>Yes</v>
      </c>
    </row>
    <row r="81" customFormat="false" ht="15" hidden="false" customHeight="false" outlineLevel="0" collapsed="false">
      <c r="A81" s="2" t="n">
        <v>80</v>
      </c>
      <c r="B81" s="2" t="s">
        <v>535</v>
      </c>
      <c r="C81" s="2" t="s">
        <v>536</v>
      </c>
      <c r="D81" s="2" t="s">
        <v>144</v>
      </c>
      <c r="E81" s="2" t="s">
        <v>187</v>
      </c>
      <c r="F81" s="10" t="n">
        <f aca="false">IFERROR(INDEX(Sites!$K$2:$K$217,MATCH($B81,Sites!$A$2:$A$217,0)),"")</f>
        <v>4</v>
      </c>
      <c r="G81" s="17" t="s">
        <v>941</v>
      </c>
      <c r="H81" s="17"/>
      <c r="I81" s="2" t="str">
        <f aca="false">IFERROR(INDEX(Sites!$T$2:$T$217,MATCH($B81,Sites!$A$2:$A$217,0)),"")</f>
        <v>Yes</v>
      </c>
    </row>
    <row r="82" customFormat="false" ht="15" hidden="false" customHeight="false" outlineLevel="0" collapsed="false">
      <c r="A82" s="2" t="n">
        <v>81</v>
      </c>
      <c r="B82" s="2" t="s">
        <v>573</v>
      </c>
      <c r="C82" s="2" t="s">
        <v>574</v>
      </c>
      <c r="D82" s="2" t="s">
        <v>144</v>
      </c>
      <c r="E82" s="2" t="s">
        <v>198</v>
      </c>
      <c r="F82" s="10" t="n">
        <f aca="false">IFERROR(INDEX(Sites!$K$2:$K$217,MATCH($B82,Sites!$A$2:$A$217,0)),"")</f>
        <v>4</v>
      </c>
      <c r="G82" s="17" t="s">
        <v>942</v>
      </c>
      <c r="H82" s="17"/>
      <c r="I82" s="2" t="str">
        <f aca="false">IFERROR(INDEX(Sites!$T$2:$T$217,MATCH($B82,Sites!$A$2:$A$217,0)),"")</f>
        <v>Yes</v>
      </c>
    </row>
    <row r="83" customFormat="false" ht="15" hidden="false" customHeight="false" outlineLevel="0" collapsed="false">
      <c r="A83" s="2" t="n">
        <v>82</v>
      </c>
      <c r="B83" s="2" t="s">
        <v>597</v>
      </c>
      <c r="C83" s="2" t="s">
        <v>598</v>
      </c>
      <c r="D83" s="2" t="s">
        <v>144</v>
      </c>
      <c r="E83" s="2" t="s">
        <v>187</v>
      </c>
      <c r="F83" s="10" t="n">
        <f aca="false">IFERROR(INDEX(Sites!$K$2:$K$217,MATCH($B83,Sites!$A$2:$A$217,0)),"")</f>
        <v>4</v>
      </c>
      <c r="G83" s="17" t="s">
        <v>943</v>
      </c>
      <c r="H83" s="17"/>
      <c r="I83" s="2" t="str">
        <f aca="false">IFERROR(INDEX(Sites!$T$2:$T$217,MATCH($B83,Sites!$A$2:$A$217,0)),"")</f>
        <v>Yes</v>
      </c>
    </row>
    <row r="84" customFormat="false" ht="15" hidden="false" customHeight="false" outlineLevel="0" collapsed="false">
      <c r="A84" s="2" t="n">
        <v>83</v>
      </c>
      <c r="B84" s="2" t="s">
        <v>745</v>
      </c>
      <c r="C84" s="2" t="s">
        <v>746</v>
      </c>
      <c r="D84" s="2" t="s">
        <v>139</v>
      </c>
      <c r="E84" s="2" t="s">
        <v>700</v>
      </c>
      <c r="F84" s="10" t="n">
        <f aca="false">IFERROR(INDEX(Sites!$K$2:$K$217,MATCH($B84,Sites!$A$2:$A$217,0)),"")</f>
        <v>4</v>
      </c>
      <c r="G84" s="17" t="s">
        <v>871</v>
      </c>
      <c r="H84" s="17" t="s">
        <v>748</v>
      </c>
      <c r="I84" s="2" t="str">
        <f aca="false">IFERROR(INDEX(Sites!$T$2:$T$217,MATCH($B84,Sites!$A$2:$A$217,0)),"")</f>
        <v>Yes</v>
      </c>
    </row>
    <row r="85" customFormat="false" ht="35.05" hidden="false" customHeight="false" outlineLevel="0" collapsed="false">
      <c r="A85" s="2" t="n">
        <v>84</v>
      </c>
      <c r="B85" s="2" t="s">
        <v>836</v>
      </c>
      <c r="C85" s="2" t="s">
        <v>837</v>
      </c>
      <c r="D85" s="2" t="s">
        <v>139</v>
      </c>
      <c r="E85" s="2" t="s">
        <v>700</v>
      </c>
      <c r="F85" s="10" t="n">
        <f aca="false">IFERROR(INDEX(Sites!$K$2:$K$217,MATCH($B85,Sites!$A$2:$A$217,0)),"")</f>
        <v>4</v>
      </c>
      <c r="G85" s="17" t="s">
        <v>871</v>
      </c>
      <c r="H85" s="17" t="s">
        <v>839</v>
      </c>
      <c r="I85" s="2" t="str">
        <f aca="false">IFERROR(INDEX(Sites!$T$2:$T$217,MATCH($B85,Sites!$A$2:$A$217,0)),"")</f>
        <v>Yes</v>
      </c>
    </row>
    <row r="86" customFormat="false" ht="15" hidden="false" customHeight="false" outlineLevel="0" collapsed="false">
      <c r="A86" s="2" t="n">
        <v>85</v>
      </c>
      <c r="B86" s="2" t="s">
        <v>351</v>
      </c>
      <c r="C86" s="2" t="s">
        <v>352</v>
      </c>
      <c r="D86" s="2" t="s">
        <v>144</v>
      </c>
      <c r="E86" s="2" t="s">
        <v>251</v>
      </c>
      <c r="F86" s="10" t="n">
        <f aca="false">IFERROR(INDEX(Sites!$K$2:$K$217,MATCH($B86,Sites!$A$2:$A$217,0)),"")</f>
        <v>3</v>
      </c>
      <c r="G86" s="17" t="s">
        <v>944</v>
      </c>
      <c r="H86" s="17"/>
      <c r="I86" s="2" t="str">
        <f aca="false">IFERROR(INDEX(Sites!$T$2:$T$217,MATCH($B86,Sites!$A$2:$A$217,0)),"")</f>
        <v>Yes</v>
      </c>
    </row>
    <row r="87" customFormat="false" ht="15" hidden="false" customHeight="false" outlineLevel="0" collapsed="false">
      <c r="A87" s="2" t="n">
        <v>86</v>
      </c>
      <c r="B87" s="2" t="s">
        <v>478</v>
      </c>
      <c r="C87" s="2" t="s">
        <v>479</v>
      </c>
      <c r="D87" s="2" t="s">
        <v>144</v>
      </c>
      <c r="E87" s="2" t="s">
        <v>187</v>
      </c>
      <c r="F87" s="10" t="n">
        <f aca="false">IFERROR(INDEX(Sites!$K$2:$K$217,MATCH($B87,Sites!$A$2:$A$217,0)),"")</f>
        <v>3</v>
      </c>
      <c r="G87" s="17" t="s">
        <v>945</v>
      </c>
      <c r="H87" s="17"/>
      <c r="I87" s="2" t="str">
        <f aca="false">IFERROR(INDEX(Sites!$T$2:$T$217,MATCH($B87,Sites!$A$2:$A$217,0)),"")</f>
        <v>Yes</v>
      </c>
    </row>
    <row r="88" customFormat="false" ht="15" hidden="false" customHeight="false" outlineLevel="0" collapsed="false">
      <c r="A88" s="2" t="n">
        <v>87</v>
      </c>
      <c r="B88" s="2" t="s">
        <v>490</v>
      </c>
      <c r="C88" s="2" t="s">
        <v>491</v>
      </c>
      <c r="D88" s="2" t="s">
        <v>144</v>
      </c>
      <c r="E88" s="2" t="s">
        <v>194</v>
      </c>
      <c r="F88" s="10" t="n">
        <f aca="false">IFERROR(INDEX(Sites!$K$2:$K$217,MATCH($B88,Sites!$A$2:$A$217,0)),"")</f>
        <v>3</v>
      </c>
      <c r="G88" s="17" t="s">
        <v>946</v>
      </c>
      <c r="H88" s="17"/>
      <c r="I88" s="2" t="str">
        <f aca="false">IFERROR(INDEX(Sites!$T$2:$T$217,MATCH($B88,Sites!$A$2:$A$217,0)),"")</f>
        <v>Yes</v>
      </c>
    </row>
    <row r="89" customFormat="false" ht="15" hidden="false" customHeight="false" outlineLevel="0" collapsed="false">
      <c r="A89" s="2" t="n">
        <v>88</v>
      </c>
      <c r="B89" s="2" t="s">
        <v>526</v>
      </c>
      <c r="C89" s="2" t="s">
        <v>527</v>
      </c>
      <c r="D89" s="2" t="s">
        <v>144</v>
      </c>
      <c r="E89" s="2" t="s">
        <v>187</v>
      </c>
      <c r="F89" s="10" t="n">
        <f aca="false">IFERROR(INDEX(Sites!$K$2:$K$217,MATCH($B89,Sites!$A$2:$A$217,0)),"")</f>
        <v>3</v>
      </c>
      <c r="G89" s="17" t="s">
        <v>947</v>
      </c>
      <c r="H89" s="17"/>
      <c r="I89" s="2" t="str">
        <f aca="false">IFERROR(INDEX(Sites!$T$2:$T$217,MATCH($B89,Sites!$A$2:$A$217,0)),"")</f>
        <v>Yes</v>
      </c>
    </row>
    <row r="90" customFormat="false" ht="15" hidden="false" customHeight="false" outlineLevel="0" collapsed="false">
      <c r="A90" s="2" t="n">
        <v>89</v>
      </c>
      <c r="B90" s="2" t="s">
        <v>647</v>
      </c>
      <c r="C90" s="2" t="s">
        <v>649</v>
      </c>
      <c r="D90" s="2" t="s">
        <v>144</v>
      </c>
      <c r="E90" s="2" t="s">
        <v>651</v>
      </c>
      <c r="F90" s="10" t="n">
        <f aca="false">IFERROR(INDEX(Sites!$K$2:$K$217,MATCH($B90,Sites!$A$2:$A$217,0)),"")</f>
        <v>3</v>
      </c>
      <c r="G90" s="17" t="s">
        <v>871</v>
      </c>
      <c r="H90" s="17" t="s">
        <v>652</v>
      </c>
      <c r="I90" s="2" t="str">
        <f aca="false">IFERROR(INDEX(Sites!$T$2:$T$217,MATCH($B90,Sites!$A$2:$A$217,0)),"")</f>
        <v>Yes</v>
      </c>
    </row>
    <row r="91" customFormat="false" ht="15" hidden="false" customHeight="false" outlineLevel="0" collapsed="false">
      <c r="A91" s="2" t="n">
        <v>90</v>
      </c>
      <c r="B91" s="2" t="s">
        <v>556</v>
      </c>
      <c r="C91" s="2" t="s">
        <v>557</v>
      </c>
      <c r="D91" s="2" t="s">
        <v>144</v>
      </c>
      <c r="E91" s="2" t="s">
        <v>194</v>
      </c>
      <c r="F91" s="10" t="n">
        <f aca="false">IFERROR(INDEX(Sites!$K$2:$K$217,MATCH($B91,Sites!$A$2:$A$217,0)),"")</f>
        <v>2</v>
      </c>
      <c r="G91" s="17" t="s">
        <v>948</v>
      </c>
      <c r="H91" s="17"/>
      <c r="I91" s="2" t="str">
        <f aca="false">IFERROR(INDEX(Sites!$T$2:$T$217,MATCH($B91,Sites!$A$2:$A$217,0)),"")</f>
        <v>Yes</v>
      </c>
    </row>
    <row r="92" customFormat="false" ht="15" hidden="false" customHeight="false" outlineLevel="0" collapsed="false">
      <c r="A92" s="2" t="n">
        <v>91</v>
      </c>
      <c r="B92" s="2" t="s">
        <v>612</v>
      </c>
      <c r="C92" s="2" t="s">
        <v>613</v>
      </c>
      <c r="D92" s="2" t="s">
        <v>144</v>
      </c>
      <c r="E92" s="2" t="s">
        <v>187</v>
      </c>
      <c r="F92" s="10" t="n">
        <f aca="false">IFERROR(INDEX(Sites!$K$2:$K$217,MATCH($B92,Sites!$A$2:$A$217,0)),"")</f>
        <v>1</v>
      </c>
      <c r="G92" s="17" t="s">
        <v>949</v>
      </c>
      <c r="H92" s="17"/>
      <c r="I92" s="2" t="str">
        <f aca="false">IFERROR(INDEX(Sites!$T$2:$T$217,MATCH($B92,Sites!$A$2:$A$217,0)),"")</f>
        <v>Yes</v>
      </c>
    </row>
    <row r="93" customFormat="false" ht="15" hidden="false" customHeight="false" outlineLevel="0" collapsed="false">
      <c r="A93" s="2" t="n">
        <v>92</v>
      </c>
      <c r="B93" s="2" t="s">
        <v>594</v>
      </c>
      <c r="C93" s="2" t="s">
        <v>595</v>
      </c>
      <c r="D93" s="2" t="s">
        <v>144</v>
      </c>
      <c r="E93" s="2" t="s">
        <v>187</v>
      </c>
      <c r="F93" s="10" t="n">
        <f aca="false">IFERROR(INDEX(Sites!$K$2:$K$217,MATCH($B93,Sites!$A$2:$A$217,0)),"")</f>
        <v>0</v>
      </c>
      <c r="G93" s="17" t="s">
        <v>950</v>
      </c>
      <c r="H93" s="17"/>
      <c r="I93" s="2" t="str">
        <f aca="false">IFERROR(INDEX(Sites!$T$2:$T$217,MATCH($B93,Sites!$A$2:$A$217,0)),"")</f>
        <v>Yes</v>
      </c>
    </row>
    <row r="94" customFormat="false" ht="15" hidden="false" customHeight="false" outlineLevel="0" collapsed="false">
      <c r="A94" s="2" t="n">
        <v>93</v>
      </c>
      <c r="B94" s="2" t="s">
        <v>675</v>
      </c>
      <c r="C94" s="2" t="s">
        <v>676</v>
      </c>
      <c r="D94" s="2" t="s">
        <v>144</v>
      </c>
      <c r="E94" s="2" t="s">
        <v>668</v>
      </c>
      <c r="F94" s="10" t="n">
        <f aca="false">IFERROR(INDEX(Sites!$K$2:$K$217,MATCH($B94,Sites!$A$2:$A$217,0)),"")</f>
        <v>0</v>
      </c>
      <c r="G94" s="17" t="s">
        <v>871</v>
      </c>
      <c r="H94" s="17" t="s">
        <v>678</v>
      </c>
      <c r="I94" s="2" t="str">
        <f aca="false">IFERROR(INDEX(Sites!$T$2:$T$217,MATCH($B94,Sites!$A$2:$A$217,0)),"")</f>
        <v>Yes</v>
      </c>
    </row>
    <row r="95" customFormat="false" ht="23.85" hidden="false" customHeight="false" outlineLevel="0" collapsed="false">
      <c r="A95" s="2" t="n">
        <v>94</v>
      </c>
      <c r="B95" s="2" t="s">
        <v>698</v>
      </c>
      <c r="C95" s="2" t="s">
        <v>699</v>
      </c>
      <c r="D95" s="2" t="s">
        <v>138</v>
      </c>
      <c r="E95" s="2" t="s">
        <v>700</v>
      </c>
      <c r="F95" s="10" t="n">
        <f aca="false">IFERROR(INDEX(Sites!$K$2:$K$217,MATCH($B95,Sites!$A$2:$A$217,0)),"")</f>
        <v>0</v>
      </c>
      <c r="G95" s="17" t="s">
        <v>951</v>
      </c>
      <c r="H95" s="17" t="s">
        <v>701</v>
      </c>
      <c r="I95" s="2" t="str">
        <f aca="false">IFERROR(INDEX(Sites!$T$2:$T$217,MATCH($B95,Sites!$A$2:$A$217,0)),"")</f>
        <v>Yes</v>
      </c>
    </row>
    <row r="96" customFormat="false" ht="35.05" hidden="false" customHeight="false" outlineLevel="0" collapsed="false">
      <c r="A96" s="2" t="n">
        <v>95</v>
      </c>
      <c r="B96" s="2" t="s">
        <v>705</v>
      </c>
      <c r="C96" s="2" t="s">
        <v>706</v>
      </c>
      <c r="D96" s="2" t="s">
        <v>142</v>
      </c>
      <c r="E96" s="2" t="s">
        <v>700</v>
      </c>
      <c r="F96" s="10" t="n">
        <f aca="false">IFERROR(INDEX(Sites!$K$2:$K$217,MATCH($B96,Sites!$A$2:$A$217,0)),"")</f>
        <v>0</v>
      </c>
      <c r="G96" s="17" t="s">
        <v>952</v>
      </c>
      <c r="H96" s="17" t="s">
        <v>707</v>
      </c>
      <c r="I96" s="2" t="str">
        <f aca="false">IFERROR(INDEX(Sites!$T$2:$T$217,MATCH($B96,Sites!$A$2:$A$217,0)),"")</f>
        <v>Yes</v>
      </c>
    </row>
    <row r="97" customFormat="false" ht="23.85" hidden="false" customHeight="false" outlineLevel="0" collapsed="false">
      <c r="A97" s="2" t="n">
        <v>96</v>
      </c>
      <c r="B97" s="2" t="s">
        <v>721</v>
      </c>
      <c r="C97" s="2" t="s">
        <v>722</v>
      </c>
      <c r="D97" s="2" t="s">
        <v>142</v>
      </c>
      <c r="E97" s="2" t="s">
        <v>700</v>
      </c>
      <c r="F97" s="10" t="n">
        <f aca="false">IFERROR(INDEX(Sites!$K$2:$K$217,MATCH($B97,Sites!$A$2:$A$217,0)),"")</f>
        <v>0</v>
      </c>
      <c r="G97" s="17" t="s">
        <v>952</v>
      </c>
      <c r="H97" s="17" t="s">
        <v>723</v>
      </c>
      <c r="I97" s="2" t="str">
        <f aca="false">IFERROR(INDEX(Sites!$T$2:$T$217,MATCH($B97,Sites!$A$2:$A$217,0)),"")</f>
        <v>Yes</v>
      </c>
    </row>
    <row r="98" customFormat="false" ht="35.05" hidden="false" customHeight="false" outlineLevel="0" collapsed="false">
      <c r="A98" s="2" t="n">
        <v>97</v>
      </c>
      <c r="B98" s="2" t="s">
        <v>735</v>
      </c>
      <c r="C98" s="2" t="s">
        <v>736</v>
      </c>
      <c r="D98" s="2" t="s">
        <v>139</v>
      </c>
      <c r="E98" s="2" t="s">
        <v>651</v>
      </c>
      <c r="F98" s="10" t="n">
        <f aca="false">IFERROR(INDEX(Sites!$K$2:$K$217,MATCH($B98,Sites!$A$2:$A$217,0)),"")</f>
        <v>0</v>
      </c>
      <c r="G98" s="17" t="s">
        <v>871</v>
      </c>
      <c r="H98" s="17" t="s">
        <v>738</v>
      </c>
      <c r="I98" s="2" t="str">
        <f aca="false">IFERROR(INDEX(Sites!$T$2:$T$217,MATCH($B98,Sites!$A$2:$A$217,0)),"")</f>
        <v>Yes</v>
      </c>
    </row>
    <row r="99" customFormat="false" ht="57.45" hidden="false" customHeight="false" outlineLevel="0" collapsed="false">
      <c r="A99" s="2" t="n">
        <v>98</v>
      </c>
      <c r="B99" s="2" t="s">
        <v>739</v>
      </c>
      <c r="C99" s="2" t="s">
        <v>740</v>
      </c>
      <c r="D99" s="2" t="s">
        <v>142</v>
      </c>
      <c r="E99" s="2" t="s">
        <v>700</v>
      </c>
      <c r="F99" s="10" t="n">
        <f aca="false">IFERROR(INDEX(Sites!$K$2:$K$217,MATCH($B99,Sites!$A$2:$A$217,0)),"")</f>
        <v>0</v>
      </c>
      <c r="G99" s="17" t="s">
        <v>952</v>
      </c>
      <c r="H99" s="17" t="s">
        <v>741</v>
      </c>
      <c r="I99" s="2" t="str">
        <f aca="false">IFERROR(INDEX(Sites!$T$2:$T$217,MATCH($B99,Sites!$A$2:$A$217,0)),"")</f>
        <v>Yes</v>
      </c>
    </row>
    <row r="100" customFormat="false" ht="15" hidden="false" customHeight="false" outlineLevel="0" collapsed="false">
      <c r="A100" s="2" t="n">
        <v>99</v>
      </c>
      <c r="B100" s="2" t="s">
        <v>760</v>
      </c>
      <c r="C100" s="2" t="s">
        <v>761</v>
      </c>
      <c r="D100" s="2" t="s">
        <v>139</v>
      </c>
      <c r="E100" s="2" t="s">
        <v>700</v>
      </c>
      <c r="F100" s="10" t="n">
        <f aca="false">IFERROR(INDEX(Sites!$K$2:$K$217,MATCH($B100,Sites!$A$2:$A$217,0)),"")</f>
        <v>0</v>
      </c>
      <c r="G100" s="17" t="s">
        <v>871</v>
      </c>
      <c r="H100" s="17" t="s">
        <v>763</v>
      </c>
      <c r="I100" s="2" t="str">
        <f aca="false">IFERROR(INDEX(Sites!$T$2:$T$217,MATCH($B100,Sites!$A$2:$A$217,0)),"")</f>
        <v>Yes</v>
      </c>
    </row>
    <row r="101" customFormat="false" ht="23.85" hidden="false" customHeight="false" outlineLevel="0" collapsed="false">
      <c r="A101" s="2" t="n">
        <v>100</v>
      </c>
      <c r="B101" s="2" t="s">
        <v>790</v>
      </c>
      <c r="C101" s="2" t="s">
        <v>791</v>
      </c>
      <c r="D101" s="2" t="s">
        <v>139</v>
      </c>
      <c r="E101" s="2" t="s">
        <v>700</v>
      </c>
      <c r="F101" s="10" t="n">
        <f aca="false">IFERROR(INDEX(Sites!$K$2:$K$217,MATCH($B101,Sites!$A$2:$A$217,0)),"")</f>
        <v>0</v>
      </c>
      <c r="G101" s="17" t="s">
        <v>871</v>
      </c>
      <c r="H101" s="17" t="s">
        <v>793</v>
      </c>
      <c r="I101" s="2" t="str">
        <f aca="false">IFERROR(INDEX(Sites!$T$2:$T$217,MATCH($B101,Sites!$A$2:$A$217,0)),"")</f>
        <v>Yes</v>
      </c>
    </row>
    <row r="102" customFormat="false" ht="15" hidden="false" customHeight="false" outlineLevel="0" collapsed="false">
      <c r="A102" s="2" t="n">
        <v>101</v>
      </c>
      <c r="B102" s="2" t="s">
        <v>810</v>
      </c>
      <c r="C102" s="2" t="s">
        <v>811</v>
      </c>
      <c r="D102" s="2" t="s">
        <v>132</v>
      </c>
      <c r="E102" s="2" t="s">
        <v>700</v>
      </c>
      <c r="F102" s="10" t="n">
        <f aca="false">IFERROR(INDEX(Sites!$K$2:$K$217,MATCH($B102,Sites!$A$2:$A$217,0)),"")</f>
        <v>0</v>
      </c>
      <c r="G102" s="17" t="s">
        <v>953</v>
      </c>
      <c r="H102" s="17"/>
      <c r="I102" s="2" t="str">
        <f aca="false">IFERROR(INDEX(Sites!$T$2:$T$217,MATCH($B102,Sites!$A$2:$A$217,0)),"")</f>
        <v>No</v>
      </c>
    </row>
    <row r="103" customFormat="false" ht="23.85" hidden="false" customHeight="false" outlineLevel="0" collapsed="false">
      <c r="A103" s="2" t="n">
        <v>102</v>
      </c>
      <c r="B103" s="2" t="s">
        <v>840</v>
      </c>
      <c r="C103" s="2" t="s">
        <v>841</v>
      </c>
      <c r="D103" s="2" t="s">
        <v>139</v>
      </c>
      <c r="E103" s="2" t="s">
        <v>700</v>
      </c>
      <c r="F103" s="10" t="n">
        <f aca="false">IFERROR(INDEX(Sites!$K$2:$K$217,MATCH($B103,Sites!$A$2:$A$217,0)),"")</f>
        <v>0</v>
      </c>
      <c r="G103" s="17" t="s">
        <v>954</v>
      </c>
      <c r="H103" s="17" t="s">
        <v>843</v>
      </c>
      <c r="I103" s="2" t="str">
        <f aca="false">IFERROR(INDEX(Sites!$T$2:$T$217,MATCH($B103,Sites!$A$2:$A$217,0)),"")</f>
        <v>Yes</v>
      </c>
    </row>
    <row r="104" customFormat="false" ht="35.05" hidden="false" customHeight="false" outlineLevel="0" collapsed="false">
      <c r="A104" s="2" t="n">
        <v>103</v>
      </c>
      <c r="B104" s="2" t="s">
        <v>844</v>
      </c>
      <c r="C104" s="2" t="s">
        <v>845</v>
      </c>
      <c r="D104" s="2" t="s">
        <v>140</v>
      </c>
      <c r="E104" s="2" t="s">
        <v>700</v>
      </c>
      <c r="F104" s="10" t="n">
        <f aca="false">IFERROR(INDEX(Sites!$K$2:$K$217,MATCH($B104,Sites!$A$2:$A$217,0)),"")</f>
        <v>0</v>
      </c>
      <c r="G104" s="17" t="s">
        <v>871</v>
      </c>
      <c r="H104" s="17" t="s">
        <v>847</v>
      </c>
      <c r="I104" s="2" t="str">
        <f aca="false">IFERROR(INDEX(Sites!$T$2:$T$217,MATCH($B104,Sites!$A$2:$A$217,0)),"")</f>
        <v>Yes</v>
      </c>
    </row>
  </sheetData>
  <autoFilter ref="A1:I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3" min="1" style="0" width="11"/>
    <col collapsed="false" customWidth="true" hidden="false" outlineLevel="0" max="4" min="4" style="0" width="40"/>
    <col collapsed="false" customWidth="true" hidden="false" outlineLevel="0" max="5" min="5" style="0" width="30"/>
    <col collapsed="false" customWidth="true" hidden="false" outlineLevel="0" max="6" min="6" style="0" width="18"/>
    <col collapsed="false" customWidth="true" hidden="false" outlineLevel="0" max="7" min="7" style="0" width="16"/>
    <col collapsed="false" customWidth="true" hidden="false" outlineLevel="0" max="12" min="8" style="0" width="11"/>
    <col collapsed="false" customWidth="true" hidden="false" outlineLevel="0" max="13" min="13" style="0" width="18"/>
    <col collapsed="false" customWidth="true" hidden="false" outlineLevel="0" max="14" min="14" style="0" width="11"/>
    <col collapsed="false" customWidth="true" hidden="false" outlineLevel="0" max="15" min="15" style="0" width="20"/>
    <col collapsed="false" customWidth="true" hidden="false" outlineLevel="0" max="16" min="16" style="0" width="14"/>
    <col collapsed="false" customWidth="true" hidden="false" outlineLevel="0" max="19" min="17" style="0" width="11"/>
    <col collapsed="false" customWidth="true" hidden="false" outlineLevel="0" max="20" min="20" style="0" width="22"/>
    <col collapsed="false" customWidth="true" hidden="false" outlineLevel="0" max="21" min="21" style="0" width="11"/>
    <col collapsed="false" customWidth="true" hidden="false" outlineLevel="0" max="22" min="22" style="0" width="44"/>
    <col collapsed="false" customWidth="true" hidden="false" outlineLevel="0" max="23" min="23" style="0" width="11"/>
    <col collapsed="false" customWidth="true" hidden="false" outlineLevel="0" max="24" min="24" style="0" width="20"/>
    <col collapsed="false" customWidth="true" hidden="false" outlineLevel="0" max="25" min="25" style="0" width="22"/>
    <col collapsed="false" customWidth="true" hidden="false" outlineLevel="0" max="31" min="26" style="0" width="11"/>
    <col collapsed="false" customWidth="true" hidden="false" outlineLevel="0" max="32" min="32" style="0" width="14"/>
    <col collapsed="false" customWidth="true" hidden="false" outlineLevel="0" max="33" min="33" style="0" width="20"/>
    <col collapsed="false" customWidth="true" hidden="false" outlineLevel="0" max="34" min="34" style="0" width="22"/>
    <col collapsed="false" customWidth="true" hidden="false" outlineLevel="0" max="40" min="35" style="0" width="11"/>
    <col collapsed="false" customWidth="true" hidden="false" outlineLevel="0" max="41" min="41" style="0" width="24"/>
    <col collapsed="false" customWidth="true" hidden="false" outlineLevel="0" max="51" min="42" style="0" width="11"/>
    <col collapsed="false" customWidth="true" hidden="false" outlineLevel="0" max="52" min="52" style="0" width="44"/>
    <col collapsed="false" customWidth="true" hidden="false" outlineLevel="0" max="53" min="53" style="0" width="16"/>
    <col collapsed="false" customWidth="true" hidden="false" outlineLevel="0" max="54" min="54" style="0" width="11"/>
    <col collapsed="false" customWidth="true" hidden="false" outlineLevel="0" max="55" min="55" style="0" width="18"/>
    <col collapsed="false" customWidth="true" hidden="false" outlineLevel="0" max="57" min="56" style="0" width="11"/>
    <col collapsed="false" customWidth="true" hidden="false" outlineLevel="0" max="58" min="58" style="0" width="16"/>
    <col collapsed="false" customWidth="true" hidden="false" outlineLevel="0" max="60" min="59" style="0" width="11"/>
    <col collapsed="false" customWidth="true" hidden="false" outlineLevel="0" max="61" min="61" style="0" width="28"/>
    <col collapsed="false" customWidth="true" hidden="false" outlineLevel="0" max="64" min="62" style="0" width="11"/>
    <col collapsed="false" customWidth="true" hidden="false" outlineLevel="0" max="65" min="65" style="0" width="36"/>
    <col collapsed="false" customWidth="true" hidden="false" outlineLevel="0" max="66" min="66" style="0" width="50"/>
    <col collapsed="false" customWidth="true" hidden="false" outlineLevel="0" max="67" min="67" style="0" width="28"/>
    <col collapsed="false" customWidth="true" hidden="false" outlineLevel="0" max="69" min="68" style="0" width="11"/>
    <col collapsed="false" customWidth="true" hidden="false" outlineLevel="0" max="70" min="70" style="0" width="34"/>
    <col collapsed="false" customWidth="true" hidden="false" outlineLevel="0" max="76" min="71" style="0" width="11"/>
  </cols>
  <sheetData>
    <row r="1" customFormat="false" ht="45" hidden="false" customHeight="true" outlineLevel="0" collapsed="false">
      <c r="A1" s="13" t="s">
        <v>955</v>
      </c>
      <c r="B1" s="13" t="s">
        <v>163</v>
      </c>
      <c r="C1" s="13" t="s">
        <v>956</v>
      </c>
      <c r="D1" s="13" t="s">
        <v>957</v>
      </c>
      <c r="E1" s="13" t="s">
        <v>166</v>
      </c>
      <c r="F1" s="13" t="s">
        <v>127</v>
      </c>
      <c r="G1" s="13" t="s">
        <v>958</v>
      </c>
      <c r="H1" s="13" t="s">
        <v>959</v>
      </c>
      <c r="I1" s="13" t="s">
        <v>960</v>
      </c>
      <c r="J1" s="13" t="s">
        <v>961</v>
      </c>
      <c r="K1" s="13" t="s">
        <v>962</v>
      </c>
      <c r="L1" s="13" t="s">
        <v>963</v>
      </c>
      <c r="M1" s="13" t="s">
        <v>964</v>
      </c>
      <c r="N1" s="13" t="s">
        <v>965</v>
      </c>
      <c r="O1" s="13" t="s">
        <v>966</v>
      </c>
      <c r="P1" s="13" t="s">
        <v>967</v>
      </c>
      <c r="Q1" s="13" t="s">
        <v>39</v>
      </c>
      <c r="R1" s="13" t="s">
        <v>968</v>
      </c>
      <c r="S1" s="13" t="s">
        <v>85</v>
      </c>
      <c r="T1" s="18" t="s">
        <v>969</v>
      </c>
      <c r="U1" s="18" t="s">
        <v>970</v>
      </c>
      <c r="V1" s="18" t="s">
        <v>971</v>
      </c>
      <c r="W1" s="18" t="s">
        <v>972</v>
      </c>
      <c r="X1" s="18" t="s">
        <v>973</v>
      </c>
      <c r="Y1" s="18" t="s">
        <v>116</v>
      </c>
      <c r="Z1" s="18" t="s">
        <v>974</v>
      </c>
      <c r="AA1" s="13" t="s">
        <v>975</v>
      </c>
      <c r="AB1" s="13" t="s">
        <v>976</v>
      </c>
      <c r="AC1" s="13" t="s">
        <v>977</v>
      </c>
      <c r="AD1" s="13" t="s">
        <v>978</v>
      </c>
      <c r="AE1" s="13" t="s">
        <v>979</v>
      </c>
      <c r="AF1" s="13" t="s">
        <v>980</v>
      </c>
      <c r="AG1" s="13" t="s">
        <v>37</v>
      </c>
      <c r="AH1" s="13" t="s">
        <v>981</v>
      </c>
      <c r="AI1" s="13" t="s">
        <v>171</v>
      </c>
      <c r="AJ1" s="13" t="s">
        <v>982</v>
      </c>
      <c r="AK1" s="13" t="s">
        <v>174</v>
      </c>
      <c r="AL1" s="13" t="s">
        <v>172</v>
      </c>
      <c r="AM1" s="13" t="s">
        <v>173</v>
      </c>
      <c r="AN1" s="13" t="s">
        <v>983</v>
      </c>
      <c r="AO1" s="19" t="s">
        <v>984</v>
      </c>
      <c r="AP1" s="19" t="s">
        <v>105</v>
      </c>
      <c r="AQ1" s="19" t="s">
        <v>106</v>
      </c>
      <c r="AR1" s="19" t="s">
        <v>107</v>
      </c>
      <c r="AS1" s="19" t="s">
        <v>108</v>
      </c>
      <c r="AT1" s="19" t="s">
        <v>109</v>
      </c>
      <c r="AU1" s="19" t="s">
        <v>110</v>
      </c>
      <c r="AV1" s="19" t="s">
        <v>985</v>
      </c>
      <c r="AW1" s="19" t="s">
        <v>986</v>
      </c>
      <c r="AX1" s="19" t="s">
        <v>987</v>
      </c>
      <c r="AY1" s="19" t="s">
        <v>988</v>
      </c>
      <c r="AZ1" s="19" t="s">
        <v>989</v>
      </c>
      <c r="BA1" s="20" t="s">
        <v>990</v>
      </c>
      <c r="BB1" s="20" t="s">
        <v>991</v>
      </c>
      <c r="BC1" s="20" t="s">
        <v>992</v>
      </c>
      <c r="BD1" s="20" t="s">
        <v>993</v>
      </c>
      <c r="BE1" s="20" t="s">
        <v>994</v>
      </c>
      <c r="BF1" s="20" t="s">
        <v>995</v>
      </c>
      <c r="BG1" s="20" t="s">
        <v>996</v>
      </c>
      <c r="BH1" s="20" t="s">
        <v>997</v>
      </c>
      <c r="BI1" s="20" t="s">
        <v>998</v>
      </c>
      <c r="BJ1" s="20" t="s">
        <v>999</v>
      </c>
      <c r="BK1" s="20" t="s">
        <v>1000</v>
      </c>
      <c r="BL1" s="20" t="s">
        <v>1001</v>
      </c>
      <c r="BM1" s="20" t="s">
        <v>1002</v>
      </c>
      <c r="BN1" s="20" t="s">
        <v>1003</v>
      </c>
      <c r="BO1" s="20" t="s">
        <v>1004</v>
      </c>
      <c r="BP1" s="20" t="s">
        <v>1005</v>
      </c>
      <c r="BQ1" s="20" t="s">
        <v>1006</v>
      </c>
      <c r="BR1" s="20" t="s">
        <v>147</v>
      </c>
      <c r="BS1" s="21" t="s">
        <v>1007</v>
      </c>
      <c r="BT1" s="21" t="s">
        <v>1008</v>
      </c>
      <c r="BU1" s="21" t="s">
        <v>1009</v>
      </c>
      <c r="BV1" s="21" t="s">
        <v>1010</v>
      </c>
      <c r="BW1" s="21" t="s">
        <v>1011</v>
      </c>
      <c r="BX1" s="21" t="s">
        <v>1012</v>
      </c>
    </row>
    <row r="2" customFormat="false" ht="15" hidden="false" customHeight="false" outlineLevel="0" collapsed="false">
      <c r="A2" s="2" t="n">
        <v>1005377</v>
      </c>
      <c r="B2" s="2" t="s">
        <v>390</v>
      </c>
      <c r="C2" s="2" t="s">
        <v>1013</v>
      </c>
      <c r="D2" s="2" t="s">
        <v>391</v>
      </c>
      <c r="E2" s="2" t="s">
        <v>392</v>
      </c>
      <c r="F2" s="2" t="s">
        <v>139</v>
      </c>
      <c r="G2" s="2" t="s">
        <v>251</v>
      </c>
      <c r="H2" s="2" t="s">
        <v>1014</v>
      </c>
      <c r="I2" s="2" t="s">
        <v>1015</v>
      </c>
      <c r="J2" s="22" t="n">
        <v>43325</v>
      </c>
      <c r="K2" s="22" t="n">
        <v>43377</v>
      </c>
      <c r="L2" s="22" t="n">
        <v>45838.4726495023</v>
      </c>
      <c r="M2" s="2" t="s">
        <v>1016</v>
      </c>
      <c r="N2" s="2" t="s">
        <v>121</v>
      </c>
      <c r="O2" s="2"/>
      <c r="P2" s="2" t="s">
        <v>1017</v>
      </c>
      <c r="Q2" s="10" t="n">
        <v>24</v>
      </c>
      <c r="R2" s="10" t="n">
        <v>18</v>
      </c>
      <c r="S2" s="10"/>
      <c r="T2" s="2" t="s">
        <v>122</v>
      </c>
      <c r="U2" s="2" t="s">
        <v>1018</v>
      </c>
      <c r="V2" s="2" t="s">
        <v>1019</v>
      </c>
      <c r="W2" s="2" t="s">
        <v>1020</v>
      </c>
      <c r="X2" s="7"/>
      <c r="Y2" s="2" t="str">
        <f aca="false">IF(X2&lt;&gt;"",X2,T2)</f>
        <v>Extension of duration (parent not in CIS)</v>
      </c>
      <c r="Z2" s="2" t="str">
        <f aca="false">IF(OR(Y2="Primary",Y2="Additional phase",Y2="Additional application on site",Y2="Replaces earlier",Y2="Extension of duration (parent not in CIS)"),"Yes","No")</f>
        <v>Yes</v>
      </c>
      <c r="AA2" s="2"/>
      <c r="AB2" s="2" t="n">
        <f aca="false">IF(L2="","",ROUND((Method!$B$4-L2)/30.44,0))</f>
        <v>15</v>
      </c>
      <c r="AC2" s="2" t="str">
        <f aca="false">IF(AB2="","No",IF(AB2&gt;Method!$B$5,"Yes","No"))</f>
        <v>No</v>
      </c>
      <c r="AD2" s="22" t="n">
        <f aca="false">IF(BJ2&lt;&gt;"",BJ2,IF(K2&lt;&gt;"",EDATE(K2,60),""))</f>
        <v>44561</v>
      </c>
      <c r="AE2" s="2" t="str">
        <f aca="false">IF(AND(AD2&lt;&gt;"",OR(G2="Permission Granted",G2="Commencement Expected",G2="Stalled or Suspended")),IF(AD2&lt;Method!$B$4,"Yes","No"),"No")</f>
        <v>No</v>
      </c>
      <c r="AF2" s="7"/>
      <c r="AG2" s="2" t="str">
        <f aca="false">IF(Z2="No","Not counted",IF(AF2="Lapsed or dead","Excluded",IF(AF2="Constrained","Constrained / uncertain",IF(AF2="Confirmed live",IF(G2="On Site","Committed",IF(G2="Part Complete","Committed",IF(G2="Contract Awarded","Committed Pre-Construction",IF(G2="Tender","Advanced Pre-Construction",IF(G2="Commencement Expected","Likely",IF(G2="Permission Granted","Potential",IF(G2="Stalled or Suspended","Constrained / uncertain",IF(G2="Complete","Delivered","Application Pipeline")))))))),IF(G2="Complete","Delivered",IF(AND(OR(G2="Permission Granted",G2="Commencement Expected"),OR(AC2="Yes",AE2="Yes")),"Constrained / uncertain",IF(G2="On Site","Committed",IF(G2="Part Complete","Committed",IF(G2="Contract Awarded","Committed Pre-Construction",IF(G2="Tender","Advanced Pre-Construction",IF(G2="Commencement Expected","Likely",IF(G2="Permission Granted","Potential",IF(G2="Stalled or Suspended","Constrained / uncertain",IF(G2="Complete","Delivered","Application Pipeline"))))))))))))))</f>
        <v>Delivered</v>
      </c>
      <c r="AH2" s="2" t="str">
        <f aca="false">IF(Z2="No","Relationship: "&amp;Y2,IF(AF2&lt;&gt;"","Analyst: "&amp;AF2,IF(G2="Complete","Complete",IF(AND(OR(G2="Permission Granted",G2="Commencement Expected"),AE2="Yes"),"Past expiry",IF(AND(OR(G2="Permission Granted",G2="Commencement Expected"),AC2="Yes"),"No CIS update in "&amp;AB2&amp;" months","As CIS")))))</f>
        <v>Complete</v>
      </c>
      <c r="AI2" s="10" t="n">
        <f aca="false">IF(Z2="Yes",N(Q2),0)</f>
        <v>24</v>
      </c>
      <c r="AJ2" s="10" t="n">
        <f aca="false">IF(OR(Z2="No",G2="Complete"),0,MAX(N(Q2)-N(AA2),0))</f>
        <v>0</v>
      </c>
      <c r="AK2" s="10" t="n">
        <f aca="false">IF(Z2="No",0,IF(G2="Complete",N(Q2),MIN(N(AA2),N(Q2))))</f>
        <v>24</v>
      </c>
      <c r="AL2" s="10" t="n">
        <f aca="false">IF(OR(OR(AG2="Not counted",AG2="Excluded",AG2="Delivered"),P2="Student accommodation"),0,AJ2)</f>
        <v>0</v>
      </c>
      <c r="AM2" s="10" t="n">
        <f aca="false">IF(OR(OR(AG2="Not counted",AG2="Excluded",AG2="Delivered"),P2&lt;&gt;"Student accommodation"),0,AJ2)</f>
        <v>0</v>
      </c>
      <c r="AN2" s="10" t="n">
        <f aca="false">IF(OR(AG2="Not counted",AG2="Excluded",AG2="Delivered"),0,N(S2))</f>
        <v>0</v>
      </c>
      <c r="AO2" s="2" t="s">
        <v>1021</v>
      </c>
      <c r="AP2" s="10"/>
      <c r="AQ2" s="10"/>
      <c r="AR2" s="10"/>
      <c r="AS2" s="10"/>
      <c r="AT2" s="10"/>
      <c r="AU2" s="10"/>
      <c r="AV2" s="10" t="n">
        <f aca="false">N(AP2)+N(AQ2)+N(AR2)+N(AS2)+N(AT2)+N(AU2)</f>
        <v>0</v>
      </c>
      <c r="AW2" s="10"/>
      <c r="AX2" s="10"/>
      <c r="AY2" s="10"/>
      <c r="AZ2" s="2"/>
      <c r="BA2" s="2" t="s">
        <v>1022</v>
      </c>
      <c r="BB2" s="2" t="s">
        <v>1013</v>
      </c>
      <c r="BC2" s="2" t="s">
        <v>1023</v>
      </c>
      <c r="BD2" s="2" t="s">
        <v>1024</v>
      </c>
      <c r="BE2" s="2"/>
      <c r="BF2" s="2" t="s">
        <v>1025</v>
      </c>
      <c r="BG2" s="22" t="n">
        <v>43377</v>
      </c>
      <c r="BH2" s="22" t="n">
        <v>44561</v>
      </c>
      <c r="BI2" s="2"/>
      <c r="BJ2" s="22" t="n">
        <v>44561</v>
      </c>
      <c r="BK2" s="2"/>
      <c r="BL2" s="2" t="n">
        <v>0</v>
      </c>
      <c r="BM2" s="2"/>
      <c r="BN2" s="2" t="s">
        <v>1026</v>
      </c>
      <c r="BO2" s="23" t="s">
        <v>1027</v>
      </c>
      <c r="BP2" s="2" t="n">
        <f aca="false">IF(OR(K2="",BG2=""),"",ROUND(BG2-K2,0))</f>
        <v>0</v>
      </c>
      <c r="BQ2" s="2" t="str">
        <f aca="false">IF(OR(N(BK2)=0,Q2=""),"Not recorded",IF(BK2=Q2,"Match","Differs"))</f>
        <v>Not recorded</v>
      </c>
      <c r="BR2" s="2" t="str">
        <f aca="false">IF(N2="No","Excluded (non-residential)",IF(BF2="No reference","Unverified – no reference",IF(BF2="Not in council register","Unverified – not in register (Part 8 / other)",IF(OR(BF2="Refused",BF2="Refused on appeal",BF2="Withdrawn",BF2="Invalid",BF2="Quashed"),IF(OR(G2="Complete",G2="On Site",G2="Part Complete"),"Conflict – register not live but CIS says built","Conflict – not live in register"),IF(AND(G2="Plans Submitted",OR(BF2="Granted",BF2="Granted on appeal")),"Stage out of date – now granted",IF(AND(G2&lt;&gt;"Plans Submitted",OR(BF2="Pending",BF2="Under appeal")),"Check – register still pending",IF(N(BL2)&gt;Method!$B$7,"Check – location differs",IF(AND(BP2&lt;&gt;"",ABS(N(BP2))&gt;60),"Consistent – decision date differs","Consistent"))))))))</f>
        <v>Consistent</v>
      </c>
      <c r="BS2" s="2"/>
      <c r="BT2" s="2"/>
      <c r="BU2" s="2"/>
      <c r="BV2" s="2"/>
      <c r="BW2" s="2"/>
      <c r="BX2" s="2"/>
    </row>
    <row r="3" customFormat="false" ht="15" hidden="false" customHeight="false" outlineLevel="0" collapsed="false">
      <c r="A3" s="2" t="n">
        <v>1007351</v>
      </c>
      <c r="B3" s="2" t="s">
        <v>641</v>
      </c>
      <c r="C3" s="2" t="s">
        <v>1028</v>
      </c>
      <c r="D3" s="2" t="s">
        <v>642</v>
      </c>
      <c r="E3" s="2" t="s">
        <v>643</v>
      </c>
      <c r="F3" s="2" t="s">
        <v>131</v>
      </c>
      <c r="G3" s="2" t="s">
        <v>187</v>
      </c>
      <c r="H3" s="2" t="s">
        <v>1014</v>
      </c>
      <c r="I3" s="2"/>
      <c r="J3" s="22" t="n">
        <v>43339</v>
      </c>
      <c r="K3" s="22" t="n">
        <v>43368</v>
      </c>
      <c r="L3" s="22" t="n">
        <v>43346.6208667824</v>
      </c>
      <c r="M3" s="2" t="s">
        <v>1016</v>
      </c>
      <c r="N3" s="2" t="s">
        <v>121</v>
      </c>
      <c r="O3" s="2"/>
      <c r="P3" s="2" t="s">
        <v>1017</v>
      </c>
      <c r="Q3" s="10" t="n">
        <v>7</v>
      </c>
      <c r="R3" s="10"/>
      <c r="S3" s="10"/>
      <c r="T3" s="2" t="s">
        <v>120</v>
      </c>
      <c r="U3" s="2"/>
      <c r="V3" s="2" t="s">
        <v>1029</v>
      </c>
      <c r="W3" s="2" t="s">
        <v>1030</v>
      </c>
      <c r="X3" s="7"/>
      <c r="Y3" s="2" t="str">
        <f aca="false">IF(X3&lt;&gt;"",X3,T3)</f>
        <v>Primary</v>
      </c>
      <c r="Z3" s="2" t="str">
        <f aca="false">IF(OR(Y3="Primary",Y3="Additional phase",Y3="Additional application on site",Y3="Replaces earlier",Y3="Extension of duration (parent not in CIS)"),"Yes","No")</f>
        <v>Yes</v>
      </c>
      <c r="AA3" s="2"/>
      <c r="AB3" s="2" t="n">
        <f aca="false">IF(L3="","",ROUND((Method!$B$4-L3)/30.44,0))</f>
        <v>97</v>
      </c>
      <c r="AC3" s="2" t="str">
        <f aca="false">IF(AB3="","No",IF(AB3&gt;Method!$B$5,"Yes","No"))</f>
        <v>Yes</v>
      </c>
      <c r="AD3" s="22" t="n">
        <f aca="false">IF(BJ3&lt;&gt;"",BJ3,IF(K3&lt;&gt;"",EDATE(K3,60),""))</f>
        <v>45194</v>
      </c>
      <c r="AE3" s="2" t="str">
        <f aca="false">IF(AND(AD3&lt;&gt;"",OR(G3="Permission Granted",G3="Commencement Expected",G3="Stalled or Suspended")),IF(AD3&lt;Method!$B$4,"Yes","No"),"No")</f>
        <v>Yes</v>
      </c>
      <c r="AF3" s="7"/>
      <c r="AG3" s="2" t="str">
        <f aca="false">IF(Z3="No","Not counted",IF(AF3="Lapsed or dead","Excluded",IF(AF3="Constrained","Constrained / uncertain",IF(AF3="Confirmed live",IF(G3="On Site","Committed",IF(G3="Part Complete","Committed",IF(G3="Contract Awarded","Committed Pre-Construction",IF(G3="Tender","Advanced Pre-Construction",IF(G3="Commencement Expected","Likely",IF(G3="Permission Granted","Potential",IF(G3="Stalled or Suspended","Constrained / uncertain",IF(G3="Complete","Delivered","Application Pipeline")))))))),IF(G3="Complete","Delivered",IF(AND(OR(G3="Permission Granted",G3="Commencement Expected"),OR(AC3="Yes",AE3="Yes")),"Constrained / uncertain",IF(G3="On Site","Committed",IF(G3="Part Complete","Committed",IF(G3="Contract Awarded","Committed Pre-Construction",IF(G3="Tender","Advanced Pre-Construction",IF(G3="Commencement Expected","Likely",IF(G3="Permission Granted","Potential",IF(G3="Stalled or Suspended","Constrained / uncertain",IF(G3="Complete","Delivered","Application Pipeline"))))))))))))))</f>
        <v>Constrained / uncertain</v>
      </c>
      <c r="AH3" s="2" t="str">
        <f aca="false">IF(Z3="No","Relationship: "&amp;Y3,IF(AF3&lt;&gt;"","Analyst: "&amp;AF3,IF(G3="Complete","Complete",IF(AND(OR(G3="Permission Granted",G3="Commencement Expected"),AE3="Yes"),"Past expiry",IF(AND(OR(G3="Permission Granted",G3="Commencement Expected"),AC3="Yes"),"No CIS update in "&amp;AB3&amp;" months","As CIS")))))</f>
        <v>Past expiry</v>
      </c>
      <c r="AI3" s="10" t="n">
        <f aca="false">IF(Z3="Yes",N(Q3),0)</f>
        <v>7</v>
      </c>
      <c r="AJ3" s="10" t="n">
        <f aca="false">IF(OR(Z3="No",G3="Complete"),0,MAX(N(Q3)-N(AA3),0))</f>
        <v>7</v>
      </c>
      <c r="AK3" s="10" t="n">
        <f aca="false">IF(Z3="No",0,IF(G3="Complete",N(Q3),MIN(N(AA3),N(Q3))))</f>
        <v>0</v>
      </c>
      <c r="AL3" s="10" t="n">
        <f aca="false">IF(OR(OR(AG3="Not counted",AG3="Excluded",AG3="Delivered"),P3="Student accommodation"),0,AJ3)</f>
        <v>7</v>
      </c>
      <c r="AM3" s="10" t="n">
        <f aca="false">IF(OR(OR(AG3="Not counted",AG3="Excluded",AG3="Delivered"),P3&lt;&gt;"Student accommodation"),0,AJ3)</f>
        <v>0</v>
      </c>
      <c r="AN3" s="10" t="n">
        <f aca="false">IF(OR(AG3="Not counted",AG3="Excluded",AG3="Delivered"),0,N(S3))</f>
        <v>0</v>
      </c>
      <c r="AO3" s="2" t="s">
        <v>1031</v>
      </c>
      <c r="AP3" s="10"/>
      <c r="AQ3" s="10"/>
      <c r="AR3" s="10" t="n">
        <v>7</v>
      </c>
      <c r="AS3" s="10"/>
      <c r="AT3" s="10"/>
      <c r="AU3" s="10"/>
      <c r="AV3" s="10" t="n">
        <f aca="false">N(AP3)+N(AQ3)+N(AR3)+N(AS3)+N(AT3)+N(AU3)</f>
        <v>7</v>
      </c>
      <c r="AW3" s="10"/>
      <c r="AX3" s="10"/>
      <c r="AY3" s="10" t="n">
        <v>7</v>
      </c>
      <c r="AZ3" s="2"/>
      <c r="BA3" s="2" t="s">
        <v>1022</v>
      </c>
      <c r="BB3" s="2" t="s">
        <v>1028</v>
      </c>
      <c r="BC3" s="2" t="s">
        <v>1032</v>
      </c>
      <c r="BD3" s="2" t="s">
        <v>1033</v>
      </c>
      <c r="BE3" s="2"/>
      <c r="BF3" s="2" t="s">
        <v>1034</v>
      </c>
      <c r="BG3" s="22"/>
      <c r="BH3" s="22"/>
      <c r="BI3" s="2"/>
      <c r="BJ3" s="22"/>
      <c r="BK3" s="2" t="n">
        <v>7</v>
      </c>
      <c r="BL3" s="2" t="n">
        <v>0</v>
      </c>
      <c r="BM3" s="2"/>
      <c r="BN3" s="2" t="s">
        <v>1035</v>
      </c>
      <c r="BO3" s="23" t="s">
        <v>1036</v>
      </c>
      <c r="BP3" s="2" t="str">
        <f aca="false">IF(OR(K3="",BG3=""),"",ROUND(BG3-K3,0))</f>
        <v/>
      </c>
      <c r="BQ3" s="2" t="str">
        <f aca="false">IF(OR(N(BK3)=0,Q3=""),"Not recorded",IF(BK3=Q3,"Match","Differs"))</f>
        <v>Match</v>
      </c>
      <c r="BR3" s="2" t="str">
        <f aca="false">IF(N3="No","Excluded (non-residential)",IF(BF3="No reference","Unverified – no reference",IF(BF3="Not in council register","Unverified – not in register (Part 8 / other)",IF(OR(BF3="Refused",BF3="Refused on appeal",BF3="Withdrawn",BF3="Invalid",BF3="Quashed"),IF(OR(G3="Complete",G3="On Site",G3="Part Complete"),"Conflict – register not live but CIS says built","Conflict – not live in register"),IF(AND(G3="Plans Submitted",OR(BF3="Granted",BF3="Granted on appeal")),"Stage out of date – now granted",IF(AND(G3&lt;&gt;"Plans Submitted",OR(BF3="Pending",BF3="Under appeal")),"Check – register still pending",IF(N(BL3)&gt;Method!$B$7,"Check – location differs",IF(AND(BP3&lt;&gt;"",ABS(N(BP3))&gt;60),"Consistent – decision date differs","Consistent"))))))))</f>
        <v>Check – register still pending</v>
      </c>
      <c r="BS3" s="2"/>
      <c r="BT3" s="2"/>
      <c r="BU3" s="2"/>
      <c r="BV3" s="2"/>
      <c r="BW3" s="2"/>
      <c r="BX3" s="2"/>
    </row>
    <row r="4" customFormat="false" ht="15" hidden="false" customHeight="false" outlineLevel="0" collapsed="false">
      <c r="A4" s="2" t="n">
        <v>1009370</v>
      </c>
      <c r="B4" s="2" t="s">
        <v>630</v>
      </c>
      <c r="C4" s="2" t="s">
        <v>1037</v>
      </c>
      <c r="D4" s="2" t="s">
        <v>631</v>
      </c>
      <c r="E4" s="2" t="s">
        <v>632</v>
      </c>
      <c r="F4" s="2" t="s">
        <v>144</v>
      </c>
      <c r="G4" s="2" t="s">
        <v>198</v>
      </c>
      <c r="H4" s="2" t="s">
        <v>1014</v>
      </c>
      <c r="I4" s="2" t="s">
        <v>198</v>
      </c>
      <c r="J4" s="22" t="n">
        <v>43356</v>
      </c>
      <c r="K4" s="22" t="n">
        <v>43487</v>
      </c>
      <c r="L4" s="22" t="n">
        <v>43698.4454579861</v>
      </c>
      <c r="M4" s="2" t="s">
        <v>1016</v>
      </c>
      <c r="N4" s="2" t="s">
        <v>121</v>
      </c>
      <c r="O4" s="2"/>
      <c r="P4" s="2" t="s">
        <v>1017</v>
      </c>
      <c r="Q4" s="10" t="n">
        <v>6</v>
      </c>
      <c r="R4" s="10"/>
      <c r="S4" s="10"/>
      <c r="T4" s="2" t="s">
        <v>120</v>
      </c>
      <c r="U4" s="2"/>
      <c r="V4" s="2" t="s">
        <v>1029</v>
      </c>
      <c r="W4" s="2" t="s">
        <v>1030</v>
      </c>
      <c r="X4" s="7"/>
      <c r="Y4" s="2" t="str">
        <f aca="false">IF(X4&lt;&gt;"",X4,T4)</f>
        <v>Primary</v>
      </c>
      <c r="Z4" s="2" t="str">
        <f aca="false">IF(OR(Y4="Primary",Y4="Additional phase",Y4="Additional application on site",Y4="Replaces earlier",Y4="Extension of duration (parent not in CIS)"),"Yes","No")</f>
        <v>Yes</v>
      </c>
      <c r="AA4" s="2"/>
      <c r="AB4" s="2" t="n">
        <f aca="false">IF(L4="","",ROUND((Method!$B$4-L4)/30.44,0))</f>
        <v>85</v>
      </c>
      <c r="AC4" s="2" t="str">
        <f aca="false">IF(AB4="","No",IF(AB4&gt;Method!$B$5,"Yes","No"))</f>
        <v>Yes</v>
      </c>
      <c r="AD4" s="22" t="n">
        <f aca="false">IF(BJ4&lt;&gt;"",BJ4,IF(K4&lt;&gt;"",EDATE(K4,60),""))</f>
        <v>45347</v>
      </c>
      <c r="AE4" s="2" t="str">
        <f aca="false">IF(AND(AD4&lt;&gt;"",OR(G4="Permission Granted",G4="Commencement Expected",G4="Stalled or Suspended")),IF(AD4&lt;Method!$B$4,"Yes","No"),"No")</f>
        <v>No</v>
      </c>
      <c r="AF4" s="7"/>
      <c r="AG4" s="2" t="str">
        <f aca="false">IF(Z4="No","Not counted",IF(AF4="Lapsed or dead","Excluded",IF(AF4="Constrained","Constrained / uncertain",IF(AF4="Confirmed live",IF(G4="On Site","Committed",IF(G4="Part Complete","Committed",IF(G4="Contract Awarded","Committed Pre-Construction",IF(G4="Tender","Advanced Pre-Construction",IF(G4="Commencement Expected","Likely",IF(G4="Permission Granted","Potential",IF(G4="Stalled or Suspended","Constrained / uncertain",IF(G4="Complete","Delivered","Application Pipeline")))))))),IF(G4="Complete","Delivered",IF(AND(OR(G4="Permission Granted",G4="Commencement Expected"),OR(AC4="Yes",AE4="Yes")),"Constrained / uncertain",IF(G4="On Site","Committed",IF(G4="Part Complete","Committed",IF(G4="Contract Awarded","Committed Pre-Construction",IF(G4="Tender","Advanced Pre-Construction",IF(G4="Commencement Expected","Likely",IF(G4="Permission Granted","Potential",IF(G4="Stalled or Suspended","Constrained / uncertain",IF(G4="Complete","Delivered","Application Pipeline"))))))))))))))</f>
        <v>Committed</v>
      </c>
      <c r="AH4" s="2" t="str">
        <f aca="false">IF(Z4="No","Relationship: "&amp;Y4,IF(AF4&lt;&gt;"","Analyst: "&amp;AF4,IF(G4="Complete","Complete",IF(AND(OR(G4="Permission Granted",G4="Commencement Expected"),AE4="Yes"),"Past expiry",IF(AND(OR(G4="Permission Granted",G4="Commencement Expected"),AC4="Yes"),"No CIS update in "&amp;AB4&amp;" months","As CIS")))))</f>
        <v>As CIS</v>
      </c>
      <c r="AI4" s="10" t="n">
        <f aca="false">IF(Z4="Yes",N(Q4),0)</f>
        <v>6</v>
      </c>
      <c r="AJ4" s="10" t="n">
        <f aca="false">IF(OR(Z4="No",G4="Complete"),0,MAX(N(Q4)-N(AA4),0))</f>
        <v>6</v>
      </c>
      <c r="AK4" s="10" t="n">
        <f aca="false">IF(Z4="No",0,IF(G4="Complete",N(Q4),MIN(N(AA4),N(Q4))))</f>
        <v>0</v>
      </c>
      <c r="AL4" s="10" t="n">
        <f aca="false">IF(OR(OR(AG4="Not counted",AG4="Excluded",AG4="Delivered"),P4="Student accommodation"),0,AJ4)</f>
        <v>6</v>
      </c>
      <c r="AM4" s="10" t="n">
        <f aca="false">IF(OR(OR(AG4="Not counted",AG4="Excluded",AG4="Delivered"),P4&lt;&gt;"Student accommodation"),0,AJ4)</f>
        <v>0</v>
      </c>
      <c r="AN4" s="10" t="n">
        <f aca="false">IF(OR(AG4="Not counted",AG4="Excluded",AG4="Delivered"),0,N(S4))</f>
        <v>0</v>
      </c>
      <c r="AO4" s="2" t="s">
        <v>1031</v>
      </c>
      <c r="AP4" s="10"/>
      <c r="AQ4" s="10" t="n">
        <v>6</v>
      </c>
      <c r="AR4" s="10"/>
      <c r="AS4" s="10"/>
      <c r="AT4" s="10"/>
      <c r="AU4" s="10"/>
      <c r="AV4" s="10" t="n">
        <f aca="false">N(AP4)+N(AQ4)+N(AR4)+N(AS4)+N(AT4)+N(AU4)</f>
        <v>6</v>
      </c>
      <c r="AW4" s="10"/>
      <c r="AX4" s="10" t="n">
        <v>6</v>
      </c>
      <c r="AY4" s="10"/>
      <c r="AZ4" s="2"/>
      <c r="BA4" s="2" t="s">
        <v>1022</v>
      </c>
      <c r="BB4" s="2" t="s">
        <v>1037</v>
      </c>
      <c r="BC4" s="2" t="s">
        <v>1023</v>
      </c>
      <c r="BD4" s="2" t="s">
        <v>1024</v>
      </c>
      <c r="BE4" s="2"/>
      <c r="BF4" s="2" t="s">
        <v>1025</v>
      </c>
      <c r="BG4" s="22" t="n">
        <v>43487</v>
      </c>
      <c r="BH4" s="22" t="n">
        <v>45347</v>
      </c>
      <c r="BI4" s="2"/>
      <c r="BJ4" s="22" t="n">
        <v>45347</v>
      </c>
      <c r="BK4" s="2"/>
      <c r="BL4" s="2" t="n">
        <v>0</v>
      </c>
      <c r="BM4" s="2"/>
      <c r="BN4" s="2" t="s">
        <v>1038</v>
      </c>
      <c r="BO4" s="23" t="s">
        <v>1039</v>
      </c>
      <c r="BP4" s="2" t="n">
        <f aca="false">IF(OR(K4="",BG4=""),"",ROUND(BG4-K4,0))</f>
        <v>0</v>
      </c>
      <c r="BQ4" s="2" t="str">
        <f aca="false">IF(OR(N(BK4)=0,Q4=""),"Not recorded",IF(BK4=Q4,"Match","Differs"))</f>
        <v>Not recorded</v>
      </c>
      <c r="BR4" s="2" t="str">
        <f aca="false">IF(N4="No","Excluded (non-residential)",IF(BF4="No reference","Unverified – no reference",IF(BF4="Not in council register","Unverified – not in register (Part 8 / other)",IF(OR(BF4="Refused",BF4="Refused on appeal",BF4="Withdrawn",BF4="Invalid",BF4="Quashed"),IF(OR(G4="Complete",G4="On Site",G4="Part Complete"),"Conflict – register not live but CIS says built","Conflict – not live in register"),IF(AND(G4="Plans Submitted",OR(BF4="Granted",BF4="Granted on appeal")),"Stage out of date – now granted",IF(AND(G4&lt;&gt;"Plans Submitted",OR(BF4="Pending",BF4="Under appeal")),"Check – register still pending",IF(N(BL4)&gt;Method!$B$7,"Check – location differs",IF(AND(BP4&lt;&gt;"",ABS(N(BP4))&gt;60),"Consistent – decision date differs","Consistent"))))))))</f>
        <v>Consistent</v>
      </c>
      <c r="BS4" s="2"/>
      <c r="BT4" s="2"/>
      <c r="BU4" s="2"/>
      <c r="BV4" s="2"/>
      <c r="BW4" s="2"/>
      <c r="BX4" s="2"/>
    </row>
    <row r="5" customFormat="false" ht="15" hidden="false" customHeight="false" outlineLevel="0" collapsed="false">
      <c r="A5" s="2" t="n">
        <v>1014706</v>
      </c>
      <c r="B5" s="2" t="s">
        <v>261</v>
      </c>
      <c r="C5" s="2" t="s">
        <v>1040</v>
      </c>
      <c r="D5" s="2" t="s">
        <v>262</v>
      </c>
      <c r="E5" s="2" t="s">
        <v>263</v>
      </c>
      <c r="F5" s="2" t="s">
        <v>141</v>
      </c>
      <c r="G5" s="2" t="s">
        <v>251</v>
      </c>
      <c r="H5" s="2" t="s">
        <v>1014</v>
      </c>
      <c r="I5" s="2" t="s">
        <v>1015</v>
      </c>
      <c r="J5" s="22" t="n">
        <v>43385</v>
      </c>
      <c r="K5" s="22" t="n">
        <v>43748</v>
      </c>
      <c r="L5" s="22" t="n">
        <v>46170.6211387732</v>
      </c>
      <c r="M5" s="2" t="s">
        <v>1016</v>
      </c>
      <c r="N5" s="2" t="s">
        <v>121</v>
      </c>
      <c r="O5" s="2"/>
      <c r="P5" s="2" t="s">
        <v>1017</v>
      </c>
      <c r="Q5" s="10" t="n">
        <v>6</v>
      </c>
      <c r="R5" s="10"/>
      <c r="S5" s="10"/>
      <c r="T5" s="2" t="s">
        <v>120</v>
      </c>
      <c r="U5" s="2"/>
      <c r="V5" s="2" t="s">
        <v>1029</v>
      </c>
      <c r="W5" s="2" t="s">
        <v>1030</v>
      </c>
      <c r="X5" s="7"/>
      <c r="Y5" s="2" t="str">
        <f aca="false">IF(X5&lt;&gt;"",X5,T5)</f>
        <v>Primary</v>
      </c>
      <c r="Z5" s="2" t="str">
        <f aca="false">IF(OR(Y5="Primary",Y5="Additional phase",Y5="Additional application on site",Y5="Replaces earlier",Y5="Extension of duration (parent not in CIS)"),"Yes","No")</f>
        <v>Yes</v>
      </c>
      <c r="AA5" s="2"/>
      <c r="AB5" s="2" t="n">
        <f aca="false">IF(L5="","",ROUND((Method!$B$4-L5)/30.44,0))</f>
        <v>4</v>
      </c>
      <c r="AC5" s="2" t="str">
        <f aca="false">IF(AB5="","No",IF(AB5&gt;Method!$B$5,"Yes","No"))</f>
        <v>No</v>
      </c>
      <c r="AD5" s="22" t="n">
        <f aca="false">IF(BJ5&lt;&gt;"",BJ5,IF(K5&lt;&gt;"",EDATE(K5,60),""))</f>
        <v>45608</v>
      </c>
      <c r="AE5" s="2" t="str">
        <f aca="false">IF(AND(AD5&lt;&gt;"",OR(G5="Permission Granted",G5="Commencement Expected",G5="Stalled or Suspended")),IF(AD5&lt;Method!$B$4,"Yes","No"),"No")</f>
        <v>No</v>
      </c>
      <c r="AF5" s="7"/>
      <c r="AG5" s="2" t="str">
        <f aca="false">IF(Z5="No","Not counted",IF(AF5="Lapsed or dead","Excluded",IF(AF5="Constrained","Constrained / uncertain",IF(AF5="Confirmed live",IF(G5="On Site","Committed",IF(G5="Part Complete","Committed",IF(G5="Contract Awarded","Committed Pre-Construction",IF(G5="Tender","Advanced Pre-Construction",IF(G5="Commencement Expected","Likely",IF(G5="Permission Granted","Potential",IF(G5="Stalled or Suspended","Constrained / uncertain",IF(G5="Complete","Delivered","Application Pipeline")))))))),IF(G5="Complete","Delivered",IF(AND(OR(G5="Permission Granted",G5="Commencement Expected"),OR(AC5="Yes",AE5="Yes")),"Constrained / uncertain",IF(G5="On Site","Committed",IF(G5="Part Complete","Committed",IF(G5="Contract Awarded","Committed Pre-Construction",IF(G5="Tender","Advanced Pre-Construction",IF(G5="Commencement Expected","Likely",IF(G5="Permission Granted","Potential",IF(G5="Stalled or Suspended","Constrained / uncertain",IF(G5="Complete","Delivered","Application Pipeline"))))))))))))))</f>
        <v>Delivered</v>
      </c>
      <c r="AH5" s="2" t="str">
        <f aca="false">IF(Z5="No","Relationship: "&amp;Y5,IF(AF5&lt;&gt;"","Analyst: "&amp;AF5,IF(G5="Complete","Complete",IF(AND(OR(G5="Permission Granted",G5="Commencement Expected"),AE5="Yes"),"Past expiry",IF(AND(OR(G5="Permission Granted",G5="Commencement Expected"),AC5="Yes"),"No CIS update in "&amp;AB5&amp;" months","As CIS")))))</f>
        <v>Complete</v>
      </c>
      <c r="AI5" s="10" t="n">
        <f aca="false">IF(Z5="Yes",N(Q5),0)</f>
        <v>6</v>
      </c>
      <c r="AJ5" s="10" t="n">
        <f aca="false">IF(OR(Z5="No",G5="Complete"),0,MAX(N(Q5)-N(AA5),0))</f>
        <v>0</v>
      </c>
      <c r="AK5" s="10" t="n">
        <f aca="false">IF(Z5="No",0,IF(G5="Complete",N(Q5),MIN(N(AA5),N(Q5))))</f>
        <v>6</v>
      </c>
      <c r="AL5" s="10" t="n">
        <f aca="false">IF(OR(OR(AG5="Not counted",AG5="Excluded",AG5="Delivered"),P5="Student accommodation"),0,AJ5)</f>
        <v>0</v>
      </c>
      <c r="AM5" s="10" t="n">
        <f aca="false">IF(OR(OR(AG5="Not counted",AG5="Excluded",AG5="Delivered"),P5&lt;&gt;"Student accommodation"),0,AJ5)</f>
        <v>0</v>
      </c>
      <c r="AN5" s="10" t="n">
        <f aca="false">IF(OR(AG5="Not counted",AG5="Excluded",AG5="Delivered"),0,N(S5))</f>
        <v>0</v>
      </c>
      <c r="AO5" s="2" t="s">
        <v>1021</v>
      </c>
      <c r="AP5" s="10"/>
      <c r="AQ5" s="10"/>
      <c r="AR5" s="10"/>
      <c r="AS5" s="10"/>
      <c r="AT5" s="10"/>
      <c r="AU5" s="10"/>
      <c r="AV5" s="10" t="n">
        <f aca="false">N(AP5)+N(AQ5)+N(AR5)+N(AS5)+N(AT5)+N(AU5)</f>
        <v>0</v>
      </c>
      <c r="AW5" s="10"/>
      <c r="AX5" s="10"/>
      <c r="AY5" s="10"/>
      <c r="AZ5" s="2"/>
      <c r="BA5" s="2" t="s">
        <v>1022</v>
      </c>
      <c r="BB5" s="2" t="s">
        <v>1040</v>
      </c>
      <c r="BC5" s="2" t="s">
        <v>1023</v>
      </c>
      <c r="BD5" s="2" t="s">
        <v>1024</v>
      </c>
      <c r="BE5" s="2"/>
      <c r="BF5" s="2" t="s">
        <v>1025</v>
      </c>
      <c r="BG5" s="22" t="n">
        <v>43748</v>
      </c>
      <c r="BH5" s="22" t="n">
        <v>45608</v>
      </c>
      <c r="BI5" s="2"/>
      <c r="BJ5" s="22" t="n">
        <v>45608</v>
      </c>
      <c r="BK5" s="2" t="n">
        <v>6</v>
      </c>
      <c r="BL5" s="2" t="n">
        <v>0</v>
      </c>
      <c r="BM5" s="2"/>
      <c r="BN5" s="2" t="s">
        <v>1041</v>
      </c>
      <c r="BO5" s="23" t="s">
        <v>1042</v>
      </c>
      <c r="BP5" s="2" t="n">
        <f aca="false">IF(OR(K5="",BG5=""),"",ROUND(BG5-K5,0))</f>
        <v>0</v>
      </c>
      <c r="BQ5" s="2" t="str">
        <f aca="false">IF(OR(N(BK5)=0,Q5=""),"Not recorded",IF(BK5=Q5,"Match","Differs"))</f>
        <v>Match</v>
      </c>
      <c r="BR5" s="2" t="str">
        <f aca="false">IF(N5="No","Excluded (non-residential)",IF(BF5="No reference","Unverified – no reference",IF(BF5="Not in council register","Unverified – not in register (Part 8 / other)",IF(OR(BF5="Refused",BF5="Refused on appeal",BF5="Withdrawn",BF5="Invalid",BF5="Quashed"),IF(OR(G5="Complete",G5="On Site",G5="Part Complete"),"Conflict – register not live but CIS says built","Conflict – not live in register"),IF(AND(G5="Plans Submitted",OR(BF5="Granted",BF5="Granted on appeal")),"Stage out of date – now granted",IF(AND(G5&lt;&gt;"Plans Submitted",OR(BF5="Pending",BF5="Under appeal")),"Check – register still pending",IF(N(BL5)&gt;Method!$B$7,"Check – location differs",IF(AND(BP5&lt;&gt;"",ABS(N(BP5))&gt;60),"Consistent – decision date differs","Consistent"))))))))</f>
        <v>Consistent</v>
      </c>
      <c r="BS5" s="2"/>
      <c r="BT5" s="2"/>
      <c r="BU5" s="2"/>
      <c r="BV5" s="2"/>
      <c r="BW5" s="2"/>
      <c r="BX5" s="2"/>
    </row>
    <row r="6" customFormat="false" ht="15" hidden="false" customHeight="false" outlineLevel="0" collapsed="false">
      <c r="A6" s="2" t="n">
        <v>1015929</v>
      </c>
      <c r="B6" s="2" t="s">
        <v>638</v>
      </c>
      <c r="C6" s="2"/>
      <c r="D6" s="2" t="s">
        <v>639</v>
      </c>
      <c r="E6" s="2" t="s">
        <v>640</v>
      </c>
      <c r="F6" s="2" t="s">
        <v>144</v>
      </c>
      <c r="G6" s="2" t="s">
        <v>187</v>
      </c>
      <c r="H6" s="2" t="s">
        <v>1014</v>
      </c>
      <c r="I6" s="2"/>
      <c r="J6" s="22" t="n">
        <v>43398</v>
      </c>
      <c r="K6" s="22" t="n">
        <v>43735</v>
      </c>
      <c r="L6" s="22" t="n">
        <v>43403.5030211806</v>
      </c>
      <c r="M6" s="2" t="s">
        <v>1016</v>
      </c>
      <c r="N6" s="2" t="s">
        <v>121</v>
      </c>
      <c r="O6" s="2"/>
      <c r="P6" s="2" t="s">
        <v>1017</v>
      </c>
      <c r="Q6" s="10" t="n">
        <v>17</v>
      </c>
      <c r="R6" s="10"/>
      <c r="S6" s="10"/>
      <c r="T6" s="2" t="s">
        <v>120</v>
      </c>
      <c r="U6" s="2"/>
      <c r="V6" s="2" t="s">
        <v>1029</v>
      </c>
      <c r="W6" s="2" t="s">
        <v>1030</v>
      </c>
      <c r="X6" s="7"/>
      <c r="Y6" s="2" t="str">
        <f aca="false">IF(X6&lt;&gt;"",X6,T6)</f>
        <v>Primary</v>
      </c>
      <c r="Z6" s="2" t="str">
        <f aca="false">IF(OR(Y6="Primary",Y6="Additional phase",Y6="Additional application on site",Y6="Replaces earlier",Y6="Extension of duration (parent not in CIS)"),"Yes","No")</f>
        <v>Yes</v>
      </c>
      <c r="AA6" s="2"/>
      <c r="AB6" s="2" t="n">
        <f aca="false">IF(L6="","",ROUND((Method!$B$4-L6)/30.44,0))</f>
        <v>95</v>
      </c>
      <c r="AC6" s="2" t="str">
        <f aca="false">IF(AB6="","No",IF(AB6&gt;Method!$B$5,"Yes","No"))</f>
        <v>Yes</v>
      </c>
      <c r="AD6" s="22" t="n">
        <f aca="false">IF(BJ6&lt;&gt;"",BJ6,IF(K6&lt;&gt;"",EDATE(K6,60),""))</f>
        <v>45562</v>
      </c>
      <c r="AE6" s="2" t="str">
        <f aca="false">IF(AND(AD6&lt;&gt;"",OR(G6="Permission Granted",G6="Commencement Expected",G6="Stalled or Suspended")),IF(AD6&lt;Method!$B$4,"Yes","No"),"No")</f>
        <v>Yes</v>
      </c>
      <c r="AF6" s="7"/>
      <c r="AG6" s="2" t="str">
        <f aca="false">IF(Z6="No","Not counted",IF(AF6="Lapsed or dead","Excluded",IF(AF6="Constrained","Constrained / uncertain",IF(AF6="Confirmed live",IF(G6="On Site","Committed",IF(G6="Part Complete","Committed",IF(G6="Contract Awarded","Committed Pre-Construction",IF(G6="Tender","Advanced Pre-Construction",IF(G6="Commencement Expected","Likely",IF(G6="Permission Granted","Potential",IF(G6="Stalled or Suspended","Constrained / uncertain",IF(G6="Complete","Delivered","Application Pipeline")))))))),IF(G6="Complete","Delivered",IF(AND(OR(G6="Permission Granted",G6="Commencement Expected"),OR(AC6="Yes",AE6="Yes")),"Constrained / uncertain",IF(G6="On Site","Committed",IF(G6="Part Complete","Committed",IF(G6="Contract Awarded","Committed Pre-Construction",IF(G6="Tender","Advanced Pre-Construction",IF(G6="Commencement Expected","Likely",IF(G6="Permission Granted","Potential",IF(G6="Stalled or Suspended","Constrained / uncertain",IF(G6="Complete","Delivered","Application Pipeline"))))))))))))))</f>
        <v>Constrained / uncertain</v>
      </c>
      <c r="AH6" s="2" t="str">
        <f aca="false">IF(Z6="No","Relationship: "&amp;Y6,IF(AF6&lt;&gt;"","Analyst: "&amp;AF6,IF(G6="Complete","Complete",IF(AND(OR(G6="Permission Granted",G6="Commencement Expected"),AE6="Yes"),"Past expiry",IF(AND(OR(G6="Permission Granted",G6="Commencement Expected"),AC6="Yes"),"No CIS update in "&amp;AB6&amp;" months","As CIS")))))</f>
        <v>Past expiry</v>
      </c>
      <c r="AI6" s="10" t="n">
        <f aca="false">IF(Z6="Yes",N(Q6),0)</f>
        <v>17</v>
      </c>
      <c r="AJ6" s="10" t="n">
        <f aca="false">IF(OR(Z6="No",G6="Complete"),0,MAX(N(Q6)-N(AA6),0))</f>
        <v>17</v>
      </c>
      <c r="AK6" s="10" t="n">
        <f aca="false">IF(Z6="No",0,IF(G6="Complete",N(Q6),MIN(N(AA6),N(Q6))))</f>
        <v>0</v>
      </c>
      <c r="AL6" s="10" t="n">
        <f aca="false">IF(OR(OR(AG6="Not counted",AG6="Excluded",AG6="Delivered"),P6="Student accommodation"),0,AJ6)</f>
        <v>17</v>
      </c>
      <c r="AM6" s="10" t="n">
        <f aca="false">IF(OR(OR(AG6="Not counted",AG6="Excluded",AG6="Delivered"),P6&lt;&gt;"Student accommodation"),0,AJ6)</f>
        <v>0</v>
      </c>
      <c r="AN6" s="10" t="n">
        <f aca="false">IF(OR(AG6="Not counted",AG6="Excluded",AG6="Delivered"),0,N(S6))</f>
        <v>0</v>
      </c>
      <c r="AO6" s="2" t="s">
        <v>1043</v>
      </c>
      <c r="AP6" s="10"/>
      <c r="AQ6" s="10"/>
      <c r="AR6" s="10"/>
      <c r="AS6" s="10"/>
      <c r="AT6" s="10"/>
      <c r="AU6" s="10"/>
      <c r="AV6" s="10" t="n">
        <f aca="false">N(AP6)+N(AQ6)+N(AR6)+N(AS6)+N(AT6)+N(AU6)</f>
        <v>0</v>
      </c>
      <c r="AW6" s="10"/>
      <c r="AX6" s="10"/>
      <c r="AY6" s="10"/>
      <c r="AZ6" s="2"/>
      <c r="BA6" s="2" t="s">
        <v>1044</v>
      </c>
      <c r="BB6" s="2"/>
      <c r="BC6" s="2"/>
      <c r="BD6" s="2"/>
      <c r="BE6" s="2"/>
      <c r="BF6" s="2" t="s">
        <v>1044</v>
      </c>
      <c r="BG6" s="22"/>
      <c r="BH6" s="22"/>
      <c r="BI6" s="2"/>
      <c r="BJ6" s="22"/>
      <c r="BK6" s="2"/>
      <c r="BL6" s="2"/>
      <c r="BM6" s="2"/>
      <c r="BN6" s="2"/>
      <c r="BO6" s="2"/>
      <c r="BP6" s="2" t="str">
        <f aca="false">IF(OR(K6="",BG6=""),"",ROUND(BG6-K6,0))</f>
        <v/>
      </c>
      <c r="BQ6" s="2" t="str">
        <f aca="false">IF(OR(N(BK6)=0,Q6=""),"Not recorded",IF(BK6=Q6,"Match","Differs"))</f>
        <v>Not recorded</v>
      </c>
      <c r="BR6" s="2" t="str">
        <f aca="false">IF(N6="No","Excluded (non-residential)",IF(BF6="No reference","Unverified – no reference",IF(BF6="Not in council register","Unverified – not in register (Part 8 / other)",IF(OR(BF6="Refused",BF6="Refused on appeal",BF6="Withdrawn",BF6="Invalid",BF6="Quashed"),IF(OR(G6="Complete",G6="On Site",G6="Part Complete"),"Conflict – register not live but CIS says built","Conflict – not live in register"),IF(AND(G6="Plans Submitted",OR(BF6="Granted",BF6="Granted on appeal")),"Stage out of date – now granted",IF(AND(G6&lt;&gt;"Plans Submitted",OR(BF6="Pending",BF6="Under appeal")),"Check – register still pending",IF(N(BL6)&gt;Method!$B$7,"Check – location differs",IF(AND(BP6&lt;&gt;"",ABS(N(BP6))&gt;60),"Consistent – decision date differs","Consistent"))))))))</f>
        <v>Unverified – no reference</v>
      </c>
      <c r="BS6" s="2"/>
      <c r="BT6" s="2"/>
      <c r="BU6" s="2"/>
      <c r="BV6" s="2"/>
      <c r="BW6" s="2"/>
      <c r="BX6" s="2"/>
    </row>
    <row r="7" customFormat="false" ht="15" hidden="false" customHeight="false" outlineLevel="0" collapsed="false">
      <c r="A7" s="2" t="n">
        <v>1015932</v>
      </c>
      <c r="B7" s="2" t="s">
        <v>541</v>
      </c>
      <c r="C7" s="2" t="s">
        <v>1045</v>
      </c>
      <c r="D7" s="2" t="s">
        <v>542</v>
      </c>
      <c r="E7" s="2" t="s">
        <v>543</v>
      </c>
      <c r="F7" s="2" t="s">
        <v>144</v>
      </c>
      <c r="G7" s="2" t="s">
        <v>251</v>
      </c>
      <c r="H7" s="2" t="s">
        <v>1014</v>
      </c>
      <c r="I7" s="2" t="s">
        <v>1015</v>
      </c>
      <c r="J7" s="22" t="n">
        <v>43395</v>
      </c>
      <c r="K7" s="22" t="n">
        <v>43451</v>
      </c>
      <c r="L7" s="22" t="n">
        <v>45014.633550081</v>
      </c>
      <c r="M7" s="2" t="s">
        <v>1016</v>
      </c>
      <c r="N7" s="2" t="s">
        <v>121</v>
      </c>
      <c r="O7" s="2"/>
      <c r="P7" s="2" t="s">
        <v>1017</v>
      </c>
      <c r="Q7" s="10" t="n">
        <v>17</v>
      </c>
      <c r="R7" s="10" t="n">
        <v>17</v>
      </c>
      <c r="S7" s="10"/>
      <c r="T7" s="2" t="s">
        <v>120</v>
      </c>
      <c r="U7" s="2"/>
      <c r="V7" s="2" t="s">
        <v>1029</v>
      </c>
      <c r="W7" s="2" t="s">
        <v>1030</v>
      </c>
      <c r="X7" s="7"/>
      <c r="Y7" s="2" t="str">
        <f aca="false">IF(X7&lt;&gt;"",X7,T7)</f>
        <v>Primary</v>
      </c>
      <c r="Z7" s="2" t="str">
        <f aca="false">IF(OR(Y7="Primary",Y7="Additional phase",Y7="Additional application on site",Y7="Replaces earlier",Y7="Extension of duration (parent not in CIS)"),"Yes","No")</f>
        <v>Yes</v>
      </c>
      <c r="AA7" s="2"/>
      <c r="AB7" s="2" t="n">
        <f aca="false">IF(L7="","",ROUND((Method!$B$4-L7)/30.44,0))</f>
        <v>42</v>
      </c>
      <c r="AC7" s="2" t="str">
        <f aca="false">IF(AB7="","No",IF(AB7&gt;Method!$B$5,"Yes","No"))</f>
        <v>Yes</v>
      </c>
      <c r="AD7" s="22" t="n">
        <f aca="false">IF(BJ7&lt;&gt;"",BJ7,IF(K7&lt;&gt;"",EDATE(K7,60),""))</f>
        <v>45277</v>
      </c>
      <c r="AE7" s="2" t="str">
        <f aca="false">IF(AND(AD7&lt;&gt;"",OR(G7="Permission Granted",G7="Commencement Expected",G7="Stalled or Suspended")),IF(AD7&lt;Method!$B$4,"Yes","No"),"No")</f>
        <v>No</v>
      </c>
      <c r="AF7" s="7"/>
      <c r="AG7" s="2" t="str">
        <f aca="false">IF(Z7="No","Not counted",IF(AF7="Lapsed or dead","Excluded",IF(AF7="Constrained","Constrained / uncertain",IF(AF7="Confirmed live",IF(G7="On Site","Committed",IF(G7="Part Complete","Committed",IF(G7="Contract Awarded","Committed Pre-Construction",IF(G7="Tender","Advanced Pre-Construction",IF(G7="Commencement Expected","Likely",IF(G7="Permission Granted","Potential",IF(G7="Stalled or Suspended","Constrained / uncertain",IF(G7="Complete","Delivered","Application Pipeline")))))))),IF(G7="Complete","Delivered",IF(AND(OR(G7="Permission Granted",G7="Commencement Expected"),OR(AC7="Yes",AE7="Yes")),"Constrained / uncertain",IF(G7="On Site","Committed",IF(G7="Part Complete","Committed",IF(G7="Contract Awarded","Committed Pre-Construction",IF(G7="Tender","Advanced Pre-Construction",IF(G7="Commencement Expected","Likely",IF(G7="Permission Granted","Potential",IF(G7="Stalled or Suspended","Constrained / uncertain",IF(G7="Complete","Delivered","Application Pipeline"))))))))))))))</f>
        <v>Delivered</v>
      </c>
      <c r="AH7" s="2" t="str">
        <f aca="false">IF(Z7="No","Relationship: "&amp;Y7,IF(AF7&lt;&gt;"","Analyst: "&amp;AF7,IF(G7="Complete","Complete",IF(AND(OR(G7="Permission Granted",G7="Commencement Expected"),AE7="Yes"),"Past expiry",IF(AND(OR(G7="Permission Granted",G7="Commencement Expected"),AC7="Yes"),"No CIS update in "&amp;AB7&amp;" months","As CIS")))))</f>
        <v>Complete</v>
      </c>
      <c r="AI7" s="10" t="n">
        <f aca="false">IF(Z7="Yes",N(Q7),0)</f>
        <v>17</v>
      </c>
      <c r="AJ7" s="10" t="n">
        <f aca="false">IF(OR(Z7="No",G7="Complete"),0,MAX(N(Q7)-N(AA7),0))</f>
        <v>0</v>
      </c>
      <c r="AK7" s="10" t="n">
        <f aca="false">IF(Z7="No",0,IF(G7="Complete",N(Q7),MIN(N(AA7),N(Q7))))</f>
        <v>17</v>
      </c>
      <c r="AL7" s="10" t="n">
        <f aca="false">IF(OR(OR(AG7="Not counted",AG7="Excluded",AG7="Delivered"),P7="Student accommodation"),0,AJ7)</f>
        <v>0</v>
      </c>
      <c r="AM7" s="10" t="n">
        <f aca="false">IF(OR(OR(AG7="Not counted",AG7="Excluded",AG7="Delivered"),P7&lt;&gt;"Student accommodation"),0,AJ7)</f>
        <v>0</v>
      </c>
      <c r="AN7" s="10" t="n">
        <f aca="false">IF(OR(AG7="Not counted",AG7="Excluded",AG7="Delivered"),0,N(S7))</f>
        <v>0</v>
      </c>
      <c r="AO7" s="2" t="s">
        <v>1031</v>
      </c>
      <c r="AP7" s="10"/>
      <c r="AQ7" s="10" t="n">
        <v>2</v>
      </c>
      <c r="AR7" s="10" t="n">
        <v>4</v>
      </c>
      <c r="AS7" s="10" t="n">
        <v>11</v>
      </c>
      <c r="AT7" s="10"/>
      <c r="AU7" s="10"/>
      <c r="AV7" s="10" t="n">
        <f aca="false">N(AP7)+N(AQ7)+N(AR7)+N(AS7)+N(AT7)+N(AU7)</f>
        <v>17</v>
      </c>
      <c r="AW7" s="10" t="n">
        <v>5</v>
      </c>
      <c r="AX7" s="10" t="n">
        <v>12</v>
      </c>
      <c r="AY7" s="10"/>
      <c r="AZ7" s="2"/>
      <c r="BA7" s="2" t="s">
        <v>1022</v>
      </c>
      <c r="BB7" s="2" t="s">
        <v>1045</v>
      </c>
      <c r="BC7" s="2" t="s">
        <v>1046</v>
      </c>
      <c r="BD7" s="2" t="s">
        <v>1024</v>
      </c>
      <c r="BE7" s="2"/>
      <c r="BF7" s="2" t="s">
        <v>1025</v>
      </c>
      <c r="BG7" s="22" t="n">
        <v>43445</v>
      </c>
      <c r="BH7" s="22"/>
      <c r="BI7" s="2"/>
      <c r="BJ7" s="22"/>
      <c r="BK7" s="2" t="n">
        <v>17</v>
      </c>
      <c r="BL7" s="2" t="n">
        <v>0</v>
      </c>
      <c r="BM7" s="2"/>
      <c r="BN7" s="2" t="s">
        <v>1047</v>
      </c>
      <c r="BO7" s="23" t="s">
        <v>1048</v>
      </c>
      <c r="BP7" s="2" t="n">
        <f aca="false">IF(OR(K7="",BG7=""),"",ROUND(BG7-K7,0))</f>
        <v>-6</v>
      </c>
      <c r="BQ7" s="2" t="str">
        <f aca="false">IF(OR(N(BK7)=0,Q7=""),"Not recorded",IF(BK7=Q7,"Match","Differs"))</f>
        <v>Match</v>
      </c>
      <c r="BR7" s="2" t="str">
        <f aca="false">IF(N7="No","Excluded (non-residential)",IF(BF7="No reference","Unverified – no reference",IF(BF7="Not in council register","Unverified – not in register (Part 8 / other)",IF(OR(BF7="Refused",BF7="Refused on appeal",BF7="Withdrawn",BF7="Invalid",BF7="Quashed"),IF(OR(G7="Complete",G7="On Site",G7="Part Complete"),"Conflict – register not live but CIS says built","Conflict – not live in register"),IF(AND(G7="Plans Submitted",OR(BF7="Granted",BF7="Granted on appeal")),"Stage out of date – now granted",IF(AND(G7&lt;&gt;"Plans Submitted",OR(BF7="Pending",BF7="Under appeal")),"Check – register still pending",IF(N(BL7)&gt;Method!$B$7,"Check – location differs",IF(AND(BP7&lt;&gt;"",ABS(N(BP7))&gt;60),"Consistent – decision date differs","Consistent"))))))))</f>
        <v>Consistent</v>
      </c>
      <c r="BS7" s="2" t="n">
        <v>1816</v>
      </c>
      <c r="BT7" s="2" t="s">
        <v>1049</v>
      </c>
      <c r="BU7" s="2" t="s">
        <v>1050</v>
      </c>
      <c r="BV7" s="2" t="s">
        <v>1015</v>
      </c>
      <c r="BW7" s="2" t="s">
        <v>1051</v>
      </c>
      <c r="BX7" s="2" t="s">
        <v>1052</v>
      </c>
    </row>
    <row r="8" customFormat="false" ht="15" hidden="false" customHeight="false" outlineLevel="0" collapsed="false">
      <c r="A8" s="2" t="n">
        <v>1022341</v>
      </c>
      <c r="B8" s="2" t="s">
        <v>582</v>
      </c>
      <c r="C8" s="2" t="s">
        <v>1053</v>
      </c>
      <c r="D8" s="2" t="s">
        <v>583</v>
      </c>
      <c r="E8" s="2" t="s">
        <v>584</v>
      </c>
      <c r="F8" s="2" t="s">
        <v>144</v>
      </c>
      <c r="G8" s="2" t="s">
        <v>194</v>
      </c>
      <c r="H8" s="2" t="s">
        <v>1014</v>
      </c>
      <c r="I8" s="2" t="s">
        <v>198</v>
      </c>
      <c r="J8" s="22" t="n">
        <v>43434</v>
      </c>
      <c r="K8" s="22" t="n">
        <v>43448</v>
      </c>
      <c r="L8" s="22" t="n">
        <v>44531.6837154745</v>
      </c>
      <c r="M8" s="2" t="s">
        <v>1016</v>
      </c>
      <c r="N8" s="2" t="s">
        <v>121</v>
      </c>
      <c r="O8" s="2"/>
      <c r="P8" s="2" t="s">
        <v>1017</v>
      </c>
      <c r="Q8" s="10" t="n">
        <v>26</v>
      </c>
      <c r="R8" s="10" t="n">
        <v>26</v>
      </c>
      <c r="S8" s="10"/>
      <c r="T8" s="2" t="s">
        <v>122</v>
      </c>
      <c r="U8" s="2" t="s">
        <v>1054</v>
      </c>
      <c r="V8" s="2" t="s">
        <v>1019</v>
      </c>
      <c r="W8" s="2" t="s">
        <v>1020</v>
      </c>
      <c r="X8" s="7"/>
      <c r="Y8" s="2" t="str">
        <f aca="false">IF(X8&lt;&gt;"",X8,T8)</f>
        <v>Extension of duration (parent not in CIS)</v>
      </c>
      <c r="Z8" s="2" t="str">
        <f aca="false">IF(OR(Y8="Primary",Y8="Additional phase",Y8="Additional application on site",Y8="Replaces earlier",Y8="Extension of duration (parent not in CIS)"),"Yes","No")</f>
        <v>Yes</v>
      </c>
      <c r="AA8" s="2"/>
      <c r="AB8" s="2" t="n">
        <f aca="false">IF(L8="","",ROUND((Method!$B$4-L8)/30.44,0))</f>
        <v>58</v>
      </c>
      <c r="AC8" s="2" t="str">
        <f aca="false">IF(AB8="","No",IF(AB8&gt;Method!$B$5,"Yes","No"))</f>
        <v>Yes</v>
      </c>
      <c r="AD8" s="22" t="n">
        <f aca="false">IF(BJ8&lt;&gt;"",BJ8,IF(K8&lt;&gt;"",EDATE(K8,60),""))</f>
        <v>45290</v>
      </c>
      <c r="AE8" s="2" t="str">
        <f aca="false">IF(AND(AD8&lt;&gt;"",OR(G8="Permission Granted",G8="Commencement Expected",G8="Stalled or Suspended")),IF(AD8&lt;Method!$B$4,"Yes","No"),"No")</f>
        <v>Yes</v>
      </c>
      <c r="AF8" s="7"/>
      <c r="AG8" s="2" t="str">
        <f aca="false">IF(Z8="No","Not counted",IF(AF8="Lapsed or dead","Excluded",IF(AF8="Constrained","Constrained / uncertain",IF(AF8="Confirmed live",IF(G8="On Site","Committed",IF(G8="Part Complete","Committed",IF(G8="Contract Awarded","Committed Pre-Construction",IF(G8="Tender","Advanced Pre-Construction",IF(G8="Commencement Expected","Likely",IF(G8="Permission Granted","Potential",IF(G8="Stalled or Suspended","Constrained / uncertain",IF(G8="Complete","Delivered","Application Pipeline")))))))),IF(G8="Complete","Delivered",IF(AND(OR(G8="Permission Granted",G8="Commencement Expected"),OR(AC8="Yes",AE8="Yes")),"Constrained / uncertain",IF(G8="On Site","Committed",IF(G8="Part Complete","Committed",IF(G8="Contract Awarded","Committed Pre-Construction",IF(G8="Tender","Advanced Pre-Construction",IF(G8="Commencement Expected","Likely",IF(G8="Permission Granted","Potential",IF(G8="Stalled or Suspended","Constrained / uncertain",IF(G8="Complete","Delivered","Application Pipeline"))))))))))))))</f>
        <v>Constrained / uncertain</v>
      </c>
      <c r="AH8" s="2" t="str">
        <f aca="false">IF(Z8="No","Relationship: "&amp;Y8,IF(AF8&lt;&gt;"","Analyst: "&amp;AF8,IF(G8="Complete","Complete",IF(AND(OR(G8="Permission Granted",G8="Commencement Expected"),AE8="Yes"),"Past expiry",IF(AND(OR(G8="Permission Granted",G8="Commencement Expected"),AC8="Yes"),"No CIS update in "&amp;AB8&amp;" months","As CIS")))))</f>
        <v>Past expiry</v>
      </c>
      <c r="AI8" s="10" t="n">
        <f aca="false">IF(Z8="Yes",N(Q8),0)</f>
        <v>26</v>
      </c>
      <c r="AJ8" s="10" t="n">
        <f aca="false">IF(OR(Z8="No",G8="Complete"),0,MAX(N(Q8)-N(AA8),0))</f>
        <v>26</v>
      </c>
      <c r="AK8" s="10" t="n">
        <f aca="false">IF(Z8="No",0,IF(G8="Complete",N(Q8),MIN(N(AA8),N(Q8))))</f>
        <v>0</v>
      </c>
      <c r="AL8" s="10" t="n">
        <f aca="false">IF(OR(OR(AG8="Not counted",AG8="Excluded",AG8="Delivered"),P8="Student accommodation"),0,AJ8)</f>
        <v>26</v>
      </c>
      <c r="AM8" s="10" t="n">
        <f aca="false">IF(OR(OR(AG8="Not counted",AG8="Excluded",AG8="Delivered"),P8&lt;&gt;"Student accommodation"),0,AJ8)</f>
        <v>0</v>
      </c>
      <c r="AN8" s="10" t="n">
        <f aca="false">IF(OR(AG8="Not counted",AG8="Excluded",AG8="Delivered"),0,N(S8))</f>
        <v>0</v>
      </c>
      <c r="AO8" s="2" t="s">
        <v>1021</v>
      </c>
      <c r="AP8" s="10"/>
      <c r="AQ8" s="10"/>
      <c r="AR8" s="10"/>
      <c r="AS8" s="10"/>
      <c r="AT8" s="10"/>
      <c r="AU8" s="10"/>
      <c r="AV8" s="10" t="n">
        <f aca="false">N(AP8)+N(AQ8)+N(AR8)+N(AS8)+N(AT8)+N(AU8)</f>
        <v>0</v>
      </c>
      <c r="AW8" s="10"/>
      <c r="AX8" s="10"/>
      <c r="AY8" s="10"/>
      <c r="AZ8" s="2"/>
      <c r="BA8" s="2" t="s">
        <v>1022</v>
      </c>
      <c r="BB8" s="2" t="s">
        <v>1053</v>
      </c>
      <c r="BC8" s="2" t="s">
        <v>1023</v>
      </c>
      <c r="BD8" s="2" t="s">
        <v>1024</v>
      </c>
      <c r="BE8" s="2"/>
      <c r="BF8" s="2" t="s">
        <v>1025</v>
      </c>
      <c r="BG8" s="22" t="n">
        <v>43448</v>
      </c>
      <c r="BH8" s="22" t="n">
        <v>44561</v>
      </c>
      <c r="BI8" s="2" t="s">
        <v>1055</v>
      </c>
      <c r="BJ8" s="22" t="n">
        <v>45290</v>
      </c>
      <c r="BK8" s="2"/>
      <c r="BL8" s="2" t="n">
        <v>0</v>
      </c>
      <c r="BM8" s="2"/>
      <c r="BN8" s="2" t="s">
        <v>1056</v>
      </c>
      <c r="BO8" s="23" t="s">
        <v>1057</v>
      </c>
      <c r="BP8" s="2" t="n">
        <f aca="false">IF(OR(K8="",BG8=""),"",ROUND(BG8-K8,0))</f>
        <v>0</v>
      </c>
      <c r="BQ8" s="2" t="str">
        <f aca="false">IF(OR(N(BK8)=0,Q8=""),"Not recorded",IF(BK8=Q8,"Match","Differs"))</f>
        <v>Not recorded</v>
      </c>
      <c r="BR8" s="2" t="str">
        <f aca="false">IF(N8="No","Excluded (non-residential)",IF(BF8="No reference","Unverified – no reference",IF(BF8="Not in council register","Unverified – not in register (Part 8 / other)",IF(OR(BF8="Refused",BF8="Refused on appeal",BF8="Withdrawn",BF8="Invalid",BF8="Quashed"),IF(OR(G8="Complete",G8="On Site",G8="Part Complete"),"Conflict – register not live but CIS says built","Conflict – not live in register"),IF(AND(G8="Plans Submitted",OR(BF8="Granted",BF8="Granted on appeal")),"Stage out of date – now granted",IF(AND(G8&lt;&gt;"Plans Submitted",OR(BF8="Pending",BF8="Under appeal")),"Check – register still pending",IF(N(BL8)&gt;Method!$B$7,"Check – location differs",IF(AND(BP8&lt;&gt;"",ABS(N(BP8))&gt;60),"Consistent – decision date differs","Consistent"))))))))</f>
        <v>Consistent</v>
      </c>
      <c r="BS8" s="2"/>
      <c r="BT8" s="2"/>
      <c r="BU8" s="2"/>
      <c r="BV8" s="2"/>
      <c r="BW8" s="2"/>
      <c r="BX8" s="2"/>
    </row>
    <row r="9" customFormat="false" ht="15" hidden="false" customHeight="false" outlineLevel="0" collapsed="false">
      <c r="A9" s="2" t="n">
        <v>1036712</v>
      </c>
      <c r="B9" s="2" t="s">
        <v>348</v>
      </c>
      <c r="C9" s="2" t="s">
        <v>1058</v>
      </c>
      <c r="D9" s="2" t="s">
        <v>349</v>
      </c>
      <c r="E9" s="2" t="s">
        <v>350</v>
      </c>
      <c r="F9" s="2" t="s">
        <v>138</v>
      </c>
      <c r="G9" s="2" t="s">
        <v>251</v>
      </c>
      <c r="H9" s="2" t="s">
        <v>1014</v>
      </c>
      <c r="I9" s="2" t="s">
        <v>1015</v>
      </c>
      <c r="J9" s="22" t="n">
        <v>43536</v>
      </c>
      <c r="K9" s="22" t="n">
        <v>43742</v>
      </c>
      <c r="L9" s="22" t="n">
        <v>46000.6199529282</v>
      </c>
      <c r="M9" s="2" t="s">
        <v>1016</v>
      </c>
      <c r="N9" s="2" t="s">
        <v>121</v>
      </c>
      <c r="O9" s="2"/>
      <c r="P9" s="2" t="s">
        <v>1017</v>
      </c>
      <c r="Q9" s="10" t="n">
        <v>5</v>
      </c>
      <c r="R9" s="10" t="n">
        <v>5</v>
      </c>
      <c r="S9" s="10"/>
      <c r="T9" s="2" t="s">
        <v>120</v>
      </c>
      <c r="U9" s="2"/>
      <c r="V9" s="2" t="s">
        <v>1029</v>
      </c>
      <c r="W9" s="2" t="s">
        <v>1030</v>
      </c>
      <c r="X9" s="7"/>
      <c r="Y9" s="2" t="str">
        <f aca="false">IF(X9&lt;&gt;"",X9,T9)</f>
        <v>Primary</v>
      </c>
      <c r="Z9" s="2" t="str">
        <f aca="false">IF(OR(Y9="Primary",Y9="Additional phase",Y9="Additional application on site",Y9="Replaces earlier",Y9="Extension of duration (parent not in CIS)"),"Yes","No")</f>
        <v>Yes</v>
      </c>
      <c r="AA9" s="2"/>
      <c r="AB9" s="2" t="n">
        <f aca="false">IF(L9="","",ROUND((Method!$B$4-L9)/30.44,0))</f>
        <v>10</v>
      </c>
      <c r="AC9" s="2" t="str">
        <f aca="false">IF(AB9="","No",IF(AB9&gt;Method!$B$5,"Yes","No"))</f>
        <v>No</v>
      </c>
      <c r="AD9" s="22" t="n">
        <f aca="false">IF(BJ9&lt;&gt;"",BJ9,IF(K9&lt;&gt;"",EDATE(K9,60),""))</f>
        <v>45717</v>
      </c>
      <c r="AE9" s="2" t="str">
        <f aca="false">IF(AND(AD9&lt;&gt;"",OR(G9="Permission Granted",G9="Commencement Expected",G9="Stalled or Suspended")),IF(AD9&lt;Method!$B$4,"Yes","No"),"No")</f>
        <v>No</v>
      </c>
      <c r="AF9" s="7"/>
      <c r="AG9" s="2" t="str">
        <f aca="false">IF(Z9="No","Not counted",IF(AF9="Lapsed or dead","Excluded",IF(AF9="Constrained","Constrained / uncertain",IF(AF9="Confirmed live",IF(G9="On Site","Committed",IF(G9="Part Complete","Committed",IF(G9="Contract Awarded","Committed Pre-Construction",IF(G9="Tender","Advanced Pre-Construction",IF(G9="Commencement Expected","Likely",IF(G9="Permission Granted","Potential",IF(G9="Stalled or Suspended","Constrained / uncertain",IF(G9="Complete","Delivered","Application Pipeline")))))))),IF(G9="Complete","Delivered",IF(AND(OR(G9="Permission Granted",G9="Commencement Expected"),OR(AC9="Yes",AE9="Yes")),"Constrained / uncertain",IF(G9="On Site","Committed",IF(G9="Part Complete","Committed",IF(G9="Contract Awarded","Committed Pre-Construction",IF(G9="Tender","Advanced Pre-Construction",IF(G9="Commencement Expected","Likely",IF(G9="Permission Granted","Potential",IF(G9="Stalled or Suspended","Constrained / uncertain",IF(G9="Complete","Delivered","Application Pipeline"))))))))))))))</f>
        <v>Delivered</v>
      </c>
      <c r="AH9" s="2" t="str">
        <f aca="false">IF(Z9="No","Relationship: "&amp;Y9,IF(AF9&lt;&gt;"","Analyst: "&amp;AF9,IF(G9="Complete","Complete",IF(AND(OR(G9="Permission Granted",G9="Commencement Expected"),AE9="Yes"),"Past expiry",IF(AND(OR(G9="Permission Granted",G9="Commencement Expected"),AC9="Yes"),"No CIS update in "&amp;AB9&amp;" months","As CIS")))))</f>
        <v>Complete</v>
      </c>
      <c r="AI9" s="10" t="n">
        <f aca="false">IF(Z9="Yes",N(Q9),0)</f>
        <v>5</v>
      </c>
      <c r="AJ9" s="10" t="n">
        <f aca="false">IF(OR(Z9="No",G9="Complete"),0,MAX(N(Q9)-N(AA9),0))</f>
        <v>0</v>
      </c>
      <c r="AK9" s="10" t="n">
        <f aca="false">IF(Z9="No",0,IF(G9="Complete",N(Q9),MIN(N(AA9),N(Q9))))</f>
        <v>5</v>
      </c>
      <c r="AL9" s="10" t="n">
        <f aca="false">IF(OR(OR(AG9="Not counted",AG9="Excluded",AG9="Delivered"),P9="Student accommodation"),0,AJ9)</f>
        <v>0</v>
      </c>
      <c r="AM9" s="10" t="n">
        <f aca="false">IF(OR(OR(AG9="Not counted",AG9="Excluded",AG9="Delivered"),P9&lt;&gt;"Student accommodation"),0,AJ9)</f>
        <v>0</v>
      </c>
      <c r="AN9" s="10" t="n">
        <f aca="false">IF(OR(AG9="Not counted",AG9="Excluded",AG9="Delivered"),0,N(S9))</f>
        <v>0</v>
      </c>
      <c r="AO9" s="2" t="s">
        <v>1031</v>
      </c>
      <c r="AP9" s="10"/>
      <c r="AQ9" s="10"/>
      <c r="AR9" s="10"/>
      <c r="AS9" s="10" t="n">
        <v>5</v>
      </c>
      <c r="AT9" s="10"/>
      <c r="AU9" s="10"/>
      <c r="AV9" s="10" t="n">
        <f aca="false">N(AP9)+N(AQ9)+N(AR9)+N(AS9)+N(AT9)+N(AU9)</f>
        <v>5</v>
      </c>
      <c r="AW9" s="10" t="n">
        <v>5</v>
      </c>
      <c r="AX9" s="10"/>
      <c r="AY9" s="10"/>
      <c r="AZ9" s="2"/>
      <c r="BA9" s="2" t="s">
        <v>1022</v>
      </c>
      <c r="BB9" s="2" t="s">
        <v>1058</v>
      </c>
      <c r="BC9" s="2" t="s">
        <v>1023</v>
      </c>
      <c r="BD9" s="2" t="s">
        <v>1024</v>
      </c>
      <c r="BE9" s="2" t="s">
        <v>1024</v>
      </c>
      <c r="BF9" s="2" t="s">
        <v>1059</v>
      </c>
      <c r="BG9" s="22" t="n">
        <v>43742</v>
      </c>
      <c r="BH9" s="22" t="n">
        <v>45717</v>
      </c>
      <c r="BI9" s="2"/>
      <c r="BJ9" s="22" t="n">
        <v>45717</v>
      </c>
      <c r="BK9" s="2" t="n">
        <v>5</v>
      </c>
      <c r="BL9" s="2" t="n">
        <v>0</v>
      </c>
      <c r="BM9" s="2"/>
      <c r="BN9" s="2" t="s">
        <v>1060</v>
      </c>
      <c r="BO9" s="23" t="s">
        <v>1061</v>
      </c>
      <c r="BP9" s="2" t="n">
        <f aca="false">IF(OR(K9="",BG9=""),"",ROUND(BG9-K9,0))</f>
        <v>0</v>
      </c>
      <c r="BQ9" s="2" t="str">
        <f aca="false">IF(OR(N(BK9)=0,Q9=""),"Not recorded",IF(BK9=Q9,"Match","Differs"))</f>
        <v>Match</v>
      </c>
      <c r="BR9" s="2" t="str">
        <f aca="false">IF(N9="No","Excluded (non-residential)",IF(BF9="No reference","Unverified – no reference",IF(BF9="Not in council register","Unverified – not in register (Part 8 / other)",IF(OR(BF9="Refused",BF9="Refused on appeal",BF9="Withdrawn",BF9="Invalid",BF9="Quashed"),IF(OR(G9="Complete",G9="On Site",G9="Part Complete"),"Conflict – register not live but CIS says built","Conflict – not live in register"),IF(AND(G9="Plans Submitted",OR(BF9="Granted",BF9="Granted on appeal")),"Stage out of date – now granted",IF(AND(G9&lt;&gt;"Plans Submitted",OR(BF9="Pending",BF9="Under appeal")),"Check – register still pending",IF(N(BL9)&gt;Method!$B$7,"Check – location differs",IF(AND(BP9&lt;&gt;"",ABS(N(BP9))&gt;60),"Consistent – decision date differs","Consistent"))))))))</f>
        <v>Consistent</v>
      </c>
      <c r="BS9" s="2"/>
      <c r="BT9" s="2"/>
      <c r="BU9" s="2"/>
      <c r="BV9" s="2"/>
      <c r="BW9" s="2"/>
      <c r="BX9" s="2"/>
    </row>
    <row r="10" customFormat="false" ht="15" hidden="false" customHeight="false" outlineLevel="0" collapsed="false">
      <c r="A10" s="2" t="n">
        <v>1045472</v>
      </c>
      <c r="B10" s="2" t="s">
        <v>576</v>
      </c>
      <c r="C10" s="2" t="s">
        <v>1062</v>
      </c>
      <c r="D10" s="2" t="s">
        <v>577</v>
      </c>
      <c r="E10" s="2" t="s">
        <v>578</v>
      </c>
      <c r="F10" s="2" t="s">
        <v>144</v>
      </c>
      <c r="G10" s="2" t="s">
        <v>251</v>
      </c>
      <c r="H10" s="2" t="s">
        <v>1014</v>
      </c>
      <c r="I10" s="2" t="s">
        <v>1015</v>
      </c>
      <c r="J10" s="22" t="n">
        <v>43138</v>
      </c>
      <c r="K10" s="22" t="n">
        <v>43236</v>
      </c>
      <c r="L10" s="22" t="n">
        <v>44595.5659392361</v>
      </c>
      <c r="M10" s="2" t="s">
        <v>1016</v>
      </c>
      <c r="N10" s="2" t="s">
        <v>121</v>
      </c>
      <c r="O10" s="2"/>
      <c r="P10" s="2" t="s">
        <v>1017</v>
      </c>
      <c r="Q10" s="10" t="n">
        <v>14</v>
      </c>
      <c r="R10" s="10"/>
      <c r="S10" s="10"/>
      <c r="T10" s="2" t="s">
        <v>120</v>
      </c>
      <c r="U10" s="2"/>
      <c r="V10" s="2" t="s">
        <v>1029</v>
      </c>
      <c r="W10" s="2" t="s">
        <v>1030</v>
      </c>
      <c r="X10" s="7"/>
      <c r="Y10" s="2" t="str">
        <f aca="false">IF(X10&lt;&gt;"",X10,T10)</f>
        <v>Primary</v>
      </c>
      <c r="Z10" s="2" t="str">
        <f aca="false">IF(OR(Y10="Primary",Y10="Additional phase",Y10="Additional application on site",Y10="Replaces earlier",Y10="Extension of duration (parent not in CIS)"),"Yes","No")</f>
        <v>Yes</v>
      </c>
      <c r="AA10" s="2"/>
      <c r="AB10" s="2" t="n">
        <f aca="false">IF(L10="","",ROUND((Method!$B$4-L10)/30.44,0))</f>
        <v>56</v>
      </c>
      <c r="AC10" s="2" t="str">
        <f aca="false">IF(AB10="","No",IF(AB10&gt;Method!$B$5,"Yes","No"))</f>
        <v>Yes</v>
      </c>
      <c r="AD10" s="22" t="n">
        <f aca="false">IF(BJ10&lt;&gt;"",BJ10,IF(K10&lt;&gt;"",EDATE(K10,60),""))</f>
        <v>45062</v>
      </c>
      <c r="AE10" s="2" t="str">
        <f aca="false">IF(AND(AD10&lt;&gt;"",OR(G10="Permission Granted",G10="Commencement Expected",G10="Stalled or Suspended")),IF(AD10&lt;Method!$B$4,"Yes","No"),"No")</f>
        <v>No</v>
      </c>
      <c r="AF10" s="7"/>
      <c r="AG10" s="2" t="str">
        <f aca="false">IF(Z10="No","Not counted",IF(AF10="Lapsed or dead","Excluded",IF(AF10="Constrained","Constrained / uncertain",IF(AF10="Confirmed live",IF(G10="On Site","Committed",IF(G10="Part Complete","Committed",IF(G10="Contract Awarded","Committed Pre-Construction",IF(G10="Tender","Advanced Pre-Construction",IF(G10="Commencement Expected","Likely",IF(G10="Permission Granted","Potential",IF(G10="Stalled or Suspended","Constrained / uncertain",IF(G10="Complete","Delivered","Application Pipeline")))))))),IF(G10="Complete","Delivered",IF(AND(OR(G10="Permission Granted",G10="Commencement Expected"),OR(AC10="Yes",AE10="Yes")),"Constrained / uncertain",IF(G10="On Site","Committed",IF(G10="Part Complete","Committed",IF(G10="Contract Awarded","Committed Pre-Construction",IF(G10="Tender","Advanced Pre-Construction",IF(G10="Commencement Expected","Likely",IF(G10="Permission Granted","Potential",IF(G10="Stalled or Suspended","Constrained / uncertain",IF(G10="Complete","Delivered","Application Pipeline"))))))))))))))</f>
        <v>Delivered</v>
      </c>
      <c r="AH10" s="2" t="str">
        <f aca="false">IF(Z10="No","Relationship: "&amp;Y10,IF(AF10&lt;&gt;"","Analyst: "&amp;AF10,IF(G10="Complete","Complete",IF(AND(OR(G10="Permission Granted",G10="Commencement Expected"),AE10="Yes"),"Past expiry",IF(AND(OR(G10="Permission Granted",G10="Commencement Expected"),AC10="Yes"),"No CIS update in "&amp;AB10&amp;" months","As CIS")))))</f>
        <v>Complete</v>
      </c>
      <c r="AI10" s="10" t="n">
        <f aca="false">IF(Z10="Yes",N(Q10),0)</f>
        <v>14</v>
      </c>
      <c r="AJ10" s="10" t="n">
        <f aca="false">IF(OR(Z10="No",G10="Complete"),0,MAX(N(Q10)-N(AA10),0))</f>
        <v>0</v>
      </c>
      <c r="AK10" s="10" t="n">
        <f aca="false">IF(Z10="No",0,IF(G10="Complete",N(Q10),MIN(N(AA10),N(Q10))))</f>
        <v>14</v>
      </c>
      <c r="AL10" s="10" t="n">
        <f aca="false">IF(OR(OR(AG10="Not counted",AG10="Excluded",AG10="Delivered"),P10="Student accommodation"),0,AJ10)</f>
        <v>0</v>
      </c>
      <c r="AM10" s="10" t="n">
        <f aca="false">IF(OR(OR(AG10="Not counted",AG10="Excluded",AG10="Delivered"),P10&lt;&gt;"Student accommodation"),0,AJ10)</f>
        <v>0</v>
      </c>
      <c r="AN10" s="10" t="n">
        <f aca="false">IF(OR(AG10="Not counted",AG10="Excluded",AG10="Delivered"),0,N(S10))</f>
        <v>0</v>
      </c>
      <c r="AO10" s="2" t="s">
        <v>1031</v>
      </c>
      <c r="AP10" s="10"/>
      <c r="AQ10" s="10"/>
      <c r="AR10" s="10" t="n">
        <v>14</v>
      </c>
      <c r="AS10" s="10"/>
      <c r="AT10" s="10"/>
      <c r="AU10" s="10"/>
      <c r="AV10" s="10" t="n">
        <f aca="false">N(AP10)+N(AQ10)+N(AR10)+N(AS10)+N(AT10)+N(AU10)</f>
        <v>14</v>
      </c>
      <c r="AW10" s="10"/>
      <c r="AX10" s="10" t="n">
        <v>14</v>
      </c>
      <c r="AY10" s="10"/>
      <c r="AZ10" s="2"/>
      <c r="BA10" s="2" t="s">
        <v>1022</v>
      </c>
      <c r="BB10" s="2" t="s">
        <v>1062</v>
      </c>
      <c r="BC10" s="2" t="s">
        <v>1046</v>
      </c>
      <c r="BD10" s="2" t="s">
        <v>1024</v>
      </c>
      <c r="BE10" s="2"/>
      <c r="BF10" s="2" t="s">
        <v>1025</v>
      </c>
      <c r="BG10" s="22" t="n">
        <v>43236</v>
      </c>
      <c r="BH10" s="22"/>
      <c r="BI10" s="2"/>
      <c r="BJ10" s="22"/>
      <c r="BK10" s="2" t="n">
        <v>14</v>
      </c>
      <c r="BL10" s="2" t="n">
        <v>0</v>
      </c>
      <c r="BM10" s="2"/>
      <c r="BN10" s="24" t="s">
        <v>1063</v>
      </c>
      <c r="BO10" s="23" t="s">
        <v>1064</v>
      </c>
      <c r="BP10" s="2" t="n">
        <f aca="false">IF(OR(K10="",BG10=""),"",ROUND(BG10-K10,0))</f>
        <v>0</v>
      </c>
      <c r="BQ10" s="2" t="str">
        <f aca="false">IF(OR(N(BK10)=0,Q10=""),"Not recorded",IF(BK10=Q10,"Match","Differs"))</f>
        <v>Match</v>
      </c>
      <c r="BR10" s="2" t="str">
        <f aca="false">IF(N10="No","Excluded (non-residential)",IF(BF10="No reference","Unverified – no reference",IF(BF10="Not in council register","Unverified – not in register (Part 8 / other)",IF(OR(BF10="Refused",BF10="Refused on appeal",BF10="Withdrawn",BF10="Invalid",BF10="Quashed"),IF(OR(G10="Complete",G10="On Site",G10="Part Complete"),"Conflict – register not live but CIS says built","Conflict – not live in register"),IF(AND(G10="Plans Submitted",OR(BF10="Granted",BF10="Granted on appeal")),"Stage out of date – now granted",IF(AND(G10&lt;&gt;"Plans Submitted",OR(BF10="Pending",BF10="Under appeal")),"Check – register still pending",IF(N(BL10)&gt;Method!$B$7,"Check – location differs",IF(AND(BP10&lt;&gt;"",ABS(N(BP10))&gt;60),"Consistent – decision date differs","Consistent"))))))))</f>
        <v>Consistent</v>
      </c>
      <c r="BS10" s="2"/>
      <c r="BT10" s="2"/>
      <c r="BU10" s="2"/>
      <c r="BV10" s="2"/>
      <c r="BW10" s="2"/>
      <c r="BX10" s="2"/>
    </row>
    <row r="11" customFormat="false" ht="15" hidden="false" customHeight="false" outlineLevel="0" collapsed="false">
      <c r="A11" s="2" t="n">
        <v>1050624</v>
      </c>
      <c r="B11" s="2" t="s">
        <v>568</v>
      </c>
      <c r="C11" s="2" t="s">
        <v>1065</v>
      </c>
      <c r="D11" s="2" t="s">
        <v>569</v>
      </c>
      <c r="E11" s="2" t="s">
        <v>570</v>
      </c>
      <c r="F11" s="2" t="s">
        <v>144</v>
      </c>
      <c r="G11" s="2" t="s">
        <v>198</v>
      </c>
      <c r="H11" s="2" t="s">
        <v>1014</v>
      </c>
      <c r="I11" s="2" t="s">
        <v>1015</v>
      </c>
      <c r="J11" s="22" t="n">
        <v>43621</v>
      </c>
      <c r="K11" s="22" t="n">
        <v>43718</v>
      </c>
      <c r="L11" s="22" t="n">
        <v>44760.4340727199</v>
      </c>
      <c r="M11" s="2" t="s">
        <v>1016</v>
      </c>
      <c r="N11" s="2" t="s">
        <v>121</v>
      </c>
      <c r="O11" s="2"/>
      <c r="P11" s="2" t="s">
        <v>1017</v>
      </c>
      <c r="Q11" s="10" t="n">
        <v>27</v>
      </c>
      <c r="R11" s="10" t="n">
        <v>27</v>
      </c>
      <c r="S11" s="10"/>
      <c r="T11" s="2" t="s">
        <v>120</v>
      </c>
      <c r="U11" s="2"/>
      <c r="V11" s="2" t="s">
        <v>1029</v>
      </c>
      <c r="W11" s="2" t="s">
        <v>1030</v>
      </c>
      <c r="X11" s="7"/>
      <c r="Y11" s="2" t="str">
        <f aca="false">IF(X11&lt;&gt;"",X11,T11)</f>
        <v>Primary</v>
      </c>
      <c r="Z11" s="2" t="str">
        <f aca="false">IF(OR(Y11="Primary",Y11="Additional phase",Y11="Additional application on site",Y11="Replaces earlier",Y11="Extension of duration (parent not in CIS)"),"Yes","No")</f>
        <v>Yes</v>
      </c>
      <c r="AA11" s="2"/>
      <c r="AB11" s="2" t="n">
        <f aca="false">IF(L11="","",ROUND((Method!$B$4-L11)/30.44,0))</f>
        <v>50</v>
      </c>
      <c r="AC11" s="2" t="str">
        <f aca="false">IF(AB11="","No",IF(AB11&gt;Method!$B$5,"Yes","No"))</f>
        <v>Yes</v>
      </c>
      <c r="AD11" s="22" t="n">
        <f aca="false">IF(BJ11&lt;&gt;"",BJ11,IF(K11&lt;&gt;"",EDATE(K11,60),""))</f>
        <v>45545</v>
      </c>
      <c r="AE11" s="2" t="str">
        <f aca="false">IF(AND(AD11&lt;&gt;"",OR(G11="Permission Granted",G11="Commencement Expected",G11="Stalled or Suspended")),IF(AD11&lt;Method!$B$4,"Yes","No"),"No")</f>
        <v>No</v>
      </c>
      <c r="AF11" s="7"/>
      <c r="AG11" s="2" t="str">
        <f aca="false">IF(Z11="No","Not counted",IF(AF11="Lapsed or dead","Excluded",IF(AF11="Constrained","Constrained / uncertain",IF(AF11="Confirmed live",IF(G11="On Site","Committed",IF(G11="Part Complete","Committed",IF(G11="Contract Awarded","Committed Pre-Construction",IF(G11="Tender","Advanced Pre-Construction",IF(G11="Commencement Expected","Likely",IF(G11="Permission Granted","Potential",IF(G11="Stalled or Suspended","Constrained / uncertain",IF(G11="Complete","Delivered","Application Pipeline")))))))),IF(G11="Complete","Delivered",IF(AND(OR(G11="Permission Granted",G11="Commencement Expected"),OR(AC11="Yes",AE11="Yes")),"Constrained / uncertain",IF(G11="On Site","Committed",IF(G11="Part Complete","Committed",IF(G11="Contract Awarded","Committed Pre-Construction",IF(G11="Tender","Advanced Pre-Construction",IF(G11="Commencement Expected","Likely",IF(G11="Permission Granted","Potential",IF(G11="Stalled or Suspended","Constrained / uncertain",IF(G11="Complete","Delivered","Application Pipeline"))))))))))))))</f>
        <v>Committed</v>
      </c>
      <c r="AH11" s="2" t="str">
        <f aca="false">IF(Z11="No","Relationship: "&amp;Y11,IF(AF11&lt;&gt;"","Analyst: "&amp;AF11,IF(G11="Complete","Complete",IF(AND(OR(G11="Permission Granted",G11="Commencement Expected"),AE11="Yes"),"Past expiry",IF(AND(OR(G11="Permission Granted",G11="Commencement Expected"),AC11="Yes"),"No CIS update in "&amp;AB11&amp;" months","As CIS")))))</f>
        <v>As CIS</v>
      </c>
      <c r="AI11" s="10" t="n">
        <f aca="false">IF(Z11="Yes",N(Q11),0)</f>
        <v>27</v>
      </c>
      <c r="AJ11" s="10" t="n">
        <f aca="false">IF(OR(Z11="No",G11="Complete"),0,MAX(N(Q11)-N(AA11),0))</f>
        <v>27</v>
      </c>
      <c r="AK11" s="10" t="n">
        <f aca="false">IF(Z11="No",0,IF(G11="Complete",N(Q11),MIN(N(AA11),N(Q11))))</f>
        <v>0</v>
      </c>
      <c r="AL11" s="10" t="n">
        <f aca="false">IF(OR(OR(AG11="Not counted",AG11="Excluded",AG11="Delivered"),P11="Student accommodation"),0,AJ11)</f>
        <v>27</v>
      </c>
      <c r="AM11" s="10" t="n">
        <f aca="false">IF(OR(OR(AG11="Not counted",AG11="Excluded",AG11="Delivered"),P11&lt;&gt;"Student accommodation"),0,AJ11)</f>
        <v>0</v>
      </c>
      <c r="AN11" s="10" t="n">
        <f aca="false">IF(OR(AG11="Not counted",AG11="Excluded",AG11="Delivered"),0,N(S11))</f>
        <v>0</v>
      </c>
      <c r="AO11" s="2" t="s">
        <v>1031</v>
      </c>
      <c r="AP11" s="10"/>
      <c r="AQ11" s="10"/>
      <c r="AR11" s="10" t="n">
        <v>11</v>
      </c>
      <c r="AS11" s="10" t="n">
        <v>13</v>
      </c>
      <c r="AT11" s="10" t="n">
        <v>3</v>
      </c>
      <c r="AU11" s="10"/>
      <c r="AV11" s="10" t="n">
        <f aca="false">N(AP11)+N(AQ11)+N(AR11)+N(AS11)+N(AT11)+N(AU11)</f>
        <v>27</v>
      </c>
      <c r="AW11" s="10" t="n">
        <v>16</v>
      </c>
      <c r="AX11" s="10" t="n">
        <v>11</v>
      </c>
      <c r="AY11" s="10"/>
      <c r="AZ11" s="2"/>
      <c r="BA11" s="2" t="s">
        <v>1022</v>
      </c>
      <c r="BB11" s="2" t="s">
        <v>1065</v>
      </c>
      <c r="BC11" s="2" t="s">
        <v>1046</v>
      </c>
      <c r="BD11" s="2" t="s">
        <v>1024</v>
      </c>
      <c r="BE11" s="2"/>
      <c r="BF11" s="2" t="s">
        <v>1025</v>
      </c>
      <c r="BG11" s="22" t="n">
        <v>43718</v>
      </c>
      <c r="BH11" s="22"/>
      <c r="BI11" s="2"/>
      <c r="BJ11" s="22"/>
      <c r="BK11" s="2" t="n">
        <v>27</v>
      </c>
      <c r="BL11" s="2" t="n">
        <v>0</v>
      </c>
      <c r="BM11" s="2"/>
      <c r="BN11" s="2" t="s">
        <v>1066</v>
      </c>
      <c r="BO11" s="23" t="s">
        <v>1067</v>
      </c>
      <c r="BP11" s="2" t="n">
        <f aca="false">IF(OR(K11="",BG11=""),"",ROUND(BG11-K11,0))</f>
        <v>0</v>
      </c>
      <c r="BQ11" s="2" t="str">
        <f aca="false">IF(OR(N(BK11)=0,Q11=""),"Not recorded",IF(BK11=Q11,"Match","Differs"))</f>
        <v>Match</v>
      </c>
      <c r="BR11" s="2" t="str">
        <f aca="false">IF(N11="No","Excluded (non-residential)",IF(BF11="No reference","Unverified – no reference",IF(BF11="Not in council register","Unverified – not in register (Part 8 / other)",IF(OR(BF11="Refused",BF11="Refused on appeal",BF11="Withdrawn",BF11="Invalid",BF11="Quashed"),IF(OR(G11="Complete",G11="On Site",G11="Part Complete"),"Conflict – register not live but CIS says built","Conflict – not live in register"),IF(AND(G11="Plans Submitted",OR(BF11="Granted",BF11="Granted on appeal")),"Stage out of date – now granted",IF(AND(G11&lt;&gt;"Plans Submitted",OR(BF11="Pending",BF11="Under appeal")),"Check – register still pending",IF(N(BL11)&gt;Method!$B$7,"Check – location differs",IF(AND(BP11&lt;&gt;"",ABS(N(BP11))&gt;60),"Consistent – decision date differs","Consistent"))))))))</f>
        <v>Consistent</v>
      </c>
      <c r="BS11" s="2"/>
      <c r="BT11" s="2"/>
      <c r="BU11" s="2"/>
      <c r="BV11" s="2"/>
      <c r="BW11" s="2"/>
      <c r="BX11" s="2"/>
    </row>
    <row r="12" customFormat="false" ht="15" hidden="false" customHeight="false" outlineLevel="0" collapsed="false">
      <c r="A12" s="2" t="n">
        <v>1051821</v>
      </c>
      <c r="B12" s="2" t="s">
        <v>606</v>
      </c>
      <c r="C12" s="2" t="s">
        <v>1068</v>
      </c>
      <c r="D12" s="2" t="s">
        <v>607</v>
      </c>
      <c r="E12" s="2" t="s">
        <v>608</v>
      </c>
      <c r="F12" s="2" t="s">
        <v>144</v>
      </c>
      <c r="G12" s="2" t="s">
        <v>187</v>
      </c>
      <c r="H12" s="2" t="s">
        <v>1014</v>
      </c>
      <c r="I12" s="2"/>
      <c r="J12" s="22" t="n">
        <v>43623</v>
      </c>
      <c r="K12" s="22" t="n">
        <v>44001</v>
      </c>
      <c r="L12" s="22" t="n">
        <v>44153.4441989236</v>
      </c>
      <c r="M12" s="2" t="s">
        <v>1016</v>
      </c>
      <c r="N12" s="2" t="s">
        <v>121</v>
      </c>
      <c r="O12" s="2"/>
      <c r="P12" s="2" t="s">
        <v>1017</v>
      </c>
      <c r="Q12" s="10" t="n">
        <v>14</v>
      </c>
      <c r="R12" s="10"/>
      <c r="S12" s="10"/>
      <c r="T12" s="2" t="s">
        <v>120</v>
      </c>
      <c r="U12" s="2"/>
      <c r="V12" s="2" t="s">
        <v>1029</v>
      </c>
      <c r="W12" s="2" t="s">
        <v>1030</v>
      </c>
      <c r="X12" s="7"/>
      <c r="Y12" s="2" t="str">
        <f aca="false">IF(X12&lt;&gt;"",X12,T12)</f>
        <v>Primary</v>
      </c>
      <c r="Z12" s="2" t="str">
        <f aca="false">IF(OR(Y12="Primary",Y12="Additional phase",Y12="Additional application on site",Y12="Replaces earlier",Y12="Extension of duration (parent not in CIS)"),"Yes","No")</f>
        <v>Yes</v>
      </c>
      <c r="AA12" s="2"/>
      <c r="AB12" s="2" t="n">
        <f aca="false">IF(L12="","",ROUND((Method!$B$4-L12)/30.44,0))</f>
        <v>70</v>
      </c>
      <c r="AC12" s="2" t="str">
        <f aca="false">IF(AB12="","No",IF(AB12&gt;Method!$B$5,"Yes","No"))</f>
        <v>Yes</v>
      </c>
      <c r="AD12" s="22" t="n">
        <f aca="false">IF(BJ12&lt;&gt;"",BJ12,IF(K12&lt;&gt;"",EDATE(K12,60),""))</f>
        <v>47070</v>
      </c>
      <c r="AE12" s="2" t="str">
        <f aca="false">IF(AND(AD12&lt;&gt;"",OR(G12="Permission Granted",G12="Commencement Expected",G12="Stalled or Suspended")),IF(AD12&lt;Method!$B$4,"Yes","No"),"No")</f>
        <v>No</v>
      </c>
      <c r="AF12" s="7"/>
      <c r="AG12" s="2" t="str">
        <f aca="false">IF(Z12="No","Not counted",IF(AF12="Lapsed or dead","Excluded",IF(AF12="Constrained","Constrained / uncertain",IF(AF12="Confirmed live",IF(G12="On Site","Committed",IF(G12="Part Complete","Committed",IF(G12="Contract Awarded","Committed Pre-Construction",IF(G12="Tender","Advanced Pre-Construction",IF(G12="Commencement Expected","Likely",IF(G12="Permission Granted","Potential",IF(G12="Stalled or Suspended","Constrained / uncertain",IF(G12="Complete","Delivered","Application Pipeline")))))))),IF(G12="Complete","Delivered",IF(AND(OR(G12="Permission Granted",G12="Commencement Expected"),OR(AC12="Yes",AE12="Yes")),"Constrained / uncertain",IF(G12="On Site","Committed",IF(G12="Part Complete","Committed",IF(G12="Contract Awarded","Committed Pre-Construction",IF(G12="Tender","Advanced Pre-Construction",IF(G12="Commencement Expected","Likely",IF(G12="Permission Granted","Potential",IF(G12="Stalled or Suspended","Constrained / uncertain",IF(G12="Complete","Delivered","Application Pipeline"))))))))))))))</f>
        <v>Constrained / uncertain</v>
      </c>
      <c r="AH12" s="2" t="str">
        <f aca="false">IF(Z12="No","Relationship: "&amp;Y12,IF(AF12&lt;&gt;"","Analyst: "&amp;AF12,IF(G12="Complete","Complete",IF(AND(OR(G12="Permission Granted",G12="Commencement Expected"),AE12="Yes"),"Past expiry",IF(AND(OR(G12="Permission Granted",G12="Commencement Expected"),AC12="Yes"),"No CIS update in "&amp;AB12&amp;" months","As CIS")))))</f>
        <v>No CIS update in 70 months</v>
      </c>
      <c r="AI12" s="10" t="n">
        <f aca="false">IF(Z12="Yes",N(Q12),0)</f>
        <v>14</v>
      </c>
      <c r="AJ12" s="10" t="n">
        <f aca="false">IF(OR(Z12="No",G12="Complete"),0,MAX(N(Q12)-N(AA12),0))</f>
        <v>14</v>
      </c>
      <c r="AK12" s="10" t="n">
        <f aca="false">IF(Z12="No",0,IF(G12="Complete",N(Q12),MIN(N(AA12),N(Q12))))</f>
        <v>0</v>
      </c>
      <c r="AL12" s="10" t="n">
        <f aca="false">IF(OR(OR(AG12="Not counted",AG12="Excluded",AG12="Delivered"),P12="Student accommodation"),0,AJ12)</f>
        <v>14</v>
      </c>
      <c r="AM12" s="10" t="n">
        <f aca="false">IF(OR(OR(AG12="Not counted",AG12="Excluded",AG12="Delivered"),P12&lt;&gt;"Student accommodation"),0,AJ12)</f>
        <v>0</v>
      </c>
      <c r="AN12" s="10" t="n">
        <f aca="false">IF(OR(AG12="Not counted",AG12="Excluded",AG12="Delivered"),0,N(S12))</f>
        <v>0</v>
      </c>
      <c r="AO12" s="2" t="s">
        <v>1069</v>
      </c>
      <c r="AP12" s="10"/>
      <c r="AQ12" s="10"/>
      <c r="AR12" s="10"/>
      <c r="AS12" s="10"/>
      <c r="AT12" s="10"/>
      <c r="AU12" s="10"/>
      <c r="AV12" s="10" t="n">
        <f aca="false">N(AP12)+N(AQ12)+N(AR12)+N(AS12)+N(AT12)+N(AU12)</f>
        <v>0</v>
      </c>
      <c r="AW12" s="10"/>
      <c r="AX12" s="10"/>
      <c r="AY12" s="10"/>
      <c r="AZ12" s="2" t="s">
        <v>1070</v>
      </c>
      <c r="BA12" s="2" t="s">
        <v>1022</v>
      </c>
      <c r="BB12" s="2" t="s">
        <v>1068</v>
      </c>
      <c r="BC12" s="2" t="s">
        <v>1023</v>
      </c>
      <c r="BD12" s="2" t="s">
        <v>1071</v>
      </c>
      <c r="BE12" s="2" t="s">
        <v>1024</v>
      </c>
      <c r="BF12" s="2" t="s">
        <v>1059</v>
      </c>
      <c r="BG12" s="22" t="n">
        <v>44001</v>
      </c>
      <c r="BH12" s="22" t="n">
        <v>45973</v>
      </c>
      <c r="BI12" s="2" t="s">
        <v>1072</v>
      </c>
      <c r="BJ12" s="22" t="n">
        <v>47070</v>
      </c>
      <c r="BK12" s="2" t="n">
        <v>14</v>
      </c>
      <c r="BL12" s="2" t="n">
        <v>0</v>
      </c>
      <c r="BM12" s="2"/>
      <c r="BN12" s="2" t="s">
        <v>1073</v>
      </c>
      <c r="BO12" s="23" t="s">
        <v>1074</v>
      </c>
      <c r="BP12" s="2" t="n">
        <f aca="false">IF(OR(K12="",BG12=""),"",ROUND(BG12-K12,0))</f>
        <v>0</v>
      </c>
      <c r="BQ12" s="2" t="str">
        <f aca="false">IF(OR(N(BK12)=0,Q12=""),"Not recorded",IF(BK12=Q12,"Match","Differs"))</f>
        <v>Match</v>
      </c>
      <c r="BR12" s="2" t="str">
        <f aca="false">IF(N12="No","Excluded (non-residential)",IF(BF12="No reference","Unverified – no reference",IF(BF12="Not in council register","Unverified – not in register (Part 8 / other)",IF(OR(BF12="Refused",BF12="Refused on appeal",BF12="Withdrawn",BF12="Invalid",BF12="Quashed"),IF(OR(G12="Complete",G12="On Site",G12="Part Complete"),"Conflict – register not live but CIS says built","Conflict – not live in register"),IF(AND(G12="Plans Submitted",OR(BF12="Granted",BF12="Granted on appeal")),"Stage out of date – now granted",IF(AND(G12&lt;&gt;"Plans Submitted",OR(BF12="Pending",BF12="Under appeal")),"Check – register still pending",IF(N(BL12)&gt;Method!$B$7,"Check – location differs",IF(AND(BP12&lt;&gt;"",ABS(N(BP12))&gt;60),"Consistent – decision date differs","Consistent"))))))))</f>
        <v>Consistent</v>
      </c>
      <c r="BS12" s="2"/>
      <c r="BT12" s="2"/>
      <c r="BU12" s="2"/>
      <c r="BV12" s="2"/>
      <c r="BW12" s="2"/>
      <c r="BX12" s="2"/>
    </row>
    <row r="13" customFormat="false" ht="15" hidden="false" customHeight="false" outlineLevel="0" collapsed="false">
      <c r="A13" s="2" t="n">
        <v>1053166</v>
      </c>
      <c r="B13" s="2" t="s">
        <v>573</v>
      </c>
      <c r="C13" s="2" t="s">
        <v>1075</v>
      </c>
      <c r="D13" s="2" t="s">
        <v>574</v>
      </c>
      <c r="E13" s="2" t="s">
        <v>575</v>
      </c>
      <c r="F13" s="2" t="s">
        <v>144</v>
      </c>
      <c r="G13" s="2" t="s">
        <v>198</v>
      </c>
      <c r="H13" s="2" t="s">
        <v>1014</v>
      </c>
      <c r="I13" s="2" t="s">
        <v>198</v>
      </c>
      <c r="J13" s="22" t="n">
        <v>43629</v>
      </c>
      <c r="K13" s="22" t="n">
        <v>43711</v>
      </c>
      <c r="L13" s="22" t="n">
        <v>44622.4730880787</v>
      </c>
      <c r="M13" s="2" t="s">
        <v>1016</v>
      </c>
      <c r="N13" s="2" t="s">
        <v>121</v>
      </c>
      <c r="O13" s="2"/>
      <c r="P13" s="2" t="s">
        <v>1017</v>
      </c>
      <c r="Q13" s="10" t="n">
        <v>4</v>
      </c>
      <c r="R13" s="10" t="n">
        <v>8</v>
      </c>
      <c r="S13" s="10"/>
      <c r="T13" s="2" t="s">
        <v>122</v>
      </c>
      <c r="U13" s="2" t="s">
        <v>1076</v>
      </c>
      <c r="V13" s="2" t="s">
        <v>1019</v>
      </c>
      <c r="W13" s="2" t="s">
        <v>1020</v>
      </c>
      <c r="X13" s="7"/>
      <c r="Y13" s="2" t="str">
        <f aca="false">IF(X13&lt;&gt;"",X13,T13)</f>
        <v>Extension of duration (parent not in CIS)</v>
      </c>
      <c r="Z13" s="2" t="str">
        <f aca="false">IF(OR(Y13="Primary",Y13="Additional phase",Y13="Additional application on site",Y13="Replaces earlier",Y13="Extension of duration (parent not in CIS)"),"Yes","No")</f>
        <v>Yes</v>
      </c>
      <c r="AA13" s="2"/>
      <c r="AB13" s="2" t="n">
        <f aca="false">IF(L13="","",ROUND((Method!$B$4-L13)/30.44,0))</f>
        <v>55</v>
      </c>
      <c r="AC13" s="2" t="str">
        <f aca="false">IF(AB13="","No",IF(AB13&gt;Method!$B$5,"Yes","No"))</f>
        <v>Yes</v>
      </c>
      <c r="AD13" s="22" t="n">
        <f aca="false">IF(BJ13&lt;&gt;"",BJ13,IF(K13&lt;&gt;"",EDATE(K13,60),""))</f>
        <v>45501</v>
      </c>
      <c r="AE13" s="2" t="str">
        <f aca="false">IF(AND(AD13&lt;&gt;"",OR(G13="Permission Granted",G13="Commencement Expected",G13="Stalled or Suspended")),IF(AD13&lt;Method!$B$4,"Yes","No"),"No")</f>
        <v>No</v>
      </c>
      <c r="AF13" s="7"/>
      <c r="AG13" s="2" t="str">
        <f aca="false">IF(Z13="No","Not counted",IF(AF13="Lapsed or dead","Excluded",IF(AF13="Constrained","Constrained / uncertain",IF(AF13="Confirmed live",IF(G13="On Site","Committed",IF(G13="Part Complete","Committed",IF(G13="Contract Awarded","Committed Pre-Construction",IF(G13="Tender","Advanced Pre-Construction",IF(G13="Commencement Expected","Likely",IF(G13="Permission Granted","Potential",IF(G13="Stalled or Suspended","Constrained / uncertain",IF(G13="Complete","Delivered","Application Pipeline")))))))),IF(G13="Complete","Delivered",IF(AND(OR(G13="Permission Granted",G13="Commencement Expected"),OR(AC13="Yes",AE13="Yes")),"Constrained / uncertain",IF(G13="On Site","Committed",IF(G13="Part Complete","Committed",IF(G13="Contract Awarded","Committed Pre-Construction",IF(G13="Tender","Advanced Pre-Construction",IF(G13="Commencement Expected","Likely",IF(G13="Permission Granted","Potential",IF(G13="Stalled or Suspended","Constrained / uncertain",IF(G13="Complete","Delivered","Application Pipeline"))))))))))))))</f>
        <v>Committed</v>
      </c>
      <c r="AH13" s="2" t="str">
        <f aca="false">IF(Z13="No","Relationship: "&amp;Y13,IF(AF13&lt;&gt;"","Analyst: "&amp;AF13,IF(G13="Complete","Complete",IF(AND(OR(G13="Permission Granted",G13="Commencement Expected"),AE13="Yes"),"Past expiry",IF(AND(OR(G13="Permission Granted",G13="Commencement Expected"),AC13="Yes"),"No CIS update in "&amp;AB13&amp;" months","As CIS")))))</f>
        <v>As CIS</v>
      </c>
      <c r="AI13" s="10" t="n">
        <f aca="false">IF(Z13="Yes",N(Q13),0)</f>
        <v>4</v>
      </c>
      <c r="AJ13" s="10" t="n">
        <f aca="false">IF(OR(Z13="No",G13="Complete"),0,MAX(N(Q13)-N(AA13),0))</f>
        <v>4</v>
      </c>
      <c r="AK13" s="10" t="n">
        <f aca="false">IF(Z13="No",0,IF(G13="Complete",N(Q13),MIN(N(AA13),N(Q13))))</f>
        <v>0</v>
      </c>
      <c r="AL13" s="10" t="n">
        <f aca="false">IF(OR(OR(AG13="Not counted",AG13="Excluded",AG13="Delivered"),P13="Student accommodation"),0,AJ13)</f>
        <v>4</v>
      </c>
      <c r="AM13" s="10" t="n">
        <f aca="false">IF(OR(OR(AG13="Not counted",AG13="Excluded",AG13="Delivered"),P13&lt;&gt;"Student accommodation"),0,AJ13)</f>
        <v>0</v>
      </c>
      <c r="AN13" s="10" t="n">
        <f aca="false">IF(OR(AG13="Not counted",AG13="Excluded",AG13="Delivered"),0,N(S13))</f>
        <v>0</v>
      </c>
      <c r="AO13" s="2" t="s">
        <v>1021</v>
      </c>
      <c r="AP13" s="10"/>
      <c r="AQ13" s="10"/>
      <c r="AR13" s="10"/>
      <c r="AS13" s="10"/>
      <c r="AT13" s="10"/>
      <c r="AU13" s="10"/>
      <c r="AV13" s="10" t="n">
        <f aca="false">N(AP13)+N(AQ13)+N(AR13)+N(AS13)+N(AT13)+N(AU13)</f>
        <v>0</v>
      </c>
      <c r="AW13" s="10"/>
      <c r="AX13" s="10"/>
      <c r="AY13" s="10"/>
      <c r="AZ13" s="2"/>
      <c r="BA13" s="2" t="s">
        <v>1022</v>
      </c>
      <c r="BB13" s="2" t="s">
        <v>1075</v>
      </c>
      <c r="BC13" s="2" t="s">
        <v>1023</v>
      </c>
      <c r="BD13" s="2" t="s">
        <v>1024</v>
      </c>
      <c r="BE13" s="2"/>
      <c r="BF13" s="2" t="s">
        <v>1025</v>
      </c>
      <c r="BG13" s="22" t="n">
        <v>43711</v>
      </c>
      <c r="BH13" s="22" t="n">
        <v>45501</v>
      </c>
      <c r="BI13" s="2"/>
      <c r="BJ13" s="22" t="n">
        <v>45501</v>
      </c>
      <c r="BK13" s="2"/>
      <c r="BL13" s="2" t="n">
        <v>0</v>
      </c>
      <c r="BM13" s="2"/>
      <c r="BN13" s="2" t="s">
        <v>1077</v>
      </c>
      <c r="BO13" s="23" t="s">
        <v>1078</v>
      </c>
      <c r="BP13" s="2" t="n">
        <f aca="false">IF(OR(K13="",BG13=""),"",ROUND(BG13-K13,0))</f>
        <v>0</v>
      </c>
      <c r="BQ13" s="2" t="str">
        <f aca="false">IF(OR(N(BK13)=0,Q13=""),"Not recorded",IF(BK13=Q13,"Match","Differs"))</f>
        <v>Not recorded</v>
      </c>
      <c r="BR13" s="2" t="str">
        <f aca="false">IF(N13="No","Excluded (non-residential)",IF(BF13="No reference","Unverified – no reference",IF(BF13="Not in council register","Unverified – not in register (Part 8 / other)",IF(OR(BF13="Refused",BF13="Refused on appeal",BF13="Withdrawn",BF13="Invalid",BF13="Quashed"),IF(OR(G13="Complete",G13="On Site",G13="Part Complete"),"Conflict – register not live but CIS says built","Conflict – not live in register"),IF(AND(G13="Plans Submitted",OR(BF13="Granted",BF13="Granted on appeal")),"Stage out of date – now granted",IF(AND(G13&lt;&gt;"Plans Submitted",OR(BF13="Pending",BF13="Under appeal")),"Check – register still pending",IF(N(BL13)&gt;Method!$B$7,"Check – location differs",IF(AND(BP13&lt;&gt;"",ABS(N(BP13))&gt;60),"Consistent – decision date differs","Consistent"))))))))</f>
        <v>Consistent</v>
      </c>
      <c r="BS13" s="2"/>
      <c r="BT13" s="2"/>
      <c r="BU13" s="2"/>
      <c r="BV13" s="2"/>
      <c r="BW13" s="2"/>
      <c r="BX13" s="2"/>
    </row>
    <row r="14" customFormat="false" ht="15" hidden="false" customHeight="false" outlineLevel="0" collapsed="false">
      <c r="A14" s="2" t="n">
        <v>1054214</v>
      </c>
      <c r="B14" s="2" t="s">
        <v>547</v>
      </c>
      <c r="C14" s="2" t="s">
        <v>1079</v>
      </c>
      <c r="D14" s="2" t="s">
        <v>548</v>
      </c>
      <c r="E14" s="2" t="s">
        <v>549</v>
      </c>
      <c r="F14" s="2" t="s">
        <v>144</v>
      </c>
      <c r="G14" s="2" t="s">
        <v>187</v>
      </c>
      <c r="H14" s="2" t="s">
        <v>1014</v>
      </c>
      <c r="I14" s="2"/>
      <c r="J14" s="22" t="n">
        <v>43642</v>
      </c>
      <c r="K14" s="22" t="n">
        <v>44126</v>
      </c>
      <c r="L14" s="22" t="n">
        <v>44998.4572684838</v>
      </c>
      <c r="M14" s="2" t="s">
        <v>1016</v>
      </c>
      <c r="N14" s="2" t="s">
        <v>121</v>
      </c>
      <c r="O14" s="2"/>
      <c r="P14" s="2" t="s">
        <v>1017</v>
      </c>
      <c r="Q14" s="10" t="n">
        <v>27</v>
      </c>
      <c r="R14" s="10" t="n">
        <v>27</v>
      </c>
      <c r="S14" s="10"/>
      <c r="T14" s="2" t="s">
        <v>30</v>
      </c>
      <c r="U14" s="2"/>
      <c r="V14" s="2" t="s">
        <v>1080</v>
      </c>
      <c r="W14" s="2" t="s">
        <v>1020</v>
      </c>
      <c r="X14" s="7"/>
      <c r="Y14" s="2" t="str">
        <f aca="false">IF(X14&lt;&gt;"",X14,T14)</f>
        <v>Additional application on site</v>
      </c>
      <c r="Z14" s="2" t="str">
        <f aca="false">IF(OR(Y14="Primary",Y14="Additional phase",Y14="Additional application on site",Y14="Replaces earlier",Y14="Extension of duration (parent not in CIS)"),"Yes","No")</f>
        <v>Yes</v>
      </c>
      <c r="AA14" s="2"/>
      <c r="AB14" s="2" t="n">
        <f aca="false">IF(L14="","",ROUND((Method!$B$4-L14)/30.44,0))</f>
        <v>43</v>
      </c>
      <c r="AC14" s="2" t="str">
        <f aca="false">IF(AB14="","No",IF(AB14&gt;Method!$B$5,"Yes","No"))</f>
        <v>Yes</v>
      </c>
      <c r="AD14" s="22" t="n">
        <f aca="false">IF(BJ14&lt;&gt;"",BJ14,IF(K14&lt;&gt;"",EDATE(K14,60),""))</f>
        <v>45952</v>
      </c>
      <c r="AE14" s="2" t="str">
        <f aca="false">IF(AND(AD14&lt;&gt;"",OR(G14="Permission Granted",G14="Commencement Expected",G14="Stalled or Suspended")),IF(AD14&lt;Method!$B$4,"Yes","No"),"No")</f>
        <v>Yes</v>
      </c>
      <c r="AF14" s="7"/>
      <c r="AG14" s="2" t="str">
        <f aca="false">IF(Z14="No","Not counted",IF(AF14="Lapsed or dead","Excluded",IF(AF14="Constrained","Constrained / uncertain",IF(AF14="Confirmed live",IF(G14="On Site","Committed",IF(G14="Part Complete","Committed",IF(G14="Contract Awarded","Committed Pre-Construction",IF(G14="Tender","Advanced Pre-Construction",IF(G14="Commencement Expected","Likely",IF(G14="Permission Granted","Potential",IF(G14="Stalled or Suspended","Constrained / uncertain",IF(G14="Complete","Delivered","Application Pipeline")))))))),IF(G14="Complete","Delivered",IF(AND(OR(G14="Permission Granted",G14="Commencement Expected"),OR(AC14="Yes",AE14="Yes")),"Constrained / uncertain",IF(G14="On Site","Committed",IF(G14="Part Complete","Committed",IF(G14="Contract Awarded","Committed Pre-Construction",IF(G14="Tender","Advanced Pre-Construction",IF(G14="Commencement Expected","Likely",IF(G14="Permission Granted","Potential",IF(G14="Stalled or Suspended","Constrained / uncertain",IF(G14="Complete","Delivered","Application Pipeline"))))))))))))))</f>
        <v>Constrained / uncertain</v>
      </c>
      <c r="AH14" s="2" t="str">
        <f aca="false">IF(Z14="No","Relationship: "&amp;Y14,IF(AF14&lt;&gt;"","Analyst: "&amp;AF14,IF(G14="Complete","Complete",IF(AND(OR(G14="Permission Granted",G14="Commencement Expected"),AE14="Yes"),"Past expiry",IF(AND(OR(G14="Permission Granted",G14="Commencement Expected"),AC14="Yes"),"No CIS update in "&amp;AB14&amp;" months","As CIS")))))</f>
        <v>Past expiry</v>
      </c>
      <c r="AI14" s="10" t="n">
        <f aca="false">IF(Z14="Yes",N(Q14),0)</f>
        <v>27</v>
      </c>
      <c r="AJ14" s="10" t="n">
        <f aca="false">IF(OR(Z14="No",G14="Complete"),0,MAX(N(Q14)-N(AA14),0))</f>
        <v>27</v>
      </c>
      <c r="AK14" s="10" t="n">
        <f aca="false">IF(Z14="No",0,IF(G14="Complete",N(Q14),MIN(N(AA14),N(Q14))))</f>
        <v>0</v>
      </c>
      <c r="AL14" s="10" t="n">
        <f aca="false">IF(OR(OR(AG14="Not counted",AG14="Excluded",AG14="Delivered"),P14="Student accommodation"),0,AJ14)</f>
        <v>27</v>
      </c>
      <c r="AM14" s="10" t="n">
        <f aca="false">IF(OR(OR(AG14="Not counted",AG14="Excluded",AG14="Delivered"),P14&lt;&gt;"Student accommodation"),0,AJ14)</f>
        <v>0</v>
      </c>
      <c r="AN14" s="10" t="n">
        <f aca="false">IF(OR(AG14="Not counted",AG14="Excluded",AG14="Delivered"),0,N(S14))</f>
        <v>0</v>
      </c>
      <c r="AO14" s="2" t="s">
        <v>1031</v>
      </c>
      <c r="AP14" s="10"/>
      <c r="AQ14" s="10" t="n">
        <v>9</v>
      </c>
      <c r="AR14" s="10" t="n">
        <v>18</v>
      </c>
      <c r="AS14" s="10"/>
      <c r="AT14" s="10"/>
      <c r="AU14" s="10"/>
      <c r="AV14" s="10" t="n">
        <f aca="false">N(AP14)+N(AQ14)+N(AR14)+N(AS14)+N(AT14)+N(AU14)</f>
        <v>27</v>
      </c>
      <c r="AW14" s="10"/>
      <c r="AX14" s="10" t="n">
        <v>27</v>
      </c>
      <c r="AY14" s="10"/>
      <c r="AZ14" s="2"/>
      <c r="BA14" s="2" t="s">
        <v>1022</v>
      </c>
      <c r="BB14" s="2" t="s">
        <v>1079</v>
      </c>
      <c r="BC14" s="2" t="s">
        <v>1046</v>
      </c>
      <c r="BD14" s="2" t="s">
        <v>1024</v>
      </c>
      <c r="BE14" s="2"/>
      <c r="BF14" s="2" t="s">
        <v>1025</v>
      </c>
      <c r="BG14" s="22" t="n">
        <v>43740</v>
      </c>
      <c r="BH14" s="22"/>
      <c r="BI14" s="2"/>
      <c r="BJ14" s="22"/>
      <c r="BK14" s="2" t="n">
        <v>27</v>
      </c>
      <c r="BL14" s="2" t="n">
        <v>0</v>
      </c>
      <c r="BM14" s="2"/>
      <c r="BN14" s="2" t="s">
        <v>1081</v>
      </c>
      <c r="BO14" s="23" t="s">
        <v>1082</v>
      </c>
      <c r="BP14" s="2" t="n">
        <f aca="false">IF(OR(K14="",BG14=""),"",ROUND(BG14-K14,0))</f>
        <v>-386</v>
      </c>
      <c r="BQ14" s="2" t="str">
        <f aca="false">IF(OR(N(BK14)=0,Q14=""),"Not recorded",IF(BK14=Q14,"Match","Differs"))</f>
        <v>Match</v>
      </c>
      <c r="BR14" s="2" t="str">
        <f aca="false">IF(N14="No","Excluded (non-residential)",IF(BF14="No reference","Unverified – no reference",IF(BF14="Not in council register","Unverified – not in register (Part 8 / other)",IF(OR(BF14="Refused",BF14="Refused on appeal",BF14="Withdrawn",BF14="Invalid",BF14="Quashed"),IF(OR(G14="Complete",G14="On Site",G14="Part Complete"),"Conflict – register not live but CIS says built","Conflict – not live in register"),IF(AND(G14="Plans Submitted",OR(BF14="Granted",BF14="Granted on appeal")),"Stage out of date – now granted",IF(AND(G14&lt;&gt;"Plans Submitted",OR(BF14="Pending",BF14="Under appeal")),"Check – register still pending",IF(N(BL14)&gt;Method!$B$7,"Check – location differs",IF(AND(BP14&lt;&gt;"",ABS(N(BP14))&gt;60),"Consistent – decision date differs","Consistent"))))))))</f>
        <v>Consistent – decision date differs</v>
      </c>
      <c r="BS14" s="2"/>
      <c r="BT14" s="2"/>
      <c r="BU14" s="2"/>
      <c r="BV14" s="2"/>
      <c r="BW14" s="2"/>
      <c r="BX14" s="2"/>
    </row>
    <row r="15" customFormat="false" ht="15" hidden="false" customHeight="false" outlineLevel="0" collapsed="false">
      <c r="A15" s="2" t="n">
        <v>1058796</v>
      </c>
      <c r="B15" s="2" t="s">
        <v>559</v>
      </c>
      <c r="C15" s="2" t="s">
        <v>1083</v>
      </c>
      <c r="D15" s="2" t="s">
        <v>560</v>
      </c>
      <c r="E15" s="2" t="s">
        <v>561</v>
      </c>
      <c r="F15" s="2" t="s">
        <v>144</v>
      </c>
      <c r="G15" s="2" t="s">
        <v>453</v>
      </c>
      <c r="H15" s="2" t="s">
        <v>1014</v>
      </c>
      <c r="I15" s="2"/>
      <c r="J15" s="22" t="n">
        <v>43664</v>
      </c>
      <c r="K15" s="22" t="n">
        <v>44055</v>
      </c>
      <c r="L15" s="22" t="n">
        <v>44799.4114971412</v>
      </c>
      <c r="M15" s="2" t="s">
        <v>1016</v>
      </c>
      <c r="N15" s="2" t="s">
        <v>121</v>
      </c>
      <c r="O15" s="2"/>
      <c r="P15" s="2" t="s">
        <v>41</v>
      </c>
      <c r="Q15" s="10" t="n">
        <v>31</v>
      </c>
      <c r="R15" s="10"/>
      <c r="S15" s="10"/>
      <c r="T15" s="2" t="s">
        <v>120</v>
      </c>
      <c r="U15" s="2"/>
      <c r="V15" s="2" t="s">
        <v>1029</v>
      </c>
      <c r="W15" s="2" t="s">
        <v>1030</v>
      </c>
      <c r="X15" s="7"/>
      <c r="Y15" s="2" t="str">
        <f aca="false">IF(X15&lt;&gt;"",X15,T15)</f>
        <v>Primary</v>
      </c>
      <c r="Z15" s="2" t="str">
        <f aca="false">IF(OR(Y15="Primary",Y15="Additional phase",Y15="Additional application on site",Y15="Replaces earlier",Y15="Extension of duration (parent not in CIS)"),"Yes","No")</f>
        <v>Yes</v>
      </c>
      <c r="AA15" s="2"/>
      <c r="AB15" s="2" t="n">
        <f aca="false">IF(L15="","",ROUND((Method!$B$4-L15)/30.44,0))</f>
        <v>49</v>
      </c>
      <c r="AC15" s="2" t="str">
        <f aca="false">IF(AB15="","No",IF(AB15&gt;Method!$B$5,"Yes","No"))</f>
        <v>Yes</v>
      </c>
      <c r="AD15" s="22" t="n">
        <f aca="false">IF(BJ15&lt;&gt;"",BJ15,IF(K15&lt;&gt;"",EDATE(K15,60),""))</f>
        <v>47190</v>
      </c>
      <c r="AE15" s="2" t="str">
        <f aca="false">IF(AND(AD15&lt;&gt;"",OR(G15="Permission Granted",G15="Commencement Expected",G15="Stalled or Suspended")),IF(AD15&lt;Method!$B$4,"Yes","No"),"No")</f>
        <v>No</v>
      </c>
      <c r="AF15" s="7"/>
      <c r="AG15" s="2" t="str">
        <f aca="false">IF(Z15="No","Not counted",IF(AF15="Lapsed or dead","Excluded",IF(AF15="Constrained","Constrained / uncertain",IF(AF15="Confirmed live",IF(G15="On Site","Committed",IF(G15="Part Complete","Committed",IF(G15="Contract Awarded","Committed Pre-Construction",IF(G15="Tender","Advanced Pre-Construction",IF(G15="Commencement Expected","Likely",IF(G15="Permission Granted","Potential",IF(G15="Stalled or Suspended","Constrained / uncertain",IF(G15="Complete","Delivered","Application Pipeline")))))))),IF(G15="Complete","Delivered",IF(AND(OR(G15="Permission Granted",G15="Commencement Expected"),OR(AC15="Yes",AE15="Yes")),"Constrained / uncertain",IF(G15="On Site","Committed",IF(G15="Part Complete","Committed",IF(G15="Contract Awarded","Committed Pre-Construction",IF(G15="Tender","Advanced Pre-Construction",IF(G15="Commencement Expected","Likely",IF(G15="Permission Granted","Potential",IF(G15="Stalled or Suspended","Constrained / uncertain",IF(G15="Complete","Delivered","Application Pipeline"))))))))))))))</f>
        <v>Constrained / uncertain</v>
      </c>
      <c r="AH15" s="2" t="str">
        <f aca="false">IF(Z15="No","Relationship: "&amp;Y15,IF(AF15&lt;&gt;"","Analyst: "&amp;AF15,IF(G15="Complete","Complete",IF(AND(OR(G15="Permission Granted",G15="Commencement Expected"),AE15="Yes"),"Past expiry",IF(AND(OR(G15="Permission Granted",G15="Commencement Expected"),AC15="Yes"),"No CIS update in "&amp;AB15&amp;" months","As CIS")))))</f>
        <v>As CIS</v>
      </c>
      <c r="AI15" s="10" t="n">
        <f aca="false">IF(Z15="Yes",N(Q15),0)</f>
        <v>31</v>
      </c>
      <c r="AJ15" s="10" t="n">
        <f aca="false">IF(OR(Z15="No",G15="Complete"),0,MAX(N(Q15)-N(AA15),0))</f>
        <v>31</v>
      </c>
      <c r="AK15" s="10" t="n">
        <f aca="false">IF(Z15="No",0,IF(G15="Complete",N(Q15),MIN(N(AA15),N(Q15))))</f>
        <v>0</v>
      </c>
      <c r="AL15" s="10" t="n">
        <f aca="false">IF(OR(OR(AG15="Not counted",AG15="Excluded",AG15="Delivered"),P15="Student accommodation"),0,AJ15)</f>
        <v>0</v>
      </c>
      <c r="AM15" s="10" t="n">
        <f aca="false">IF(OR(OR(AG15="Not counted",AG15="Excluded",AG15="Delivered"),P15&lt;&gt;"Student accommodation"),0,AJ15)</f>
        <v>31</v>
      </c>
      <c r="AN15" s="10" t="n">
        <f aca="false">IF(OR(AG15="Not counted",AG15="Excluded",AG15="Delivered"),0,N(S15))</f>
        <v>0</v>
      </c>
      <c r="AO15" s="2" t="s">
        <v>1021</v>
      </c>
      <c r="AP15" s="10"/>
      <c r="AQ15" s="10"/>
      <c r="AR15" s="10"/>
      <c r="AS15" s="10"/>
      <c r="AT15" s="10"/>
      <c r="AU15" s="10"/>
      <c r="AV15" s="10" t="n">
        <f aca="false">N(AP15)+N(AQ15)+N(AR15)+N(AS15)+N(AT15)+N(AU15)</f>
        <v>0</v>
      </c>
      <c r="AW15" s="10"/>
      <c r="AX15" s="10"/>
      <c r="AY15" s="10"/>
      <c r="AZ15" s="2"/>
      <c r="BA15" s="2" t="s">
        <v>1022</v>
      </c>
      <c r="BB15" s="2" t="s">
        <v>1083</v>
      </c>
      <c r="BC15" s="2" t="s">
        <v>1023</v>
      </c>
      <c r="BD15" s="2" t="s">
        <v>1024</v>
      </c>
      <c r="BE15" s="2" t="s">
        <v>1024</v>
      </c>
      <c r="BF15" s="2" t="s">
        <v>1059</v>
      </c>
      <c r="BG15" s="22" t="n">
        <v>44055</v>
      </c>
      <c r="BH15" s="22" t="n">
        <v>46095</v>
      </c>
      <c r="BI15" s="2" t="s">
        <v>1084</v>
      </c>
      <c r="BJ15" s="22" t="n">
        <v>47190</v>
      </c>
      <c r="BK15" s="2" t="n">
        <v>5</v>
      </c>
      <c r="BL15" s="2" t="n">
        <v>0</v>
      </c>
      <c r="BM15" s="2"/>
      <c r="BN15" s="2" t="s">
        <v>1085</v>
      </c>
      <c r="BO15" s="23" t="s">
        <v>1086</v>
      </c>
      <c r="BP15" s="2" t="n">
        <f aca="false">IF(OR(K15="",BG15=""),"",ROUND(BG15-K15,0))</f>
        <v>0</v>
      </c>
      <c r="BQ15" s="2" t="str">
        <f aca="false">IF(OR(N(BK15)=0,Q15=""),"Not recorded",IF(BK15=Q15,"Match","Differs"))</f>
        <v>Differs</v>
      </c>
      <c r="BR15" s="2" t="str">
        <f aca="false">IF(N15="No","Excluded (non-residential)",IF(BF15="No reference","Unverified – no reference",IF(BF15="Not in council register","Unverified – not in register (Part 8 / other)",IF(OR(BF15="Refused",BF15="Refused on appeal",BF15="Withdrawn",BF15="Invalid",BF15="Quashed"),IF(OR(G15="Complete",G15="On Site",G15="Part Complete"),"Conflict – register not live but CIS says built","Conflict – not live in register"),IF(AND(G15="Plans Submitted",OR(BF15="Granted",BF15="Granted on appeal")),"Stage out of date – now granted",IF(AND(G15&lt;&gt;"Plans Submitted",OR(BF15="Pending",BF15="Under appeal")),"Check – register still pending",IF(N(BL15)&gt;Method!$B$7,"Check – location differs",IF(AND(BP15&lt;&gt;"",ABS(N(BP15))&gt;60),"Consistent – decision date differs","Consistent"))))))))</f>
        <v>Consistent</v>
      </c>
      <c r="BS15" s="2"/>
      <c r="BT15" s="2"/>
      <c r="BU15" s="2"/>
      <c r="BV15" s="2"/>
      <c r="BW15" s="2"/>
      <c r="BX15" s="2"/>
    </row>
    <row r="16" customFormat="false" ht="15" hidden="false" customHeight="false" outlineLevel="0" collapsed="false">
      <c r="A16" s="2" t="n">
        <v>1058813</v>
      </c>
      <c r="B16" s="2" t="s">
        <v>342</v>
      </c>
      <c r="C16" s="2" t="s">
        <v>1087</v>
      </c>
      <c r="D16" s="2" t="s">
        <v>343</v>
      </c>
      <c r="E16" s="2" t="s">
        <v>344</v>
      </c>
      <c r="F16" s="2" t="s">
        <v>144</v>
      </c>
      <c r="G16" s="2" t="s">
        <v>251</v>
      </c>
      <c r="H16" s="2" t="s">
        <v>1014</v>
      </c>
      <c r="I16" s="2" t="s">
        <v>1015</v>
      </c>
      <c r="J16" s="22" t="n">
        <v>43668</v>
      </c>
      <c r="K16" s="22" t="n">
        <v>43724</v>
      </c>
      <c r="L16" s="22" t="n">
        <v>46013.3501587153</v>
      </c>
      <c r="M16" s="2" t="s">
        <v>1016</v>
      </c>
      <c r="N16" s="2" t="s">
        <v>121</v>
      </c>
      <c r="O16" s="2"/>
      <c r="P16" s="2" t="s">
        <v>1017</v>
      </c>
      <c r="Q16" s="10" t="n">
        <v>16</v>
      </c>
      <c r="R16" s="10" t="n">
        <v>16</v>
      </c>
      <c r="S16" s="10"/>
      <c r="T16" s="2" t="s">
        <v>120</v>
      </c>
      <c r="U16" s="2"/>
      <c r="V16" s="2" t="s">
        <v>1029</v>
      </c>
      <c r="W16" s="2" t="s">
        <v>1030</v>
      </c>
      <c r="X16" s="7"/>
      <c r="Y16" s="2" t="str">
        <f aca="false">IF(X16&lt;&gt;"",X16,T16)</f>
        <v>Primary</v>
      </c>
      <c r="Z16" s="2" t="str">
        <f aca="false">IF(OR(Y16="Primary",Y16="Additional phase",Y16="Additional application on site",Y16="Replaces earlier",Y16="Extension of duration (parent not in CIS)"),"Yes","No")</f>
        <v>Yes</v>
      </c>
      <c r="AA16" s="2"/>
      <c r="AB16" s="2" t="n">
        <f aca="false">IF(L16="","",ROUND((Method!$B$4-L16)/30.44,0))</f>
        <v>9</v>
      </c>
      <c r="AC16" s="2" t="str">
        <f aca="false">IF(AB16="","No",IF(AB16&gt;Method!$B$5,"Yes","No"))</f>
        <v>No</v>
      </c>
      <c r="AD16" s="22" t="n">
        <f aca="false">IF(BJ16&lt;&gt;"",BJ16,IF(K16&lt;&gt;"",EDATE(K16,60),""))</f>
        <v>45551</v>
      </c>
      <c r="AE16" s="2" t="str">
        <f aca="false">IF(AND(AD16&lt;&gt;"",OR(G16="Permission Granted",G16="Commencement Expected",G16="Stalled or Suspended")),IF(AD16&lt;Method!$B$4,"Yes","No"),"No")</f>
        <v>No</v>
      </c>
      <c r="AF16" s="7"/>
      <c r="AG16" s="2" t="str">
        <f aca="false">IF(Z16="No","Not counted",IF(AF16="Lapsed or dead","Excluded",IF(AF16="Constrained","Constrained / uncertain",IF(AF16="Confirmed live",IF(G16="On Site","Committed",IF(G16="Part Complete","Committed",IF(G16="Contract Awarded","Committed Pre-Construction",IF(G16="Tender","Advanced Pre-Construction",IF(G16="Commencement Expected","Likely",IF(G16="Permission Granted","Potential",IF(G16="Stalled or Suspended","Constrained / uncertain",IF(G16="Complete","Delivered","Application Pipeline")))))))),IF(G16="Complete","Delivered",IF(AND(OR(G16="Permission Granted",G16="Commencement Expected"),OR(AC16="Yes",AE16="Yes")),"Constrained / uncertain",IF(G16="On Site","Committed",IF(G16="Part Complete","Committed",IF(G16="Contract Awarded","Committed Pre-Construction",IF(G16="Tender","Advanced Pre-Construction",IF(G16="Commencement Expected","Likely",IF(G16="Permission Granted","Potential",IF(G16="Stalled or Suspended","Constrained / uncertain",IF(G16="Complete","Delivered","Application Pipeline"))))))))))))))</f>
        <v>Delivered</v>
      </c>
      <c r="AH16" s="2" t="str">
        <f aca="false">IF(Z16="No","Relationship: "&amp;Y16,IF(AF16&lt;&gt;"","Analyst: "&amp;AF16,IF(G16="Complete","Complete",IF(AND(OR(G16="Permission Granted",G16="Commencement Expected"),AE16="Yes"),"Past expiry",IF(AND(OR(G16="Permission Granted",G16="Commencement Expected"),AC16="Yes"),"No CIS update in "&amp;AB16&amp;" months","As CIS")))))</f>
        <v>Complete</v>
      </c>
      <c r="AI16" s="10" t="n">
        <f aca="false">IF(Z16="Yes",N(Q16),0)</f>
        <v>16</v>
      </c>
      <c r="AJ16" s="10" t="n">
        <f aca="false">IF(OR(Z16="No",G16="Complete"),0,MAX(N(Q16)-N(AA16),0))</f>
        <v>0</v>
      </c>
      <c r="AK16" s="10" t="n">
        <f aca="false">IF(Z16="No",0,IF(G16="Complete",N(Q16),MIN(N(AA16),N(Q16))))</f>
        <v>16</v>
      </c>
      <c r="AL16" s="10" t="n">
        <f aca="false">IF(OR(OR(AG16="Not counted",AG16="Excluded",AG16="Delivered"),P16="Student accommodation"),0,AJ16)</f>
        <v>0</v>
      </c>
      <c r="AM16" s="10" t="n">
        <f aca="false">IF(OR(OR(AG16="Not counted",AG16="Excluded",AG16="Delivered"),P16&lt;&gt;"Student accommodation"),0,AJ16)</f>
        <v>0</v>
      </c>
      <c r="AN16" s="10" t="n">
        <f aca="false">IF(OR(AG16="Not counted",AG16="Excluded",AG16="Delivered"),0,N(S16))</f>
        <v>0</v>
      </c>
      <c r="AO16" s="2" t="s">
        <v>1031</v>
      </c>
      <c r="AP16" s="10"/>
      <c r="AQ16" s="10" t="n">
        <v>2</v>
      </c>
      <c r="AR16" s="10" t="n">
        <v>12</v>
      </c>
      <c r="AS16" s="10" t="n">
        <v>2</v>
      </c>
      <c r="AT16" s="10"/>
      <c r="AU16" s="10"/>
      <c r="AV16" s="10" t="n">
        <f aca="false">N(AP16)+N(AQ16)+N(AR16)+N(AS16)+N(AT16)+N(AU16)</f>
        <v>16</v>
      </c>
      <c r="AW16" s="10" t="n">
        <v>7</v>
      </c>
      <c r="AX16" s="10" t="n">
        <v>9</v>
      </c>
      <c r="AY16" s="10"/>
      <c r="AZ16" s="2"/>
      <c r="BA16" s="2" t="s">
        <v>1022</v>
      </c>
      <c r="BB16" s="2" t="s">
        <v>1087</v>
      </c>
      <c r="BC16" s="2" t="s">
        <v>1046</v>
      </c>
      <c r="BD16" s="2" t="s">
        <v>1024</v>
      </c>
      <c r="BE16" s="2"/>
      <c r="BF16" s="2" t="s">
        <v>1025</v>
      </c>
      <c r="BG16" s="22" t="n">
        <v>44498</v>
      </c>
      <c r="BH16" s="22"/>
      <c r="BI16" s="2"/>
      <c r="BJ16" s="22"/>
      <c r="BK16" s="2" t="n">
        <v>16</v>
      </c>
      <c r="BL16" s="2" t="n">
        <v>0</v>
      </c>
      <c r="BM16" s="2"/>
      <c r="BN16" s="2" t="s">
        <v>1088</v>
      </c>
      <c r="BO16" s="23" t="s">
        <v>1089</v>
      </c>
      <c r="BP16" s="2" t="n">
        <f aca="false">IF(OR(K16="",BG16=""),"",ROUND(BG16-K16,0))</f>
        <v>774</v>
      </c>
      <c r="BQ16" s="2" t="str">
        <f aca="false">IF(OR(N(BK16)=0,Q16=""),"Not recorded",IF(BK16=Q16,"Match","Differs"))</f>
        <v>Match</v>
      </c>
      <c r="BR16" s="2" t="str">
        <f aca="false">IF(N16="No","Excluded (non-residential)",IF(BF16="No reference","Unverified – no reference",IF(BF16="Not in council register","Unverified – not in register (Part 8 / other)",IF(OR(BF16="Refused",BF16="Refused on appeal",BF16="Withdrawn",BF16="Invalid",BF16="Quashed"),IF(OR(G16="Complete",G16="On Site",G16="Part Complete"),"Conflict – register not live but CIS says built","Conflict – not live in register"),IF(AND(G16="Plans Submitted",OR(BF16="Granted",BF16="Granted on appeal")),"Stage out of date – now granted",IF(AND(G16&lt;&gt;"Plans Submitted",OR(BF16="Pending",BF16="Under appeal")),"Check – register still pending",IF(N(BL16)&gt;Method!$B$7,"Check – location differs",IF(AND(BP16&lt;&gt;"",ABS(N(BP16))&gt;60),"Consistent – decision date differs","Consistent"))))))))</f>
        <v>Consistent – decision date differs</v>
      </c>
      <c r="BS16" s="2" t="n">
        <v>1927</v>
      </c>
      <c r="BT16" s="2" t="s">
        <v>1090</v>
      </c>
      <c r="BU16" s="2" t="s">
        <v>1091</v>
      </c>
      <c r="BV16" s="2" t="s">
        <v>1015</v>
      </c>
      <c r="BW16" s="2" t="s">
        <v>1092</v>
      </c>
      <c r="BX16" s="2" t="s">
        <v>1093</v>
      </c>
    </row>
    <row r="17" customFormat="false" ht="15" hidden="false" customHeight="false" outlineLevel="0" collapsed="false">
      <c r="A17" s="2" t="n">
        <v>1063948</v>
      </c>
      <c r="B17" s="2" t="s">
        <v>600</v>
      </c>
      <c r="C17" s="2" t="s">
        <v>1094</v>
      </c>
      <c r="D17" s="2" t="s">
        <v>601</v>
      </c>
      <c r="E17" s="2" t="s">
        <v>602</v>
      </c>
      <c r="F17" s="2" t="s">
        <v>144</v>
      </c>
      <c r="G17" s="2" t="s">
        <v>198</v>
      </c>
      <c r="H17" s="2" t="s">
        <v>1014</v>
      </c>
      <c r="I17" s="2" t="s">
        <v>198</v>
      </c>
      <c r="J17" s="22" t="n">
        <v>43696</v>
      </c>
      <c r="K17" s="22" t="n">
        <v>43805</v>
      </c>
      <c r="L17" s="22" t="n">
        <v>44308.4315368403</v>
      </c>
      <c r="M17" s="2" t="s">
        <v>1016</v>
      </c>
      <c r="N17" s="2" t="s">
        <v>121</v>
      </c>
      <c r="O17" s="2"/>
      <c r="P17" s="2" t="s">
        <v>1017</v>
      </c>
      <c r="Q17" s="10" t="n">
        <v>38</v>
      </c>
      <c r="R17" s="10"/>
      <c r="S17" s="10"/>
      <c r="T17" s="2" t="s">
        <v>120</v>
      </c>
      <c r="U17" s="2"/>
      <c r="V17" s="2" t="s">
        <v>1029</v>
      </c>
      <c r="W17" s="2" t="s">
        <v>1030</v>
      </c>
      <c r="X17" s="7"/>
      <c r="Y17" s="2" t="str">
        <f aca="false">IF(X17&lt;&gt;"",X17,T17)</f>
        <v>Primary</v>
      </c>
      <c r="Z17" s="2" t="str">
        <f aca="false">IF(OR(Y17="Primary",Y17="Additional phase",Y17="Additional application on site",Y17="Replaces earlier",Y17="Extension of duration (parent not in CIS)"),"Yes","No")</f>
        <v>Yes</v>
      </c>
      <c r="AA17" s="2"/>
      <c r="AB17" s="2" t="n">
        <f aca="false">IF(L17="","",ROUND((Method!$B$4-L17)/30.44,0))</f>
        <v>65</v>
      </c>
      <c r="AC17" s="2" t="str">
        <f aca="false">IF(AB17="","No",IF(AB17&gt;Method!$B$5,"Yes","No"))</f>
        <v>Yes</v>
      </c>
      <c r="AD17" s="22" t="n">
        <f aca="false">IF(BJ17&lt;&gt;"",BJ17,IF(K17&lt;&gt;"",EDATE(K17,60),""))</f>
        <v>45632</v>
      </c>
      <c r="AE17" s="2" t="str">
        <f aca="false">IF(AND(AD17&lt;&gt;"",OR(G17="Permission Granted",G17="Commencement Expected",G17="Stalled or Suspended")),IF(AD17&lt;Method!$B$4,"Yes","No"),"No")</f>
        <v>No</v>
      </c>
      <c r="AF17" s="7"/>
      <c r="AG17" s="2" t="str">
        <f aca="false">IF(Z17="No","Not counted",IF(AF17="Lapsed or dead","Excluded",IF(AF17="Constrained","Constrained / uncertain",IF(AF17="Confirmed live",IF(G17="On Site","Committed",IF(G17="Part Complete","Committed",IF(G17="Contract Awarded","Committed Pre-Construction",IF(G17="Tender","Advanced Pre-Construction",IF(G17="Commencement Expected","Likely",IF(G17="Permission Granted","Potential",IF(G17="Stalled or Suspended","Constrained / uncertain",IF(G17="Complete","Delivered","Application Pipeline")))))))),IF(G17="Complete","Delivered",IF(AND(OR(G17="Permission Granted",G17="Commencement Expected"),OR(AC17="Yes",AE17="Yes")),"Constrained / uncertain",IF(G17="On Site","Committed",IF(G17="Part Complete","Committed",IF(G17="Contract Awarded","Committed Pre-Construction",IF(G17="Tender","Advanced Pre-Construction",IF(G17="Commencement Expected","Likely",IF(G17="Permission Granted","Potential",IF(G17="Stalled or Suspended","Constrained / uncertain",IF(G17="Complete","Delivered","Application Pipeline"))))))))))))))</f>
        <v>Committed</v>
      </c>
      <c r="AH17" s="2" t="str">
        <f aca="false">IF(Z17="No","Relationship: "&amp;Y17,IF(AF17&lt;&gt;"","Analyst: "&amp;AF17,IF(G17="Complete","Complete",IF(AND(OR(G17="Permission Granted",G17="Commencement Expected"),AE17="Yes"),"Past expiry",IF(AND(OR(G17="Permission Granted",G17="Commencement Expected"),AC17="Yes"),"No CIS update in "&amp;AB17&amp;" months","As CIS")))))</f>
        <v>As CIS</v>
      </c>
      <c r="AI17" s="10" t="n">
        <f aca="false">IF(Z17="Yes",N(Q17),0)</f>
        <v>38</v>
      </c>
      <c r="AJ17" s="10" t="n">
        <f aca="false">IF(OR(Z17="No",G17="Complete"),0,MAX(N(Q17)-N(AA17),0))</f>
        <v>38</v>
      </c>
      <c r="AK17" s="10" t="n">
        <f aca="false">IF(Z17="No",0,IF(G17="Complete",N(Q17),MIN(N(AA17),N(Q17))))</f>
        <v>0</v>
      </c>
      <c r="AL17" s="10" t="n">
        <f aca="false">IF(OR(OR(AG17="Not counted",AG17="Excluded",AG17="Delivered"),P17="Student accommodation"),0,AJ17)</f>
        <v>38</v>
      </c>
      <c r="AM17" s="10" t="n">
        <f aca="false">IF(OR(OR(AG17="Not counted",AG17="Excluded",AG17="Delivered"),P17&lt;&gt;"Student accommodation"),0,AJ17)</f>
        <v>0</v>
      </c>
      <c r="AN17" s="10" t="n">
        <f aca="false">IF(OR(AG17="Not counted",AG17="Excluded",AG17="Delivered"),0,N(S17))</f>
        <v>0</v>
      </c>
      <c r="AO17" s="2" t="s">
        <v>1043</v>
      </c>
      <c r="AP17" s="10"/>
      <c r="AQ17" s="10"/>
      <c r="AR17" s="10"/>
      <c r="AS17" s="10"/>
      <c r="AT17" s="10"/>
      <c r="AU17" s="10"/>
      <c r="AV17" s="10" t="n">
        <f aca="false">N(AP17)+N(AQ17)+N(AR17)+N(AS17)+N(AT17)+N(AU17)</f>
        <v>0</v>
      </c>
      <c r="AW17" s="10"/>
      <c r="AX17" s="10"/>
      <c r="AY17" s="10"/>
      <c r="AZ17" s="2"/>
      <c r="BA17" s="2" t="s">
        <v>1095</v>
      </c>
      <c r="BB17" s="2"/>
      <c r="BC17" s="2"/>
      <c r="BD17" s="2"/>
      <c r="BE17" s="2"/>
      <c r="BF17" s="2" t="s">
        <v>1095</v>
      </c>
      <c r="BG17" s="22"/>
      <c r="BH17" s="22"/>
      <c r="BI17" s="2"/>
      <c r="BJ17" s="22"/>
      <c r="BK17" s="2"/>
      <c r="BL17" s="2"/>
      <c r="BM17" s="2"/>
      <c r="BN17" s="2"/>
      <c r="BO17" s="2"/>
      <c r="BP17" s="2" t="str">
        <f aca="false">IF(OR(K17="",BG17=""),"",ROUND(BG17-K17,0))</f>
        <v/>
      </c>
      <c r="BQ17" s="2" t="str">
        <f aca="false">IF(OR(N(BK17)=0,Q17=""),"Not recorded",IF(BK17=Q17,"Match","Differs"))</f>
        <v>Not recorded</v>
      </c>
      <c r="BR17" s="2" t="str">
        <f aca="false">IF(N17="No","Excluded (non-residential)",IF(BF17="No reference","Unverified – no reference",IF(BF17="Not in council register","Unverified – not in register (Part 8 / other)",IF(OR(BF17="Refused",BF17="Refused on appeal",BF17="Withdrawn",BF17="Invalid",BF17="Quashed"),IF(OR(G17="Complete",G17="On Site",G17="Part Complete"),"Conflict – register not live but CIS says built","Conflict – not live in register"),IF(AND(G17="Plans Submitted",OR(BF17="Granted",BF17="Granted on appeal")),"Stage out of date – now granted",IF(AND(G17&lt;&gt;"Plans Submitted",OR(BF17="Pending",BF17="Under appeal")),"Check – register still pending",IF(N(BL17)&gt;Method!$B$7,"Check – location differs",IF(AND(BP17&lt;&gt;"",ABS(N(BP17))&gt;60),"Consistent – decision date differs","Consistent"))))))))</f>
        <v>Unverified – not in register (Part 8 / other)</v>
      </c>
      <c r="BS17" s="2"/>
      <c r="BT17" s="2"/>
      <c r="BU17" s="2"/>
      <c r="BV17" s="2"/>
      <c r="BW17" s="2"/>
      <c r="BX17" s="2"/>
    </row>
    <row r="18" customFormat="false" ht="15" hidden="false" customHeight="false" outlineLevel="0" collapsed="false">
      <c r="A18" s="2" t="n">
        <v>1064271</v>
      </c>
      <c r="B18" s="2" t="s">
        <v>517</v>
      </c>
      <c r="C18" s="2" t="s">
        <v>1096</v>
      </c>
      <c r="D18" s="2" t="s">
        <v>518</v>
      </c>
      <c r="E18" s="2" t="s">
        <v>519</v>
      </c>
      <c r="F18" s="2" t="s">
        <v>144</v>
      </c>
      <c r="G18" s="2" t="s">
        <v>198</v>
      </c>
      <c r="H18" s="2" t="s">
        <v>1014</v>
      </c>
      <c r="I18" s="2" t="s">
        <v>198</v>
      </c>
      <c r="J18" s="22" t="n">
        <v>43704</v>
      </c>
      <c r="K18" s="22" t="n">
        <v>44056</v>
      </c>
      <c r="L18" s="22" t="n">
        <v>45175.5507425116</v>
      </c>
      <c r="M18" s="2" t="s">
        <v>1016</v>
      </c>
      <c r="N18" s="2" t="s">
        <v>121</v>
      </c>
      <c r="O18" s="2"/>
      <c r="P18" s="2" t="s">
        <v>1017</v>
      </c>
      <c r="Q18" s="10" t="n">
        <v>2</v>
      </c>
      <c r="R18" s="10"/>
      <c r="S18" s="10"/>
      <c r="T18" s="2" t="s">
        <v>120</v>
      </c>
      <c r="U18" s="2"/>
      <c r="V18" s="2" t="s">
        <v>1029</v>
      </c>
      <c r="W18" s="2" t="s">
        <v>1030</v>
      </c>
      <c r="X18" s="7"/>
      <c r="Y18" s="2" t="str">
        <f aca="false">IF(X18&lt;&gt;"",X18,T18)</f>
        <v>Primary</v>
      </c>
      <c r="Z18" s="2" t="str">
        <f aca="false">IF(OR(Y18="Primary",Y18="Additional phase",Y18="Additional application on site",Y18="Replaces earlier",Y18="Extension of duration (parent not in CIS)"),"Yes","No")</f>
        <v>Yes</v>
      </c>
      <c r="AA18" s="2"/>
      <c r="AB18" s="2" t="n">
        <f aca="false">IF(L18="","",ROUND((Method!$B$4-L18)/30.44,0))</f>
        <v>37</v>
      </c>
      <c r="AC18" s="2" t="str">
        <f aca="false">IF(AB18="","No",IF(AB18&gt;Method!$B$5,"Yes","No"))</f>
        <v>Yes</v>
      </c>
      <c r="AD18" s="22" t="n">
        <f aca="false">IF(BJ18&lt;&gt;"",BJ18,IF(K18&lt;&gt;"",EDATE(K18,60),""))</f>
        <v>45915</v>
      </c>
      <c r="AE18" s="2" t="str">
        <f aca="false">IF(AND(AD18&lt;&gt;"",OR(G18="Permission Granted",G18="Commencement Expected",G18="Stalled or Suspended")),IF(AD18&lt;Method!$B$4,"Yes","No"),"No")</f>
        <v>No</v>
      </c>
      <c r="AF18" s="7"/>
      <c r="AG18" s="2" t="str">
        <f aca="false">IF(Z18="No","Not counted",IF(AF18="Lapsed or dead","Excluded",IF(AF18="Constrained","Constrained / uncertain",IF(AF18="Confirmed live",IF(G18="On Site","Committed",IF(G18="Part Complete","Committed",IF(G18="Contract Awarded","Committed Pre-Construction",IF(G18="Tender","Advanced Pre-Construction",IF(G18="Commencement Expected","Likely",IF(G18="Permission Granted","Potential",IF(G18="Stalled or Suspended","Constrained / uncertain",IF(G18="Complete","Delivered","Application Pipeline")))))))),IF(G18="Complete","Delivered",IF(AND(OR(G18="Permission Granted",G18="Commencement Expected"),OR(AC18="Yes",AE18="Yes")),"Constrained / uncertain",IF(G18="On Site","Committed",IF(G18="Part Complete","Committed",IF(G18="Contract Awarded","Committed Pre-Construction",IF(G18="Tender","Advanced Pre-Construction",IF(G18="Commencement Expected","Likely",IF(G18="Permission Granted","Potential",IF(G18="Stalled or Suspended","Constrained / uncertain",IF(G18="Complete","Delivered","Application Pipeline"))))))))))))))</f>
        <v>Committed</v>
      </c>
      <c r="AH18" s="2" t="str">
        <f aca="false">IF(Z18="No","Relationship: "&amp;Y18,IF(AF18&lt;&gt;"","Analyst: "&amp;AF18,IF(G18="Complete","Complete",IF(AND(OR(G18="Permission Granted",G18="Commencement Expected"),AE18="Yes"),"Past expiry",IF(AND(OR(G18="Permission Granted",G18="Commencement Expected"),AC18="Yes"),"No CIS update in "&amp;AB18&amp;" months","As CIS")))))</f>
        <v>As CIS</v>
      </c>
      <c r="AI18" s="10" t="n">
        <f aca="false">IF(Z18="Yes",N(Q18),0)</f>
        <v>2</v>
      </c>
      <c r="AJ18" s="10" t="n">
        <f aca="false">IF(OR(Z18="No",G18="Complete"),0,MAX(N(Q18)-N(AA18),0))</f>
        <v>2</v>
      </c>
      <c r="AK18" s="10" t="n">
        <f aca="false">IF(Z18="No",0,IF(G18="Complete",N(Q18),MIN(N(AA18),N(Q18))))</f>
        <v>0</v>
      </c>
      <c r="AL18" s="10" t="n">
        <f aca="false">IF(OR(OR(AG18="Not counted",AG18="Excluded",AG18="Delivered"),P18="Student accommodation"),0,AJ18)</f>
        <v>2</v>
      </c>
      <c r="AM18" s="10" t="n">
        <f aca="false">IF(OR(OR(AG18="Not counted",AG18="Excluded",AG18="Delivered"),P18&lt;&gt;"Student accommodation"),0,AJ18)</f>
        <v>0</v>
      </c>
      <c r="AN18" s="10" t="n">
        <f aca="false">IF(OR(AG18="Not counted",AG18="Excluded",AG18="Delivered"),0,N(S18))</f>
        <v>0</v>
      </c>
      <c r="AO18" s="2" t="s">
        <v>1021</v>
      </c>
      <c r="AP18" s="10"/>
      <c r="AQ18" s="10"/>
      <c r="AR18" s="10"/>
      <c r="AS18" s="10"/>
      <c r="AT18" s="10"/>
      <c r="AU18" s="10"/>
      <c r="AV18" s="10" t="n">
        <f aca="false">N(AP18)+N(AQ18)+N(AR18)+N(AS18)+N(AT18)+N(AU18)</f>
        <v>0</v>
      </c>
      <c r="AW18" s="10"/>
      <c r="AX18" s="10"/>
      <c r="AY18" s="10"/>
      <c r="AZ18" s="2"/>
      <c r="BA18" s="2" t="s">
        <v>1022</v>
      </c>
      <c r="BB18" s="2" t="s">
        <v>1096</v>
      </c>
      <c r="BC18" s="2" t="s">
        <v>1023</v>
      </c>
      <c r="BD18" s="2" t="s">
        <v>1024</v>
      </c>
      <c r="BE18" s="2"/>
      <c r="BF18" s="2" t="s">
        <v>1025</v>
      </c>
      <c r="BG18" s="22" t="n">
        <v>44056</v>
      </c>
      <c r="BH18" s="22" t="n">
        <v>45915</v>
      </c>
      <c r="BI18" s="2"/>
      <c r="BJ18" s="22" t="n">
        <v>45915</v>
      </c>
      <c r="BK18" s="2"/>
      <c r="BL18" s="2" t="n">
        <v>0</v>
      </c>
      <c r="BM18" s="2"/>
      <c r="BN18" s="2" t="s">
        <v>1097</v>
      </c>
      <c r="BO18" s="23" t="s">
        <v>1098</v>
      </c>
      <c r="BP18" s="2" t="n">
        <f aca="false">IF(OR(K18="",BG18=""),"",ROUND(BG18-K18,0))</f>
        <v>0</v>
      </c>
      <c r="BQ18" s="2" t="str">
        <f aca="false">IF(OR(N(BK18)=0,Q18=""),"Not recorded",IF(BK18=Q18,"Match","Differs"))</f>
        <v>Not recorded</v>
      </c>
      <c r="BR18" s="2" t="str">
        <f aca="false">IF(N18="No","Excluded (non-residential)",IF(BF18="No reference","Unverified – no reference",IF(BF18="Not in council register","Unverified – not in register (Part 8 / other)",IF(OR(BF18="Refused",BF18="Refused on appeal",BF18="Withdrawn",BF18="Invalid",BF18="Quashed"),IF(OR(G18="Complete",G18="On Site",G18="Part Complete"),"Conflict – register not live but CIS says built","Conflict – not live in register"),IF(AND(G18="Plans Submitted",OR(BF18="Granted",BF18="Granted on appeal")),"Stage out of date – now granted",IF(AND(G18&lt;&gt;"Plans Submitted",OR(BF18="Pending",BF18="Under appeal")),"Check – register still pending",IF(N(BL18)&gt;Method!$B$7,"Check – location differs",IF(AND(BP18&lt;&gt;"",ABS(N(BP18))&gt;60),"Consistent – decision date differs","Consistent"))))))))</f>
        <v>Consistent</v>
      </c>
      <c r="BS18" s="2"/>
      <c r="BT18" s="2"/>
      <c r="BU18" s="2"/>
      <c r="BV18" s="2"/>
      <c r="BW18" s="2"/>
      <c r="BX18" s="2"/>
    </row>
    <row r="19" customFormat="false" ht="15" hidden="false" customHeight="false" outlineLevel="0" collapsed="false">
      <c r="A19" s="2" t="n">
        <v>1065269</v>
      </c>
      <c r="B19" s="2" t="s">
        <v>493</v>
      </c>
      <c r="C19" s="2" t="s">
        <v>1099</v>
      </c>
      <c r="D19" s="2" t="s">
        <v>494</v>
      </c>
      <c r="E19" s="2" t="s">
        <v>495</v>
      </c>
      <c r="F19" s="2" t="s">
        <v>144</v>
      </c>
      <c r="G19" s="2" t="s">
        <v>251</v>
      </c>
      <c r="H19" s="2" t="s">
        <v>1014</v>
      </c>
      <c r="I19" s="2" t="s">
        <v>1015</v>
      </c>
      <c r="J19" s="22" t="n">
        <v>43710</v>
      </c>
      <c r="K19" s="22" t="n">
        <v>44112</v>
      </c>
      <c r="L19" s="22" t="n">
        <v>45337.6181064468</v>
      </c>
      <c r="M19" s="2" t="s">
        <v>1016</v>
      </c>
      <c r="N19" s="2" t="s">
        <v>121</v>
      </c>
      <c r="O19" s="2"/>
      <c r="P19" s="2" t="s">
        <v>1017</v>
      </c>
      <c r="Q19" s="10" t="n">
        <v>12</v>
      </c>
      <c r="R19" s="10"/>
      <c r="S19" s="10"/>
      <c r="T19" s="2" t="s">
        <v>120</v>
      </c>
      <c r="U19" s="2"/>
      <c r="V19" s="2" t="s">
        <v>1029</v>
      </c>
      <c r="W19" s="2" t="s">
        <v>1030</v>
      </c>
      <c r="X19" s="7"/>
      <c r="Y19" s="2" t="str">
        <f aca="false">IF(X19&lt;&gt;"",X19,T19)</f>
        <v>Primary</v>
      </c>
      <c r="Z19" s="2" t="str">
        <f aca="false">IF(OR(Y19="Primary",Y19="Additional phase",Y19="Additional application on site",Y19="Replaces earlier",Y19="Extension of duration (parent not in CIS)"),"Yes","No")</f>
        <v>Yes</v>
      </c>
      <c r="AA19" s="2"/>
      <c r="AB19" s="2" t="n">
        <f aca="false">IF(L19="","",ROUND((Method!$B$4-L19)/30.44,0))</f>
        <v>31</v>
      </c>
      <c r="AC19" s="2" t="str">
        <f aca="false">IF(AB19="","No",IF(AB19&gt;Method!$B$5,"Yes","No"))</f>
        <v>Yes</v>
      </c>
      <c r="AD19" s="22" t="n">
        <f aca="false">IF(BJ19&lt;&gt;"",BJ19,IF(K19&lt;&gt;"",EDATE(K19,60),""))</f>
        <v>45938</v>
      </c>
      <c r="AE19" s="2" t="str">
        <f aca="false">IF(AND(AD19&lt;&gt;"",OR(G19="Permission Granted",G19="Commencement Expected",G19="Stalled or Suspended")),IF(AD19&lt;Method!$B$4,"Yes","No"),"No")</f>
        <v>No</v>
      </c>
      <c r="AF19" s="7"/>
      <c r="AG19" s="2" t="str">
        <f aca="false">IF(Z19="No","Not counted",IF(AF19="Lapsed or dead","Excluded",IF(AF19="Constrained","Constrained / uncertain",IF(AF19="Confirmed live",IF(G19="On Site","Committed",IF(G19="Part Complete","Committed",IF(G19="Contract Awarded","Committed Pre-Construction",IF(G19="Tender","Advanced Pre-Construction",IF(G19="Commencement Expected","Likely",IF(G19="Permission Granted","Potential",IF(G19="Stalled or Suspended","Constrained / uncertain",IF(G19="Complete","Delivered","Application Pipeline")))))))),IF(G19="Complete","Delivered",IF(AND(OR(G19="Permission Granted",G19="Commencement Expected"),OR(AC19="Yes",AE19="Yes")),"Constrained / uncertain",IF(G19="On Site","Committed",IF(G19="Part Complete","Committed",IF(G19="Contract Awarded","Committed Pre-Construction",IF(G19="Tender","Advanced Pre-Construction",IF(G19="Commencement Expected","Likely",IF(G19="Permission Granted","Potential",IF(G19="Stalled or Suspended","Constrained / uncertain",IF(G19="Complete","Delivered","Application Pipeline"))))))))))))))</f>
        <v>Delivered</v>
      </c>
      <c r="AH19" s="2" t="str">
        <f aca="false">IF(Z19="No","Relationship: "&amp;Y19,IF(AF19&lt;&gt;"","Analyst: "&amp;AF19,IF(G19="Complete","Complete",IF(AND(OR(G19="Permission Granted",G19="Commencement Expected"),AE19="Yes"),"Past expiry",IF(AND(OR(G19="Permission Granted",G19="Commencement Expected"),AC19="Yes"),"No CIS update in "&amp;AB19&amp;" months","As CIS")))))</f>
        <v>Complete</v>
      </c>
      <c r="AI19" s="10" t="n">
        <f aca="false">IF(Z19="Yes",N(Q19),0)</f>
        <v>12</v>
      </c>
      <c r="AJ19" s="10" t="n">
        <f aca="false">IF(OR(Z19="No",G19="Complete"),0,MAX(N(Q19)-N(AA19),0))</f>
        <v>0</v>
      </c>
      <c r="AK19" s="10" t="n">
        <f aca="false">IF(Z19="No",0,IF(G19="Complete",N(Q19),MIN(N(AA19),N(Q19))))</f>
        <v>12</v>
      </c>
      <c r="AL19" s="10" t="n">
        <f aca="false">IF(OR(OR(AG19="Not counted",AG19="Excluded",AG19="Delivered"),P19="Student accommodation"),0,AJ19)</f>
        <v>0</v>
      </c>
      <c r="AM19" s="10" t="n">
        <f aca="false">IF(OR(OR(AG19="Not counted",AG19="Excluded",AG19="Delivered"),P19&lt;&gt;"Student accommodation"),0,AJ19)</f>
        <v>0</v>
      </c>
      <c r="AN19" s="10" t="n">
        <f aca="false">IF(OR(AG19="Not counted",AG19="Excluded",AG19="Delivered"),0,N(S19))</f>
        <v>0</v>
      </c>
      <c r="AO19" s="2" t="s">
        <v>1031</v>
      </c>
      <c r="AP19" s="10"/>
      <c r="AQ19" s="10"/>
      <c r="AR19" s="10" t="n">
        <v>5</v>
      </c>
      <c r="AS19" s="10" t="n">
        <v>7</v>
      </c>
      <c r="AT19" s="10"/>
      <c r="AU19" s="10"/>
      <c r="AV19" s="10" t="n">
        <f aca="false">N(AP19)+N(AQ19)+N(AR19)+N(AS19)+N(AT19)+N(AU19)</f>
        <v>12</v>
      </c>
      <c r="AW19" s="10"/>
      <c r="AX19" s="10"/>
      <c r="AY19" s="10" t="n">
        <v>12</v>
      </c>
      <c r="AZ19" s="2"/>
      <c r="BA19" s="2" t="s">
        <v>1022</v>
      </c>
      <c r="BB19" s="2" t="s">
        <v>1099</v>
      </c>
      <c r="BC19" s="2" t="s">
        <v>1046</v>
      </c>
      <c r="BD19" s="2" t="s">
        <v>1024</v>
      </c>
      <c r="BE19" s="2"/>
      <c r="BF19" s="2" t="s">
        <v>1025</v>
      </c>
      <c r="BG19" s="22" t="n">
        <v>43784</v>
      </c>
      <c r="BH19" s="22"/>
      <c r="BI19" s="2"/>
      <c r="BJ19" s="22"/>
      <c r="BK19" s="2" t="n">
        <v>12</v>
      </c>
      <c r="BL19" s="2" t="n">
        <v>0</v>
      </c>
      <c r="BM19" s="2"/>
      <c r="BN19" s="2" t="s">
        <v>1100</v>
      </c>
      <c r="BO19" s="23" t="s">
        <v>1101</v>
      </c>
      <c r="BP19" s="2" t="n">
        <f aca="false">IF(OR(K19="",BG19=""),"",ROUND(BG19-K19,0))</f>
        <v>-328</v>
      </c>
      <c r="BQ19" s="2" t="str">
        <f aca="false">IF(OR(N(BK19)=0,Q19=""),"Not recorded",IF(BK19=Q19,"Match","Differs"))</f>
        <v>Match</v>
      </c>
      <c r="BR19" s="2" t="str">
        <f aca="false">IF(N19="No","Excluded (non-residential)",IF(BF19="No reference","Unverified – no reference",IF(BF19="Not in council register","Unverified – not in register (Part 8 / other)",IF(OR(BF19="Refused",BF19="Refused on appeal",BF19="Withdrawn",BF19="Invalid",BF19="Quashed"),IF(OR(G19="Complete",G19="On Site",G19="Part Complete"),"Conflict – register not live but CIS says built","Conflict – not live in register"),IF(AND(G19="Plans Submitted",OR(BF19="Granted",BF19="Granted on appeal")),"Stage out of date – now granted",IF(AND(G19&lt;&gt;"Plans Submitted",OR(BF19="Pending",BF19="Under appeal")),"Check – register still pending",IF(N(BL19)&gt;Method!$B$7,"Check – location differs",IF(AND(BP19&lt;&gt;"",ABS(N(BP19))&gt;60),"Consistent – decision date differs","Consistent"))))))))</f>
        <v>Consistent – decision date differs</v>
      </c>
      <c r="BS19" s="2" t="n">
        <v>1821</v>
      </c>
      <c r="BT19" s="2" t="s">
        <v>1049</v>
      </c>
      <c r="BU19" s="2" t="s">
        <v>1050</v>
      </c>
      <c r="BV19" s="2" t="s">
        <v>1015</v>
      </c>
      <c r="BW19" s="2" t="s">
        <v>1051</v>
      </c>
      <c r="BX19" s="2" t="s">
        <v>1052</v>
      </c>
    </row>
    <row r="20" customFormat="false" ht="15" hidden="false" customHeight="false" outlineLevel="0" collapsed="false">
      <c r="A20" s="2" t="n">
        <v>1065293</v>
      </c>
      <c r="B20" s="2" t="s">
        <v>393</v>
      </c>
      <c r="C20" s="2" t="s">
        <v>1102</v>
      </c>
      <c r="D20" s="2" t="s">
        <v>394</v>
      </c>
      <c r="E20" s="2" t="s">
        <v>395</v>
      </c>
      <c r="F20" s="2" t="s">
        <v>136</v>
      </c>
      <c r="G20" s="2" t="s">
        <v>198</v>
      </c>
      <c r="H20" s="2" t="s">
        <v>1014</v>
      </c>
      <c r="I20" s="2" t="s">
        <v>198</v>
      </c>
      <c r="J20" s="22" t="n">
        <v>43710</v>
      </c>
      <c r="K20" s="22" t="n">
        <v>43852</v>
      </c>
      <c r="L20" s="22" t="n">
        <v>45832.3544724537</v>
      </c>
      <c r="M20" s="2" t="s">
        <v>1016</v>
      </c>
      <c r="N20" s="2" t="s">
        <v>121</v>
      </c>
      <c r="O20" s="2"/>
      <c r="P20" s="2" t="s">
        <v>1017</v>
      </c>
      <c r="Q20" s="10" t="n">
        <v>10</v>
      </c>
      <c r="R20" s="10"/>
      <c r="S20" s="10"/>
      <c r="T20" s="2" t="s">
        <v>120</v>
      </c>
      <c r="U20" s="2"/>
      <c r="V20" s="2" t="s">
        <v>1029</v>
      </c>
      <c r="W20" s="2" t="s">
        <v>1030</v>
      </c>
      <c r="X20" s="7"/>
      <c r="Y20" s="2" t="str">
        <f aca="false">IF(X20&lt;&gt;"",X20,T20)</f>
        <v>Primary</v>
      </c>
      <c r="Z20" s="2" t="str">
        <f aca="false">IF(OR(Y20="Primary",Y20="Additional phase",Y20="Additional application on site",Y20="Replaces earlier",Y20="Extension of duration (parent not in CIS)"),"Yes","No")</f>
        <v>Yes</v>
      </c>
      <c r="AA20" s="2"/>
      <c r="AB20" s="2" t="n">
        <f aca="false">IF(L20="","",ROUND((Method!$B$4-L20)/30.44,0))</f>
        <v>15</v>
      </c>
      <c r="AC20" s="2" t="str">
        <f aca="false">IF(AB20="","No",IF(AB20&gt;Method!$B$5,"Yes","No"))</f>
        <v>No</v>
      </c>
      <c r="AD20" s="22" t="n">
        <f aca="false">IF(BJ20&lt;&gt;"",BJ20,IF(K20&lt;&gt;"",EDATE(K20,60),""))</f>
        <v>45712</v>
      </c>
      <c r="AE20" s="2" t="str">
        <f aca="false">IF(AND(AD20&lt;&gt;"",OR(G20="Permission Granted",G20="Commencement Expected",G20="Stalled or Suspended")),IF(AD20&lt;Method!$B$4,"Yes","No"),"No")</f>
        <v>No</v>
      </c>
      <c r="AF20" s="7"/>
      <c r="AG20" s="2" t="str">
        <f aca="false">IF(Z20="No","Not counted",IF(AF20="Lapsed or dead","Excluded",IF(AF20="Constrained","Constrained / uncertain",IF(AF20="Confirmed live",IF(G20="On Site","Committed",IF(G20="Part Complete","Committed",IF(G20="Contract Awarded","Committed Pre-Construction",IF(G20="Tender","Advanced Pre-Construction",IF(G20="Commencement Expected","Likely",IF(G20="Permission Granted","Potential",IF(G20="Stalled or Suspended","Constrained / uncertain",IF(G20="Complete","Delivered","Application Pipeline")))))))),IF(G20="Complete","Delivered",IF(AND(OR(G20="Permission Granted",G20="Commencement Expected"),OR(AC20="Yes",AE20="Yes")),"Constrained / uncertain",IF(G20="On Site","Committed",IF(G20="Part Complete","Committed",IF(G20="Contract Awarded","Committed Pre-Construction",IF(G20="Tender","Advanced Pre-Construction",IF(G20="Commencement Expected","Likely",IF(G20="Permission Granted","Potential",IF(G20="Stalled or Suspended","Constrained / uncertain",IF(G20="Complete","Delivered","Application Pipeline"))))))))))))))</f>
        <v>Committed</v>
      </c>
      <c r="AH20" s="2" t="str">
        <f aca="false">IF(Z20="No","Relationship: "&amp;Y20,IF(AF20&lt;&gt;"","Analyst: "&amp;AF20,IF(G20="Complete","Complete",IF(AND(OR(G20="Permission Granted",G20="Commencement Expected"),AE20="Yes"),"Past expiry",IF(AND(OR(G20="Permission Granted",G20="Commencement Expected"),AC20="Yes"),"No CIS update in "&amp;AB20&amp;" months","As CIS")))))</f>
        <v>As CIS</v>
      </c>
      <c r="AI20" s="10" t="n">
        <f aca="false">IF(Z20="Yes",N(Q20),0)</f>
        <v>10</v>
      </c>
      <c r="AJ20" s="10" t="n">
        <f aca="false">IF(OR(Z20="No",G20="Complete"),0,MAX(N(Q20)-N(AA20),0))</f>
        <v>10</v>
      </c>
      <c r="AK20" s="10" t="n">
        <f aca="false">IF(Z20="No",0,IF(G20="Complete",N(Q20),MIN(N(AA20),N(Q20))))</f>
        <v>0</v>
      </c>
      <c r="AL20" s="10" t="n">
        <f aca="false">IF(OR(OR(AG20="Not counted",AG20="Excluded",AG20="Delivered"),P20="Student accommodation"),0,AJ20)</f>
        <v>10</v>
      </c>
      <c r="AM20" s="10" t="n">
        <f aca="false">IF(OR(OR(AG20="Not counted",AG20="Excluded",AG20="Delivered"),P20&lt;&gt;"Student accommodation"),0,AJ20)</f>
        <v>0</v>
      </c>
      <c r="AN20" s="10" t="n">
        <f aca="false">IF(OR(AG20="Not counted",AG20="Excluded",AG20="Delivered"),0,N(S20))</f>
        <v>0</v>
      </c>
      <c r="AO20" s="2" t="s">
        <v>1021</v>
      </c>
      <c r="AP20" s="10"/>
      <c r="AQ20" s="10"/>
      <c r="AR20" s="10"/>
      <c r="AS20" s="10"/>
      <c r="AT20" s="10"/>
      <c r="AU20" s="10"/>
      <c r="AV20" s="10" t="n">
        <f aca="false">N(AP20)+N(AQ20)+N(AR20)+N(AS20)+N(AT20)+N(AU20)</f>
        <v>0</v>
      </c>
      <c r="AW20" s="10"/>
      <c r="AX20" s="10"/>
      <c r="AY20" s="10"/>
      <c r="AZ20" s="2"/>
      <c r="BA20" s="2" t="s">
        <v>1022</v>
      </c>
      <c r="BB20" s="2" t="s">
        <v>1102</v>
      </c>
      <c r="BC20" s="2" t="s">
        <v>1023</v>
      </c>
      <c r="BD20" s="2" t="s">
        <v>1024</v>
      </c>
      <c r="BE20" s="2"/>
      <c r="BF20" s="2" t="s">
        <v>1025</v>
      </c>
      <c r="BG20" s="22" t="n">
        <v>43852</v>
      </c>
      <c r="BH20" s="22" t="n">
        <v>45712</v>
      </c>
      <c r="BI20" s="2"/>
      <c r="BJ20" s="22" t="n">
        <v>45712</v>
      </c>
      <c r="BK20" s="2" t="n">
        <v>10</v>
      </c>
      <c r="BL20" s="2" t="n">
        <v>0</v>
      </c>
      <c r="BM20" s="2"/>
      <c r="BN20" s="2" t="s">
        <v>1103</v>
      </c>
      <c r="BO20" s="23" t="s">
        <v>1104</v>
      </c>
      <c r="BP20" s="2" t="n">
        <f aca="false">IF(OR(K20="",BG20=""),"",ROUND(BG20-K20,0))</f>
        <v>0</v>
      </c>
      <c r="BQ20" s="2" t="str">
        <f aca="false">IF(OR(N(BK20)=0,Q20=""),"Not recorded",IF(BK20=Q20,"Match","Differs"))</f>
        <v>Match</v>
      </c>
      <c r="BR20" s="2" t="str">
        <f aca="false">IF(N20="No","Excluded (non-residential)",IF(BF20="No reference","Unverified – no reference",IF(BF20="Not in council register","Unverified – not in register (Part 8 / other)",IF(OR(BF20="Refused",BF20="Refused on appeal",BF20="Withdrawn",BF20="Invalid",BF20="Quashed"),IF(OR(G20="Complete",G20="On Site",G20="Part Complete"),"Conflict – register not live but CIS says built","Conflict – not live in register"),IF(AND(G20="Plans Submitted",OR(BF20="Granted",BF20="Granted on appeal")),"Stage out of date – now granted",IF(AND(G20&lt;&gt;"Plans Submitted",OR(BF20="Pending",BF20="Under appeal")),"Check – register still pending",IF(N(BL20)&gt;Method!$B$7,"Check – location differs",IF(AND(BP20&lt;&gt;"",ABS(N(BP20))&gt;60),"Consistent – decision date differs","Consistent"))))))))</f>
        <v>Consistent</v>
      </c>
      <c r="BS20" s="2"/>
      <c r="BT20" s="2"/>
      <c r="BU20" s="2"/>
      <c r="BV20" s="2"/>
      <c r="BW20" s="2"/>
      <c r="BX20" s="2"/>
    </row>
    <row r="21" customFormat="false" ht="15" hidden="false" customHeight="false" outlineLevel="0" collapsed="false">
      <c r="A21" s="2" t="n">
        <v>1071780</v>
      </c>
      <c r="B21" s="2" t="s">
        <v>624</v>
      </c>
      <c r="C21" s="2" t="s">
        <v>1105</v>
      </c>
      <c r="D21" s="2" t="s">
        <v>625</v>
      </c>
      <c r="E21" s="2" t="s">
        <v>626</v>
      </c>
      <c r="F21" s="2" t="s">
        <v>144</v>
      </c>
      <c r="G21" s="2" t="s">
        <v>187</v>
      </c>
      <c r="H21" s="2" t="s">
        <v>1014</v>
      </c>
      <c r="I21" s="2"/>
      <c r="J21" s="22" t="n">
        <v>43752</v>
      </c>
      <c r="K21" s="22" t="n">
        <v>43807</v>
      </c>
      <c r="L21" s="22" t="n">
        <v>43780.5776577546</v>
      </c>
      <c r="M21" s="2" t="s">
        <v>1016</v>
      </c>
      <c r="N21" s="2" t="s">
        <v>121</v>
      </c>
      <c r="O21" s="2"/>
      <c r="P21" s="2" t="s">
        <v>1017</v>
      </c>
      <c r="Q21" s="10" t="n">
        <v>12</v>
      </c>
      <c r="R21" s="10" t="n">
        <v>12</v>
      </c>
      <c r="S21" s="10"/>
      <c r="T21" s="2" t="s">
        <v>120</v>
      </c>
      <c r="U21" s="2"/>
      <c r="V21" s="2" t="s">
        <v>1029</v>
      </c>
      <c r="W21" s="2" t="s">
        <v>1030</v>
      </c>
      <c r="X21" s="7"/>
      <c r="Y21" s="2" t="str">
        <f aca="false">IF(X21&lt;&gt;"",X21,T21)</f>
        <v>Primary</v>
      </c>
      <c r="Z21" s="2" t="str">
        <f aca="false">IF(OR(Y21="Primary",Y21="Additional phase",Y21="Additional application on site",Y21="Replaces earlier",Y21="Extension of duration (parent not in CIS)"),"Yes","No")</f>
        <v>Yes</v>
      </c>
      <c r="AA21" s="2"/>
      <c r="AB21" s="2" t="n">
        <f aca="false">IF(L21="","",ROUND((Method!$B$4-L21)/30.44,0))</f>
        <v>83</v>
      </c>
      <c r="AC21" s="2" t="str">
        <f aca="false">IF(AB21="","No",IF(AB21&gt;Method!$B$5,"Yes","No"))</f>
        <v>Yes</v>
      </c>
      <c r="AD21" s="22" t="n">
        <f aca="false">IF(BJ21&lt;&gt;"",BJ21,IF(K21&lt;&gt;"",EDATE(K21,60),""))</f>
        <v>45634</v>
      </c>
      <c r="AE21" s="2" t="str">
        <f aca="false">IF(AND(AD21&lt;&gt;"",OR(G21="Permission Granted",G21="Commencement Expected",G21="Stalled or Suspended")),IF(AD21&lt;Method!$B$4,"Yes","No"),"No")</f>
        <v>Yes</v>
      </c>
      <c r="AF21" s="7"/>
      <c r="AG21" s="2" t="str">
        <f aca="false">IF(Z21="No","Not counted",IF(AF21="Lapsed or dead","Excluded",IF(AF21="Constrained","Constrained / uncertain",IF(AF21="Confirmed live",IF(G21="On Site","Committed",IF(G21="Part Complete","Committed",IF(G21="Contract Awarded","Committed Pre-Construction",IF(G21="Tender","Advanced Pre-Construction",IF(G21="Commencement Expected","Likely",IF(G21="Permission Granted","Potential",IF(G21="Stalled or Suspended","Constrained / uncertain",IF(G21="Complete","Delivered","Application Pipeline")))))))),IF(G21="Complete","Delivered",IF(AND(OR(G21="Permission Granted",G21="Commencement Expected"),OR(AC21="Yes",AE21="Yes")),"Constrained / uncertain",IF(G21="On Site","Committed",IF(G21="Part Complete","Committed",IF(G21="Contract Awarded","Committed Pre-Construction",IF(G21="Tender","Advanced Pre-Construction",IF(G21="Commencement Expected","Likely",IF(G21="Permission Granted","Potential",IF(G21="Stalled or Suspended","Constrained / uncertain",IF(G21="Complete","Delivered","Application Pipeline"))))))))))))))</f>
        <v>Constrained / uncertain</v>
      </c>
      <c r="AH21" s="2" t="str">
        <f aca="false">IF(Z21="No","Relationship: "&amp;Y21,IF(AF21&lt;&gt;"","Analyst: "&amp;AF21,IF(G21="Complete","Complete",IF(AND(OR(G21="Permission Granted",G21="Commencement Expected"),AE21="Yes"),"Past expiry",IF(AND(OR(G21="Permission Granted",G21="Commencement Expected"),AC21="Yes"),"No CIS update in "&amp;AB21&amp;" months","As CIS")))))</f>
        <v>Past expiry</v>
      </c>
      <c r="AI21" s="10" t="n">
        <f aca="false">IF(Z21="Yes",N(Q21),0)</f>
        <v>12</v>
      </c>
      <c r="AJ21" s="10" t="n">
        <f aca="false">IF(OR(Z21="No",G21="Complete"),0,MAX(N(Q21)-N(AA21),0))</f>
        <v>12</v>
      </c>
      <c r="AK21" s="10" t="n">
        <f aca="false">IF(Z21="No",0,IF(G21="Complete",N(Q21),MIN(N(AA21),N(Q21))))</f>
        <v>0</v>
      </c>
      <c r="AL21" s="10" t="n">
        <f aca="false">IF(OR(OR(AG21="Not counted",AG21="Excluded",AG21="Delivered"),P21="Student accommodation"),0,AJ21)</f>
        <v>12</v>
      </c>
      <c r="AM21" s="10" t="n">
        <f aca="false">IF(OR(OR(AG21="Not counted",AG21="Excluded",AG21="Delivered"),P21&lt;&gt;"Student accommodation"),0,AJ21)</f>
        <v>0</v>
      </c>
      <c r="AN21" s="10" t="n">
        <f aca="false">IF(OR(AG21="Not counted",AG21="Excluded",AG21="Delivered"),0,N(S21))</f>
        <v>0</v>
      </c>
      <c r="AO21" s="2" t="s">
        <v>1031</v>
      </c>
      <c r="AP21" s="10"/>
      <c r="AQ21" s="10"/>
      <c r="AR21" s="10" t="n">
        <v>7</v>
      </c>
      <c r="AS21" s="10" t="n">
        <v>5</v>
      </c>
      <c r="AT21" s="10"/>
      <c r="AU21" s="10"/>
      <c r="AV21" s="10" t="n">
        <f aca="false">N(AP21)+N(AQ21)+N(AR21)+N(AS21)+N(AT21)+N(AU21)</f>
        <v>12</v>
      </c>
      <c r="AW21" s="10" t="n">
        <v>12</v>
      </c>
      <c r="AX21" s="10"/>
      <c r="AY21" s="10"/>
      <c r="AZ21" s="2"/>
      <c r="BA21" s="2" t="s">
        <v>1022</v>
      </c>
      <c r="BB21" s="2" t="s">
        <v>1105</v>
      </c>
      <c r="BC21" s="2" t="s">
        <v>1046</v>
      </c>
      <c r="BD21" s="2" t="s">
        <v>1024</v>
      </c>
      <c r="BE21" s="2"/>
      <c r="BF21" s="2" t="s">
        <v>1025</v>
      </c>
      <c r="BG21" s="22" t="n">
        <v>43811</v>
      </c>
      <c r="BH21" s="22"/>
      <c r="BI21" s="2"/>
      <c r="BJ21" s="22"/>
      <c r="BK21" s="2" t="n">
        <v>12</v>
      </c>
      <c r="BL21" s="2" t="n">
        <v>0</v>
      </c>
      <c r="BM21" s="2"/>
      <c r="BN21" s="2" t="s">
        <v>1106</v>
      </c>
      <c r="BO21" s="23" t="s">
        <v>1107</v>
      </c>
      <c r="BP21" s="2" t="n">
        <f aca="false">IF(OR(K21="",BG21=""),"",ROUND(BG21-K21,0))</f>
        <v>4</v>
      </c>
      <c r="BQ21" s="2" t="str">
        <f aca="false">IF(OR(N(BK21)=0,Q21=""),"Not recorded",IF(BK21=Q21,"Match","Differs"))</f>
        <v>Match</v>
      </c>
      <c r="BR21" s="2" t="str">
        <f aca="false">IF(N21="No","Excluded (non-residential)",IF(BF21="No reference","Unverified – no reference",IF(BF21="Not in council register","Unverified – not in register (Part 8 / other)",IF(OR(BF21="Refused",BF21="Refused on appeal",BF21="Withdrawn",BF21="Invalid",BF21="Quashed"),IF(OR(G21="Complete",G21="On Site",G21="Part Complete"),"Conflict – register not live but CIS says built","Conflict – not live in register"),IF(AND(G21="Plans Submitted",OR(BF21="Granted",BF21="Granted on appeal")),"Stage out of date – now granted",IF(AND(G21&lt;&gt;"Plans Submitted",OR(BF21="Pending",BF21="Under appeal")),"Check – register still pending",IF(N(BL21)&gt;Method!$B$7,"Check – location differs",IF(AND(BP21&lt;&gt;"",ABS(N(BP21))&gt;60),"Consistent – decision date differs","Consistent"))))))))</f>
        <v>Consistent</v>
      </c>
      <c r="BS21" s="2"/>
      <c r="BT21" s="2"/>
      <c r="BU21" s="2"/>
      <c r="BV21" s="2"/>
      <c r="BW21" s="2"/>
      <c r="BX21" s="2"/>
    </row>
    <row r="22" customFormat="false" ht="15" hidden="false" customHeight="false" outlineLevel="0" collapsed="false">
      <c r="A22" s="2" t="n">
        <v>1081912</v>
      </c>
      <c r="B22" s="2" t="s">
        <v>432</v>
      </c>
      <c r="C22" s="2" t="s">
        <v>1108</v>
      </c>
      <c r="D22" s="2" t="s">
        <v>433</v>
      </c>
      <c r="E22" s="2" t="s">
        <v>434</v>
      </c>
      <c r="F22" s="2" t="s">
        <v>138</v>
      </c>
      <c r="G22" s="2" t="s">
        <v>251</v>
      </c>
      <c r="H22" s="2" t="s">
        <v>1014</v>
      </c>
      <c r="I22" s="2" t="s">
        <v>1015</v>
      </c>
      <c r="J22" s="22" t="n">
        <v>43816</v>
      </c>
      <c r="K22" s="22" t="n">
        <v>43874</v>
      </c>
      <c r="L22" s="22" t="n">
        <v>45646.5092672107</v>
      </c>
      <c r="M22" s="2" t="s">
        <v>1016</v>
      </c>
      <c r="N22" s="2" t="s">
        <v>121</v>
      </c>
      <c r="O22" s="2"/>
      <c r="P22" s="2" t="s">
        <v>1017</v>
      </c>
      <c r="Q22" s="10" t="n">
        <v>2</v>
      </c>
      <c r="R22" s="10" t="n">
        <v>2</v>
      </c>
      <c r="S22" s="10"/>
      <c r="T22" s="2" t="s">
        <v>120</v>
      </c>
      <c r="U22" s="2"/>
      <c r="V22" s="2" t="s">
        <v>1029</v>
      </c>
      <c r="W22" s="2" t="s">
        <v>1030</v>
      </c>
      <c r="X22" s="7"/>
      <c r="Y22" s="2" t="str">
        <f aca="false">IF(X22&lt;&gt;"",X22,T22)</f>
        <v>Primary</v>
      </c>
      <c r="Z22" s="2" t="str">
        <f aca="false">IF(OR(Y22="Primary",Y22="Additional phase",Y22="Additional application on site",Y22="Replaces earlier",Y22="Extension of duration (parent not in CIS)"),"Yes","No")</f>
        <v>Yes</v>
      </c>
      <c r="AA22" s="2"/>
      <c r="AB22" s="2" t="n">
        <f aca="false">IF(L22="","",ROUND((Method!$B$4-L22)/30.44,0))</f>
        <v>21</v>
      </c>
      <c r="AC22" s="2" t="str">
        <f aca="false">IF(AB22="","No",IF(AB22&gt;Method!$B$5,"Yes","No"))</f>
        <v>No</v>
      </c>
      <c r="AD22" s="22" t="n">
        <f aca="false">IF(BJ22&lt;&gt;"",BJ22,IF(K22&lt;&gt;"",EDATE(K22,60),""))</f>
        <v>45733</v>
      </c>
      <c r="AE22" s="2" t="str">
        <f aca="false">IF(AND(AD22&lt;&gt;"",OR(G22="Permission Granted",G22="Commencement Expected",G22="Stalled or Suspended")),IF(AD22&lt;Method!$B$4,"Yes","No"),"No")</f>
        <v>No</v>
      </c>
      <c r="AF22" s="7"/>
      <c r="AG22" s="2" t="str">
        <f aca="false">IF(Z22="No","Not counted",IF(AF22="Lapsed or dead","Excluded",IF(AF22="Constrained","Constrained / uncertain",IF(AF22="Confirmed live",IF(G22="On Site","Committed",IF(G22="Part Complete","Committed",IF(G22="Contract Awarded","Committed Pre-Construction",IF(G22="Tender","Advanced Pre-Construction",IF(G22="Commencement Expected","Likely",IF(G22="Permission Granted","Potential",IF(G22="Stalled or Suspended","Constrained / uncertain",IF(G22="Complete","Delivered","Application Pipeline")))))))),IF(G22="Complete","Delivered",IF(AND(OR(G22="Permission Granted",G22="Commencement Expected"),OR(AC22="Yes",AE22="Yes")),"Constrained / uncertain",IF(G22="On Site","Committed",IF(G22="Part Complete","Committed",IF(G22="Contract Awarded","Committed Pre-Construction",IF(G22="Tender","Advanced Pre-Construction",IF(G22="Commencement Expected","Likely",IF(G22="Permission Granted","Potential",IF(G22="Stalled or Suspended","Constrained / uncertain",IF(G22="Complete","Delivered","Application Pipeline"))))))))))))))</f>
        <v>Delivered</v>
      </c>
      <c r="AH22" s="2" t="str">
        <f aca="false">IF(Z22="No","Relationship: "&amp;Y22,IF(AF22&lt;&gt;"","Analyst: "&amp;AF22,IF(G22="Complete","Complete",IF(AND(OR(G22="Permission Granted",G22="Commencement Expected"),AE22="Yes"),"Past expiry",IF(AND(OR(G22="Permission Granted",G22="Commencement Expected"),AC22="Yes"),"No CIS update in "&amp;AB22&amp;" months","As CIS")))))</f>
        <v>Complete</v>
      </c>
      <c r="AI22" s="10" t="n">
        <f aca="false">IF(Z22="Yes",N(Q22),0)</f>
        <v>2</v>
      </c>
      <c r="AJ22" s="10" t="n">
        <f aca="false">IF(OR(Z22="No",G22="Complete"),0,MAX(N(Q22)-N(AA22),0))</f>
        <v>0</v>
      </c>
      <c r="AK22" s="10" t="n">
        <f aca="false">IF(Z22="No",0,IF(G22="Complete",N(Q22),MIN(N(AA22),N(Q22))))</f>
        <v>2</v>
      </c>
      <c r="AL22" s="10" t="n">
        <f aca="false">IF(OR(OR(AG22="Not counted",AG22="Excluded",AG22="Delivered"),P22="Student accommodation"),0,AJ22)</f>
        <v>0</v>
      </c>
      <c r="AM22" s="10" t="n">
        <f aca="false">IF(OR(OR(AG22="Not counted",AG22="Excluded",AG22="Delivered"),P22&lt;&gt;"Student accommodation"),0,AJ22)</f>
        <v>0</v>
      </c>
      <c r="AN22" s="10" t="n">
        <f aca="false">IF(OR(AG22="Not counted",AG22="Excluded",AG22="Delivered"),0,N(S22))</f>
        <v>0</v>
      </c>
      <c r="AO22" s="2" t="s">
        <v>1021</v>
      </c>
      <c r="AP22" s="10"/>
      <c r="AQ22" s="10"/>
      <c r="AR22" s="10"/>
      <c r="AS22" s="10"/>
      <c r="AT22" s="10"/>
      <c r="AU22" s="10"/>
      <c r="AV22" s="10" t="n">
        <f aca="false">N(AP22)+N(AQ22)+N(AR22)+N(AS22)+N(AT22)+N(AU22)</f>
        <v>0</v>
      </c>
      <c r="AW22" s="10"/>
      <c r="AX22" s="10"/>
      <c r="AY22" s="10"/>
      <c r="AZ22" s="2"/>
      <c r="BA22" s="2" t="s">
        <v>1022</v>
      </c>
      <c r="BB22" s="2" t="s">
        <v>1108</v>
      </c>
      <c r="BC22" s="2" t="s">
        <v>1023</v>
      </c>
      <c r="BD22" s="2" t="s">
        <v>1024</v>
      </c>
      <c r="BE22" s="2"/>
      <c r="BF22" s="2" t="s">
        <v>1025</v>
      </c>
      <c r="BG22" s="22" t="n">
        <v>43874</v>
      </c>
      <c r="BH22" s="22" t="n">
        <v>45733</v>
      </c>
      <c r="BI22" s="2"/>
      <c r="BJ22" s="22" t="n">
        <v>45733</v>
      </c>
      <c r="BK22" s="2" t="n">
        <v>2</v>
      </c>
      <c r="BL22" s="2" t="n">
        <v>0</v>
      </c>
      <c r="BM22" s="2"/>
      <c r="BN22" s="2" t="s">
        <v>1109</v>
      </c>
      <c r="BO22" s="23" t="s">
        <v>1110</v>
      </c>
      <c r="BP22" s="2" t="n">
        <f aca="false">IF(OR(K22="",BG22=""),"",ROUND(BG22-K22,0))</f>
        <v>0</v>
      </c>
      <c r="BQ22" s="2" t="str">
        <f aca="false">IF(OR(N(BK22)=0,Q22=""),"Not recorded",IF(BK22=Q22,"Match","Differs"))</f>
        <v>Match</v>
      </c>
      <c r="BR22" s="2" t="str">
        <f aca="false">IF(N22="No","Excluded (non-residential)",IF(BF22="No reference","Unverified – no reference",IF(BF22="Not in council register","Unverified – not in register (Part 8 / other)",IF(OR(BF22="Refused",BF22="Refused on appeal",BF22="Withdrawn",BF22="Invalid",BF22="Quashed"),IF(OR(G22="Complete",G22="On Site",G22="Part Complete"),"Conflict – register not live but CIS says built","Conflict – not live in register"),IF(AND(G22="Plans Submitted",OR(BF22="Granted",BF22="Granted on appeal")),"Stage out of date – now granted",IF(AND(G22&lt;&gt;"Plans Submitted",OR(BF22="Pending",BF22="Under appeal")),"Check – register still pending",IF(N(BL22)&gt;Method!$B$7,"Check – location differs",IF(AND(BP22&lt;&gt;"",ABS(N(BP22))&gt;60),"Consistent – decision date differs","Consistent"))))))))</f>
        <v>Consistent</v>
      </c>
      <c r="BS22" s="2"/>
      <c r="BT22" s="2"/>
      <c r="BU22" s="2"/>
      <c r="BV22" s="2"/>
      <c r="BW22" s="2"/>
      <c r="BX22" s="2"/>
    </row>
    <row r="23" customFormat="false" ht="15" hidden="false" customHeight="false" outlineLevel="0" collapsed="false">
      <c r="A23" s="2" t="n">
        <v>1084266</v>
      </c>
      <c r="B23" s="2" t="s">
        <v>514</v>
      </c>
      <c r="C23" s="2" t="s">
        <v>1111</v>
      </c>
      <c r="D23" s="2" t="s">
        <v>515</v>
      </c>
      <c r="E23" s="2" t="s">
        <v>516</v>
      </c>
      <c r="F23" s="2" t="s">
        <v>144</v>
      </c>
      <c r="G23" s="2" t="s">
        <v>453</v>
      </c>
      <c r="H23" s="2" t="s">
        <v>1014</v>
      </c>
      <c r="I23" s="2"/>
      <c r="J23" s="22" t="n">
        <v>43822</v>
      </c>
      <c r="K23" s="22" t="n">
        <v>44127</v>
      </c>
      <c r="L23" s="22" t="n">
        <v>45212.6117243403</v>
      </c>
      <c r="M23" s="2" t="s">
        <v>1016</v>
      </c>
      <c r="N23" s="2" t="s">
        <v>121</v>
      </c>
      <c r="O23" s="2"/>
      <c r="P23" s="2" t="s">
        <v>1017</v>
      </c>
      <c r="Q23" s="10" t="n">
        <v>32</v>
      </c>
      <c r="R23" s="10" t="n">
        <v>27</v>
      </c>
      <c r="S23" s="10"/>
      <c r="T23" s="2" t="s">
        <v>120</v>
      </c>
      <c r="U23" s="2"/>
      <c r="V23" s="2" t="s">
        <v>1029</v>
      </c>
      <c r="W23" s="2" t="s">
        <v>1030</v>
      </c>
      <c r="X23" s="7"/>
      <c r="Y23" s="2" t="str">
        <f aca="false">IF(X23&lt;&gt;"",X23,T23)</f>
        <v>Primary</v>
      </c>
      <c r="Z23" s="2" t="str">
        <f aca="false">IF(OR(Y23="Primary",Y23="Additional phase",Y23="Additional application on site",Y23="Replaces earlier",Y23="Extension of duration (parent not in CIS)"),"Yes","No")</f>
        <v>Yes</v>
      </c>
      <c r="AA23" s="2"/>
      <c r="AB23" s="2" t="n">
        <f aca="false">IF(L23="","",ROUND((Method!$B$4-L23)/30.44,0))</f>
        <v>36</v>
      </c>
      <c r="AC23" s="2" t="str">
        <f aca="false">IF(AB23="","No",IF(AB23&gt;Method!$B$5,"Yes","No"))</f>
        <v>Yes</v>
      </c>
      <c r="AD23" s="22" t="n">
        <f aca="false">IF(BJ23&lt;&gt;"",BJ23,IF(K23&lt;&gt;"",EDATE(K23,60),""))</f>
        <v>47082</v>
      </c>
      <c r="AE23" s="2" t="str">
        <f aca="false">IF(AND(AD23&lt;&gt;"",OR(G23="Permission Granted",G23="Commencement Expected",G23="Stalled or Suspended")),IF(AD23&lt;Method!$B$4,"Yes","No"),"No")</f>
        <v>No</v>
      </c>
      <c r="AF23" s="7"/>
      <c r="AG23" s="2" t="str">
        <f aca="false">IF(Z23="No","Not counted",IF(AF23="Lapsed or dead","Excluded",IF(AF23="Constrained","Constrained / uncertain",IF(AF23="Confirmed live",IF(G23="On Site","Committed",IF(G23="Part Complete","Committed",IF(G23="Contract Awarded","Committed Pre-Construction",IF(G23="Tender","Advanced Pre-Construction",IF(G23="Commencement Expected","Likely",IF(G23="Permission Granted","Potential",IF(G23="Stalled or Suspended","Constrained / uncertain",IF(G23="Complete","Delivered","Application Pipeline")))))))),IF(G23="Complete","Delivered",IF(AND(OR(G23="Permission Granted",G23="Commencement Expected"),OR(AC23="Yes",AE23="Yes")),"Constrained / uncertain",IF(G23="On Site","Committed",IF(G23="Part Complete","Committed",IF(G23="Contract Awarded","Committed Pre-Construction",IF(G23="Tender","Advanced Pre-Construction",IF(G23="Commencement Expected","Likely",IF(G23="Permission Granted","Potential",IF(G23="Stalled or Suspended","Constrained / uncertain",IF(G23="Complete","Delivered","Application Pipeline"))))))))))))))</f>
        <v>Constrained / uncertain</v>
      </c>
      <c r="AH23" s="2" t="str">
        <f aca="false">IF(Z23="No","Relationship: "&amp;Y23,IF(AF23&lt;&gt;"","Analyst: "&amp;AF23,IF(G23="Complete","Complete",IF(AND(OR(G23="Permission Granted",G23="Commencement Expected"),AE23="Yes"),"Past expiry",IF(AND(OR(G23="Permission Granted",G23="Commencement Expected"),AC23="Yes"),"No CIS update in "&amp;AB23&amp;" months","As CIS")))))</f>
        <v>As CIS</v>
      </c>
      <c r="AI23" s="10" t="n">
        <f aca="false">IF(Z23="Yes",N(Q23),0)</f>
        <v>32</v>
      </c>
      <c r="AJ23" s="10" t="n">
        <f aca="false">IF(OR(Z23="No",G23="Complete"),0,MAX(N(Q23)-N(AA23),0))</f>
        <v>32</v>
      </c>
      <c r="AK23" s="10" t="n">
        <f aca="false">IF(Z23="No",0,IF(G23="Complete",N(Q23),MIN(N(AA23),N(Q23))))</f>
        <v>0</v>
      </c>
      <c r="AL23" s="10" t="n">
        <f aca="false">IF(OR(OR(AG23="Not counted",AG23="Excluded",AG23="Delivered"),P23="Student accommodation"),0,AJ23)</f>
        <v>32</v>
      </c>
      <c r="AM23" s="10" t="n">
        <f aca="false">IF(OR(OR(AG23="Not counted",AG23="Excluded",AG23="Delivered"),P23&lt;&gt;"Student accommodation"),0,AJ23)</f>
        <v>0</v>
      </c>
      <c r="AN23" s="10" t="n">
        <f aca="false">IF(OR(AG23="Not counted",AG23="Excluded",AG23="Delivered"),0,N(S23))</f>
        <v>0</v>
      </c>
      <c r="AO23" s="2" t="s">
        <v>1031</v>
      </c>
      <c r="AP23" s="10"/>
      <c r="AQ23" s="10"/>
      <c r="AR23" s="10" t="n">
        <v>17</v>
      </c>
      <c r="AS23" s="10" t="n">
        <v>10</v>
      </c>
      <c r="AT23" s="10"/>
      <c r="AU23" s="10"/>
      <c r="AV23" s="10" t="n">
        <f aca="false">N(AP23)+N(AQ23)+N(AR23)+N(AS23)+N(AT23)+N(AU23)</f>
        <v>27</v>
      </c>
      <c r="AW23" s="10" t="n">
        <v>27</v>
      </c>
      <c r="AX23" s="10"/>
      <c r="AY23" s="10"/>
      <c r="AZ23" s="2"/>
      <c r="BA23" s="2" t="s">
        <v>1022</v>
      </c>
      <c r="BB23" s="2" t="s">
        <v>1111</v>
      </c>
      <c r="BC23" s="2" t="s">
        <v>1023</v>
      </c>
      <c r="BD23" s="2" t="s">
        <v>1024</v>
      </c>
      <c r="BE23" s="2"/>
      <c r="BF23" s="2" t="s">
        <v>1025</v>
      </c>
      <c r="BG23" s="22" t="n">
        <v>44127</v>
      </c>
      <c r="BH23" s="22" t="n">
        <v>45986</v>
      </c>
      <c r="BI23" s="2" t="s">
        <v>1112</v>
      </c>
      <c r="BJ23" s="22" t="n">
        <v>47082</v>
      </c>
      <c r="BK23" s="2" t="n">
        <v>27</v>
      </c>
      <c r="BL23" s="2" t="n">
        <v>0</v>
      </c>
      <c r="BM23" s="2"/>
      <c r="BN23" s="2" t="s">
        <v>1113</v>
      </c>
      <c r="BO23" s="23" t="s">
        <v>1114</v>
      </c>
      <c r="BP23" s="2" t="n">
        <f aca="false">IF(OR(K23="",BG23=""),"",ROUND(BG23-K23,0))</f>
        <v>0</v>
      </c>
      <c r="BQ23" s="2" t="str">
        <f aca="false">IF(OR(N(BK23)=0,Q23=""),"Not recorded",IF(BK23=Q23,"Match","Differs"))</f>
        <v>Differs</v>
      </c>
      <c r="BR23" s="2" t="str">
        <f aca="false">IF(N23="No","Excluded (non-residential)",IF(BF23="No reference","Unverified – no reference",IF(BF23="Not in council register","Unverified – not in register (Part 8 / other)",IF(OR(BF23="Refused",BF23="Refused on appeal",BF23="Withdrawn",BF23="Invalid",BF23="Quashed"),IF(OR(G23="Complete",G23="On Site",G23="Part Complete"),"Conflict – register not live but CIS says built","Conflict – not live in register"),IF(AND(G23="Plans Submitted",OR(BF23="Granted",BF23="Granted on appeal")),"Stage out of date – now granted",IF(AND(G23&lt;&gt;"Plans Submitted",OR(BF23="Pending",BF23="Under appeal")),"Check – register still pending",IF(N(BL23)&gt;Method!$B$7,"Check – location differs",IF(AND(BP23&lt;&gt;"",ABS(N(BP23))&gt;60),"Consistent – decision date differs","Consistent"))))))))</f>
        <v>Consistent</v>
      </c>
      <c r="BS23" s="2"/>
      <c r="BT23" s="2"/>
      <c r="BU23" s="2"/>
      <c r="BV23" s="2"/>
      <c r="BW23" s="2"/>
      <c r="BX23" s="2"/>
    </row>
    <row r="24" customFormat="false" ht="15" hidden="false" customHeight="false" outlineLevel="0" collapsed="false">
      <c r="A24" s="2" t="n">
        <v>1098119</v>
      </c>
      <c r="B24" s="2" t="s">
        <v>579</v>
      </c>
      <c r="C24" s="2" t="s">
        <v>1115</v>
      </c>
      <c r="D24" s="2" t="s">
        <v>580</v>
      </c>
      <c r="E24" s="2" t="s">
        <v>581</v>
      </c>
      <c r="F24" s="2" t="s">
        <v>132</v>
      </c>
      <c r="G24" s="2" t="s">
        <v>198</v>
      </c>
      <c r="H24" s="2" t="s">
        <v>1014</v>
      </c>
      <c r="I24" s="2" t="s">
        <v>198</v>
      </c>
      <c r="J24" s="22" t="n">
        <v>43935</v>
      </c>
      <c r="K24" s="22" t="n">
        <v>44020</v>
      </c>
      <c r="L24" s="22" t="n">
        <v>44537.5425140857</v>
      </c>
      <c r="M24" s="2" t="s">
        <v>1016</v>
      </c>
      <c r="N24" s="2" t="s">
        <v>121</v>
      </c>
      <c r="O24" s="2"/>
      <c r="P24" s="2" t="s">
        <v>1017</v>
      </c>
      <c r="Q24" s="10" t="n">
        <v>6</v>
      </c>
      <c r="R24" s="10"/>
      <c r="S24" s="10"/>
      <c r="T24" s="2" t="s">
        <v>120</v>
      </c>
      <c r="U24" s="2"/>
      <c r="V24" s="2" t="s">
        <v>1029</v>
      </c>
      <c r="W24" s="2" t="s">
        <v>1030</v>
      </c>
      <c r="X24" s="7"/>
      <c r="Y24" s="2" t="str">
        <f aca="false">IF(X24&lt;&gt;"",X24,T24)</f>
        <v>Primary</v>
      </c>
      <c r="Z24" s="2" t="str">
        <f aca="false">IF(OR(Y24="Primary",Y24="Additional phase",Y24="Additional application on site",Y24="Replaces earlier",Y24="Extension of duration (parent not in CIS)"),"Yes","No")</f>
        <v>Yes</v>
      </c>
      <c r="AA24" s="2"/>
      <c r="AB24" s="2" t="n">
        <f aca="false">IF(L24="","",ROUND((Method!$B$4-L24)/30.44,0))</f>
        <v>58</v>
      </c>
      <c r="AC24" s="2" t="str">
        <f aca="false">IF(AB24="","No",IF(AB24&gt;Method!$B$5,"Yes","No"))</f>
        <v>Yes</v>
      </c>
      <c r="AD24" s="22" t="n">
        <f aca="false">IF(BJ24&lt;&gt;"",BJ24,IF(K24&lt;&gt;"",EDATE(K24,60),""))</f>
        <v>45879</v>
      </c>
      <c r="AE24" s="2" t="str">
        <f aca="false">IF(AND(AD24&lt;&gt;"",OR(G24="Permission Granted",G24="Commencement Expected",G24="Stalled or Suspended")),IF(AD24&lt;Method!$B$4,"Yes","No"),"No")</f>
        <v>No</v>
      </c>
      <c r="AF24" s="7"/>
      <c r="AG24" s="2" t="str">
        <f aca="false">IF(Z24="No","Not counted",IF(AF24="Lapsed or dead","Excluded",IF(AF24="Constrained","Constrained / uncertain",IF(AF24="Confirmed live",IF(G24="On Site","Committed",IF(G24="Part Complete","Committed",IF(G24="Contract Awarded","Committed Pre-Construction",IF(G24="Tender","Advanced Pre-Construction",IF(G24="Commencement Expected","Likely",IF(G24="Permission Granted","Potential",IF(G24="Stalled or Suspended","Constrained / uncertain",IF(G24="Complete","Delivered","Application Pipeline")))))))),IF(G24="Complete","Delivered",IF(AND(OR(G24="Permission Granted",G24="Commencement Expected"),OR(AC24="Yes",AE24="Yes")),"Constrained / uncertain",IF(G24="On Site","Committed",IF(G24="Part Complete","Committed",IF(G24="Contract Awarded","Committed Pre-Construction",IF(G24="Tender","Advanced Pre-Construction",IF(G24="Commencement Expected","Likely",IF(G24="Permission Granted","Potential",IF(G24="Stalled or Suspended","Constrained / uncertain",IF(G24="Complete","Delivered","Application Pipeline"))))))))))))))</f>
        <v>Committed</v>
      </c>
      <c r="AH24" s="2" t="str">
        <f aca="false">IF(Z24="No","Relationship: "&amp;Y24,IF(AF24&lt;&gt;"","Analyst: "&amp;AF24,IF(G24="Complete","Complete",IF(AND(OR(G24="Permission Granted",G24="Commencement Expected"),AE24="Yes"),"Past expiry",IF(AND(OR(G24="Permission Granted",G24="Commencement Expected"),AC24="Yes"),"No CIS update in "&amp;AB24&amp;" months","As CIS")))))</f>
        <v>As CIS</v>
      </c>
      <c r="AI24" s="10" t="n">
        <f aca="false">IF(Z24="Yes",N(Q24),0)</f>
        <v>6</v>
      </c>
      <c r="AJ24" s="10" t="n">
        <f aca="false">IF(OR(Z24="No",G24="Complete"),0,MAX(N(Q24)-N(AA24),0))</f>
        <v>6</v>
      </c>
      <c r="AK24" s="10" t="n">
        <f aca="false">IF(Z24="No",0,IF(G24="Complete",N(Q24),MIN(N(AA24),N(Q24))))</f>
        <v>0</v>
      </c>
      <c r="AL24" s="10" t="n">
        <f aca="false">IF(OR(OR(AG24="Not counted",AG24="Excluded",AG24="Delivered"),P24="Student accommodation"),0,AJ24)</f>
        <v>6</v>
      </c>
      <c r="AM24" s="10" t="n">
        <f aca="false">IF(OR(OR(AG24="Not counted",AG24="Excluded",AG24="Delivered"),P24&lt;&gt;"Student accommodation"),0,AJ24)</f>
        <v>0</v>
      </c>
      <c r="AN24" s="10" t="n">
        <f aca="false">IF(OR(AG24="Not counted",AG24="Excluded",AG24="Delivered"),0,N(S24))</f>
        <v>0</v>
      </c>
      <c r="AO24" s="2" t="s">
        <v>1021</v>
      </c>
      <c r="AP24" s="10"/>
      <c r="AQ24" s="10"/>
      <c r="AR24" s="10"/>
      <c r="AS24" s="10"/>
      <c r="AT24" s="10"/>
      <c r="AU24" s="10"/>
      <c r="AV24" s="10" t="n">
        <f aca="false">N(AP24)+N(AQ24)+N(AR24)+N(AS24)+N(AT24)+N(AU24)</f>
        <v>0</v>
      </c>
      <c r="AW24" s="10"/>
      <c r="AX24" s="10"/>
      <c r="AY24" s="10"/>
      <c r="AZ24" s="2"/>
      <c r="BA24" s="2" t="s">
        <v>1022</v>
      </c>
      <c r="BB24" s="2" t="s">
        <v>1115</v>
      </c>
      <c r="BC24" s="2" t="s">
        <v>1023</v>
      </c>
      <c r="BD24" s="2" t="s">
        <v>1024</v>
      </c>
      <c r="BE24" s="2"/>
      <c r="BF24" s="2" t="s">
        <v>1025</v>
      </c>
      <c r="BG24" s="22" t="n">
        <v>44020</v>
      </c>
      <c r="BH24" s="22" t="n">
        <v>45879</v>
      </c>
      <c r="BI24" s="2"/>
      <c r="BJ24" s="22" t="n">
        <v>45879</v>
      </c>
      <c r="BK24" s="2" t="n">
        <v>6</v>
      </c>
      <c r="BL24" s="2" t="n">
        <v>0</v>
      </c>
      <c r="BM24" s="2"/>
      <c r="BN24" s="2" t="s">
        <v>1116</v>
      </c>
      <c r="BO24" s="23" t="s">
        <v>1117</v>
      </c>
      <c r="BP24" s="2" t="n">
        <f aca="false">IF(OR(K24="",BG24=""),"",ROUND(BG24-K24,0))</f>
        <v>0</v>
      </c>
      <c r="BQ24" s="2" t="str">
        <f aca="false">IF(OR(N(BK24)=0,Q24=""),"Not recorded",IF(BK24=Q24,"Match","Differs"))</f>
        <v>Match</v>
      </c>
      <c r="BR24" s="2" t="str">
        <f aca="false">IF(N24="No","Excluded (non-residential)",IF(BF24="No reference","Unverified – no reference",IF(BF24="Not in council register","Unverified – not in register (Part 8 / other)",IF(OR(BF24="Refused",BF24="Refused on appeal",BF24="Withdrawn",BF24="Invalid",BF24="Quashed"),IF(OR(G24="Complete",G24="On Site",G24="Part Complete"),"Conflict – register not live but CIS says built","Conflict – not live in register"),IF(AND(G24="Plans Submitted",OR(BF24="Granted",BF24="Granted on appeal")),"Stage out of date – now granted",IF(AND(G24&lt;&gt;"Plans Submitted",OR(BF24="Pending",BF24="Under appeal")),"Check – register still pending",IF(N(BL24)&gt;Method!$B$7,"Check – location differs",IF(AND(BP24&lt;&gt;"",ABS(N(BP24))&gt;60),"Consistent – decision date differs","Consistent"))))))))</f>
        <v>Consistent</v>
      </c>
      <c r="BS24" s="2"/>
      <c r="BT24" s="2"/>
      <c r="BU24" s="2"/>
      <c r="BV24" s="2"/>
      <c r="BW24" s="2"/>
      <c r="BX24" s="2"/>
    </row>
    <row r="25" customFormat="false" ht="15" hidden="false" customHeight="false" outlineLevel="0" collapsed="false">
      <c r="A25" s="2" t="n">
        <v>1099323</v>
      </c>
      <c r="B25" s="2" t="s">
        <v>612</v>
      </c>
      <c r="C25" s="2" t="s">
        <v>1118</v>
      </c>
      <c r="D25" s="2" t="s">
        <v>613</v>
      </c>
      <c r="E25" s="2" t="s">
        <v>614</v>
      </c>
      <c r="F25" s="2" t="s">
        <v>144</v>
      </c>
      <c r="G25" s="2" t="s">
        <v>187</v>
      </c>
      <c r="H25" s="2" t="s">
        <v>1014</v>
      </c>
      <c r="I25" s="2"/>
      <c r="J25" s="22" t="n">
        <v>43948</v>
      </c>
      <c r="K25" s="22" t="n">
        <v>44063</v>
      </c>
      <c r="L25" s="22" t="n">
        <v>44064.5652425579</v>
      </c>
      <c r="M25" s="2" t="s">
        <v>1016</v>
      </c>
      <c r="N25" s="2" t="s">
        <v>121</v>
      </c>
      <c r="O25" s="2"/>
      <c r="P25" s="2" t="s">
        <v>1017</v>
      </c>
      <c r="Q25" s="10" t="n">
        <v>1</v>
      </c>
      <c r="R25" s="10"/>
      <c r="S25" s="10"/>
      <c r="T25" s="2" t="s">
        <v>120</v>
      </c>
      <c r="U25" s="2"/>
      <c r="V25" s="2" t="s">
        <v>1029</v>
      </c>
      <c r="W25" s="2" t="s">
        <v>1030</v>
      </c>
      <c r="X25" s="7"/>
      <c r="Y25" s="2" t="str">
        <f aca="false">IF(X25&lt;&gt;"",X25,T25)</f>
        <v>Primary</v>
      </c>
      <c r="Z25" s="2" t="str">
        <f aca="false">IF(OR(Y25="Primary",Y25="Additional phase",Y25="Additional application on site",Y25="Replaces earlier",Y25="Extension of duration (parent not in CIS)"),"Yes","No")</f>
        <v>Yes</v>
      </c>
      <c r="AA25" s="2"/>
      <c r="AB25" s="2" t="n">
        <f aca="false">IF(L25="","",ROUND((Method!$B$4-L25)/30.44,0))</f>
        <v>73</v>
      </c>
      <c r="AC25" s="2" t="str">
        <f aca="false">IF(AB25="","No",IF(AB25&gt;Method!$B$5,"Yes","No"))</f>
        <v>Yes</v>
      </c>
      <c r="AD25" s="22" t="n">
        <f aca="false">IF(BJ25&lt;&gt;"",BJ25,IF(K25&lt;&gt;"",EDATE(K25,60),""))</f>
        <v>45923</v>
      </c>
      <c r="AE25" s="2" t="str">
        <f aca="false">IF(AND(AD25&lt;&gt;"",OR(G25="Permission Granted",G25="Commencement Expected",G25="Stalled or Suspended")),IF(AD25&lt;Method!$B$4,"Yes","No"),"No")</f>
        <v>Yes</v>
      </c>
      <c r="AF25" s="7"/>
      <c r="AG25" s="2" t="str">
        <f aca="false">IF(Z25="No","Not counted",IF(AF25="Lapsed or dead","Excluded",IF(AF25="Constrained","Constrained / uncertain",IF(AF25="Confirmed live",IF(G25="On Site","Committed",IF(G25="Part Complete","Committed",IF(G25="Contract Awarded","Committed Pre-Construction",IF(G25="Tender","Advanced Pre-Construction",IF(G25="Commencement Expected","Likely",IF(G25="Permission Granted","Potential",IF(G25="Stalled or Suspended","Constrained / uncertain",IF(G25="Complete","Delivered","Application Pipeline")))))))),IF(G25="Complete","Delivered",IF(AND(OR(G25="Permission Granted",G25="Commencement Expected"),OR(AC25="Yes",AE25="Yes")),"Constrained / uncertain",IF(G25="On Site","Committed",IF(G25="Part Complete","Committed",IF(G25="Contract Awarded","Committed Pre-Construction",IF(G25="Tender","Advanced Pre-Construction",IF(G25="Commencement Expected","Likely",IF(G25="Permission Granted","Potential",IF(G25="Stalled or Suspended","Constrained / uncertain",IF(G25="Complete","Delivered","Application Pipeline"))))))))))))))</f>
        <v>Constrained / uncertain</v>
      </c>
      <c r="AH25" s="2" t="str">
        <f aca="false">IF(Z25="No","Relationship: "&amp;Y25,IF(AF25&lt;&gt;"","Analyst: "&amp;AF25,IF(G25="Complete","Complete",IF(AND(OR(G25="Permission Granted",G25="Commencement Expected"),AE25="Yes"),"Past expiry",IF(AND(OR(G25="Permission Granted",G25="Commencement Expected"),AC25="Yes"),"No CIS update in "&amp;AB25&amp;" months","As CIS")))))</f>
        <v>Past expiry</v>
      </c>
      <c r="AI25" s="10" t="n">
        <f aca="false">IF(Z25="Yes",N(Q25),0)</f>
        <v>1</v>
      </c>
      <c r="AJ25" s="10" t="n">
        <f aca="false">IF(OR(Z25="No",G25="Complete"),0,MAX(N(Q25)-N(AA25),0))</f>
        <v>1</v>
      </c>
      <c r="AK25" s="10" t="n">
        <f aca="false">IF(Z25="No",0,IF(G25="Complete",N(Q25),MIN(N(AA25),N(Q25))))</f>
        <v>0</v>
      </c>
      <c r="AL25" s="10" t="n">
        <f aca="false">IF(OR(OR(AG25="Not counted",AG25="Excluded",AG25="Delivered"),P25="Student accommodation"),0,AJ25)</f>
        <v>1</v>
      </c>
      <c r="AM25" s="10" t="n">
        <f aca="false">IF(OR(OR(AG25="Not counted",AG25="Excluded",AG25="Delivered"),P25&lt;&gt;"Student accommodation"),0,AJ25)</f>
        <v>0</v>
      </c>
      <c r="AN25" s="10" t="n">
        <f aca="false">IF(OR(AG25="Not counted",AG25="Excluded",AG25="Delivered"),0,N(S25))</f>
        <v>0</v>
      </c>
      <c r="AO25" s="2" t="s">
        <v>1021</v>
      </c>
      <c r="AP25" s="10"/>
      <c r="AQ25" s="10"/>
      <c r="AR25" s="10"/>
      <c r="AS25" s="10"/>
      <c r="AT25" s="10"/>
      <c r="AU25" s="10"/>
      <c r="AV25" s="10" t="n">
        <f aca="false">N(AP25)+N(AQ25)+N(AR25)+N(AS25)+N(AT25)+N(AU25)</f>
        <v>0</v>
      </c>
      <c r="AW25" s="10"/>
      <c r="AX25" s="10"/>
      <c r="AY25" s="10"/>
      <c r="AZ25" s="2"/>
      <c r="BA25" s="2" t="s">
        <v>1022</v>
      </c>
      <c r="BB25" s="2" t="s">
        <v>1118</v>
      </c>
      <c r="BC25" s="2" t="s">
        <v>1023</v>
      </c>
      <c r="BD25" s="2" t="s">
        <v>1024</v>
      </c>
      <c r="BE25" s="2"/>
      <c r="BF25" s="2" t="s">
        <v>1025</v>
      </c>
      <c r="BG25" s="22" t="n">
        <v>44063</v>
      </c>
      <c r="BH25" s="22" t="n">
        <v>45923</v>
      </c>
      <c r="BI25" s="2"/>
      <c r="BJ25" s="22" t="n">
        <v>45923</v>
      </c>
      <c r="BK25" s="2"/>
      <c r="BL25" s="2" t="n">
        <v>0</v>
      </c>
      <c r="BM25" s="2"/>
      <c r="BN25" s="2" t="s">
        <v>1119</v>
      </c>
      <c r="BO25" s="23" t="s">
        <v>1120</v>
      </c>
      <c r="BP25" s="2" t="n">
        <f aca="false">IF(OR(K25="",BG25=""),"",ROUND(BG25-K25,0))</f>
        <v>0</v>
      </c>
      <c r="BQ25" s="2" t="str">
        <f aca="false">IF(OR(N(BK25)=0,Q25=""),"Not recorded",IF(BK25=Q25,"Match","Differs"))</f>
        <v>Not recorded</v>
      </c>
      <c r="BR25" s="2" t="str">
        <f aca="false">IF(N25="No","Excluded (non-residential)",IF(BF25="No reference","Unverified – no reference",IF(BF25="Not in council register","Unverified – not in register (Part 8 / other)",IF(OR(BF25="Refused",BF25="Refused on appeal",BF25="Withdrawn",BF25="Invalid",BF25="Quashed"),IF(OR(G25="Complete",G25="On Site",G25="Part Complete"),"Conflict – register not live but CIS says built","Conflict – not live in register"),IF(AND(G25="Plans Submitted",OR(BF25="Granted",BF25="Granted on appeal")),"Stage out of date – now granted",IF(AND(G25&lt;&gt;"Plans Submitted",OR(BF25="Pending",BF25="Under appeal")),"Check – register still pending",IF(N(BL25)&gt;Method!$B$7,"Check – location differs",IF(AND(BP25&lt;&gt;"",ABS(N(BP25))&gt;60),"Consistent – decision date differs","Consistent"))))))))</f>
        <v>Consistent</v>
      </c>
      <c r="BS25" s="2"/>
      <c r="BT25" s="2"/>
      <c r="BU25" s="2"/>
      <c r="BV25" s="2"/>
      <c r="BW25" s="2"/>
      <c r="BX25" s="2"/>
    </row>
    <row r="26" customFormat="false" ht="15" hidden="false" customHeight="false" outlineLevel="0" collapsed="false">
      <c r="A26" s="2" t="n">
        <v>1112715</v>
      </c>
      <c r="B26" s="2" t="s">
        <v>609</v>
      </c>
      <c r="C26" s="2" t="s">
        <v>1121</v>
      </c>
      <c r="D26" s="2" t="s">
        <v>610</v>
      </c>
      <c r="E26" s="2" t="s">
        <v>611</v>
      </c>
      <c r="F26" s="2" t="s">
        <v>144</v>
      </c>
      <c r="G26" s="2" t="s">
        <v>187</v>
      </c>
      <c r="H26" s="2" t="s">
        <v>1014</v>
      </c>
      <c r="I26" s="2"/>
      <c r="J26" s="22" t="n">
        <v>44022</v>
      </c>
      <c r="K26" s="22" t="n">
        <v>44077</v>
      </c>
      <c r="L26" s="22" t="n">
        <v>44081.3395054745</v>
      </c>
      <c r="M26" s="2" t="s">
        <v>1016</v>
      </c>
      <c r="N26" s="2" t="s">
        <v>121</v>
      </c>
      <c r="O26" s="2"/>
      <c r="P26" s="2" t="s">
        <v>1017</v>
      </c>
      <c r="Q26" s="10" t="n">
        <v>15</v>
      </c>
      <c r="R26" s="10" t="n">
        <v>15</v>
      </c>
      <c r="S26" s="10"/>
      <c r="T26" s="2" t="s">
        <v>120</v>
      </c>
      <c r="U26" s="2"/>
      <c r="V26" s="2" t="s">
        <v>1029</v>
      </c>
      <c r="W26" s="2" t="s">
        <v>1030</v>
      </c>
      <c r="X26" s="7"/>
      <c r="Y26" s="2" t="str">
        <f aca="false">IF(X26&lt;&gt;"",X26,T26)</f>
        <v>Primary</v>
      </c>
      <c r="Z26" s="2" t="str">
        <f aca="false">IF(OR(Y26="Primary",Y26="Additional phase",Y26="Additional application on site",Y26="Replaces earlier",Y26="Extension of duration (parent not in CIS)"),"Yes","No")</f>
        <v>Yes</v>
      </c>
      <c r="AA26" s="2"/>
      <c r="AB26" s="2" t="n">
        <f aca="false">IF(L26="","",ROUND((Method!$B$4-L26)/30.44,0))</f>
        <v>73</v>
      </c>
      <c r="AC26" s="2" t="str">
        <f aca="false">IF(AB26="","No",IF(AB26&gt;Method!$B$5,"Yes","No"))</f>
        <v>Yes</v>
      </c>
      <c r="AD26" s="22" t="n">
        <f aca="false">IF(BJ26&lt;&gt;"",BJ26,IF(K26&lt;&gt;"",EDATE(K26,60),""))</f>
        <v>45936</v>
      </c>
      <c r="AE26" s="2" t="str">
        <f aca="false">IF(AND(AD26&lt;&gt;"",OR(G26="Permission Granted",G26="Commencement Expected",G26="Stalled or Suspended")),IF(AD26&lt;Method!$B$4,"Yes","No"),"No")</f>
        <v>Yes</v>
      </c>
      <c r="AF26" s="7"/>
      <c r="AG26" s="2" t="str">
        <f aca="false">IF(Z26="No","Not counted",IF(AF26="Lapsed or dead","Excluded",IF(AF26="Constrained","Constrained / uncertain",IF(AF26="Confirmed live",IF(G26="On Site","Committed",IF(G26="Part Complete","Committed",IF(G26="Contract Awarded","Committed Pre-Construction",IF(G26="Tender","Advanced Pre-Construction",IF(G26="Commencement Expected","Likely",IF(G26="Permission Granted","Potential",IF(G26="Stalled or Suspended","Constrained / uncertain",IF(G26="Complete","Delivered","Application Pipeline")))))))),IF(G26="Complete","Delivered",IF(AND(OR(G26="Permission Granted",G26="Commencement Expected"),OR(AC26="Yes",AE26="Yes")),"Constrained / uncertain",IF(G26="On Site","Committed",IF(G26="Part Complete","Committed",IF(G26="Contract Awarded","Committed Pre-Construction",IF(G26="Tender","Advanced Pre-Construction",IF(G26="Commencement Expected","Likely",IF(G26="Permission Granted","Potential",IF(G26="Stalled or Suspended","Constrained / uncertain",IF(G26="Complete","Delivered","Application Pipeline"))))))))))))))</f>
        <v>Constrained / uncertain</v>
      </c>
      <c r="AH26" s="2" t="str">
        <f aca="false">IF(Z26="No","Relationship: "&amp;Y26,IF(AF26&lt;&gt;"","Analyst: "&amp;AF26,IF(G26="Complete","Complete",IF(AND(OR(G26="Permission Granted",G26="Commencement Expected"),AE26="Yes"),"Past expiry",IF(AND(OR(G26="Permission Granted",G26="Commencement Expected"),AC26="Yes"),"No CIS update in "&amp;AB26&amp;" months","As CIS")))))</f>
        <v>Past expiry</v>
      </c>
      <c r="AI26" s="10" t="n">
        <f aca="false">IF(Z26="Yes",N(Q26),0)</f>
        <v>15</v>
      </c>
      <c r="AJ26" s="10" t="n">
        <f aca="false">IF(OR(Z26="No",G26="Complete"),0,MAX(N(Q26)-N(AA26),0))</f>
        <v>15</v>
      </c>
      <c r="AK26" s="10" t="n">
        <f aca="false">IF(Z26="No",0,IF(G26="Complete",N(Q26),MIN(N(AA26),N(Q26))))</f>
        <v>0</v>
      </c>
      <c r="AL26" s="10" t="n">
        <f aca="false">IF(OR(OR(AG26="Not counted",AG26="Excluded",AG26="Delivered"),P26="Student accommodation"),0,AJ26)</f>
        <v>15</v>
      </c>
      <c r="AM26" s="10" t="n">
        <f aca="false">IF(OR(OR(AG26="Not counted",AG26="Excluded",AG26="Delivered"),P26&lt;&gt;"Student accommodation"),0,AJ26)</f>
        <v>0</v>
      </c>
      <c r="AN26" s="10" t="n">
        <f aca="false">IF(OR(AG26="Not counted",AG26="Excluded",AG26="Delivered"),0,N(S26))</f>
        <v>0</v>
      </c>
      <c r="AO26" s="2" t="s">
        <v>1021</v>
      </c>
      <c r="AP26" s="10"/>
      <c r="AQ26" s="10"/>
      <c r="AR26" s="10"/>
      <c r="AS26" s="10"/>
      <c r="AT26" s="10"/>
      <c r="AU26" s="10"/>
      <c r="AV26" s="10" t="n">
        <f aca="false">N(AP26)+N(AQ26)+N(AR26)+N(AS26)+N(AT26)+N(AU26)</f>
        <v>0</v>
      </c>
      <c r="AW26" s="10"/>
      <c r="AX26" s="10"/>
      <c r="AY26" s="10"/>
      <c r="AZ26" s="2"/>
      <c r="BA26" s="2" t="s">
        <v>1022</v>
      </c>
      <c r="BB26" s="2" t="s">
        <v>1121</v>
      </c>
      <c r="BC26" s="2" t="s">
        <v>1023</v>
      </c>
      <c r="BD26" s="2" t="s">
        <v>1024</v>
      </c>
      <c r="BE26" s="2"/>
      <c r="BF26" s="2" t="s">
        <v>1025</v>
      </c>
      <c r="BG26" s="22" t="n">
        <v>44077</v>
      </c>
      <c r="BH26" s="22" t="n">
        <v>45936</v>
      </c>
      <c r="BI26" s="2"/>
      <c r="BJ26" s="22" t="n">
        <v>45936</v>
      </c>
      <c r="BK26" s="2"/>
      <c r="BL26" s="2" t="n">
        <v>0</v>
      </c>
      <c r="BM26" s="2"/>
      <c r="BN26" s="2" t="s">
        <v>1122</v>
      </c>
      <c r="BO26" s="23" t="s">
        <v>1123</v>
      </c>
      <c r="BP26" s="2" t="n">
        <f aca="false">IF(OR(K26="",BG26=""),"",ROUND(BG26-K26,0))</f>
        <v>0</v>
      </c>
      <c r="BQ26" s="2" t="str">
        <f aca="false">IF(OR(N(BK26)=0,Q26=""),"Not recorded",IF(BK26=Q26,"Match","Differs"))</f>
        <v>Not recorded</v>
      </c>
      <c r="BR26" s="2" t="str">
        <f aca="false">IF(N26="No","Excluded (non-residential)",IF(BF26="No reference","Unverified – no reference",IF(BF26="Not in council register","Unverified – not in register (Part 8 / other)",IF(OR(BF26="Refused",BF26="Refused on appeal",BF26="Withdrawn",BF26="Invalid",BF26="Quashed"),IF(OR(G26="Complete",G26="On Site",G26="Part Complete"),"Conflict – register not live but CIS says built","Conflict – not live in register"),IF(AND(G26="Plans Submitted",OR(BF26="Granted",BF26="Granted on appeal")),"Stage out of date – now granted",IF(AND(G26&lt;&gt;"Plans Submitted",OR(BF26="Pending",BF26="Under appeal")),"Check – register still pending",IF(N(BL26)&gt;Method!$B$7,"Check – location differs",IF(AND(BP26&lt;&gt;"",ABS(N(BP26))&gt;60),"Consistent – decision date differs","Consistent"))))))))</f>
        <v>Consistent</v>
      </c>
      <c r="BS26" s="2"/>
      <c r="BT26" s="2"/>
      <c r="BU26" s="2"/>
      <c r="BV26" s="2"/>
      <c r="BW26" s="2"/>
      <c r="BX26" s="2"/>
    </row>
    <row r="27" customFormat="false" ht="15" hidden="false" customHeight="false" outlineLevel="0" collapsed="false">
      <c r="A27" s="2" t="n">
        <v>1114096</v>
      </c>
      <c r="B27" s="2" t="s">
        <v>588</v>
      </c>
      <c r="C27" s="2" t="s">
        <v>1124</v>
      </c>
      <c r="D27" s="2" t="s">
        <v>589</v>
      </c>
      <c r="E27" s="2" t="s">
        <v>590</v>
      </c>
      <c r="F27" s="2" t="s">
        <v>144</v>
      </c>
      <c r="G27" s="2" t="s">
        <v>198</v>
      </c>
      <c r="H27" s="2" t="s">
        <v>1014</v>
      </c>
      <c r="I27" s="2" t="s">
        <v>198</v>
      </c>
      <c r="J27" s="22" t="n">
        <v>44029</v>
      </c>
      <c r="K27" s="22" t="n">
        <v>44365</v>
      </c>
      <c r="L27" s="22" t="n">
        <v>44516.4962609606</v>
      </c>
      <c r="M27" s="2" t="s">
        <v>1016</v>
      </c>
      <c r="N27" s="2" t="s">
        <v>121</v>
      </c>
      <c r="O27" s="2"/>
      <c r="P27" s="2" t="s">
        <v>1017</v>
      </c>
      <c r="Q27" s="10" t="n">
        <v>4</v>
      </c>
      <c r="R27" s="10"/>
      <c r="S27" s="10"/>
      <c r="T27" s="2" t="s">
        <v>120</v>
      </c>
      <c r="U27" s="2"/>
      <c r="V27" s="2" t="s">
        <v>1029</v>
      </c>
      <c r="W27" s="2" t="s">
        <v>1030</v>
      </c>
      <c r="X27" s="7"/>
      <c r="Y27" s="2" t="str">
        <f aca="false">IF(X27&lt;&gt;"",X27,T27)</f>
        <v>Primary</v>
      </c>
      <c r="Z27" s="2" t="str">
        <f aca="false">IF(OR(Y27="Primary",Y27="Additional phase",Y27="Additional application on site",Y27="Replaces earlier",Y27="Extension of duration (parent not in CIS)"),"Yes","No")</f>
        <v>Yes</v>
      </c>
      <c r="AA27" s="2"/>
      <c r="AB27" s="2" t="n">
        <f aca="false">IF(L27="","",ROUND((Method!$B$4-L27)/30.44,0))</f>
        <v>58</v>
      </c>
      <c r="AC27" s="2" t="str">
        <f aca="false">IF(AB27="","No",IF(AB27&gt;Method!$B$5,"Yes","No"))</f>
        <v>Yes</v>
      </c>
      <c r="AD27" s="22" t="n">
        <f aca="false">IF(BJ27&lt;&gt;"",BJ27,IF(K27&lt;&gt;"",EDATE(K27,60),""))</f>
        <v>46224</v>
      </c>
      <c r="AE27" s="2" t="str">
        <f aca="false">IF(AND(AD27&lt;&gt;"",OR(G27="Permission Granted",G27="Commencement Expected",G27="Stalled or Suspended")),IF(AD27&lt;Method!$B$4,"Yes","No"),"No")</f>
        <v>No</v>
      </c>
      <c r="AF27" s="7"/>
      <c r="AG27" s="2" t="str">
        <f aca="false">IF(Z27="No","Not counted",IF(AF27="Lapsed or dead","Excluded",IF(AF27="Constrained","Constrained / uncertain",IF(AF27="Confirmed live",IF(G27="On Site","Committed",IF(G27="Part Complete","Committed",IF(G27="Contract Awarded","Committed Pre-Construction",IF(G27="Tender","Advanced Pre-Construction",IF(G27="Commencement Expected","Likely",IF(G27="Permission Granted","Potential",IF(G27="Stalled or Suspended","Constrained / uncertain",IF(G27="Complete","Delivered","Application Pipeline")))))))),IF(G27="Complete","Delivered",IF(AND(OR(G27="Permission Granted",G27="Commencement Expected"),OR(AC27="Yes",AE27="Yes")),"Constrained / uncertain",IF(G27="On Site","Committed",IF(G27="Part Complete","Committed",IF(G27="Contract Awarded","Committed Pre-Construction",IF(G27="Tender","Advanced Pre-Construction",IF(G27="Commencement Expected","Likely",IF(G27="Permission Granted","Potential",IF(G27="Stalled or Suspended","Constrained / uncertain",IF(G27="Complete","Delivered","Application Pipeline"))))))))))))))</f>
        <v>Committed</v>
      </c>
      <c r="AH27" s="2" t="str">
        <f aca="false">IF(Z27="No","Relationship: "&amp;Y27,IF(AF27&lt;&gt;"","Analyst: "&amp;AF27,IF(G27="Complete","Complete",IF(AND(OR(G27="Permission Granted",G27="Commencement Expected"),AE27="Yes"),"Past expiry",IF(AND(OR(G27="Permission Granted",G27="Commencement Expected"),AC27="Yes"),"No CIS update in "&amp;AB27&amp;" months","As CIS")))))</f>
        <v>As CIS</v>
      </c>
      <c r="AI27" s="10" t="n">
        <f aca="false">IF(Z27="Yes",N(Q27),0)</f>
        <v>4</v>
      </c>
      <c r="AJ27" s="10" t="n">
        <f aca="false">IF(OR(Z27="No",G27="Complete"),0,MAX(N(Q27)-N(AA27),0))</f>
        <v>4</v>
      </c>
      <c r="AK27" s="10" t="n">
        <f aca="false">IF(Z27="No",0,IF(G27="Complete",N(Q27),MIN(N(AA27),N(Q27))))</f>
        <v>0</v>
      </c>
      <c r="AL27" s="10" t="n">
        <f aca="false">IF(OR(OR(AG27="Not counted",AG27="Excluded",AG27="Delivered"),P27="Student accommodation"),0,AJ27)</f>
        <v>4</v>
      </c>
      <c r="AM27" s="10" t="n">
        <f aca="false">IF(OR(OR(AG27="Not counted",AG27="Excluded",AG27="Delivered"),P27&lt;&gt;"Student accommodation"),0,AJ27)</f>
        <v>0</v>
      </c>
      <c r="AN27" s="10" t="n">
        <f aca="false">IF(OR(AG27="Not counted",AG27="Excluded",AG27="Delivered"),0,N(S27))</f>
        <v>0</v>
      </c>
      <c r="AO27" s="2" t="s">
        <v>1021</v>
      </c>
      <c r="AP27" s="10"/>
      <c r="AQ27" s="10"/>
      <c r="AR27" s="10"/>
      <c r="AS27" s="10"/>
      <c r="AT27" s="10"/>
      <c r="AU27" s="10"/>
      <c r="AV27" s="10" t="n">
        <f aca="false">N(AP27)+N(AQ27)+N(AR27)+N(AS27)+N(AT27)+N(AU27)</f>
        <v>0</v>
      </c>
      <c r="AW27" s="10"/>
      <c r="AX27" s="10"/>
      <c r="AY27" s="10"/>
      <c r="AZ27" s="2"/>
      <c r="BA27" s="2" t="s">
        <v>1022</v>
      </c>
      <c r="BB27" s="2" t="s">
        <v>1124</v>
      </c>
      <c r="BC27" s="2" t="s">
        <v>1023</v>
      </c>
      <c r="BD27" s="2" t="s">
        <v>1024</v>
      </c>
      <c r="BE27" s="2"/>
      <c r="BF27" s="2" t="s">
        <v>1025</v>
      </c>
      <c r="BG27" s="22" t="n">
        <v>44365</v>
      </c>
      <c r="BH27" s="22" t="n">
        <v>46224</v>
      </c>
      <c r="BI27" s="2"/>
      <c r="BJ27" s="22" t="n">
        <v>46224</v>
      </c>
      <c r="BK27" s="2" t="n">
        <v>4</v>
      </c>
      <c r="BL27" s="2" t="n">
        <v>0</v>
      </c>
      <c r="BM27" s="2"/>
      <c r="BN27" s="2" t="s">
        <v>1125</v>
      </c>
      <c r="BO27" s="23" t="s">
        <v>1126</v>
      </c>
      <c r="BP27" s="2" t="n">
        <f aca="false">IF(OR(K27="",BG27=""),"",ROUND(BG27-K27,0))</f>
        <v>0</v>
      </c>
      <c r="BQ27" s="2" t="str">
        <f aca="false">IF(OR(N(BK27)=0,Q27=""),"Not recorded",IF(BK27=Q27,"Match","Differs"))</f>
        <v>Match</v>
      </c>
      <c r="BR27" s="2" t="str">
        <f aca="false">IF(N27="No","Excluded (non-residential)",IF(BF27="No reference","Unverified – no reference",IF(BF27="Not in council register","Unverified – not in register (Part 8 / other)",IF(OR(BF27="Refused",BF27="Refused on appeal",BF27="Withdrawn",BF27="Invalid",BF27="Quashed"),IF(OR(G27="Complete",G27="On Site",G27="Part Complete"),"Conflict – register not live but CIS says built","Conflict – not live in register"),IF(AND(G27="Plans Submitted",OR(BF27="Granted",BF27="Granted on appeal")),"Stage out of date – now granted",IF(AND(G27&lt;&gt;"Plans Submitted",OR(BF27="Pending",BF27="Under appeal")),"Check – register still pending",IF(N(BL27)&gt;Method!$B$7,"Check – location differs",IF(AND(BP27&lt;&gt;"",ABS(N(BP27))&gt;60),"Consistent – decision date differs","Consistent"))))))))</f>
        <v>Consistent</v>
      </c>
      <c r="BS27" s="2"/>
      <c r="BT27" s="2"/>
      <c r="BU27" s="2"/>
      <c r="BV27" s="2"/>
      <c r="BW27" s="2"/>
      <c r="BX27" s="2"/>
    </row>
    <row r="28" customFormat="false" ht="15" hidden="false" customHeight="false" outlineLevel="0" collapsed="false">
      <c r="A28" s="2" t="n">
        <v>1120093</v>
      </c>
      <c r="B28" s="2" t="s">
        <v>597</v>
      </c>
      <c r="C28" s="2" t="s">
        <v>1127</v>
      </c>
      <c r="D28" s="2" t="s">
        <v>598</v>
      </c>
      <c r="E28" s="2" t="s">
        <v>599</v>
      </c>
      <c r="F28" s="2" t="s">
        <v>144</v>
      </c>
      <c r="G28" s="2" t="s">
        <v>187</v>
      </c>
      <c r="H28" s="2" t="s">
        <v>1014</v>
      </c>
      <c r="I28" s="2"/>
      <c r="J28" s="22" t="n">
        <v>44068</v>
      </c>
      <c r="K28" s="22" t="n">
        <v>44400</v>
      </c>
      <c r="L28" s="22" t="n">
        <v>44404.4646961806</v>
      </c>
      <c r="M28" s="2" t="s">
        <v>1016</v>
      </c>
      <c r="N28" s="2" t="s">
        <v>121</v>
      </c>
      <c r="O28" s="2"/>
      <c r="P28" s="2" t="s">
        <v>1017</v>
      </c>
      <c r="Q28" s="10" t="n">
        <v>4</v>
      </c>
      <c r="R28" s="10"/>
      <c r="S28" s="10"/>
      <c r="T28" s="2" t="s">
        <v>120</v>
      </c>
      <c r="U28" s="2"/>
      <c r="V28" s="2" t="s">
        <v>1029</v>
      </c>
      <c r="W28" s="2" t="s">
        <v>1030</v>
      </c>
      <c r="X28" s="7"/>
      <c r="Y28" s="2" t="str">
        <f aca="false">IF(X28&lt;&gt;"",X28,T28)</f>
        <v>Primary</v>
      </c>
      <c r="Z28" s="2" t="str">
        <f aca="false">IF(OR(Y28="Primary",Y28="Additional phase",Y28="Additional application on site",Y28="Replaces earlier",Y28="Extension of duration (parent not in CIS)"),"Yes","No")</f>
        <v>Yes</v>
      </c>
      <c r="AA28" s="2"/>
      <c r="AB28" s="2" t="n">
        <f aca="false">IF(L28="","",ROUND((Method!$B$4-L28)/30.44,0))</f>
        <v>62</v>
      </c>
      <c r="AC28" s="2" t="str">
        <f aca="false">IF(AB28="","No",IF(AB28&gt;Method!$B$5,"Yes","No"))</f>
        <v>Yes</v>
      </c>
      <c r="AD28" s="22" t="n">
        <f aca="false">IF(BJ28&lt;&gt;"",BJ28,IF(K28&lt;&gt;"",EDATE(K28,60),""))</f>
        <v>46259</v>
      </c>
      <c r="AE28" s="2" t="str">
        <f aca="false">IF(AND(AD28&lt;&gt;"",OR(G28="Permission Granted",G28="Commencement Expected",G28="Stalled or Suspended")),IF(AD28&lt;Method!$B$4,"Yes","No"),"No")</f>
        <v>Yes</v>
      </c>
      <c r="AF28" s="7"/>
      <c r="AG28" s="2" t="str">
        <f aca="false">IF(Z28="No","Not counted",IF(AF28="Lapsed or dead","Excluded",IF(AF28="Constrained","Constrained / uncertain",IF(AF28="Confirmed live",IF(G28="On Site","Committed",IF(G28="Part Complete","Committed",IF(G28="Contract Awarded","Committed Pre-Construction",IF(G28="Tender","Advanced Pre-Construction",IF(G28="Commencement Expected","Likely",IF(G28="Permission Granted","Potential",IF(G28="Stalled or Suspended","Constrained / uncertain",IF(G28="Complete","Delivered","Application Pipeline")))))))),IF(G28="Complete","Delivered",IF(AND(OR(G28="Permission Granted",G28="Commencement Expected"),OR(AC28="Yes",AE28="Yes")),"Constrained / uncertain",IF(G28="On Site","Committed",IF(G28="Part Complete","Committed",IF(G28="Contract Awarded","Committed Pre-Construction",IF(G28="Tender","Advanced Pre-Construction",IF(G28="Commencement Expected","Likely",IF(G28="Permission Granted","Potential",IF(G28="Stalled or Suspended","Constrained / uncertain",IF(G28="Complete","Delivered","Application Pipeline"))))))))))))))</f>
        <v>Constrained / uncertain</v>
      </c>
      <c r="AH28" s="2" t="str">
        <f aca="false">IF(Z28="No","Relationship: "&amp;Y28,IF(AF28&lt;&gt;"","Analyst: "&amp;AF28,IF(G28="Complete","Complete",IF(AND(OR(G28="Permission Granted",G28="Commencement Expected"),AE28="Yes"),"Past expiry",IF(AND(OR(G28="Permission Granted",G28="Commencement Expected"),AC28="Yes"),"No CIS update in "&amp;AB28&amp;" months","As CIS")))))</f>
        <v>Past expiry</v>
      </c>
      <c r="AI28" s="10" t="n">
        <f aca="false">IF(Z28="Yes",N(Q28),0)</f>
        <v>4</v>
      </c>
      <c r="AJ28" s="10" t="n">
        <f aca="false">IF(OR(Z28="No",G28="Complete"),0,MAX(N(Q28)-N(AA28),0))</f>
        <v>4</v>
      </c>
      <c r="AK28" s="10" t="n">
        <f aca="false">IF(Z28="No",0,IF(G28="Complete",N(Q28),MIN(N(AA28),N(Q28))))</f>
        <v>0</v>
      </c>
      <c r="AL28" s="10" t="n">
        <f aca="false">IF(OR(OR(AG28="Not counted",AG28="Excluded",AG28="Delivered"),P28="Student accommodation"),0,AJ28)</f>
        <v>4</v>
      </c>
      <c r="AM28" s="10" t="n">
        <f aca="false">IF(OR(OR(AG28="Not counted",AG28="Excluded",AG28="Delivered"),P28&lt;&gt;"Student accommodation"),0,AJ28)</f>
        <v>0</v>
      </c>
      <c r="AN28" s="10" t="n">
        <f aca="false">IF(OR(AG28="Not counted",AG28="Excluded",AG28="Delivered"),0,N(S28))</f>
        <v>0</v>
      </c>
      <c r="AO28" s="2" t="s">
        <v>1021</v>
      </c>
      <c r="AP28" s="10"/>
      <c r="AQ28" s="10"/>
      <c r="AR28" s="10"/>
      <c r="AS28" s="10"/>
      <c r="AT28" s="10"/>
      <c r="AU28" s="10"/>
      <c r="AV28" s="10" t="n">
        <f aca="false">N(AP28)+N(AQ28)+N(AR28)+N(AS28)+N(AT28)+N(AU28)</f>
        <v>0</v>
      </c>
      <c r="AW28" s="10"/>
      <c r="AX28" s="10"/>
      <c r="AY28" s="10"/>
      <c r="AZ28" s="2"/>
      <c r="BA28" s="2" t="s">
        <v>1022</v>
      </c>
      <c r="BB28" s="2" t="s">
        <v>1127</v>
      </c>
      <c r="BC28" s="2" t="s">
        <v>1023</v>
      </c>
      <c r="BD28" s="2" t="s">
        <v>1024</v>
      </c>
      <c r="BE28" s="2"/>
      <c r="BF28" s="2" t="s">
        <v>1025</v>
      </c>
      <c r="BG28" s="22" t="n">
        <v>44400</v>
      </c>
      <c r="BH28" s="22" t="n">
        <v>46259</v>
      </c>
      <c r="BI28" s="2"/>
      <c r="BJ28" s="22" t="n">
        <v>46259</v>
      </c>
      <c r="BK28" s="2" t="n">
        <v>2</v>
      </c>
      <c r="BL28" s="2" t="n">
        <v>0</v>
      </c>
      <c r="BM28" s="2"/>
      <c r="BN28" s="2" t="s">
        <v>1128</v>
      </c>
      <c r="BO28" s="23" t="s">
        <v>1129</v>
      </c>
      <c r="BP28" s="2" t="n">
        <f aca="false">IF(OR(K28="",BG28=""),"",ROUND(BG28-K28,0))</f>
        <v>0</v>
      </c>
      <c r="BQ28" s="2" t="str">
        <f aca="false">IF(OR(N(BK28)=0,Q28=""),"Not recorded",IF(BK28=Q28,"Match","Differs"))</f>
        <v>Differs</v>
      </c>
      <c r="BR28" s="2" t="str">
        <f aca="false">IF(N28="No","Excluded (non-residential)",IF(BF28="No reference","Unverified – no reference",IF(BF28="Not in council register","Unverified – not in register (Part 8 / other)",IF(OR(BF28="Refused",BF28="Refused on appeal",BF28="Withdrawn",BF28="Invalid",BF28="Quashed"),IF(OR(G28="Complete",G28="On Site",G28="Part Complete"),"Conflict – register not live but CIS says built","Conflict – not live in register"),IF(AND(G28="Plans Submitted",OR(BF28="Granted",BF28="Granted on appeal")),"Stage out of date – now granted",IF(AND(G28&lt;&gt;"Plans Submitted",OR(BF28="Pending",BF28="Under appeal")),"Check – register still pending",IF(N(BL28)&gt;Method!$B$7,"Check – location differs",IF(AND(BP28&lt;&gt;"",ABS(N(BP28))&gt;60),"Consistent – decision date differs","Consistent"))))))))</f>
        <v>Consistent</v>
      </c>
      <c r="BS28" s="2"/>
      <c r="BT28" s="2"/>
      <c r="BU28" s="2"/>
      <c r="BV28" s="2"/>
      <c r="BW28" s="2"/>
      <c r="BX28" s="2"/>
    </row>
    <row r="29" customFormat="false" ht="15" hidden="false" customHeight="false" outlineLevel="0" collapsed="false">
      <c r="A29" s="2" t="n">
        <v>1121263</v>
      </c>
      <c r="B29" s="2" t="s">
        <v>556</v>
      </c>
      <c r="C29" s="2" t="s">
        <v>1130</v>
      </c>
      <c r="D29" s="2" t="s">
        <v>557</v>
      </c>
      <c r="E29" s="2" t="s">
        <v>558</v>
      </c>
      <c r="F29" s="2" t="s">
        <v>144</v>
      </c>
      <c r="G29" s="2" t="s">
        <v>194</v>
      </c>
      <c r="H29" s="2" t="s">
        <v>1014</v>
      </c>
      <c r="I29" s="2" t="s">
        <v>198</v>
      </c>
      <c r="J29" s="22" t="n">
        <v>44075</v>
      </c>
      <c r="K29" s="22" t="n">
        <v>44126</v>
      </c>
      <c r="L29" s="22" t="n">
        <v>44902.4927241898</v>
      </c>
      <c r="M29" s="2" t="s">
        <v>1016</v>
      </c>
      <c r="N29" s="2" t="s">
        <v>121</v>
      </c>
      <c r="O29" s="2"/>
      <c r="P29" s="2" t="s">
        <v>1017</v>
      </c>
      <c r="Q29" s="10" t="n">
        <v>2</v>
      </c>
      <c r="R29" s="10" t="n">
        <v>2</v>
      </c>
      <c r="S29" s="10"/>
      <c r="T29" s="2" t="s">
        <v>120</v>
      </c>
      <c r="U29" s="2"/>
      <c r="V29" s="2" t="s">
        <v>1029</v>
      </c>
      <c r="W29" s="2" t="s">
        <v>1030</v>
      </c>
      <c r="X29" s="7"/>
      <c r="Y29" s="2" t="str">
        <f aca="false">IF(X29&lt;&gt;"",X29,T29)</f>
        <v>Primary</v>
      </c>
      <c r="Z29" s="2" t="str">
        <f aca="false">IF(OR(Y29="Primary",Y29="Additional phase",Y29="Additional application on site",Y29="Replaces earlier",Y29="Extension of duration (parent not in CIS)"),"Yes","No")</f>
        <v>Yes</v>
      </c>
      <c r="AA29" s="2"/>
      <c r="AB29" s="2" t="n">
        <f aca="false">IF(L29="","",ROUND((Method!$B$4-L29)/30.44,0))</f>
        <v>46</v>
      </c>
      <c r="AC29" s="2" t="str">
        <f aca="false">IF(AB29="","No",IF(AB29&gt;Method!$B$5,"Yes","No"))</f>
        <v>Yes</v>
      </c>
      <c r="AD29" s="22" t="n">
        <f aca="false">IF(BJ29&lt;&gt;"",BJ29,IF(K29&lt;&gt;"",EDATE(K29,60),""))</f>
        <v>45985</v>
      </c>
      <c r="AE29" s="2" t="str">
        <f aca="false">IF(AND(AD29&lt;&gt;"",OR(G29="Permission Granted",G29="Commencement Expected",G29="Stalled or Suspended")),IF(AD29&lt;Method!$B$4,"Yes","No"),"No")</f>
        <v>Yes</v>
      </c>
      <c r="AF29" s="7"/>
      <c r="AG29" s="2" t="str">
        <f aca="false">IF(Z29="No","Not counted",IF(AF29="Lapsed or dead","Excluded",IF(AF29="Constrained","Constrained / uncertain",IF(AF29="Confirmed live",IF(G29="On Site","Committed",IF(G29="Part Complete","Committed",IF(G29="Contract Awarded","Committed Pre-Construction",IF(G29="Tender","Advanced Pre-Construction",IF(G29="Commencement Expected","Likely",IF(G29="Permission Granted","Potential",IF(G29="Stalled or Suspended","Constrained / uncertain",IF(G29="Complete","Delivered","Application Pipeline")))))))),IF(G29="Complete","Delivered",IF(AND(OR(G29="Permission Granted",G29="Commencement Expected"),OR(AC29="Yes",AE29="Yes")),"Constrained / uncertain",IF(G29="On Site","Committed",IF(G29="Part Complete","Committed",IF(G29="Contract Awarded","Committed Pre-Construction",IF(G29="Tender","Advanced Pre-Construction",IF(G29="Commencement Expected","Likely",IF(G29="Permission Granted","Potential",IF(G29="Stalled or Suspended","Constrained / uncertain",IF(G29="Complete","Delivered","Application Pipeline"))))))))))))))</f>
        <v>Constrained / uncertain</v>
      </c>
      <c r="AH29" s="2" t="str">
        <f aca="false">IF(Z29="No","Relationship: "&amp;Y29,IF(AF29&lt;&gt;"","Analyst: "&amp;AF29,IF(G29="Complete","Complete",IF(AND(OR(G29="Permission Granted",G29="Commencement Expected"),AE29="Yes"),"Past expiry",IF(AND(OR(G29="Permission Granted",G29="Commencement Expected"),AC29="Yes"),"No CIS update in "&amp;AB29&amp;" months","As CIS")))))</f>
        <v>Past expiry</v>
      </c>
      <c r="AI29" s="10" t="n">
        <f aca="false">IF(Z29="Yes",N(Q29),0)</f>
        <v>2</v>
      </c>
      <c r="AJ29" s="10" t="n">
        <f aca="false">IF(OR(Z29="No",G29="Complete"),0,MAX(N(Q29)-N(AA29),0))</f>
        <v>2</v>
      </c>
      <c r="AK29" s="10" t="n">
        <f aca="false">IF(Z29="No",0,IF(G29="Complete",N(Q29),MIN(N(AA29),N(Q29))))</f>
        <v>0</v>
      </c>
      <c r="AL29" s="10" t="n">
        <f aca="false">IF(OR(OR(AG29="Not counted",AG29="Excluded",AG29="Delivered"),P29="Student accommodation"),0,AJ29)</f>
        <v>2</v>
      </c>
      <c r="AM29" s="10" t="n">
        <f aca="false">IF(OR(OR(AG29="Not counted",AG29="Excluded",AG29="Delivered"),P29&lt;&gt;"Student accommodation"),0,AJ29)</f>
        <v>0</v>
      </c>
      <c r="AN29" s="10" t="n">
        <f aca="false">IF(OR(AG29="Not counted",AG29="Excluded",AG29="Delivered"),0,N(S29))</f>
        <v>0</v>
      </c>
      <c r="AO29" s="2" t="s">
        <v>1021</v>
      </c>
      <c r="AP29" s="10"/>
      <c r="AQ29" s="10"/>
      <c r="AR29" s="10"/>
      <c r="AS29" s="10"/>
      <c r="AT29" s="10"/>
      <c r="AU29" s="10"/>
      <c r="AV29" s="10" t="n">
        <f aca="false">N(AP29)+N(AQ29)+N(AR29)+N(AS29)+N(AT29)+N(AU29)</f>
        <v>0</v>
      </c>
      <c r="AW29" s="10"/>
      <c r="AX29" s="10"/>
      <c r="AY29" s="10"/>
      <c r="AZ29" s="2"/>
      <c r="BA29" s="2" t="s">
        <v>1022</v>
      </c>
      <c r="BB29" s="2" t="s">
        <v>1130</v>
      </c>
      <c r="BC29" s="2" t="s">
        <v>1023</v>
      </c>
      <c r="BD29" s="2" t="s">
        <v>1024</v>
      </c>
      <c r="BE29" s="2"/>
      <c r="BF29" s="2" t="s">
        <v>1025</v>
      </c>
      <c r="BG29" s="22" t="n">
        <v>44126</v>
      </c>
      <c r="BH29" s="22" t="n">
        <v>45985</v>
      </c>
      <c r="BI29" s="2"/>
      <c r="BJ29" s="22" t="n">
        <v>45985</v>
      </c>
      <c r="BK29" s="2" t="n">
        <v>2</v>
      </c>
      <c r="BL29" s="2" t="n">
        <v>0</v>
      </c>
      <c r="BM29" s="2"/>
      <c r="BN29" s="2" t="s">
        <v>1131</v>
      </c>
      <c r="BO29" s="23" t="s">
        <v>1132</v>
      </c>
      <c r="BP29" s="2" t="n">
        <f aca="false">IF(OR(K29="",BG29=""),"",ROUND(BG29-K29,0))</f>
        <v>0</v>
      </c>
      <c r="BQ29" s="2" t="str">
        <f aca="false">IF(OR(N(BK29)=0,Q29=""),"Not recorded",IF(BK29=Q29,"Match","Differs"))</f>
        <v>Match</v>
      </c>
      <c r="BR29" s="2" t="str">
        <f aca="false">IF(N29="No","Excluded (non-residential)",IF(BF29="No reference","Unverified – no reference",IF(BF29="Not in council register","Unverified – not in register (Part 8 / other)",IF(OR(BF29="Refused",BF29="Refused on appeal",BF29="Withdrawn",BF29="Invalid",BF29="Quashed"),IF(OR(G29="Complete",G29="On Site",G29="Part Complete"),"Conflict – register not live but CIS says built","Conflict – not live in register"),IF(AND(G29="Plans Submitted",OR(BF29="Granted",BF29="Granted on appeal")),"Stage out of date – now granted",IF(AND(G29&lt;&gt;"Plans Submitted",OR(BF29="Pending",BF29="Under appeal")),"Check – register still pending",IF(N(BL29)&gt;Method!$B$7,"Check – location differs",IF(AND(BP29&lt;&gt;"",ABS(N(BP29))&gt;60),"Consistent – decision date differs","Consistent"))))))))</f>
        <v>Consistent</v>
      </c>
      <c r="BS29" s="2"/>
      <c r="BT29" s="2"/>
      <c r="BU29" s="2"/>
      <c r="BV29" s="2"/>
      <c r="BW29" s="2"/>
      <c r="BX29" s="2"/>
    </row>
    <row r="30" customFormat="false" ht="15" hidden="false" customHeight="false" outlineLevel="0" collapsed="false">
      <c r="A30" s="2" t="n">
        <v>1129627</v>
      </c>
      <c r="B30" s="2" t="s">
        <v>511</v>
      </c>
      <c r="C30" s="2" t="s">
        <v>1133</v>
      </c>
      <c r="D30" s="2" t="s">
        <v>512</v>
      </c>
      <c r="E30" s="2" t="s">
        <v>513</v>
      </c>
      <c r="F30" s="2" t="s">
        <v>139</v>
      </c>
      <c r="G30" s="2" t="s">
        <v>198</v>
      </c>
      <c r="H30" s="2" t="s">
        <v>1014</v>
      </c>
      <c r="I30" s="2" t="s">
        <v>198</v>
      </c>
      <c r="J30" s="22" t="n">
        <v>44126</v>
      </c>
      <c r="K30" s="22" t="n">
        <v>44285</v>
      </c>
      <c r="L30" s="22" t="n">
        <v>45216.444843669</v>
      </c>
      <c r="M30" s="2" t="s">
        <v>1016</v>
      </c>
      <c r="N30" s="2" t="s">
        <v>121</v>
      </c>
      <c r="O30" s="2"/>
      <c r="P30" s="2" t="s">
        <v>1017</v>
      </c>
      <c r="Q30" s="10" t="n">
        <v>62</v>
      </c>
      <c r="R30" s="10" t="n">
        <v>63</v>
      </c>
      <c r="S30" s="10"/>
      <c r="T30" s="2" t="s">
        <v>120</v>
      </c>
      <c r="U30" s="2"/>
      <c r="V30" s="2" t="s">
        <v>1029</v>
      </c>
      <c r="W30" s="2" t="s">
        <v>1030</v>
      </c>
      <c r="X30" s="7"/>
      <c r="Y30" s="2" t="str">
        <f aca="false">IF(X30&lt;&gt;"",X30,T30)</f>
        <v>Primary</v>
      </c>
      <c r="Z30" s="2" t="str">
        <f aca="false">IF(OR(Y30="Primary",Y30="Additional phase",Y30="Additional application on site",Y30="Replaces earlier",Y30="Extension of duration (parent not in CIS)"),"Yes","No")</f>
        <v>Yes</v>
      </c>
      <c r="AA30" s="2"/>
      <c r="AB30" s="2" t="n">
        <f aca="false">IF(L30="","",ROUND((Method!$B$4-L30)/30.44,0))</f>
        <v>35</v>
      </c>
      <c r="AC30" s="2" t="str">
        <f aca="false">IF(AB30="","No",IF(AB30&gt;Method!$B$5,"Yes","No"))</f>
        <v>Yes</v>
      </c>
      <c r="AD30" s="22" t="n">
        <f aca="false">IF(BJ30&lt;&gt;"",BJ30,IF(K30&lt;&gt;"",EDATE(K30,60),""))</f>
        <v>46147</v>
      </c>
      <c r="AE30" s="2" t="str">
        <f aca="false">IF(AND(AD30&lt;&gt;"",OR(G30="Permission Granted",G30="Commencement Expected",G30="Stalled or Suspended")),IF(AD30&lt;Method!$B$4,"Yes","No"),"No")</f>
        <v>No</v>
      </c>
      <c r="AF30" s="7"/>
      <c r="AG30" s="2" t="str">
        <f aca="false">IF(Z30="No","Not counted",IF(AF30="Lapsed or dead","Excluded",IF(AF30="Constrained","Constrained / uncertain",IF(AF30="Confirmed live",IF(G30="On Site","Committed",IF(G30="Part Complete","Committed",IF(G30="Contract Awarded","Committed Pre-Construction",IF(G30="Tender","Advanced Pre-Construction",IF(G30="Commencement Expected","Likely",IF(G30="Permission Granted","Potential",IF(G30="Stalled or Suspended","Constrained / uncertain",IF(G30="Complete","Delivered","Application Pipeline")))))))),IF(G30="Complete","Delivered",IF(AND(OR(G30="Permission Granted",G30="Commencement Expected"),OR(AC30="Yes",AE30="Yes")),"Constrained / uncertain",IF(G30="On Site","Committed",IF(G30="Part Complete","Committed",IF(G30="Contract Awarded","Committed Pre-Construction",IF(G30="Tender","Advanced Pre-Construction",IF(G30="Commencement Expected","Likely",IF(G30="Permission Granted","Potential",IF(G30="Stalled or Suspended","Constrained / uncertain",IF(G30="Complete","Delivered","Application Pipeline"))))))))))))))</f>
        <v>Committed</v>
      </c>
      <c r="AH30" s="2" t="str">
        <f aca="false">IF(Z30="No","Relationship: "&amp;Y30,IF(AF30&lt;&gt;"","Analyst: "&amp;AF30,IF(G30="Complete","Complete",IF(AND(OR(G30="Permission Granted",G30="Commencement Expected"),AE30="Yes"),"Past expiry",IF(AND(OR(G30="Permission Granted",G30="Commencement Expected"),AC30="Yes"),"No CIS update in "&amp;AB30&amp;" months","As CIS")))))</f>
        <v>As CIS</v>
      </c>
      <c r="AI30" s="10" t="n">
        <f aca="false">IF(Z30="Yes",N(Q30),0)</f>
        <v>62</v>
      </c>
      <c r="AJ30" s="10" t="n">
        <f aca="false">IF(OR(Z30="No",G30="Complete"),0,MAX(N(Q30)-N(AA30),0))</f>
        <v>62</v>
      </c>
      <c r="AK30" s="10" t="n">
        <f aca="false">IF(Z30="No",0,IF(G30="Complete",N(Q30),MIN(N(AA30),N(Q30))))</f>
        <v>0</v>
      </c>
      <c r="AL30" s="10" t="n">
        <f aca="false">IF(OR(OR(AG30="Not counted",AG30="Excluded",AG30="Delivered"),P30="Student accommodation"),0,AJ30)</f>
        <v>62</v>
      </c>
      <c r="AM30" s="10" t="n">
        <f aca="false">IF(OR(OR(AG30="Not counted",AG30="Excluded",AG30="Delivered"),P30&lt;&gt;"Student accommodation"),0,AJ30)</f>
        <v>0</v>
      </c>
      <c r="AN30" s="10" t="n">
        <f aca="false">IF(OR(AG30="Not counted",AG30="Excluded",AG30="Delivered"),0,N(S30))</f>
        <v>0</v>
      </c>
      <c r="AO30" s="2" t="s">
        <v>1069</v>
      </c>
      <c r="AP30" s="10"/>
      <c r="AQ30" s="10"/>
      <c r="AR30" s="10"/>
      <c r="AS30" s="10"/>
      <c r="AT30" s="10"/>
      <c r="AU30" s="10"/>
      <c r="AV30" s="10" t="n">
        <f aca="false">N(AP30)+N(AQ30)+N(AR30)+N(AS30)+N(AT30)+N(AU30)</f>
        <v>0</v>
      </c>
      <c r="AW30" s="10"/>
      <c r="AX30" s="10"/>
      <c r="AY30" s="10"/>
      <c r="AZ30" s="2" t="s">
        <v>1134</v>
      </c>
      <c r="BA30" s="2" t="s">
        <v>1022</v>
      </c>
      <c r="BB30" s="2" t="s">
        <v>1133</v>
      </c>
      <c r="BC30" s="2" t="s">
        <v>1023</v>
      </c>
      <c r="BD30" s="2" t="s">
        <v>1024</v>
      </c>
      <c r="BE30" s="2"/>
      <c r="BF30" s="2" t="s">
        <v>1025</v>
      </c>
      <c r="BG30" s="22" t="n">
        <v>44285</v>
      </c>
      <c r="BH30" s="22" t="n">
        <v>46147</v>
      </c>
      <c r="BI30" s="2"/>
      <c r="BJ30" s="22" t="n">
        <v>46147</v>
      </c>
      <c r="BK30" s="2" t="n">
        <v>63</v>
      </c>
      <c r="BL30" s="2" t="n">
        <v>0</v>
      </c>
      <c r="BM30" s="2"/>
      <c r="BN30" s="2" t="s">
        <v>1135</v>
      </c>
      <c r="BO30" s="23" t="s">
        <v>1136</v>
      </c>
      <c r="BP30" s="2" t="n">
        <f aca="false">IF(OR(K30="",BG30=""),"",ROUND(BG30-K30,0))</f>
        <v>0</v>
      </c>
      <c r="BQ30" s="2" t="str">
        <f aca="false">IF(OR(N(BK30)=0,Q30=""),"Not recorded",IF(BK30=Q30,"Match","Differs"))</f>
        <v>Differs</v>
      </c>
      <c r="BR30" s="2" t="str">
        <f aca="false">IF(N30="No","Excluded (non-residential)",IF(BF30="No reference","Unverified – no reference",IF(BF30="Not in council register","Unverified – not in register (Part 8 / other)",IF(OR(BF30="Refused",BF30="Refused on appeal",BF30="Withdrawn",BF30="Invalid",BF30="Quashed"),IF(OR(G30="Complete",G30="On Site",G30="Part Complete"),"Conflict – register not live but CIS says built","Conflict – not live in register"),IF(AND(G30="Plans Submitted",OR(BF30="Granted",BF30="Granted on appeal")),"Stage out of date – now granted",IF(AND(G30&lt;&gt;"Plans Submitted",OR(BF30="Pending",BF30="Under appeal")),"Check – register still pending",IF(N(BL30)&gt;Method!$B$7,"Check – location differs",IF(AND(BP30&lt;&gt;"",ABS(N(BP30))&gt;60),"Consistent – decision date differs","Consistent"))))))))</f>
        <v>Consistent</v>
      </c>
      <c r="BS30" s="2"/>
      <c r="BT30" s="2"/>
      <c r="BU30" s="2"/>
      <c r="BV30" s="2"/>
      <c r="BW30" s="2"/>
      <c r="BX30" s="2"/>
    </row>
    <row r="31" customFormat="false" ht="15" hidden="false" customHeight="false" outlineLevel="0" collapsed="false">
      <c r="A31" s="2" t="n">
        <v>1130829</v>
      </c>
      <c r="B31" s="2" t="s">
        <v>454</v>
      </c>
      <c r="C31" s="2" t="s">
        <v>1137</v>
      </c>
      <c r="D31" s="2" t="s">
        <v>455</v>
      </c>
      <c r="E31" s="2" t="s">
        <v>456</v>
      </c>
      <c r="F31" s="2" t="s">
        <v>132</v>
      </c>
      <c r="G31" s="2" t="s">
        <v>198</v>
      </c>
      <c r="H31" s="2" t="s">
        <v>1014</v>
      </c>
      <c r="I31" s="2" t="s">
        <v>198</v>
      </c>
      <c r="J31" s="22" t="n">
        <v>44133</v>
      </c>
      <c r="K31" s="22" t="n">
        <v>44181</v>
      </c>
      <c r="L31" s="22" t="n">
        <v>45554.4913181366</v>
      </c>
      <c r="M31" s="2" t="s">
        <v>1016</v>
      </c>
      <c r="N31" s="2" t="s">
        <v>121</v>
      </c>
      <c r="O31" s="2"/>
      <c r="P31" s="2" t="s">
        <v>1017</v>
      </c>
      <c r="Q31" s="10" t="n">
        <v>5</v>
      </c>
      <c r="R31" s="10"/>
      <c r="S31" s="10"/>
      <c r="T31" s="2" t="s">
        <v>120</v>
      </c>
      <c r="U31" s="2"/>
      <c r="V31" s="2" t="s">
        <v>1029</v>
      </c>
      <c r="W31" s="2" t="s">
        <v>1030</v>
      </c>
      <c r="X31" s="7"/>
      <c r="Y31" s="2" t="str">
        <f aca="false">IF(X31&lt;&gt;"",X31,T31)</f>
        <v>Primary</v>
      </c>
      <c r="Z31" s="2" t="str">
        <f aca="false">IF(OR(Y31="Primary",Y31="Additional phase",Y31="Additional application on site",Y31="Replaces earlier",Y31="Extension of duration (parent not in CIS)"),"Yes","No")</f>
        <v>Yes</v>
      </c>
      <c r="AA31" s="2"/>
      <c r="AB31" s="2" t="n">
        <f aca="false">IF(L31="","",ROUND((Method!$B$4-L31)/30.44,0))</f>
        <v>24</v>
      </c>
      <c r="AC31" s="2" t="str">
        <f aca="false">IF(AB31="","No",IF(AB31&gt;Method!$B$5,"Yes","No"))</f>
        <v>No</v>
      </c>
      <c r="AD31" s="22" t="n">
        <f aca="false">IF(BJ31&lt;&gt;"",BJ31,IF(K31&lt;&gt;"",EDATE(K31,60),""))</f>
        <v>45428</v>
      </c>
      <c r="AE31" s="2" t="str">
        <f aca="false">IF(AND(AD31&lt;&gt;"",OR(G31="Permission Granted",G31="Commencement Expected",G31="Stalled or Suspended")),IF(AD31&lt;Method!$B$4,"Yes","No"),"No")</f>
        <v>No</v>
      </c>
      <c r="AF31" s="7"/>
      <c r="AG31" s="2" t="str">
        <f aca="false">IF(Z31="No","Not counted",IF(AF31="Lapsed or dead","Excluded",IF(AF31="Constrained","Constrained / uncertain",IF(AF31="Confirmed live",IF(G31="On Site","Committed",IF(G31="Part Complete","Committed",IF(G31="Contract Awarded","Committed Pre-Construction",IF(G31="Tender","Advanced Pre-Construction",IF(G31="Commencement Expected","Likely",IF(G31="Permission Granted","Potential",IF(G31="Stalled or Suspended","Constrained / uncertain",IF(G31="Complete","Delivered","Application Pipeline")))))))),IF(G31="Complete","Delivered",IF(AND(OR(G31="Permission Granted",G31="Commencement Expected"),OR(AC31="Yes",AE31="Yes")),"Constrained / uncertain",IF(G31="On Site","Committed",IF(G31="Part Complete","Committed",IF(G31="Contract Awarded","Committed Pre-Construction",IF(G31="Tender","Advanced Pre-Construction",IF(G31="Commencement Expected","Likely",IF(G31="Permission Granted","Potential",IF(G31="Stalled or Suspended","Constrained / uncertain",IF(G31="Complete","Delivered","Application Pipeline"))))))))))))))</f>
        <v>Committed</v>
      </c>
      <c r="AH31" s="2" t="str">
        <f aca="false">IF(Z31="No","Relationship: "&amp;Y31,IF(AF31&lt;&gt;"","Analyst: "&amp;AF31,IF(G31="Complete","Complete",IF(AND(OR(G31="Permission Granted",G31="Commencement Expected"),AE31="Yes"),"Past expiry",IF(AND(OR(G31="Permission Granted",G31="Commencement Expected"),AC31="Yes"),"No CIS update in "&amp;AB31&amp;" months","As CIS")))))</f>
        <v>As CIS</v>
      </c>
      <c r="AI31" s="10" t="n">
        <f aca="false">IF(Z31="Yes",N(Q31),0)</f>
        <v>5</v>
      </c>
      <c r="AJ31" s="10" t="n">
        <f aca="false">IF(OR(Z31="No",G31="Complete"),0,MAX(N(Q31)-N(AA31),0))</f>
        <v>5</v>
      </c>
      <c r="AK31" s="10" t="n">
        <f aca="false">IF(Z31="No",0,IF(G31="Complete",N(Q31),MIN(N(AA31),N(Q31))))</f>
        <v>0</v>
      </c>
      <c r="AL31" s="10" t="n">
        <f aca="false">IF(OR(OR(AG31="Not counted",AG31="Excluded",AG31="Delivered"),P31="Student accommodation"),0,AJ31)</f>
        <v>5</v>
      </c>
      <c r="AM31" s="10" t="n">
        <f aca="false">IF(OR(OR(AG31="Not counted",AG31="Excluded",AG31="Delivered"),P31&lt;&gt;"Student accommodation"),0,AJ31)</f>
        <v>0</v>
      </c>
      <c r="AN31" s="10" t="n">
        <f aca="false">IF(OR(AG31="Not counted",AG31="Excluded",AG31="Delivered"),0,N(S31))</f>
        <v>0</v>
      </c>
      <c r="AO31" s="2" t="s">
        <v>1021</v>
      </c>
      <c r="AP31" s="10"/>
      <c r="AQ31" s="10"/>
      <c r="AR31" s="10"/>
      <c r="AS31" s="10"/>
      <c r="AT31" s="10"/>
      <c r="AU31" s="10"/>
      <c r="AV31" s="10" t="n">
        <f aca="false">N(AP31)+N(AQ31)+N(AR31)+N(AS31)+N(AT31)+N(AU31)</f>
        <v>0</v>
      </c>
      <c r="AW31" s="10"/>
      <c r="AX31" s="10"/>
      <c r="AY31" s="10"/>
      <c r="AZ31" s="2"/>
      <c r="BA31" s="2" t="s">
        <v>1022</v>
      </c>
      <c r="BB31" s="2" t="s">
        <v>1137</v>
      </c>
      <c r="BC31" s="2" t="s">
        <v>1023</v>
      </c>
      <c r="BD31" s="2" t="s">
        <v>1024</v>
      </c>
      <c r="BE31" s="2" t="s">
        <v>1024</v>
      </c>
      <c r="BF31" s="2" t="s">
        <v>1059</v>
      </c>
      <c r="BG31" s="22" t="n">
        <v>44181</v>
      </c>
      <c r="BH31" s="22" t="n">
        <v>45428</v>
      </c>
      <c r="BI31" s="2"/>
      <c r="BJ31" s="22" t="n">
        <v>45428</v>
      </c>
      <c r="BK31" s="2"/>
      <c r="BL31" s="2" t="n">
        <v>0</v>
      </c>
      <c r="BM31" s="2"/>
      <c r="BN31" s="2" t="s">
        <v>1138</v>
      </c>
      <c r="BO31" s="23" t="s">
        <v>1139</v>
      </c>
      <c r="BP31" s="2" t="n">
        <f aca="false">IF(OR(K31="",BG31=""),"",ROUND(BG31-K31,0))</f>
        <v>0</v>
      </c>
      <c r="BQ31" s="2" t="str">
        <f aca="false">IF(OR(N(BK31)=0,Q31=""),"Not recorded",IF(BK31=Q31,"Match","Differs"))</f>
        <v>Not recorded</v>
      </c>
      <c r="BR31" s="2" t="str">
        <f aca="false">IF(N31="No","Excluded (non-residential)",IF(BF31="No reference","Unverified – no reference",IF(BF31="Not in council register","Unverified – not in register (Part 8 / other)",IF(OR(BF31="Refused",BF31="Refused on appeal",BF31="Withdrawn",BF31="Invalid",BF31="Quashed"),IF(OR(G31="Complete",G31="On Site",G31="Part Complete"),"Conflict – register not live but CIS says built","Conflict – not live in register"),IF(AND(G31="Plans Submitted",OR(BF31="Granted",BF31="Granted on appeal")),"Stage out of date – now granted",IF(AND(G31&lt;&gt;"Plans Submitted",OR(BF31="Pending",BF31="Under appeal")),"Check – register still pending",IF(N(BL31)&gt;Method!$B$7,"Check – location differs",IF(AND(BP31&lt;&gt;"",ABS(N(BP31))&gt;60),"Consistent – decision date differs","Consistent"))))))))</f>
        <v>Consistent</v>
      </c>
      <c r="BS31" s="2"/>
      <c r="BT31" s="2"/>
      <c r="BU31" s="2"/>
      <c r="BV31" s="2"/>
      <c r="BW31" s="2"/>
      <c r="BX31" s="2"/>
    </row>
    <row r="32" customFormat="false" ht="15" hidden="false" customHeight="false" outlineLevel="0" collapsed="false">
      <c r="A32" s="2" t="n">
        <v>1132789</v>
      </c>
      <c r="B32" s="2" t="s">
        <v>594</v>
      </c>
      <c r="C32" s="2" t="s">
        <v>1140</v>
      </c>
      <c r="D32" s="2" t="s">
        <v>595</v>
      </c>
      <c r="E32" s="2" t="s">
        <v>596</v>
      </c>
      <c r="F32" s="2" t="s">
        <v>144</v>
      </c>
      <c r="G32" s="2" t="s">
        <v>187</v>
      </c>
      <c r="H32" s="2" t="s">
        <v>1014</v>
      </c>
      <c r="I32" s="2"/>
      <c r="J32" s="22" t="n">
        <v>44144</v>
      </c>
      <c r="K32" s="22" t="n">
        <v>44426</v>
      </c>
      <c r="L32" s="22" t="n">
        <v>44428.4794711458</v>
      </c>
      <c r="M32" s="2" t="s">
        <v>1016</v>
      </c>
      <c r="N32" s="2" t="s">
        <v>121</v>
      </c>
      <c r="O32" s="2"/>
      <c r="P32" s="2" t="s">
        <v>41</v>
      </c>
      <c r="Q32" s="10"/>
      <c r="R32" s="10"/>
      <c r="S32" s="10"/>
      <c r="T32" s="2" t="s">
        <v>120</v>
      </c>
      <c r="U32" s="2"/>
      <c r="V32" s="2" t="s">
        <v>1029</v>
      </c>
      <c r="W32" s="2" t="s">
        <v>1030</v>
      </c>
      <c r="X32" s="7"/>
      <c r="Y32" s="2" t="str">
        <f aca="false">IF(X32&lt;&gt;"",X32,T32)</f>
        <v>Primary</v>
      </c>
      <c r="Z32" s="2" t="str">
        <f aca="false">IF(OR(Y32="Primary",Y32="Additional phase",Y32="Additional application on site",Y32="Replaces earlier",Y32="Extension of duration (parent not in CIS)"),"Yes","No")</f>
        <v>Yes</v>
      </c>
      <c r="AA32" s="2"/>
      <c r="AB32" s="2" t="n">
        <f aca="false">IF(L32="","",ROUND((Method!$B$4-L32)/30.44,0))</f>
        <v>61</v>
      </c>
      <c r="AC32" s="2" t="str">
        <f aca="false">IF(AB32="","No",IF(AB32&gt;Method!$B$5,"Yes","No"))</f>
        <v>Yes</v>
      </c>
      <c r="AD32" s="22" t="n">
        <f aca="false">IF(BJ32&lt;&gt;"",BJ32,IF(K32&lt;&gt;"",EDATE(K32,60),""))</f>
        <v>46285</v>
      </c>
      <c r="AE32" s="2" t="str">
        <f aca="false">IF(AND(AD32&lt;&gt;"",OR(G32="Permission Granted",G32="Commencement Expected",G32="Stalled or Suspended")),IF(AD32&lt;Method!$B$4,"Yes","No"),"No")</f>
        <v>Yes</v>
      </c>
      <c r="AF32" s="7"/>
      <c r="AG32" s="2" t="str">
        <f aca="false">IF(Z32="No","Not counted",IF(AF32="Lapsed or dead","Excluded",IF(AF32="Constrained","Constrained / uncertain",IF(AF32="Confirmed live",IF(G32="On Site","Committed",IF(G32="Part Complete","Committed",IF(G32="Contract Awarded","Committed Pre-Construction",IF(G32="Tender","Advanced Pre-Construction",IF(G32="Commencement Expected","Likely",IF(G32="Permission Granted","Potential",IF(G32="Stalled or Suspended","Constrained / uncertain",IF(G32="Complete","Delivered","Application Pipeline")))))))),IF(G32="Complete","Delivered",IF(AND(OR(G32="Permission Granted",G32="Commencement Expected"),OR(AC32="Yes",AE32="Yes")),"Constrained / uncertain",IF(G32="On Site","Committed",IF(G32="Part Complete","Committed",IF(G32="Contract Awarded","Committed Pre-Construction",IF(G32="Tender","Advanced Pre-Construction",IF(G32="Commencement Expected","Likely",IF(G32="Permission Granted","Potential",IF(G32="Stalled or Suspended","Constrained / uncertain",IF(G32="Complete","Delivered","Application Pipeline"))))))))))))))</f>
        <v>Constrained / uncertain</v>
      </c>
      <c r="AH32" s="2" t="str">
        <f aca="false">IF(Z32="No","Relationship: "&amp;Y32,IF(AF32&lt;&gt;"","Analyst: "&amp;AF32,IF(G32="Complete","Complete",IF(AND(OR(G32="Permission Granted",G32="Commencement Expected"),AE32="Yes"),"Past expiry",IF(AND(OR(G32="Permission Granted",G32="Commencement Expected"),AC32="Yes"),"No CIS update in "&amp;AB32&amp;" months","As CIS")))))</f>
        <v>Past expiry</v>
      </c>
      <c r="AI32" s="10" t="n">
        <f aca="false">IF(Z32="Yes",N(Q32),0)</f>
        <v>0</v>
      </c>
      <c r="AJ32" s="10" t="n">
        <f aca="false">IF(OR(Z32="No",G32="Complete"),0,MAX(N(Q32)-N(AA32),0))</f>
        <v>0</v>
      </c>
      <c r="AK32" s="10" t="n">
        <f aca="false">IF(Z32="No",0,IF(G32="Complete",N(Q32),MIN(N(AA32),N(Q32))))</f>
        <v>0</v>
      </c>
      <c r="AL32" s="10" t="n">
        <f aca="false">IF(OR(OR(AG32="Not counted",AG32="Excluded",AG32="Delivered"),P32="Student accommodation"),0,AJ32)</f>
        <v>0</v>
      </c>
      <c r="AM32" s="10" t="n">
        <f aca="false">IF(OR(OR(AG32="Not counted",AG32="Excluded",AG32="Delivered"),P32&lt;&gt;"Student accommodation"),0,AJ32)</f>
        <v>0</v>
      </c>
      <c r="AN32" s="10" t="n">
        <f aca="false">IF(OR(AG32="Not counted",AG32="Excluded",AG32="Delivered"),0,N(S32))</f>
        <v>0</v>
      </c>
      <c r="AO32" s="2" t="s">
        <v>1021</v>
      </c>
      <c r="AP32" s="10"/>
      <c r="AQ32" s="10"/>
      <c r="AR32" s="10"/>
      <c r="AS32" s="10"/>
      <c r="AT32" s="10"/>
      <c r="AU32" s="10"/>
      <c r="AV32" s="10" t="n">
        <f aca="false">N(AP32)+N(AQ32)+N(AR32)+N(AS32)+N(AT32)+N(AU32)</f>
        <v>0</v>
      </c>
      <c r="AW32" s="10"/>
      <c r="AX32" s="10"/>
      <c r="AY32" s="10"/>
      <c r="AZ32" s="2"/>
      <c r="BA32" s="2" t="s">
        <v>1022</v>
      </c>
      <c r="BB32" s="2" t="s">
        <v>1140</v>
      </c>
      <c r="BC32" s="2" t="s">
        <v>1023</v>
      </c>
      <c r="BD32" s="2" t="s">
        <v>1024</v>
      </c>
      <c r="BE32" s="2"/>
      <c r="BF32" s="2" t="s">
        <v>1025</v>
      </c>
      <c r="BG32" s="22" t="n">
        <v>44426</v>
      </c>
      <c r="BH32" s="22" t="n">
        <v>46285</v>
      </c>
      <c r="BI32" s="2"/>
      <c r="BJ32" s="22" t="n">
        <v>46285</v>
      </c>
      <c r="BK32" s="2" t="n">
        <v>1</v>
      </c>
      <c r="BL32" s="2" t="n">
        <v>0</v>
      </c>
      <c r="BM32" s="2"/>
      <c r="BN32" s="2" t="s">
        <v>1141</v>
      </c>
      <c r="BO32" s="23" t="s">
        <v>1142</v>
      </c>
      <c r="BP32" s="2" t="n">
        <f aca="false">IF(OR(K32="",BG32=""),"",ROUND(BG32-K32,0))</f>
        <v>0</v>
      </c>
      <c r="BQ32" s="2" t="str">
        <f aca="false">IF(OR(N(BK32)=0,Q32=""),"Not recorded",IF(BK32=Q32,"Match","Differs"))</f>
        <v>Not recorded</v>
      </c>
      <c r="BR32" s="2" t="str">
        <f aca="false">IF(N32="No","Excluded (non-residential)",IF(BF32="No reference","Unverified – no reference",IF(BF32="Not in council register","Unverified – not in register (Part 8 / other)",IF(OR(BF32="Refused",BF32="Refused on appeal",BF32="Withdrawn",BF32="Invalid",BF32="Quashed"),IF(OR(G32="Complete",G32="On Site",G32="Part Complete"),"Conflict – register not live but CIS says built","Conflict – not live in register"),IF(AND(G32="Plans Submitted",OR(BF32="Granted",BF32="Granted on appeal")),"Stage out of date – now granted",IF(AND(G32&lt;&gt;"Plans Submitted",OR(BF32="Pending",BF32="Under appeal")),"Check – register still pending",IF(N(BL32)&gt;Method!$B$7,"Check – location differs",IF(AND(BP32&lt;&gt;"",ABS(N(BP32))&gt;60),"Consistent – decision date differs","Consistent"))))))))</f>
        <v>Consistent</v>
      </c>
      <c r="BS32" s="2"/>
      <c r="BT32" s="2"/>
      <c r="BU32" s="2"/>
      <c r="BV32" s="2"/>
      <c r="BW32" s="2"/>
      <c r="BX32" s="2"/>
    </row>
    <row r="33" customFormat="false" ht="15" hidden="false" customHeight="false" outlineLevel="0" collapsed="false">
      <c r="A33" s="2" t="n">
        <v>1144674</v>
      </c>
      <c r="B33" s="2" t="s">
        <v>505</v>
      </c>
      <c r="C33" s="2" t="s">
        <v>1143</v>
      </c>
      <c r="D33" s="2" t="s">
        <v>506</v>
      </c>
      <c r="E33" s="2" t="s">
        <v>507</v>
      </c>
      <c r="F33" s="2" t="s">
        <v>144</v>
      </c>
      <c r="G33" s="2" t="s">
        <v>251</v>
      </c>
      <c r="H33" s="2" t="s">
        <v>1014</v>
      </c>
      <c r="I33" s="2" t="s">
        <v>1015</v>
      </c>
      <c r="J33" s="22" t="n">
        <v>44215</v>
      </c>
      <c r="K33" s="22" t="n">
        <v>44441</v>
      </c>
      <c r="L33" s="22" t="n">
        <v>45250.3125589468</v>
      </c>
      <c r="M33" s="2" t="s">
        <v>1016</v>
      </c>
      <c r="N33" s="2" t="s">
        <v>121</v>
      </c>
      <c r="O33" s="2"/>
      <c r="P33" s="2" t="s">
        <v>1017</v>
      </c>
      <c r="Q33" s="10" t="n">
        <v>9</v>
      </c>
      <c r="R33" s="10"/>
      <c r="S33" s="10"/>
      <c r="T33" s="2" t="s">
        <v>120</v>
      </c>
      <c r="U33" s="2"/>
      <c r="V33" s="2" t="s">
        <v>1029</v>
      </c>
      <c r="W33" s="2" t="s">
        <v>1030</v>
      </c>
      <c r="X33" s="7"/>
      <c r="Y33" s="2" t="str">
        <f aca="false">IF(X33&lt;&gt;"",X33,T33)</f>
        <v>Primary</v>
      </c>
      <c r="Z33" s="2" t="str">
        <f aca="false">IF(OR(Y33="Primary",Y33="Additional phase",Y33="Additional application on site",Y33="Replaces earlier",Y33="Extension of duration (parent not in CIS)"),"Yes","No")</f>
        <v>Yes</v>
      </c>
      <c r="AA33" s="2"/>
      <c r="AB33" s="2" t="n">
        <f aca="false">IF(L33="","",ROUND((Method!$B$4-L33)/30.44,0))</f>
        <v>34</v>
      </c>
      <c r="AC33" s="2" t="str">
        <f aca="false">IF(AB33="","No",IF(AB33&gt;Method!$B$5,"Yes","No"))</f>
        <v>Yes</v>
      </c>
      <c r="AD33" s="22" t="n">
        <f aca="false">IF(BJ33&lt;&gt;"",BJ33,IF(K33&lt;&gt;"",EDATE(K33,60),""))</f>
        <v>46300</v>
      </c>
      <c r="AE33" s="2" t="str">
        <f aca="false">IF(AND(AD33&lt;&gt;"",OR(G33="Permission Granted",G33="Commencement Expected",G33="Stalled or Suspended")),IF(AD33&lt;Method!$B$4,"Yes","No"),"No")</f>
        <v>No</v>
      </c>
      <c r="AF33" s="7"/>
      <c r="AG33" s="2" t="str">
        <f aca="false">IF(Z33="No","Not counted",IF(AF33="Lapsed or dead","Excluded",IF(AF33="Constrained","Constrained / uncertain",IF(AF33="Confirmed live",IF(G33="On Site","Committed",IF(G33="Part Complete","Committed",IF(G33="Contract Awarded","Committed Pre-Construction",IF(G33="Tender","Advanced Pre-Construction",IF(G33="Commencement Expected","Likely",IF(G33="Permission Granted","Potential",IF(G33="Stalled or Suspended","Constrained / uncertain",IF(G33="Complete","Delivered","Application Pipeline")))))))),IF(G33="Complete","Delivered",IF(AND(OR(G33="Permission Granted",G33="Commencement Expected"),OR(AC33="Yes",AE33="Yes")),"Constrained / uncertain",IF(G33="On Site","Committed",IF(G33="Part Complete","Committed",IF(G33="Contract Awarded","Committed Pre-Construction",IF(G33="Tender","Advanced Pre-Construction",IF(G33="Commencement Expected","Likely",IF(G33="Permission Granted","Potential",IF(G33="Stalled or Suspended","Constrained / uncertain",IF(G33="Complete","Delivered","Application Pipeline"))))))))))))))</f>
        <v>Delivered</v>
      </c>
      <c r="AH33" s="2" t="str">
        <f aca="false">IF(Z33="No","Relationship: "&amp;Y33,IF(AF33&lt;&gt;"","Analyst: "&amp;AF33,IF(G33="Complete","Complete",IF(AND(OR(G33="Permission Granted",G33="Commencement Expected"),AE33="Yes"),"Past expiry",IF(AND(OR(G33="Permission Granted",G33="Commencement Expected"),AC33="Yes"),"No CIS update in "&amp;AB33&amp;" months","As CIS")))))</f>
        <v>Complete</v>
      </c>
      <c r="AI33" s="10" t="n">
        <f aca="false">IF(Z33="Yes",N(Q33),0)</f>
        <v>9</v>
      </c>
      <c r="AJ33" s="10" t="n">
        <f aca="false">IF(OR(Z33="No",G33="Complete"),0,MAX(N(Q33)-N(AA33),0))</f>
        <v>0</v>
      </c>
      <c r="AK33" s="10" t="n">
        <f aca="false">IF(Z33="No",0,IF(G33="Complete",N(Q33),MIN(N(AA33),N(Q33))))</f>
        <v>9</v>
      </c>
      <c r="AL33" s="10" t="n">
        <f aca="false">IF(OR(OR(AG33="Not counted",AG33="Excluded",AG33="Delivered"),P33="Student accommodation"),0,AJ33)</f>
        <v>0</v>
      </c>
      <c r="AM33" s="10" t="n">
        <f aca="false">IF(OR(OR(AG33="Not counted",AG33="Excluded",AG33="Delivered"),P33&lt;&gt;"Student accommodation"),0,AJ33)</f>
        <v>0</v>
      </c>
      <c r="AN33" s="10" t="n">
        <f aca="false">IF(OR(AG33="Not counted",AG33="Excluded",AG33="Delivered"),0,N(S33))</f>
        <v>0</v>
      </c>
      <c r="AO33" s="2" t="s">
        <v>1031</v>
      </c>
      <c r="AP33" s="10"/>
      <c r="AQ33" s="10" t="n">
        <v>8</v>
      </c>
      <c r="AR33" s="10" t="n">
        <v>1</v>
      </c>
      <c r="AS33" s="10"/>
      <c r="AT33" s="10"/>
      <c r="AU33" s="10"/>
      <c r="AV33" s="10" t="n">
        <f aca="false">N(AP33)+N(AQ33)+N(AR33)+N(AS33)+N(AT33)+N(AU33)</f>
        <v>9</v>
      </c>
      <c r="AW33" s="10"/>
      <c r="AX33" s="10"/>
      <c r="AY33" s="10" t="n">
        <v>9</v>
      </c>
      <c r="AZ33" s="2"/>
      <c r="BA33" s="2" t="s">
        <v>1022</v>
      </c>
      <c r="BB33" s="2" t="s">
        <v>1143</v>
      </c>
      <c r="BC33" s="2" t="s">
        <v>1023</v>
      </c>
      <c r="BD33" s="2" t="s">
        <v>1024</v>
      </c>
      <c r="BE33" s="2"/>
      <c r="BF33" s="2" t="s">
        <v>1025</v>
      </c>
      <c r="BG33" s="22" t="n">
        <v>44441</v>
      </c>
      <c r="BH33" s="22" t="n">
        <v>46300</v>
      </c>
      <c r="BI33" s="2"/>
      <c r="BJ33" s="22" t="n">
        <v>46300</v>
      </c>
      <c r="BK33" s="2"/>
      <c r="BL33" s="2" t="n">
        <v>0</v>
      </c>
      <c r="BM33" s="2"/>
      <c r="BN33" s="2" t="s">
        <v>1144</v>
      </c>
      <c r="BO33" s="23" t="s">
        <v>1145</v>
      </c>
      <c r="BP33" s="2" t="n">
        <f aca="false">IF(OR(K33="",BG33=""),"",ROUND(BG33-K33,0))</f>
        <v>0</v>
      </c>
      <c r="BQ33" s="2" t="str">
        <f aca="false">IF(OR(N(BK33)=0,Q33=""),"Not recorded",IF(BK33=Q33,"Match","Differs"))</f>
        <v>Not recorded</v>
      </c>
      <c r="BR33" s="2" t="str">
        <f aca="false">IF(N33="No","Excluded (non-residential)",IF(BF33="No reference","Unverified – no reference",IF(BF33="Not in council register","Unverified – not in register (Part 8 / other)",IF(OR(BF33="Refused",BF33="Refused on appeal",BF33="Withdrawn",BF33="Invalid",BF33="Quashed"),IF(OR(G33="Complete",G33="On Site",G33="Part Complete"),"Conflict – register not live but CIS says built","Conflict – not live in register"),IF(AND(G33="Plans Submitted",OR(BF33="Granted",BF33="Granted on appeal")),"Stage out of date – now granted",IF(AND(G33&lt;&gt;"Plans Submitted",OR(BF33="Pending",BF33="Under appeal")),"Check – register still pending",IF(N(BL33)&gt;Method!$B$7,"Check – location differs",IF(AND(BP33&lt;&gt;"",ABS(N(BP33))&gt;60),"Consistent – decision date differs","Consistent"))))))))</f>
        <v>Consistent</v>
      </c>
      <c r="BS33" s="2" t="n">
        <v>1931</v>
      </c>
      <c r="BT33" s="2" t="s">
        <v>1090</v>
      </c>
      <c r="BU33" s="2" t="s">
        <v>1146</v>
      </c>
      <c r="BV33" s="2" t="s">
        <v>1015</v>
      </c>
      <c r="BW33" s="2" t="s">
        <v>1147</v>
      </c>
      <c r="BX33" s="2" t="s">
        <v>1093</v>
      </c>
    </row>
    <row r="34" customFormat="false" ht="15" hidden="false" customHeight="false" outlineLevel="0" collapsed="false">
      <c r="A34" s="2" t="n">
        <v>1152091</v>
      </c>
      <c r="B34" s="2" t="s">
        <v>532</v>
      </c>
      <c r="C34" s="2" t="s">
        <v>1148</v>
      </c>
      <c r="D34" s="2" t="s">
        <v>533</v>
      </c>
      <c r="E34" s="2" t="s">
        <v>534</v>
      </c>
      <c r="F34" s="2" t="s">
        <v>144</v>
      </c>
      <c r="G34" s="2" t="s">
        <v>198</v>
      </c>
      <c r="H34" s="2" t="s">
        <v>1014</v>
      </c>
      <c r="I34" s="2" t="s">
        <v>1015</v>
      </c>
      <c r="J34" s="22" t="n">
        <v>44256</v>
      </c>
      <c r="K34" s="22" t="n">
        <v>44484</v>
      </c>
      <c r="L34" s="22" t="n">
        <v>45128.606943287</v>
      </c>
      <c r="M34" s="2" t="s">
        <v>1016</v>
      </c>
      <c r="N34" s="2" t="s">
        <v>121</v>
      </c>
      <c r="O34" s="2"/>
      <c r="P34" s="2" t="s">
        <v>1017</v>
      </c>
      <c r="Q34" s="10" t="n">
        <v>5</v>
      </c>
      <c r="R34" s="10"/>
      <c r="S34" s="10"/>
      <c r="T34" s="2" t="s">
        <v>120</v>
      </c>
      <c r="U34" s="2"/>
      <c r="V34" s="2" t="s">
        <v>1029</v>
      </c>
      <c r="W34" s="2" t="s">
        <v>1030</v>
      </c>
      <c r="X34" s="7"/>
      <c r="Y34" s="2" t="str">
        <f aca="false">IF(X34&lt;&gt;"",X34,T34)</f>
        <v>Primary</v>
      </c>
      <c r="Z34" s="2" t="str">
        <f aca="false">IF(OR(Y34="Primary",Y34="Additional phase",Y34="Additional application on site",Y34="Replaces earlier",Y34="Extension of duration (parent not in CIS)"),"Yes","No")</f>
        <v>Yes</v>
      </c>
      <c r="AA34" s="2"/>
      <c r="AB34" s="2" t="n">
        <f aca="false">IF(L34="","",ROUND((Method!$B$4-L34)/30.44,0))</f>
        <v>38</v>
      </c>
      <c r="AC34" s="2" t="str">
        <f aca="false">IF(AB34="","No",IF(AB34&gt;Method!$B$5,"Yes","No"))</f>
        <v>Yes</v>
      </c>
      <c r="AD34" s="22" t="n">
        <f aca="false">IF(BJ34&lt;&gt;"",BJ34,IF(K34&lt;&gt;"",EDATE(K34,60),""))</f>
        <v>46523</v>
      </c>
      <c r="AE34" s="2" t="str">
        <f aca="false">IF(AND(AD34&lt;&gt;"",OR(G34="Permission Granted",G34="Commencement Expected",G34="Stalled or Suspended")),IF(AD34&lt;Method!$B$4,"Yes","No"),"No")</f>
        <v>No</v>
      </c>
      <c r="AF34" s="7"/>
      <c r="AG34" s="2" t="str">
        <f aca="false">IF(Z34="No","Not counted",IF(AF34="Lapsed or dead","Excluded",IF(AF34="Constrained","Constrained / uncertain",IF(AF34="Confirmed live",IF(G34="On Site","Committed",IF(G34="Part Complete","Committed",IF(G34="Contract Awarded","Committed Pre-Construction",IF(G34="Tender","Advanced Pre-Construction",IF(G34="Commencement Expected","Likely",IF(G34="Permission Granted","Potential",IF(G34="Stalled or Suspended","Constrained / uncertain",IF(G34="Complete","Delivered","Application Pipeline")))))))),IF(G34="Complete","Delivered",IF(AND(OR(G34="Permission Granted",G34="Commencement Expected"),OR(AC34="Yes",AE34="Yes")),"Constrained / uncertain",IF(G34="On Site","Committed",IF(G34="Part Complete","Committed",IF(G34="Contract Awarded","Committed Pre-Construction",IF(G34="Tender","Advanced Pre-Construction",IF(G34="Commencement Expected","Likely",IF(G34="Permission Granted","Potential",IF(G34="Stalled or Suspended","Constrained / uncertain",IF(G34="Complete","Delivered","Application Pipeline"))))))))))))))</f>
        <v>Committed</v>
      </c>
      <c r="AH34" s="2" t="str">
        <f aca="false">IF(Z34="No","Relationship: "&amp;Y34,IF(AF34&lt;&gt;"","Analyst: "&amp;AF34,IF(G34="Complete","Complete",IF(AND(OR(G34="Permission Granted",G34="Commencement Expected"),AE34="Yes"),"Past expiry",IF(AND(OR(G34="Permission Granted",G34="Commencement Expected"),AC34="Yes"),"No CIS update in "&amp;AB34&amp;" months","As CIS")))))</f>
        <v>As CIS</v>
      </c>
      <c r="AI34" s="10" t="n">
        <f aca="false">IF(Z34="Yes",N(Q34),0)</f>
        <v>5</v>
      </c>
      <c r="AJ34" s="10" t="n">
        <f aca="false">IF(OR(Z34="No",G34="Complete"),0,MAX(N(Q34)-N(AA34),0))</f>
        <v>5</v>
      </c>
      <c r="AK34" s="10" t="n">
        <f aca="false">IF(Z34="No",0,IF(G34="Complete",N(Q34),MIN(N(AA34),N(Q34))))</f>
        <v>0</v>
      </c>
      <c r="AL34" s="10" t="n">
        <f aca="false">IF(OR(OR(AG34="Not counted",AG34="Excluded",AG34="Delivered"),P34="Student accommodation"),0,AJ34)</f>
        <v>5</v>
      </c>
      <c r="AM34" s="10" t="n">
        <f aca="false">IF(OR(OR(AG34="Not counted",AG34="Excluded",AG34="Delivered"),P34&lt;&gt;"Student accommodation"),0,AJ34)</f>
        <v>0</v>
      </c>
      <c r="AN34" s="10" t="n">
        <f aca="false">IF(OR(AG34="Not counted",AG34="Excluded",AG34="Delivered"),0,N(S34))</f>
        <v>0</v>
      </c>
      <c r="AO34" s="2" t="s">
        <v>1031</v>
      </c>
      <c r="AP34" s="10"/>
      <c r="AQ34" s="10" t="n">
        <v>3</v>
      </c>
      <c r="AR34" s="10" t="n">
        <v>2</v>
      </c>
      <c r="AS34" s="10"/>
      <c r="AT34" s="10"/>
      <c r="AU34" s="10"/>
      <c r="AV34" s="10" t="n">
        <f aca="false">N(AP34)+N(AQ34)+N(AR34)+N(AS34)+N(AT34)+N(AU34)</f>
        <v>5</v>
      </c>
      <c r="AW34" s="10" t="n">
        <v>5</v>
      </c>
      <c r="AX34" s="10"/>
      <c r="AY34" s="10"/>
      <c r="AZ34" s="2"/>
      <c r="BA34" s="2" t="s">
        <v>1022</v>
      </c>
      <c r="BB34" s="2" t="s">
        <v>1148</v>
      </c>
      <c r="BC34" s="2" t="s">
        <v>1023</v>
      </c>
      <c r="BD34" s="2" t="s">
        <v>1024</v>
      </c>
      <c r="BE34" s="2" t="s">
        <v>1024</v>
      </c>
      <c r="BF34" s="2" t="s">
        <v>1059</v>
      </c>
      <c r="BG34" s="22" t="n">
        <v>44484</v>
      </c>
      <c r="BH34" s="22" t="n">
        <v>46523</v>
      </c>
      <c r="BI34" s="2"/>
      <c r="BJ34" s="22" t="n">
        <v>46523</v>
      </c>
      <c r="BK34" s="2" t="n">
        <v>5</v>
      </c>
      <c r="BL34" s="2" t="n">
        <v>0</v>
      </c>
      <c r="BM34" s="2"/>
      <c r="BN34" s="2" t="s">
        <v>1149</v>
      </c>
      <c r="BO34" s="23" t="s">
        <v>1150</v>
      </c>
      <c r="BP34" s="2" t="n">
        <f aca="false">IF(OR(K34="",BG34=""),"",ROUND(BG34-K34,0))</f>
        <v>0</v>
      </c>
      <c r="BQ34" s="2" t="str">
        <f aca="false">IF(OR(N(BK34)=0,Q34=""),"Not recorded",IF(BK34=Q34,"Match","Differs"))</f>
        <v>Match</v>
      </c>
      <c r="BR34" s="2" t="str">
        <f aca="false">IF(N34="No","Excluded (non-residential)",IF(BF34="No reference","Unverified – no reference",IF(BF34="Not in council register","Unverified – not in register (Part 8 / other)",IF(OR(BF34="Refused",BF34="Refused on appeal",BF34="Withdrawn",BF34="Invalid",BF34="Quashed"),IF(OR(G34="Complete",G34="On Site",G34="Part Complete"),"Conflict – register not live but CIS says built","Conflict – not live in register"),IF(AND(G34="Plans Submitted",OR(BF34="Granted",BF34="Granted on appeal")),"Stage out of date – now granted",IF(AND(G34&lt;&gt;"Plans Submitted",OR(BF34="Pending",BF34="Under appeal")),"Check – register still pending",IF(N(BL34)&gt;Method!$B$7,"Check – location differs",IF(AND(BP34&lt;&gt;"",ABS(N(BP34))&gt;60),"Consistent – decision date differs","Consistent"))))))))</f>
        <v>Consistent</v>
      </c>
      <c r="BS34" s="2" t="n">
        <v>1804</v>
      </c>
      <c r="BT34" s="2" t="s">
        <v>1151</v>
      </c>
      <c r="BU34" s="2"/>
      <c r="BV34" s="2" t="s">
        <v>1015</v>
      </c>
      <c r="BW34" s="2" t="s">
        <v>1147</v>
      </c>
      <c r="BX34" s="2" t="s">
        <v>1152</v>
      </c>
    </row>
    <row r="35" customFormat="false" ht="15" hidden="false" customHeight="false" outlineLevel="0" collapsed="false">
      <c r="A35" s="2" t="n">
        <v>1156999</v>
      </c>
      <c r="B35" s="2" t="s">
        <v>544</v>
      </c>
      <c r="C35" s="2" t="s">
        <v>1153</v>
      </c>
      <c r="D35" s="2" t="s">
        <v>545</v>
      </c>
      <c r="E35" s="2" t="s">
        <v>546</v>
      </c>
      <c r="F35" s="2" t="s">
        <v>139</v>
      </c>
      <c r="G35" s="2" t="s">
        <v>251</v>
      </c>
      <c r="H35" s="2" t="s">
        <v>1014</v>
      </c>
      <c r="I35" s="2" t="s">
        <v>1015</v>
      </c>
      <c r="J35" s="22" t="n">
        <v>44277</v>
      </c>
      <c r="K35" s="22" t="n">
        <v>44628</v>
      </c>
      <c r="L35" s="22" t="n">
        <v>45005.5117319097</v>
      </c>
      <c r="M35" s="2" t="s">
        <v>1016</v>
      </c>
      <c r="N35" s="2" t="s">
        <v>121</v>
      </c>
      <c r="O35" s="2"/>
      <c r="P35" s="2" t="s">
        <v>1017</v>
      </c>
      <c r="Q35" s="10" t="n">
        <v>6</v>
      </c>
      <c r="R35" s="10"/>
      <c r="S35" s="10"/>
      <c r="T35" s="2" t="s">
        <v>120</v>
      </c>
      <c r="U35" s="2"/>
      <c r="V35" s="2" t="s">
        <v>1029</v>
      </c>
      <c r="W35" s="2" t="s">
        <v>1030</v>
      </c>
      <c r="X35" s="7"/>
      <c r="Y35" s="2" t="str">
        <f aca="false">IF(X35&lt;&gt;"",X35,T35)</f>
        <v>Primary</v>
      </c>
      <c r="Z35" s="2" t="str">
        <f aca="false">IF(OR(Y35="Primary",Y35="Additional phase",Y35="Additional application on site",Y35="Replaces earlier",Y35="Extension of duration (parent not in CIS)"),"Yes","No")</f>
        <v>Yes</v>
      </c>
      <c r="AA35" s="2"/>
      <c r="AB35" s="2" t="n">
        <f aca="false">IF(L35="","",ROUND((Method!$B$4-L35)/30.44,0))</f>
        <v>42</v>
      </c>
      <c r="AC35" s="2" t="str">
        <f aca="false">IF(AB35="","No",IF(AB35&gt;Method!$B$5,"Yes","No"))</f>
        <v>Yes</v>
      </c>
      <c r="AD35" s="22" t="n">
        <f aca="false">IF(BJ35&lt;&gt;"",BJ35,IF(K35&lt;&gt;"",EDATE(K35,60),""))</f>
        <v>46489</v>
      </c>
      <c r="AE35" s="2" t="str">
        <f aca="false">IF(AND(AD35&lt;&gt;"",OR(G35="Permission Granted",G35="Commencement Expected",G35="Stalled or Suspended")),IF(AD35&lt;Method!$B$4,"Yes","No"),"No")</f>
        <v>No</v>
      </c>
      <c r="AF35" s="7"/>
      <c r="AG35" s="2" t="str">
        <f aca="false">IF(Z35="No","Not counted",IF(AF35="Lapsed or dead","Excluded",IF(AF35="Constrained","Constrained / uncertain",IF(AF35="Confirmed live",IF(G35="On Site","Committed",IF(G35="Part Complete","Committed",IF(G35="Contract Awarded","Committed Pre-Construction",IF(G35="Tender","Advanced Pre-Construction",IF(G35="Commencement Expected","Likely",IF(G35="Permission Granted","Potential",IF(G35="Stalled or Suspended","Constrained / uncertain",IF(G35="Complete","Delivered","Application Pipeline")))))))),IF(G35="Complete","Delivered",IF(AND(OR(G35="Permission Granted",G35="Commencement Expected"),OR(AC35="Yes",AE35="Yes")),"Constrained / uncertain",IF(G35="On Site","Committed",IF(G35="Part Complete","Committed",IF(G35="Contract Awarded","Committed Pre-Construction",IF(G35="Tender","Advanced Pre-Construction",IF(G35="Commencement Expected","Likely",IF(G35="Permission Granted","Potential",IF(G35="Stalled or Suspended","Constrained / uncertain",IF(G35="Complete","Delivered","Application Pipeline"))))))))))))))</f>
        <v>Delivered</v>
      </c>
      <c r="AH35" s="2" t="str">
        <f aca="false">IF(Z35="No","Relationship: "&amp;Y35,IF(AF35&lt;&gt;"","Analyst: "&amp;AF35,IF(G35="Complete","Complete",IF(AND(OR(G35="Permission Granted",G35="Commencement Expected"),AE35="Yes"),"Past expiry",IF(AND(OR(G35="Permission Granted",G35="Commencement Expected"),AC35="Yes"),"No CIS update in "&amp;AB35&amp;" months","As CIS")))))</f>
        <v>Complete</v>
      </c>
      <c r="AI35" s="10" t="n">
        <f aca="false">IF(Z35="Yes",N(Q35),0)</f>
        <v>6</v>
      </c>
      <c r="AJ35" s="10" t="n">
        <f aca="false">IF(OR(Z35="No",G35="Complete"),0,MAX(N(Q35)-N(AA35),0))</f>
        <v>0</v>
      </c>
      <c r="AK35" s="10" t="n">
        <f aca="false">IF(Z35="No",0,IF(G35="Complete",N(Q35),MIN(N(AA35),N(Q35))))</f>
        <v>6</v>
      </c>
      <c r="AL35" s="10" t="n">
        <f aca="false">IF(OR(OR(AG35="Not counted",AG35="Excluded",AG35="Delivered"),P35="Student accommodation"),0,AJ35)</f>
        <v>0</v>
      </c>
      <c r="AM35" s="10" t="n">
        <f aca="false">IF(OR(OR(AG35="Not counted",AG35="Excluded",AG35="Delivered"),P35&lt;&gt;"Student accommodation"),0,AJ35)</f>
        <v>0</v>
      </c>
      <c r="AN35" s="10" t="n">
        <f aca="false">IF(OR(AG35="Not counted",AG35="Excluded",AG35="Delivered"),0,N(S35))</f>
        <v>0</v>
      </c>
      <c r="AO35" s="2" t="s">
        <v>1021</v>
      </c>
      <c r="AP35" s="10"/>
      <c r="AQ35" s="10"/>
      <c r="AR35" s="10"/>
      <c r="AS35" s="10"/>
      <c r="AT35" s="10"/>
      <c r="AU35" s="10"/>
      <c r="AV35" s="10" t="n">
        <f aca="false">N(AP35)+N(AQ35)+N(AR35)+N(AS35)+N(AT35)+N(AU35)</f>
        <v>0</v>
      </c>
      <c r="AW35" s="10"/>
      <c r="AX35" s="10"/>
      <c r="AY35" s="10"/>
      <c r="AZ35" s="2"/>
      <c r="BA35" s="2" t="s">
        <v>1022</v>
      </c>
      <c r="BB35" s="2" t="s">
        <v>1153</v>
      </c>
      <c r="BC35" s="2" t="s">
        <v>1023</v>
      </c>
      <c r="BD35" s="2" t="s">
        <v>1024</v>
      </c>
      <c r="BE35" s="2"/>
      <c r="BF35" s="2" t="s">
        <v>1025</v>
      </c>
      <c r="BG35" s="22" t="n">
        <v>44628</v>
      </c>
      <c r="BH35" s="22" t="n">
        <v>46489</v>
      </c>
      <c r="BI35" s="2"/>
      <c r="BJ35" s="22" t="n">
        <v>46489</v>
      </c>
      <c r="BK35" s="2" t="n">
        <v>6</v>
      </c>
      <c r="BL35" s="2" t="n">
        <v>0</v>
      </c>
      <c r="BM35" s="2"/>
      <c r="BN35" s="2" t="s">
        <v>1154</v>
      </c>
      <c r="BO35" s="23" t="s">
        <v>1155</v>
      </c>
      <c r="BP35" s="2" t="n">
        <f aca="false">IF(OR(K35="",BG35=""),"",ROUND(BG35-K35,0))</f>
        <v>0</v>
      </c>
      <c r="BQ35" s="2" t="str">
        <f aca="false">IF(OR(N(BK35)=0,Q35=""),"Not recorded",IF(BK35=Q35,"Match","Differs"))</f>
        <v>Match</v>
      </c>
      <c r="BR35" s="2" t="str">
        <f aca="false">IF(N35="No","Excluded (non-residential)",IF(BF35="No reference","Unverified – no reference",IF(BF35="Not in council register","Unverified – not in register (Part 8 / other)",IF(OR(BF35="Refused",BF35="Refused on appeal",BF35="Withdrawn",BF35="Invalid",BF35="Quashed"),IF(OR(G35="Complete",G35="On Site",G35="Part Complete"),"Conflict – register not live but CIS says built","Conflict – not live in register"),IF(AND(G35="Plans Submitted",OR(BF35="Granted",BF35="Granted on appeal")),"Stage out of date – now granted",IF(AND(G35&lt;&gt;"Plans Submitted",OR(BF35="Pending",BF35="Under appeal")),"Check – register still pending",IF(N(BL35)&gt;Method!$B$7,"Check – location differs",IF(AND(BP35&lt;&gt;"",ABS(N(BP35))&gt;60),"Consistent – decision date differs","Consistent"))))))))</f>
        <v>Consistent</v>
      </c>
      <c r="BS35" s="2"/>
      <c r="BT35" s="2"/>
      <c r="BU35" s="2"/>
      <c r="BV35" s="2"/>
      <c r="BW35" s="2"/>
      <c r="BX35" s="2"/>
    </row>
    <row r="36" customFormat="false" ht="15" hidden="false" customHeight="false" outlineLevel="0" collapsed="false">
      <c r="A36" s="2" t="n">
        <v>1162677</v>
      </c>
      <c r="B36" s="2" t="s">
        <v>294</v>
      </c>
      <c r="C36" s="2" t="s">
        <v>1156</v>
      </c>
      <c r="D36" s="2" t="s">
        <v>295</v>
      </c>
      <c r="E36" s="2" t="s">
        <v>296</v>
      </c>
      <c r="F36" s="2" t="s">
        <v>139</v>
      </c>
      <c r="G36" s="2" t="s">
        <v>198</v>
      </c>
      <c r="H36" s="2" t="s">
        <v>1014</v>
      </c>
      <c r="I36" s="2" t="s">
        <v>198</v>
      </c>
      <c r="J36" s="22" t="n">
        <v>44308</v>
      </c>
      <c r="K36" s="22" t="n">
        <v>45264</v>
      </c>
      <c r="L36" s="22" t="n">
        <v>46128.5577833333</v>
      </c>
      <c r="M36" s="2" t="s">
        <v>1016</v>
      </c>
      <c r="N36" s="2" t="s">
        <v>121</v>
      </c>
      <c r="O36" s="2"/>
      <c r="P36" s="2" t="s">
        <v>1017</v>
      </c>
      <c r="Q36" s="10" t="n">
        <v>26</v>
      </c>
      <c r="R36" s="10" t="n">
        <v>26</v>
      </c>
      <c r="S36" s="10"/>
      <c r="T36" s="2" t="s">
        <v>120</v>
      </c>
      <c r="U36" s="2"/>
      <c r="V36" s="2" t="s">
        <v>1029</v>
      </c>
      <c r="W36" s="2" t="s">
        <v>1030</v>
      </c>
      <c r="X36" s="7"/>
      <c r="Y36" s="2" t="str">
        <f aca="false">IF(X36&lt;&gt;"",X36,T36)</f>
        <v>Primary</v>
      </c>
      <c r="Z36" s="2" t="str">
        <f aca="false">IF(OR(Y36="Primary",Y36="Additional phase",Y36="Additional application on site",Y36="Replaces earlier",Y36="Extension of duration (parent not in CIS)"),"Yes","No")</f>
        <v>Yes</v>
      </c>
      <c r="AA36" s="2"/>
      <c r="AB36" s="2" t="n">
        <f aca="false">IF(L36="","",ROUND((Method!$B$4-L36)/30.44,0))</f>
        <v>5</v>
      </c>
      <c r="AC36" s="2" t="str">
        <f aca="false">IF(AB36="","No",IF(AB36&gt;Method!$B$5,"Yes","No"))</f>
        <v>No</v>
      </c>
      <c r="AD36" s="22" t="n">
        <f aca="false">IF(BJ36&lt;&gt;"",BJ36,IF(K36&lt;&gt;"",EDATE(K36,60),""))</f>
        <v>47090</v>
      </c>
      <c r="AE36" s="2" t="str">
        <f aca="false">IF(AND(AD36&lt;&gt;"",OR(G36="Permission Granted",G36="Commencement Expected",G36="Stalled or Suspended")),IF(AD36&lt;Method!$B$4,"Yes","No"),"No")</f>
        <v>No</v>
      </c>
      <c r="AF36" s="7"/>
      <c r="AG36" s="2" t="str">
        <f aca="false">IF(Z36="No","Not counted",IF(AF36="Lapsed or dead","Excluded",IF(AF36="Constrained","Constrained / uncertain",IF(AF36="Confirmed live",IF(G36="On Site","Committed",IF(G36="Part Complete","Committed",IF(G36="Contract Awarded","Committed Pre-Construction",IF(G36="Tender","Advanced Pre-Construction",IF(G36="Commencement Expected","Likely",IF(G36="Permission Granted","Potential",IF(G36="Stalled or Suspended","Constrained / uncertain",IF(G36="Complete","Delivered","Application Pipeline")))))))),IF(G36="Complete","Delivered",IF(AND(OR(G36="Permission Granted",G36="Commencement Expected"),OR(AC36="Yes",AE36="Yes")),"Constrained / uncertain",IF(G36="On Site","Committed",IF(G36="Part Complete","Committed",IF(G36="Contract Awarded","Committed Pre-Construction",IF(G36="Tender","Advanced Pre-Construction",IF(G36="Commencement Expected","Likely",IF(G36="Permission Granted","Potential",IF(G36="Stalled or Suspended","Constrained / uncertain",IF(G36="Complete","Delivered","Application Pipeline"))))))))))))))</f>
        <v>Committed</v>
      </c>
      <c r="AH36" s="2" t="str">
        <f aca="false">IF(Z36="No","Relationship: "&amp;Y36,IF(AF36&lt;&gt;"","Analyst: "&amp;AF36,IF(G36="Complete","Complete",IF(AND(OR(G36="Permission Granted",G36="Commencement Expected"),AE36="Yes"),"Past expiry",IF(AND(OR(G36="Permission Granted",G36="Commencement Expected"),AC36="Yes"),"No CIS update in "&amp;AB36&amp;" months","As CIS")))))</f>
        <v>As CIS</v>
      </c>
      <c r="AI36" s="10" t="n">
        <f aca="false">IF(Z36="Yes",N(Q36),0)</f>
        <v>26</v>
      </c>
      <c r="AJ36" s="10" t="n">
        <f aca="false">IF(OR(Z36="No",G36="Complete"),0,MAX(N(Q36)-N(AA36),0))</f>
        <v>26</v>
      </c>
      <c r="AK36" s="10" t="n">
        <f aca="false">IF(Z36="No",0,IF(G36="Complete",N(Q36),MIN(N(AA36),N(Q36))))</f>
        <v>0</v>
      </c>
      <c r="AL36" s="10" t="n">
        <f aca="false">IF(OR(OR(AG36="Not counted",AG36="Excluded",AG36="Delivered"),P36="Student accommodation"),0,AJ36)</f>
        <v>26</v>
      </c>
      <c r="AM36" s="10" t="n">
        <f aca="false">IF(OR(OR(AG36="Not counted",AG36="Excluded",AG36="Delivered"),P36&lt;&gt;"Student accommodation"),0,AJ36)</f>
        <v>0</v>
      </c>
      <c r="AN36" s="10" t="n">
        <f aca="false">IF(OR(AG36="Not counted",AG36="Excluded",AG36="Delivered"),0,N(S36))</f>
        <v>0</v>
      </c>
      <c r="AO36" s="2" t="s">
        <v>1157</v>
      </c>
      <c r="AP36" s="10"/>
      <c r="AQ36" s="10"/>
      <c r="AR36" s="10"/>
      <c r="AS36" s="10"/>
      <c r="AT36" s="10" t="n">
        <v>24</v>
      </c>
      <c r="AU36" s="10"/>
      <c r="AV36" s="10" t="n">
        <f aca="false">N(AP36)+N(AQ36)+N(AR36)+N(AS36)+N(AT36)+N(AU36)</f>
        <v>24</v>
      </c>
      <c r="AW36" s="10" t="n">
        <v>24</v>
      </c>
      <c r="AX36" s="10"/>
      <c r="AY36" s="10"/>
      <c r="AZ36" s="2"/>
      <c r="BA36" s="2" t="s">
        <v>1022</v>
      </c>
      <c r="BB36" s="2" t="s">
        <v>1156</v>
      </c>
      <c r="BC36" s="2" t="s">
        <v>1023</v>
      </c>
      <c r="BD36" s="2" t="s">
        <v>1024</v>
      </c>
      <c r="BE36" s="2" t="s">
        <v>1024</v>
      </c>
      <c r="BF36" s="2" t="s">
        <v>1059</v>
      </c>
      <c r="BG36" s="22" t="n">
        <v>44673</v>
      </c>
      <c r="BH36" s="22" t="n">
        <v>47090</v>
      </c>
      <c r="BI36" s="2"/>
      <c r="BJ36" s="22" t="n">
        <v>47090</v>
      </c>
      <c r="BK36" s="2" t="n">
        <v>26</v>
      </c>
      <c r="BL36" s="2" t="n">
        <v>0</v>
      </c>
      <c r="BM36" s="2"/>
      <c r="BN36" s="2" t="s">
        <v>1158</v>
      </c>
      <c r="BO36" s="23" t="s">
        <v>1159</v>
      </c>
      <c r="BP36" s="2" t="n">
        <f aca="false">IF(OR(K36="",BG36=""),"",ROUND(BG36-K36,0))</f>
        <v>-591</v>
      </c>
      <c r="BQ36" s="2" t="str">
        <f aca="false">IF(OR(N(BK36)=0,Q36=""),"Not recorded",IF(BK36=Q36,"Match","Differs"))</f>
        <v>Match</v>
      </c>
      <c r="BR36" s="2" t="str">
        <f aca="false">IF(N36="No","Excluded (non-residential)",IF(BF36="No reference","Unverified – no reference",IF(BF36="Not in council register","Unverified – not in register (Part 8 / other)",IF(OR(BF36="Refused",BF36="Refused on appeal",BF36="Withdrawn",BF36="Invalid",BF36="Quashed"),IF(OR(G36="Complete",G36="On Site",G36="Part Complete"),"Conflict – register not live but CIS says built","Conflict – not live in register"),IF(AND(G36="Plans Submitted",OR(BF36="Granted",BF36="Granted on appeal")),"Stage out of date – now granted",IF(AND(G36&lt;&gt;"Plans Submitted",OR(BF36="Pending",BF36="Under appeal")),"Check – register still pending",IF(N(BL36)&gt;Method!$B$7,"Check – location differs",IF(AND(BP36&lt;&gt;"",ABS(N(BP36))&gt;60),"Consistent – decision date differs","Consistent"))))))))</f>
        <v>Consistent – decision date differs</v>
      </c>
      <c r="BS36" s="2"/>
      <c r="BT36" s="2"/>
      <c r="BU36" s="2"/>
      <c r="BV36" s="2"/>
      <c r="BW36" s="2"/>
      <c r="BX36" s="2"/>
    </row>
    <row r="37" customFormat="false" ht="15" hidden="false" customHeight="false" outlineLevel="0" collapsed="false">
      <c r="A37" s="2" t="n">
        <v>1163033</v>
      </c>
      <c r="B37" s="2" t="s">
        <v>508</v>
      </c>
      <c r="C37" s="2" t="s">
        <v>1160</v>
      </c>
      <c r="D37" s="2" t="s">
        <v>509</v>
      </c>
      <c r="E37" s="2" t="s">
        <v>510</v>
      </c>
      <c r="F37" s="2" t="s">
        <v>133</v>
      </c>
      <c r="G37" s="2" t="s">
        <v>187</v>
      </c>
      <c r="H37" s="2" t="s">
        <v>1014</v>
      </c>
      <c r="I37" s="2"/>
      <c r="J37" s="22" t="n">
        <v>44307</v>
      </c>
      <c r="K37" s="22" t="n">
        <v>44413</v>
      </c>
      <c r="L37" s="22" t="n">
        <v>45226.4849832176</v>
      </c>
      <c r="M37" s="2" t="s">
        <v>1016</v>
      </c>
      <c r="N37" s="2" t="s">
        <v>121</v>
      </c>
      <c r="O37" s="2"/>
      <c r="P37" s="2" t="s">
        <v>1017</v>
      </c>
      <c r="Q37" s="10" t="n">
        <v>137</v>
      </c>
      <c r="R37" s="10" t="n">
        <v>137</v>
      </c>
      <c r="S37" s="10"/>
      <c r="T37" s="2" t="s">
        <v>120</v>
      </c>
      <c r="U37" s="2"/>
      <c r="V37" s="2" t="s">
        <v>1029</v>
      </c>
      <c r="W37" s="2" t="s">
        <v>1030</v>
      </c>
      <c r="X37" s="7"/>
      <c r="Y37" s="2" t="str">
        <f aca="false">IF(X37&lt;&gt;"",X37,T37)</f>
        <v>Primary</v>
      </c>
      <c r="Z37" s="2" t="str">
        <f aca="false">IF(OR(Y37="Primary",Y37="Additional phase",Y37="Additional application on site",Y37="Replaces earlier",Y37="Extension of duration (parent not in CIS)"),"Yes","No")</f>
        <v>Yes</v>
      </c>
      <c r="AA37" s="2"/>
      <c r="AB37" s="2" t="n">
        <f aca="false">IF(L37="","",ROUND((Method!$B$4-L37)/30.44,0))</f>
        <v>35</v>
      </c>
      <c r="AC37" s="2" t="str">
        <f aca="false">IF(AB37="","No",IF(AB37&gt;Method!$B$5,"Yes","No"))</f>
        <v>Yes</v>
      </c>
      <c r="AD37" s="22" t="n">
        <f aca="false">IF(BJ37&lt;&gt;"",BJ37,IF(K37&lt;&gt;"",EDATE(K37,60),""))</f>
        <v>46238</v>
      </c>
      <c r="AE37" s="2" t="str">
        <f aca="false">IF(AND(AD37&lt;&gt;"",OR(G37="Permission Granted",G37="Commencement Expected",G37="Stalled or Suspended")),IF(AD37&lt;Method!$B$4,"Yes","No"),"No")</f>
        <v>Yes</v>
      </c>
      <c r="AF37" s="7"/>
      <c r="AG37" s="2" t="str">
        <f aca="false">IF(Z37="No","Not counted",IF(AF37="Lapsed or dead","Excluded",IF(AF37="Constrained","Constrained / uncertain",IF(AF37="Confirmed live",IF(G37="On Site","Committed",IF(G37="Part Complete","Committed",IF(G37="Contract Awarded","Committed Pre-Construction",IF(G37="Tender","Advanced Pre-Construction",IF(G37="Commencement Expected","Likely",IF(G37="Permission Granted","Potential",IF(G37="Stalled or Suspended","Constrained / uncertain",IF(G37="Complete","Delivered","Application Pipeline")))))))),IF(G37="Complete","Delivered",IF(AND(OR(G37="Permission Granted",G37="Commencement Expected"),OR(AC37="Yes",AE37="Yes")),"Constrained / uncertain",IF(G37="On Site","Committed",IF(G37="Part Complete","Committed",IF(G37="Contract Awarded","Committed Pre-Construction",IF(G37="Tender","Advanced Pre-Construction",IF(G37="Commencement Expected","Likely",IF(G37="Permission Granted","Potential",IF(G37="Stalled or Suspended","Constrained / uncertain",IF(G37="Complete","Delivered","Application Pipeline"))))))))))))))</f>
        <v>Constrained / uncertain</v>
      </c>
      <c r="AH37" s="2" t="str">
        <f aca="false">IF(Z37="No","Relationship: "&amp;Y37,IF(AF37&lt;&gt;"","Analyst: "&amp;AF37,IF(G37="Complete","Complete",IF(AND(OR(G37="Permission Granted",G37="Commencement Expected"),AE37="Yes"),"Past expiry",IF(AND(OR(G37="Permission Granted",G37="Commencement Expected"),AC37="Yes"),"No CIS update in "&amp;AB37&amp;" months","As CIS")))))</f>
        <v>Past expiry</v>
      </c>
      <c r="AI37" s="10" t="n">
        <f aca="false">IF(Z37="Yes",N(Q37),0)</f>
        <v>137</v>
      </c>
      <c r="AJ37" s="10" t="n">
        <f aca="false">IF(OR(Z37="No",G37="Complete"),0,MAX(N(Q37)-N(AA37),0))</f>
        <v>137</v>
      </c>
      <c r="AK37" s="10" t="n">
        <f aca="false">IF(Z37="No",0,IF(G37="Complete",N(Q37),MIN(N(AA37),N(Q37))))</f>
        <v>0</v>
      </c>
      <c r="AL37" s="10" t="n">
        <f aca="false">IF(OR(OR(AG37="Not counted",AG37="Excluded",AG37="Delivered"),P37="Student accommodation"),0,AJ37)</f>
        <v>137</v>
      </c>
      <c r="AM37" s="10" t="n">
        <f aca="false">IF(OR(OR(AG37="Not counted",AG37="Excluded",AG37="Delivered"),P37&lt;&gt;"Student accommodation"),0,AJ37)</f>
        <v>0</v>
      </c>
      <c r="AN37" s="10" t="n">
        <f aca="false">IF(OR(AG37="Not counted",AG37="Excluded",AG37="Delivered"),0,N(S37))</f>
        <v>0</v>
      </c>
      <c r="AO37" s="2" t="s">
        <v>1157</v>
      </c>
      <c r="AP37" s="10"/>
      <c r="AQ37" s="10" t="n">
        <v>9</v>
      </c>
      <c r="AR37" s="10" t="n">
        <v>77</v>
      </c>
      <c r="AS37" s="10" t="n">
        <v>44</v>
      </c>
      <c r="AT37" s="10" t="n">
        <v>7</v>
      </c>
      <c r="AU37" s="10"/>
      <c r="AV37" s="10" t="n">
        <f aca="false">N(AP37)+N(AQ37)+N(AR37)+N(AS37)+N(AT37)+N(AU37)</f>
        <v>137</v>
      </c>
      <c r="AW37" s="10" t="n">
        <v>25</v>
      </c>
      <c r="AX37" s="10" t="n">
        <v>112</v>
      </c>
      <c r="AY37" s="10"/>
      <c r="AZ37" s="2"/>
      <c r="BA37" s="2" t="s">
        <v>17</v>
      </c>
      <c r="BB37" s="2" t="s">
        <v>1161</v>
      </c>
      <c r="BC37" s="2" t="s">
        <v>1162</v>
      </c>
      <c r="BD37" s="2" t="s">
        <v>1163</v>
      </c>
      <c r="BE37" s="2"/>
      <c r="BF37" s="2" t="s">
        <v>1025</v>
      </c>
      <c r="BG37" s="22" t="n">
        <v>44413</v>
      </c>
      <c r="BH37" s="22" t="n">
        <v>46238</v>
      </c>
      <c r="BI37" s="2"/>
      <c r="BJ37" s="22" t="n">
        <v>46238</v>
      </c>
      <c r="BK37" s="2" t="n">
        <v>137</v>
      </c>
      <c r="BL37" s="2"/>
      <c r="BM37" s="2"/>
      <c r="BN37" s="2" t="s">
        <v>1164</v>
      </c>
      <c r="BO37" s="23" t="s">
        <v>1165</v>
      </c>
      <c r="BP37" s="2" t="n">
        <f aca="false">IF(OR(K37="",BG37=""),"",ROUND(BG37-K37,0))</f>
        <v>0</v>
      </c>
      <c r="BQ37" s="2" t="str">
        <f aca="false">IF(OR(N(BK37)=0,Q37=""),"Not recorded",IF(BK37=Q37,"Match","Differs"))</f>
        <v>Match</v>
      </c>
      <c r="BR37" s="2" t="str">
        <f aca="false">IF(N37="No","Excluded (non-residential)",IF(BF37="No reference","Unverified – no reference",IF(BF37="Not in council register","Unverified – not in register (Part 8 / other)",IF(OR(BF37="Refused",BF37="Refused on appeal",BF37="Withdrawn",BF37="Invalid",BF37="Quashed"),IF(OR(G37="Complete",G37="On Site",G37="Part Complete"),"Conflict – register not live but CIS says built","Conflict – not live in register"),IF(AND(G37="Plans Submitted",OR(BF37="Granted",BF37="Granted on appeal")),"Stage out of date – now granted",IF(AND(G37&lt;&gt;"Plans Submitted",OR(BF37="Pending",BF37="Under appeal")),"Check – register still pending",IF(N(BL37)&gt;Method!$B$7,"Check – location differs",IF(AND(BP37&lt;&gt;"",ABS(N(BP37))&gt;60),"Consistent – decision date differs","Consistent"))))))))</f>
        <v>Consistent</v>
      </c>
      <c r="BS37" s="2"/>
      <c r="BT37" s="2"/>
      <c r="BU37" s="2"/>
      <c r="BV37" s="2"/>
      <c r="BW37" s="2"/>
      <c r="BX37" s="2"/>
    </row>
    <row r="38" customFormat="false" ht="15" hidden="false" customHeight="false" outlineLevel="0" collapsed="false">
      <c r="A38" s="2" t="n">
        <v>1164066</v>
      </c>
      <c r="B38" s="2" t="s">
        <v>248</v>
      </c>
      <c r="C38" s="2" t="s">
        <v>1166</v>
      </c>
      <c r="D38" s="2" t="s">
        <v>249</v>
      </c>
      <c r="E38" s="2" t="s">
        <v>250</v>
      </c>
      <c r="F38" s="2" t="s">
        <v>135</v>
      </c>
      <c r="G38" s="2" t="s">
        <v>251</v>
      </c>
      <c r="H38" s="2" t="s">
        <v>1014</v>
      </c>
      <c r="I38" s="2" t="s">
        <v>198</v>
      </c>
      <c r="J38" s="22" t="n">
        <v>44314</v>
      </c>
      <c r="K38" s="22" t="n">
        <v>44581</v>
      </c>
      <c r="L38" s="22" t="n">
        <v>46195.3295228009</v>
      </c>
      <c r="M38" s="2" t="s">
        <v>1016</v>
      </c>
      <c r="N38" s="2" t="s">
        <v>121</v>
      </c>
      <c r="O38" s="2"/>
      <c r="P38" s="2" t="s">
        <v>1017</v>
      </c>
      <c r="Q38" s="10" t="n">
        <v>9</v>
      </c>
      <c r="R38" s="10"/>
      <c r="S38" s="10"/>
      <c r="T38" s="2" t="s">
        <v>120</v>
      </c>
      <c r="U38" s="2"/>
      <c r="V38" s="2" t="s">
        <v>1029</v>
      </c>
      <c r="W38" s="2" t="s">
        <v>1030</v>
      </c>
      <c r="X38" s="7"/>
      <c r="Y38" s="2" t="str">
        <f aca="false">IF(X38&lt;&gt;"",X38,T38)</f>
        <v>Primary</v>
      </c>
      <c r="Z38" s="2" t="str">
        <f aca="false">IF(OR(Y38="Primary",Y38="Additional phase",Y38="Additional application on site",Y38="Replaces earlier",Y38="Extension of duration (parent not in CIS)"),"Yes","No")</f>
        <v>Yes</v>
      </c>
      <c r="AA38" s="2"/>
      <c r="AB38" s="2" t="n">
        <f aca="false">IF(L38="","",ROUND((Method!$B$4-L38)/30.44,0))</f>
        <v>3</v>
      </c>
      <c r="AC38" s="2" t="str">
        <f aca="false">IF(AB38="","No",IF(AB38&gt;Method!$B$5,"Yes","No"))</f>
        <v>No</v>
      </c>
      <c r="AD38" s="22" t="n">
        <f aca="false">IF(BJ38&lt;&gt;"",BJ38,IF(K38&lt;&gt;"",EDATE(K38,60),""))</f>
        <v>46440</v>
      </c>
      <c r="AE38" s="2" t="str">
        <f aca="false">IF(AND(AD38&lt;&gt;"",OR(G38="Permission Granted",G38="Commencement Expected",G38="Stalled or Suspended")),IF(AD38&lt;Method!$B$4,"Yes","No"),"No")</f>
        <v>No</v>
      </c>
      <c r="AF38" s="7"/>
      <c r="AG38" s="2" t="str">
        <f aca="false">IF(Z38="No","Not counted",IF(AF38="Lapsed or dead","Excluded",IF(AF38="Constrained","Constrained / uncertain",IF(AF38="Confirmed live",IF(G38="On Site","Committed",IF(G38="Part Complete","Committed",IF(G38="Contract Awarded","Committed Pre-Construction",IF(G38="Tender","Advanced Pre-Construction",IF(G38="Commencement Expected","Likely",IF(G38="Permission Granted","Potential",IF(G38="Stalled or Suspended","Constrained / uncertain",IF(G38="Complete","Delivered","Application Pipeline")))))))),IF(G38="Complete","Delivered",IF(AND(OR(G38="Permission Granted",G38="Commencement Expected"),OR(AC38="Yes",AE38="Yes")),"Constrained / uncertain",IF(G38="On Site","Committed",IF(G38="Part Complete","Committed",IF(G38="Contract Awarded","Committed Pre-Construction",IF(G38="Tender","Advanced Pre-Construction",IF(G38="Commencement Expected","Likely",IF(G38="Permission Granted","Potential",IF(G38="Stalled or Suspended","Constrained / uncertain",IF(G38="Complete","Delivered","Application Pipeline"))))))))))))))</f>
        <v>Delivered</v>
      </c>
      <c r="AH38" s="2" t="str">
        <f aca="false">IF(Z38="No","Relationship: "&amp;Y38,IF(AF38&lt;&gt;"","Analyst: "&amp;AF38,IF(G38="Complete","Complete",IF(AND(OR(G38="Permission Granted",G38="Commencement Expected"),AE38="Yes"),"Past expiry",IF(AND(OR(G38="Permission Granted",G38="Commencement Expected"),AC38="Yes"),"No CIS update in "&amp;AB38&amp;" months","As CIS")))))</f>
        <v>Complete</v>
      </c>
      <c r="AI38" s="10" t="n">
        <f aca="false">IF(Z38="Yes",N(Q38),0)</f>
        <v>9</v>
      </c>
      <c r="AJ38" s="10" t="n">
        <f aca="false">IF(OR(Z38="No",G38="Complete"),0,MAX(N(Q38)-N(AA38),0))</f>
        <v>0</v>
      </c>
      <c r="AK38" s="10" t="n">
        <f aca="false">IF(Z38="No",0,IF(G38="Complete",N(Q38),MIN(N(AA38),N(Q38))))</f>
        <v>9</v>
      </c>
      <c r="AL38" s="10" t="n">
        <f aca="false">IF(OR(OR(AG38="Not counted",AG38="Excluded",AG38="Delivered"),P38="Student accommodation"),0,AJ38)</f>
        <v>0</v>
      </c>
      <c r="AM38" s="10" t="n">
        <f aca="false">IF(OR(OR(AG38="Not counted",AG38="Excluded",AG38="Delivered"),P38&lt;&gt;"Student accommodation"),0,AJ38)</f>
        <v>0</v>
      </c>
      <c r="AN38" s="10" t="n">
        <f aca="false">IF(OR(AG38="Not counted",AG38="Excluded",AG38="Delivered"),0,N(S38))</f>
        <v>0</v>
      </c>
      <c r="AO38" s="2" t="s">
        <v>1021</v>
      </c>
      <c r="AP38" s="10"/>
      <c r="AQ38" s="10"/>
      <c r="AR38" s="10"/>
      <c r="AS38" s="10"/>
      <c r="AT38" s="10"/>
      <c r="AU38" s="10"/>
      <c r="AV38" s="10" t="n">
        <f aca="false">N(AP38)+N(AQ38)+N(AR38)+N(AS38)+N(AT38)+N(AU38)</f>
        <v>0</v>
      </c>
      <c r="AW38" s="10"/>
      <c r="AX38" s="10"/>
      <c r="AY38" s="10"/>
      <c r="AZ38" s="2"/>
      <c r="BA38" s="2" t="s">
        <v>1022</v>
      </c>
      <c r="BB38" s="2" t="s">
        <v>1166</v>
      </c>
      <c r="BC38" s="2" t="s">
        <v>1023</v>
      </c>
      <c r="BD38" s="2" t="s">
        <v>1024</v>
      </c>
      <c r="BE38" s="2"/>
      <c r="BF38" s="2" t="s">
        <v>1025</v>
      </c>
      <c r="BG38" s="22" t="n">
        <v>44581</v>
      </c>
      <c r="BH38" s="22" t="n">
        <v>46440</v>
      </c>
      <c r="BI38" s="2"/>
      <c r="BJ38" s="22" t="n">
        <v>46440</v>
      </c>
      <c r="BK38" s="2" t="n">
        <v>7</v>
      </c>
      <c r="BL38" s="2" t="n">
        <v>0</v>
      </c>
      <c r="BM38" s="2"/>
      <c r="BN38" s="2" t="s">
        <v>1167</v>
      </c>
      <c r="BO38" s="23" t="s">
        <v>1168</v>
      </c>
      <c r="BP38" s="2" t="n">
        <f aca="false">IF(OR(K38="",BG38=""),"",ROUND(BG38-K38,0))</f>
        <v>0</v>
      </c>
      <c r="BQ38" s="2" t="str">
        <f aca="false">IF(OR(N(BK38)=0,Q38=""),"Not recorded",IF(BK38=Q38,"Match","Differs"))</f>
        <v>Differs</v>
      </c>
      <c r="BR38" s="2" t="str">
        <f aca="false">IF(N38="No","Excluded (non-residential)",IF(BF38="No reference","Unverified – no reference",IF(BF38="Not in council register","Unverified – not in register (Part 8 / other)",IF(OR(BF38="Refused",BF38="Refused on appeal",BF38="Withdrawn",BF38="Invalid",BF38="Quashed"),IF(OR(G38="Complete",G38="On Site",G38="Part Complete"),"Conflict – register not live but CIS says built","Conflict – not live in register"),IF(AND(G38="Plans Submitted",OR(BF38="Granted",BF38="Granted on appeal")),"Stage out of date – now granted",IF(AND(G38&lt;&gt;"Plans Submitted",OR(BF38="Pending",BF38="Under appeal")),"Check – register still pending",IF(N(BL38)&gt;Method!$B$7,"Check – location differs",IF(AND(BP38&lt;&gt;"",ABS(N(BP38))&gt;60),"Consistent – decision date differs","Consistent"))))))))</f>
        <v>Consistent</v>
      </c>
      <c r="BS38" s="2"/>
      <c r="BT38" s="2"/>
      <c r="BU38" s="2"/>
      <c r="BV38" s="2"/>
      <c r="BW38" s="2"/>
      <c r="BX38" s="2"/>
    </row>
    <row r="39" customFormat="false" ht="15" hidden="false" customHeight="false" outlineLevel="0" collapsed="false">
      <c r="A39" s="2" t="n">
        <v>1164656</v>
      </c>
      <c r="B39" s="2" t="s">
        <v>499</v>
      </c>
      <c r="C39" s="2" t="s">
        <v>1169</v>
      </c>
      <c r="D39" s="2" t="s">
        <v>500</v>
      </c>
      <c r="E39" s="2" t="s">
        <v>501</v>
      </c>
      <c r="F39" s="2" t="s">
        <v>144</v>
      </c>
      <c r="G39" s="2" t="s">
        <v>187</v>
      </c>
      <c r="H39" s="2" t="s">
        <v>1014</v>
      </c>
      <c r="I39" s="2"/>
      <c r="J39" s="22" t="n">
        <v>44901</v>
      </c>
      <c r="K39" s="22" t="n">
        <v>44980</v>
      </c>
      <c r="L39" s="22" t="n">
        <v>45268.4827915857</v>
      </c>
      <c r="M39" s="2" t="s">
        <v>1016</v>
      </c>
      <c r="N39" s="2" t="s">
        <v>121</v>
      </c>
      <c r="O39" s="2"/>
      <c r="P39" s="2" t="s">
        <v>41</v>
      </c>
      <c r="Q39" s="10" t="n">
        <v>30</v>
      </c>
      <c r="R39" s="10"/>
      <c r="S39" s="10" t="n">
        <v>326</v>
      </c>
      <c r="T39" s="2" t="s">
        <v>32</v>
      </c>
      <c r="U39" s="2"/>
      <c r="V39" s="2" t="s">
        <v>1170</v>
      </c>
      <c r="W39" s="2" t="s">
        <v>1030</v>
      </c>
      <c r="X39" s="7"/>
      <c r="Y39" s="2" t="str">
        <f aca="false">IF(X39&lt;&gt;"",X39,T39)</f>
        <v>Not live</v>
      </c>
      <c r="Z39" s="2" t="str">
        <f aca="false">IF(OR(Y39="Primary",Y39="Additional phase",Y39="Additional application on site",Y39="Replaces earlier",Y39="Extension of duration (parent not in CIS)"),"Yes","No")</f>
        <v>No</v>
      </c>
      <c r="AA39" s="2"/>
      <c r="AB39" s="2" t="n">
        <f aca="false">IF(L39="","",ROUND((Method!$B$4-L39)/30.44,0))</f>
        <v>34</v>
      </c>
      <c r="AC39" s="2" t="str">
        <f aca="false">IF(AB39="","No",IF(AB39&gt;Method!$B$5,"Yes","No"))</f>
        <v>Yes</v>
      </c>
      <c r="AD39" s="22" t="n">
        <f aca="false">IF(BJ39&lt;&gt;"",BJ39,IF(K39&lt;&gt;"",EDATE(K39,60),""))</f>
        <v>46805</v>
      </c>
      <c r="AE39" s="2" t="str">
        <f aca="false">IF(AND(AD39&lt;&gt;"",OR(G39="Permission Granted",G39="Commencement Expected",G39="Stalled or Suspended")),IF(AD39&lt;Method!$B$4,"Yes","No"),"No")</f>
        <v>No</v>
      </c>
      <c r="AF39" s="7"/>
      <c r="AG39" s="2" t="str">
        <f aca="false">IF(Z39="No","Not counted",IF(AF39="Lapsed or dead","Excluded",IF(AF39="Constrained","Constrained / uncertain",IF(AF39="Confirmed live",IF(G39="On Site","Committed",IF(G39="Part Complete","Committed",IF(G39="Contract Awarded","Committed Pre-Construction",IF(G39="Tender","Advanced Pre-Construction",IF(G39="Commencement Expected","Likely",IF(G39="Permission Granted","Potential",IF(G39="Stalled or Suspended","Constrained / uncertain",IF(G39="Complete","Delivered","Application Pipeline")))))))),IF(G39="Complete","Delivered",IF(AND(OR(G39="Permission Granted",G39="Commencement Expected"),OR(AC39="Yes",AE39="Yes")),"Constrained / uncertain",IF(G39="On Site","Committed",IF(G39="Part Complete","Committed",IF(G39="Contract Awarded","Committed Pre-Construction",IF(G39="Tender","Advanced Pre-Construction",IF(G39="Commencement Expected","Likely",IF(G39="Permission Granted","Potential",IF(G39="Stalled or Suspended","Constrained / uncertain",IF(G39="Complete","Delivered","Application Pipeline"))))))))))))))</f>
        <v>Not counted</v>
      </c>
      <c r="AH39" s="2" t="str">
        <f aca="false">IF(Z39="No","Relationship: "&amp;Y39,IF(AF39&lt;&gt;"","Analyst: "&amp;AF39,IF(G39="Complete","Complete",IF(AND(OR(G39="Permission Granted",G39="Commencement Expected"),AE39="Yes"),"Past expiry",IF(AND(OR(G39="Permission Granted",G39="Commencement Expected"),AC39="Yes"),"No CIS update in "&amp;AB39&amp;" months","As CIS")))))</f>
        <v>Relationship: Not live</v>
      </c>
      <c r="AI39" s="10" t="n">
        <f aca="false">IF(Z39="Yes",N(Q39),0)</f>
        <v>0</v>
      </c>
      <c r="AJ39" s="10" t="n">
        <f aca="false">IF(OR(Z39="No",G39="Complete"),0,MAX(N(Q39)-N(AA39),0))</f>
        <v>0</v>
      </c>
      <c r="AK39" s="10" t="n">
        <f aca="false">IF(Z39="No",0,IF(G39="Complete",N(Q39),MIN(N(AA39),N(Q39))))</f>
        <v>0</v>
      </c>
      <c r="AL39" s="10" t="n">
        <f aca="false">IF(OR(OR(AG39="Not counted",AG39="Excluded",AG39="Delivered"),P39="Student accommodation"),0,AJ39)</f>
        <v>0</v>
      </c>
      <c r="AM39" s="10" t="n">
        <f aca="false">IF(OR(OR(AG39="Not counted",AG39="Excluded",AG39="Delivered"),P39&lt;&gt;"Student accommodation"),0,AJ39)</f>
        <v>0</v>
      </c>
      <c r="AN39" s="10" t="n">
        <f aca="false">IF(OR(AG39="Not counted",AG39="Excluded",AG39="Delivered"),0,N(S39))</f>
        <v>0</v>
      </c>
      <c r="AO39" s="2" t="s">
        <v>1157</v>
      </c>
      <c r="AP39" s="10"/>
      <c r="AQ39" s="10" t="n">
        <v>10</v>
      </c>
      <c r="AR39" s="10" t="n">
        <v>18</v>
      </c>
      <c r="AS39" s="10" t="n">
        <v>2</v>
      </c>
      <c r="AT39" s="10"/>
      <c r="AU39" s="10"/>
      <c r="AV39" s="10" t="n">
        <f aca="false">N(AP39)+N(AQ39)+N(AR39)+N(AS39)+N(AT39)+N(AU39)</f>
        <v>30</v>
      </c>
      <c r="AW39" s="10"/>
      <c r="AX39" s="10" t="n">
        <v>30</v>
      </c>
      <c r="AY39" s="10"/>
      <c r="AZ39" s="2"/>
      <c r="BA39" s="2" t="s">
        <v>17</v>
      </c>
      <c r="BB39" s="2" t="s">
        <v>1171</v>
      </c>
      <c r="BC39" s="2" t="s">
        <v>1162</v>
      </c>
      <c r="BD39" s="2" t="s">
        <v>1163</v>
      </c>
      <c r="BE39" s="2"/>
      <c r="BF39" s="2" t="s">
        <v>1172</v>
      </c>
      <c r="BG39" s="22" t="n">
        <v>44980</v>
      </c>
      <c r="BH39" s="22" t="n">
        <v>46805</v>
      </c>
      <c r="BI39" s="2"/>
      <c r="BJ39" s="22" t="n">
        <v>46805</v>
      </c>
      <c r="BK39" s="2" t="n">
        <v>30</v>
      </c>
      <c r="BL39" s="2"/>
      <c r="BM39" s="2"/>
      <c r="BN39" s="2" t="s">
        <v>1173</v>
      </c>
      <c r="BO39" s="23" t="s">
        <v>1174</v>
      </c>
      <c r="BP39" s="2" t="n">
        <f aca="false">IF(OR(K39="",BG39=""),"",ROUND(BG39-K39,0))</f>
        <v>0</v>
      </c>
      <c r="BQ39" s="2" t="str">
        <f aca="false">IF(OR(N(BK39)=0,Q39=""),"Not recorded",IF(BK39=Q39,"Match","Differs"))</f>
        <v>Match</v>
      </c>
      <c r="BR39" s="2" t="str">
        <f aca="false">IF(N39="No","Excluded (non-residential)",IF(BF39="No reference","Unverified – no reference",IF(BF39="Not in council register","Unverified – not in register (Part 8 / other)",IF(OR(BF39="Refused",BF39="Refused on appeal",BF39="Withdrawn",BF39="Invalid",BF39="Quashed"),IF(OR(G39="Complete",G39="On Site",G39="Part Complete"),"Conflict – register not live but CIS says built","Conflict – not live in register"),IF(AND(G39="Plans Submitted",OR(BF39="Granted",BF39="Granted on appeal")),"Stage out of date – now granted",IF(AND(G39&lt;&gt;"Plans Submitted",OR(BF39="Pending",BF39="Under appeal")),"Check – register still pending",IF(N(BL39)&gt;Method!$B$7,"Check – location differs",IF(AND(BP39&lt;&gt;"",ABS(N(BP39))&gt;60),"Consistent – decision date differs","Consistent"))))))))</f>
        <v>Conflict – not live in register</v>
      </c>
      <c r="BS39" s="2"/>
      <c r="BT39" s="2"/>
      <c r="BU39" s="2"/>
      <c r="BV39" s="2"/>
      <c r="BW39" s="2"/>
      <c r="BX39" s="2"/>
    </row>
    <row r="40" customFormat="false" ht="15" hidden="false" customHeight="false" outlineLevel="0" collapsed="false">
      <c r="A40" s="2" t="n">
        <v>1184979</v>
      </c>
      <c r="B40" s="2" t="s">
        <v>481</v>
      </c>
      <c r="C40" s="2" t="s">
        <v>1175</v>
      </c>
      <c r="D40" s="2" t="s">
        <v>482</v>
      </c>
      <c r="E40" s="2" t="s">
        <v>483</v>
      </c>
      <c r="F40" s="2" t="s">
        <v>144</v>
      </c>
      <c r="G40" s="2" t="s">
        <v>198</v>
      </c>
      <c r="H40" s="2" t="s">
        <v>1014</v>
      </c>
      <c r="I40" s="2" t="s">
        <v>198</v>
      </c>
      <c r="J40" s="22" t="n">
        <v>44425</v>
      </c>
      <c r="K40" s="22" t="n">
        <v>44782</v>
      </c>
      <c r="L40" s="22" t="n">
        <v>45411.3032973727</v>
      </c>
      <c r="M40" s="2" t="s">
        <v>1016</v>
      </c>
      <c r="N40" s="2" t="s">
        <v>121</v>
      </c>
      <c r="O40" s="2"/>
      <c r="P40" s="2" t="s">
        <v>1017</v>
      </c>
      <c r="Q40" s="10" t="n">
        <v>14</v>
      </c>
      <c r="R40" s="10" t="n">
        <v>14</v>
      </c>
      <c r="S40" s="10"/>
      <c r="T40" s="2" t="s">
        <v>120</v>
      </c>
      <c r="U40" s="2"/>
      <c r="V40" s="2" t="s">
        <v>1029</v>
      </c>
      <c r="W40" s="2" t="s">
        <v>1030</v>
      </c>
      <c r="X40" s="7"/>
      <c r="Y40" s="2" t="str">
        <f aca="false">IF(X40&lt;&gt;"",X40,T40)</f>
        <v>Primary</v>
      </c>
      <c r="Z40" s="2" t="str">
        <f aca="false">IF(OR(Y40="Primary",Y40="Additional phase",Y40="Additional application on site",Y40="Replaces earlier",Y40="Extension of duration (parent not in CIS)"),"Yes","No")</f>
        <v>Yes</v>
      </c>
      <c r="AA40" s="2"/>
      <c r="AB40" s="2" t="n">
        <f aca="false">IF(L40="","",ROUND((Method!$B$4-L40)/30.44,0))</f>
        <v>29</v>
      </c>
      <c r="AC40" s="2" t="str">
        <f aca="false">IF(AB40="","No",IF(AB40&gt;Method!$B$5,"Yes","No"))</f>
        <v>Yes</v>
      </c>
      <c r="AD40" s="22" t="n">
        <f aca="false">IF(BJ40&lt;&gt;"",BJ40,IF(K40&lt;&gt;"",EDATE(K40,60),""))</f>
        <v>46645</v>
      </c>
      <c r="AE40" s="2" t="str">
        <f aca="false">IF(AND(AD40&lt;&gt;"",OR(G40="Permission Granted",G40="Commencement Expected",G40="Stalled or Suspended")),IF(AD40&lt;Method!$B$4,"Yes","No"),"No")</f>
        <v>No</v>
      </c>
      <c r="AF40" s="7"/>
      <c r="AG40" s="2" t="str">
        <f aca="false">IF(Z40="No","Not counted",IF(AF40="Lapsed or dead","Excluded",IF(AF40="Constrained","Constrained / uncertain",IF(AF40="Confirmed live",IF(G40="On Site","Committed",IF(G40="Part Complete","Committed",IF(G40="Contract Awarded","Committed Pre-Construction",IF(G40="Tender","Advanced Pre-Construction",IF(G40="Commencement Expected","Likely",IF(G40="Permission Granted","Potential",IF(G40="Stalled or Suspended","Constrained / uncertain",IF(G40="Complete","Delivered","Application Pipeline")))))))),IF(G40="Complete","Delivered",IF(AND(OR(G40="Permission Granted",G40="Commencement Expected"),OR(AC40="Yes",AE40="Yes")),"Constrained / uncertain",IF(G40="On Site","Committed",IF(G40="Part Complete","Committed",IF(G40="Contract Awarded","Committed Pre-Construction",IF(G40="Tender","Advanced Pre-Construction",IF(G40="Commencement Expected","Likely",IF(G40="Permission Granted","Potential",IF(G40="Stalled or Suspended","Constrained / uncertain",IF(G40="Complete","Delivered","Application Pipeline"))))))))))))))</f>
        <v>Committed</v>
      </c>
      <c r="AH40" s="2" t="str">
        <f aca="false">IF(Z40="No","Relationship: "&amp;Y40,IF(AF40&lt;&gt;"","Analyst: "&amp;AF40,IF(G40="Complete","Complete",IF(AND(OR(G40="Permission Granted",G40="Commencement Expected"),AE40="Yes"),"Past expiry",IF(AND(OR(G40="Permission Granted",G40="Commencement Expected"),AC40="Yes"),"No CIS update in "&amp;AB40&amp;" months","As CIS")))))</f>
        <v>As CIS</v>
      </c>
      <c r="AI40" s="10" t="n">
        <f aca="false">IF(Z40="Yes",N(Q40),0)</f>
        <v>14</v>
      </c>
      <c r="AJ40" s="10" t="n">
        <f aca="false">IF(OR(Z40="No",G40="Complete"),0,MAX(N(Q40)-N(AA40),0))</f>
        <v>14</v>
      </c>
      <c r="AK40" s="10" t="n">
        <f aca="false">IF(Z40="No",0,IF(G40="Complete",N(Q40),MIN(N(AA40),N(Q40))))</f>
        <v>0</v>
      </c>
      <c r="AL40" s="10" t="n">
        <f aca="false">IF(OR(OR(AG40="Not counted",AG40="Excluded",AG40="Delivered"),P40="Student accommodation"),0,AJ40)</f>
        <v>14</v>
      </c>
      <c r="AM40" s="10" t="n">
        <f aca="false">IF(OR(OR(AG40="Not counted",AG40="Excluded",AG40="Delivered"),P40&lt;&gt;"Student accommodation"),0,AJ40)</f>
        <v>0</v>
      </c>
      <c r="AN40" s="10" t="n">
        <f aca="false">IF(OR(AG40="Not counted",AG40="Excluded",AG40="Delivered"),0,N(S40))</f>
        <v>0</v>
      </c>
      <c r="AO40" s="2" t="s">
        <v>1021</v>
      </c>
      <c r="AP40" s="10"/>
      <c r="AQ40" s="10"/>
      <c r="AR40" s="10"/>
      <c r="AS40" s="10"/>
      <c r="AT40" s="10"/>
      <c r="AU40" s="10"/>
      <c r="AV40" s="10" t="n">
        <f aca="false">N(AP40)+N(AQ40)+N(AR40)+N(AS40)+N(AT40)+N(AU40)</f>
        <v>0</v>
      </c>
      <c r="AW40" s="10"/>
      <c r="AX40" s="10"/>
      <c r="AY40" s="10"/>
      <c r="AZ40" s="2"/>
      <c r="BA40" s="2" t="s">
        <v>1022</v>
      </c>
      <c r="BB40" s="2" t="s">
        <v>1175</v>
      </c>
      <c r="BC40" s="2" t="s">
        <v>1023</v>
      </c>
      <c r="BD40" s="2" t="s">
        <v>1024</v>
      </c>
      <c r="BE40" s="2"/>
      <c r="BF40" s="2" t="s">
        <v>1025</v>
      </c>
      <c r="BG40" s="22" t="n">
        <v>44782</v>
      </c>
      <c r="BH40" s="22" t="n">
        <v>46645</v>
      </c>
      <c r="BI40" s="2"/>
      <c r="BJ40" s="22" t="n">
        <v>46645</v>
      </c>
      <c r="BK40" s="2" t="n">
        <v>14</v>
      </c>
      <c r="BL40" s="2" t="n">
        <v>0</v>
      </c>
      <c r="BM40" s="2"/>
      <c r="BN40" s="2" t="s">
        <v>1176</v>
      </c>
      <c r="BO40" s="23" t="s">
        <v>1177</v>
      </c>
      <c r="BP40" s="2" t="n">
        <f aca="false">IF(OR(K40="",BG40=""),"",ROUND(BG40-K40,0))</f>
        <v>0</v>
      </c>
      <c r="BQ40" s="2" t="str">
        <f aca="false">IF(OR(N(BK40)=0,Q40=""),"Not recorded",IF(BK40=Q40,"Match","Differs"))</f>
        <v>Match</v>
      </c>
      <c r="BR40" s="2" t="str">
        <f aca="false">IF(N40="No","Excluded (non-residential)",IF(BF40="No reference","Unverified – no reference",IF(BF40="Not in council register","Unverified – not in register (Part 8 / other)",IF(OR(BF40="Refused",BF40="Refused on appeal",BF40="Withdrawn",BF40="Invalid",BF40="Quashed"),IF(OR(G40="Complete",G40="On Site",G40="Part Complete"),"Conflict – register not live but CIS says built","Conflict – not live in register"),IF(AND(G40="Plans Submitted",OR(BF40="Granted",BF40="Granted on appeal")),"Stage out of date – now granted",IF(AND(G40&lt;&gt;"Plans Submitted",OR(BF40="Pending",BF40="Under appeal")),"Check – register still pending",IF(N(BL40)&gt;Method!$B$7,"Check – location differs",IF(AND(BP40&lt;&gt;"",ABS(N(BP40))&gt;60),"Consistent – decision date differs","Consistent"))))))))</f>
        <v>Consistent</v>
      </c>
      <c r="BS40" s="2" t="n">
        <v>1812</v>
      </c>
      <c r="BT40" s="2" t="s">
        <v>1151</v>
      </c>
      <c r="BU40" s="2"/>
      <c r="BV40" s="2" t="s">
        <v>1178</v>
      </c>
      <c r="BW40" s="2" t="s">
        <v>1179</v>
      </c>
      <c r="BX40" s="2" t="s">
        <v>1152</v>
      </c>
    </row>
    <row r="41" customFormat="false" ht="15" hidden="false" customHeight="false" outlineLevel="0" collapsed="false">
      <c r="A41" s="2" t="n">
        <v>1188558</v>
      </c>
      <c r="B41" s="2" t="s">
        <v>396</v>
      </c>
      <c r="C41" s="2" t="s">
        <v>1180</v>
      </c>
      <c r="D41" s="2" t="s">
        <v>397</v>
      </c>
      <c r="E41" s="2" t="s">
        <v>398</v>
      </c>
      <c r="F41" s="2" t="s">
        <v>139</v>
      </c>
      <c r="G41" s="2" t="s">
        <v>251</v>
      </c>
      <c r="H41" s="2" t="s">
        <v>1014</v>
      </c>
      <c r="I41" s="2" t="s">
        <v>1015</v>
      </c>
      <c r="J41" s="22" t="n">
        <v>44448</v>
      </c>
      <c r="K41" s="22" t="n">
        <v>45195</v>
      </c>
      <c r="L41" s="22" t="n">
        <v>45817.3471607292</v>
      </c>
      <c r="M41" s="2" t="s">
        <v>1016</v>
      </c>
      <c r="N41" s="2" t="s">
        <v>121</v>
      </c>
      <c r="O41" s="2"/>
      <c r="P41" s="2" t="s">
        <v>1017</v>
      </c>
      <c r="Q41" s="10" t="n">
        <v>15</v>
      </c>
      <c r="R41" s="10"/>
      <c r="S41" s="10"/>
      <c r="T41" s="2" t="s">
        <v>120</v>
      </c>
      <c r="U41" s="2"/>
      <c r="V41" s="2" t="s">
        <v>1029</v>
      </c>
      <c r="W41" s="2" t="s">
        <v>1030</v>
      </c>
      <c r="X41" s="7"/>
      <c r="Y41" s="2" t="str">
        <f aca="false">IF(X41&lt;&gt;"",X41,T41)</f>
        <v>Primary</v>
      </c>
      <c r="Z41" s="2" t="str">
        <f aca="false">IF(OR(Y41="Primary",Y41="Additional phase",Y41="Additional application on site",Y41="Replaces earlier",Y41="Extension of duration (parent not in CIS)"),"Yes","No")</f>
        <v>Yes</v>
      </c>
      <c r="AA41" s="2"/>
      <c r="AB41" s="2" t="n">
        <f aca="false">IF(L41="","",ROUND((Method!$B$4-L41)/30.44,0))</f>
        <v>16</v>
      </c>
      <c r="AC41" s="2" t="str">
        <f aca="false">IF(AB41="","No",IF(AB41&gt;Method!$B$5,"Yes","No"))</f>
        <v>No</v>
      </c>
      <c r="AD41" s="22" t="n">
        <f aca="false">IF(BJ41&lt;&gt;"",BJ41,IF(K41&lt;&gt;"",EDATE(K41,60),""))</f>
        <v>47020</v>
      </c>
      <c r="AE41" s="2" t="str">
        <f aca="false">IF(AND(AD41&lt;&gt;"",OR(G41="Permission Granted",G41="Commencement Expected",G41="Stalled or Suspended")),IF(AD41&lt;Method!$B$4,"Yes","No"),"No")</f>
        <v>No</v>
      </c>
      <c r="AF41" s="7"/>
      <c r="AG41" s="2" t="str">
        <f aca="false">IF(Z41="No","Not counted",IF(AF41="Lapsed or dead","Excluded",IF(AF41="Constrained","Constrained / uncertain",IF(AF41="Confirmed live",IF(G41="On Site","Committed",IF(G41="Part Complete","Committed",IF(G41="Contract Awarded","Committed Pre-Construction",IF(G41="Tender","Advanced Pre-Construction",IF(G41="Commencement Expected","Likely",IF(G41="Permission Granted","Potential",IF(G41="Stalled or Suspended","Constrained / uncertain",IF(G41="Complete","Delivered","Application Pipeline")))))))),IF(G41="Complete","Delivered",IF(AND(OR(G41="Permission Granted",G41="Commencement Expected"),OR(AC41="Yes",AE41="Yes")),"Constrained / uncertain",IF(G41="On Site","Committed",IF(G41="Part Complete","Committed",IF(G41="Contract Awarded","Committed Pre-Construction",IF(G41="Tender","Advanced Pre-Construction",IF(G41="Commencement Expected","Likely",IF(G41="Permission Granted","Potential",IF(G41="Stalled or Suspended","Constrained / uncertain",IF(G41="Complete","Delivered","Application Pipeline"))))))))))))))</f>
        <v>Delivered</v>
      </c>
      <c r="AH41" s="2" t="str">
        <f aca="false">IF(Z41="No","Relationship: "&amp;Y41,IF(AF41&lt;&gt;"","Analyst: "&amp;AF41,IF(G41="Complete","Complete",IF(AND(OR(G41="Permission Granted",G41="Commencement Expected"),AE41="Yes"),"Past expiry",IF(AND(OR(G41="Permission Granted",G41="Commencement Expected"),AC41="Yes"),"No CIS update in "&amp;AB41&amp;" months","As CIS")))))</f>
        <v>Complete</v>
      </c>
      <c r="AI41" s="10" t="n">
        <f aca="false">IF(Z41="Yes",N(Q41),0)</f>
        <v>15</v>
      </c>
      <c r="AJ41" s="10" t="n">
        <f aca="false">IF(OR(Z41="No",G41="Complete"),0,MAX(N(Q41)-N(AA41),0))</f>
        <v>0</v>
      </c>
      <c r="AK41" s="10" t="n">
        <f aca="false">IF(Z41="No",0,IF(G41="Complete",N(Q41),MIN(N(AA41),N(Q41))))</f>
        <v>15</v>
      </c>
      <c r="AL41" s="10" t="n">
        <f aca="false">IF(OR(OR(AG41="Not counted",AG41="Excluded",AG41="Delivered"),P41="Student accommodation"),0,AJ41)</f>
        <v>0</v>
      </c>
      <c r="AM41" s="10" t="n">
        <f aca="false">IF(OR(OR(AG41="Not counted",AG41="Excluded",AG41="Delivered"),P41&lt;&gt;"Student accommodation"),0,AJ41)</f>
        <v>0</v>
      </c>
      <c r="AN41" s="10" t="n">
        <f aca="false">IF(OR(AG41="Not counted",AG41="Excluded",AG41="Delivered"),0,N(S41))</f>
        <v>0</v>
      </c>
      <c r="AO41" s="2" t="s">
        <v>1157</v>
      </c>
      <c r="AP41" s="10"/>
      <c r="AQ41" s="10" t="n">
        <v>6</v>
      </c>
      <c r="AR41" s="10" t="n">
        <v>9</v>
      </c>
      <c r="AS41" s="10"/>
      <c r="AT41" s="10"/>
      <c r="AU41" s="10"/>
      <c r="AV41" s="10" t="n">
        <f aca="false">N(AP41)+N(AQ41)+N(AR41)+N(AS41)+N(AT41)+N(AU41)</f>
        <v>15</v>
      </c>
      <c r="AW41" s="10"/>
      <c r="AX41" s="10" t="n">
        <v>15</v>
      </c>
      <c r="AY41" s="10"/>
      <c r="AZ41" s="2"/>
      <c r="BA41" s="2" t="s">
        <v>1022</v>
      </c>
      <c r="BB41" s="2" t="s">
        <v>1180</v>
      </c>
      <c r="BC41" s="2" t="s">
        <v>1023</v>
      </c>
      <c r="BD41" s="2" t="s">
        <v>1024</v>
      </c>
      <c r="BE41" s="2" t="s">
        <v>1024</v>
      </c>
      <c r="BF41" s="2" t="s">
        <v>1059</v>
      </c>
      <c r="BG41" s="22" t="n">
        <v>44687</v>
      </c>
      <c r="BH41" s="22" t="n">
        <v>47020</v>
      </c>
      <c r="BI41" s="2"/>
      <c r="BJ41" s="22" t="n">
        <v>47020</v>
      </c>
      <c r="BK41" s="2" t="n">
        <v>6</v>
      </c>
      <c r="BL41" s="2" t="n">
        <v>0</v>
      </c>
      <c r="BM41" s="2"/>
      <c r="BN41" s="2" t="s">
        <v>1181</v>
      </c>
      <c r="BO41" s="23" t="s">
        <v>1182</v>
      </c>
      <c r="BP41" s="2" t="n">
        <f aca="false">IF(OR(K41="",BG41=""),"",ROUND(BG41-K41,0))</f>
        <v>-508</v>
      </c>
      <c r="BQ41" s="2" t="str">
        <f aca="false">IF(OR(N(BK41)=0,Q41=""),"Not recorded",IF(BK41=Q41,"Match","Differs"))</f>
        <v>Differs</v>
      </c>
      <c r="BR41" s="2" t="str">
        <f aca="false">IF(N41="No","Excluded (non-residential)",IF(BF41="No reference","Unverified – no reference",IF(BF41="Not in council register","Unverified – not in register (Part 8 / other)",IF(OR(BF41="Refused",BF41="Refused on appeal",BF41="Withdrawn",BF41="Invalid",BF41="Quashed"),IF(OR(G41="Complete",G41="On Site",G41="Part Complete"),"Conflict – register not live but CIS says built","Conflict – not live in register"),IF(AND(G41="Plans Submitted",OR(BF41="Granted",BF41="Granted on appeal")),"Stage out of date – now granted",IF(AND(G41&lt;&gt;"Plans Submitted",OR(BF41="Pending",BF41="Under appeal")),"Check – register still pending",IF(N(BL41)&gt;Method!$B$7,"Check – location differs",IF(AND(BP41&lt;&gt;"",ABS(N(BP41))&gt;60),"Consistent – decision date differs","Consistent"))))))))</f>
        <v>Consistent – decision date differs</v>
      </c>
      <c r="BS41" s="2" t="n">
        <v>1680</v>
      </c>
      <c r="BT41" s="2" t="s">
        <v>1183</v>
      </c>
      <c r="BU41" s="2" t="s">
        <v>1184</v>
      </c>
      <c r="BV41" s="2" t="s">
        <v>1015</v>
      </c>
      <c r="BW41" s="2" t="s">
        <v>1092</v>
      </c>
      <c r="BX41" s="2" t="s">
        <v>1185</v>
      </c>
    </row>
    <row r="42" customFormat="false" ht="15" hidden="false" customHeight="false" outlineLevel="0" collapsed="false">
      <c r="A42" s="2" t="n">
        <v>1193931</v>
      </c>
      <c r="B42" s="2" t="s">
        <v>336</v>
      </c>
      <c r="C42" s="2" t="s">
        <v>1186</v>
      </c>
      <c r="D42" s="2" t="s">
        <v>337</v>
      </c>
      <c r="E42" s="2" t="s">
        <v>338</v>
      </c>
      <c r="F42" s="2" t="s">
        <v>144</v>
      </c>
      <c r="G42" s="2" t="s">
        <v>198</v>
      </c>
      <c r="H42" s="2" t="s">
        <v>1014</v>
      </c>
      <c r="I42" s="2" t="s">
        <v>198</v>
      </c>
      <c r="J42" s="22" t="n">
        <v>44476</v>
      </c>
      <c r="K42" s="22" t="n">
        <v>44698</v>
      </c>
      <c r="L42" s="22" t="n">
        <v>46058.581921794</v>
      </c>
      <c r="M42" s="2" t="s">
        <v>1016</v>
      </c>
      <c r="N42" s="2" t="s">
        <v>121</v>
      </c>
      <c r="O42" s="2"/>
      <c r="P42" s="2" t="s">
        <v>1017</v>
      </c>
      <c r="Q42" s="10" t="n">
        <v>6</v>
      </c>
      <c r="R42" s="10"/>
      <c r="S42" s="10"/>
      <c r="T42" s="2" t="s">
        <v>120</v>
      </c>
      <c r="U42" s="2"/>
      <c r="V42" s="2" t="s">
        <v>1029</v>
      </c>
      <c r="W42" s="2" t="s">
        <v>1030</v>
      </c>
      <c r="X42" s="7"/>
      <c r="Y42" s="2" t="str">
        <f aca="false">IF(X42&lt;&gt;"",X42,T42)</f>
        <v>Primary</v>
      </c>
      <c r="Z42" s="2" t="str">
        <f aca="false">IF(OR(Y42="Primary",Y42="Additional phase",Y42="Additional application on site",Y42="Replaces earlier",Y42="Extension of duration (parent not in CIS)"),"Yes","No")</f>
        <v>Yes</v>
      </c>
      <c r="AA42" s="2"/>
      <c r="AB42" s="2" t="n">
        <f aca="false">IF(L42="","",ROUND((Method!$B$4-L42)/30.44,0))</f>
        <v>8</v>
      </c>
      <c r="AC42" s="2" t="str">
        <f aca="false">IF(AB42="","No",IF(AB42&gt;Method!$B$5,"Yes","No"))</f>
        <v>No</v>
      </c>
      <c r="AD42" s="22" t="n">
        <f aca="false">IF(BJ42&lt;&gt;"",BJ42,IF(K42&lt;&gt;"",EDATE(K42,60),""))</f>
        <v>46558</v>
      </c>
      <c r="AE42" s="2" t="str">
        <f aca="false">IF(AND(AD42&lt;&gt;"",OR(G42="Permission Granted",G42="Commencement Expected",G42="Stalled or Suspended")),IF(AD42&lt;Method!$B$4,"Yes","No"),"No")</f>
        <v>No</v>
      </c>
      <c r="AF42" s="7"/>
      <c r="AG42" s="2" t="str">
        <f aca="false">IF(Z42="No","Not counted",IF(AF42="Lapsed or dead","Excluded",IF(AF42="Constrained","Constrained / uncertain",IF(AF42="Confirmed live",IF(G42="On Site","Committed",IF(G42="Part Complete","Committed",IF(G42="Contract Awarded","Committed Pre-Construction",IF(G42="Tender","Advanced Pre-Construction",IF(G42="Commencement Expected","Likely",IF(G42="Permission Granted","Potential",IF(G42="Stalled or Suspended","Constrained / uncertain",IF(G42="Complete","Delivered","Application Pipeline")))))))),IF(G42="Complete","Delivered",IF(AND(OR(G42="Permission Granted",G42="Commencement Expected"),OR(AC42="Yes",AE42="Yes")),"Constrained / uncertain",IF(G42="On Site","Committed",IF(G42="Part Complete","Committed",IF(G42="Contract Awarded","Committed Pre-Construction",IF(G42="Tender","Advanced Pre-Construction",IF(G42="Commencement Expected","Likely",IF(G42="Permission Granted","Potential",IF(G42="Stalled or Suspended","Constrained / uncertain",IF(G42="Complete","Delivered","Application Pipeline"))))))))))))))</f>
        <v>Committed</v>
      </c>
      <c r="AH42" s="2" t="str">
        <f aca="false">IF(Z42="No","Relationship: "&amp;Y42,IF(AF42&lt;&gt;"","Analyst: "&amp;AF42,IF(G42="Complete","Complete",IF(AND(OR(G42="Permission Granted",G42="Commencement Expected"),AE42="Yes"),"Past expiry",IF(AND(OR(G42="Permission Granted",G42="Commencement Expected"),AC42="Yes"),"No CIS update in "&amp;AB42&amp;" months","As CIS")))))</f>
        <v>As CIS</v>
      </c>
      <c r="AI42" s="10" t="n">
        <f aca="false">IF(Z42="Yes",N(Q42),0)</f>
        <v>6</v>
      </c>
      <c r="AJ42" s="10" t="n">
        <f aca="false">IF(OR(Z42="No",G42="Complete"),0,MAX(N(Q42)-N(AA42),0))</f>
        <v>6</v>
      </c>
      <c r="AK42" s="10" t="n">
        <f aca="false">IF(Z42="No",0,IF(G42="Complete",N(Q42),MIN(N(AA42),N(Q42))))</f>
        <v>0</v>
      </c>
      <c r="AL42" s="10" t="n">
        <f aca="false">IF(OR(OR(AG42="Not counted",AG42="Excluded",AG42="Delivered"),P42="Student accommodation"),0,AJ42)</f>
        <v>6</v>
      </c>
      <c r="AM42" s="10" t="n">
        <f aca="false">IF(OR(OR(AG42="Not counted",AG42="Excluded",AG42="Delivered"),P42&lt;&gt;"Student accommodation"),0,AJ42)</f>
        <v>0</v>
      </c>
      <c r="AN42" s="10" t="n">
        <f aca="false">IF(OR(AG42="Not counted",AG42="Excluded",AG42="Delivered"),0,N(S42))</f>
        <v>0</v>
      </c>
      <c r="AO42" s="2" t="s">
        <v>1021</v>
      </c>
      <c r="AP42" s="10"/>
      <c r="AQ42" s="10"/>
      <c r="AR42" s="10"/>
      <c r="AS42" s="10"/>
      <c r="AT42" s="10"/>
      <c r="AU42" s="10"/>
      <c r="AV42" s="10" t="n">
        <f aca="false">N(AP42)+N(AQ42)+N(AR42)+N(AS42)+N(AT42)+N(AU42)</f>
        <v>0</v>
      </c>
      <c r="AW42" s="10"/>
      <c r="AX42" s="10"/>
      <c r="AY42" s="10"/>
      <c r="AZ42" s="2"/>
      <c r="BA42" s="2" t="s">
        <v>1022</v>
      </c>
      <c r="BB42" s="2" t="s">
        <v>1186</v>
      </c>
      <c r="BC42" s="2" t="s">
        <v>1023</v>
      </c>
      <c r="BD42" s="2" t="s">
        <v>1024</v>
      </c>
      <c r="BE42" s="2"/>
      <c r="BF42" s="2" t="s">
        <v>1025</v>
      </c>
      <c r="BG42" s="22" t="n">
        <v>44698</v>
      </c>
      <c r="BH42" s="22" t="n">
        <v>46558</v>
      </c>
      <c r="BI42" s="2"/>
      <c r="BJ42" s="22" t="n">
        <v>46558</v>
      </c>
      <c r="BK42" s="2" t="n">
        <v>6</v>
      </c>
      <c r="BL42" s="2" t="n">
        <v>0</v>
      </c>
      <c r="BM42" s="2"/>
      <c r="BN42" s="2" t="s">
        <v>1187</v>
      </c>
      <c r="BO42" s="23" t="s">
        <v>1188</v>
      </c>
      <c r="BP42" s="2" t="n">
        <f aca="false">IF(OR(K42="",BG42=""),"",ROUND(BG42-K42,0))</f>
        <v>0</v>
      </c>
      <c r="BQ42" s="2" t="str">
        <f aca="false">IF(OR(N(BK42)=0,Q42=""),"Not recorded",IF(BK42=Q42,"Match","Differs"))</f>
        <v>Match</v>
      </c>
      <c r="BR42" s="2" t="str">
        <f aca="false">IF(N42="No","Excluded (non-residential)",IF(BF42="No reference","Unverified – no reference",IF(BF42="Not in council register","Unverified – not in register (Part 8 / other)",IF(OR(BF42="Refused",BF42="Refused on appeal",BF42="Withdrawn",BF42="Invalid",BF42="Quashed"),IF(OR(G42="Complete",G42="On Site",G42="Part Complete"),"Conflict – register not live but CIS says built","Conflict – not live in register"),IF(AND(G42="Plans Submitted",OR(BF42="Granted",BF42="Granted on appeal")),"Stage out of date – now granted",IF(AND(G42&lt;&gt;"Plans Submitted",OR(BF42="Pending",BF42="Under appeal")),"Check – register still pending",IF(N(BL42)&gt;Method!$B$7,"Check – location differs",IF(AND(BP42&lt;&gt;"",ABS(N(BP42))&gt;60),"Consistent – decision date differs","Consistent"))))))))</f>
        <v>Consistent</v>
      </c>
      <c r="BS42" s="2"/>
      <c r="BT42" s="2"/>
      <c r="BU42" s="2"/>
      <c r="BV42" s="2"/>
      <c r="BW42" s="2"/>
      <c r="BX42" s="2"/>
    </row>
    <row r="43" customFormat="false" ht="15" hidden="false" customHeight="false" outlineLevel="0" collapsed="false">
      <c r="A43" s="2" t="n">
        <v>1194302</v>
      </c>
      <c r="B43" s="2" t="s">
        <v>233</v>
      </c>
      <c r="C43" s="2" t="s">
        <v>1189</v>
      </c>
      <c r="D43" s="2" t="s">
        <v>234</v>
      </c>
      <c r="E43" s="2" t="s">
        <v>1190</v>
      </c>
      <c r="F43" s="2" t="s">
        <v>144</v>
      </c>
      <c r="G43" s="2" t="s">
        <v>198</v>
      </c>
      <c r="H43" s="2" t="s">
        <v>1014</v>
      </c>
      <c r="I43" s="2" t="s">
        <v>198</v>
      </c>
      <c r="J43" s="22" t="n">
        <v>44476</v>
      </c>
      <c r="K43" s="22" t="n">
        <v>44650</v>
      </c>
      <c r="L43" s="22" t="n">
        <v>46244.2838293171</v>
      </c>
      <c r="M43" s="2" t="s">
        <v>1016</v>
      </c>
      <c r="N43" s="2" t="s">
        <v>121</v>
      </c>
      <c r="O43" s="2"/>
      <c r="P43" s="2" t="s">
        <v>1017</v>
      </c>
      <c r="Q43" s="10" t="n">
        <v>371</v>
      </c>
      <c r="R43" s="10" t="n">
        <v>371</v>
      </c>
      <c r="S43" s="10"/>
      <c r="T43" s="2" t="s">
        <v>120</v>
      </c>
      <c r="U43" s="2"/>
      <c r="V43" s="2" t="s">
        <v>1029</v>
      </c>
      <c r="W43" s="2" t="s">
        <v>1030</v>
      </c>
      <c r="X43" s="7"/>
      <c r="Y43" s="2" t="str">
        <f aca="false">IF(X43&lt;&gt;"",X43,T43)</f>
        <v>Primary</v>
      </c>
      <c r="Z43" s="2" t="str">
        <f aca="false">IF(OR(Y43="Primary",Y43="Additional phase",Y43="Additional application on site",Y43="Replaces earlier",Y43="Extension of duration (parent not in CIS)"),"Yes","No")</f>
        <v>Yes</v>
      </c>
      <c r="AA43" s="2"/>
      <c r="AB43" s="2" t="n">
        <f aca="false">IF(L43="","",ROUND((Method!$B$4-L43)/30.44,0))</f>
        <v>2</v>
      </c>
      <c r="AC43" s="2" t="str">
        <f aca="false">IF(AB43="","No",IF(AB43&gt;Method!$B$5,"Yes","No"))</f>
        <v>No</v>
      </c>
      <c r="AD43" s="22" t="n">
        <f aca="false">IF(BJ43&lt;&gt;"",BJ43,IF(K43&lt;&gt;"",EDATE(K43,60),""))</f>
        <v>46475</v>
      </c>
      <c r="AE43" s="2" t="str">
        <f aca="false">IF(AND(AD43&lt;&gt;"",OR(G43="Permission Granted",G43="Commencement Expected",G43="Stalled or Suspended")),IF(AD43&lt;Method!$B$4,"Yes","No"),"No")</f>
        <v>No</v>
      </c>
      <c r="AF43" s="7"/>
      <c r="AG43" s="2" t="str">
        <f aca="false">IF(Z43="No","Not counted",IF(AF43="Lapsed or dead","Excluded",IF(AF43="Constrained","Constrained / uncertain",IF(AF43="Confirmed live",IF(G43="On Site","Committed",IF(G43="Part Complete","Committed",IF(G43="Contract Awarded","Committed Pre-Construction",IF(G43="Tender","Advanced Pre-Construction",IF(G43="Commencement Expected","Likely",IF(G43="Permission Granted","Potential",IF(G43="Stalled or Suspended","Constrained / uncertain",IF(G43="Complete","Delivered","Application Pipeline")))))))),IF(G43="Complete","Delivered",IF(AND(OR(G43="Permission Granted",G43="Commencement Expected"),OR(AC43="Yes",AE43="Yes")),"Constrained / uncertain",IF(G43="On Site","Committed",IF(G43="Part Complete","Committed",IF(G43="Contract Awarded","Committed Pre-Construction",IF(G43="Tender","Advanced Pre-Construction",IF(G43="Commencement Expected","Likely",IF(G43="Permission Granted","Potential",IF(G43="Stalled or Suspended","Constrained / uncertain",IF(G43="Complete","Delivered","Application Pipeline"))))))))))))))</f>
        <v>Committed</v>
      </c>
      <c r="AH43" s="2" t="str">
        <f aca="false">IF(Z43="No","Relationship: "&amp;Y43,IF(AF43&lt;&gt;"","Analyst: "&amp;AF43,IF(G43="Complete","Complete",IF(AND(OR(G43="Permission Granted",G43="Commencement Expected"),AE43="Yes"),"Past expiry",IF(AND(OR(G43="Permission Granted",G43="Commencement Expected"),AC43="Yes"),"No CIS update in "&amp;AB43&amp;" months","As CIS")))))</f>
        <v>As CIS</v>
      </c>
      <c r="AI43" s="10" t="n">
        <f aca="false">IF(Z43="Yes",N(Q43),0)</f>
        <v>371</v>
      </c>
      <c r="AJ43" s="10" t="n">
        <f aca="false">IF(OR(Z43="No",G43="Complete"),0,MAX(N(Q43)-N(AA43),0))</f>
        <v>371</v>
      </c>
      <c r="AK43" s="10" t="n">
        <f aca="false">IF(Z43="No",0,IF(G43="Complete",N(Q43),MIN(N(AA43),N(Q43))))</f>
        <v>0</v>
      </c>
      <c r="AL43" s="10" t="n">
        <f aca="false">IF(OR(OR(AG43="Not counted",AG43="Excluded",AG43="Delivered"),P43="Student accommodation"),0,AJ43)</f>
        <v>371</v>
      </c>
      <c r="AM43" s="10" t="n">
        <f aca="false">IF(OR(OR(AG43="Not counted",AG43="Excluded",AG43="Delivered"),P43&lt;&gt;"Student accommodation"),0,AJ43)</f>
        <v>0</v>
      </c>
      <c r="AN43" s="10" t="n">
        <f aca="false">IF(OR(AG43="Not counted",AG43="Excluded",AG43="Delivered"),0,N(S43))</f>
        <v>0</v>
      </c>
      <c r="AO43" s="2" t="s">
        <v>1157</v>
      </c>
      <c r="AP43" s="10"/>
      <c r="AQ43" s="10" t="n">
        <v>70</v>
      </c>
      <c r="AR43" s="10" t="n">
        <v>153</v>
      </c>
      <c r="AS43" s="10" t="n">
        <v>124</v>
      </c>
      <c r="AT43" s="10" t="n">
        <v>24</v>
      </c>
      <c r="AU43" s="10"/>
      <c r="AV43" s="10" t="n">
        <f aca="false">N(AP43)+N(AQ43)+N(AR43)+N(AS43)+N(AT43)+N(AU43)</f>
        <v>371</v>
      </c>
      <c r="AW43" s="10" t="n">
        <v>157</v>
      </c>
      <c r="AX43" s="10" t="n">
        <v>214</v>
      </c>
      <c r="AY43" s="10"/>
      <c r="AZ43" s="2"/>
      <c r="BA43" s="2" t="s">
        <v>17</v>
      </c>
      <c r="BB43" s="2" t="s">
        <v>1191</v>
      </c>
      <c r="BC43" s="2" t="s">
        <v>1162</v>
      </c>
      <c r="BD43" s="2" t="s">
        <v>1163</v>
      </c>
      <c r="BE43" s="2"/>
      <c r="BF43" s="2" t="s">
        <v>1025</v>
      </c>
      <c r="BG43" s="22" t="n">
        <v>44650</v>
      </c>
      <c r="BH43" s="22" t="n">
        <v>46475</v>
      </c>
      <c r="BI43" s="2"/>
      <c r="BJ43" s="22" t="n">
        <v>46475</v>
      </c>
      <c r="BK43" s="2" t="n">
        <v>371</v>
      </c>
      <c r="BL43" s="2"/>
      <c r="BM43" s="2"/>
      <c r="BN43" s="2" t="s">
        <v>1192</v>
      </c>
      <c r="BO43" s="23" t="s">
        <v>1193</v>
      </c>
      <c r="BP43" s="2" t="n">
        <f aca="false">IF(OR(K43="",BG43=""),"",ROUND(BG43-K43,0))</f>
        <v>0</v>
      </c>
      <c r="BQ43" s="2" t="str">
        <f aca="false">IF(OR(N(BK43)=0,Q43=""),"Not recorded",IF(BK43=Q43,"Match","Differs"))</f>
        <v>Match</v>
      </c>
      <c r="BR43" s="2" t="str">
        <f aca="false">IF(N43="No","Excluded (non-residential)",IF(BF43="No reference","Unverified – no reference",IF(BF43="Not in council register","Unverified – not in register (Part 8 / other)",IF(OR(BF43="Refused",BF43="Refused on appeal",BF43="Withdrawn",BF43="Invalid",BF43="Quashed"),IF(OR(G43="Complete",G43="On Site",G43="Part Complete"),"Conflict – register not live but CIS says built","Conflict – not live in register"),IF(AND(G43="Plans Submitted",OR(BF43="Granted",BF43="Granted on appeal")),"Stage out of date – now granted",IF(AND(G43&lt;&gt;"Plans Submitted",OR(BF43="Pending",BF43="Under appeal")),"Check – register still pending",IF(N(BL43)&gt;Method!$B$7,"Check – location differs",IF(AND(BP43&lt;&gt;"",ABS(N(BP43))&gt;60),"Consistent – decision date differs","Consistent"))))))))</f>
        <v>Consistent</v>
      </c>
      <c r="BS43" s="2"/>
      <c r="BT43" s="2"/>
      <c r="BU43" s="2"/>
      <c r="BV43" s="2"/>
      <c r="BW43" s="2"/>
      <c r="BX43" s="2"/>
    </row>
    <row r="44" customFormat="false" ht="15" hidden="false" customHeight="false" outlineLevel="0" collapsed="false">
      <c r="A44" s="2" t="n">
        <v>1195465</v>
      </c>
      <c r="B44" s="2" t="s">
        <v>562</v>
      </c>
      <c r="C44" s="2" t="s">
        <v>1194</v>
      </c>
      <c r="D44" s="2" t="s">
        <v>563</v>
      </c>
      <c r="E44" s="2" t="s">
        <v>564</v>
      </c>
      <c r="F44" s="2" t="s">
        <v>144</v>
      </c>
      <c r="G44" s="2" t="s">
        <v>187</v>
      </c>
      <c r="H44" s="2" t="s">
        <v>1014</v>
      </c>
      <c r="I44" s="2"/>
      <c r="J44" s="22" t="n">
        <v>44484</v>
      </c>
      <c r="K44" s="22" t="n">
        <v>44791</v>
      </c>
      <c r="L44" s="22" t="n">
        <v>44797.6065082176</v>
      </c>
      <c r="M44" s="2" t="s">
        <v>1016</v>
      </c>
      <c r="N44" s="2" t="s">
        <v>121</v>
      </c>
      <c r="O44" s="2"/>
      <c r="P44" s="2" t="s">
        <v>1017</v>
      </c>
      <c r="Q44" s="10" t="n">
        <v>14</v>
      </c>
      <c r="R44" s="10"/>
      <c r="S44" s="10"/>
      <c r="T44" s="2" t="s">
        <v>120</v>
      </c>
      <c r="U44" s="2"/>
      <c r="V44" s="2" t="s">
        <v>1029</v>
      </c>
      <c r="W44" s="2" t="s">
        <v>1030</v>
      </c>
      <c r="X44" s="7"/>
      <c r="Y44" s="2" t="str">
        <f aca="false">IF(X44&lt;&gt;"",X44,T44)</f>
        <v>Primary</v>
      </c>
      <c r="Z44" s="2" t="str">
        <f aca="false">IF(OR(Y44="Primary",Y44="Additional phase",Y44="Additional application on site",Y44="Replaces earlier",Y44="Extension of duration (parent not in CIS)"),"Yes","No")</f>
        <v>Yes</v>
      </c>
      <c r="AA44" s="2"/>
      <c r="AB44" s="2" t="n">
        <f aca="false">IF(L44="","",ROUND((Method!$B$4-L44)/30.44,0))</f>
        <v>49</v>
      </c>
      <c r="AC44" s="2" t="str">
        <f aca="false">IF(AB44="","No",IF(AB44&gt;Method!$B$5,"Yes","No"))</f>
        <v>Yes</v>
      </c>
      <c r="AD44" s="22" t="n">
        <f aca="false">IF(BJ44&lt;&gt;"",BJ44,IF(K44&lt;&gt;"",EDATE(K44,60),""))</f>
        <v>46650</v>
      </c>
      <c r="AE44" s="2" t="str">
        <f aca="false">IF(AND(AD44&lt;&gt;"",OR(G44="Permission Granted",G44="Commencement Expected",G44="Stalled or Suspended")),IF(AD44&lt;Method!$B$4,"Yes","No"),"No")</f>
        <v>No</v>
      </c>
      <c r="AF44" s="7"/>
      <c r="AG44" s="2" t="str">
        <f aca="false">IF(Z44="No","Not counted",IF(AF44="Lapsed or dead","Excluded",IF(AF44="Constrained","Constrained / uncertain",IF(AF44="Confirmed live",IF(G44="On Site","Committed",IF(G44="Part Complete","Committed",IF(G44="Contract Awarded","Committed Pre-Construction",IF(G44="Tender","Advanced Pre-Construction",IF(G44="Commencement Expected","Likely",IF(G44="Permission Granted","Potential",IF(G44="Stalled or Suspended","Constrained / uncertain",IF(G44="Complete","Delivered","Application Pipeline")))))))),IF(G44="Complete","Delivered",IF(AND(OR(G44="Permission Granted",G44="Commencement Expected"),OR(AC44="Yes",AE44="Yes")),"Constrained / uncertain",IF(G44="On Site","Committed",IF(G44="Part Complete","Committed",IF(G44="Contract Awarded","Committed Pre-Construction",IF(G44="Tender","Advanced Pre-Construction",IF(G44="Commencement Expected","Likely",IF(G44="Permission Granted","Potential",IF(G44="Stalled or Suspended","Constrained / uncertain",IF(G44="Complete","Delivered","Application Pipeline"))))))))))))))</f>
        <v>Constrained / uncertain</v>
      </c>
      <c r="AH44" s="2" t="str">
        <f aca="false">IF(Z44="No","Relationship: "&amp;Y44,IF(AF44&lt;&gt;"","Analyst: "&amp;AF44,IF(G44="Complete","Complete",IF(AND(OR(G44="Permission Granted",G44="Commencement Expected"),AE44="Yes"),"Past expiry",IF(AND(OR(G44="Permission Granted",G44="Commencement Expected"),AC44="Yes"),"No CIS update in "&amp;AB44&amp;" months","As CIS")))))</f>
        <v>No CIS update in 49 months</v>
      </c>
      <c r="AI44" s="10" t="n">
        <f aca="false">IF(Z44="Yes",N(Q44),0)</f>
        <v>14</v>
      </c>
      <c r="AJ44" s="10" t="n">
        <f aca="false">IF(OR(Z44="No",G44="Complete"),0,MAX(N(Q44)-N(AA44),0))</f>
        <v>14</v>
      </c>
      <c r="AK44" s="10" t="n">
        <f aca="false">IF(Z44="No",0,IF(G44="Complete",N(Q44),MIN(N(AA44),N(Q44))))</f>
        <v>0</v>
      </c>
      <c r="AL44" s="10" t="n">
        <f aca="false">IF(OR(OR(AG44="Not counted",AG44="Excluded",AG44="Delivered"),P44="Student accommodation"),0,AJ44)</f>
        <v>14</v>
      </c>
      <c r="AM44" s="10" t="n">
        <f aca="false">IF(OR(OR(AG44="Not counted",AG44="Excluded",AG44="Delivered"),P44&lt;&gt;"Student accommodation"),0,AJ44)</f>
        <v>0</v>
      </c>
      <c r="AN44" s="10" t="n">
        <f aca="false">IF(OR(AG44="Not counted",AG44="Excluded",AG44="Delivered"),0,N(S44))</f>
        <v>0</v>
      </c>
      <c r="AO44" s="2" t="s">
        <v>1157</v>
      </c>
      <c r="AP44" s="10"/>
      <c r="AQ44" s="10" t="n">
        <v>4</v>
      </c>
      <c r="AR44" s="10" t="n">
        <v>7</v>
      </c>
      <c r="AS44" s="10" t="n">
        <v>3</v>
      </c>
      <c r="AT44" s="10"/>
      <c r="AU44" s="10"/>
      <c r="AV44" s="10" t="n">
        <f aca="false">N(AP44)+N(AQ44)+N(AR44)+N(AS44)+N(AT44)+N(AU44)</f>
        <v>14</v>
      </c>
      <c r="AW44" s="10"/>
      <c r="AX44" s="10" t="n">
        <v>14</v>
      </c>
      <c r="AY44" s="10"/>
      <c r="AZ44" s="2"/>
      <c r="BA44" s="2" t="s">
        <v>1022</v>
      </c>
      <c r="BB44" s="2" t="s">
        <v>1194</v>
      </c>
      <c r="BC44" s="2" t="s">
        <v>1023</v>
      </c>
      <c r="BD44" s="2" t="s">
        <v>1024</v>
      </c>
      <c r="BE44" s="2"/>
      <c r="BF44" s="2" t="s">
        <v>1025</v>
      </c>
      <c r="BG44" s="22" t="n">
        <v>44791</v>
      </c>
      <c r="BH44" s="22" t="n">
        <v>46650</v>
      </c>
      <c r="BI44" s="2"/>
      <c r="BJ44" s="22" t="n">
        <v>46650</v>
      </c>
      <c r="BK44" s="2"/>
      <c r="BL44" s="2" t="n">
        <v>0</v>
      </c>
      <c r="BM44" s="2"/>
      <c r="BN44" s="2" t="s">
        <v>1195</v>
      </c>
      <c r="BO44" s="23" t="s">
        <v>1196</v>
      </c>
      <c r="BP44" s="2" t="n">
        <f aca="false">IF(OR(K44="",BG44=""),"",ROUND(BG44-K44,0))</f>
        <v>0</v>
      </c>
      <c r="BQ44" s="2" t="str">
        <f aca="false">IF(OR(N(BK44)=0,Q44=""),"Not recorded",IF(BK44=Q44,"Match","Differs"))</f>
        <v>Not recorded</v>
      </c>
      <c r="BR44" s="2" t="str">
        <f aca="false">IF(N44="No","Excluded (non-residential)",IF(BF44="No reference","Unverified – no reference",IF(BF44="Not in council register","Unverified – not in register (Part 8 / other)",IF(OR(BF44="Refused",BF44="Refused on appeal",BF44="Withdrawn",BF44="Invalid",BF44="Quashed"),IF(OR(G44="Complete",G44="On Site",G44="Part Complete"),"Conflict – register not live but CIS says built","Conflict – not live in register"),IF(AND(G44="Plans Submitted",OR(BF44="Granted",BF44="Granted on appeal")),"Stage out of date – now granted",IF(AND(G44&lt;&gt;"Plans Submitted",OR(BF44="Pending",BF44="Under appeal")),"Check – register still pending",IF(N(BL44)&gt;Method!$B$7,"Check – location differs",IF(AND(BP44&lt;&gt;"",ABS(N(BP44))&gt;60),"Consistent – decision date differs","Consistent"))))))))</f>
        <v>Consistent</v>
      </c>
      <c r="BS44" s="2"/>
      <c r="BT44" s="2"/>
      <c r="BU44" s="2"/>
      <c r="BV44" s="2"/>
      <c r="BW44" s="2"/>
      <c r="BX44" s="2"/>
    </row>
    <row r="45" customFormat="false" ht="15" hidden="false" customHeight="false" outlineLevel="0" collapsed="false">
      <c r="A45" s="2" t="n">
        <v>1201358</v>
      </c>
      <c r="B45" s="2" t="s">
        <v>585</v>
      </c>
      <c r="C45" s="2" t="s">
        <v>1197</v>
      </c>
      <c r="D45" s="2" t="s">
        <v>586</v>
      </c>
      <c r="E45" s="2" t="s">
        <v>1198</v>
      </c>
      <c r="F45" s="2" t="s">
        <v>144</v>
      </c>
      <c r="G45" s="2" t="s">
        <v>187</v>
      </c>
      <c r="H45" s="2" t="s">
        <v>1014</v>
      </c>
      <c r="I45" s="2"/>
      <c r="J45" s="22" t="n">
        <v>44526</v>
      </c>
      <c r="K45" s="22" t="n">
        <v>44614</v>
      </c>
      <c r="L45" s="22" t="n">
        <v>44526.4160490741</v>
      </c>
      <c r="M45" s="2" t="s">
        <v>1016</v>
      </c>
      <c r="N45" s="2" t="s">
        <v>121</v>
      </c>
      <c r="O45" s="2"/>
      <c r="P45" s="2" t="s">
        <v>1017</v>
      </c>
      <c r="Q45" s="10" t="n">
        <v>18</v>
      </c>
      <c r="R45" s="10"/>
      <c r="S45" s="10"/>
      <c r="T45" s="2" t="s">
        <v>120</v>
      </c>
      <c r="U45" s="2"/>
      <c r="V45" s="2" t="s">
        <v>1029</v>
      </c>
      <c r="W45" s="2" t="s">
        <v>1030</v>
      </c>
      <c r="X45" s="7"/>
      <c r="Y45" s="2" t="str">
        <f aca="false">IF(X45&lt;&gt;"",X45,T45)</f>
        <v>Primary</v>
      </c>
      <c r="Z45" s="2" t="str">
        <f aca="false">IF(OR(Y45="Primary",Y45="Additional phase",Y45="Additional application on site",Y45="Replaces earlier",Y45="Extension of duration (parent not in CIS)"),"Yes","No")</f>
        <v>Yes</v>
      </c>
      <c r="AA45" s="2"/>
      <c r="AB45" s="2" t="n">
        <f aca="false">IF(L45="","",ROUND((Method!$B$4-L45)/30.44,0))</f>
        <v>58</v>
      </c>
      <c r="AC45" s="2" t="str">
        <f aca="false">IF(AB45="","No",IF(AB45&gt;Method!$B$5,"Yes","No"))</f>
        <v>Yes</v>
      </c>
      <c r="AD45" s="22" t="n">
        <f aca="false">IF(BJ45&lt;&gt;"",BJ45,IF(K45&lt;&gt;"",EDATE(K45,60),""))</f>
        <v>46440</v>
      </c>
      <c r="AE45" s="2" t="str">
        <f aca="false">IF(AND(AD45&lt;&gt;"",OR(G45="Permission Granted",G45="Commencement Expected",G45="Stalled or Suspended")),IF(AD45&lt;Method!$B$4,"Yes","No"),"No")</f>
        <v>No</v>
      </c>
      <c r="AF45" s="7"/>
      <c r="AG45" s="2" t="str">
        <f aca="false">IF(Z45="No","Not counted",IF(AF45="Lapsed or dead","Excluded",IF(AF45="Constrained","Constrained / uncertain",IF(AF45="Confirmed live",IF(G45="On Site","Committed",IF(G45="Part Complete","Committed",IF(G45="Contract Awarded","Committed Pre-Construction",IF(G45="Tender","Advanced Pre-Construction",IF(G45="Commencement Expected","Likely",IF(G45="Permission Granted","Potential",IF(G45="Stalled or Suspended","Constrained / uncertain",IF(G45="Complete","Delivered","Application Pipeline")))))))),IF(G45="Complete","Delivered",IF(AND(OR(G45="Permission Granted",G45="Commencement Expected"),OR(AC45="Yes",AE45="Yes")),"Constrained / uncertain",IF(G45="On Site","Committed",IF(G45="Part Complete","Committed",IF(G45="Contract Awarded","Committed Pre-Construction",IF(G45="Tender","Advanced Pre-Construction",IF(G45="Commencement Expected","Likely",IF(G45="Permission Granted","Potential",IF(G45="Stalled or Suspended","Constrained / uncertain",IF(G45="Complete","Delivered","Application Pipeline"))))))))))))))</f>
        <v>Constrained / uncertain</v>
      </c>
      <c r="AH45" s="2" t="str">
        <f aca="false">IF(Z45="No","Relationship: "&amp;Y45,IF(AF45&lt;&gt;"","Analyst: "&amp;AF45,IF(G45="Complete","Complete",IF(AND(OR(G45="Permission Granted",G45="Commencement Expected"),AE45="Yes"),"Past expiry",IF(AND(OR(G45="Permission Granted",G45="Commencement Expected"),AC45="Yes"),"No CIS update in "&amp;AB45&amp;" months","As CIS")))))</f>
        <v>No CIS update in 58 months</v>
      </c>
      <c r="AI45" s="10" t="n">
        <f aca="false">IF(Z45="Yes",N(Q45),0)</f>
        <v>18</v>
      </c>
      <c r="AJ45" s="10" t="n">
        <f aca="false">IF(OR(Z45="No",G45="Complete"),0,MAX(N(Q45)-N(AA45),0))</f>
        <v>18</v>
      </c>
      <c r="AK45" s="10" t="n">
        <f aca="false">IF(Z45="No",0,IF(G45="Complete",N(Q45),MIN(N(AA45),N(Q45))))</f>
        <v>0</v>
      </c>
      <c r="AL45" s="10" t="n">
        <f aca="false">IF(OR(OR(AG45="Not counted",AG45="Excluded",AG45="Delivered"),P45="Student accommodation"),0,AJ45)</f>
        <v>18</v>
      </c>
      <c r="AM45" s="10" t="n">
        <f aca="false">IF(OR(OR(AG45="Not counted",AG45="Excluded",AG45="Delivered"),P45&lt;&gt;"Student accommodation"),0,AJ45)</f>
        <v>0</v>
      </c>
      <c r="AN45" s="10" t="n">
        <f aca="false">IF(OR(AG45="Not counted",AG45="Excluded",AG45="Delivered"),0,N(S45))</f>
        <v>0</v>
      </c>
      <c r="AO45" s="2" t="s">
        <v>1043</v>
      </c>
      <c r="AP45" s="10"/>
      <c r="AQ45" s="10"/>
      <c r="AR45" s="10"/>
      <c r="AS45" s="10"/>
      <c r="AT45" s="10"/>
      <c r="AU45" s="10"/>
      <c r="AV45" s="10" t="n">
        <f aca="false">N(AP45)+N(AQ45)+N(AR45)+N(AS45)+N(AT45)+N(AU45)</f>
        <v>0</v>
      </c>
      <c r="AW45" s="10"/>
      <c r="AX45" s="10"/>
      <c r="AY45" s="10"/>
      <c r="AZ45" s="2"/>
      <c r="BA45" s="2" t="s">
        <v>1095</v>
      </c>
      <c r="BB45" s="2"/>
      <c r="BC45" s="2"/>
      <c r="BD45" s="2"/>
      <c r="BE45" s="2"/>
      <c r="BF45" s="2" t="s">
        <v>1095</v>
      </c>
      <c r="BG45" s="22"/>
      <c r="BH45" s="22"/>
      <c r="BI45" s="2"/>
      <c r="BJ45" s="22"/>
      <c r="BK45" s="2"/>
      <c r="BL45" s="2"/>
      <c r="BM45" s="2"/>
      <c r="BN45" s="2"/>
      <c r="BO45" s="2"/>
      <c r="BP45" s="2" t="str">
        <f aca="false">IF(OR(K45="",BG45=""),"",ROUND(BG45-K45,0))</f>
        <v/>
      </c>
      <c r="BQ45" s="2" t="str">
        <f aca="false">IF(OR(N(BK45)=0,Q45=""),"Not recorded",IF(BK45=Q45,"Match","Differs"))</f>
        <v>Not recorded</v>
      </c>
      <c r="BR45" s="2" t="str">
        <f aca="false">IF(N45="No","Excluded (non-residential)",IF(BF45="No reference","Unverified – no reference",IF(BF45="Not in council register","Unverified – not in register (Part 8 / other)",IF(OR(BF45="Refused",BF45="Refused on appeal",BF45="Withdrawn",BF45="Invalid",BF45="Quashed"),IF(OR(G45="Complete",G45="On Site",G45="Part Complete"),"Conflict – register not live but CIS says built","Conflict – not live in register"),IF(AND(G45="Plans Submitted",OR(BF45="Granted",BF45="Granted on appeal")),"Stage out of date – now granted",IF(AND(G45&lt;&gt;"Plans Submitted",OR(BF45="Pending",BF45="Under appeal")),"Check – register still pending",IF(N(BL45)&gt;Method!$B$7,"Check – location differs",IF(AND(BP45&lt;&gt;"",ABS(N(BP45))&gt;60),"Consistent – decision date differs","Consistent"))))))))</f>
        <v>Unverified – not in register (Part 8 / other)</v>
      </c>
      <c r="BS45" s="2"/>
      <c r="BT45" s="2"/>
      <c r="BU45" s="2"/>
      <c r="BV45" s="2"/>
      <c r="BW45" s="2"/>
      <c r="BX45" s="2"/>
    </row>
    <row r="46" customFormat="false" ht="15" hidden="false" customHeight="false" outlineLevel="0" collapsed="false">
      <c r="A46" s="2" t="n">
        <v>1202244</v>
      </c>
      <c r="B46" s="2" t="s">
        <v>463</v>
      </c>
      <c r="C46" s="2" t="s">
        <v>1199</v>
      </c>
      <c r="D46" s="2" t="s">
        <v>464</v>
      </c>
      <c r="E46" s="2" t="s">
        <v>465</v>
      </c>
      <c r="F46" s="2" t="s">
        <v>144</v>
      </c>
      <c r="G46" s="2" t="s">
        <v>194</v>
      </c>
      <c r="H46" s="2" t="s">
        <v>1014</v>
      </c>
      <c r="I46" s="2" t="s">
        <v>198</v>
      </c>
      <c r="J46" s="22" t="n">
        <v>44529</v>
      </c>
      <c r="K46" s="22" t="n">
        <v>44593</v>
      </c>
      <c r="L46" s="22" t="n">
        <v>45488.4358549421</v>
      </c>
      <c r="M46" s="2" t="s">
        <v>1016</v>
      </c>
      <c r="N46" s="2" t="s">
        <v>121</v>
      </c>
      <c r="O46" s="2"/>
      <c r="P46" s="2" t="s">
        <v>1017</v>
      </c>
      <c r="Q46" s="10" t="n">
        <v>30</v>
      </c>
      <c r="R46" s="10" t="n">
        <v>20</v>
      </c>
      <c r="S46" s="10"/>
      <c r="T46" s="2" t="s">
        <v>120</v>
      </c>
      <c r="U46" s="2"/>
      <c r="V46" s="2" t="s">
        <v>1029</v>
      </c>
      <c r="W46" s="2" t="s">
        <v>1030</v>
      </c>
      <c r="X46" s="7"/>
      <c r="Y46" s="2" t="str">
        <f aca="false">IF(X46&lt;&gt;"",X46,T46)</f>
        <v>Primary</v>
      </c>
      <c r="Z46" s="2" t="str">
        <f aca="false">IF(OR(Y46="Primary",Y46="Additional phase",Y46="Additional application on site",Y46="Replaces earlier",Y46="Extension of duration (parent not in CIS)"),"Yes","No")</f>
        <v>Yes</v>
      </c>
      <c r="AA46" s="2"/>
      <c r="AB46" s="2" t="n">
        <f aca="false">IF(L46="","",ROUND((Method!$B$4-L46)/30.44,0))</f>
        <v>26</v>
      </c>
      <c r="AC46" s="2" t="str">
        <f aca="false">IF(AB46="","No",IF(AB46&gt;Method!$B$5,"Yes","No"))</f>
        <v>Yes</v>
      </c>
      <c r="AD46" s="22" t="n">
        <f aca="false">IF(BJ46&lt;&gt;"",BJ46,IF(K46&lt;&gt;"",EDATE(K46,60),""))</f>
        <v>46453</v>
      </c>
      <c r="AE46" s="2" t="str">
        <f aca="false">IF(AND(AD46&lt;&gt;"",OR(G46="Permission Granted",G46="Commencement Expected",G46="Stalled or Suspended")),IF(AD46&lt;Method!$B$4,"Yes","No"),"No")</f>
        <v>No</v>
      </c>
      <c r="AF46" s="7"/>
      <c r="AG46" s="2" t="str">
        <f aca="false">IF(Z46="No","Not counted",IF(AF46="Lapsed or dead","Excluded",IF(AF46="Constrained","Constrained / uncertain",IF(AF46="Confirmed live",IF(G46="On Site","Committed",IF(G46="Part Complete","Committed",IF(G46="Contract Awarded","Committed Pre-Construction",IF(G46="Tender","Advanced Pre-Construction",IF(G46="Commencement Expected","Likely",IF(G46="Permission Granted","Potential",IF(G46="Stalled or Suspended","Constrained / uncertain",IF(G46="Complete","Delivered","Application Pipeline")))))))),IF(G46="Complete","Delivered",IF(AND(OR(G46="Permission Granted",G46="Commencement Expected"),OR(AC46="Yes",AE46="Yes")),"Constrained / uncertain",IF(G46="On Site","Committed",IF(G46="Part Complete","Committed",IF(G46="Contract Awarded","Committed Pre-Construction",IF(G46="Tender","Advanced Pre-Construction",IF(G46="Commencement Expected","Likely",IF(G46="Permission Granted","Potential",IF(G46="Stalled or Suspended","Constrained / uncertain",IF(G46="Complete","Delivered","Application Pipeline"))))))))))))))</f>
        <v>Constrained / uncertain</v>
      </c>
      <c r="AH46" s="2" t="str">
        <f aca="false">IF(Z46="No","Relationship: "&amp;Y46,IF(AF46&lt;&gt;"","Analyst: "&amp;AF46,IF(G46="Complete","Complete",IF(AND(OR(G46="Permission Granted",G46="Commencement Expected"),AE46="Yes"),"Past expiry",IF(AND(OR(G46="Permission Granted",G46="Commencement Expected"),AC46="Yes"),"No CIS update in "&amp;AB46&amp;" months","As CIS")))))</f>
        <v>No CIS update in 26 months</v>
      </c>
      <c r="AI46" s="10" t="n">
        <f aca="false">IF(Z46="Yes",N(Q46),0)</f>
        <v>30</v>
      </c>
      <c r="AJ46" s="10" t="n">
        <f aca="false">IF(OR(Z46="No",G46="Complete"),0,MAX(N(Q46)-N(AA46),0))</f>
        <v>30</v>
      </c>
      <c r="AK46" s="10" t="n">
        <f aca="false">IF(Z46="No",0,IF(G46="Complete",N(Q46),MIN(N(AA46),N(Q46))))</f>
        <v>0</v>
      </c>
      <c r="AL46" s="10" t="n">
        <f aca="false">IF(OR(OR(AG46="Not counted",AG46="Excluded",AG46="Delivered"),P46="Student accommodation"),0,AJ46)</f>
        <v>30</v>
      </c>
      <c r="AM46" s="10" t="n">
        <f aca="false">IF(OR(OR(AG46="Not counted",AG46="Excluded",AG46="Delivered"),P46&lt;&gt;"Student accommodation"),0,AJ46)</f>
        <v>0</v>
      </c>
      <c r="AN46" s="10" t="n">
        <f aca="false">IF(OR(AG46="Not counted",AG46="Excluded",AG46="Delivered"),0,N(S46))</f>
        <v>0</v>
      </c>
      <c r="AO46" s="2" t="s">
        <v>1157</v>
      </c>
      <c r="AP46" s="10"/>
      <c r="AQ46" s="10" t="n">
        <v>30</v>
      </c>
      <c r="AR46" s="10"/>
      <c r="AS46" s="10"/>
      <c r="AT46" s="10"/>
      <c r="AU46" s="10"/>
      <c r="AV46" s="10" t="n">
        <f aca="false">N(AP46)+N(AQ46)+N(AR46)+N(AS46)+N(AT46)+N(AU46)</f>
        <v>30</v>
      </c>
      <c r="AW46" s="10"/>
      <c r="AX46" s="10" t="n">
        <v>30</v>
      </c>
      <c r="AY46" s="10"/>
      <c r="AZ46" s="2"/>
      <c r="BA46" s="2" t="s">
        <v>1022</v>
      </c>
      <c r="BB46" s="2" t="s">
        <v>1199</v>
      </c>
      <c r="BC46" s="2" t="s">
        <v>1023</v>
      </c>
      <c r="BD46" s="2" t="s">
        <v>1024</v>
      </c>
      <c r="BE46" s="2"/>
      <c r="BF46" s="2" t="s">
        <v>1025</v>
      </c>
      <c r="BG46" s="22" t="n">
        <v>44593</v>
      </c>
      <c r="BH46" s="22" t="n">
        <v>46453</v>
      </c>
      <c r="BI46" s="2"/>
      <c r="BJ46" s="22" t="n">
        <v>46453</v>
      </c>
      <c r="BK46" s="2"/>
      <c r="BL46" s="2" t="n">
        <v>0</v>
      </c>
      <c r="BM46" s="2"/>
      <c r="BN46" s="2" t="s">
        <v>1200</v>
      </c>
      <c r="BO46" s="23" t="s">
        <v>1201</v>
      </c>
      <c r="BP46" s="2" t="n">
        <f aca="false">IF(OR(K46="",BG46=""),"",ROUND(BG46-K46,0))</f>
        <v>0</v>
      </c>
      <c r="BQ46" s="2" t="str">
        <f aca="false">IF(OR(N(BK46)=0,Q46=""),"Not recorded",IF(BK46=Q46,"Match","Differs"))</f>
        <v>Not recorded</v>
      </c>
      <c r="BR46" s="2" t="str">
        <f aca="false">IF(N46="No","Excluded (non-residential)",IF(BF46="No reference","Unverified – no reference",IF(BF46="Not in council register","Unverified – not in register (Part 8 / other)",IF(OR(BF46="Refused",BF46="Refused on appeal",BF46="Withdrawn",BF46="Invalid",BF46="Quashed"),IF(OR(G46="Complete",G46="On Site",G46="Part Complete"),"Conflict – register not live but CIS says built","Conflict – not live in register"),IF(AND(G46="Plans Submitted",OR(BF46="Granted",BF46="Granted on appeal")),"Stage out of date – now granted",IF(AND(G46&lt;&gt;"Plans Submitted",OR(BF46="Pending",BF46="Under appeal")),"Check – register still pending",IF(N(BL46)&gt;Method!$B$7,"Check – location differs",IF(AND(BP46&lt;&gt;"",ABS(N(BP46))&gt;60),"Consistent – decision date differs","Consistent"))))))))</f>
        <v>Consistent</v>
      </c>
      <c r="BS46" s="2"/>
      <c r="BT46" s="2"/>
      <c r="BU46" s="2"/>
      <c r="BV46" s="2"/>
      <c r="BW46" s="2"/>
      <c r="BX46" s="2"/>
    </row>
    <row r="47" customFormat="false" ht="15" hidden="false" customHeight="false" outlineLevel="0" collapsed="false">
      <c r="A47" s="2" t="n">
        <v>1205019</v>
      </c>
      <c r="B47" s="2" t="s">
        <v>270</v>
      </c>
      <c r="C47" s="2" t="s">
        <v>1202</v>
      </c>
      <c r="D47" s="2" t="s">
        <v>271</v>
      </c>
      <c r="E47" s="2" t="s">
        <v>272</v>
      </c>
      <c r="F47" s="2" t="s">
        <v>144</v>
      </c>
      <c r="G47" s="2" t="s">
        <v>251</v>
      </c>
      <c r="H47" s="2" t="s">
        <v>1014</v>
      </c>
      <c r="I47" s="2" t="s">
        <v>1015</v>
      </c>
      <c r="J47" s="22" t="n">
        <v>44540</v>
      </c>
      <c r="K47" s="22" t="n">
        <v>44629</v>
      </c>
      <c r="L47" s="22" t="n">
        <v>46155.6508689005</v>
      </c>
      <c r="M47" s="2" t="s">
        <v>1016</v>
      </c>
      <c r="N47" s="2" t="s">
        <v>121</v>
      </c>
      <c r="O47" s="2"/>
      <c r="P47" s="2" t="s">
        <v>1017</v>
      </c>
      <c r="Q47" s="10" t="n">
        <v>10</v>
      </c>
      <c r="R47" s="10" t="n">
        <v>10</v>
      </c>
      <c r="S47" s="10"/>
      <c r="T47" s="2" t="s">
        <v>120</v>
      </c>
      <c r="U47" s="2"/>
      <c r="V47" s="2" t="s">
        <v>1029</v>
      </c>
      <c r="W47" s="2" t="s">
        <v>1030</v>
      </c>
      <c r="X47" s="7"/>
      <c r="Y47" s="2" t="str">
        <f aca="false">IF(X47&lt;&gt;"",X47,T47)</f>
        <v>Primary</v>
      </c>
      <c r="Z47" s="2" t="str">
        <f aca="false">IF(OR(Y47="Primary",Y47="Additional phase",Y47="Additional application on site",Y47="Replaces earlier",Y47="Extension of duration (parent not in CIS)"),"Yes","No")</f>
        <v>Yes</v>
      </c>
      <c r="AA47" s="2"/>
      <c r="AB47" s="2" t="n">
        <f aca="false">IF(L47="","",ROUND((Method!$B$4-L47)/30.44,0))</f>
        <v>5</v>
      </c>
      <c r="AC47" s="2" t="str">
        <f aca="false">IF(AB47="","No",IF(AB47&gt;Method!$B$5,"Yes","No"))</f>
        <v>No</v>
      </c>
      <c r="AD47" s="22" t="n">
        <f aca="false">IF(BJ47&lt;&gt;"",BJ47,IF(K47&lt;&gt;"",EDATE(K47,60),""))</f>
        <v>46455</v>
      </c>
      <c r="AE47" s="2" t="str">
        <f aca="false">IF(AND(AD47&lt;&gt;"",OR(G47="Permission Granted",G47="Commencement Expected",G47="Stalled or Suspended")),IF(AD47&lt;Method!$B$4,"Yes","No"),"No")</f>
        <v>No</v>
      </c>
      <c r="AF47" s="7"/>
      <c r="AG47" s="2" t="str">
        <f aca="false">IF(Z47="No","Not counted",IF(AF47="Lapsed or dead","Excluded",IF(AF47="Constrained","Constrained / uncertain",IF(AF47="Confirmed live",IF(G47="On Site","Committed",IF(G47="Part Complete","Committed",IF(G47="Contract Awarded","Committed Pre-Construction",IF(G47="Tender","Advanced Pre-Construction",IF(G47="Commencement Expected","Likely",IF(G47="Permission Granted","Potential",IF(G47="Stalled or Suspended","Constrained / uncertain",IF(G47="Complete","Delivered","Application Pipeline")))))))),IF(G47="Complete","Delivered",IF(AND(OR(G47="Permission Granted",G47="Commencement Expected"),OR(AC47="Yes",AE47="Yes")),"Constrained / uncertain",IF(G47="On Site","Committed",IF(G47="Part Complete","Committed",IF(G47="Contract Awarded","Committed Pre-Construction",IF(G47="Tender","Advanced Pre-Construction",IF(G47="Commencement Expected","Likely",IF(G47="Permission Granted","Potential",IF(G47="Stalled or Suspended","Constrained / uncertain",IF(G47="Complete","Delivered","Application Pipeline"))))))))))))))</f>
        <v>Delivered</v>
      </c>
      <c r="AH47" s="2" t="str">
        <f aca="false">IF(Z47="No","Relationship: "&amp;Y47,IF(AF47&lt;&gt;"","Analyst: "&amp;AF47,IF(G47="Complete","Complete",IF(AND(OR(G47="Permission Granted",G47="Commencement Expected"),AE47="Yes"),"Past expiry",IF(AND(OR(G47="Permission Granted",G47="Commencement Expected"),AC47="Yes"),"No CIS update in "&amp;AB47&amp;" months","As CIS")))))</f>
        <v>Complete</v>
      </c>
      <c r="AI47" s="10" t="n">
        <f aca="false">IF(Z47="Yes",N(Q47),0)</f>
        <v>10</v>
      </c>
      <c r="AJ47" s="10" t="n">
        <f aca="false">IF(OR(Z47="No",G47="Complete"),0,MAX(N(Q47)-N(AA47),0))</f>
        <v>0</v>
      </c>
      <c r="AK47" s="10" t="n">
        <f aca="false">IF(Z47="No",0,IF(G47="Complete",N(Q47),MIN(N(AA47),N(Q47))))</f>
        <v>10</v>
      </c>
      <c r="AL47" s="10" t="n">
        <f aca="false">IF(OR(OR(AG47="Not counted",AG47="Excluded",AG47="Delivered"),P47="Student accommodation"),0,AJ47)</f>
        <v>0</v>
      </c>
      <c r="AM47" s="10" t="n">
        <f aca="false">IF(OR(OR(AG47="Not counted",AG47="Excluded",AG47="Delivered"),P47&lt;&gt;"Student accommodation"),0,AJ47)</f>
        <v>0</v>
      </c>
      <c r="AN47" s="10" t="n">
        <f aca="false">IF(OR(AG47="Not counted",AG47="Excluded",AG47="Delivered"),0,N(S47))</f>
        <v>0</v>
      </c>
      <c r="AO47" s="2" t="s">
        <v>1021</v>
      </c>
      <c r="AP47" s="10"/>
      <c r="AQ47" s="10"/>
      <c r="AR47" s="10"/>
      <c r="AS47" s="10"/>
      <c r="AT47" s="10"/>
      <c r="AU47" s="10"/>
      <c r="AV47" s="10" t="n">
        <f aca="false">N(AP47)+N(AQ47)+N(AR47)+N(AS47)+N(AT47)+N(AU47)</f>
        <v>0</v>
      </c>
      <c r="AW47" s="10"/>
      <c r="AX47" s="10"/>
      <c r="AY47" s="10"/>
      <c r="AZ47" s="2"/>
      <c r="BA47" s="2" t="s">
        <v>1022</v>
      </c>
      <c r="BB47" s="2" t="s">
        <v>1202</v>
      </c>
      <c r="BC47" s="2" t="s">
        <v>1046</v>
      </c>
      <c r="BD47" s="2" t="s">
        <v>1024</v>
      </c>
      <c r="BE47" s="2"/>
      <c r="BF47" s="2" t="s">
        <v>1025</v>
      </c>
      <c r="BG47" s="22" t="n">
        <v>44629</v>
      </c>
      <c r="BH47" s="22"/>
      <c r="BI47" s="2"/>
      <c r="BJ47" s="22"/>
      <c r="BK47" s="2" t="n">
        <v>10</v>
      </c>
      <c r="BL47" s="2" t="n">
        <v>0</v>
      </c>
      <c r="BM47" s="2"/>
      <c r="BN47" s="2" t="s">
        <v>1203</v>
      </c>
      <c r="BO47" s="23" t="s">
        <v>1204</v>
      </c>
      <c r="BP47" s="2" t="n">
        <f aca="false">IF(OR(K47="",BG47=""),"",ROUND(BG47-K47,0))</f>
        <v>0</v>
      </c>
      <c r="BQ47" s="2" t="str">
        <f aca="false">IF(OR(N(BK47)=0,Q47=""),"Not recorded",IF(BK47=Q47,"Match","Differs"))</f>
        <v>Match</v>
      </c>
      <c r="BR47" s="2" t="str">
        <f aca="false">IF(N47="No","Excluded (non-residential)",IF(BF47="No reference","Unverified – no reference",IF(BF47="Not in council register","Unverified – not in register (Part 8 / other)",IF(OR(BF47="Refused",BF47="Refused on appeal",BF47="Withdrawn",BF47="Invalid",BF47="Quashed"),IF(OR(G47="Complete",G47="On Site",G47="Part Complete"),"Conflict – register not live but CIS says built","Conflict – not live in register"),IF(AND(G47="Plans Submitted",OR(BF47="Granted",BF47="Granted on appeal")),"Stage out of date – now granted",IF(AND(G47&lt;&gt;"Plans Submitted",OR(BF47="Pending",BF47="Under appeal")),"Check – register still pending",IF(N(BL47)&gt;Method!$B$7,"Check – location differs",IF(AND(BP47&lt;&gt;"",ABS(N(BP47))&gt;60),"Consistent – decision date differs","Consistent"))))))))</f>
        <v>Consistent</v>
      </c>
      <c r="BS47" s="2" t="n">
        <v>1829</v>
      </c>
      <c r="BT47" s="2" t="s">
        <v>1049</v>
      </c>
      <c r="BU47" s="2" t="s">
        <v>1050</v>
      </c>
      <c r="BV47" s="2" t="s">
        <v>1015</v>
      </c>
      <c r="BW47" s="2" t="s">
        <v>1092</v>
      </c>
      <c r="BX47" s="2" t="s">
        <v>1052</v>
      </c>
    </row>
    <row r="48" customFormat="false" ht="15" hidden="false" customHeight="false" outlineLevel="0" collapsed="false">
      <c r="A48" s="2" t="n">
        <v>1213266</v>
      </c>
      <c r="B48" s="2" t="s">
        <v>375</v>
      </c>
      <c r="C48" s="2" t="s">
        <v>1205</v>
      </c>
      <c r="D48" s="2" t="s">
        <v>376</v>
      </c>
      <c r="E48" s="2" t="s">
        <v>377</v>
      </c>
      <c r="F48" s="2" t="s">
        <v>144</v>
      </c>
      <c r="G48" s="2" t="s">
        <v>198</v>
      </c>
      <c r="H48" s="2" t="s">
        <v>1014</v>
      </c>
      <c r="I48" s="2" t="s">
        <v>198</v>
      </c>
      <c r="J48" s="22" t="n">
        <v>44596</v>
      </c>
      <c r="K48" s="22" t="n">
        <v>44651</v>
      </c>
      <c r="L48" s="22" t="n">
        <v>45926.3854620023</v>
      </c>
      <c r="M48" s="2" t="s">
        <v>1016</v>
      </c>
      <c r="N48" s="2" t="s">
        <v>121</v>
      </c>
      <c r="O48" s="2"/>
      <c r="P48" s="2" t="s">
        <v>1017</v>
      </c>
      <c r="Q48" s="10" t="n">
        <v>9</v>
      </c>
      <c r="R48" s="10" t="n">
        <v>9</v>
      </c>
      <c r="S48" s="10"/>
      <c r="T48" s="2" t="s">
        <v>30</v>
      </c>
      <c r="U48" s="2"/>
      <c r="V48" s="2" t="s">
        <v>1080</v>
      </c>
      <c r="W48" s="2" t="s">
        <v>1020</v>
      </c>
      <c r="X48" s="7"/>
      <c r="Y48" s="2" t="str">
        <f aca="false">IF(X48&lt;&gt;"",X48,T48)</f>
        <v>Additional application on site</v>
      </c>
      <c r="Z48" s="2" t="str">
        <f aca="false">IF(OR(Y48="Primary",Y48="Additional phase",Y48="Additional application on site",Y48="Replaces earlier",Y48="Extension of duration (parent not in CIS)"),"Yes","No")</f>
        <v>Yes</v>
      </c>
      <c r="AA48" s="2"/>
      <c r="AB48" s="2" t="n">
        <f aca="false">IF(L48="","",ROUND((Method!$B$4-L48)/30.44,0))</f>
        <v>12</v>
      </c>
      <c r="AC48" s="2" t="str">
        <f aca="false">IF(AB48="","No",IF(AB48&gt;Method!$B$5,"Yes","No"))</f>
        <v>No</v>
      </c>
      <c r="AD48" s="22" t="n">
        <f aca="false">IF(BJ48&lt;&gt;"",BJ48,IF(K48&lt;&gt;"",EDATE(K48,60),""))</f>
        <v>46477</v>
      </c>
      <c r="AE48" s="2" t="str">
        <f aca="false">IF(AND(AD48&lt;&gt;"",OR(G48="Permission Granted",G48="Commencement Expected",G48="Stalled or Suspended")),IF(AD48&lt;Method!$B$4,"Yes","No"),"No")</f>
        <v>No</v>
      </c>
      <c r="AF48" s="7"/>
      <c r="AG48" s="2" t="str">
        <f aca="false">IF(Z48="No","Not counted",IF(AF48="Lapsed or dead","Excluded",IF(AF48="Constrained","Constrained / uncertain",IF(AF48="Confirmed live",IF(G48="On Site","Committed",IF(G48="Part Complete","Committed",IF(G48="Contract Awarded","Committed Pre-Construction",IF(G48="Tender","Advanced Pre-Construction",IF(G48="Commencement Expected","Likely",IF(G48="Permission Granted","Potential",IF(G48="Stalled or Suspended","Constrained / uncertain",IF(G48="Complete","Delivered","Application Pipeline")))))))),IF(G48="Complete","Delivered",IF(AND(OR(G48="Permission Granted",G48="Commencement Expected"),OR(AC48="Yes",AE48="Yes")),"Constrained / uncertain",IF(G48="On Site","Committed",IF(G48="Part Complete","Committed",IF(G48="Contract Awarded","Committed Pre-Construction",IF(G48="Tender","Advanced Pre-Construction",IF(G48="Commencement Expected","Likely",IF(G48="Permission Granted","Potential",IF(G48="Stalled or Suspended","Constrained / uncertain",IF(G48="Complete","Delivered","Application Pipeline"))))))))))))))</f>
        <v>Committed</v>
      </c>
      <c r="AH48" s="2" t="str">
        <f aca="false">IF(Z48="No","Relationship: "&amp;Y48,IF(AF48&lt;&gt;"","Analyst: "&amp;AF48,IF(G48="Complete","Complete",IF(AND(OR(G48="Permission Granted",G48="Commencement Expected"),AE48="Yes"),"Past expiry",IF(AND(OR(G48="Permission Granted",G48="Commencement Expected"),AC48="Yes"),"No CIS update in "&amp;AB48&amp;" months","As CIS")))))</f>
        <v>As CIS</v>
      </c>
      <c r="AI48" s="10" t="n">
        <f aca="false">IF(Z48="Yes",N(Q48),0)</f>
        <v>9</v>
      </c>
      <c r="AJ48" s="10" t="n">
        <f aca="false">IF(OR(Z48="No",G48="Complete"),0,MAX(N(Q48)-N(AA48),0))</f>
        <v>9</v>
      </c>
      <c r="AK48" s="10" t="n">
        <f aca="false">IF(Z48="No",0,IF(G48="Complete",N(Q48),MIN(N(AA48),N(Q48))))</f>
        <v>0</v>
      </c>
      <c r="AL48" s="10" t="n">
        <f aca="false">IF(OR(OR(AG48="Not counted",AG48="Excluded",AG48="Delivered"),P48="Student accommodation"),0,AJ48)</f>
        <v>9</v>
      </c>
      <c r="AM48" s="10" t="n">
        <f aca="false">IF(OR(OR(AG48="Not counted",AG48="Excluded",AG48="Delivered"),P48&lt;&gt;"Student accommodation"),0,AJ48)</f>
        <v>0</v>
      </c>
      <c r="AN48" s="10" t="n">
        <f aca="false">IF(OR(AG48="Not counted",AG48="Excluded",AG48="Delivered"),0,N(S48))</f>
        <v>0</v>
      </c>
      <c r="AO48" s="2" t="s">
        <v>1021</v>
      </c>
      <c r="AP48" s="10"/>
      <c r="AQ48" s="10"/>
      <c r="AR48" s="10"/>
      <c r="AS48" s="10"/>
      <c r="AT48" s="10"/>
      <c r="AU48" s="10"/>
      <c r="AV48" s="10" t="n">
        <f aca="false">N(AP48)+N(AQ48)+N(AR48)+N(AS48)+N(AT48)+N(AU48)</f>
        <v>0</v>
      </c>
      <c r="AW48" s="10"/>
      <c r="AX48" s="10"/>
      <c r="AY48" s="10"/>
      <c r="AZ48" s="2"/>
      <c r="BA48" s="2" t="s">
        <v>1022</v>
      </c>
      <c r="BB48" s="2" t="s">
        <v>1205</v>
      </c>
      <c r="BC48" s="2" t="s">
        <v>1046</v>
      </c>
      <c r="BD48" s="2" t="s">
        <v>1024</v>
      </c>
      <c r="BE48" s="2"/>
      <c r="BF48" s="2" t="s">
        <v>1025</v>
      </c>
      <c r="BG48" s="22" t="n">
        <v>44658</v>
      </c>
      <c r="BH48" s="22"/>
      <c r="BI48" s="2"/>
      <c r="BJ48" s="22"/>
      <c r="BK48" s="2" t="n">
        <v>9</v>
      </c>
      <c r="BL48" s="2" t="n">
        <v>0</v>
      </c>
      <c r="BM48" s="2"/>
      <c r="BN48" s="2" t="s">
        <v>1206</v>
      </c>
      <c r="BO48" s="23" t="s">
        <v>1207</v>
      </c>
      <c r="BP48" s="2" t="n">
        <f aca="false">IF(OR(K48="",BG48=""),"",ROUND(BG48-K48,0))</f>
        <v>7</v>
      </c>
      <c r="BQ48" s="2" t="str">
        <f aca="false">IF(OR(N(BK48)=0,Q48=""),"Not recorded",IF(BK48=Q48,"Match","Differs"))</f>
        <v>Match</v>
      </c>
      <c r="BR48" s="2" t="str">
        <f aca="false">IF(N48="No","Excluded (non-residential)",IF(BF48="No reference","Unverified – no reference",IF(BF48="Not in council register","Unverified – not in register (Part 8 / other)",IF(OR(BF48="Refused",BF48="Refused on appeal",BF48="Withdrawn",BF48="Invalid",BF48="Quashed"),IF(OR(G48="Complete",G48="On Site",G48="Part Complete"),"Conflict – register not live but CIS says built","Conflict – not live in register"),IF(AND(G48="Plans Submitted",OR(BF48="Granted",BF48="Granted on appeal")),"Stage out of date – now granted",IF(AND(G48&lt;&gt;"Plans Submitted",OR(BF48="Pending",BF48="Under appeal")),"Check – register still pending",IF(N(BL48)&gt;Method!$B$7,"Check – location differs",IF(AND(BP48&lt;&gt;"",ABS(N(BP48))&gt;60),"Consistent – decision date differs","Consistent"))))))))</f>
        <v>Consistent</v>
      </c>
      <c r="BS48" s="2"/>
      <c r="BT48" s="2"/>
      <c r="BU48" s="2"/>
      <c r="BV48" s="2"/>
      <c r="BW48" s="2"/>
      <c r="BX48" s="2"/>
    </row>
    <row r="49" customFormat="false" ht="15" hidden="false" customHeight="false" outlineLevel="0" collapsed="false">
      <c r="A49" s="2" t="n">
        <v>1214059</v>
      </c>
      <c r="B49" s="2" t="s">
        <v>330</v>
      </c>
      <c r="C49" s="2" t="s">
        <v>1208</v>
      </c>
      <c r="D49" s="2" t="s">
        <v>331</v>
      </c>
      <c r="E49" s="2" t="s">
        <v>332</v>
      </c>
      <c r="F49" s="2" t="s">
        <v>144</v>
      </c>
      <c r="G49" s="2" t="s">
        <v>187</v>
      </c>
      <c r="H49" s="2" t="s">
        <v>1014</v>
      </c>
      <c r="I49" s="2"/>
      <c r="J49" s="22" t="n">
        <v>44601</v>
      </c>
      <c r="K49" s="22" t="n">
        <v>44707</v>
      </c>
      <c r="L49" s="22" t="n">
        <v>46078.3591001157</v>
      </c>
      <c r="M49" s="2" t="s">
        <v>1016</v>
      </c>
      <c r="N49" s="2" t="s">
        <v>121</v>
      </c>
      <c r="O49" s="2"/>
      <c r="P49" s="2" t="s">
        <v>1017</v>
      </c>
      <c r="Q49" s="10" t="n">
        <v>165</v>
      </c>
      <c r="R49" s="10" t="n">
        <v>165</v>
      </c>
      <c r="S49" s="10"/>
      <c r="T49" s="2" t="s">
        <v>120</v>
      </c>
      <c r="U49" s="2"/>
      <c r="V49" s="2" t="s">
        <v>1029</v>
      </c>
      <c r="W49" s="2" t="s">
        <v>1030</v>
      </c>
      <c r="X49" s="7"/>
      <c r="Y49" s="2" t="str">
        <f aca="false">IF(X49&lt;&gt;"",X49,T49)</f>
        <v>Primary</v>
      </c>
      <c r="Z49" s="2" t="str">
        <f aca="false">IF(OR(Y49="Primary",Y49="Additional phase",Y49="Additional application on site",Y49="Replaces earlier",Y49="Extension of duration (parent not in CIS)"),"Yes","No")</f>
        <v>Yes</v>
      </c>
      <c r="AA49" s="2"/>
      <c r="AB49" s="2" t="n">
        <f aca="false">IF(L49="","",ROUND((Method!$B$4-L49)/30.44,0))</f>
        <v>7</v>
      </c>
      <c r="AC49" s="2" t="str">
        <f aca="false">IF(AB49="","No",IF(AB49&gt;Method!$B$5,"Yes","No"))</f>
        <v>No</v>
      </c>
      <c r="AD49" s="22" t="n">
        <f aca="false">IF(BJ49&lt;&gt;"",BJ49,IF(K49&lt;&gt;"",EDATE(K49,60),""))</f>
        <v>46532</v>
      </c>
      <c r="AE49" s="2" t="str">
        <f aca="false">IF(AND(AD49&lt;&gt;"",OR(G49="Permission Granted",G49="Commencement Expected",G49="Stalled or Suspended")),IF(AD49&lt;Method!$B$4,"Yes","No"),"No")</f>
        <v>No</v>
      </c>
      <c r="AF49" s="7"/>
      <c r="AG49" s="2" t="str">
        <f aca="false">IF(Z49="No","Not counted",IF(AF49="Lapsed or dead","Excluded",IF(AF49="Constrained","Constrained / uncertain",IF(AF49="Confirmed live",IF(G49="On Site","Committed",IF(G49="Part Complete","Committed",IF(G49="Contract Awarded","Committed Pre-Construction",IF(G49="Tender","Advanced Pre-Construction",IF(G49="Commencement Expected","Likely",IF(G49="Permission Granted","Potential",IF(G49="Stalled or Suspended","Constrained / uncertain",IF(G49="Complete","Delivered","Application Pipeline")))))))),IF(G49="Complete","Delivered",IF(AND(OR(G49="Permission Granted",G49="Commencement Expected"),OR(AC49="Yes",AE49="Yes")),"Constrained / uncertain",IF(G49="On Site","Committed",IF(G49="Part Complete","Committed",IF(G49="Contract Awarded","Committed Pre-Construction",IF(G49="Tender","Advanced Pre-Construction",IF(G49="Commencement Expected","Likely",IF(G49="Permission Granted","Potential",IF(G49="Stalled or Suspended","Constrained / uncertain",IF(G49="Complete","Delivered","Application Pipeline"))))))))))))))</f>
        <v>Potential</v>
      </c>
      <c r="AH49" s="2" t="str">
        <f aca="false">IF(Z49="No","Relationship: "&amp;Y49,IF(AF49&lt;&gt;"","Analyst: "&amp;AF49,IF(G49="Complete","Complete",IF(AND(OR(G49="Permission Granted",G49="Commencement Expected"),AE49="Yes"),"Past expiry",IF(AND(OR(G49="Permission Granted",G49="Commencement Expected"),AC49="Yes"),"No CIS update in "&amp;AB49&amp;" months","As CIS")))))</f>
        <v>As CIS</v>
      </c>
      <c r="AI49" s="10" t="n">
        <f aca="false">IF(Z49="Yes",N(Q49),0)</f>
        <v>165</v>
      </c>
      <c r="AJ49" s="10" t="n">
        <f aca="false">IF(OR(Z49="No",G49="Complete"),0,MAX(N(Q49)-N(AA49),0))</f>
        <v>165</v>
      </c>
      <c r="AK49" s="10" t="n">
        <f aca="false">IF(Z49="No",0,IF(G49="Complete",N(Q49),MIN(N(AA49),N(Q49))))</f>
        <v>0</v>
      </c>
      <c r="AL49" s="10" t="n">
        <f aca="false">IF(OR(OR(AG49="Not counted",AG49="Excluded",AG49="Delivered"),P49="Student accommodation"),0,AJ49)</f>
        <v>165</v>
      </c>
      <c r="AM49" s="10" t="n">
        <f aca="false">IF(OR(OR(AG49="Not counted",AG49="Excluded",AG49="Delivered"),P49&lt;&gt;"Student accommodation"),0,AJ49)</f>
        <v>0</v>
      </c>
      <c r="AN49" s="10" t="n">
        <f aca="false">IF(OR(AG49="Not counted",AG49="Excluded",AG49="Delivered"),0,N(S49))</f>
        <v>0</v>
      </c>
      <c r="AO49" s="2" t="s">
        <v>1157</v>
      </c>
      <c r="AP49" s="10"/>
      <c r="AQ49" s="10" t="n">
        <v>25</v>
      </c>
      <c r="AR49" s="10" t="n">
        <v>83</v>
      </c>
      <c r="AS49" s="10" t="n">
        <v>57</v>
      </c>
      <c r="AT49" s="10"/>
      <c r="AU49" s="10"/>
      <c r="AV49" s="10" t="n">
        <f aca="false">N(AP49)+N(AQ49)+N(AR49)+N(AS49)+N(AT49)+N(AU49)</f>
        <v>165</v>
      </c>
      <c r="AW49" s="10" t="n">
        <v>43</v>
      </c>
      <c r="AX49" s="10" t="n">
        <v>122</v>
      </c>
      <c r="AY49" s="10"/>
      <c r="AZ49" s="2"/>
      <c r="BA49" s="2" t="s">
        <v>17</v>
      </c>
      <c r="BB49" s="2" t="s">
        <v>1209</v>
      </c>
      <c r="BC49" s="2" t="s">
        <v>1162</v>
      </c>
      <c r="BD49" s="2" t="s">
        <v>1163</v>
      </c>
      <c r="BE49" s="2"/>
      <c r="BF49" s="2" t="s">
        <v>1025</v>
      </c>
      <c r="BG49" s="22" t="n">
        <v>44707</v>
      </c>
      <c r="BH49" s="22" t="n">
        <v>46532</v>
      </c>
      <c r="BI49" s="2"/>
      <c r="BJ49" s="22" t="n">
        <v>46532</v>
      </c>
      <c r="BK49" s="2" t="n">
        <v>165</v>
      </c>
      <c r="BL49" s="2"/>
      <c r="BM49" s="2"/>
      <c r="BN49" s="2" t="s">
        <v>1210</v>
      </c>
      <c r="BO49" s="23" t="s">
        <v>1211</v>
      </c>
      <c r="BP49" s="2" t="n">
        <f aca="false">IF(OR(K49="",BG49=""),"",ROUND(BG49-K49,0))</f>
        <v>0</v>
      </c>
      <c r="BQ49" s="2" t="str">
        <f aca="false">IF(OR(N(BK49)=0,Q49=""),"Not recorded",IF(BK49=Q49,"Match","Differs"))</f>
        <v>Match</v>
      </c>
      <c r="BR49" s="2" t="str">
        <f aca="false">IF(N49="No","Excluded (non-residential)",IF(BF49="No reference","Unverified – no reference",IF(BF49="Not in council register","Unverified – not in register (Part 8 / other)",IF(OR(BF49="Refused",BF49="Refused on appeal",BF49="Withdrawn",BF49="Invalid",BF49="Quashed"),IF(OR(G49="Complete",G49="On Site",G49="Part Complete"),"Conflict – register not live but CIS says built","Conflict – not live in register"),IF(AND(G49="Plans Submitted",OR(BF49="Granted",BF49="Granted on appeal")),"Stage out of date – now granted",IF(AND(G49&lt;&gt;"Plans Submitted",OR(BF49="Pending",BF49="Under appeal")),"Check – register still pending",IF(N(BL49)&gt;Method!$B$7,"Check – location differs",IF(AND(BP49&lt;&gt;"",ABS(N(BP49))&gt;60),"Consistent – decision date differs","Consistent"))))))))</f>
        <v>Consistent</v>
      </c>
      <c r="BS49" s="2"/>
      <c r="BT49" s="2"/>
      <c r="BU49" s="2"/>
      <c r="BV49" s="2"/>
      <c r="BW49" s="2"/>
      <c r="BX49" s="2"/>
    </row>
    <row r="50" customFormat="false" ht="15" hidden="false" customHeight="false" outlineLevel="0" collapsed="false">
      <c r="A50" s="2" t="n">
        <v>1221693</v>
      </c>
      <c r="B50" s="2" t="s">
        <v>426</v>
      </c>
      <c r="C50" s="2" t="s">
        <v>1212</v>
      </c>
      <c r="D50" s="2" t="s">
        <v>427</v>
      </c>
      <c r="E50" s="2" t="s">
        <v>428</v>
      </c>
      <c r="F50" s="2" t="s">
        <v>139</v>
      </c>
      <c r="G50" s="2" t="s">
        <v>194</v>
      </c>
      <c r="H50" s="2" t="s">
        <v>1014</v>
      </c>
      <c r="I50" s="2" t="s">
        <v>198</v>
      </c>
      <c r="J50" s="22" t="n">
        <v>44645</v>
      </c>
      <c r="K50" s="22" t="n">
        <v>44742</v>
      </c>
      <c r="L50" s="22" t="n">
        <v>45649.5284866898</v>
      </c>
      <c r="M50" s="2" t="s">
        <v>1016</v>
      </c>
      <c r="N50" s="2" t="s">
        <v>121</v>
      </c>
      <c r="O50" s="2"/>
      <c r="P50" s="2" t="s">
        <v>1017</v>
      </c>
      <c r="Q50" s="10" t="n">
        <v>384</v>
      </c>
      <c r="R50" s="10" t="n">
        <v>384</v>
      </c>
      <c r="S50" s="10"/>
      <c r="T50" s="2" t="s">
        <v>120</v>
      </c>
      <c r="U50" s="2"/>
      <c r="V50" s="2" t="s">
        <v>1029</v>
      </c>
      <c r="W50" s="2" t="s">
        <v>1030</v>
      </c>
      <c r="X50" s="7"/>
      <c r="Y50" s="2" t="str">
        <f aca="false">IF(X50&lt;&gt;"",X50,T50)</f>
        <v>Primary</v>
      </c>
      <c r="Z50" s="2" t="str">
        <f aca="false">IF(OR(Y50="Primary",Y50="Additional phase",Y50="Additional application on site",Y50="Replaces earlier",Y50="Extension of duration (parent not in CIS)"),"Yes","No")</f>
        <v>Yes</v>
      </c>
      <c r="AA50" s="2"/>
      <c r="AB50" s="2" t="n">
        <f aca="false">IF(L50="","",ROUND((Method!$B$4-L50)/30.44,0))</f>
        <v>21</v>
      </c>
      <c r="AC50" s="2" t="str">
        <f aca="false">IF(AB50="","No",IF(AB50&gt;Method!$B$5,"Yes","No"))</f>
        <v>No</v>
      </c>
      <c r="AD50" s="22" t="n">
        <f aca="false">IF(BJ50&lt;&gt;"",BJ50,IF(K50&lt;&gt;"",EDATE(K50,60),""))</f>
        <v>48394</v>
      </c>
      <c r="AE50" s="2" t="str">
        <f aca="false">IF(AND(AD50&lt;&gt;"",OR(G50="Permission Granted",G50="Commencement Expected",G50="Stalled or Suspended")),IF(AD50&lt;Method!$B$4,"Yes","No"),"No")</f>
        <v>No</v>
      </c>
      <c r="AF50" s="7"/>
      <c r="AG50" s="2" t="str">
        <f aca="false">IF(Z50="No","Not counted",IF(AF50="Lapsed or dead","Excluded",IF(AF50="Constrained","Constrained / uncertain",IF(AF50="Confirmed live",IF(G50="On Site","Committed",IF(G50="Part Complete","Committed",IF(G50="Contract Awarded","Committed Pre-Construction",IF(G50="Tender","Advanced Pre-Construction",IF(G50="Commencement Expected","Likely",IF(G50="Permission Granted","Potential",IF(G50="Stalled or Suspended","Constrained / uncertain",IF(G50="Complete","Delivered","Application Pipeline")))))))),IF(G50="Complete","Delivered",IF(AND(OR(G50="Permission Granted",G50="Commencement Expected"),OR(AC50="Yes",AE50="Yes")),"Constrained / uncertain",IF(G50="On Site","Committed",IF(G50="Part Complete","Committed",IF(G50="Contract Awarded","Committed Pre-Construction",IF(G50="Tender","Advanced Pre-Construction",IF(G50="Commencement Expected","Likely",IF(G50="Permission Granted","Potential",IF(G50="Stalled or Suspended","Constrained / uncertain",IF(G50="Complete","Delivered","Application Pipeline"))))))))))))))</f>
        <v>Likely</v>
      </c>
      <c r="AH50" s="2" t="str">
        <f aca="false">IF(Z50="No","Relationship: "&amp;Y50,IF(AF50&lt;&gt;"","Analyst: "&amp;AF50,IF(G50="Complete","Complete",IF(AND(OR(G50="Permission Granted",G50="Commencement Expected"),AE50="Yes"),"Past expiry",IF(AND(OR(G50="Permission Granted",G50="Commencement Expected"),AC50="Yes"),"No CIS update in "&amp;AB50&amp;" months","As CIS")))))</f>
        <v>As CIS</v>
      </c>
      <c r="AI50" s="10" t="n">
        <f aca="false">IF(Z50="Yes",N(Q50),0)</f>
        <v>384</v>
      </c>
      <c r="AJ50" s="10" t="n">
        <f aca="false">IF(OR(Z50="No",G50="Complete"),0,MAX(N(Q50)-N(AA50),0))</f>
        <v>384</v>
      </c>
      <c r="AK50" s="10" t="n">
        <f aca="false">IF(Z50="No",0,IF(G50="Complete",N(Q50),MIN(N(AA50),N(Q50))))</f>
        <v>0</v>
      </c>
      <c r="AL50" s="10" t="n">
        <f aca="false">IF(OR(OR(AG50="Not counted",AG50="Excluded",AG50="Delivered"),P50="Student accommodation"),0,AJ50)</f>
        <v>384</v>
      </c>
      <c r="AM50" s="10" t="n">
        <f aca="false">IF(OR(OR(AG50="Not counted",AG50="Excluded",AG50="Delivered"),P50&lt;&gt;"Student accommodation"),0,AJ50)</f>
        <v>0</v>
      </c>
      <c r="AN50" s="10" t="n">
        <f aca="false">IF(OR(AG50="Not counted",AG50="Excluded",AG50="Delivered"),0,N(S50))</f>
        <v>0</v>
      </c>
      <c r="AO50" s="2" t="s">
        <v>1157</v>
      </c>
      <c r="AP50" s="10"/>
      <c r="AQ50" s="10" t="n">
        <v>46</v>
      </c>
      <c r="AR50" s="10" t="n">
        <v>118</v>
      </c>
      <c r="AS50" s="10" t="n">
        <v>184</v>
      </c>
      <c r="AT50" s="10" t="n">
        <v>36</v>
      </c>
      <c r="AU50" s="10"/>
      <c r="AV50" s="10" t="n">
        <f aca="false">N(AP50)+N(AQ50)+N(AR50)+N(AS50)+N(AT50)+N(AU50)</f>
        <v>384</v>
      </c>
      <c r="AW50" s="10" t="n">
        <v>202</v>
      </c>
      <c r="AX50" s="10" t="n">
        <v>182</v>
      </c>
      <c r="AY50" s="10"/>
      <c r="AZ50" s="2"/>
      <c r="BA50" s="2" t="s">
        <v>17</v>
      </c>
      <c r="BB50" s="2" t="s">
        <v>1213</v>
      </c>
      <c r="BC50" s="2" t="s">
        <v>1214</v>
      </c>
      <c r="BD50" s="2" t="s">
        <v>1163</v>
      </c>
      <c r="BE50" s="2"/>
      <c r="BF50" s="2" t="s">
        <v>1025</v>
      </c>
      <c r="BG50" s="22" t="n">
        <v>44742</v>
      </c>
      <c r="BH50" s="22" t="n">
        <v>48394</v>
      </c>
      <c r="BI50" s="2"/>
      <c r="BJ50" s="22" t="n">
        <v>48394</v>
      </c>
      <c r="BK50" s="2" t="n">
        <v>384</v>
      </c>
      <c r="BL50" s="2"/>
      <c r="BM50" s="2"/>
      <c r="BN50" s="2" t="s">
        <v>1215</v>
      </c>
      <c r="BO50" s="23" t="s">
        <v>1216</v>
      </c>
      <c r="BP50" s="2" t="n">
        <f aca="false">IF(OR(K50="",BG50=""),"",ROUND(BG50-K50,0))</f>
        <v>0</v>
      </c>
      <c r="BQ50" s="2" t="str">
        <f aca="false">IF(OR(N(BK50)=0,Q50=""),"Not recorded",IF(BK50=Q50,"Match","Differs"))</f>
        <v>Match</v>
      </c>
      <c r="BR50" s="2" t="str">
        <f aca="false">IF(N50="No","Excluded (non-residential)",IF(BF50="No reference","Unverified – no reference",IF(BF50="Not in council register","Unverified – not in register (Part 8 / other)",IF(OR(BF50="Refused",BF50="Refused on appeal",BF50="Withdrawn",BF50="Invalid",BF50="Quashed"),IF(OR(G50="Complete",G50="On Site",G50="Part Complete"),"Conflict – register not live but CIS says built","Conflict – not live in register"),IF(AND(G50="Plans Submitted",OR(BF50="Granted",BF50="Granted on appeal")),"Stage out of date – now granted",IF(AND(G50&lt;&gt;"Plans Submitted",OR(BF50="Pending",BF50="Under appeal")),"Check – register still pending",IF(N(BL50)&gt;Method!$B$7,"Check – location differs",IF(AND(BP50&lt;&gt;"",ABS(N(BP50))&gt;60),"Consistent – decision date differs","Consistent"))))))))</f>
        <v>Consistent</v>
      </c>
      <c r="BS50" s="2"/>
      <c r="BT50" s="2"/>
      <c r="BU50" s="2"/>
      <c r="BV50" s="2"/>
      <c r="BW50" s="2"/>
      <c r="BX50" s="2"/>
    </row>
    <row r="51" customFormat="false" ht="15" hidden="false" customHeight="false" outlineLevel="0" collapsed="false">
      <c r="A51" s="2" t="n">
        <v>1223809</v>
      </c>
      <c r="B51" s="2" t="s">
        <v>502</v>
      </c>
      <c r="C51" s="2" t="s">
        <v>1217</v>
      </c>
      <c r="D51" s="2" t="s">
        <v>503</v>
      </c>
      <c r="E51" s="2" t="s">
        <v>504</v>
      </c>
      <c r="F51" s="2" t="s">
        <v>144</v>
      </c>
      <c r="G51" s="2" t="s">
        <v>251</v>
      </c>
      <c r="H51" s="2" t="s">
        <v>1014</v>
      </c>
      <c r="I51" s="2" t="s">
        <v>1015</v>
      </c>
      <c r="J51" s="22" t="n">
        <v>44658</v>
      </c>
      <c r="K51" s="22" t="n">
        <v>44805</v>
      </c>
      <c r="L51" s="22" t="n">
        <v>45260.4654184375</v>
      </c>
      <c r="M51" s="2" t="s">
        <v>1016</v>
      </c>
      <c r="N51" s="2" t="s">
        <v>121</v>
      </c>
      <c r="O51" s="2"/>
      <c r="P51" s="2" t="s">
        <v>1017</v>
      </c>
      <c r="Q51" s="10" t="n">
        <v>13</v>
      </c>
      <c r="R51" s="10" t="n">
        <v>13</v>
      </c>
      <c r="S51" s="10"/>
      <c r="T51" s="2" t="s">
        <v>120</v>
      </c>
      <c r="U51" s="2"/>
      <c r="V51" s="2" t="s">
        <v>1029</v>
      </c>
      <c r="W51" s="2" t="s">
        <v>1030</v>
      </c>
      <c r="X51" s="7"/>
      <c r="Y51" s="2" t="str">
        <f aca="false">IF(X51&lt;&gt;"",X51,T51)</f>
        <v>Primary</v>
      </c>
      <c r="Z51" s="2" t="str">
        <f aca="false">IF(OR(Y51="Primary",Y51="Additional phase",Y51="Additional application on site",Y51="Replaces earlier",Y51="Extension of duration (parent not in CIS)"),"Yes","No")</f>
        <v>Yes</v>
      </c>
      <c r="AA51" s="2"/>
      <c r="AB51" s="2" t="n">
        <f aca="false">IF(L51="","",ROUND((Method!$B$4-L51)/30.44,0))</f>
        <v>34</v>
      </c>
      <c r="AC51" s="2" t="str">
        <f aca="false">IF(AB51="","No",IF(AB51&gt;Method!$B$5,"Yes","No"))</f>
        <v>Yes</v>
      </c>
      <c r="AD51" s="22" t="n">
        <f aca="false">IF(BJ51&lt;&gt;"",BJ51,IF(K51&lt;&gt;"",EDATE(K51,60),""))</f>
        <v>46686</v>
      </c>
      <c r="AE51" s="2" t="str">
        <f aca="false">IF(AND(AD51&lt;&gt;"",OR(G51="Permission Granted",G51="Commencement Expected",G51="Stalled or Suspended")),IF(AD51&lt;Method!$B$4,"Yes","No"),"No")</f>
        <v>No</v>
      </c>
      <c r="AF51" s="7"/>
      <c r="AG51" s="2" t="str">
        <f aca="false">IF(Z51="No","Not counted",IF(AF51="Lapsed or dead","Excluded",IF(AF51="Constrained","Constrained / uncertain",IF(AF51="Confirmed live",IF(G51="On Site","Committed",IF(G51="Part Complete","Committed",IF(G51="Contract Awarded","Committed Pre-Construction",IF(G51="Tender","Advanced Pre-Construction",IF(G51="Commencement Expected","Likely",IF(G51="Permission Granted","Potential",IF(G51="Stalled or Suspended","Constrained / uncertain",IF(G51="Complete","Delivered","Application Pipeline")))))))),IF(G51="Complete","Delivered",IF(AND(OR(G51="Permission Granted",G51="Commencement Expected"),OR(AC51="Yes",AE51="Yes")),"Constrained / uncertain",IF(G51="On Site","Committed",IF(G51="Part Complete","Committed",IF(G51="Contract Awarded","Committed Pre-Construction",IF(G51="Tender","Advanced Pre-Construction",IF(G51="Commencement Expected","Likely",IF(G51="Permission Granted","Potential",IF(G51="Stalled or Suspended","Constrained / uncertain",IF(G51="Complete","Delivered","Application Pipeline"))))))))))))))</f>
        <v>Delivered</v>
      </c>
      <c r="AH51" s="2" t="str">
        <f aca="false">IF(Z51="No","Relationship: "&amp;Y51,IF(AF51&lt;&gt;"","Analyst: "&amp;AF51,IF(G51="Complete","Complete",IF(AND(OR(G51="Permission Granted",G51="Commencement Expected"),AE51="Yes"),"Past expiry",IF(AND(OR(G51="Permission Granted",G51="Commencement Expected"),AC51="Yes"),"No CIS update in "&amp;AB51&amp;" months","As CIS")))))</f>
        <v>Complete</v>
      </c>
      <c r="AI51" s="10" t="n">
        <f aca="false">IF(Z51="Yes",N(Q51),0)</f>
        <v>13</v>
      </c>
      <c r="AJ51" s="10" t="n">
        <f aca="false">IF(OR(Z51="No",G51="Complete"),0,MAX(N(Q51)-N(AA51),0))</f>
        <v>0</v>
      </c>
      <c r="AK51" s="10" t="n">
        <f aca="false">IF(Z51="No",0,IF(G51="Complete",N(Q51),MIN(N(AA51),N(Q51))))</f>
        <v>13</v>
      </c>
      <c r="AL51" s="10" t="n">
        <f aca="false">IF(OR(OR(AG51="Not counted",AG51="Excluded",AG51="Delivered"),P51="Student accommodation"),0,AJ51)</f>
        <v>0</v>
      </c>
      <c r="AM51" s="10" t="n">
        <f aca="false">IF(OR(OR(AG51="Not counted",AG51="Excluded",AG51="Delivered"),P51&lt;&gt;"Student accommodation"),0,AJ51)</f>
        <v>0</v>
      </c>
      <c r="AN51" s="10" t="n">
        <f aca="false">IF(OR(AG51="Not counted",AG51="Excluded",AG51="Delivered"),0,N(S51))</f>
        <v>0</v>
      </c>
      <c r="AO51" s="2" t="s">
        <v>1021</v>
      </c>
      <c r="AP51" s="10"/>
      <c r="AQ51" s="10"/>
      <c r="AR51" s="10"/>
      <c r="AS51" s="10"/>
      <c r="AT51" s="10"/>
      <c r="AU51" s="10"/>
      <c r="AV51" s="10" t="n">
        <f aca="false">N(AP51)+N(AQ51)+N(AR51)+N(AS51)+N(AT51)+N(AU51)</f>
        <v>0</v>
      </c>
      <c r="AW51" s="10"/>
      <c r="AX51" s="10"/>
      <c r="AY51" s="10"/>
      <c r="AZ51" s="2"/>
      <c r="BA51" s="2" t="s">
        <v>1022</v>
      </c>
      <c r="BB51" s="2" t="s">
        <v>1217</v>
      </c>
      <c r="BC51" s="2" t="s">
        <v>1218</v>
      </c>
      <c r="BD51" s="2" t="s">
        <v>1024</v>
      </c>
      <c r="BE51" s="2"/>
      <c r="BF51" s="2" t="s">
        <v>1025</v>
      </c>
      <c r="BG51" s="22" t="n">
        <v>44805</v>
      </c>
      <c r="BH51" s="22" t="n">
        <v>46686</v>
      </c>
      <c r="BI51" s="2"/>
      <c r="BJ51" s="22" t="n">
        <v>46686</v>
      </c>
      <c r="BK51" s="2" t="n">
        <v>2</v>
      </c>
      <c r="BL51" s="2" t="n">
        <v>0</v>
      </c>
      <c r="BM51" s="2"/>
      <c r="BN51" s="2" t="s">
        <v>1219</v>
      </c>
      <c r="BO51" s="23" t="s">
        <v>1220</v>
      </c>
      <c r="BP51" s="2" t="n">
        <f aca="false">IF(OR(K51="",BG51=""),"",ROUND(BG51-K51,0))</f>
        <v>0</v>
      </c>
      <c r="BQ51" s="2" t="str">
        <f aca="false">IF(OR(N(BK51)=0,Q51=""),"Not recorded",IF(BK51=Q51,"Match","Differs"))</f>
        <v>Differs</v>
      </c>
      <c r="BR51" s="2" t="str">
        <f aca="false">IF(N51="No","Excluded (non-residential)",IF(BF51="No reference","Unverified – no reference",IF(BF51="Not in council register","Unverified – not in register (Part 8 / other)",IF(OR(BF51="Refused",BF51="Refused on appeal",BF51="Withdrawn",BF51="Invalid",BF51="Quashed"),IF(OR(G51="Complete",G51="On Site",G51="Part Complete"),"Conflict – register not live but CIS says built","Conflict – not live in register"),IF(AND(G51="Plans Submitted",OR(BF51="Granted",BF51="Granted on appeal")),"Stage out of date – now granted",IF(AND(G51&lt;&gt;"Plans Submitted",OR(BF51="Pending",BF51="Under appeal")),"Check – register still pending",IF(N(BL51)&gt;Method!$B$7,"Check – location differs",IF(AND(BP51&lt;&gt;"",ABS(N(BP51))&gt;60),"Consistent – decision date differs","Consistent"))))))))</f>
        <v>Consistent</v>
      </c>
      <c r="BS51" s="2"/>
      <c r="BT51" s="2"/>
      <c r="BU51" s="2"/>
      <c r="BV51" s="2"/>
      <c r="BW51" s="2"/>
      <c r="BX51" s="2"/>
    </row>
    <row r="52" customFormat="false" ht="15" hidden="false" customHeight="false" outlineLevel="0" collapsed="false">
      <c r="A52" s="2" t="n">
        <v>1225380</v>
      </c>
      <c r="B52" s="2" t="s">
        <v>553</v>
      </c>
      <c r="C52" s="2" t="s">
        <v>1221</v>
      </c>
      <c r="D52" s="2" t="s">
        <v>554</v>
      </c>
      <c r="E52" s="2" t="s">
        <v>555</v>
      </c>
      <c r="F52" s="2" t="s">
        <v>144</v>
      </c>
      <c r="G52" s="2" t="s">
        <v>187</v>
      </c>
      <c r="H52" s="2" t="s">
        <v>1014</v>
      </c>
      <c r="I52" s="2"/>
      <c r="J52" s="22" t="n">
        <v>44662</v>
      </c>
      <c r="K52" s="22" t="n">
        <v>44943</v>
      </c>
      <c r="L52" s="22" t="n">
        <v>44945.4898602199</v>
      </c>
      <c r="M52" s="2" t="s">
        <v>1016</v>
      </c>
      <c r="N52" s="2" t="s">
        <v>121</v>
      </c>
      <c r="O52" s="2"/>
      <c r="P52" s="2" t="s">
        <v>1017</v>
      </c>
      <c r="Q52" s="10" t="n">
        <v>32</v>
      </c>
      <c r="R52" s="10" t="n">
        <v>32</v>
      </c>
      <c r="S52" s="10"/>
      <c r="T52" s="2" t="s">
        <v>120</v>
      </c>
      <c r="U52" s="2"/>
      <c r="V52" s="2" t="s">
        <v>1029</v>
      </c>
      <c r="W52" s="2" t="s">
        <v>1030</v>
      </c>
      <c r="X52" s="7"/>
      <c r="Y52" s="2" t="str">
        <f aca="false">IF(X52&lt;&gt;"",X52,T52)</f>
        <v>Primary</v>
      </c>
      <c r="Z52" s="2" t="str">
        <f aca="false">IF(OR(Y52="Primary",Y52="Additional phase",Y52="Additional application on site",Y52="Replaces earlier",Y52="Extension of duration (parent not in CIS)"),"Yes","No")</f>
        <v>Yes</v>
      </c>
      <c r="AA52" s="2"/>
      <c r="AB52" s="2" t="n">
        <f aca="false">IF(L52="","",ROUND((Method!$B$4-L52)/30.44,0))</f>
        <v>44</v>
      </c>
      <c r="AC52" s="2" t="str">
        <f aca="false">IF(AB52="","No",IF(AB52&gt;Method!$B$5,"Yes","No"))</f>
        <v>Yes</v>
      </c>
      <c r="AD52" s="22" t="n">
        <f aca="false">IF(BJ52&lt;&gt;"",BJ52,IF(K52&lt;&gt;"",EDATE(K52,60),""))</f>
        <v>46802</v>
      </c>
      <c r="AE52" s="2" t="str">
        <f aca="false">IF(AND(AD52&lt;&gt;"",OR(G52="Permission Granted",G52="Commencement Expected",G52="Stalled or Suspended")),IF(AD52&lt;Method!$B$4,"Yes","No"),"No")</f>
        <v>No</v>
      </c>
      <c r="AF52" s="7"/>
      <c r="AG52" s="2" t="str">
        <f aca="false">IF(Z52="No","Not counted",IF(AF52="Lapsed or dead","Excluded",IF(AF52="Constrained","Constrained / uncertain",IF(AF52="Confirmed live",IF(G52="On Site","Committed",IF(G52="Part Complete","Committed",IF(G52="Contract Awarded","Committed Pre-Construction",IF(G52="Tender","Advanced Pre-Construction",IF(G52="Commencement Expected","Likely",IF(G52="Permission Granted","Potential",IF(G52="Stalled or Suspended","Constrained / uncertain",IF(G52="Complete","Delivered","Application Pipeline")))))))),IF(G52="Complete","Delivered",IF(AND(OR(G52="Permission Granted",G52="Commencement Expected"),OR(AC52="Yes",AE52="Yes")),"Constrained / uncertain",IF(G52="On Site","Committed",IF(G52="Part Complete","Committed",IF(G52="Contract Awarded","Committed Pre-Construction",IF(G52="Tender","Advanced Pre-Construction",IF(G52="Commencement Expected","Likely",IF(G52="Permission Granted","Potential",IF(G52="Stalled or Suspended","Constrained / uncertain",IF(G52="Complete","Delivered","Application Pipeline"))))))))))))))</f>
        <v>Constrained / uncertain</v>
      </c>
      <c r="AH52" s="2" t="str">
        <f aca="false">IF(Z52="No","Relationship: "&amp;Y52,IF(AF52&lt;&gt;"","Analyst: "&amp;AF52,IF(G52="Complete","Complete",IF(AND(OR(G52="Permission Granted",G52="Commencement Expected"),AE52="Yes"),"Past expiry",IF(AND(OR(G52="Permission Granted",G52="Commencement Expected"),AC52="Yes"),"No CIS update in "&amp;AB52&amp;" months","As CIS")))))</f>
        <v>No CIS update in 44 months</v>
      </c>
      <c r="AI52" s="10" t="n">
        <f aca="false">IF(Z52="Yes",N(Q52),0)</f>
        <v>32</v>
      </c>
      <c r="AJ52" s="10" t="n">
        <f aca="false">IF(OR(Z52="No",G52="Complete"),0,MAX(N(Q52)-N(AA52),0))</f>
        <v>32</v>
      </c>
      <c r="AK52" s="10" t="n">
        <f aca="false">IF(Z52="No",0,IF(G52="Complete",N(Q52),MIN(N(AA52),N(Q52))))</f>
        <v>0</v>
      </c>
      <c r="AL52" s="10" t="n">
        <f aca="false">IF(OR(OR(AG52="Not counted",AG52="Excluded",AG52="Delivered"),P52="Student accommodation"),0,AJ52)</f>
        <v>32</v>
      </c>
      <c r="AM52" s="10" t="n">
        <f aca="false">IF(OR(OR(AG52="Not counted",AG52="Excluded",AG52="Delivered"),P52&lt;&gt;"Student accommodation"),0,AJ52)</f>
        <v>0</v>
      </c>
      <c r="AN52" s="10" t="n">
        <f aca="false">IF(OR(AG52="Not counted",AG52="Excluded",AG52="Delivered"),0,N(S52))</f>
        <v>0</v>
      </c>
      <c r="AO52" s="2" t="s">
        <v>1021</v>
      </c>
      <c r="AP52" s="10"/>
      <c r="AQ52" s="10"/>
      <c r="AR52" s="10"/>
      <c r="AS52" s="10"/>
      <c r="AT52" s="10"/>
      <c r="AU52" s="10"/>
      <c r="AV52" s="10" t="n">
        <f aca="false">N(AP52)+N(AQ52)+N(AR52)+N(AS52)+N(AT52)+N(AU52)</f>
        <v>0</v>
      </c>
      <c r="AW52" s="10"/>
      <c r="AX52" s="10"/>
      <c r="AY52" s="10"/>
      <c r="AZ52" s="2"/>
      <c r="BA52" s="2" t="s">
        <v>1022</v>
      </c>
      <c r="BB52" s="2" t="s">
        <v>1221</v>
      </c>
      <c r="BC52" s="2" t="s">
        <v>1023</v>
      </c>
      <c r="BD52" s="2" t="s">
        <v>1024</v>
      </c>
      <c r="BE52" s="2"/>
      <c r="BF52" s="2" t="s">
        <v>1025</v>
      </c>
      <c r="BG52" s="22" t="n">
        <v>44943</v>
      </c>
      <c r="BH52" s="22" t="n">
        <v>46802</v>
      </c>
      <c r="BI52" s="2"/>
      <c r="BJ52" s="22" t="n">
        <v>46802</v>
      </c>
      <c r="BK52" s="2" t="n">
        <v>1</v>
      </c>
      <c r="BL52" s="2" t="n">
        <v>0</v>
      </c>
      <c r="BM52" s="2"/>
      <c r="BN52" s="2" t="s">
        <v>1222</v>
      </c>
      <c r="BO52" s="23" t="s">
        <v>1223</v>
      </c>
      <c r="BP52" s="2" t="n">
        <f aca="false">IF(OR(K52="",BG52=""),"",ROUND(BG52-K52,0))</f>
        <v>0</v>
      </c>
      <c r="BQ52" s="2" t="str">
        <f aca="false">IF(OR(N(BK52)=0,Q52=""),"Not recorded",IF(BK52=Q52,"Match","Differs"))</f>
        <v>Differs</v>
      </c>
      <c r="BR52" s="2" t="str">
        <f aca="false">IF(N52="No","Excluded (non-residential)",IF(BF52="No reference","Unverified – no reference",IF(BF52="Not in council register","Unverified – not in register (Part 8 / other)",IF(OR(BF52="Refused",BF52="Refused on appeal",BF52="Withdrawn",BF52="Invalid",BF52="Quashed"),IF(OR(G52="Complete",G52="On Site",G52="Part Complete"),"Conflict – register not live but CIS says built","Conflict – not live in register"),IF(AND(G52="Plans Submitted",OR(BF52="Granted",BF52="Granted on appeal")),"Stage out of date – now granted",IF(AND(G52&lt;&gt;"Plans Submitted",OR(BF52="Pending",BF52="Under appeal")),"Check – register still pending",IF(N(BL52)&gt;Method!$B$7,"Check – location differs",IF(AND(BP52&lt;&gt;"",ABS(N(BP52))&gt;60),"Consistent – decision date differs","Consistent"))))))))</f>
        <v>Consistent</v>
      </c>
      <c r="BS52" s="2"/>
      <c r="BT52" s="2"/>
      <c r="BU52" s="2"/>
      <c r="BV52" s="2"/>
      <c r="BW52" s="2"/>
      <c r="BX52" s="2"/>
    </row>
    <row r="53" customFormat="false" ht="15" hidden="false" customHeight="false" outlineLevel="0" collapsed="false">
      <c r="A53" s="2" t="n">
        <v>1237333</v>
      </c>
      <c r="B53" s="2" t="s">
        <v>363</v>
      </c>
      <c r="C53" s="2" t="s">
        <v>1224</v>
      </c>
      <c r="D53" s="2" t="s">
        <v>364</v>
      </c>
      <c r="E53" s="2" t="s">
        <v>365</v>
      </c>
      <c r="F53" s="2" t="s">
        <v>144</v>
      </c>
      <c r="G53" s="2" t="s">
        <v>198</v>
      </c>
      <c r="H53" s="2" t="s">
        <v>1014</v>
      </c>
      <c r="I53" s="2" t="s">
        <v>198</v>
      </c>
      <c r="J53" s="22" t="n">
        <v>44736</v>
      </c>
      <c r="K53" s="22" t="n">
        <v>44796</v>
      </c>
      <c r="L53" s="22" t="n">
        <v>45957.3449820602</v>
      </c>
      <c r="M53" s="2" t="s">
        <v>1016</v>
      </c>
      <c r="N53" s="2" t="s">
        <v>121</v>
      </c>
      <c r="O53" s="2"/>
      <c r="P53" s="2" t="s">
        <v>1017</v>
      </c>
      <c r="Q53" s="10" t="n">
        <v>10</v>
      </c>
      <c r="R53" s="10" t="n">
        <v>10</v>
      </c>
      <c r="S53" s="10"/>
      <c r="T53" s="2" t="s">
        <v>120</v>
      </c>
      <c r="U53" s="2"/>
      <c r="V53" s="2" t="s">
        <v>1029</v>
      </c>
      <c r="W53" s="2" t="s">
        <v>1030</v>
      </c>
      <c r="X53" s="7"/>
      <c r="Y53" s="2" t="str">
        <f aca="false">IF(X53&lt;&gt;"",X53,T53)</f>
        <v>Primary</v>
      </c>
      <c r="Z53" s="2" t="str">
        <f aca="false">IF(OR(Y53="Primary",Y53="Additional phase",Y53="Additional application on site",Y53="Replaces earlier",Y53="Extension of duration (parent not in CIS)"),"Yes","No")</f>
        <v>Yes</v>
      </c>
      <c r="AA53" s="2"/>
      <c r="AB53" s="2" t="n">
        <f aca="false">IF(L53="","",ROUND((Method!$B$4-L53)/30.44,0))</f>
        <v>11</v>
      </c>
      <c r="AC53" s="2" t="str">
        <f aca="false">IF(AB53="","No",IF(AB53&gt;Method!$B$5,"Yes","No"))</f>
        <v>No</v>
      </c>
      <c r="AD53" s="22" t="n">
        <f aca="false">IF(BJ53&lt;&gt;"",BJ53,IF(K53&lt;&gt;"",EDATE(K53,60),""))</f>
        <v>46622</v>
      </c>
      <c r="AE53" s="2" t="str">
        <f aca="false">IF(AND(AD53&lt;&gt;"",OR(G53="Permission Granted",G53="Commencement Expected",G53="Stalled or Suspended")),IF(AD53&lt;Method!$B$4,"Yes","No"),"No")</f>
        <v>No</v>
      </c>
      <c r="AF53" s="7"/>
      <c r="AG53" s="2" t="str">
        <f aca="false">IF(Z53="No","Not counted",IF(AF53="Lapsed or dead","Excluded",IF(AF53="Constrained","Constrained / uncertain",IF(AF53="Confirmed live",IF(G53="On Site","Committed",IF(G53="Part Complete","Committed",IF(G53="Contract Awarded","Committed Pre-Construction",IF(G53="Tender","Advanced Pre-Construction",IF(G53="Commencement Expected","Likely",IF(G53="Permission Granted","Potential",IF(G53="Stalled or Suspended","Constrained / uncertain",IF(G53="Complete","Delivered","Application Pipeline")))))))),IF(G53="Complete","Delivered",IF(AND(OR(G53="Permission Granted",G53="Commencement Expected"),OR(AC53="Yes",AE53="Yes")),"Constrained / uncertain",IF(G53="On Site","Committed",IF(G53="Part Complete","Committed",IF(G53="Contract Awarded","Committed Pre-Construction",IF(G53="Tender","Advanced Pre-Construction",IF(G53="Commencement Expected","Likely",IF(G53="Permission Granted","Potential",IF(G53="Stalled or Suspended","Constrained / uncertain",IF(G53="Complete","Delivered","Application Pipeline"))))))))))))))</f>
        <v>Committed</v>
      </c>
      <c r="AH53" s="2" t="str">
        <f aca="false">IF(Z53="No","Relationship: "&amp;Y53,IF(AF53&lt;&gt;"","Analyst: "&amp;AF53,IF(G53="Complete","Complete",IF(AND(OR(G53="Permission Granted",G53="Commencement Expected"),AE53="Yes"),"Past expiry",IF(AND(OR(G53="Permission Granted",G53="Commencement Expected"),AC53="Yes"),"No CIS update in "&amp;AB53&amp;" months","As CIS")))))</f>
        <v>As CIS</v>
      </c>
      <c r="AI53" s="10" t="n">
        <f aca="false">IF(Z53="Yes",N(Q53),0)</f>
        <v>10</v>
      </c>
      <c r="AJ53" s="10" t="n">
        <f aca="false">IF(OR(Z53="No",G53="Complete"),0,MAX(N(Q53)-N(AA53),0))</f>
        <v>10</v>
      </c>
      <c r="AK53" s="10" t="n">
        <f aca="false">IF(Z53="No",0,IF(G53="Complete",N(Q53),MIN(N(AA53),N(Q53))))</f>
        <v>0</v>
      </c>
      <c r="AL53" s="10" t="n">
        <f aca="false">IF(OR(OR(AG53="Not counted",AG53="Excluded",AG53="Delivered"),P53="Student accommodation"),0,AJ53)</f>
        <v>10</v>
      </c>
      <c r="AM53" s="10" t="n">
        <f aca="false">IF(OR(OR(AG53="Not counted",AG53="Excluded",AG53="Delivered"),P53&lt;&gt;"Student accommodation"),0,AJ53)</f>
        <v>0</v>
      </c>
      <c r="AN53" s="10" t="n">
        <f aca="false">IF(OR(AG53="Not counted",AG53="Excluded",AG53="Delivered"),0,N(S53))</f>
        <v>0</v>
      </c>
      <c r="AO53" s="2" t="s">
        <v>1021</v>
      </c>
      <c r="AP53" s="10"/>
      <c r="AQ53" s="10"/>
      <c r="AR53" s="10"/>
      <c r="AS53" s="10"/>
      <c r="AT53" s="10"/>
      <c r="AU53" s="10"/>
      <c r="AV53" s="10" t="n">
        <f aca="false">N(AP53)+N(AQ53)+N(AR53)+N(AS53)+N(AT53)+N(AU53)</f>
        <v>0</v>
      </c>
      <c r="AW53" s="10"/>
      <c r="AX53" s="10"/>
      <c r="AY53" s="10"/>
      <c r="AZ53" s="2"/>
      <c r="BA53" s="2" t="s">
        <v>1022</v>
      </c>
      <c r="BB53" s="2" t="s">
        <v>1224</v>
      </c>
      <c r="BC53" s="2" t="s">
        <v>1046</v>
      </c>
      <c r="BD53" s="2" t="s">
        <v>1024</v>
      </c>
      <c r="BE53" s="2"/>
      <c r="BF53" s="2" t="s">
        <v>1025</v>
      </c>
      <c r="BG53" s="22" t="n">
        <v>44802</v>
      </c>
      <c r="BH53" s="22"/>
      <c r="BI53" s="2"/>
      <c r="BJ53" s="22"/>
      <c r="BK53" s="2" t="n">
        <v>1</v>
      </c>
      <c r="BL53" s="2" t="n">
        <v>0</v>
      </c>
      <c r="BM53" s="2"/>
      <c r="BN53" s="2" t="s">
        <v>1225</v>
      </c>
      <c r="BO53" s="23" t="s">
        <v>1226</v>
      </c>
      <c r="BP53" s="2" t="n">
        <f aca="false">IF(OR(K53="",BG53=""),"",ROUND(BG53-K53,0))</f>
        <v>6</v>
      </c>
      <c r="BQ53" s="2" t="str">
        <f aca="false">IF(OR(N(BK53)=0,Q53=""),"Not recorded",IF(BK53=Q53,"Match","Differs"))</f>
        <v>Differs</v>
      </c>
      <c r="BR53" s="2" t="str">
        <f aca="false">IF(N53="No","Excluded (non-residential)",IF(BF53="No reference","Unverified – no reference",IF(BF53="Not in council register","Unverified – not in register (Part 8 / other)",IF(OR(BF53="Refused",BF53="Refused on appeal",BF53="Withdrawn",BF53="Invalid",BF53="Quashed"),IF(OR(G53="Complete",G53="On Site",G53="Part Complete"),"Conflict – register not live but CIS says built","Conflict – not live in register"),IF(AND(G53="Plans Submitted",OR(BF53="Granted",BF53="Granted on appeal")),"Stage out of date – now granted",IF(AND(G53&lt;&gt;"Plans Submitted",OR(BF53="Pending",BF53="Under appeal")),"Check – register still pending",IF(N(BL53)&gt;Method!$B$7,"Check – location differs",IF(AND(BP53&lt;&gt;"",ABS(N(BP53))&gt;60),"Consistent – decision date differs","Consistent"))))))))</f>
        <v>Consistent</v>
      </c>
      <c r="BS53" s="2" t="n">
        <v>1827</v>
      </c>
      <c r="BT53" s="2" t="s">
        <v>1049</v>
      </c>
      <c r="BU53" s="2" t="s">
        <v>1050</v>
      </c>
      <c r="BV53" s="2" t="s">
        <v>198</v>
      </c>
      <c r="BW53" s="2" t="s">
        <v>1227</v>
      </c>
      <c r="BX53" s="2" t="s">
        <v>1052</v>
      </c>
    </row>
    <row r="54" customFormat="false" ht="15" hidden="false" customHeight="false" outlineLevel="0" collapsed="false">
      <c r="A54" s="2" t="n">
        <v>1242233</v>
      </c>
      <c r="B54" s="2" t="s">
        <v>538</v>
      </c>
      <c r="C54" s="2" t="s">
        <v>1228</v>
      </c>
      <c r="D54" s="2" t="s">
        <v>539</v>
      </c>
      <c r="E54" s="2" t="s">
        <v>540</v>
      </c>
      <c r="F54" s="2" t="s">
        <v>144</v>
      </c>
      <c r="G54" s="2" t="s">
        <v>187</v>
      </c>
      <c r="H54" s="2" t="s">
        <v>1014</v>
      </c>
      <c r="I54" s="2"/>
      <c r="J54" s="22" t="n">
        <v>44767</v>
      </c>
      <c r="K54" s="22" t="n">
        <v>45076</v>
      </c>
      <c r="L54" s="22" t="n">
        <v>45078.4572454861</v>
      </c>
      <c r="M54" s="2" t="s">
        <v>1016</v>
      </c>
      <c r="N54" s="2" t="s">
        <v>121</v>
      </c>
      <c r="O54" s="2"/>
      <c r="P54" s="2" t="s">
        <v>1017</v>
      </c>
      <c r="Q54" s="10" t="n">
        <v>86</v>
      </c>
      <c r="R54" s="10" t="n">
        <v>86</v>
      </c>
      <c r="S54" s="10"/>
      <c r="T54" s="2" t="s">
        <v>120</v>
      </c>
      <c r="U54" s="2"/>
      <c r="V54" s="2" t="s">
        <v>1029</v>
      </c>
      <c r="W54" s="2" t="s">
        <v>1030</v>
      </c>
      <c r="X54" s="7"/>
      <c r="Y54" s="2" t="str">
        <f aca="false">IF(X54&lt;&gt;"",X54,T54)</f>
        <v>Primary</v>
      </c>
      <c r="Z54" s="2" t="str">
        <f aca="false">IF(OR(Y54="Primary",Y54="Additional phase",Y54="Additional application on site",Y54="Replaces earlier",Y54="Extension of duration (parent not in CIS)"),"Yes","No")</f>
        <v>Yes</v>
      </c>
      <c r="AA54" s="2"/>
      <c r="AB54" s="2" t="n">
        <f aca="false">IF(L54="","",ROUND((Method!$B$4-L54)/30.44,0))</f>
        <v>40</v>
      </c>
      <c r="AC54" s="2" t="str">
        <f aca="false">IF(AB54="","No",IF(AB54&gt;Method!$B$5,"Yes","No"))</f>
        <v>Yes</v>
      </c>
      <c r="AD54" s="22" t="n">
        <f aca="false">IF(BJ54&lt;&gt;"",BJ54,IF(K54&lt;&gt;"",EDATE(K54,60),""))</f>
        <v>46937</v>
      </c>
      <c r="AE54" s="2" t="str">
        <f aca="false">IF(AND(AD54&lt;&gt;"",OR(G54="Permission Granted",G54="Commencement Expected",G54="Stalled or Suspended")),IF(AD54&lt;Method!$B$4,"Yes","No"),"No")</f>
        <v>No</v>
      </c>
      <c r="AF54" s="7"/>
      <c r="AG54" s="2" t="str">
        <f aca="false">IF(Z54="No","Not counted",IF(AF54="Lapsed or dead","Excluded",IF(AF54="Constrained","Constrained / uncertain",IF(AF54="Confirmed live",IF(G54="On Site","Committed",IF(G54="Part Complete","Committed",IF(G54="Contract Awarded","Committed Pre-Construction",IF(G54="Tender","Advanced Pre-Construction",IF(G54="Commencement Expected","Likely",IF(G54="Permission Granted","Potential",IF(G54="Stalled or Suspended","Constrained / uncertain",IF(G54="Complete","Delivered","Application Pipeline")))))))),IF(G54="Complete","Delivered",IF(AND(OR(G54="Permission Granted",G54="Commencement Expected"),OR(AC54="Yes",AE54="Yes")),"Constrained / uncertain",IF(G54="On Site","Committed",IF(G54="Part Complete","Committed",IF(G54="Contract Awarded","Committed Pre-Construction",IF(G54="Tender","Advanced Pre-Construction",IF(G54="Commencement Expected","Likely",IF(G54="Permission Granted","Potential",IF(G54="Stalled or Suspended","Constrained / uncertain",IF(G54="Complete","Delivered","Application Pipeline"))))))))))))))</f>
        <v>Constrained / uncertain</v>
      </c>
      <c r="AH54" s="2" t="str">
        <f aca="false">IF(Z54="No","Relationship: "&amp;Y54,IF(AF54&lt;&gt;"","Analyst: "&amp;AF54,IF(G54="Complete","Complete",IF(AND(OR(G54="Permission Granted",G54="Commencement Expected"),AE54="Yes"),"Past expiry",IF(AND(OR(G54="Permission Granted",G54="Commencement Expected"),AC54="Yes"),"No CIS update in "&amp;AB54&amp;" months","As CIS")))))</f>
        <v>No CIS update in 40 months</v>
      </c>
      <c r="AI54" s="10" t="n">
        <f aca="false">IF(Z54="Yes",N(Q54),0)</f>
        <v>86</v>
      </c>
      <c r="AJ54" s="10" t="n">
        <f aca="false">IF(OR(Z54="No",G54="Complete"),0,MAX(N(Q54)-N(AA54),0))</f>
        <v>86</v>
      </c>
      <c r="AK54" s="10" t="n">
        <f aca="false">IF(Z54="No",0,IF(G54="Complete",N(Q54),MIN(N(AA54),N(Q54))))</f>
        <v>0</v>
      </c>
      <c r="AL54" s="10" t="n">
        <f aca="false">IF(OR(OR(AG54="Not counted",AG54="Excluded",AG54="Delivered"),P54="Student accommodation"),0,AJ54)</f>
        <v>86</v>
      </c>
      <c r="AM54" s="10" t="n">
        <f aca="false">IF(OR(OR(AG54="Not counted",AG54="Excluded",AG54="Delivered"),P54&lt;&gt;"Student accommodation"),0,AJ54)</f>
        <v>0</v>
      </c>
      <c r="AN54" s="10" t="n">
        <f aca="false">IF(OR(AG54="Not counted",AG54="Excluded",AG54="Delivered"),0,N(S54))</f>
        <v>0</v>
      </c>
      <c r="AO54" s="2" t="s">
        <v>1157</v>
      </c>
      <c r="AP54" s="10"/>
      <c r="AQ54" s="10" t="n">
        <v>20</v>
      </c>
      <c r="AR54" s="10" t="n">
        <v>66</v>
      </c>
      <c r="AS54" s="10"/>
      <c r="AT54" s="10"/>
      <c r="AU54" s="10"/>
      <c r="AV54" s="10" t="n">
        <f aca="false">N(AP54)+N(AQ54)+N(AR54)+N(AS54)+N(AT54)+N(AU54)</f>
        <v>86</v>
      </c>
      <c r="AW54" s="10" t="n">
        <v>46</v>
      </c>
      <c r="AX54" s="10" t="n">
        <v>40</v>
      </c>
      <c r="AY54" s="10"/>
      <c r="AZ54" s="2"/>
      <c r="BA54" s="2" t="s">
        <v>1022</v>
      </c>
      <c r="BB54" s="2" t="s">
        <v>1228</v>
      </c>
      <c r="BC54" s="2" t="s">
        <v>1023</v>
      </c>
      <c r="BD54" s="2" t="s">
        <v>1024</v>
      </c>
      <c r="BE54" s="2"/>
      <c r="BF54" s="2" t="s">
        <v>1025</v>
      </c>
      <c r="BG54" s="22" t="n">
        <v>45076</v>
      </c>
      <c r="BH54" s="22" t="n">
        <v>46937</v>
      </c>
      <c r="BI54" s="2"/>
      <c r="BJ54" s="22" t="n">
        <v>46937</v>
      </c>
      <c r="BK54" s="2" t="n">
        <v>46</v>
      </c>
      <c r="BL54" s="2" t="n">
        <v>0</v>
      </c>
      <c r="BM54" s="2"/>
      <c r="BN54" s="2" t="s">
        <v>1229</v>
      </c>
      <c r="BO54" s="23" t="s">
        <v>1230</v>
      </c>
      <c r="BP54" s="2" t="n">
        <f aca="false">IF(OR(K54="",BG54=""),"",ROUND(BG54-K54,0))</f>
        <v>0</v>
      </c>
      <c r="BQ54" s="2" t="str">
        <f aca="false">IF(OR(N(BK54)=0,Q54=""),"Not recorded",IF(BK54=Q54,"Match","Differs"))</f>
        <v>Differs</v>
      </c>
      <c r="BR54" s="2" t="str">
        <f aca="false">IF(N54="No","Excluded (non-residential)",IF(BF54="No reference","Unverified – no reference",IF(BF54="Not in council register","Unverified – not in register (Part 8 / other)",IF(OR(BF54="Refused",BF54="Refused on appeal",BF54="Withdrawn",BF54="Invalid",BF54="Quashed"),IF(OR(G54="Complete",G54="On Site",G54="Part Complete"),"Conflict – register not live but CIS says built","Conflict – not live in register"),IF(AND(G54="Plans Submitted",OR(BF54="Granted",BF54="Granted on appeal")),"Stage out of date – now granted",IF(AND(G54&lt;&gt;"Plans Submitted",OR(BF54="Pending",BF54="Under appeal")),"Check – register still pending",IF(N(BL54)&gt;Method!$B$7,"Check – location differs",IF(AND(BP54&lt;&gt;"",ABS(N(BP54))&gt;60),"Consistent – decision date differs","Consistent"))))))))</f>
        <v>Consistent</v>
      </c>
      <c r="BS54" s="2"/>
      <c r="BT54" s="2"/>
      <c r="BU54" s="2"/>
      <c r="BV54" s="2"/>
      <c r="BW54" s="2"/>
      <c r="BX54" s="2"/>
    </row>
    <row r="55" customFormat="false" ht="15" hidden="false" customHeight="false" outlineLevel="0" collapsed="false">
      <c r="A55" s="2" t="n">
        <v>1243349</v>
      </c>
      <c r="B55" s="2" t="s">
        <v>227</v>
      </c>
      <c r="C55" s="2" t="s">
        <v>1231</v>
      </c>
      <c r="D55" s="2" t="s">
        <v>228</v>
      </c>
      <c r="E55" s="2" t="s">
        <v>229</v>
      </c>
      <c r="F55" s="2" t="s">
        <v>141</v>
      </c>
      <c r="G55" s="2" t="s">
        <v>208</v>
      </c>
      <c r="H55" s="2" t="s">
        <v>1014</v>
      </c>
      <c r="I55" s="2" t="s">
        <v>198</v>
      </c>
      <c r="J55" s="22" t="n">
        <v>44771</v>
      </c>
      <c r="K55" s="22" t="n">
        <v>45068</v>
      </c>
      <c r="L55" s="22" t="n">
        <v>46244.304437581</v>
      </c>
      <c r="M55" s="2" t="s">
        <v>1016</v>
      </c>
      <c r="N55" s="2" t="s">
        <v>121</v>
      </c>
      <c r="O55" s="2"/>
      <c r="P55" s="2" t="s">
        <v>1017</v>
      </c>
      <c r="Q55" s="10" t="n">
        <v>93</v>
      </c>
      <c r="R55" s="10"/>
      <c r="S55" s="10"/>
      <c r="T55" s="2" t="s">
        <v>120</v>
      </c>
      <c r="U55" s="2"/>
      <c r="V55" s="2" t="s">
        <v>1029</v>
      </c>
      <c r="W55" s="2" t="s">
        <v>1030</v>
      </c>
      <c r="X55" s="7"/>
      <c r="Y55" s="2" t="str">
        <f aca="false">IF(X55&lt;&gt;"",X55,T55)</f>
        <v>Primary</v>
      </c>
      <c r="Z55" s="2" t="str">
        <f aca="false">IF(OR(Y55="Primary",Y55="Additional phase",Y55="Additional application on site",Y55="Replaces earlier",Y55="Extension of duration (parent not in CIS)"),"Yes","No")</f>
        <v>Yes</v>
      </c>
      <c r="AA55" s="2" t="n">
        <v>7</v>
      </c>
      <c r="AB55" s="2" t="n">
        <f aca="false">IF(L55="","",ROUND((Method!$B$4-L55)/30.44,0))</f>
        <v>2</v>
      </c>
      <c r="AC55" s="2" t="str">
        <f aca="false">IF(AB55="","No",IF(AB55&gt;Method!$B$5,"Yes","No"))</f>
        <v>No</v>
      </c>
      <c r="AD55" s="22" t="n">
        <f aca="false">IF(BJ55&lt;&gt;"",BJ55,IF(K55&lt;&gt;"",EDATE(K55,60),""))</f>
        <v>46929</v>
      </c>
      <c r="AE55" s="2" t="str">
        <f aca="false">IF(AND(AD55&lt;&gt;"",OR(G55="Permission Granted",G55="Commencement Expected",G55="Stalled or Suspended")),IF(AD55&lt;Method!$B$4,"Yes","No"),"No")</f>
        <v>No</v>
      </c>
      <c r="AF55" s="7"/>
      <c r="AG55" s="2" t="str">
        <f aca="false">IF(Z55="No","Not counted",IF(AF55="Lapsed or dead","Excluded",IF(AF55="Constrained","Constrained / uncertain",IF(AF55="Confirmed live",IF(G55="On Site","Committed",IF(G55="Part Complete","Committed",IF(G55="Contract Awarded","Committed Pre-Construction",IF(G55="Tender","Advanced Pre-Construction",IF(G55="Commencement Expected","Likely",IF(G55="Permission Granted","Potential",IF(G55="Stalled or Suspended","Constrained / uncertain",IF(G55="Complete","Delivered","Application Pipeline")))))))),IF(G55="Complete","Delivered",IF(AND(OR(G55="Permission Granted",G55="Commencement Expected"),OR(AC55="Yes",AE55="Yes")),"Constrained / uncertain",IF(G55="On Site","Committed",IF(G55="Part Complete","Committed",IF(G55="Contract Awarded","Committed Pre-Construction",IF(G55="Tender","Advanced Pre-Construction",IF(G55="Commencement Expected","Likely",IF(G55="Permission Granted","Potential",IF(G55="Stalled or Suspended","Constrained / uncertain",IF(G55="Complete","Delivered","Application Pipeline"))))))))))))))</f>
        <v>Committed</v>
      </c>
      <c r="AH55" s="2" t="str">
        <f aca="false">IF(Z55="No","Relationship: "&amp;Y55,IF(AF55&lt;&gt;"","Analyst: "&amp;AF55,IF(G55="Complete","Complete",IF(AND(OR(G55="Permission Granted",G55="Commencement Expected"),AE55="Yes"),"Past expiry",IF(AND(OR(G55="Permission Granted",G55="Commencement Expected"),AC55="Yes"),"No CIS update in "&amp;AB55&amp;" months","As CIS")))))</f>
        <v>As CIS</v>
      </c>
      <c r="AI55" s="10" t="n">
        <f aca="false">IF(Z55="Yes",N(Q55),0)</f>
        <v>93</v>
      </c>
      <c r="AJ55" s="10" t="n">
        <f aca="false">IF(OR(Z55="No",G55="Complete"),0,MAX(N(Q55)-N(AA55),0))</f>
        <v>86</v>
      </c>
      <c r="AK55" s="10" t="n">
        <f aca="false">IF(Z55="No",0,IF(G55="Complete",N(Q55),MIN(N(AA55),N(Q55))))</f>
        <v>7</v>
      </c>
      <c r="AL55" s="10" t="n">
        <f aca="false">IF(OR(OR(AG55="Not counted",AG55="Excluded",AG55="Delivered"),P55="Student accommodation"),0,AJ55)</f>
        <v>86</v>
      </c>
      <c r="AM55" s="10" t="n">
        <f aca="false">IF(OR(OR(AG55="Not counted",AG55="Excluded",AG55="Delivered"),P55&lt;&gt;"Student accommodation"),0,AJ55)</f>
        <v>0</v>
      </c>
      <c r="AN55" s="10" t="n">
        <f aca="false">IF(OR(AG55="Not counted",AG55="Excluded",AG55="Delivered"),0,N(S55))</f>
        <v>0</v>
      </c>
      <c r="AO55" s="2" t="s">
        <v>1232</v>
      </c>
      <c r="AP55" s="10"/>
      <c r="AQ55" s="10" t="n">
        <v>18</v>
      </c>
      <c r="AR55" s="10" t="n">
        <v>18</v>
      </c>
      <c r="AS55" s="10" t="n">
        <v>44</v>
      </c>
      <c r="AT55" s="10" t="n">
        <v>13</v>
      </c>
      <c r="AU55" s="10"/>
      <c r="AV55" s="10" t="n">
        <f aca="false">N(AP55)+N(AQ55)+N(AR55)+N(AS55)+N(AT55)+N(AU55)</f>
        <v>93</v>
      </c>
      <c r="AW55" s="10" t="n">
        <v>57</v>
      </c>
      <c r="AX55" s="10" t="n">
        <v>36</v>
      </c>
      <c r="AY55" s="10"/>
      <c r="AZ55" s="2" t="s">
        <v>1233</v>
      </c>
      <c r="BA55" s="2" t="s">
        <v>1022</v>
      </c>
      <c r="BB55" s="2" t="s">
        <v>1231</v>
      </c>
      <c r="BC55" s="2" t="s">
        <v>1023</v>
      </c>
      <c r="BD55" s="2" t="s">
        <v>1024</v>
      </c>
      <c r="BE55" s="2"/>
      <c r="BF55" s="2" t="s">
        <v>1025</v>
      </c>
      <c r="BG55" s="22" t="n">
        <v>45068</v>
      </c>
      <c r="BH55" s="22" t="n">
        <v>46929</v>
      </c>
      <c r="BI55" s="2"/>
      <c r="BJ55" s="22" t="n">
        <v>46929</v>
      </c>
      <c r="BK55" s="2" t="n">
        <v>57</v>
      </c>
      <c r="BL55" s="2" t="n">
        <v>0</v>
      </c>
      <c r="BM55" s="2"/>
      <c r="BN55" s="2" t="s">
        <v>1234</v>
      </c>
      <c r="BO55" s="23" t="s">
        <v>1235</v>
      </c>
      <c r="BP55" s="2" t="n">
        <f aca="false">IF(OR(K55="",BG55=""),"",ROUND(BG55-K55,0))</f>
        <v>0</v>
      </c>
      <c r="BQ55" s="2" t="str">
        <f aca="false">IF(OR(N(BK55)=0,Q55=""),"Not recorded",IF(BK55=Q55,"Match","Differs"))</f>
        <v>Differs</v>
      </c>
      <c r="BR55" s="2" t="str">
        <f aca="false">IF(N55="No","Excluded (non-residential)",IF(BF55="No reference","Unverified – no reference",IF(BF55="Not in council register","Unverified – not in register (Part 8 / other)",IF(OR(BF55="Refused",BF55="Refused on appeal",BF55="Withdrawn",BF55="Invalid",BF55="Quashed"),IF(OR(G55="Complete",G55="On Site",G55="Part Complete"),"Conflict – register not live but CIS says built","Conflict – not live in register"),IF(AND(G55="Plans Submitted",OR(BF55="Granted",BF55="Granted on appeal")),"Stage out of date – now granted",IF(AND(G55&lt;&gt;"Plans Submitted",OR(BF55="Pending",BF55="Under appeal")),"Check – register still pending",IF(N(BL55)&gt;Method!$B$7,"Check – location differs",IF(AND(BP55&lt;&gt;"",ABS(N(BP55))&gt;60),"Consistent – decision date differs","Consistent"))))))))</f>
        <v>Consistent</v>
      </c>
      <c r="BS55" s="2"/>
      <c r="BT55" s="2"/>
      <c r="BU55" s="2"/>
      <c r="BV55" s="2"/>
      <c r="BW55" s="2"/>
      <c r="BX55" s="2"/>
    </row>
    <row r="56" customFormat="false" ht="15" hidden="false" customHeight="false" outlineLevel="0" collapsed="false">
      <c r="A56" s="2" t="n">
        <v>1247398</v>
      </c>
      <c r="B56" s="2" t="s">
        <v>408</v>
      </c>
      <c r="C56" s="2" t="s">
        <v>1236</v>
      </c>
      <c r="D56" s="2" t="s">
        <v>409</v>
      </c>
      <c r="E56" s="2" t="s">
        <v>410</v>
      </c>
      <c r="F56" s="2" t="s">
        <v>139</v>
      </c>
      <c r="G56" s="2" t="s">
        <v>198</v>
      </c>
      <c r="H56" s="2" t="s">
        <v>1014</v>
      </c>
      <c r="I56" s="2" t="s">
        <v>198</v>
      </c>
      <c r="J56" s="22" t="n">
        <v>44804</v>
      </c>
      <c r="K56" s="22" t="n">
        <v>45139</v>
      </c>
      <c r="L56" s="22" t="n">
        <v>45714.7775059028</v>
      </c>
      <c r="M56" s="2" t="s">
        <v>1016</v>
      </c>
      <c r="N56" s="2" t="s">
        <v>121</v>
      </c>
      <c r="O56" s="2"/>
      <c r="P56" s="2" t="s">
        <v>1017</v>
      </c>
      <c r="Q56" s="10" t="n">
        <v>48</v>
      </c>
      <c r="R56" s="10" t="n">
        <v>38</v>
      </c>
      <c r="S56" s="10"/>
      <c r="T56" s="2" t="s">
        <v>120</v>
      </c>
      <c r="U56" s="2"/>
      <c r="V56" s="2" t="s">
        <v>1029</v>
      </c>
      <c r="W56" s="2" t="s">
        <v>1030</v>
      </c>
      <c r="X56" s="7"/>
      <c r="Y56" s="2" t="str">
        <f aca="false">IF(X56&lt;&gt;"",X56,T56)</f>
        <v>Primary</v>
      </c>
      <c r="Z56" s="2" t="str">
        <f aca="false">IF(OR(Y56="Primary",Y56="Additional phase",Y56="Additional application on site",Y56="Replaces earlier",Y56="Extension of duration (parent not in CIS)"),"Yes","No")</f>
        <v>Yes</v>
      </c>
      <c r="AA56" s="2"/>
      <c r="AB56" s="2" t="n">
        <f aca="false">IF(L56="","",ROUND((Method!$B$4-L56)/30.44,0))</f>
        <v>19</v>
      </c>
      <c r="AC56" s="2" t="str">
        <f aca="false">IF(AB56="","No",IF(AB56&gt;Method!$B$5,"Yes","No"))</f>
        <v>No</v>
      </c>
      <c r="AD56" s="22" t="n">
        <f aca="false">IF(BJ56&lt;&gt;"",BJ56,IF(K56&lt;&gt;"",EDATE(K56,60),""))</f>
        <v>47000</v>
      </c>
      <c r="AE56" s="2" t="str">
        <f aca="false">IF(AND(AD56&lt;&gt;"",OR(G56="Permission Granted",G56="Commencement Expected",G56="Stalled or Suspended")),IF(AD56&lt;Method!$B$4,"Yes","No"),"No")</f>
        <v>No</v>
      </c>
      <c r="AF56" s="7"/>
      <c r="AG56" s="2" t="str">
        <f aca="false">IF(Z56="No","Not counted",IF(AF56="Lapsed or dead","Excluded",IF(AF56="Constrained","Constrained / uncertain",IF(AF56="Confirmed live",IF(G56="On Site","Committed",IF(G56="Part Complete","Committed",IF(G56="Contract Awarded","Committed Pre-Construction",IF(G56="Tender","Advanced Pre-Construction",IF(G56="Commencement Expected","Likely",IF(G56="Permission Granted","Potential",IF(G56="Stalled or Suspended","Constrained / uncertain",IF(G56="Complete","Delivered","Application Pipeline")))))))),IF(G56="Complete","Delivered",IF(AND(OR(G56="Permission Granted",G56="Commencement Expected"),OR(AC56="Yes",AE56="Yes")),"Constrained / uncertain",IF(G56="On Site","Committed",IF(G56="Part Complete","Committed",IF(G56="Contract Awarded","Committed Pre-Construction",IF(G56="Tender","Advanced Pre-Construction",IF(G56="Commencement Expected","Likely",IF(G56="Permission Granted","Potential",IF(G56="Stalled or Suspended","Constrained / uncertain",IF(G56="Complete","Delivered","Application Pipeline"))))))))))))))</f>
        <v>Committed</v>
      </c>
      <c r="AH56" s="2" t="str">
        <f aca="false">IF(Z56="No","Relationship: "&amp;Y56,IF(AF56&lt;&gt;"","Analyst: "&amp;AF56,IF(G56="Complete","Complete",IF(AND(OR(G56="Permission Granted",G56="Commencement Expected"),AE56="Yes"),"Past expiry",IF(AND(OR(G56="Permission Granted",G56="Commencement Expected"),AC56="Yes"),"No CIS update in "&amp;AB56&amp;" months","As CIS")))))</f>
        <v>As CIS</v>
      </c>
      <c r="AI56" s="10" t="n">
        <f aca="false">IF(Z56="Yes",N(Q56),0)</f>
        <v>48</v>
      </c>
      <c r="AJ56" s="10" t="n">
        <f aca="false">IF(OR(Z56="No",G56="Complete"),0,MAX(N(Q56)-N(AA56),0))</f>
        <v>48</v>
      </c>
      <c r="AK56" s="10" t="n">
        <f aca="false">IF(Z56="No",0,IF(G56="Complete",N(Q56),MIN(N(AA56),N(Q56))))</f>
        <v>0</v>
      </c>
      <c r="AL56" s="10" t="n">
        <f aca="false">IF(OR(OR(AG56="Not counted",AG56="Excluded",AG56="Delivered"),P56="Student accommodation"),0,AJ56)</f>
        <v>48</v>
      </c>
      <c r="AM56" s="10" t="n">
        <f aca="false">IF(OR(OR(AG56="Not counted",AG56="Excluded",AG56="Delivered"),P56&lt;&gt;"Student accommodation"),0,AJ56)</f>
        <v>0</v>
      </c>
      <c r="AN56" s="10" t="n">
        <f aca="false">IF(OR(AG56="Not counted",AG56="Excluded",AG56="Delivered"),0,N(S56))</f>
        <v>0</v>
      </c>
      <c r="AO56" s="2" t="s">
        <v>1157</v>
      </c>
      <c r="AP56" s="10"/>
      <c r="AQ56" s="10" t="n">
        <v>18</v>
      </c>
      <c r="AR56" s="10" t="n">
        <v>28</v>
      </c>
      <c r="AS56" s="10" t="n">
        <v>2</v>
      </c>
      <c r="AT56" s="10"/>
      <c r="AU56" s="10"/>
      <c r="AV56" s="10" t="n">
        <f aca="false">N(AP56)+N(AQ56)+N(AR56)+N(AS56)+N(AT56)+N(AU56)</f>
        <v>48</v>
      </c>
      <c r="AW56" s="10"/>
      <c r="AX56" s="10" t="n">
        <v>48</v>
      </c>
      <c r="AY56" s="10"/>
      <c r="AZ56" s="2"/>
      <c r="BA56" s="2" t="s">
        <v>1022</v>
      </c>
      <c r="BB56" s="2" t="s">
        <v>1236</v>
      </c>
      <c r="BC56" s="2" t="s">
        <v>1023</v>
      </c>
      <c r="BD56" s="2" t="s">
        <v>1024</v>
      </c>
      <c r="BE56" s="2"/>
      <c r="BF56" s="2" t="s">
        <v>1025</v>
      </c>
      <c r="BG56" s="22" t="n">
        <v>45139</v>
      </c>
      <c r="BH56" s="22" t="n">
        <v>47000</v>
      </c>
      <c r="BI56" s="2"/>
      <c r="BJ56" s="22" t="n">
        <v>47000</v>
      </c>
      <c r="BK56" s="2"/>
      <c r="BL56" s="2" t="n">
        <v>0</v>
      </c>
      <c r="BM56" s="2"/>
      <c r="BN56" s="2" t="s">
        <v>1237</v>
      </c>
      <c r="BO56" s="23" t="s">
        <v>1238</v>
      </c>
      <c r="BP56" s="2" t="n">
        <f aca="false">IF(OR(K56="",BG56=""),"",ROUND(BG56-K56,0))</f>
        <v>0</v>
      </c>
      <c r="BQ56" s="2" t="str">
        <f aca="false">IF(OR(N(BK56)=0,Q56=""),"Not recorded",IF(BK56=Q56,"Match","Differs"))</f>
        <v>Not recorded</v>
      </c>
      <c r="BR56" s="2" t="str">
        <f aca="false">IF(N56="No","Excluded (non-residential)",IF(BF56="No reference","Unverified – no reference",IF(BF56="Not in council register","Unverified – not in register (Part 8 / other)",IF(OR(BF56="Refused",BF56="Refused on appeal",BF56="Withdrawn",BF56="Invalid",BF56="Quashed"),IF(OR(G56="Complete",G56="On Site",G56="Part Complete"),"Conflict – register not live but CIS says built","Conflict – not live in register"),IF(AND(G56="Plans Submitted",OR(BF56="Granted",BF56="Granted on appeal")),"Stage out of date – now granted",IF(AND(G56&lt;&gt;"Plans Submitted",OR(BF56="Pending",BF56="Under appeal")),"Check – register still pending",IF(N(BL56)&gt;Method!$B$7,"Check – location differs",IF(AND(BP56&lt;&gt;"",ABS(N(BP56))&gt;60),"Consistent – decision date differs","Consistent"))))))))</f>
        <v>Consistent</v>
      </c>
      <c r="BS56" s="2"/>
      <c r="BT56" s="2"/>
      <c r="BU56" s="2"/>
      <c r="BV56" s="2"/>
      <c r="BW56" s="2"/>
      <c r="BX56" s="2"/>
    </row>
    <row r="57" customFormat="false" ht="15" hidden="false" customHeight="false" outlineLevel="0" collapsed="false">
      <c r="A57" s="2" t="n">
        <v>1256924</v>
      </c>
      <c r="B57" s="2" t="s">
        <v>472</v>
      </c>
      <c r="C57" s="2" t="s">
        <v>1239</v>
      </c>
      <c r="D57" s="2" t="s">
        <v>473</v>
      </c>
      <c r="E57" s="2" t="s">
        <v>474</v>
      </c>
      <c r="F57" s="2" t="s">
        <v>144</v>
      </c>
      <c r="G57" s="2" t="s">
        <v>187</v>
      </c>
      <c r="H57" s="2" t="s">
        <v>1014</v>
      </c>
      <c r="I57" s="2"/>
      <c r="J57" s="22" t="n">
        <v>44866</v>
      </c>
      <c r="K57" s="22" t="n">
        <v>45099</v>
      </c>
      <c r="L57" s="22" t="n">
        <v>45450.297363044</v>
      </c>
      <c r="M57" s="2" t="s">
        <v>1016</v>
      </c>
      <c r="N57" s="2" t="s">
        <v>121</v>
      </c>
      <c r="O57" s="2"/>
      <c r="P57" s="2" t="s">
        <v>41</v>
      </c>
      <c r="Q57" s="10" t="n">
        <v>25</v>
      </c>
      <c r="R57" s="10" t="n">
        <v>19</v>
      </c>
      <c r="S57" s="10" t="n">
        <v>116</v>
      </c>
      <c r="T57" s="2" t="s">
        <v>30</v>
      </c>
      <c r="U57" s="2"/>
      <c r="V57" s="2" t="s">
        <v>1080</v>
      </c>
      <c r="W57" s="2" t="s">
        <v>1020</v>
      </c>
      <c r="X57" s="7"/>
      <c r="Y57" s="2" t="str">
        <f aca="false">IF(X57&lt;&gt;"",X57,T57)</f>
        <v>Additional application on site</v>
      </c>
      <c r="Z57" s="2" t="str">
        <f aca="false">IF(OR(Y57="Primary",Y57="Additional phase",Y57="Additional application on site",Y57="Replaces earlier",Y57="Extension of duration (parent not in CIS)"),"Yes","No")</f>
        <v>Yes</v>
      </c>
      <c r="AA57" s="2"/>
      <c r="AB57" s="2" t="n">
        <f aca="false">IF(L57="","",ROUND((Method!$B$4-L57)/30.44,0))</f>
        <v>28</v>
      </c>
      <c r="AC57" s="2" t="str">
        <f aca="false">IF(AB57="","No",IF(AB57&gt;Method!$B$5,"Yes","No"))</f>
        <v>Yes</v>
      </c>
      <c r="AD57" s="22" t="n">
        <f aca="false">IF(BJ57&lt;&gt;"",BJ57,IF(K57&lt;&gt;"",EDATE(K57,60),""))</f>
        <v>47267</v>
      </c>
      <c r="AE57" s="2" t="str">
        <f aca="false">IF(AND(AD57&lt;&gt;"",OR(G57="Permission Granted",G57="Commencement Expected",G57="Stalled or Suspended")),IF(AD57&lt;Method!$B$4,"Yes","No"),"No")</f>
        <v>No</v>
      </c>
      <c r="AF57" s="7"/>
      <c r="AG57" s="2" t="str">
        <f aca="false">IF(Z57="No","Not counted",IF(AF57="Lapsed or dead","Excluded",IF(AF57="Constrained","Constrained / uncertain",IF(AF57="Confirmed live",IF(G57="On Site","Committed",IF(G57="Part Complete","Committed",IF(G57="Contract Awarded","Committed Pre-Construction",IF(G57="Tender","Advanced Pre-Construction",IF(G57="Commencement Expected","Likely",IF(G57="Permission Granted","Potential",IF(G57="Stalled or Suspended","Constrained / uncertain",IF(G57="Complete","Delivered","Application Pipeline")))))))),IF(G57="Complete","Delivered",IF(AND(OR(G57="Permission Granted",G57="Commencement Expected"),OR(AC57="Yes",AE57="Yes")),"Constrained / uncertain",IF(G57="On Site","Committed",IF(G57="Part Complete","Committed",IF(G57="Contract Awarded","Committed Pre-Construction",IF(G57="Tender","Advanced Pre-Construction",IF(G57="Commencement Expected","Likely",IF(G57="Permission Granted","Potential",IF(G57="Stalled or Suspended","Constrained / uncertain",IF(G57="Complete","Delivered","Application Pipeline"))))))))))))))</f>
        <v>Constrained / uncertain</v>
      </c>
      <c r="AH57" s="2" t="str">
        <f aca="false">IF(Z57="No","Relationship: "&amp;Y57,IF(AF57&lt;&gt;"","Analyst: "&amp;AF57,IF(G57="Complete","Complete",IF(AND(OR(G57="Permission Granted",G57="Commencement Expected"),AE57="Yes"),"Past expiry",IF(AND(OR(G57="Permission Granted",G57="Commencement Expected"),AC57="Yes"),"No CIS update in "&amp;AB57&amp;" months","As CIS")))))</f>
        <v>No CIS update in 28 months</v>
      </c>
      <c r="AI57" s="10" t="n">
        <f aca="false">IF(Z57="Yes",N(Q57),0)</f>
        <v>25</v>
      </c>
      <c r="AJ57" s="10" t="n">
        <f aca="false">IF(OR(Z57="No",G57="Complete"),0,MAX(N(Q57)-N(AA57),0))</f>
        <v>25</v>
      </c>
      <c r="AK57" s="10" t="n">
        <f aca="false">IF(Z57="No",0,IF(G57="Complete",N(Q57),MIN(N(AA57),N(Q57))))</f>
        <v>0</v>
      </c>
      <c r="AL57" s="10" t="n">
        <f aca="false">IF(OR(OR(AG57="Not counted",AG57="Excluded",AG57="Delivered"),P57="Student accommodation"),0,AJ57)</f>
        <v>0</v>
      </c>
      <c r="AM57" s="10" t="n">
        <f aca="false">IF(OR(OR(AG57="Not counted",AG57="Excluded",AG57="Delivered"),P57&lt;&gt;"Student accommodation"),0,AJ57)</f>
        <v>25</v>
      </c>
      <c r="AN57" s="10" t="n">
        <f aca="false">IF(OR(AG57="Not counted",AG57="Excluded",AG57="Delivered"),0,N(S57))</f>
        <v>116</v>
      </c>
      <c r="AO57" s="2" t="s">
        <v>1157</v>
      </c>
      <c r="AP57" s="10"/>
      <c r="AQ57" s="10" t="n">
        <v>6</v>
      </c>
      <c r="AR57" s="10"/>
      <c r="AS57" s="10"/>
      <c r="AT57" s="10"/>
      <c r="AU57" s="10" t="n">
        <v>19</v>
      </c>
      <c r="AV57" s="10" t="n">
        <f aca="false">N(AP57)+N(AQ57)+N(AR57)+N(AS57)+N(AT57)+N(AU57)</f>
        <v>25</v>
      </c>
      <c r="AW57" s="10"/>
      <c r="AX57" s="10" t="n">
        <v>25</v>
      </c>
      <c r="AY57" s="10"/>
      <c r="AZ57" s="2"/>
      <c r="BA57" s="2" t="s">
        <v>1022</v>
      </c>
      <c r="BB57" s="2" t="s">
        <v>1239</v>
      </c>
      <c r="BC57" s="2" t="s">
        <v>1023</v>
      </c>
      <c r="BD57" s="2" t="s">
        <v>1024</v>
      </c>
      <c r="BE57" s="2" t="s">
        <v>1024</v>
      </c>
      <c r="BF57" s="2" t="s">
        <v>1059</v>
      </c>
      <c r="BG57" s="22" t="n">
        <v>45099</v>
      </c>
      <c r="BH57" s="22" t="n">
        <v>47267</v>
      </c>
      <c r="BI57" s="2"/>
      <c r="BJ57" s="22" t="n">
        <v>47267</v>
      </c>
      <c r="BK57" s="2"/>
      <c r="BL57" s="2" t="n">
        <v>0</v>
      </c>
      <c r="BM57" s="2"/>
      <c r="BN57" s="2" t="s">
        <v>1240</v>
      </c>
      <c r="BO57" s="23" t="s">
        <v>1241</v>
      </c>
      <c r="BP57" s="2" t="n">
        <f aca="false">IF(OR(K57="",BG57=""),"",ROUND(BG57-K57,0))</f>
        <v>0</v>
      </c>
      <c r="BQ57" s="2" t="str">
        <f aca="false">IF(OR(N(BK57)=0,Q57=""),"Not recorded",IF(BK57=Q57,"Match","Differs"))</f>
        <v>Not recorded</v>
      </c>
      <c r="BR57" s="2" t="str">
        <f aca="false">IF(N57="No","Excluded (non-residential)",IF(BF57="No reference","Unverified – no reference",IF(BF57="Not in council register","Unverified – not in register (Part 8 / other)",IF(OR(BF57="Refused",BF57="Refused on appeal",BF57="Withdrawn",BF57="Invalid",BF57="Quashed"),IF(OR(G57="Complete",G57="On Site",G57="Part Complete"),"Conflict – register not live but CIS says built","Conflict – not live in register"),IF(AND(G57="Plans Submitted",OR(BF57="Granted",BF57="Granted on appeal")),"Stage out of date – now granted",IF(AND(G57&lt;&gt;"Plans Submitted",OR(BF57="Pending",BF57="Under appeal")),"Check – register still pending",IF(N(BL57)&gt;Method!$B$7,"Check – location differs",IF(AND(BP57&lt;&gt;"",ABS(N(BP57))&gt;60),"Consistent – decision date differs","Consistent"))))))))</f>
        <v>Consistent</v>
      </c>
      <c r="BS57" s="2"/>
      <c r="BT57" s="2"/>
      <c r="BU57" s="2"/>
      <c r="BV57" s="2"/>
      <c r="BW57" s="2"/>
      <c r="BX57" s="2"/>
    </row>
    <row r="58" customFormat="false" ht="15" hidden="false" customHeight="false" outlineLevel="0" collapsed="false">
      <c r="A58" s="2" t="n">
        <v>1258052</v>
      </c>
      <c r="B58" s="2" t="s">
        <v>267</v>
      </c>
      <c r="C58" s="2" t="s">
        <v>1242</v>
      </c>
      <c r="D58" s="2" t="s">
        <v>268</v>
      </c>
      <c r="E58" s="2" t="s">
        <v>269</v>
      </c>
      <c r="F58" s="2" t="s">
        <v>144</v>
      </c>
      <c r="G58" s="2" t="s">
        <v>198</v>
      </c>
      <c r="H58" s="2" t="s">
        <v>1014</v>
      </c>
      <c r="I58" s="2" t="s">
        <v>198</v>
      </c>
      <c r="J58" s="22" t="n">
        <v>44872</v>
      </c>
      <c r="K58" s="22" t="n">
        <v>45645</v>
      </c>
      <c r="L58" s="22" t="n">
        <v>46161.3484316782</v>
      </c>
      <c r="M58" s="2" t="s">
        <v>1016</v>
      </c>
      <c r="N58" s="2" t="s">
        <v>121</v>
      </c>
      <c r="O58" s="2"/>
      <c r="P58" s="2" t="s">
        <v>1017</v>
      </c>
      <c r="Q58" s="10" t="n">
        <v>28</v>
      </c>
      <c r="R58" s="10" t="n">
        <v>28</v>
      </c>
      <c r="S58" s="10"/>
      <c r="T58" s="2" t="s">
        <v>120</v>
      </c>
      <c r="U58" s="2"/>
      <c r="V58" s="2" t="s">
        <v>1029</v>
      </c>
      <c r="W58" s="2" t="s">
        <v>1030</v>
      </c>
      <c r="X58" s="7"/>
      <c r="Y58" s="2" t="str">
        <f aca="false">IF(X58&lt;&gt;"",X58,T58)</f>
        <v>Primary</v>
      </c>
      <c r="Z58" s="2" t="str">
        <f aca="false">IF(OR(Y58="Primary",Y58="Additional phase",Y58="Additional application on site",Y58="Replaces earlier",Y58="Extension of duration (parent not in CIS)"),"Yes","No")</f>
        <v>Yes</v>
      </c>
      <c r="AA58" s="2"/>
      <c r="AB58" s="2" t="n">
        <f aca="false">IF(L58="","",ROUND((Method!$B$4-L58)/30.44,0))</f>
        <v>4</v>
      </c>
      <c r="AC58" s="2" t="str">
        <f aca="false">IF(AB58="","No",IF(AB58&gt;Method!$B$5,"Yes","No"))</f>
        <v>No</v>
      </c>
      <c r="AD58" s="22" t="n">
        <f aca="false">IF(BJ58&lt;&gt;"",BJ58,IF(K58&lt;&gt;"",EDATE(K58,60),""))</f>
        <v>47470</v>
      </c>
      <c r="AE58" s="2" t="str">
        <f aca="false">IF(AND(AD58&lt;&gt;"",OR(G58="Permission Granted",G58="Commencement Expected",G58="Stalled or Suspended")),IF(AD58&lt;Method!$B$4,"Yes","No"),"No")</f>
        <v>No</v>
      </c>
      <c r="AF58" s="7"/>
      <c r="AG58" s="2" t="str">
        <f aca="false">IF(Z58="No","Not counted",IF(AF58="Lapsed or dead","Excluded",IF(AF58="Constrained","Constrained / uncertain",IF(AF58="Confirmed live",IF(G58="On Site","Committed",IF(G58="Part Complete","Committed",IF(G58="Contract Awarded","Committed Pre-Construction",IF(G58="Tender","Advanced Pre-Construction",IF(G58="Commencement Expected","Likely",IF(G58="Permission Granted","Potential",IF(G58="Stalled or Suspended","Constrained / uncertain",IF(G58="Complete","Delivered","Application Pipeline")))))))),IF(G58="Complete","Delivered",IF(AND(OR(G58="Permission Granted",G58="Commencement Expected"),OR(AC58="Yes",AE58="Yes")),"Constrained / uncertain",IF(G58="On Site","Committed",IF(G58="Part Complete","Committed",IF(G58="Contract Awarded","Committed Pre-Construction",IF(G58="Tender","Advanced Pre-Construction",IF(G58="Commencement Expected","Likely",IF(G58="Permission Granted","Potential",IF(G58="Stalled or Suspended","Constrained / uncertain",IF(G58="Complete","Delivered","Application Pipeline"))))))))))))))</f>
        <v>Committed</v>
      </c>
      <c r="AH58" s="2" t="str">
        <f aca="false">IF(Z58="No","Relationship: "&amp;Y58,IF(AF58&lt;&gt;"","Analyst: "&amp;AF58,IF(G58="Complete","Complete",IF(AND(OR(G58="Permission Granted",G58="Commencement Expected"),AE58="Yes"),"Past expiry",IF(AND(OR(G58="Permission Granted",G58="Commencement Expected"),AC58="Yes"),"No CIS update in "&amp;AB58&amp;" months","As CIS")))))</f>
        <v>As CIS</v>
      </c>
      <c r="AI58" s="10" t="n">
        <f aca="false">IF(Z58="Yes",N(Q58),0)</f>
        <v>28</v>
      </c>
      <c r="AJ58" s="10" t="n">
        <f aca="false">IF(OR(Z58="No",G58="Complete"),0,MAX(N(Q58)-N(AA58),0))</f>
        <v>28</v>
      </c>
      <c r="AK58" s="10" t="n">
        <f aca="false">IF(Z58="No",0,IF(G58="Complete",N(Q58),MIN(N(AA58),N(Q58))))</f>
        <v>0</v>
      </c>
      <c r="AL58" s="10" t="n">
        <f aca="false">IF(OR(OR(AG58="Not counted",AG58="Excluded",AG58="Delivered"),P58="Student accommodation"),0,AJ58)</f>
        <v>28</v>
      </c>
      <c r="AM58" s="10" t="n">
        <f aca="false">IF(OR(OR(AG58="Not counted",AG58="Excluded",AG58="Delivered"),P58&lt;&gt;"Student accommodation"),0,AJ58)</f>
        <v>0</v>
      </c>
      <c r="AN58" s="10" t="n">
        <f aca="false">IF(OR(AG58="Not counted",AG58="Excluded",AG58="Delivered"),0,N(S58))</f>
        <v>0</v>
      </c>
      <c r="AO58" s="2" t="s">
        <v>1021</v>
      </c>
      <c r="AP58" s="10"/>
      <c r="AQ58" s="10"/>
      <c r="AR58" s="10"/>
      <c r="AS58" s="10"/>
      <c r="AT58" s="10"/>
      <c r="AU58" s="10"/>
      <c r="AV58" s="10" t="n">
        <f aca="false">N(AP58)+N(AQ58)+N(AR58)+N(AS58)+N(AT58)+N(AU58)</f>
        <v>0</v>
      </c>
      <c r="AW58" s="10"/>
      <c r="AX58" s="10"/>
      <c r="AY58" s="10"/>
      <c r="AZ58" s="2"/>
      <c r="BA58" s="2" t="s">
        <v>1022</v>
      </c>
      <c r="BB58" s="2" t="s">
        <v>1242</v>
      </c>
      <c r="BC58" s="2" t="s">
        <v>1023</v>
      </c>
      <c r="BD58" s="2" t="s">
        <v>1024</v>
      </c>
      <c r="BE58" s="2" t="s">
        <v>1024</v>
      </c>
      <c r="BF58" s="2" t="s">
        <v>1059</v>
      </c>
      <c r="BG58" s="22" t="n">
        <v>45223</v>
      </c>
      <c r="BH58" s="22" t="n">
        <v>47470</v>
      </c>
      <c r="BI58" s="2"/>
      <c r="BJ58" s="22" t="n">
        <v>47470</v>
      </c>
      <c r="BK58" s="2"/>
      <c r="BL58" s="2" t="n">
        <v>0</v>
      </c>
      <c r="BM58" s="2"/>
      <c r="BN58" s="2" t="s">
        <v>1243</v>
      </c>
      <c r="BO58" s="23" t="s">
        <v>1244</v>
      </c>
      <c r="BP58" s="2" t="n">
        <f aca="false">IF(OR(K58="",BG58=""),"",ROUND(BG58-K58,0))</f>
        <v>-422</v>
      </c>
      <c r="BQ58" s="2" t="str">
        <f aca="false">IF(OR(N(BK58)=0,Q58=""),"Not recorded",IF(BK58=Q58,"Match","Differs"))</f>
        <v>Not recorded</v>
      </c>
      <c r="BR58" s="2" t="str">
        <f aca="false">IF(N58="No","Excluded (non-residential)",IF(BF58="No reference","Unverified – no reference",IF(BF58="Not in council register","Unverified – not in register (Part 8 / other)",IF(OR(BF58="Refused",BF58="Refused on appeal",BF58="Withdrawn",BF58="Invalid",BF58="Quashed"),IF(OR(G58="Complete",G58="On Site",G58="Part Complete"),"Conflict – register not live but CIS says built","Conflict – not live in register"),IF(AND(G58="Plans Submitted",OR(BF58="Granted",BF58="Granted on appeal")),"Stage out of date – now granted",IF(AND(G58&lt;&gt;"Plans Submitted",OR(BF58="Pending",BF58="Under appeal")),"Check – register still pending",IF(N(BL58)&gt;Method!$B$7,"Check – location differs",IF(AND(BP58&lt;&gt;"",ABS(N(BP58))&gt;60),"Consistent – decision date differs","Consistent"))))))))</f>
        <v>Consistent – decision date differs</v>
      </c>
      <c r="BS58" s="2"/>
      <c r="BT58" s="2"/>
      <c r="BU58" s="2"/>
      <c r="BV58" s="2"/>
      <c r="BW58" s="2"/>
      <c r="BX58" s="2"/>
    </row>
    <row r="59" customFormat="false" ht="15" hidden="false" customHeight="false" outlineLevel="0" collapsed="false">
      <c r="A59" s="2" t="n">
        <v>1258895</v>
      </c>
      <c r="B59" s="2" t="s">
        <v>550</v>
      </c>
      <c r="C59" s="2" t="s">
        <v>1245</v>
      </c>
      <c r="D59" s="2" t="s">
        <v>551</v>
      </c>
      <c r="E59" s="2" t="s">
        <v>552</v>
      </c>
      <c r="F59" s="2" t="s">
        <v>141</v>
      </c>
      <c r="G59" s="2" t="s">
        <v>187</v>
      </c>
      <c r="H59" s="2" t="s">
        <v>1014</v>
      </c>
      <c r="I59" s="2"/>
      <c r="J59" s="22" t="n">
        <v>44879</v>
      </c>
      <c r="K59" s="22" t="n">
        <v>44967</v>
      </c>
      <c r="L59" s="22" t="n">
        <v>44979.4748903125</v>
      </c>
      <c r="M59" s="2" t="s">
        <v>1016</v>
      </c>
      <c r="N59" s="2" t="s">
        <v>121</v>
      </c>
      <c r="O59" s="2"/>
      <c r="P59" s="2" t="s">
        <v>1017</v>
      </c>
      <c r="Q59" s="10" t="n">
        <v>31</v>
      </c>
      <c r="R59" s="10" t="n">
        <v>21</v>
      </c>
      <c r="S59" s="10"/>
      <c r="T59" s="2" t="s">
        <v>120</v>
      </c>
      <c r="U59" s="2"/>
      <c r="V59" s="2" t="s">
        <v>1029</v>
      </c>
      <c r="W59" s="2" t="s">
        <v>1030</v>
      </c>
      <c r="X59" s="7"/>
      <c r="Y59" s="2" t="str">
        <f aca="false">IF(X59&lt;&gt;"",X59,T59)</f>
        <v>Primary</v>
      </c>
      <c r="Z59" s="2" t="str">
        <f aca="false">IF(OR(Y59="Primary",Y59="Additional phase",Y59="Additional application on site",Y59="Replaces earlier",Y59="Extension of duration (parent not in CIS)"),"Yes","No")</f>
        <v>Yes</v>
      </c>
      <c r="AA59" s="2"/>
      <c r="AB59" s="2" t="n">
        <f aca="false">IF(L59="","",ROUND((Method!$B$4-L59)/30.44,0))</f>
        <v>43</v>
      </c>
      <c r="AC59" s="2" t="str">
        <f aca="false">IF(AB59="","No",IF(AB59&gt;Method!$B$5,"Yes","No"))</f>
        <v>Yes</v>
      </c>
      <c r="AD59" s="22" t="n">
        <f aca="false">IF(BJ59&lt;&gt;"",BJ59,IF(K59&lt;&gt;"",EDATE(K59,60),""))</f>
        <v>46793</v>
      </c>
      <c r="AE59" s="2" t="str">
        <f aca="false">IF(AND(AD59&lt;&gt;"",OR(G59="Permission Granted",G59="Commencement Expected",G59="Stalled or Suspended")),IF(AD59&lt;Method!$B$4,"Yes","No"),"No")</f>
        <v>No</v>
      </c>
      <c r="AF59" s="7"/>
      <c r="AG59" s="2" t="str">
        <f aca="false">IF(Z59="No","Not counted",IF(AF59="Lapsed or dead","Excluded",IF(AF59="Constrained","Constrained / uncertain",IF(AF59="Confirmed live",IF(G59="On Site","Committed",IF(G59="Part Complete","Committed",IF(G59="Contract Awarded","Committed Pre-Construction",IF(G59="Tender","Advanced Pre-Construction",IF(G59="Commencement Expected","Likely",IF(G59="Permission Granted","Potential",IF(G59="Stalled or Suspended","Constrained / uncertain",IF(G59="Complete","Delivered","Application Pipeline")))))))),IF(G59="Complete","Delivered",IF(AND(OR(G59="Permission Granted",G59="Commencement Expected"),OR(AC59="Yes",AE59="Yes")),"Constrained / uncertain",IF(G59="On Site","Committed",IF(G59="Part Complete","Committed",IF(G59="Contract Awarded","Committed Pre-Construction",IF(G59="Tender","Advanced Pre-Construction",IF(G59="Commencement Expected","Likely",IF(G59="Permission Granted","Potential",IF(G59="Stalled or Suspended","Constrained / uncertain",IF(G59="Complete","Delivered","Application Pipeline"))))))))))))))</f>
        <v>Constrained / uncertain</v>
      </c>
      <c r="AH59" s="2" t="str">
        <f aca="false">IF(Z59="No","Relationship: "&amp;Y59,IF(AF59&lt;&gt;"","Analyst: "&amp;AF59,IF(G59="Complete","Complete",IF(AND(OR(G59="Permission Granted",G59="Commencement Expected"),AE59="Yes"),"Past expiry",IF(AND(OR(G59="Permission Granted",G59="Commencement Expected"),AC59="Yes"),"No CIS update in "&amp;AB59&amp;" months","As CIS")))))</f>
        <v>No CIS update in 43 months</v>
      </c>
      <c r="AI59" s="10" t="n">
        <f aca="false">IF(Z59="Yes",N(Q59),0)</f>
        <v>31</v>
      </c>
      <c r="AJ59" s="10" t="n">
        <f aca="false">IF(OR(Z59="No",G59="Complete"),0,MAX(N(Q59)-N(AA59),0))</f>
        <v>31</v>
      </c>
      <c r="AK59" s="10" t="n">
        <f aca="false">IF(Z59="No",0,IF(G59="Complete",N(Q59),MIN(N(AA59),N(Q59))))</f>
        <v>0</v>
      </c>
      <c r="AL59" s="10" t="n">
        <f aca="false">IF(OR(OR(AG59="Not counted",AG59="Excluded",AG59="Delivered"),P59="Student accommodation"),0,AJ59)</f>
        <v>31</v>
      </c>
      <c r="AM59" s="10" t="n">
        <f aca="false">IF(OR(OR(AG59="Not counted",AG59="Excluded",AG59="Delivered"),P59&lt;&gt;"Student accommodation"),0,AJ59)</f>
        <v>0</v>
      </c>
      <c r="AN59" s="10" t="n">
        <f aca="false">IF(OR(AG59="Not counted",AG59="Excluded",AG59="Delivered"),0,N(S59))</f>
        <v>0</v>
      </c>
      <c r="AO59" s="2" t="s">
        <v>1031</v>
      </c>
      <c r="AP59" s="10"/>
      <c r="AQ59" s="10" t="n">
        <v>10</v>
      </c>
      <c r="AR59" s="10" t="n">
        <v>12</v>
      </c>
      <c r="AS59" s="10" t="n">
        <v>6</v>
      </c>
      <c r="AT59" s="10" t="n">
        <v>3</v>
      </c>
      <c r="AU59" s="10"/>
      <c r="AV59" s="10" t="n">
        <f aca="false">N(AP59)+N(AQ59)+N(AR59)+N(AS59)+N(AT59)+N(AU59)</f>
        <v>31</v>
      </c>
      <c r="AW59" s="10"/>
      <c r="AX59" s="10"/>
      <c r="AY59" s="10" t="n">
        <v>31</v>
      </c>
      <c r="AZ59" s="2"/>
      <c r="BA59" s="2" t="s">
        <v>1022</v>
      </c>
      <c r="BB59" s="2" t="s">
        <v>1245</v>
      </c>
      <c r="BC59" s="2" t="s">
        <v>1046</v>
      </c>
      <c r="BD59" s="2" t="s">
        <v>1024</v>
      </c>
      <c r="BE59" s="2"/>
      <c r="BF59" s="2" t="s">
        <v>1025</v>
      </c>
      <c r="BG59" s="22" t="n">
        <v>44967</v>
      </c>
      <c r="BH59" s="22"/>
      <c r="BI59" s="2"/>
      <c r="BJ59" s="22"/>
      <c r="BK59" s="2" t="n">
        <v>31</v>
      </c>
      <c r="BL59" s="2" t="n">
        <v>0</v>
      </c>
      <c r="BM59" s="2"/>
      <c r="BN59" s="2" t="s">
        <v>1246</v>
      </c>
      <c r="BO59" s="23" t="s">
        <v>1247</v>
      </c>
      <c r="BP59" s="2" t="n">
        <f aca="false">IF(OR(K59="",BG59=""),"",ROUND(BG59-K59,0))</f>
        <v>0</v>
      </c>
      <c r="BQ59" s="2" t="str">
        <f aca="false">IF(OR(N(BK59)=0,Q59=""),"Not recorded",IF(BK59=Q59,"Match","Differs"))</f>
        <v>Match</v>
      </c>
      <c r="BR59" s="2" t="str">
        <f aca="false">IF(N59="No","Excluded (non-residential)",IF(BF59="No reference","Unverified – no reference",IF(BF59="Not in council register","Unverified – not in register (Part 8 / other)",IF(OR(BF59="Refused",BF59="Refused on appeal",BF59="Withdrawn",BF59="Invalid",BF59="Quashed"),IF(OR(G59="Complete",G59="On Site",G59="Part Complete"),"Conflict – register not live but CIS says built","Conflict – not live in register"),IF(AND(G59="Plans Submitted",OR(BF59="Granted",BF59="Granted on appeal")),"Stage out of date – now granted",IF(AND(G59&lt;&gt;"Plans Submitted",OR(BF59="Pending",BF59="Under appeal")),"Check – register still pending",IF(N(BL59)&gt;Method!$B$7,"Check – location differs",IF(AND(BP59&lt;&gt;"",ABS(N(BP59))&gt;60),"Consistent – decision date differs","Consistent"))))))))</f>
        <v>Consistent</v>
      </c>
      <c r="BS59" s="2"/>
      <c r="BT59" s="2"/>
      <c r="BU59" s="2"/>
      <c r="BV59" s="2"/>
      <c r="BW59" s="2"/>
      <c r="BX59" s="2"/>
    </row>
    <row r="60" customFormat="false" ht="15" hidden="false" customHeight="false" outlineLevel="0" collapsed="false">
      <c r="A60" s="2" t="n">
        <v>1259753</v>
      </c>
      <c r="B60" s="2" t="s">
        <v>420</v>
      </c>
      <c r="C60" s="2" t="s">
        <v>1248</v>
      </c>
      <c r="D60" s="2" t="s">
        <v>421</v>
      </c>
      <c r="E60" s="2" t="s">
        <v>422</v>
      </c>
      <c r="F60" s="2" t="s">
        <v>139</v>
      </c>
      <c r="G60" s="2" t="s">
        <v>198</v>
      </c>
      <c r="H60" s="2" t="s">
        <v>1014</v>
      </c>
      <c r="I60" s="2" t="s">
        <v>198</v>
      </c>
      <c r="J60" s="22" t="n">
        <v>44882</v>
      </c>
      <c r="K60" s="22" t="n">
        <v>44943</v>
      </c>
      <c r="L60" s="22" t="n">
        <v>45672.4314425116</v>
      </c>
      <c r="M60" s="2" t="s">
        <v>1016</v>
      </c>
      <c r="N60" s="2" t="s">
        <v>121</v>
      </c>
      <c r="O60" s="2"/>
      <c r="P60" s="2" t="s">
        <v>41</v>
      </c>
      <c r="Q60" s="10" t="n">
        <v>26</v>
      </c>
      <c r="R60" s="10" t="n">
        <v>26</v>
      </c>
      <c r="S60" s="10" t="n">
        <v>202</v>
      </c>
      <c r="T60" s="2" t="s">
        <v>120</v>
      </c>
      <c r="U60" s="2"/>
      <c r="V60" s="2" t="s">
        <v>1029</v>
      </c>
      <c r="W60" s="2" t="s">
        <v>1030</v>
      </c>
      <c r="X60" s="7"/>
      <c r="Y60" s="2" t="str">
        <f aca="false">IF(X60&lt;&gt;"",X60,T60)</f>
        <v>Primary</v>
      </c>
      <c r="Z60" s="2" t="str">
        <f aca="false">IF(OR(Y60="Primary",Y60="Additional phase",Y60="Additional application on site",Y60="Replaces earlier",Y60="Extension of duration (parent not in CIS)"),"Yes","No")</f>
        <v>Yes</v>
      </c>
      <c r="AA60" s="2"/>
      <c r="AB60" s="2" t="n">
        <f aca="false">IF(L60="","",ROUND((Method!$B$4-L60)/30.44,0))</f>
        <v>20</v>
      </c>
      <c r="AC60" s="2" t="str">
        <f aca="false">IF(AB60="","No",IF(AB60&gt;Method!$B$5,"Yes","No"))</f>
        <v>No</v>
      </c>
      <c r="AD60" s="22" t="n">
        <f aca="false">IF(BJ60&lt;&gt;"",BJ60,IF(K60&lt;&gt;"",EDATE(K60,60),""))</f>
        <v>46889</v>
      </c>
      <c r="AE60" s="2" t="str">
        <f aca="false">IF(AND(AD60&lt;&gt;"",OR(G60="Permission Granted",G60="Commencement Expected",G60="Stalled or Suspended")),IF(AD60&lt;Method!$B$4,"Yes","No"),"No")</f>
        <v>No</v>
      </c>
      <c r="AF60" s="7"/>
      <c r="AG60" s="2" t="str">
        <f aca="false">IF(Z60="No","Not counted",IF(AF60="Lapsed or dead","Excluded",IF(AF60="Constrained","Constrained / uncertain",IF(AF60="Confirmed live",IF(G60="On Site","Committed",IF(G60="Part Complete","Committed",IF(G60="Contract Awarded","Committed Pre-Construction",IF(G60="Tender","Advanced Pre-Construction",IF(G60="Commencement Expected","Likely",IF(G60="Permission Granted","Potential",IF(G60="Stalled or Suspended","Constrained / uncertain",IF(G60="Complete","Delivered","Application Pipeline")))))))),IF(G60="Complete","Delivered",IF(AND(OR(G60="Permission Granted",G60="Commencement Expected"),OR(AC60="Yes",AE60="Yes")),"Constrained / uncertain",IF(G60="On Site","Committed",IF(G60="Part Complete","Committed",IF(G60="Contract Awarded","Committed Pre-Construction",IF(G60="Tender","Advanced Pre-Construction",IF(G60="Commencement Expected","Likely",IF(G60="Permission Granted","Potential",IF(G60="Stalled or Suspended","Constrained / uncertain",IF(G60="Complete","Delivered","Application Pipeline"))))))))))))))</f>
        <v>Committed</v>
      </c>
      <c r="AH60" s="2" t="str">
        <f aca="false">IF(Z60="No","Relationship: "&amp;Y60,IF(AF60&lt;&gt;"","Analyst: "&amp;AF60,IF(G60="Complete","Complete",IF(AND(OR(G60="Permission Granted",G60="Commencement Expected"),AE60="Yes"),"Past expiry",IF(AND(OR(G60="Permission Granted",G60="Commencement Expected"),AC60="Yes"),"No CIS update in "&amp;AB60&amp;" months","As CIS")))))</f>
        <v>As CIS</v>
      </c>
      <c r="AI60" s="10" t="n">
        <f aca="false">IF(Z60="Yes",N(Q60),0)</f>
        <v>26</v>
      </c>
      <c r="AJ60" s="10" t="n">
        <f aca="false">IF(OR(Z60="No",G60="Complete"),0,MAX(N(Q60)-N(AA60),0))</f>
        <v>26</v>
      </c>
      <c r="AK60" s="10" t="n">
        <f aca="false">IF(Z60="No",0,IF(G60="Complete",N(Q60),MIN(N(AA60),N(Q60))))</f>
        <v>0</v>
      </c>
      <c r="AL60" s="10" t="n">
        <f aca="false">IF(OR(OR(AG60="Not counted",AG60="Excluded",AG60="Delivered"),P60="Student accommodation"),0,AJ60)</f>
        <v>0</v>
      </c>
      <c r="AM60" s="10" t="n">
        <f aca="false">IF(OR(OR(AG60="Not counted",AG60="Excluded",AG60="Delivered"),P60&lt;&gt;"Student accommodation"),0,AJ60)</f>
        <v>26</v>
      </c>
      <c r="AN60" s="10" t="n">
        <f aca="false">IF(OR(AG60="Not counted",AG60="Excluded",AG60="Delivered"),0,N(S60))</f>
        <v>202</v>
      </c>
      <c r="AO60" s="2" t="s">
        <v>1021</v>
      </c>
      <c r="AP60" s="10"/>
      <c r="AQ60" s="10"/>
      <c r="AR60" s="10"/>
      <c r="AS60" s="10"/>
      <c r="AT60" s="10"/>
      <c r="AU60" s="10"/>
      <c r="AV60" s="10" t="n">
        <f aca="false">N(AP60)+N(AQ60)+N(AR60)+N(AS60)+N(AT60)+N(AU60)</f>
        <v>0</v>
      </c>
      <c r="AW60" s="10"/>
      <c r="AX60" s="10"/>
      <c r="AY60" s="10"/>
      <c r="AZ60" s="2"/>
      <c r="BA60" s="2" t="s">
        <v>1022</v>
      </c>
      <c r="BB60" s="2" t="s">
        <v>1248</v>
      </c>
      <c r="BC60" s="2" t="s">
        <v>1023</v>
      </c>
      <c r="BD60" s="2" t="s">
        <v>1024</v>
      </c>
      <c r="BE60" s="2" t="s">
        <v>1024</v>
      </c>
      <c r="BF60" s="2" t="s">
        <v>1059</v>
      </c>
      <c r="BG60" s="22" t="n">
        <v>44943</v>
      </c>
      <c r="BH60" s="22" t="n">
        <v>46889</v>
      </c>
      <c r="BI60" s="2"/>
      <c r="BJ60" s="22" t="n">
        <v>46889</v>
      </c>
      <c r="BK60" s="2"/>
      <c r="BL60" s="2" t="n">
        <v>0</v>
      </c>
      <c r="BM60" s="2"/>
      <c r="BN60" s="2" t="s">
        <v>1249</v>
      </c>
      <c r="BO60" s="23" t="s">
        <v>1250</v>
      </c>
      <c r="BP60" s="2" t="n">
        <f aca="false">IF(OR(K60="",BG60=""),"",ROUND(BG60-K60,0))</f>
        <v>0</v>
      </c>
      <c r="BQ60" s="2" t="str">
        <f aca="false">IF(OR(N(BK60)=0,Q60=""),"Not recorded",IF(BK60=Q60,"Match","Differs"))</f>
        <v>Not recorded</v>
      </c>
      <c r="BR60" s="2" t="str">
        <f aca="false">IF(N60="No","Excluded (non-residential)",IF(BF60="No reference","Unverified – no reference",IF(BF60="Not in council register","Unverified – not in register (Part 8 / other)",IF(OR(BF60="Refused",BF60="Refused on appeal",BF60="Withdrawn",BF60="Invalid",BF60="Quashed"),IF(OR(G60="Complete",G60="On Site",G60="Part Complete"),"Conflict – register not live but CIS says built","Conflict – not live in register"),IF(AND(G60="Plans Submitted",OR(BF60="Granted",BF60="Granted on appeal")),"Stage out of date – now granted",IF(AND(G60&lt;&gt;"Plans Submitted",OR(BF60="Pending",BF60="Under appeal")),"Check – register still pending",IF(N(BL60)&gt;Method!$B$7,"Check – location differs",IF(AND(BP60&lt;&gt;"",ABS(N(BP60))&gt;60),"Consistent – decision date differs","Consistent"))))))))</f>
        <v>Consistent</v>
      </c>
      <c r="BS60" s="2"/>
      <c r="BT60" s="2"/>
      <c r="BU60" s="2"/>
      <c r="BV60" s="2"/>
      <c r="BW60" s="2"/>
      <c r="BX60" s="2"/>
    </row>
    <row r="61" customFormat="false" ht="15" hidden="false" customHeight="false" outlineLevel="0" collapsed="false">
      <c r="A61" s="2" t="n">
        <v>1262614</v>
      </c>
      <c r="B61" s="2" t="s">
        <v>402</v>
      </c>
      <c r="C61" s="2" t="s">
        <v>1251</v>
      </c>
      <c r="D61" s="2" t="s">
        <v>403</v>
      </c>
      <c r="E61" s="2" t="s">
        <v>404</v>
      </c>
      <c r="F61" s="2" t="s">
        <v>142</v>
      </c>
      <c r="G61" s="2" t="s">
        <v>198</v>
      </c>
      <c r="H61" s="2" t="s">
        <v>1014</v>
      </c>
      <c r="I61" s="2" t="s">
        <v>198</v>
      </c>
      <c r="J61" s="22" t="n">
        <v>44904</v>
      </c>
      <c r="K61" s="22" t="n">
        <v>45191</v>
      </c>
      <c r="L61" s="22" t="n">
        <v>45777.3443976042</v>
      </c>
      <c r="M61" s="2" t="s">
        <v>1016</v>
      </c>
      <c r="N61" s="2" t="s">
        <v>121</v>
      </c>
      <c r="O61" s="2"/>
      <c r="P61" s="2" t="s">
        <v>1017</v>
      </c>
      <c r="Q61" s="10" t="n">
        <v>52</v>
      </c>
      <c r="R61" s="10" t="n">
        <v>51</v>
      </c>
      <c r="S61" s="10"/>
      <c r="T61" s="2" t="s">
        <v>120</v>
      </c>
      <c r="U61" s="2"/>
      <c r="V61" s="2" t="s">
        <v>1029</v>
      </c>
      <c r="W61" s="2" t="s">
        <v>1030</v>
      </c>
      <c r="X61" s="7"/>
      <c r="Y61" s="2" t="str">
        <f aca="false">IF(X61&lt;&gt;"",X61,T61)</f>
        <v>Primary</v>
      </c>
      <c r="Z61" s="2" t="str">
        <f aca="false">IF(OR(Y61="Primary",Y61="Additional phase",Y61="Additional application on site",Y61="Replaces earlier",Y61="Extension of duration (parent not in CIS)"),"Yes","No")</f>
        <v>Yes</v>
      </c>
      <c r="AA61" s="2"/>
      <c r="AB61" s="2" t="n">
        <f aca="false">IF(L61="","",ROUND((Method!$B$4-L61)/30.44,0))</f>
        <v>17</v>
      </c>
      <c r="AC61" s="2" t="str">
        <f aca="false">IF(AB61="","No",IF(AB61&gt;Method!$B$5,"Yes","No"))</f>
        <v>No</v>
      </c>
      <c r="AD61" s="22" t="n">
        <f aca="false">IF(BJ61&lt;&gt;"",BJ61,IF(K61&lt;&gt;"",EDATE(K61,60),""))</f>
        <v>47049</v>
      </c>
      <c r="AE61" s="2" t="str">
        <f aca="false">IF(AND(AD61&lt;&gt;"",OR(G61="Permission Granted",G61="Commencement Expected",G61="Stalled or Suspended")),IF(AD61&lt;Method!$B$4,"Yes","No"),"No")</f>
        <v>No</v>
      </c>
      <c r="AF61" s="7"/>
      <c r="AG61" s="2" t="str">
        <f aca="false">IF(Z61="No","Not counted",IF(AF61="Lapsed or dead","Excluded",IF(AF61="Constrained","Constrained / uncertain",IF(AF61="Confirmed live",IF(G61="On Site","Committed",IF(G61="Part Complete","Committed",IF(G61="Contract Awarded","Committed Pre-Construction",IF(G61="Tender","Advanced Pre-Construction",IF(G61="Commencement Expected","Likely",IF(G61="Permission Granted","Potential",IF(G61="Stalled or Suspended","Constrained / uncertain",IF(G61="Complete","Delivered","Application Pipeline")))))))),IF(G61="Complete","Delivered",IF(AND(OR(G61="Permission Granted",G61="Commencement Expected"),OR(AC61="Yes",AE61="Yes")),"Constrained / uncertain",IF(G61="On Site","Committed",IF(G61="Part Complete","Committed",IF(G61="Contract Awarded","Committed Pre-Construction",IF(G61="Tender","Advanced Pre-Construction",IF(G61="Commencement Expected","Likely",IF(G61="Permission Granted","Potential",IF(G61="Stalled or Suspended","Constrained / uncertain",IF(G61="Complete","Delivered","Application Pipeline"))))))))))))))</f>
        <v>Committed</v>
      </c>
      <c r="AH61" s="2" t="str">
        <f aca="false">IF(Z61="No","Relationship: "&amp;Y61,IF(AF61&lt;&gt;"","Analyst: "&amp;AF61,IF(G61="Complete","Complete",IF(AND(OR(G61="Permission Granted",G61="Commencement Expected"),AE61="Yes"),"Past expiry",IF(AND(OR(G61="Permission Granted",G61="Commencement Expected"),AC61="Yes"),"No CIS update in "&amp;AB61&amp;" months","As CIS")))))</f>
        <v>As CIS</v>
      </c>
      <c r="AI61" s="10" t="n">
        <f aca="false">IF(Z61="Yes",N(Q61),0)</f>
        <v>52</v>
      </c>
      <c r="AJ61" s="10" t="n">
        <f aca="false">IF(OR(Z61="No",G61="Complete"),0,MAX(N(Q61)-N(AA61),0))</f>
        <v>52</v>
      </c>
      <c r="AK61" s="10" t="n">
        <f aca="false">IF(Z61="No",0,IF(G61="Complete",N(Q61),MIN(N(AA61),N(Q61))))</f>
        <v>0</v>
      </c>
      <c r="AL61" s="10" t="n">
        <f aca="false">IF(OR(OR(AG61="Not counted",AG61="Excluded",AG61="Delivered"),P61="Student accommodation"),0,AJ61)</f>
        <v>52</v>
      </c>
      <c r="AM61" s="10" t="n">
        <f aca="false">IF(OR(OR(AG61="Not counted",AG61="Excluded",AG61="Delivered"),P61&lt;&gt;"Student accommodation"),0,AJ61)</f>
        <v>0</v>
      </c>
      <c r="AN61" s="10" t="n">
        <f aca="false">IF(OR(AG61="Not counted",AG61="Excluded",AG61="Delivered"),0,N(S61))</f>
        <v>0</v>
      </c>
      <c r="AO61" s="2" t="s">
        <v>1232</v>
      </c>
      <c r="AP61" s="10"/>
      <c r="AQ61" s="10"/>
      <c r="AR61" s="10" t="n">
        <v>6</v>
      </c>
      <c r="AS61" s="10" t="n">
        <v>40</v>
      </c>
      <c r="AT61" s="10" t="n">
        <v>6</v>
      </c>
      <c r="AU61" s="10"/>
      <c r="AV61" s="10" t="n">
        <f aca="false">N(AP61)+N(AQ61)+N(AR61)+N(AS61)+N(AT61)+N(AU61)</f>
        <v>52</v>
      </c>
      <c r="AW61" s="10" t="n">
        <v>52</v>
      </c>
      <c r="AX61" s="10"/>
      <c r="AY61" s="10"/>
      <c r="AZ61" s="2" t="s">
        <v>1252</v>
      </c>
      <c r="BA61" s="2" t="s">
        <v>1022</v>
      </c>
      <c r="BB61" s="2" t="s">
        <v>1251</v>
      </c>
      <c r="BC61" s="2" t="s">
        <v>1023</v>
      </c>
      <c r="BD61" s="2" t="s">
        <v>1024</v>
      </c>
      <c r="BE61" s="2"/>
      <c r="BF61" s="2" t="s">
        <v>1025</v>
      </c>
      <c r="BG61" s="22" t="n">
        <v>45191</v>
      </c>
      <c r="BH61" s="22" t="n">
        <v>47049</v>
      </c>
      <c r="BI61" s="2"/>
      <c r="BJ61" s="22" t="n">
        <v>47049</v>
      </c>
      <c r="BK61" s="2" t="n">
        <v>52</v>
      </c>
      <c r="BL61" s="2" t="n">
        <v>0</v>
      </c>
      <c r="BM61" s="2"/>
      <c r="BN61" s="2" t="s">
        <v>1253</v>
      </c>
      <c r="BO61" s="23" t="s">
        <v>1254</v>
      </c>
      <c r="BP61" s="2" t="n">
        <f aca="false">IF(OR(K61="",BG61=""),"",ROUND(BG61-K61,0))</f>
        <v>0</v>
      </c>
      <c r="BQ61" s="2" t="str">
        <f aca="false">IF(OR(N(BK61)=0,Q61=""),"Not recorded",IF(BK61=Q61,"Match","Differs"))</f>
        <v>Match</v>
      </c>
      <c r="BR61" s="2" t="str">
        <f aca="false">IF(N61="No","Excluded (non-residential)",IF(BF61="No reference","Unverified – no reference",IF(BF61="Not in council register","Unverified – not in register (Part 8 / other)",IF(OR(BF61="Refused",BF61="Refused on appeal",BF61="Withdrawn",BF61="Invalid",BF61="Quashed"),IF(OR(G61="Complete",G61="On Site",G61="Part Complete"),"Conflict – register not live but CIS says built","Conflict – not live in register"),IF(AND(G61="Plans Submitted",OR(BF61="Granted",BF61="Granted on appeal")),"Stage out of date – now granted",IF(AND(G61&lt;&gt;"Plans Submitted",OR(BF61="Pending",BF61="Under appeal")),"Check – register still pending",IF(N(BL61)&gt;Method!$B$7,"Check – location differs",IF(AND(BP61&lt;&gt;"",ABS(N(BP61))&gt;60),"Consistent – decision date differs","Consistent"))))))))</f>
        <v>Consistent</v>
      </c>
      <c r="BS61" s="2"/>
      <c r="BT61" s="2"/>
      <c r="BU61" s="2"/>
      <c r="BV61" s="2"/>
      <c r="BW61" s="2"/>
      <c r="BX61" s="2"/>
    </row>
    <row r="62" customFormat="false" ht="15" hidden="false" customHeight="false" outlineLevel="0" collapsed="false">
      <c r="A62" s="2" t="n">
        <v>1265188</v>
      </c>
      <c r="B62" s="2" t="s">
        <v>460</v>
      </c>
      <c r="C62" s="2" t="s">
        <v>1255</v>
      </c>
      <c r="D62" s="2" t="s">
        <v>461</v>
      </c>
      <c r="E62" s="2" t="s">
        <v>462</v>
      </c>
      <c r="F62" s="2" t="s">
        <v>144</v>
      </c>
      <c r="G62" s="2" t="s">
        <v>187</v>
      </c>
      <c r="H62" s="2" t="s">
        <v>1014</v>
      </c>
      <c r="I62" s="2"/>
      <c r="J62" s="22" t="n">
        <v>44925</v>
      </c>
      <c r="K62" s="22" t="n">
        <v>45191</v>
      </c>
      <c r="L62" s="22" t="n">
        <v>45505.3952739931</v>
      </c>
      <c r="M62" s="2" t="s">
        <v>1016</v>
      </c>
      <c r="N62" s="2" t="s">
        <v>121</v>
      </c>
      <c r="O62" s="2"/>
      <c r="P62" s="2" t="s">
        <v>1017</v>
      </c>
      <c r="Q62" s="10" t="n">
        <v>46</v>
      </c>
      <c r="R62" s="10" t="n">
        <v>46</v>
      </c>
      <c r="S62" s="10"/>
      <c r="T62" s="2" t="s">
        <v>120</v>
      </c>
      <c r="U62" s="2"/>
      <c r="V62" s="2" t="s">
        <v>1029</v>
      </c>
      <c r="W62" s="2" t="s">
        <v>1030</v>
      </c>
      <c r="X62" s="7"/>
      <c r="Y62" s="2" t="str">
        <f aca="false">IF(X62&lt;&gt;"",X62,T62)</f>
        <v>Primary</v>
      </c>
      <c r="Z62" s="2" t="str">
        <f aca="false">IF(OR(Y62="Primary",Y62="Additional phase",Y62="Additional application on site",Y62="Replaces earlier",Y62="Extension of duration (parent not in CIS)"),"Yes","No")</f>
        <v>Yes</v>
      </c>
      <c r="AA62" s="2"/>
      <c r="AB62" s="2" t="n">
        <f aca="false">IF(L62="","",ROUND((Method!$B$4-L62)/30.44,0))</f>
        <v>26</v>
      </c>
      <c r="AC62" s="2" t="str">
        <f aca="false">IF(AB62="","No",IF(AB62&gt;Method!$B$5,"Yes","No"))</f>
        <v>Yes</v>
      </c>
      <c r="AD62" s="22" t="n">
        <f aca="false">IF(BJ62&lt;&gt;"",BJ62,IF(K62&lt;&gt;"",EDATE(K62,60),""))</f>
        <v>47324</v>
      </c>
      <c r="AE62" s="2" t="str">
        <f aca="false">IF(AND(AD62&lt;&gt;"",OR(G62="Permission Granted",G62="Commencement Expected",G62="Stalled or Suspended")),IF(AD62&lt;Method!$B$4,"Yes","No"),"No")</f>
        <v>No</v>
      </c>
      <c r="AF62" s="7"/>
      <c r="AG62" s="2" t="str">
        <f aca="false">IF(Z62="No","Not counted",IF(AF62="Lapsed or dead","Excluded",IF(AF62="Constrained","Constrained / uncertain",IF(AF62="Confirmed live",IF(G62="On Site","Committed",IF(G62="Part Complete","Committed",IF(G62="Contract Awarded","Committed Pre-Construction",IF(G62="Tender","Advanced Pre-Construction",IF(G62="Commencement Expected","Likely",IF(G62="Permission Granted","Potential",IF(G62="Stalled or Suspended","Constrained / uncertain",IF(G62="Complete","Delivered","Application Pipeline")))))))),IF(G62="Complete","Delivered",IF(AND(OR(G62="Permission Granted",G62="Commencement Expected"),OR(AC62="Yes",AE62="Yes")),"Constrained / uncertain",IF(G62="On Site","Committed",IF(G62="Part Complete","Committed",IF(G62="Contract Awarded","Committed Pre-Construction",IF(G62="Tender","Advanced Pre-Construction",IF(G62="Commencement Expected","Likely",IF(G62="Permission Granted","Potential",IF(G62="Stalled or Suspended","Constrained / uncertain",IF(G62="Complete","Delivered","Application Pipeline"))))))))))))))</f>
        <v>Constrained / uncertain</v>
      </c>
      <c r="AH62" s="2" t="str">
        <f aca="false">IF(Z62="No","Relationship: "&amp;Y62,IF(AF62&lt;&gt;"","Analyst: "&amp;AF62,IF(G62="Complete","Complete",IF(AND(OR(G62="Permission Granted",G62="Commencement Expected"),AE62="Yes"),"Past expiry",IF(AND(OR(G62="Permission Granted",G62="Commencement Expected"),AC62="Yes"),"No CIS update in "&amp;AB62&amp;" months","As CIS")))))</f>
        <v>No CIS update in 26 months</v>
      </c>
      <c r="AI62" s="10" t="n">
        <f aca="false">IF(Z62="Yes",N(Q62),0)</f>
        <v>46</v>
      </c>
      <c r="AJ62" s="10" t="n">
        <f aca="false">IF(OR(Z62="No",G62="Complete"),0,MAX(N(Q62)-N(AA62),0))</f>
        <v>46</v>
      </c>
      <c r="AK62" s="10" t="n">
        <f aca="false">IF(Z62="No",0,IF(G62="Complete",N(Q62),MIN(N(AA62),N(Q62))))</f>
        <v>0</v>
      </c>
      <c r="AL62" s="10" t="n">
        <f aca="false">IF(OR(OR(AG62="Not counted",AG62="Excluded",AG62="Delivered"),P62="Student accommodation"),0,AJ62)</f>
        <v>46</v>
      </c>
      <c r="AM62" s="10" t="n">
        <f aca="false">IF(OR(OR(AG62="Not counted",AG62="Excluded",AG62="Delivered"),P62&lt;&gt;"Student accommodation"),0,AJ62)</f>
        <v>0</v>
      </c>
      <c r="AN62" s="10" t="n">
        <f aca="false">IF(OR(AG62="Not counted",AG62="Excluded",AG62="Delivered"),0,N(S62))</f>
        <v>0</v>
      </c>
      <c r="AO62" s="2" t="s">
        <v>1157</v>
      </c>
      <c r="AP62" s="10"/>
      <c r="AQ62" s="10" t="n">
        <v>23</v>
      </c>
      <c r="AR62" s="10" t="n">
        <v>23</v>
      </c>
      <c r="AS62" s="10"/>
      <c r="AT62" s="10"/>
      <c r="AU62" s="10"/>
      <c r="AV62" s="10" t="n">
        <f aca="false">N(AP62)+N(AQ62)+N(AR62)+N(AS62)+N(AT62)+N(AU62)</f>
        <v>46</v>
      </c>
      <c r="AW62" s="10"/>
      <c r="AX62" s="10" t="n">
        <v>46</v>
      </c>
      <c r="AY62" s="10"/>
      <c r="AZ62" s="2"/>
      <c r="BA62" s="2" t="s">
        <v>1022</v>
      </c>
      <c r="BB62" s="2" t="s">
        <v>1255</v>
      </c>
      <c r="BC62" s="2" t="s">
        <v>1023</v>
      </c>
      <c r="BD62" s="2" t="s">
        <v>1024</v>
      </c>
      <c r="BE62" s="2" t="s">
        <v>1024</v>
      </c>
      <c r="BF62" s="2" t="s">
        <v>1059</v>
      </c>
      <c r="BG62" s="22" t="n">
        <v>45191</v>
      </c>
      <c r="BH62" s="22" t="n">
        <v>47324</v>
      </c>
      <c r="BI62" s="2"/>
      <c r="BJ62" s="22" t="n">
        <v>47324</v>
      </c>
      <c r="BK62" s="2"/>
      <c r="BL62" s="2" t="n">
        <v>0</v>
      </c>
      <c r="BM62" s="2"/>
      <c r="BN62" s="2" t="s">
        <v>1256</v>
      </c>
      <c r="BO62" s="23" t="s">
        <v>1257</v>
      </c>
      <c r="BP62" s="2" t="n">
        <f aca="false">IF(OR(K62="",BG62=""),"",ROUND(BG62-K62,0))</f>
        <v>0</v>
      </c>
      <c r="BQ62" s="2" t="str">
        <f aca="false">IF(OR(N(BK62)=0,Q62=""),"Not recorded",IF(BK62=Q62,"Match","Differs"))</f>
        <v>Not recorded</v>
      </c>
      <c r="BR62" s="2" t="str">
        <f aca="false">IF(N62="No","Excluded (non-residential)",IF(BF62="No reference","Unverified – no reference",IF(BF62="Not in council register","Unverified – not in register (Part 8 / other)",IF(OR(BF62="Refused",BF62="Refused on appeal",BF62="Withdrawn",BF62="Invalid",BF62="Quashed"),IF(OR(G62="Complete",G62="On Site",G62="Part Complete"),"Conflict – register not live but CIS says built","Conflict – not live in register"),IF(AND(G62="Plans Submitted",OR(BF62="Granted",BF62="Granted on appeal")),"Stage out of date – now granted",IF(AND(G62&lt;&gt;"Plans Submitted",OR(BF62="Pending",BF62="Under appeal")),"Check – register still pending",IF(N(BL62)&gt;Method!$B$7,"Check – location differs",IF(AND(BP62&lt;&gt;"",ABS(N(BP62))&gt;60),"Consistent – decision date differs","Consistent"))))))))</f>
        <v>Consistent</v>
      </c>
      <c r="BS62" s="2"/>
      <c r="BT62" s="2"/>
      <c r="BU62" s="2"/>
      <c r="BV62" s="2"/>
      <c r="BW62" s="2"/>
      <c r="BX62" s="2"/>
    </row>
    <row r="63" customFormat="false" ht="15" hidden="false" customHeight="false" outlineLevel="0" collapsed="false">
      <c r="A63" s="2" t="n">
        <v>1266613</v>
      </c>
      <c r="B63" s="2" t="s">
        <v>315</v>
      </c>
      <c r="C63" s="2" t="s">
        <v>1258</v>
      </c>
      <c r="D63" s="2" t="s">
        <v>316</v>
      </c>
      <c r="E63" s="2" t="s">
        <v>317</v>
      </c>
      <c r="F63" s="2" t="s">
        <v>138</v>
      </c>
      <c r="G63" s="2" t="s">
        <v>198</v>
      </c>
      <c r="H63" s="2" t="s">
        <v>1014</v>
      </c>
      <c r="I63" s="2" t="s">
        <v>198</v>
      </c>
      <c r="J63" s="22" t="n">
        <v>44944</v>
      </c>
      <c r="K63" s="22" t="n">
        <v>45282</v>
      </c>
      <c r="L63" s="22" t="n">
        <v>46112.3026744213</v>
      </c>
      <c r="M63" s="2" t="s">
        <v>1016</v>
      </c>
      <c r="N63" s="2" t="s">
        <v>121</v>
      </c>
      <c r="O63" s="2"/>
      <c r="P63" s="2" t="s">
        <v>1017</v>
      </c>
      <c r="Q63" s="10" t="n">
        <v>28</v>
      </c>
      <c r="R63" s="10" t="n">
        <v>28</v>
      </c>
      <c r="S63" s="10"/>
      <c r="T63" s="2" t="s">
        <v>120</v>
      </c>
      <c r="U63" s="2"/>
      <c r="V63" s="2" t="s">
        <v>1029</v>
      </c>
      <c r="W63" s="2" t="s">
        <v>1030</v>
      </c>
      <c r="X63" s="7"/>
      <c r="Y63" s="2" t="str">
        <f aca="false">IF(X63&lt;&gt;"",X63,T63)</f>
        <v>Primary</v>
      </c>
      <c r="Z63" s="2" t="str">
        <f aca="false">IF(OR(Y63="Primary",Y63="Additional phase",Y63="Additional application on site",Y63="Replaces earlier",Y63="Extension of duration (parent not in CIS)"),"Yes","No")</f>
        <v>Yes</v>
      </c>
      <c r="AA63" s="2"/>
      <c r="AB63" s="2" t="n">
        <f aca="false">IF(L63="","",ROUND((Method!$B$4-L63)/30.44,0))</f>
        <v>6</v>
      </c>
      <c r="AC63" s="2" t="str">
        <f aca="false">IF(AB63="","No",IF(AB63&gt;Method!$B$5,"Yes","No"))</f>
        <v>No</v>
      </c>
      <c r="AD63" s="22" t="n">
        <f aca="false">IF(BJ63&lt;&gt;"",BJ63,IF(K63&lt;&gt;"",EDATE(K63,60),""))</f>
        <v>47146</v>
      </c>
      <c r="AE63" s="2" t="str">
        <f aca="false">IF(AND(AD63&lt;&gt;"",OR(G63="Permission Granted",G63="Commencement Expected",G63="Stalled or Suspended")),IF(AD63&lt;Method!$B$4,"Yes","No"),"No")</f>
        <v>No</v>
      </c>
      <c r="AF63" s="7"/>
      <c r="AG63" s="2" t="str">
        <f aca="false">IF(Z63="No","Not counted",IF(AF63="Lapsed or dead","Excluded",IF(AF63="Constrained","Constrained / uncertain",IF(AF63="Confirmed live",IF(G63="On Site","Committed",IF(G63="Part Complete","Committed",IF(G63="Contract Awarded","Committed Pre-Construction",IF(G63="Tender","Advanced Pre-Construction",IF(G63="Commencement Expected","Likely",IF(G63="Permission Granted","Potential",IF(G63="Stalled or Suspended","Constrained / uncertain",IF(G63="Complete","Delivered","Application Pipeline")))))))),IF(G63="Complete","Delivered",IF(AND(OR(G63="Permission Granted",G63="Commencement Expected"),OR(AC63="Yes",AE63="Yes")),"Constrained / uncertain",IF(G63="On Site","Committed",IF(G63="Part Complete","Committed",IF(G63="Contract Awarded","Committed Pre-Construction",IF(G63="Tender","Advanced Pre-Construction",IF(G63="Commencement Expected","Likely",IF(G63="Permission Granted","Potential",IF(G63="Stalled or Suspended","Constrained / uncertain",IF(G63="Complete","Delivered","Application Pipeline"))))))))))))))</f>
        <v>Committed</v>
      </c>
      <c r="AH63" s="2" t="str">
        <f aca="false">IF(Z63="No","Relationship: "&amp;Y63,IF(AF63&lt;&gt;"","Analyst: "&amp;AF63,IF(G63="Complete","Complete",IF(AND(OR(G63="Permission Granted",G63="Commencement Expected"),AE63="Yes"),"Past expiry",IF(AND(OR(G63="Permission Granted",G63="Commencement Expected"),AC63="Yes"),"No CIS update in "&amp;AB63&amp;" months","As CIS")))))</f>
        <v>As CIS</v>
      </c>
      <c r="AI63" s="10" t="n">
        <f aca="false">IF(Z63="Yes",N(Q63),0)</f>
        <v>28</v>
      </c>
      <c r="AJ63" s="10" t="n">
        <f aca="false">IF(OR(Z63="No",G63="Complete"),0,MAX(N(Q63)-N(AA63),0))</f>
        <v>28</v>
      </c>
      <c r="AK63" s="10" t="n">
        <f aca="false">IF(Z63="No",0,IF(G63="Complete",N(Q63),MIN(N(AA63),N(Q63))))</f>
        <v>0</v>
      </c>
      <c r="AL63" s="10" t="n">
        <f aca="false">IF(OR(OR(AG63="Not counted",AG63="Excluded",AG63="Delivered"),P63="Student accommodation"),0,AJ63)</f>
        <v>28</v>
      </c>
      <c r="AM63" s="10" t="n">
        <f aca="false">IF(OR(OR(AG63="Not counted",AG63="Excluded",AG63="Delivered"),P63&lt;&gt;"Student accommodation"),0,AJ63)</f>
        <v>0</v>
      </c>
      <c r="AN63" s="10" t="n">
        <f aca="false">IF(OR(AG63="Not counted",AG63="Excluded",AG63="Delivered"),0,N(S63))</f>
        <v>0</v>
      </c>
      <c r="AO63" s="2" t="s">
        <v>1021</v>
      </c>
      <c r="AP63" s="10"/>
      <c r="AQ63" s="10"/>
      <c r="AR63" s="10"/>
      <c r="AS63" s="10"/>
      <c r="AT63" s="10"/>
      <c r="AU63" s="10"/>
      <c r="AV63" s="10" t="n">
        <f aca="false">N(AP63)+N(AQ63)+N(AR63)+N(AS63)+N(AT63)+N(AU63)</f>
        <v>0</v>
      </c>
      <c r="AW63" s="10"/>
      <c r="AX63" s="10"/>
      <c r="AY63" s="10"/>
      <c r="AZ63" s="2"/>
      <c r="BA63" s="2" t="s">
        <v>1022</v>
      </c>
      <c r="BB63" s="2" t="s">
        <v>1258</v>
      </c>
      <c r="BC63" s="2" t="s">
        <v>1023</v>
      </c>
      <c r="BD63" s="2" t="s">
        <v>1024</v>
      </c>
      <c r="BE63" s="2"/>
      <c r="BF63" s="2" t="s">
        <v>1025</v>
      </c>
      <c r="BG63" s="22" t="n">
        <v>45282</v>
      </c>
      <c r="BH63" s="22" t="n">
        <v>47146</v>
      </c>
      <c r="BI63" s="2"/>
      <c r="BJ63" s="22" t="n">
        <v>47146</v>
      </c>
      <c r="BK63" s="2" t="n">
        <v>28</v>
      </c>
      <c r="BL63" s="2" t="n">
        <v>0</v>
      </c>
      <c r="BM63" s="2"/>
      <c r="BN63" s="2" t="s">
        <v>1259</v>
      </c>
      <c r="BO63" s="23" t="s">
        <v>1260</v>
      </c>
      <c r="BP63" s="2" t="n">
        <f aca="false">IF(OR(K63="",BG63=""),"",ROUND(BG63-K63,0))</f>
        <v>0</v>
      </c>
      <c r="BQ63" s="2" t="str">
        <f aca="false">IF(OR(N(BK63)=0,Q63=""),"Not recorded",IF(BK63=Q63,"Match","Differs"))</f>
        <v>Match</v>
      </c>
      <c r="BR63" s="2" t="str">
        <f aca="false">IF(N63="No","Excluded (non-residential)",IF(BF63="No reference","Unverified – no reference",IF(BF63="Not in council register","Unverified – not in register (Part 8 / other)",IF(OR(BF63="Refused",BF63="Refused on appeal",BF63="Withdrawn",BF63="Invalid",BF63="Quashed"),IF(OR(G63="Complete",G63="On Site",G63="Part Complete"),"Conflict – register not live but CIS says built","Conflict – not live in register"),IF(AND(G63="Plans Submitted",OR(BF63="Granted",BF63="Granted on appeal")),"Stage out of date – now granted",IF(AND(G63&lt;&gt;"Plans Submitted",OR(BF63="Pending",BF63="Under appeal")),"Check – register still pending",IF(N(BL63)&gt;Method!$B$7,"Check – location differs",IF(AND(BP63&lt;&gt;"",ABS(N(BP63))&gt;60),"Consistent – decision date differs","Consistent"))))))))</f>
        <v>Consistent</v>
      </c>
      <c r="BS63" s="2"/>
      <c r="BT63" s="2"/>
      <c r="BU63" s="2"/>
      <c r="BV63" s="2"/>
      <c r="BW63" s="2"/>
      <c r="BX63" s="2"/>
    </row>
    <row r="64" customFormat="false" ht="15" hidden="false" customHeight="false" outlineLevel="0" collapsed="false">
      <c r="A64" s="2" t="n">
        <v>1278179</v>
      </c>
      <c r="B64" s="2" t="s">
        <v>351</v>
      </c>
      <c r="C64" s="2" t="s">
        <v>1261</v>
      </c>
      <c r="D64" s="2" t="s">
        <v>352</v>
      </c>
      <c r="E64" s="2" t="s">
        <v>1262</v>
      </c>
      <c r="F64" s="2" t="s">
        <v>144</v>
      </c>
      <c r="G64" s="2" t="s">
        <v>251</v>
      </c>
      <c r="H64" s="2" t="s">
        <v>1014</v>
      </c>
      <c r="I64" s="2" t="s">
        <v>1015</v>
      </c>
      <c r="J64" s="22" t="n">
        <v>45000</v>
      </c>
      <c r="K64" s="22" t="n">
        <v>45198</v>
      </c>
      <c r="L64" s="22" t="n">
        <v>45981.6307865394</v>
      </c>
      <c r="M64" s="2" t="s">
        <v>1016</v>
      </c>
      <c r="N64" s="2" t="s">
        <v>121</v>
      </c>
      <c r="O64" s="2"/>
      <c r="P64" s="2" t="s">
        <v>1017</v>
      </c>
      <c r="Q64" s="10" t="n">
        <v>3</v>
      </c>
      <c r="R64" s="10"/>
      <c r="S64" s="10"/>
      <c r="T64" s="2" t="s">
        <v>30</v>
      </c>
      <c r="U64" s="2"/>
      <c r="V64" s="2" t="s">
        <v>1080</v>
      </c>
      <c r="W64" s="2" t="s">
        <v>1020</v>
      </c>
      <c r="X64" s="7"/>
      <c r="Y64" s="2" t="str">
        <f aca="false">IF(X64&lt;&gt;"",X64,T64)</f>
        <v>Additional application on site</v>
      </c>
      <c r="Z64" s="2" t="str">
        <f aca="false">IF(OR(Y64="Primary",Y64="Additional phase",Y64="Additional application on site",Y64="Replaces earlier",Y64="Extension of duration (parent not in CIS)"),"Yes","No")</f>
        <v>Yes</v>
      </c>
      <c r="AA64" s="2"/>
      <c r="AB64" s="2" t="n">
        <f aca="false">IF(L64="","",ROUND((Method!$B$4-L64)/30.44,0))</f>
        <v>10</v>
      </c>
      <c r="AC64" s="2" t="str">
        <f aca="false">IF(AB64="","No",IF(AB64&gt;Method!$B$5,"Yes","No"))</f>
        <v>No</v>
      </c>
      <c r="AD64" s="22" t="n">
        <f aca="false">IF(BJ64&lt;&gt;"",BJ64,IF(K64&lt;&gt;"",EDATE(K64,60),""))</f>
        <v>47058</v>
      </c>
      <c r="AE64" s="2" t="str">
        <f aca="false">IF(AND(AD64&lt;&gt;"",OR(G64="Permission Granted",G64="Commencement Expected",G64="Stalled or Suspended")),IF(AD64&lt;Method!$B$4,"Yes","No"),"No")</f>
        <v>No</v>
      </c>
      <c r="AF64" s="7"/>
      <c r="AG64" s="2" t="str">
        <f aca="false">IF(Z64="No","Not counted",IF(AF64="Lapsed or dead","Excluded",IF(AF64="Constrained","Constrained / uncertain",IF(AF64="Confirmed live",IF(G64="On Site","Committed",IF(G64="Part Complete","Committed",IF(G64="Contract Awarded","Committed Pre-Construction",IF(G64="Tender","Advanced Pre-Construction",IF(G64="Commencement Expected","Likely",IF(G64="Permission Granted","Potential",IF(G64="Stalled or Suspended","Constrained / uncertain",IF(G64="Complete","Delivered","Application Pipeline")))))))),IF(G64="Complete","Delivered",IF(AND(OR(G64="Permission Granted",G64="Commencement Expected"),OR(AC64="Yes",AE64="Yes")),"Constrained / uncertain",IF(G64="On Site","Committed",IF(G64="Part Complete","Committed",IF(G64="Contract Awarded","Committed Pre-Construction",IF(G64="Tender","Advanced Pre-Construction",IF(G64="Commencement Expected","Likely",IF(G64="Permission Granted","Potential",IF(G64="Stalled or Suspended","Constrained / uncertain",IF(G64="Complete","Delivered","Application Pipeline"))))))))))))))</f>
        <v>Delivered</v>
      </c>
      <c r="AH64" s="2" t="str">
        <f aca="false">IF(Z64="No","Relationship: "&amp;Y64,IF(AF64&lt;&gt;"","Analyst: "&amp;AF64,IF(G64="Complete","Complete",IF(AND(OR(G64="Permission Granted",G64="Commencement Expected"),AE64="Yes"),"Past expiry",IF(AND(OR(G64="Permission Granted",G64="Commencement Expected"),AC64="Yes"),"No CIS update in "&amp;AB64&amp;" months","As CIS")))))</f>
        <v>Complete</v>
      </c>
      <c r="AI64" s="10" t="n">
        <f aca="false">IF(Z64="Yes",N(Q64),0)</f>
        <v>3</v>
      </c>
      <c r="AJ64" s="10" t="n">
        <f aca="false">IF(OR(Z64="No",G64="Complete"),0,MAX(N(Q64)-N(AA64),0))</f>
        <v>0</v>
      </c>
      <c r="AK64" s="10" t="n">
        <f aca="false">IF(Z64="No",0,IF(G64="Complete",N(Q64),MIN(N(AA64),N(Q64))))</f>
        <v>3</v>
      </c>
      <c r="AL64" s="10" t="n">
        <f aca="false">IF(OR(OR(AG64="Not counted",AG64="Excluded",AG64="Delivered"),P64="Student accommodation"),0,AJ64)</f>
        <v>0</v>
      </c>
      <c r="AM64" s="10" t="n">
        <f aca="false">IF(OR(OR(AG64="Not counted",AG64="Excluded",AG64="Delivered"),P64&lt;&gt;"Student accommodation"),0,AJ64)</f>
        <v>0</v>
      </c>
      <c r="AN64" s="10" t="n">
        <f aca="false">IF(OR(AG64="Not counted",AG64="Excluded",AG64="Delivered"),0,N(S64))</f>
        <v>0</v>
      </c>
      <c r="AO64" s="2" t="s">
        <v>1021</v>
      </c>
      <c r="AP64" s="10"/>
      <c r="AQ64" s="10"/>
      <c r="AR64" s="10"/>
      <c r="AS64" s="10"/>
      <c r="AT64" s="10"/>
      <c r="AU64" s="10"/>
      <c r="AV64" s="10" t="n">
        <f aca="false">N(AP64)+N(AQ64)+N(AR64)+N(AS64)+N(AT64)+N(AU64)</f>
        <v>0</v>
      </c>
      <c r="AW64" s="10"/>
      <c r="AX64" s="10"/>
      <c r="AY64" s="10"/>
      <c r="AZ64" s="2"/>
      <c r="BA64" s="2" t="s">
        <v>1022</v>
      </c>
      <c r="BB64" s="2" t="s">
        <v>1261</v>
      </c>
      <c r="BC64" s="2" t="s">
        <v>1023</v>
      </c>
      <c r="BD64" s="2" t="s">
        <v>1024</v>
      </c>
      <c r="BE64" s="2"/>
      <c r="BF64" s="2" t="s">
        <v>1025</v>
      </c>
      <c r="BG64" s="22" t="n">
        <v>45198</v>
      </c>
      <c r="BH64" s="22" t="n">
        <v>47058</v>
      </c>
      <c r="BI64" s="2"/>
      <c r="BJ64" s="22" t="n">
        <v>47058</v>
      </c>
      <c r="BK64" s="2"/>
      <c r="BL64" s="2" t="n">
        <v>0</v>
      </c>
      <c r="BM64" s="2"/>
      <c r="BN64" s="2" t="s">
        <v>1263</v>
      </c>
      <c r="BO64" s="23" t="s">
        <v>1264</v>
      </c>
      <c r="BP64" s="2" t="n">
        <f aca="false">IF(OR(K64="",BG64=""),"",ROUND(BG64-K64,0))</f>
        <v>0</v>
      </c>
      <c r="BQ64" s="2" t="str">
        <f aca="false">IF(OR(N(BK64)=0,Q64=""),"Not recorded",IF(BK64=Q64,"Match","Differs"))</f>
        <v>Not recorded</v>
      </c>
      <c r="BR64" s="2" t="str">
        <f aca="false">IF(N64="No","Excluded (non-residential)",IF(BF64="No reference","Unverified – no reference",IF(BF64="Not in council register","Unverified – not in register (Part 8 / other)",IF(OR(BF64="Refused",BF64="Refused on appeal",BF64="Withdrawn",BF64="Invalid",BF64="Quashed"),IF(OR(G64="Complete",G64="On Site",G64="Part Complete"),"Conflict – register not live but CIS says built","Conflict – not live in register"),IF(AND(G64="Plans Submitted",OR(BF64="Granted",BF64="Granted on appeal")),"Stage out of date – now granted",IF(AND(G64&lt;&gt;"Plans Submitted",OR(BF64="Pending",BF64="Under appeal")),"Check – register still pending",IF(N(BL64)&gt;Method!$B$7,"Check – location differs",IF(AND(BP64&lt;&gt;"",ABS(N(BP64))&gt;60),"Consistent – decision date differs","Consistent"))))))))</f>
        <v>Consistent</v>
      </c>
      <c r="BS64" s="2"/>
      <c r="BT64" s="2"/>
      <c r="BU64" s="2"/>
      <c r="BV64" s="2"/>
      <c r="BW64" s="2"/>
      <c r="BX64" s="2"/>
    </row>
    <row r="65" customFormat="false" ht="15" hidden="false" customHeight="false" outlineLevel="0" collapsed="false">
      <c r="A65" s="2" t="n">
        <v>1283723</v>
      </c>
      <c r="B65" s="2" t="s">
        <v>526</v>
      </c>
      <c r="C65" s="2" t="s">
        <v>1265</v>
      </c>
      <c r="D65" s="2" t="s">
        <v>527</v>
      </c>
      <c r="E65" s="2" t="s">
        <v>528</v>
      </c>
      <c r="F65" s="2" t="s">
        <v>144</v>
      </c>
      <c r="G65" s="2" t="s">
        <v>187</v>
      </c>
      <c r="H65" s="2" t="s">
        <v>1014</v>
      </c>
      <c r="I65" s="2"/>
      <c r="J65" s="22" t="n">
        <v>45026</v>
      </c>
      <c r="K65" s="22" t="n">
        <v>45153</v>
      </c>
      <c r="L65" s="22" t="n">
        <v>45155.4608758102</v>
      </c>
      <c r="M65" s="2" t="s">
        <v>1016</v>
      </c>
      <c r="N65" s="2" t="s">
        <v>121</v>
      </c>
      <c r="O65" s="2"/>
      <c r="P65" s="2" t="s">
        <v>1017</v>
      </c>
      <c r="Q65" s="10" t="n">
        <v>3</v>
      </c>
      <c r="R65" s="10"/>
      <c r="S65" s="10"/>
      <c r="T65" s="2" t="s">
        <v>120</v>
      </c>
      <c r="U65" s="2"/>
      <c r="V65" s="2" t="s">
        <v>1029</v>
      </c>
      <c r="W65" s="2" t="s">
        <v>1030</v>
      </c>
      <c r="X65" s="7"/>
      <c r="Y65" s="2" t="str">
        <f aca="false">IF(X65&lt;&gt;"",X65,T65)</f>
        <v>Primary</v>
      </c>
      <c r="Z65" s="2" t="str">
        <f aca="false">IF(OR(Y65="Primary",Y65="Additional phase",Y65="Additional application on site",Y65="Replaces earlier",Y65="Extension of duration (parent not in CIS)"),"Yes","No")</f>
        <v>Yes</v>
      </c>
      <c r="AA65" s="2"/>
      <c r="AB65" s="2" t="n">
        <f aca="false">IF(L65="","",ROUND((Method!$B$4-L65)/30.44,0))</f>
        <v>37</v>
      </c>
      <c r="AC65" s="2" t="str">
        <f aca="false">IF(AB65="","No",IF(AB65&gt;Method!$B$5,"Yes","No"))</f>
        <v>Yes</v>
      </c>
      <c r="AD65" s="22" t="n">
        <f aca="false">IF(BJ65&lt;&gt;"",BJ65,IF(K65&lt;&gt;"",EDATE(K65,60),""))</f>
        <v>46282</v>
      </c>
      <c r="AE65" s="2" t="str">
        <f aca="false">IF(AND(AD65&lt;&gt;"",OR(G65="Permission Granted",G65="Commencement Expected",G65="Stalled or Suspended")),IF(AD65&lt;Method!$B$4,"Yes","No"),"No")</f>
        <v>Yes</v>
      </c>
      <c r="AF65" s="7"/>
      <c r="AG65" s="2" t="str">
        <f aca="false">IF(Z65="No","Not counted",IF(AF65="Lapsed or dead","Excluded",IF(AF65="Constrained","Constrained / uncertain",IF(AF65="Confirmed live",IF(G65="On Site","Committed",IF(G65="Part Complete","Committed",IF(G65="Contract Awarded","Committed Pre-Construction",IF(G65="Tender","Advanced Pre-Construction",IF(G65="Commencement Expected","Likely",IF(G65="Permission Granted","Potential",IF(G65="Stalled or Suspended","Constrained / uncertain",IF(G65="Complete","Delivered","Application Pipeline")))))))),IF(G65="Complete","Delivered",IF(AND(OR(G65="Permission Granted",G65="Commencement Expected"),OR(AC65="Yes",AE65="Yes")),"Constrained / uncertain",IF(G65="On Site","Committed",IF(G65="Part Complete","Committed",IF(G65="Contract Awarded","Committed Pre-Construction",IF(G65="Tender","Advanced Pre-Construction",IF(G65="Commencement Expected","Likely",IF(G65="Permission Granted","Potential",IF(G65="Stalled or Suspended","Constrained / uncertain",IF(G65="Complete","Delivered","Application Pipeline"))))))))))))))</f>
        <v>Constrained / uncertain</v>
      </c>
      <c r="AH65" s="2" t="str">
        <f aca="false">IF(Z65="No","Relationship: "&amp;Y65,IF(AF65&lt;&gt;"","Analyst: "&amp;AF65,IF(G65="Complete","Complete",IF(AND(OR(G65="Permission Granted",G65="Commencement Expected"),AE65="Yes"),"Past expiry",IF(AND(OR(G65="Permission Granted",G65="Commencement Expected"),AC65="Yes"),"No CIS update in "&amp;AB65&amp;" months","As CIS")))))</f>
        <v>Past expiry</v>
      </c>
      <c r="AI65" s="10" t="n">
        <f aca="false">IF(Z65="Yes",N(Q65),0)</f>
        <v>3</v>
      </c>
      <c r="AJ65" s="10" t="n">
        <f aca="false">IF(OR(Z65="No",G65="Complete"),0,MAX(N(Q65)-N(AA65),0))</f>
        <v>3</v>
      </c>
      <c r="AK65" s="10" t="n">
        <f aca="false">IF(Z65="No",0,IF(G65="Complete",N(Q65),MIN(N(AA65),N(Q65))))</f>
        <v>0</v>
      </c>
      <c r="AL65" s="10" t="n">
        <f aca="false">IF(OR(OR(AG65="Not counted",AG65="Excluded",AG65="Delivered"),P65="Student accommodation"),0,AJ65)</f>
        <v>3</v>
      </c>
      <c r="AM65" s="10" t="n">
        <f aca="false">IF(OR(OR(AG65="Not counted",AG65="Excluded",AG65="Delivered"),P65&lt;&gt;"Student accommodation"),0,AJ65)</f>
        <v>0</v>
      </c>
      <c r="AN65" s="10" t="n">
        <f aca="false">IF(OR(AG65="Not counted",AG65="Excluded",AG65="Delivered"),0,N(S65))</f>
        <v>0</v>
      </c>
      <c r="AO65" s="2" t="s">
        <v>1021</v>
      </c>
      <c r="AP65" s="10"/>
      <c r="AQ65" s="10"/>
      <c r="AR65" s="10"/>
      <c r="AS65" s="10"/>
      <c r="AT65" s="10"/>
      <c r="AU65" s="10"/>
      <c r="AV65" s="10" t="n">
        <f aca="false">N(AP65)+N(AQ65)+N(AR65)+N(AS65)+N(AT65)+N(AU65)</f>
        <v>0</v>
      </c>
      <c r="AW65" s="10"/>
      <c r="AX65" s="10"/>
      <c r="AY65" s="10"/>
      <c r="AZ65" s="2"/>
      <c r="BA65" s="2" t="s">
        <v>1022</v>
      </c>
      <c r="BB65" s="2" t="s">
        <v>1265</v>
      </c>
      <c r="BC65" s="2" t="s">
        <v>1023</v>
      </c>
      <c r="BD65" s="2" t="s">
        <v>1024</v>
      </c>
      <c r="BE65" s="2"/>
      <c r="BF65" s="2" t="s">
        <v>1025</v>
      </c>
      <c r="BG65" s="22" t="n">
        <v>45153</v>
      </c>
      <c r="BH65" s="22" t="n">
        <v>46282</v>
      </c>
      <c r="BI65" s="2"/>
      <c r="BJ65" s="22" t="n">
        <v>46282</v>
      </c>
      <c r="BK65" s="2"/>
      <c r="BL65" s="2" t="n">
        <v>0</v>
      </c>
      <c r="BM65" s="2"/>
      <c r="BN65" s="2" t="s">
        <v>1266</v>
      </c>
      <c r="BO65" s="23" t="s">
        <v>1267</v>
      </c>
      <c r="BP65" s="2" t="n">
        <f aca="false">IF(OR(K65="",BG65=""),"",ROUND(BG65-K65,0))</f>
        <v>0</v>
      </c>
      <c r="BQ65" s="2" t="str">
        <f aca="false">IF(OR(N(BK65)=0,Q65=""),"Not recorded",IF(BK65=Q65,"Match","Differs"))</f>
        <v>Not recorded</v>
      </c>
      <c r="BR65" s="2" t="str">
        <f aca="false">IF(N65="No","Excluded (non-residential)",IF(BF65="No reference","Unverified – no reference",IF(BF65="Not in council register","Unverified – not in register (Part 8 / other)",IF(OR(BF65="Refused",BF65="Refused on appeal",BF65="Withdrawn",BF65="Invalid",BF65="Quashed"),IF(OR(G65="Complete",G65="On Site",G65="Part Complete"),"Conflict – register not live but CIS says built","Conflict – not live in register"),IF(AND(G65="Plans Submitted",OR(BF65="Granted",BF65="Granted on appeal")),"Stage out of date – now granted",IF(AND(G65&lt;&gt;"Plans Submitted",OR(BF65="Pending",BF65="Under appeal")),"Check – register still pending",IF(N(BL65)&gt;Method!$B$7,"Check – location differs",IF(AND(BP65&lt;&gt;"",ABS(N(BP65))&gt;60),"Consistent – decision date differs","Consistent"))))))))</f>
        <v>Consistent</v>
      </c>
      <c r="BS65" s="2"/>
      <c r="BT65" s="2"/>
      <c r="BU65" s="2"/>
      <c r="BV65" s="2"/>
      <c r="BW65" s="2"/>
      <c r="BX65" s="2"/>
    </row>
    <row r="66" customFormat="false" ht="15" hidden="false" customHeight="false" outlineLevel="0" collapsed="false">
      <c r="A66" s="2" t="n">
        <v>1286254</v>
      </c>
      <c r="B66" s="2" t="s">
        <v>224</v>
      </c>
      <c r="C66" s="2" t="s">
        <v>1268</v>
      </c>
      <c r="D66" s="2" t="s">
        <v>225</v>
      </c>
      <c r="E66" s="2" t="s">
        <v>226</v>
      </c>
      <c r="F66" s="2" t="s">
        <v>139</v>
      </c>
      <c r="G66" s="2" t="s">
        <v>208</v>
      </c>
      <c r="H66" s="2" t="s">
        <v>1014</v>
      </c>
      <c r="I66" s="2" t="s">
        <v>198</v>
      </c>
      <c r="J66" s="22" t="n">
        <v>45041</v>
      </c>
      <c r="K66" s="22" t="n">
        <v>45189</v>
      </c>
      <c r="L66" s="22" t="n">
        <v>46251.2655715625</v>
      </c>
      <c r="M66" s="2" t="s">
        <v>1016</v>
      </c>
      <c r="N66" s="2" t="s">
        <v>121</v>
      </c>
      <c r="O66" s="2"/>
      <c r="P66" s="2" t="s">
        <v>1017</v>
      </c>
      <c r="Q66" s="10" t="n">
        <v>14</v>
      </c>
      <c r="R66" s="10" t="n">
        <v>13</v>
      </c>
      <c r="S66" s="10"/>
      <c r="T66" s="2" t="s">
        <v>120</v>
      </c>
      <c r="U66" s="2"/>
      <c r="V66" s="2" t="s">
        <v>1029</v>
      </c>
      <c r="W66" s="2" t="s">
        <v>1030</v>
      </c>
      <c r="X66" s="7"/>
      <c r="Y66" s="2" t="str">
        <f aca="false">IF(X66&lt;&gt;"",X66,T66)</f>
        <v>Primary</v>
      </c>
      <c r="Z66" s="2" t="str">
        <f aca="false">IF(OR(Y66="Primary",Y66="Additional phase",Y66="Additional application on site",Y66="Replaces earlier",Y66="Extension of duration (parent not in CIS)"),"Yes","No")</f>
        <v>Yes</v>
      </c>
      <c r="AA66" s="2" t="n">
        <v>2</v>
      </c>
      <c r="AB66" s="2" t="n">
        <f aca="false">IF(L66="","",ROUND((Method!$B$4-L66)/30.44,0))</f>
        <v>1</v>
      </c>
      <c r="AC66" s="2" t="str">
        <f aca="false">IF(AB66="","No",IF(AB66&gt;Method!$B$5,"Yes","No"))</f>
        <v>No</v>
      </c>
      <c r="AD66" s="22" t="n">
        <f aca="false">IF(BJ66&lt;&gt;"",BJ66,IF(K66&lt;&gt;"",EDATE(K66,60),""))</f>
        <v>47049</v>
      </c>
      <c r="AE66" s="2" t="str">
        <f aca="false">IF(AND(AD66&lt;&gt;"",OR(G66="Permission Granted",G66="Commencement Expected",G66="Stalled or Suspended")),IF(AD66&lt;Method!$B$4,"Yes","No"),"No")</f>
        <v>No</v>
      </c>
      <c r="AF66" s="7"/>
      <c r="AG66" s="2" t="str">
        <f aca="false">IF(Z66="No","Not counted",IF(AF66="Lapsed or dead","Excluded",IF(AF66="Constrained","Constrained / uncertain",IF(AF66="Confirmed live",IF(G66="On Site","Committed",IF(G66="Part Complete","Committed",IF(G66="Contract Awarded","Committed Pre-Construction",IF(G66="Tender","Advanced Pre-Construction",IF(G66="Commencement Expected","Likely",IF(G66="Permission Granted","Potential",IF(G66="Stalled or Suspended","Constrained / uncertain",IF(G66="Complete","Delivered","Application Pipeline")))))))),IF(G66="Complete","Delivered",IF(AND(OR(G66="Permission Granted",G66="Commencement Expected"),OR(AC66="Yes",AE66="Yes")),"Constrained / uncertain",IF(G66="On Site","Committed",IF(G66="Part Complete","Committed",IF(G66="Contract Awarded","Committed Pre-Construction",IF(G66="Tender","Advanced Pre-Construction",IF(G66="Commencement Expected","Likely",IF(G66="Permission Granted","Potential",IF(G66="Stalled or Suspended","Constrained / uncertain",IF(G66="Complete","Delivered","Application Pipeline"))))))))))))))</f>
        <v>Committed</v>
      </c>
      <c r="AH66" s="2" t="str">
        <f aca="false">IF(Z66="No","Relationship: "&amp;Y66,IF(AF66&lt;&gt;"","Analyst: "&amp;AF66,IF(G66="Complete","Complete",IF(AND(OR(G66="Permission Granted",G66="Commencement Expected"),AE66="Yes"),"Past expiry",IF(AND(OR(G66="Permission Granted",G66="Commencement Expected"),AC66="Yes"),"No CIS update in "&amp;AB66&amp;" months","As CIS")))))</f>
        <v>As CIS</v>
      </c>
      <c r="AI66" s="10" t="n">
        <f aca="false">IF(Z66="Yes",N(Q66),0)</f>
        <v>14</v>
      </c>
      <c r="AJ66" s="10" t="n">
        <f aca="false">IF(OR(Z66="No",G66="Complete"),0,MAX(N(Q66)-N(AA66),0))</f>
        <v>12</v>
      </c>
      <c r="AK66" s="10" t="n">
        <f aca="false">IF(Z66="No",0,IF(G66="Complete",N(Q66),MIN(N(AA66),N(Q66))))</f>
        <v>2</v>
      </c>
      <c r="AL66" s="10" t="n">
        <f aca="false">IF(OR(OR(AG66="Not counted",AG66="Excluded",AG66="Delivered"),P66="Student accommodation"),0,AJ66)</f>
        <v>12</v>
      </c>
      <c r="AM66" s="10" t="n">
        <f aca="false">IF(OR(OR(AG66="Not counted",AG66="Excluded",AG66="Delivered"),P66&lt;&gt;"Student accommodation"),0,AJ66)</f>
        <v>0</v>
      </c>
      <c r="AN66" s="10" t="n">
        <f aca="false">IF(OR(AG66="Not counted",AG66="Excluded",AG66="Delivered"),0,N(S66))</f>
        <v>0</v>
      </c>
      <c r="AO66" s="2" t="s">
        <v>1157</v>
      </c>
      <c r="AP66" s="10"/>
      <c r="AQ66" s="10"/>
      <c r="AR66" s="10" t="n">
        <v>14</v>
      </c>
      <c r="AS66" s="10"/>
      <c r="AT66" s="10"/>
      <c r="AU66" s="10"/>
      <c r="AV66" s="10" t="n">
        <f aca="false">N(AP66)+N(AQ66)+N(AR66)+N(AS66)+N(AT66)+N(AU66)</f>
        <v>14</v>
      </c>
      <c r="AW66" s="10" t="n">
        <v>14</v>
      </c>
      <c r="AX66" s="10"/>
      <c r="AY66" s="10"/>
      <c r="AZ66" s="2"/>
      <c r="BA66" s="2" t="s">
        <v>1022</v>
      </c>
      <c r="BB66" s="2" t="s">
        <v>1268</v>
      </c>
      <c r="BC66" s="2" t="s">
        <v>1023</v>
      </c>
      <c r="BD66" s="2" t="s">
        <v>1024</v>
      </c>
      <c r="BE66" s="2"/>
      <c r="BF66" s="2" t="s">
        <v>1025</v>
      </c>
      <c r="BG66" s="22" t="n">
        <v>45189</v>
      </c>
      <c r="BH66" s="22" t="n">
        <v>47049</v>
      </c>
      <c r="BI66" s="2"/>
      <c r="BJ66" s="22" t="n">
        <v>47049</v>
      </c>
      <c r="BK66" s="2" t="n">
        <v>13</v>
      </c>
      <c r="BL66" s="2" t="n">
        <v>0</v>
      </c>
      <c r="BM66" s="2"/>
      <c r="BN66" s="2" t="s">
        <v>1269</v>
      </c>
      <c r="BO66" s="23" t="s">
        <v>1270</v>
      </c>
      <c r="BP66" s="2" t="n">
        <f aca="false">IF(OR(K66="",BG66=""),"",ROUND(BG66-K66,0))</f>
        <v>0</v>
      </c>
      <c r="BQ66" s="2" t="str">
        <f aca="false">IF(OR(N(BK66)=0,Q66=""),"Not recorded",IF(BK66=Q66,"Match","Differs"))</f>
        <v>Differs</v>
      </c>
      <c r="BR66" s="2" t="str">
        <f aca="false">IF(N66="No","Excluded (non-residential)",IF(BF66="No reference","Unverified – no reference",IF(BF66="Not in council register","Unverified – not in register (Part 8 / other)",IF(OR(BF66="Refused",BF66="Refused on appeal",BF66="Withdrawn",BF66="Invalid",BF66="Quashed"),IF(OR(G66="Complete",G66="On Site",G66="Part Complete"),"Conflict – register not live but CIS says built","Conflict – not live in register"),IF(AND(G66="Plans Submitted",OR(BF66="Granted",BF66="Granted on appeal")),"Stage out of date – now granted",IF(AND(G66&lt;&gt;"Plans Submitted",OR(BF66="Pending",BF66="Under appeal")),"Check – register still pending",IF(N(BL66)&gt;Method!$B$7,"Check – location differs",IF(AND(BP66&lt;&gt;"",ABS(N(BP66))&gt;60),"Consistent – decision date differs","Consistent"))))))))</f>
        <v>Consistent</v>
      </c>
      <c r="BS66" s="2"/>
      <c r="BT66" s="2"/>
      <c r="BU66" s="2"/>
      <c r="BV66" s="2"/>
      <c r="BW66" s="2"/>
      <c r="BX66" s="2"/>
    </row>
    <row r="67" customFormat="false" ht="15" hidden="false" customHeight="false" outlineLevel="0" collapsed="false">
      <c r="A67" s="2" t="n">
        <v>1290708</v>
      </c>
      <c r="B67" s="2" t="s">
        <v>523</v>
      </c>
      <c r="C67" s="2" t="s">
        <v>1271</v>
      </c>
      <c r="D67" s="2" t="s">
        <v>524</v>
      </c>
      <c r="E67" s="2" t="s">
        <v>525</v>
      </c>
      <c r="F67" s="2" t="s">
        <v>139</v>
      </c>
      <c r="G67" s="2" t="s">
        <v>187</v>
      </c>
      <c r="H67" s="2" t="s">
        <v>1014</v>
      </c>
      <c r="I67" s="2"/>
      <c r="J67" s="22" t="n">
        <v>45069</v>
      </c>
      <c r="K67" s="22" t="n">
        <v>45124</v>
      </c>
      <c r="L67" s="22" t="n">
        <v>45162.4339488426</v>
      </c>
      <c r="M67" s="2" t="s">
        <v>1016</v>
      </c>
      <c r="N67" s="2" t="s">
        <v>121</v>
      </c>
      <c r="O67" s="2"/>
      <c r="P67" s="2" t="s">
        <v>1017</v>
      </c>
      <c r="Q67" s="10" t="n">
        <v>21</v>
      </c>
      <c r="R67" s="10" t="n">
        <v>21</v>
      </c>
      <c r="S67" s="10"/>
      <c r="T67" s="2" t="s">
        <v>30</v>
      </c>
      <c r="U67" s="2"/>
      <c r="V67" s="2" t="s">
        <v>1080</v>
      </c>
      <c r="W67" s="2" t="s">
        <v>1020</v>
      </c>
      <c r="X67" s="7"/>
      <c r="Y67" s="2" t="str">
        <f aca="false">IF(X67&lt;&gt;"",X67,T67)</f>
        <v>Additional application on site</v>
      </c>
      <c r="Z67" s="2" t="str">
        <f aca="false">IF(OR(Y67="Primary",Y67="Additional phase",Y67="Additional application on site",Y67="Replaces earlier",Y67="Extension of duration (parent not in CIS)"),"Yes","No")</f>
        <v>Yes</v>
      </c>
      <c r="AA67" s="2"/>
      <c r="AB67" s="2" t="n">
        <f aca="false">IF(L67="","",ROUND((Method!$B$4-L67)/30.44,0))</f>
        <v>37</v>
      </c>
      <c r="AC67" s="2" t="str">
        <f aca="false">IF(AB67="","No",IF(AB67&gt;Method!$B$5,"Yes","No"))</f>
        <v>Yes</v>
      </c>
      <c r="AD67" s="22" t="n">
        <f aca="false">IF(BJ67&lt;&gt;"",BJ67,IF(K67&lt;&gt;"",EDATE(K67,60),""))</f>
        <v>47307</v>
      </c>
      <c r="AE67" s="2" t="str">
        <f aca="false">IF(AND(AD67&lt;&gt;"",OR(G67="Permission Granted",G67="Commencement Expected",G67="Stalled or Suspended")),IF(AD67&lt;Method!$B$4,"Yes","No"),"No")</f>
        <v>No</v>
      </c>
      <c r="AF67" s="7"/>
      <c r="AG67" s="2" t="str">
        <f aca="false">IF(Z67="No","Not counted",IF(AF67="Lapsed or dead","Excluded",IF(AF67="Constrained","Constrained / uncertain",IF(AF67="Confirmed live",IF(G67="On Site","Committed",IF(G67="Part Complete","Committed",IF(G67="Contract Awarded","Committed Pre-Construction",IF(G67="Tender","Advanced Pre-Construction",IF(G67="Commencement Expected","Likely",IF(G67="Permission Granted","Potential",IF(G67="Stalled or Suspended","Constrained / uncertain",IF(G67="Complete","Delivered","Application Pipeline")))))))),IF(G67="Complete","Delivered",IF(AND(OR(G67="Permission Granted",G67="Commencement Expected"),OR(AC67="Yes",AE67="Yes")),"Constrained / uncertain",IF(G67="On Site","Committed",IF(G67="Part Complete","Committed",IF(G67="Contract Awarded","Committed Pre-Construction",IF(G67="Tender","Advanced Pre-Construction",IF(G67="Commencement Expected","Likely",IF(G67="Permission Granted","Potential",IF(G67="Stalled or Suspended","Constrained / uncertain",IF(G67="Complete","Delivered","Application Pipeline"))))))))))))))</f>
        <v>Constrained / uncertain</v>
      </c>
      <c r="AH67" s="2" t="str">
        <f aca="false">IF(Z67="No","Relationship: "&amp;Y67,IF(AF67&lt;&gt;"","Analyst: "&amp;AF67,IF(G67="Complete","Complete",IF(AND(OR(G67="Permission Granted",G67="Commencement Expected"),AE67="Yes"),"Past expiry",IF(AND(OR(G67="Permission Granted",G67="Commencement Expected"),AC67="Yes"),"No CIS update in "&amp;AB67&amp;" months","As CIS")))))</f>
        <v>No CIS update in 37 months</v>
      </c>
      <c r="AI67" s="10" t="n">
        <f aca="false">IF(Z67="Yes",N(Q67),0)</f>
        <v>21</v>
      </c>
      <c r="AJ67" s="10" t="n">
        <f aca="false">IF(OR(Z67="No",G67="Complete"),0,MAX(N(Q67)-N(AA67),0))</f>
        <v>21</v>
      </c>
      <c r="AK67" s="10" t="n">
        <f aca="false">IF(Z67="No",0,IF(G67="Complete",N(Q67),MIN(N(AA67),N(Q67))))</f>
        <v>0</v>
      </c>
      <c r="AL67" s="10" t="n">
        <f aca="false">IF(OR(OR(AG67="Not counted",AG67="Excluded",AG67="Delivered"),P67="Student accommodation"),0,AJ67)</f>
        <v>21</v>
      </c>
      <c r="AM67" s="10" t="n">
        <f aca="false">IF(OR(OR(AG67="Not counted",AG67="Excluded",AG67="Delivered"),P67&lt;&gt;"Student accommodation"),0,AJ67)</f>
        <v>0</v>
      </c>
      <c r="AN67" s="10" t="n">
        <f aca="false">IF(OR(AG67="Not counted",AG67="Excluded",AG67="Delivered"),0,N(S67))</f>
        <v>0</v>
      </c>
      <c r="AO67" s="2" t="s">
        <v>1157</v>
      </c>
      <c r="AP67" s="10"/>
      <c r="AQ67" s="10" t="n">
        <v>18</v>
      </c>
      <c r="AR67" s="10" t="n">
        <v>3</v>
      </c>
      <c r="AS67" s="10"/>
      <c r="AT67" s="10"/>
      <c r="AU67" s="10"/>
      <c r="AV67" s="10" t="n">
        <f aca="false">N(AP67)+N(AQ67)+N(AR67)+N(AS67)+N(AT67)+N(AU67)</f>
        <v>21</v>
      </c>
      <c r="AW67" s="10"/>
      <c r="AX67" s="10" t="n">
        <v>21</v>
      </c>
      <c r="AY67" s="10"/>
      <c r="AZ67" s="2"/>
      <c r="BA67" s="2" t="s">
        <v>1022</v>
      </c>
      <c r="BB67" s="2" t="s">
        <v>1271</v>
      </c>
      <c r="BC67" s="2" t="s">
        <v>1023</v>
      </c>
      <c r="BD67" s="2" t="s">
        <v>1024</v>
      </c>
      <c r="BE67" s="2" t="s">
        <v>1024</v>
      </c>
      <c r="BF67" s="2" t="s">
        <v>1059</v>
      </c>
      <c r="BG67" s="22" t="n">
        <v>45124</v>
      </c>
      <c r="BH67" s="22" t="n">
        <v>47307</v>
      </c>
      <c r="BI67" s="2"/>
      <c r="BJ67" s="22" t="n">
        <v>47307</v>
      </c>
      <c r="BK67" s="2"/>
      <c r="BL67" s="2" t="n">
        <v>0</v>
      </c>
      <c r="BM67" s="2"/>
      <c r="BN67" s="2" t="s">
        <v>1272</v>
      </c>
      <c r="BO67" s="23" t="s">
        <v>1273</v>
      </c>
      <c r="BP67" s="2" t="n">
        <f aca="false">IF(OR(K67="",BG67=""),"",ROUND(BG67-K67,0))</f>
        <v>0</v>
      </c>
      <c r="BQ67" s="2" t="str">
        <f aca="false">IF(OR(N(BK67)=0,Q67=""),"Not recorded",IF(BK67=Q67,"Match","Differs"))</f>
        <v>Not recorded</v>
      </c>
      <c r="BR67" s="2" t="str">
        <f aca="false">IF(N67="No","Excluded (non-residential)",IF(BF67="No reference","Unverified – no reference",IF(BF67="Not in council register","Unverified – not in register (Part 8 / other)",IF(OR(BF67="Refused",BF67="Refused on appeal",BF67="Withdrawn",BF67="Invalid",BF67="Quashed"),IF(OR(G67="Complete",G67="On Site",G67="Part Complete"),"Conflict – register not live but CIS says built","Conflict – not live in register"),IF(AND(G67="Plans Submitted",OR(BF67="Granted",BF67="Granted on appeal")),"Stage out of date – now granted",IF(AND(G67&lt;&gt;"Plans Submitted",OR(BF67="Pending",BF67="Under appeal")),"Check – register still pending",IF(N(BL67)&gt;Method!$B$7,"Check – location differs",IF(AND(BP67&lt;&gt;"",ABS(N(BP67))&gt;60),"Consistent – decision date differs","Consistent"))))))))</f>
        <v>Consistent</v>
      </c>
      <c r="BS67" s="2"/>
      <c r="BT67" s="2"/>
      <c r="BU67" s="2"/>
      <c r="BV67" s="2"/>
      <c r="BW67" s="2"/>
      <c r="BX67" s="2"/>
    </row>
    <row r="68" customFormat="false" ht="15" hidden="false" customHeight="false" outlineLevel="0" collapsed="false">
      <c r="A68" s="2" t="n">
        <v>1292276</v>
      </c>
      <c r="B68" s="2" t="s">
        <v>535</v>
      </c>
      <c r="C68" s="2" t="s">
        <v>1274</v>
      </c>
      <c r="D68" s="2" t="s">
        <v>536</v>
      </c>
      <c r="E68" s="2" t="s">
        <v>537</v>
      </c>
      <c r="F68" s="2" t="s">
        <v>144</v>
      </c>
      <c r="G68" s="2" t="s">
        <v>187</v>
      </c>
      <c r="H68" s="2" t="s">
        <v>1014</v>
      </c>
      <c r="I68" s="2"/>
      <c r="J68" s="22" t="n">
        <v>45077</v>
      </c>
      <c r="K68" s="22" t="n">
        <v>45121</v>
      </c>
      <c r="L68" s="22" t="n">
        <v>45125.4528006945</v>
      </c>
      <c r="M68" s="2" t="s">
        <v>1016</v>
      </c>
      <c r="N68" s="2" t="s">
        <v>121</v>
      </c>
      <c r="O68" s="2"/>
      <c r="P68" s="2" t="s">
        <v>1017</v>
      </c>
      <c r="Q68" s="10" t="n">
        <v>4</v>
      </c>
      <c r="R68" s="10"/>
      <c r="S68" s="10"/>
      <c r="T68" s="2" t="s">
        <v>120</v>
      </c>
      <c r="U68" s="2"/>
      <c r="V68" s="2" t="s">
        <v>1029</v>
      </c>
      <c r="W68" s="2" t="s">
        <v>1030</v>
      </c>
      <c r="X68" s="7"/>
      <c r="Y68" s="2" t="str">
        <f aca="false">IF(X68&lt;&gt;"",X68,T68)</f>
        <v>Primary</v>
      </c>
      <c r="Z68" s="2" t="str">
        <f aca="false">IF(OR(Y68="Primary",Y68="Additional phase",Y68="Additional application on site",Y68="Replaces earlier",Y68="Extension of duration (parent not in CIS)"),"Yes","No")</f>
        <v>Yes</v>
      </c>
      <c r="AA68" s="2"/>
      <c r="AB68" s="2" t="n">
        <f aca="false">IF(L68="","",ROUND((Method!$B$4-L68)/30.44,0))</f>
        <v>38</v>
      </c>
      <c r="AC68" s="2" t="str">
        <f aca="false">IF(AB68="","No",IF(AB68&gt;Method!$B$5,"Yes","No"))</f>
        <v>Yes</v>
      </c>
      <c r="AD68" s="22" t="n">
        <f aca="false">IF(BJ68&lt;&gt;"",BJ68,IF(K68&lt;&gt;"",EDATE(K68,60),""))</f>
        <v>46980</v>
      </c>
      <c r="AE68" s="2" t="str">
        <f aca="false">IF(AND(AD68&lt;&gt;"",OR(G68="Permission Granted",G68="Commencement Expected",G68="Stalled or Suspended")),IF(AD68&lt;Method!$B$4,"Yes","No"),"No")</f>
        <v>No</v>
      </c>
      <c r="AF68" s="7"/>
      <c r="AG68" s="2" t="str">
        <f aca="false">IF(Z68="No","Not counted",IF(AF68="Lapsed or dead","Excluded",IF(AF68="Constrained","Constrained / uncertain",IF(AF68="Confirmed live",IF(G68="On Site","Committed",IF(G68="Part Complete","Committed",IF(G68="Contract Awarded","Committed Pre-Construction",IF(G68="Tender","Advanced Pre-Construction",IF(G68="Commencement Expected","Likely",IF(G68="Permission Granted","Potential",IF(G68="Stalled or Suspended","Constrained / uncertain",IF(G68="Complete","Delivered","Application Pipeline")))))))),IF(G68="Complete","Delivered",IF(AND(OR(G68="Permission Granted",G68="Commencement Expected"),OR(AC68="Yes",AE68="Yes")),"Constrained / uncertain",IF(G68="On Site","Committed",IF(G68="Part Complete","Committed",IF(G68="Contract Awarded","Committed Pre-Construction",IF(G68="Tender","Advanced Pre-Construction",IF(G68="Commencement Expected","Likely",IF(G68="Permission Granted","Potential",IF(G68="Stalled or Suspended","Constrained / uncertain",IF(G68="Complete","Delivered","Application Pipeline"))))))))))))))</f>
        <v>Constrained / uncertain</v>
      </c>
      <c r="AH68" s="2" t="str">
        <f aca="false">IF(Z68="No","Relationship: "&amp;Y68,IF(AF68&lt;&gt;"","Analyst: "&amp;AF68,IF(G68="Complete","Complete",IF(AND(OR(G68="Permission Granted",G68="Commencement Expected"),AE68="Yes"),"Past expiry",IF(AND(OR(G68="Permission Granted",G68="Commencement Expected"),AC68="Yes"),"No CIS update in "&amp;AB68&amp;" months","As CIS")))))</f>
        <v>No CIS update in 38 months</v>
      </c>
      <c r="AI68" s="10" t="n">
        <f aca="false">IF(Z68="Yes",N(Q68),0)</f>
        <v>4</v>
      </c>
      <c r="AJ68" s="10" t="n">
        <f aca="false">IF(OR(Z68="No",G68="Complete"),0,MAX(N(Q68)-N(AA68),0))</f>
        <v>4</v>
      </c>
      <c r="AK68" s="10" t="n">
        <f aca="false">IF(Z68="No",0,IF(G68="Complete",N(Q68),MIN(N(AA68),N(Q68))))</f>
        <v>0</v>
      </c>
      <c r="AL68" s="10" t="n">
        <f aca="false">IF(OR(OR(AG68="Not counted",AG68="Excluded",AG68="Delivered"),P68="Student accommodation"),0,AJ68)</f>
        <v>4</v>
      </c>
      <c r="AM68" s="10" t="n">
        <f aca="false">IF(OR(OR(AG68="Not counted",AG68="Excluded",AG68="Delivered"),P68&lt;&gt;"Student accommodation"),0,AJ68)</f>
        <v>0</v>
      </c>
      <c r="AN68" s="10" t="n">
        <f aca="false">IF(OR(AG68="Not counted",AG68="Excluded",AG68="Delivered"),0,N(S68))</f>
        <v>0</v>
      </c>
      <c r="AO68" s="2" t="s">
        <v>1031</v>
      </c>
      <c r="AP68" s="10"/>
      <c r="AQ68" s="10" t="n">
        <v>2</v>
      </c>
      <c r="AR68" s="10" t="n">
        <v>2</v>
      </c>
      <c r="AS68" s="10"/>
      <c r="AT68" s="10"/>
      <c r="AU68" s="10"/>
      <c r="AV68" s="10" t="n">
        <f aca="false">N(AP68)+N(AQ68)+N(AR68)+N(AS68)+N(AT68)+N(AU68)</f>
        <v>4</v>
      </c>
      <c r="AW68" s="10"/>
      <c r="AX68" s="10" t="n">
        <v>4</v>
      </c>
      <c r="AY68" s="10"/>
      <c r="AZ68" s="2"/>
      <c r="BA68" s="2" t="s">
        <v>1022</v>
      </c>
      <c r="BB68" s="2" t="s">
        <v>1274</v>
      </c>
      <c r="BC68" s="2" t="s">
        <v>1023</v>
      </c>
      <c r="BD68" s="2" t="s">
        <v>1024</v>
      </c>
      <c r="BE68" s="2"/>
      <c r="BF68" s="2" t="s">
        <v>1025</v>
      </c>
      <c r="BG68" s="22" t="n">
        <v>45121</v>
      </c>
      <c r="BH68" s="22" t="n">
        <v>46980</v>
      </c>
      <c r="BI68" s="2"/>
      <c r="BJ68" s="22" t="n">
        <v>46980</v>
      </c>
      <c r="BK68" s="2"/>
      <c r="BL68" s="2" t="n">
        <v>0</v>
      </c>
      <c r="BM68" s="2"/>
      <c r="BN68" s="2" t="s">
        <v>1275</v>
      </c>
      <c r="BO68" s="23" t="s">
        <v>1276</v>
      </c>
      <c r="BP68" s="2" t="n">
        <f aca="false">IF(OR(K68="",BG68=""),"",ROUND(BG68-K68,0))</f>
        <v>0</v>
      </c>
      <c r="BQ68" s="2" t="str">
        <f aca="false">IF(OR(N(BK68)=0,Q68=""),"Not recorded",IF(BK68=Q68,"Match","Differs"))</f>
        <v>Not recorded</v>
      </c>
      <c r="BR68" s="2" t="str">
        <f aca="false">IF(N68="No","Excluded (non-residential)",IF(BF68="No reference","Unverified – no reference",IF(BF68="Not in council register","Unverified – not in register (Part 8 / other)",IF(OR(BF68="Refused",BF68="Refused on appeal",BF68="Withdrawn",BF68="Invalid",BF68="Quashed"),IF(OR(G68="Complete",G68="On Site",G68="Part Complete"),"Conflict – register not live but CIS says built","Conflict – not live in register"),IF(AND(G68="Plans Submitted",OR(BF68="Granted",BF68="Granted on appeal")),"Stage out of date – now granted",IF(AND(G68&lt;&gt;"Plans Submitted",OR(BF68="Pending",BF68="Under appeal")),"Check – register still pending",IF(N(BL68)&gt;Method!$B$7,"Check – location differs",IF(AND(BP68&lt;&gt;"",ABS(N(BP68))&gt;60),"Consistent – decision date differs","Consistent"))))))))</f>
        <v>Consistent</v>
      </c>
      <c r="BS68" s="2"/>
      <c r="BT68" s="2"/>
      <c r="BU68" s="2"/>
      <c r="BV68" s="2"/>
      <c r="BW68" s="2"/>
      <c r="BX68" s="2"/>
    </row>
    <row r="69" customFormat="false" ht="15" hidden="false" customHeight="false" outlineLevel="0" collapsed="false">
      <c r="A69" s="2" t="n">
        <v>1299520</v>
      </c>
      <c r="B69" s="2" t="s">
        <v>490</v>
      </c>
      <c r="C69" s="2" t="s">
        <v>1277</v>
      </c>
      <c r="D69" s="2" t="s">
        <v>491</v>
      </c>
      <c r="E69" s="2" t="s">
        <v>492</v>
      </c>
      <c r="F69" s="2" t="s">
        <v>144</v>
      </c>
      <c r="G69" s="2" t="s">
        <v>194</v>
      </c>
      <c r="H69" s="2" t="s">
        <v>1014</v>
      </c>
      <c r="I69" s="2" t="s">
        <v>198</v>
      </c>
      <c r="J69" s="22" t="n">
        <v>45120</v>
      </c>
      <c r="K69" s="22" t="n">
        <v>45251</v>
      </c>
      <c r="L69" s="22" t="n">
        <v>45385.4343448727</v>
      </c>
      <c r="M69" s="2" t="s">
        <v>1016</v>
      </c>
      <c r="N69" s="2" t="s">
        <v>121</v>
      </c>
      <c r="O69" s="2"/>
      <c r="P69" s="2" t="s">
        <v>1017</v>
      </c>
      <c r="Q69" s="10" t="n">
        <v>3</v>
      </c>
      <c r="R69" s="10"/>
      <c r="S69" s="10"/>
      <c r="T69" s="2" t="s">
        <v>120</v>
      </c>
      <c r="U69" s="2"/>
      <c r="V69" s="2" t="s">
        <v>1029</v>
      </c>
      <c r="W69" s="2" t="s">
        <v>1030</v>
      </c>
      <c r="X69" s="7"/>
      <c r="Y69" s="2" t="str">
        <f aca="false">IF(X69&lt;&gt;"",X69,T69)</f>
        <v>Primary</v>
      </c>
      <c r="Z69" s="2" t="str">
        <f aca="false">IF(OR(Y69="Primary",Y69="Additional phase",Y69="Additional application on site",Y69="Replaces earlier",Y69="Extension of duration (parent not in CIS)"),"Yes","No")</f>
        <v>Yes</v>
      </c>
      <c r="AA69" s="2"/>
      <c r="AB69" s="2" t="n">
        <f aca="false">IF(L69="","",ROUND((Method!$B$4-L69)/30.44,0))</f>
        <v>30</v>
      </c>
      <c r="AC69" s="2" t="str">
        <f aca="false">IF(AB69="","No",IF(AB69&gt;Method!$B$5,"Yes","No"))</f>
        <v>Yes</v>
      </c>
      <c r="AD69" s="22" t="n">
        <f aca="false">IF(BJ69&lt;&gt;"",BJ69,IF(K69&lt;&gt;"",EDATE(K69,60),""))</f>
        <v>47119</v>
      </c>
      <c r="AE69" s="2" t="str">
        <f aca="false">IF(AND(AD69&lt;&gt;"",OR(G69="Permission Granted",G69="Commencement Expected",G69="Stalled or Suspended")),IF(AD69&lt;Method!$B$4,"Yes","No"),"No")</f>
        <v>No</v>
      </c>
      <c r="AF69" s="7"/>
      <c r="AG69" s="2" t="str">
        <f aca="false">IF(Z69="No","Not counted",IF(AF69="Lapsed or dead","Excluded",IF(AF69="Constrained","Constrained / uncertain",IF(AF69="Confirmed live",IF(G69="On Site","Committed",IF(G69="Part Complete","Committed",IF(G69="Contract Awarded","Committed Pre-Construction",IF(G69="Tender","Advanced Pre-Construction",IF(G69="Commencement Expected","Likely",IF(G69="Permission Granted","Potential",IF(G69="Stalled or Suspended","Constrained / uncertain",IF(G69="Complete","Delivered","Application Pipeline")))))))),IF(G69="Complete","Delivered",IF(AND(OR(G69="Permission Granted",G69="Commencement Expected"),OR(AC69="Yes",AE69="Yes")),"Constrained / uncertain",IF(G69="On Site","Committed",IF(G69="Part Complete","Committed",IF(G69="Contract Awarded","Committed Pre-Construction",IF(G69="Tender","Advanced Pre-Construction",IF(G69="Commencement Expected","Likely",IF(G69="Permission Granted","Potential",IF(G69="Stalled or Suspended","Constrained / uncertain",IF(G69="Complete","Delivered","Application Pipeline"))))))))))))))</f>
        <v>Constrained / uncertain</v>
      </c>
      <c r="AH69" s="2" t="str">
        <f aca="false">IF(Z69="No","Relationship: "&amp;Y69,IF(AF69&lt;&gt;"","Analyst: "&amp;AF69,IF(G69="Complete","Complete",IF(AND(OR(G69="Permission Granted",G69="Commencement Expected"),AE69="Yes"),"Past expiry",IF(AND(OR(G69="Permission Granted",G69="Commencement Expected"),AC69="Yes"),"No CIS update in "&amp;AB69&amp;" months","As CIS")))))</f>
        <v>No CIS update in 30 months</v>
      </c>
      <c r="AI69" s="10" t="n">
        <f aca="false">IF(Z69="Yes",N(Q69),0)</f>
        <v>3</v>
      </c>
      <c r="AJ69" s="10" t="n">
        <f aca="false">IF(OR(Z69="No",G69="Complete"),0,MAX(N(Q69)-N(AA69),0))</f>
        <v>3</v>
      </c>
      <c r="AK69" s="10" t="n">
        <f aca="false">IF(Z69="No",0,IF(G69="Complete",N(Q69),MIN(N(AA69),N(Q69))))</f>
        <v>0</v>
      </c>
      <c r="AL69" s="10" t="n">
        <f aca="false">IF(OR(OR(AG69="Not counted",AG69="Excluded",AG69="Delivered"),P69="Student accommodation"),0,AJ69)</f>
        <v>3</v>
      </c>
      <c r="AM69" s="10" t="n">
        <f aca="false">IF(OR(OR(AG69="Not counted",AG69="Excluded",AG69="Delivered"),P69&lt;&gt;"Student accommodation"),0,AJ69)</f>
        <v>0</v>
      </c>
      <c r="AN69" s="10" t="n">
        <f aca="false">IF(OR(AG69="Not counted",AG69="Excluded",AG69="Delivered"),0,N(S69))</f>
        <v>0</v>
      </c>
      <c r="AO69" s="2" t="s">
        <v>1021</v>
      </c>
      <c r="AP69" s="10"/>
      <c r="AQ69" s="10"/>
      <c r="AR69" s="10"/>
      <c r="AS69" s="10"/>
      <c r="AT69" s="10"/>
      <c r="AU69" s="10"/>
      <c r="AV69" s="10" t="n">
        <f aca="false">N(AP69)+N(AQ69)+N(AR69)+N(AS69)+N(AT69)+N(AU69)</f>
        <v>0</v>
      </c>
      <c r="AW69" s="10"/>
      <c r="AX69" s="10"/>
      <c r="AY69" s="10"/>
      <c r="AZ69" s="2"/>
      <c r="BA69" s="2" t="s">
        <v>1022</v>
      </c>
      <c r="BB69" s="2" t="s">
        <v>1277</v>
      </c>
      <c r="BC69" s="2" t="s">
        <v>1023</v>
      </c>
      <c r="BD69" s="2" t="s">
        <v>1024</v>
      </c>
      <c r="BE69" s="2"/>
      <c r="BF69" s="2" t="s">
        <v>1025</v>
      </c>
      <c r="BG69" s="22" t="n">
        <v>45251</v>
      </c>
      <c r="BH69" s="22" t="n">
        <v>47119</v>
      </c>
      <c r="BI69" s="2"/>
      <c r="BJ69" s="22" t="n">
        <v>47119</v>
      </c>
      <c r="BK69" s="2" t="n">
        <v>3</v>
      </c>
      <c r="BL69" s="2" t="n">
        <v>0</v>
      </c>
      <c r="BM69" s="2"/>
      <c r="BN69" s="2" t="s">
        <v>1278</v>
      </c>
      <c r="BO69" s="23" t="s">
        <v>1279</v>
      </c>
      <c r="BP69" s="2" t="n">
        <f aca="false">IF(OR(K69="",BG69=""),"",ROUND(BG69-K69,0))</f>
        <v>0</v>
      </c>
      <c r="BQ69" s="2" t="str">
        <f aca="false">IF(OR(N(BK69)=0,Q69=""),"Not recorded",IF(BK69=Q69,"Match","Differs"))</f>
        <v>Match</v>
      </c>
      <c r="BR69" s="2" t="str">
        <f aca="false">IF(N69="No","Excluded (non-residential)",IF(BF69="No reference","Unverified – no reference",IF(BF69="Not in council register","Unverified – not in register (Part 8 / other)",IF(OR(BF69="Refused",BF69="Refused on appeal",BF69="Withdrawn",BF69="Invalid",BF69="Quashed"),IF(OR(G69="Complete",G69="On Site",G69="Part Complete"),"Conflict – register not live but CIS says built","Conflict – not live in register"),IF(AND(G69="Plans Submitted",OR(BF69="Granted",BF69="Granted on appeal")),"Stage out of date – now granted",IF(AND(G69&lt;&gt;"Plans Submitted",OR(BF69="Pending",BF69="Under appeal")),"Check – register still pending",IF(N(BL69)&gt;Method!$B$7,"Check – location differs",IF(AND(BP69&lt;&gt;"",ABS(N(BP69))&gt;60),"Consistent – decision date differs","Consistent"))))))))</f>
        <v>Consistent</v>
      </c>
      <c r="BS69" s="2"/>
      <c r="BT69" s="2"/>
      <c r="BU69" s="2"/>
      <c r="BV69" s="2"/>
      <c r="BW69" s="2"/>
      <c r="BX69" s="2"/>
    </row>
    <row r="70" customFormat="false" ht="15" hidden="false" customHeight="false" outlineLevel="0" collapsed="false">
      <c r="A70" s="2" t="n">
        <v>1306162</v>
      </c>
      <c r="B70" s="2" t="s">
        <v>384</v>
      </c>
      <c r="C70" s="2" t="s">
        <v>1280</v>
      </c>
      <c r="D70" s="2" t="s">
        <v>385</v>
      </c>
      <c r="E70" s="2" t="s">
        <v>386</v>
      </c>
      <c r="F70" s="2" t="s">
        <v>139</v>
      </c>
      <c r="G70" s="2" t="s">
        <v>198</v>
      </c>
      <c r="H70" s="2" t="s">
        <v>1014</v>
      </c>
      <c r="I70" s="2" t="s">
        <v>198</v>
      </c>
      <c r="J70" s="22" t="n">
        <v>45163</v>
      </c>
      <c r="K70" s="22" t="n">
        <v>45265</v>
      </c>
      <c r="L70" s="22" t="n">
        <v>45896.3082389236</v>
      </c>
      <c r="M70" s="2" t="s">
        <v>1016</v>
      </c>
      <c r="N70" s="2" t="s">
        <v>121</v>
      </c>
      <c r="O70" s="2"/>
      <c r="P70" s="2" t="s">
        <v>1017</v>
      </c>
      <c r="Q70" s="10" t="n">
        <v>66</v>
      </c>
      <c r="R70" s="10" t="n">
        <v>66</v>
      </c>
      <c r="S70" s="10"/>
      <c r="T70" s="2" t="s">
        <v>120</v>
      </c>
      <c r="U70" s="2"/>
      <c r="V70" s="2" t="s">
        <v>1029</v>
      </c>
      <c r="W70" s="2" t="s">
        <v>1030</v>
      </c>
      <c r="X70" s="7"/>
      <c r="Y70" s="2" t="str">
        <f aca="false">IF(X70&lt;&gt;"",X70,T70)</f>
        <v>Primary</v>
      </c>
      <c r="Z70" s="2" t="str">
        <f aca="false">IF(OR(Y70="Primary",Y70="Additional phase",Y70="Additional application on site",Y70="Replaces earlier",Y70="Extension of duration (parent not in CIS)"),"Yes","No")</f>
        <v>Yes</v>
      </c>
      <c r="AA70" s="2"/>
      <c r="AB70" s="2" t="n">
        <f aca="false">IF(L70="","",ROUND((Method!$B$4-L70)/30.44,0))</f>
        <v>13</v>
      </c>
      <c r="AC70" s="2" t="str">
        <f aca="false">IF(AB70="","No",IF(AB70&gt;Method!$B$5,"Yes","No"))</f>
        <v>No</v>
      </c>
      <c r="AD70" s="22" t="n">
        <f aca="false">IF(BJ70&lt;&gt;"",BJ70,IF(K70&lt;&gt;"",EDATE(K70,60),""))</f>
        <v>47132</v>
      </c>
      <c r="AE70" s="2" t="str">
        <f aca="false">IF(AND(AD70&lt;&gt;"",OR(G70="Permission Granted",G70="Commencement Expected",G70="Stalled or Suspended")),IF(AD70&lt;Method!$B$4,"Yes","No"),"No")</f>
        <v>No</v>
      </c>
      <c r="AF70" s="7"/>
      <c r="AG70" s="2" t="str">
        <f aca="false">IF(Z70="No","Not counted",IF(AF70="Lapsed or dead","Excluded",IF(AF70="Constrained","Constrained / uncertain",IF(AF70="Confirmed live",IF(G70="On Site","Committed",IF(G70="Part Complete","Committed",IF(G70="Contract Awarded","Committed Pre-Construction",IF(G70="Tender","Advanced Pre-Construction",IF(G70="Commencement Expected","Likely",IF(G70="Permission Granted","Potential",IF(G70="Stalled or Suspended","Constrained / uncertain",IF(G70="Complete","Delivered","Application Pipeline")))))))),IF(G70="Complete","Delivered",IF(AND(OR(G70="Permission Granted",G70="Commencement Expected"),OR(AC70="Yes",AE70="Yes")),"Constrained / uncertain",IF(G70="On Site","Committed",IF(G70="Part Complete","Committed",IF(G70="Contract Awarded","Committed Pre-Construction",IF(G70="Tender","Advanced Pre-Construction",IF(G70="Commencement Expected","Likely",IF(G70="Permission Granted","Potential",IF(G70="Stalled or Suspended","Constrained / uncertain",IF(G70="Complete","Delivered","Application Pipeline"))))))))))))))</f>
        <v>Committed</v>
      </c>
      <c r="AH70" s="2" t="str">
        <f aca="false">IF(Z70="No","Relationship: "&amp;Y70,IF(AF70&lt;&gt;"","Analyst: "&amp;AF70,IF(G70="Complete","Complete",IF(AND(OR(G70="Permission Granted",G70="Commencement Expected"),AE70="Yes"),"Past expiry",IF(AND(OR(G70="Permission Granted",G70="Commencement Expected"),AC70="Yes"),"No CIS update in "&amp;AB70&amp;" months","As CIS")))))</f>
        <v>As CIS</v>
      </c>
      <c r="AI70" s="10" t="n">
        <f aca="false">IF(Z70="Yes",N(Q70),0)</f>
        <v>66</v>
      </c>
      <c r="AJ70" s="10" t="n">
        <f aca="false">IF(OR(Z70="No",G70="Complete"),0,MAX(N(Q70)-N(AA70),0))</f>
        <v>66</v>
      </c>
      <c r="AK70" s="10" t="n">
        <f aca="false">IF(Z70="No",0,IF(G70="Complete",N(Q70),MIN(N(AA70),N(Q70))))</f>
        <v>0</v>
      </c>
      <c r="AL70" s="10" t="n">
        <f aca="false">IF(OR(OR(AG70="Not counted",AG70="Excluded",AG70="Delivered"),P70="Student accommodation"),0,AJ70)</f>
        <v>66</v>
      </c>
      <c r="AM70" s="10" t="n">
        <f aca="false">IF(OR(OR(AG70="Not counted",AG70="Excluded",AG70="Delivered"),P70&lt;&gt;"Student accommodation"),0,AJ70)</f>
        <v>0</v>
      </c>
      <c r="AN70" s="10" t="n">
        <f aca="false">IF(OR(AG70="Not counted",AG70="Excluded",AG70="Delivered"),0,N(S70))</f>
        <v>0</v>
      </c>
      <c r="AO70" s="2" t="s">
        <v>1157</v>
      </c>
      <c r="AP70" s="10"/>
      <c r="AQ70" s="10" t="n">
        <v>12</v>
      </c>
      <c r="AR70" s="10" t="n">
        <v>21</v>
      </c>
      <c r="AS70" s="10" t="n">
        <v>23</v>
      </c>
      <c r="AT70" s="10" t="n">
        <v>10</v>
      </c>
      <c r="AU70" s="10"/>
      <c r="AV70" s="10" t="n">
        <f aca="false">N(AP70)+N(AQ70)+N(AR70)+N(AS70)+N(AT70)+N(AU70)</f>
        <v>66</v>
      </c>
      <c r="AW70" s="10" t="n">
        <v>66</v>
      </c>
      <c r="AX70" s="10"/>
      <c r="AY70" s="10"/>
      <c r="AZ70" s="2"/>
      <c r="BA70" s="2" t="s">
        <v>1022</v>
      </c>
      <c r="BB70" s="2" t="s">
        <v>1280</v>
      </c>
      <c r="BC70" s="2" t="s">
        <v>1023</v>
      </c>
      <c r="BD70" s="2" t="s">
        <v>1024</v>
      </c>
      <c r="BE70" s="2"/>
      <c r="BF70" s="2" t="s">
        <v>1025</v>
      </c>
      <c r="BG70" s="22" t="n">
        <v>45265</v>
      </c>
      <c r="BH70" s="22" t="n">
        <v>47132</v>
      </c>
      <c r="BI70" s="2"/>
      <c r="BJ70" s="22" t="n">
        <v>47132</v>
      </c>
      <c r="BK70" s="2" t="n">
        <v>66</v>
      </c>
      <c r="BL70" s="2" t="n">
        <v>0</v>
      </c>
      <c r="BM70" s="2"/>
      <c r="BN70" s="2" t="s">
        <v>1281</v>
      </c>
      <c r="BO70" s="23" t="s">
        <v>1282</v>
      </c>
      <c r="BP70" s="2" t="n">
        <f aca="false">IF(OR(K70="",BG70=""),"",ROUND(BG70-K70,0))</f>
        <v>0</v>
      </c>
      <c r="BQ70" s="2" t="str">
        <f aca="false">IF(OR(N(BK70)=0,Q70=""),"Not recorded",IF(BK70=Q70,"Match","Differs"))</f>
        <v>Match</v>
      </c>
      <c r="BR70" s="2" t="str">
        <f aca="false">IF(N70="No","Excluded (non-residential)",IF(BF70="No reference","Unverified – no reference",IF(BF70="Not in council register","Unverified – not in register (Part 8 / other)",IF(OR(BF70="Refused",BF70="Refused on appeal",BF70="Withdrawn",BF70="Invalid",BF70="Quashed"),IF(OR(G70="Complete",G70="On Site",G70="Part Complete"),"Conflict – register not live but CIS says built","Conflict – not live in register"),IF(AND(G70="Plans Submitted",OR(BF70="Granted",BF70="Granted on appeal")),"Stage out of date – now granted",IF(AND(G70&lt;&gt;"Plans Submitted",OR(BF70="Pending",BF70="Under appeal")),"Check – register still pending",IF(N(BL70)&gt;Method!$B$7,"Check – location differs",IF(AND(BP70&lt;&gt;"",ABS(N(BP70))&gt;60),"Consistent – decision date differs","Consistent"))))))))</f>
        <v>Consistent</v>
      </c>
      <c r="BS70" s="2"/>
      <c r="BT70" s="2"/>
      <c r="BU70" s="2"/>
      <c r="BV70" s="2"/>
      <c r="BW70" s="2"/>
      <c r="BX70" s="2"/>
    </row>
    <row r="71" customFormat="false" ht="15" hidden="false" customHeight="false" outlineLevel="0" collapsed="false">
      <c r="A71" s="2" t="n">
        <v>1310783</v>
      </c>
      <c r="B71" s="2" t="s">
        <v>450</v>
      </c>
      <c r="C71" s="2" t="s">
        <v>1283</v>
      </c>
      <c r="D71" s="2" t="s">
        <v>451</v>
      </c>
      <c r="E71" s="2" t="s">
        <v>452</v>
      </c>
      <c r="F71" s="2" t="s">
        <v>141</v>
      </c>
      <c r="G71" s="2" t="s">
        <v>453</v>
      </c>
      <c r="H71" s="2" t="s">
        <v>1014</v>
      </c>
      <c r="I71" s="2"/>
      <c r="J71" s="22" t="n">
        <v>45194</v>
      </c>
      <c r="K71" s="22" t="n">
        <v>45449</v>
      </c>
      <c r="L71" s="22" t="n">
        <v>45554.4933328704</v>
      </c>
      <c r="M71" s="2" t="s">
        <v>1016</v>
      </c>
      <c r="N71" s="2" t="s">
        <v>121</v>
      </c>
      <c r="O71" s="2"/>
      <c r="P71" s="2" t="s">
        <v>1017</v>
      </c>
      <c r="Q71" s="10" t="n">
        <v>53</v>
      </c>
      <c r="R71" s="10" t="n">
        <v>53</v>
      </c>
      <c r="S71" s="10"/>
      <c r="T71" s="2" t="s">
        <v>120</v>
      </c>
      <c r="U71" s="2"/>
      <c r="V71" s="2" t="s">
        <v>1029</v>
      </c>
      <c r="W71" s="2" t="s">
        <v>1030</v>
      </c>
      <c r="X71" s="7"/>
      <c r="Y71" s="2" t="str">
        <f aca="false">IF(X71&lt;&gt;"",X71,T71)</f>
        <v>Primary</v>
      </c>
      <c r="Z71" s="2" t="str">
        <f aca="false">IF(OR(Y71="Primary",Y71="Additional phase",Y71="Additional application on site",Y71="Replaces earlier",Y71="Extension of duration (parent not in CIS)"),"Yes","No")</f>
        <v>Yes</v>
      </c>
      <c r="AA71" s="2"/>
      <c r="AB71" s="2" t="n">
        <f aca="false">IF(L71="","",ROUND((Method!$B$4-L71)/30.44,0))</f>
        <v>24</v>
      </c>
      <c r="AC71" s="2" t="str">
        <f aca="false">IF(AB71="","No",IF(AB71&gt;Method!$B$5,"Yes","No"))</f>
        <v>No</v>
      </c>
      <c r="AD71" s="22" t="n">
        <f aca="false">IF(BJ71&lt;&gt;"",BJ71,IF(K71&lt;&gt;"",EDATE(K71,60),""))</f>
        <v>47307</v>
      </c>
      <c r="AE71" s="2" t="str">
        <f aca="false">IF(AND(AD71&lt;&gt;"",OR(G71="Permission Granted",G71="Commencement Expected",G71="Stalled or Suspended")),IF(AD71&lt;Method!$B$4,"Yes","No"),"No")</f>
        <v>No</v>
      </c>
      <c r="AF71" s="7"/>
      <c r="AG71" s="2" t="str">
        <f aca="false">IF(Z71="No","Not counted",IF(AF71="Lapsed or dead","Excluded",IF(AF71="Constrained","Constrained / uncertain",IF(AF71="Confirmed live",IF(G71="On Site","Committed",IF(G71="Part Complete","Committed",IF(G71="Contract Awarded","Committed Pre-Construction",IF(G71="Tender","Advanced Pre-Construction",IF(G71="Commencement Expected","Likely",IF(G71="Permission Granted","Potential",IF(G71="Stalled or Suspended","Constrained / uncertain",IF(G71="Complete","Delivered","Application Pipeline")))))))),IF(G71="Complete","Delivered",IF(AND(OR(G71="Permission Granted",G71="Commencement Expected"),OR(AC71="Yes",AE71="Yes")),"Constrained / uncertain",IF(G71="On Site","Committed",IF(G71="Part Complete","Committed",IF(G71="Contract Awarded","Committed Pre-Construction",IF(G71="Tender","Advanced Pre-Construction",IF(G71="Commencement Expected","Likely",IF(G71="Permission Granted","Potential",IF(G71="Stalled or Suspended","Constrained / uncertain",IF(G71="Complete","Delivered","Application Pipeline"))))))))))))))</f>
        <v>Constrained / uncertain</v>
      </c>
      <c r="AH71" s="2" t="str">
        <f aca="false">IF(Z71="No","Relationship: "&amp;Y71,IF(AF71&lt;&gt;"","Analyst: "&amp;AF71,IF(G71="Complete","Complete",IF(AND(OR(G71="Permission Granted",G71="Commencement Expected"),AE71="Yes"),"Past expiry",IF(AND(OR(G71="Permission Granted",G71="Commencement Expected"),AC71="Yes"),"No CIS update in "&amp;AB71&amp;" months","As CIS")))))</f>
        <v>As CIS</v>
      </c>
      <c r="AI71" s="10" t="n">
        <f aca="false">IF(Z71="Yes",N(Q71),0)</f>
        <v>53</v>
      </c>
      <c r="AJ71" s="10" t="n">
        <f aca="false">IF(OR(Z71="No",G71="Complete"),0,MAX(N(Q71)-N(AA71),0))</f>
        <v>53</v>
      </c>
      <c r="AK71" s="10" t="n">
        <f aca="false">IF(Z71="No",0,IF(G71="Complete",N(Q71),MIN(N(AA71),N(Q71))))</f>
        <v>0</v>
      </c>
      <c r="AL71" s="10" t="n">
        <f aca="false">IF(OR(OR(AG71="Not counted",AG71="Excluded",AG71="Delivered"),P71="Student accommodation"),0,AJ71)</f>
        <v>53</v>
      </c>
      <c r="AM71" s="10" t="n">
        <f aca="false">IF(OR(OR(AG71="Not counted",AG71="Excluded",AG71="Delivered"),P71&lt;&gt;"Student accommodation"),0,AJ71)</f>
        <v>0</v>
      </c>
      <c r="AN71" s="10" t="n">
        <f aca="false">IF(OR(AG71="Not counted",AG71="Excluded",AG71="Delivered"),0,N(S71))</f>
        <v>0</v>
      </c>
      <c r="AO71" s="2" t="s">
        <v>1031</v>
      </c>
      <c r="AP71" s="10"/>
      <c r="AQ71" s="10"/>
      <c r="AR71" s="10" t="n">
        <v>15</v>
      </c>
      <c r="AS71" s="10" t="n">
        <v>38</v>
      </c>
      <c r="AT71" s="10"/>
      <c r="AU71" s="10"/>
      <c r="AV71" s="10" t="n">
        <f aca="false">N(AP71)+N(AQ71)+N(AR71)+N(AS71)+N(AT71)+N(AU71)</f>
        <v>53</v>
      </c>
      <c r="AW71" s="10" t="n">
        <v>53</v>
      </c>
      <c r="AX71" s="10"/>
      <c r="AY71" s="10"/>
      <c r="AZ71" s="2"/>
      <c r="BA71" s="2" t="s">
        <v>1022</v>
      </c>
      <c r="BB71" s="2" t="s">
        <v>1283</v>
      </c>
      <c r="BC71" s="2" t="s">
        <v>1023</v>
      </c>
      <c r="BD71" s="2" t="s">
        <v>1024</v>
      </c>
      <c r="BE71" s="2"/>
      <c r="BF71" s="2" t="s">
        <v>1025</v>
      </c>
      <c r="BG71" s="22" t="n">
        <v>45449</v>
      </c>
      <c r="BH71" s="22" t="n">
        <v>47307</v>
      </c>
      <c r="BI71" s="2"/>
      <c r="BJ71" s="22" t="n">
        <v>47307</v>
      </c>
      <c r="BK71" s="2" t="n">
        <v>53</v>
      </c>
      <c r="BL71" s="2" t="n">
        <v>0</v>
      </c>
      <c r="BM71" s="2"/>
      <c r="BN71" s="2" t="s">
        <v>1284</v>
      </c>
      <c r="BO71" s="23" t="s">
        <v>1285</v>
      </c>
      <c r="BP71" s="2" t="n">
        <f aca="false">IF(OR(K71="",BG71=""),"",ROUND(BG71-K71,0))</f>
        <v>0</v>
      </c>
      <c r="BQ71" s="2" t="str">
        <f aca="false">IF(OR(N(BK71)=0,Q71=""),"Not recorded",IF(BK71=Q71,"Match","Differs"))</f>
        <v>Match</v>
      </c>
      <c r="BR71" s="2" t="str">
        <f aca="false">IF(N71="No","Excluded (non-residential)",IF(BF71="No reference","Unverified – no reference",IF(BF71="Not in council register","Unverified – not in register (Part 8 / other)",IF(OR(BF71="Refused",BF71="Refused on appeal",BF71="Withdrawn",BF71="Invalid",BF71="Quashed"),IF(OR(G71="Complete",G71="On Site",G71="Part Complete"),"Conflict – register not live but CIS says built","Conflict – not live in register"),IF(AND(G71="Plans Submitted",OR(BF71="Granted",BF71="Granted on appeal")),"Stage out of date – now granted",IF(AND(G71&lt;&gt;"Plans Submitted",OR(BF71="Pending",BF71="Under appeal")),"Check – register still pending",IF(N(BL71)&gt;Method!$B$7,"Check – location differs",IF(AND(BP71&lt;&gt;"",ABS(N(BP71))&gt;60),"Consistent – decision date differs","Consistent"))))))))</f>
        <v>Consistent</v>
      </c>
      <c r="BS71" s="2"/>
      <c r="BT71" s="2"/>
      <c r="BU71" s="2"/>
      <c r="BV71" s="2"/>
      <c r="BW71" s="2"/>
      <c r="BX71" s="2"/>
    </row>
    <row r="72" customFormat="false" ht="15" hidden="false" customHeight="false" outlineLevel="0" collapsed="false">
      <c r="A72" s="2" t="n">
        <v>1316492</v>
      </c>
      <c r="B72" s="2" t="s">
        <v>457</v>
      </c>
      <c r="C72" s="2" t="s">
        <v>1286</v>
      </c>
      <c r="D72" s="2" t="s">
        <v>458</v>
      </c>
      <c r="E72" s="2" t="s">
        <v>459</v>
      </c>
      <c r="F72" s="2" t="s">
        <v>134</v>
      </c>
      <c r="G72" s="2" t="s">
        <v>187</v>
      </c>
      <c r="H72" s="2" t="s">
        <v>1014</v>
      </c>
      <c r="I72" s="2"/>
      <c r="J72" s="22" t="n">
        <v>45231</v>
      </c>
      <c r="K72" s="22" t="n">
        <v>45385</v>
      </c>
      <c r="L72" s="22" t="n">
        <v>45532.3781452546</v>
      </c>
      <c r="M72" s="2" t="s">
        <v>1016</v>
      </c>
      <c r="N72" s="2" t="s">
        <v>121</v>
      </c>
      <c r="O72" s="2"/>
      <c r="P72" s="2" t="s">
        <v>1017</v>
      </c>
      <c r="Q72" s="10" t="n">
        <v>74</v>
      </c>
      <c r="R72" s="10" t="n">
        <v>74</v>
      </c>
      <c r="S72" s="10"/>
      <c r="T72" s="2" t="s">
        <v>120</v>
      </c>
      <c r="U72" s="2"/>
      <c r="V72" s="2" t="s">
        <v>1029</v>
      </c>
      <c r="W72" s="2" t="s">
        <v>1030</v>
      </c>
      <c r="X72" s="7"/>
      <c r="Y72" s="2" t="str">
        <f aca="false">IF(X72&lt;&gt;"",X72,T72)</f>
        <v>Primary</v>
      </c>
      <c r="Z72" s="2" t="str">
        <f aca="false">IF(OR(Y72="Primary",Y72="Additional phase",Y72="Additional application on site",Y72="Replaces earlier",Y72="Extension of duration (parent not in CIS)"),"Yes","No")</f>
        <v>Yes</v>
      </c>
      <c r="AA72" s="2"/>
      <c r="AB72" s="2" t="n">
        <f aca="false">IF(L72="","",ROUND((Method!$B$4-L72)/30.44,0))</f>
        <v>25</v>
      </c>
      <c r="AC72" s="2" t="str">
        <f aca="false">IF(AB72="","No",IF(AB72&gt;Method!$B$5,"Yes","No"))</f>
        <v>Yes</v>
      </c>
      <c r="AD72" s="22" t="n">
        <f aca="false">IF(BJ72&lt;&gt;"",BJ72,IF(K72&lt;&gt;"",EDATE(K72,60),""))</f>
        <v>47244</v>
      </c>
      <c r="AE72" s="2" t="str">
        <f aca="false">IF(AND(AD72&lt;&gt;"",OR(G72="Permission Granted",G72="Commencement Expected",G72="Stalled or Suspended")),IF(AD72&lt;Method!$B$4,"Yes","No"),"No")</f>
        <v>No</v>
      </c>
      <c r="AF72" s="7"/>
      <c r="AG72" s="2" t="str">
        <f aca="false">IF(Z72="No","Not counted",IF(AF72="Lapsed or dead","Excluded",IF(AF72="Constrained","Constrained / uncertain",IF(AF72="Confirmed live",IF(G72="On Site","Committed",IF(G72="Part Complete","Committed",IF(G72="Contract Awarded","Committed Pre-Construction",IF(G72="Tender","Advanced Pre-Construction",IF(G72="Commencement Expected","Likely",IF(G72="Permission Granted","Potential",IF(G72="Stalled or Suspended","Constrained / uncertain",IF(G72="Complete","Delivered","Application Pipeline")))))))),IF(G72="Complete","Delivered",IF(AND(OR(G72="Permission Granted",G72="Commencement Expected"),OR(AC72="Yes",AE72="Yes")),"Constrained / uncertain",IF(G72="On Site","Committed",IF(G72="Part Complete","Committed",IF(G72="Contract Awarded","Committed Pre-Construction",IF(G72="Tender","Advanced Pre-Construction",IF(G72="Commencement Expected","Likely",IF(G72="Permission Granted","Potential",IF(G72="Stalled or Suspended","Constrained / uncertain",IF(G72="Complete","Delivered","Application Pipeline"))))))))))))))</f>
        <v>Constrained / uncertain</v>
      </c>
      <c r="AH72" s="2" t="str">
        <f aca="false">IF(Z72="No","Relationship: "&amp;Y72,IF(AF72&lt;&gt;"","Analyst: "&amp;AF72,IF(G72="Complete","Complete",IF(AND(OR(G72="Permission Granted",G72="Commencement Expected"),AE72="Yes"),"Past expiry",IF(AND(OR(G72="Permission Granted",G72="Commencement Expected"),AC72="Yes"),"No CIS update in "&amp;AB72&amp;" months","As CIS")))))</f>
        <v>No CIS update in 25 months</v>
      </c>
      <c r="AI72" s="10" t="n">
        <f aca="false">IF(Z72="Yes",N(Q72),0)</f>
        <v>74</v>
      </c>
      <c r="AJ72" s="10" t="n">
        <f aca="false">IF(OR(Z72="No",G72="Complete"),0,MAX(N(Q72)-N(AA72),0))</f>
        <v>74</v>
      </c>
      <c r="AK72" s="10" t="n">
        <f aca="false">IF(Z72="No",0,IF(G72="Complete",N(Q72),MIN(N(AA72),N(Q72))))</f>
        <v>0</v>
      </c>
      <c r="AL72" s="10" t="n">
        <f aca="false">IF(OR(OR(AG72="Not counted",AG72="Excluded",AG72="Delivered"),P72="Student accommodation"),0,AJ72)</f>
        <v>74</v>
      </c>
      <c r="AM72" s="10" t="n">
        <f aca="false">IF(OR(OR(AG72="Not counted",AG72="Excluded",AG72="Delivered"),P72&lt;&gt;"Student accommodation"),0,AJ72)</f>
        <v>0</v>
      </c>
      <c r="AN72" s="10" t="n">
        <f aca="false">IF(OR(AG72="Not counted",AG72="Excluded",AG72="Delivered"),0,N(S72))</f>
        <v>0</v>
      </c>
      <c r="AO72" s="2" t="s">
        <v>1031</v>
      </c>
      <c r="AP72" s="10"/>
      <c r="AQ72" s="10"/>
      <c r="AR72" s="10" t="n">
        <v>6</v>
      </c>
      <c r="AS72" s="10" t="n">
        <v>59</v>
      </c>
      <c r="AT72" s="10" t="n">
        <v>9</v>
      </c>
      <c r="AU72" s="10"/>
      <c r="AV72" s="10" t="n">
        <f aca="false">N(AP72)+N(AQ72)+N(AR72)+N(AS72)+N(AT72)+N(AU72)</f>
        <v>74</v>
      </c>
      <c r="AW72" s="10" t="n">
        <v>74</v>
      </c>
      <c r="AX72" s="10"/>
      <c r="AY72" s="10"/>
      <c r="AZ72" s="2"/>
      <c r="BA72" s="2" t="s">
        <v>1022</v>
      </c>
      <c r="BB72" s="2" t="s">
        <v>1286</v>
      </c>
      <c r="BC72" s="2" t="s">
        <v>1023</v>
      </c>
      <c r="BD72" s="2" t="s">
        <v>1024</v>
      </c>
      <c r="BE72" s="2"/>
      <c r="BF72" s="2" t="s">
        <v>1025</v>
      </c>
      <c r="BG72" s="22" t="n">
        <v>45385</v>
      </c>
      <c r="BH72" s="22" t="n">
        <v>47244</v>
      </c>
      <c r="BI72" s="2"/>
      <c r="BJ72" s="22" t="n">
        <v>47244</v>
      </c>
      <c r="BK72" s="2" t="n">
        <v>74</v>
      </c>
      <c r="BL72" s="2" t="n">
        <v>0</v>
      </c>
      <c r="BM72" s="2"/>
      <c r="BN72" s="2" t="s">
        <v>1287</v>
      </c>
      <c r="BO72" s="23" t="s">
        <v>1288</v>
      </c>
      <c r="BP72" s="2" t="n">
        <f aca="false">IF(OR(K72="",BG72=""),"",ROUND(BG72-K72,0))</f>
        <v>0</v>
      </c>
      <c r="BQ72" s="2" t="str">
        <f aca="false">IF(OR(N(BK72)=0,Q72=""),"Not recorded",IF(BK72=Q72,"Match","Differs"))</f>
        <v>Match</v>
      </c>
      <c r="BR72" s="2" t="str">
        <f aca="false">IF(N72="No","Excluded (non-residential)",IF(BF72="No reference","Unverified – no reference",IF(BF72="Not in council register","Unverified – not in register (Part 8 / other)",IF(OR(BF72="Refused",BF72="Refused on appeal",BF72="Withdrawn",BF72="Invalid",BF72="Quashed"),IF(OR(G72="Complete",G72="On Site",G72="Part Complete"),"Conflict – register not live but CIS says built","Conflict – not live in register"),IF(AND(G72="Plans Submitted",OR(BF72="Granted",BF72="Granted on appeal")),"Stage out of date – now granted",IF(AND(G72&lt;&gt;"Plans Submitted",OR(BF72="Pending",BF72="Under appeal")),"Check – register still pending",IF(N(BL72)&gt;Method!$B$7,"Check – location differs",IF(AND(BP72&lt;&gt;"",ABS(N(BP72))&gt;60),"Consistent – decision date differs","Consistent"))))))))</f>
        <v>Consistent</v>
      </c>
      <c r="BS72" s="2"/>
      <c r="BT72" s="2"/>
      <c r="BU72" s="2"/>
      <c r="BV72" s="2"/>
      <c r="BW72" s="2"/>
      <c r="BX72" s="2"/>
    </row>
    <row r="73" customFormat="false" ht="15" hidden="false" customHeight="false" outlineLevel="0" collapsed="false">
      <c r="A73" s="2" t="n">
        <v>1317302</v>
      </c>
      <c r="B73" s="2" t="s">
        <v>372</v>
      </c>
      <c r="C73" s="2" t="s">
        <v>1289</v>
      </c>
      <c r="D73" s="2" t="s">
        <v>373</v>
      </c>
      <c r="E73" s="2" t="s">
        <v>374</v>
      </c>
      <c r="F73" s="2" t="s">
        <v>136</v>
      </c>
      <c r="G73" s="2" t="s">
        <v>198</v>
      </c>
      <c r="H73" s="2" t="s">
        <v>1014</v>
      </c>
      <c r="I73" s="2" t="s">
        <v>198</v>
      </c>
      <c r="J73" s="22" t="n">
        <v>45237</v>
      </c>
      <c r="K73" s="22" t="n">
        <v>45504</v>
      </c>
      <c r="L73" s="22" t="n">
        <v>45938.3484795486</v>
      </c>
      <c r="M73" s="2" t="s">
        <v>1016</v>
      </c>
      <c r="N73" s="2" t="s">
        <v>121</v>
      </c>
      <c r="O73" s="2"/>
      <c r="P73" s="2" t="s">
        <v>1017</v>
      </c>
      <c r="Q73" s="10" t="n">
        <v>22</v>
      </c>
      <c r="R73" s="10"/>
      <c r="S73" s="10"/>
      <c r="T73" s="2" t="s">
        <v>120</v>
      </c>
      <c r="U73" s="2"/>
      <c r="V73" s="2" t="s">
        <v>1029</v>
      </c>
      <c r="W73" s="2" t="s">
        <v>1030</v>
      </c>
      <c r="X73" s="7"/>
      <c r="Y73" s="2" t="str">
        <f aca="false">IF(X73&lt;&gt;"",X73,T73)</f>
        <v>Primary</v>
      </c>
      <c r="Z73" s="2" t="str">
        <f aca="false">IF(OR(Y73="Primary",Y73="Additional phase",Y73="Additional application on site",Y73="Replaces earlier",Y73="Extension of duration (parent not in CIS)"),"Yes","No")</f>
        <v>Yes</v>
      </c>
      <c r="AA73" s="2"/>
      <c r="AB73" s="2" t="n">
        <f aca="false">IF(L73="","",ROUND((Method!$B$4-L73)/30.44,0))</f>
        <v>12</v>
      </c>
      <c r="AC73" s="2" t="str">
        <f aca="false">IF(AB73="","No",IF(AB73&gt;Method!$B$5,"Yes","No"))</f>
        <v>No</v>
      </c>
      <c r="AD73" s="22" t="n">
        <f aca="false">IF(BJ73&lt;&gt;"",BJ73,IF(K73&lt;&gt;"",EDATE(K73,60),""))</f>
        <v>47363</v>
      </c>
      <c r="AE73" s="2" t="str">
        <f aca="false">IF(AND(AD73&lt;&gt;"",OR(G73="Permission Granted",G73="Commencement Expected",G73="Stalled or Suspended")),IF(AD73&lt;Method!$B$4,"Yes","No"),"No")</f>
        <v>No</v>
      </c>
      <c r="AF73" s="7"/>
      <c r="AG73" s="2" t="str">
        <f aca="false">IF(Z73="No","Not counted",IF(AF73="Lapsed or dead","Excluded",IF(AF73="Constrained","Constrained / uncertain",IF(AF73="Confirmed live",IF(G73="On Site","Committed",IF(G73="Part Complete","Committed",IF(G73="Contract Awarded","Committed Pre-Construction",IF(G73="Tender","Advanced Pre-Construction",IF(G73="Commencement Expected","Likely",IF(G73="Permission Granted","Potential",IF(G73="Stalled or Suspended","Constrained / uncertain",IF(G73="Complete","Delivered","Application Pipeline")))))))),IF(G73="Complete","Delivered",IF(AND(OR(G73="Permission Granted",G73="Commencement Expected"),OR(AC73="Yes",AE73="Yes")),"Constrained / uncertain",IF(G73="On Site","Committed",IF(G73="Part Complete","Committed",IF(G73="Contract Awarded","Committed Pre-Construction",IF(G73="Tender","Advanced Pre-Construction",IF(G73="Commencement Expected","Likely",IF(G73="Permission Granted","Potential",IF(G73="Stalled or Suspended","Constrained / uncertain",IF(G73="Complete","Delivered","Application Pipeline"))))))))))))))</f>
        <v>Committed</v>
      </c>
      <c r="AH73" s="2" t="str">
        <f aca="false">IF(Z73="No","Relationship: "&amp;Y73,IF(AF73&lt;&gt;"","Analyst: "&amp;AF73,IF(G73="Complete","Complete",IF(AND(OR(G73="Permission Granted",G73="Commencement Expected"),AE73="Yes"),"Past expiry",IF(AND(OR(G73="Permission Granted",G73="Commencement Expected"),AC73="Yes"),"No CIS update in "&amp;AB73&amp;" months","As CIS")))))</f>
        <v>As CIS</v>
      </c>
      <c r="AI73" s="10" t="n">
        <f aca="false">IF(Z73="Yes",N(Q73),0)</f>
        <v>22</v>
      </c>
      <c r="AJ73" s="10" t="n">
        <f aca="false">IF(OR(Z73="No",G73="Complete"),0,MAX(N(Q73)-N(AA73),0))</f>
        <v>22</v>
      </c>
      <c r="AK73" s="10" t="n">
        <f aca="false">IF(Z73="No",0,IF(G73="Complete",N(Q73),MIN(N(AA73),N(Q73))))</f>
        <v>0</v>
      </c>
      <c r="AL73" s="10" t="n">
        <f aca="false">IF(OR(OR(AG73="Not counted",AG73="Excluded",AG73="Delivered"),P73="Student accommodation"),0,AJ73)</f>
        <v>22</v>
      </c>
      <c r="AM73" s="10" t="n">
        <f aca="false">IF(OR(OR(AG73="Not counted",AG73="Excluded",AG73="Delivered"),P73&lt;&gt;"Student accommodation"),0,AJ73)</f>
        <v>0</v>
      </c>
      <c r="AN73" s="10" t="n">
        <f aca="false">IF(OR(AG73="Not counted",AG73="Excluded",AG73="Delivered"),0,N(S73))</f>
        <v>0</v>
      </c>
      <c r="AO73" s="2" t="s">
        <v>1031</v>
      </c>
      <c r="AP73" s="10"/>
      <c r="AQ73" s="10"/>
      <c r="AR73" s="10" t="n">
        <v>4</v>
      </c>
      <c r="AS73" s="10" t="n">
        <v>12</v>
      </c>
      <c r="AT73" s="10" t="n">
        <v>6</v>
      </c>
      <c r="AU73" s="10"/>
      <c r="AV73" s="10" t="n">
        <f aca="false">N(AP73)+N(AQ73)+N(AR73)+N(AS73)+N(AT73)+N(AU73)</f>
        <v>22</v>
      </c>
      <c r="AW73" s="10" t="n">
        <v>22</v>
      </c>
      <c r="AX73" s="10"/>
      <c r="AY73" s="10"/>
      <c r="AZ73" s="2"/>
      <c r="BA73" s="2" t="s">
        <v>1022</v>
      </c>
      <c r="BB73" s="2" t="s">
        <v>1289</v>
      </c>
      <c r="BC73" s="2" t="s">
        <v>1023</v>
      </c>
      <c r="BD73" s="2" t="s">
        <v>1024</v>
      </c>
      <c r="BE73" s="2"/>
      <c r="BF73" s="2" t="s">
        <v>1025</v>
      </c>
      <c r="BG73" s="22" t="n">
        <v>45504</v>
      </c>
      <c r="BH73" s="22" t="n">
        <v>47363</v>
      </c>
      <c r="BI73" s="2"/>
      <c r="BJ73" s="22" t="n">
        <v>47363</v>
      </c>
      <c r="BK73" s="2" t="n">
        <v>22</v>
      </c>
      <c r="BL73" s="2" t="n">
        <v>0</v>
      </c>
      <c r="BM73" s="2"/>
      <c r="BN73" s="2" t="s">
        <v>1290</v>
      </c>
      <c r="BO73" s="23" t="s">
        <v>1291</v>
      </c>
      <c r="BP73" s="2" t="n">
        <f aca="false">IF(OR(K73="",BG73=""),"",ROUND(BG73-K73,0))</f>
        <v>0</v>
      </c>
      <c r="BQ73" s="2" t="str">
        <f aca="false">IF(OR(N(BK73)=0,Q73=""),"Not recorded",IF(BK73=Q73,"Match","Differs"))</f>
        <v>Match</v>
      </c>
      <c r="BR73" s="2" t="str">
        <f aca="false">IF(N73="No","Excluded (non-residential)",IF(BF73="No reference","Unverified – no reference",IF(BF73="Not in council register","Unverified – not in register (Part 8 / other)",IF(OR(BF73="Refused",BF73="Refused on appeal",BF73="Withdrawn",BF73="Invalid",BF73="Quashed"),IF(OR(G73="Complete",G73="On Site",G73="Part Complete"),"Conflict – register not live but CIS says built","Conflict – not live in register"),IF(AND(G73="Plans Submitted",OR(BF73="Granted",BF73="Granted on appeal")),"Stage out of date – now granted",IF(AND(G73&lt;&gt;"Plans Submitted",OR(BF73="Pending",BF73="Under appeal")),"Check – register still pending",IF(N(BL73)&gt;Method!$B$7,"Check – location differs",IF(AND(BP73&lt;&gt;"",ABS(N(BP73))&gt;60),"Consistent – decision date differs","Consistent"))))))))</f>
        <v>Consistent</v>
      </c>
      <c r="BS73" s="2"/>
      <c r="BT73" s="2"/>
      <c r="BU73" s="2"/>
      <c r="BV73" s="2"/>
      <c r="BW73" s="2"/>
      <c r="BX73" s="2"/>
    </row>
    <row r="74" customFormat="false" ht="15" hidden="false" customHeight="false" outlineLevel="0" collapsed="false">
      <c r="A74" s="2" t="n">
        <v>1318536</v>
      </c>
      <c r="B74" s="2" t="s">
        <v>487</v>
      </c>
      <c r="C74" s="2" t="s">
        <v>1292</v>
      </c>
      <c r="D74" s="2" t="s">
        <v>488</v>
      </c>
      <c r="E74" s="2" t="s">
        <v>489</v>
      </c>
      <c r="F74" s="2" t="s">
        <v>141</v>
      </c>
      <c r="G74" s="2" t="s">
        <v>187</v>
      </c>
      <c r="H74" s="2" t="s">
        <v>1014</v>
      </c>
      <c r="I74" s="2"/>
      <c r="J74" s="22" t="n">
        <v>45244</v>
      </c>
      <c r="K74" s="22" t="n">
        <v>45394</v>
      </c>
      <c r="L74" s="22" t="n">
        <v>45398.408582257</v>
      </c>
      <c r="M74" s="2" t="s">
        <v>1016</v>
      </c>
      <c r="N74" s="2" t="s">
        <v>121</v>
      </c>
      <c r="O74" s="2"/>
      <c r="P74" s="2" t="s">
        <v>1017</v>
      </c>
      <c r="Q74" s="10" t="n">
        <v>14</v>
      </c>
      <c r="R74" s="10" t="n">
        <v>14</v>
      </c>
      <c r="S74" s="10"/>
      <c r="T74" s="2" t="s">
        <v>120</v>
      </c>
      <c r="U74" s="2"/>
      <c r="V74" s="2" t="s">
        <v>1029</v>
      </c>
      <c r="W74" s="2" t="s">
        <v>1030</v>
      </c>
      <c r="X74" s="7"/>
      <c r="Y74" s="2" t="str">
        <f aca="false">IF(X74&lt;&gt;"",X74,T74)</f>
        <v>Primary</v>
      </c>
      <c r="Z74" s="2" t="str">
        <f aca="false">IF(OR(Y74="Primary",Y74="Additional phase",Y74="Additional application on site",Y74="Replaces earlier",Y74="Extension of duration (parent not in CIS)"),"Yes","No")</f>
        <v>Yes</v>
      </c>
      <c r="AA74" s="2"/>
      <c r="AB74" s="2" t="n">
        <f aca="false">IF(L74="","",ROUND((Method!$B$4-L74)/30.44,0))</f>
        <v>29</v>
      </c>
      <c r="AC74" s="2" t="str">
        <f aca="false">IF(AB74="","No",IF(AB74&gt;Method!$B$5,"Yes","No"))</f>
        <v>Yes</v>
      </c>
      <c r="AD74" s="22" t="n">
        <f aca="false">IF(BJ74&lt;&gt;"",BJ74,IF(K74&lt;&gt;"",EDATE(K74,60),""))</f>
        <v>47252</v>
      </c>
      <c r="AE74" s="2" t="str">
        <f aca="false">IF(AND(AD74&lt;&gt;"",OR(G74="Permission Granted",G74="Commencement Expected",G74="Stalled or Suspended")),IF(AD74&lt;Method!$B$4,"Yes","No"),"No")</f>
        <v>No</v>
      </c>
      <c r="AF74" s="7"/>
      <c r="AG74" s="2" t="str">
        <f aca="false">IF(Z74="No","Not counted",IF(AF74="Lapsed or dead","Excluded",IF(AF74="Constrained","Constrained / uncertain",IF(AF74="Confirmed live",IF(G74="On Site","Committed",IF(G74="Part Complete","Committed",IF(G74="Contract Awarded","Committed Pre-Construction",IF(G74="Tender","Advanced Pre-Construction",IF(G74="Commencement Expected","Likely",IF(G74="Permission Granted","Potential",IF(G74="Stalled or Suspended","Constrained / uncertain",IF(G74="Complete","Delivered","Application Pipeline")))))))),IF(G74="Complete","Delivered",IF(AND(OR(G74="Permission Granted",G74="Commencement Expected"),OR(AC74="Yes",AE74="Yes")),"Constrained / uncertain",IF(G74="On Site","Committed",IF(G74="Part Complete","Committed",IF(G74="Contract Awarded","Committed Pre-Construction",IF(G74="Tender","Advanced Pre-Construction",IF(G74="Commencement Expected","Likely",IF(G74="Permission Granted","Potential",IF(G74="Stalled or Suspended","Constrained / uncertain",IF(G74="Complete","Delivered","Application Pipeline"))))))))))))))</f>
        <v>Constrained / uncertain</v>
      </c>
      <c r="AH74" s="2" t="str">
        <f aca="false">IF(Z74="No","Relationship: "&amp;Y74,IF(AF74&lt;&gt;"","Analyst: "&amp;AF74,IF(G74="Complete","Complete",IF(AND(OR(G74="Permission Granted",G74="Commencement Expected"),AE74="Yes"),"Past expiry",IF(AND(OR(G74="Permission Granted",G74="Commencement Expected"),AC74="Yes"),"No CIS update in "&amp;AB74&amp;" months","As CIS")))))</f>
        <v>No CIS update in 29 months</v>
      </c>
      <c r="AI74" s="10" t="n">
        <f aca="false">IF(Z74="Yes",N(Q74),0)</f>
        <v>14</v>
      </c>
      <c r="AJ74" s="10" t="n">
        <f aca="false">IF(OR(Z74="No",G74="Complete"),0,MAX(N(Q74)-N(AA74),0))</f>
        <v>14</v>
      </c>
      <c r="AK74" s="10" t="n">
        <f aca="false">IF(Z74="No",0,IF(G74="Complete",N(Q74),MIN(N(AA74),N(Q74))))</f>
        <v>0</v>
      </c>
      <c r="AL74" s="10" t="n">
        <f aca="false">IF(OR(OR(AG74="Not counted",AG74="Excluded",AG74="Delivered"),P74="Student accommodation"),0,AJ74)</f>
        <v>14</v>
      </c>
      <c r="AM74" s="10" t="n">
        <f aca="false">IF(OR(OR(AG74="Not counted",AG74="Excluded",AG74="Delivered"),P74&lt;&gt;"Student accommodation"),0,AJ74)</f>
        <v>0</v>
      </c>
      <c r="AN74" s="10" t="n">
        <f aca="false">IF(OR(AG74="Not counted",AG74="Excluded",AG74="Delivered"),0,N(S74))</f>
        <v>0</v>
      </c>
      <c r="AO74" s="2" t="s">
        <v>1021</v>
      </c>
      <c r="AP74" s="10"/>
      <c r="AQ74" s="10"/>
      <c r="AR74" s="10"/>
      <c r="AS74" s="10"/>
      <c r="AT74" s="10"/>
      <c r="AU74" s="10"/>
      <c r="AV74" s="10" t="n">
        <f aca="false">N(AP74)+N(AQ74)+N(AR74)+N(AS74)+N(AT74)+N(AU74)</f>
        <v>0</v>
      </c>
      <c r="AW74" s="10"/>
      <c r="AX74" s="10"/>
      <c r="AY74" s="10"/>
      <c r="AZ74" s="2"/>
      <c r="BA74" s="2" t="s">
        <v>1022</v>
      </c>
      <c r="BB74" s="2" t="s">
        <v>1292</v>
      </c>
      <c r="BC74" s="2" t="s">
        <v>1023</v>
      </c>
      <c r="BD74" s="2" t="s">
        <v>1024</v>
      </c>
      <c r="BE74" s="2"/>
      <c r="BF74" s="2" t="s">
        <v>1025</v>
      </c>
      <c r="BG74" s="22" t="n">
        <v>45394</v>
      </c>
      <c r="BH74" s="22" t="n">
        <v>47252</v>
      </c>
      <c r="BI74" s="2"/>
      <c r="BJ74" s="22" t="n">
        <v>47252</v>
      </c>
      <c r="BK74" s="2" t="n">
        <v>14</v>
      </c>
      <c r="BL74" s="2" t="n">
        <v>0</v>
      </c>
      <c r="BM74" s="2"/>
      <c r="BN74" s="2" t="s">
        <v>1293</v>
      </c>
      <c r="BO74" s="23" t="s">
        <v>1294</v>
      </c>
      <c r="BP74" s="2" t="n">
        <f aca="false">IF(OR(K74="",BG74=""),"",ROUND(BG74-K74,0))</f>
        <v>0</v>
      </c>
      <c r="BQ74" s="2" t="str">
        <f aca="false">IF(OR(N(BK74)=0,Q74=""),"Not recorded",IF(BK74=Q74,"Match","Differs"))</f>
        <v>Match</v>
      </c>
      <c r="BR74" s="2" t="str">
        <f aca="false">IF(N74="No","Excluded (non-residential)",IF(BF74="No reference","Unverified – no reference",IF(BF74="Not in council register","Unverified – not in register (Part 8 / other)",IF(OR(BF74="Refused",BF74="Refused on appeal",BF74="Withdrawn",BF74="Invalid",BF74="Quashed"),IF(OR(G74="Complete",G74="On Site",G74="Part Complete"),"Conflict – register not live but CIS says built","Conflict – not live in register"),IF(AND(G74="Plans Submitted",OR(BF74="Granted",BF74="Granted on appeal")),"Stage out of date – now granted",IF(AND(G74&lt;&gt;"Plans Submitted",OR(BF74="Pending",BF74="Under appeal")),"Check – register still pending",IF(N(BL74)&gt;Method!$B$7,"Check – location differs",IF(AND(BP74&lt;&gt;"",ABS(N(BP74))&gt;60),"Consistent – decision date differs","Consistent"))))))))</f>
        <v>Consistent</v>
      </c>
      <c r="BS74" s="2"/>
      <c r="BT74" s="2"/>
      <c r="BU74" s="2"/>
      <c r="BV74" s="2"/>
      <c r="BW74" s="2"/>
      <c r="BX74" s="2"/>
    </row>
    <row r="75" customFormat="false" ht="15" hidden="false" customHeight="false" outlineLevel="0" collapsed="false">
      <c r="A75" s="2" t="n">
        <v>1320420</v>
      </c>
      <c r="B75" s="2" t="s">
        <v>417</v>
      </c>
      <c r="C75" s="2" t="s">
        <v>1295</v>
      </c>
      <c r="D75" s="2" t="s">
        <v>418</v>
      </c>
      <c r="E75" s="2" t="s">
        <v>419</v>
      </c>
      <c r="F75" s="2" t="s">
        <v>137</v>
      </c>
      <c r="G75" s="2" t="s">
        <v>198</v>
      </c>
      <c r="H75" s="2" t="s">
        <v>1014</v>
      </c>
      <c r="I75" s="2" t="s">
        <v>198</v>
      </c>
      <c r="J75" s="22" t="n">
        <v>45254</v>
      </c>
      <c r="K75" s="22" t="n">
        <v>45422</v>
      </c>
      <c r="L75" s="22" t="n">
        <v>45672.4326654745</v>
      </c>
      <c r="M75" s="2" t="s">
        <v>1016</v>
      </c>
      <c r="N75" s="2" t="s">
        <v>121</v>
      </c>
      <c r="O75" s="2"/>
      <c r="P75" s="2" t="s">
        <v>1017</v>
      </c>
      <c r="Q75" s="10" t="n">
        <v>74</v>
      </c>
      <c r="R75" s="10" t="n">
        <v>74</v>
      </c>
      <c r="S75" s="10"/>
      <c r="T75" s="2" t="s">
        <v>120</v>
      </c>
      <c r="U75" s="2"/>
      <c r="V75" s="2" t="s">
        <v>1029</v>
      </c>
      <c r="W75" s="2" t="s">
        <v>1030</v>
      </c>
      <c r="X75" s="7"/>
      <c r="Y75" s="2" t="str">
        <f aca="false">IF(X75&lt;&gt;"",X75,T75)</f>
        <v>Primary</v>
      </c>
      <c r="Z75" s="2" t="str">
        <f aca="false">IF(OR(Y75="Primary",Y75="Additional phase",Y75="Additional application on site",Y75="Replaces earlier",Y75="Extension of duration (parent not in CIS)"),"Yes","No")</f>
        <v>Yes</v>
      </c>
      <c r="AA75" s="2"/>
      <c r="AB75" s="2" t="n">
        <f aca="false">IF(L75="","",ROUND((Method!$B$4-L75)/30.44,0))</f>
        <v>20</v>
      </c>
      <c r="AC75" s="2" t="str">
        <f aca="false">IF(AB75="","No",IF(AB75&gt;Method!$B$5,"Yes","No"))</f>
        <v>No</v>
      </c>
      <c r="AD75" s="22" t="n">
        <f aca="false">IF(BJ75&lt;&gt;"",BJ75,IF(K75&lt;&gt;"",EDATE(K75,60),""))</f>
        <v>47280</v>
      </c>
      <c r="AE75" s="2" t="str">
        <f aca="false">IF(AND(AD75&lt;&gt;"",OR(G75="Permission Granted",G75="Commencement Expected",G75="Stalled or Suspended")),IF(AD75&lt;Method!$B$4,"Yes","No"),"No")</f>
        <v>No</v>
      </c>
      <c r="AF75" s="7"/>
      <c r="AG75" s="2" t="str">
        <f aca="false">IF(Z75="No","Not counted",IF(AF75="Lapsed or dead","Excluded",IF(AF75="Constrained","Constrained / uncertain",IF(AF75="Confirmed live",IF(G75="On Site","Committed",IF(G75="Part Complete","Committed",IF(G75="Contract Awarded","Committed Pre-Construction",IF(G75="Tender","Advanced Pre-Construction",IF(G75="Commencement Expected","Likely",IF(G75="Permission Granted","Potential",IF(G75="Stalled or Suspended","Constrained / uncertain",IF(G75="Complete","Delivered","Application Pipeline")))))))),IF(G75="Complete","Delivered",IF(AND(OR(G75="Permission Granted",G75="Commencement Expected"),OR(AC75="Yes",AE75="Yes")),"Constrained / uncertain",IF(G75="On Site","Committed",IF(G75="Part Complete","Committed",IF(G75="Contract Awarded","Committed Pre-Construction",IF(G75="Tender","Advanced Pre-Construction",IF(G75="Commencement Expected","Likely",IF(G75="Permission Granted","Potential",IF(G75="Stalled or Suspended","Constrained / uncertain",IF(G75="Complete","Delivered","Application Pipeline"))))))))))))))</f>
        <v>Committed</v>
      </c>
      <c r="AH75" s="2" t="str">
        <f aca="false">IF(Z75="No","Relationship: "&amp;Y75,IF(AF75&lt;&gt;"","Analyst: "&amp;AF75,IF(G75="Complete","Complete",IF(AND(OR(G75="Permission Granted",G75="Commencement Expected"),AE75="Yes"),"Past expiry",IF(AND(OR(G75="Permission Granted",G75="Commencement Expected"),AC75="Yes"),"No CIS update in "&amp;AB75&amp;" months","As CIS")))))</f>
        <v>As CIS</v>
      </c>
      <c r="AI75" s="10" t="n">
        <f aca="false">IF(Z75="Yes",N(Q75),0)</f>
        <v>74</v>
      </c>
      <c r="AJ75" s="10" t="n">
        <f aca="false">IF(OR(Z75="No",G75="Complete"),0,MAX(N(Q75)-N(AA75),0))</f>
        <v>74</v>
      </c>
      <c r="AK75" s="10" t="n">
        <f aca="false">IF(Z75="No",0,IF(G75="Complete",N(Q75),MIN(N(AA75),N(Q75))))</f>
        <v>0</v>
      </c>
      <c r="AL75" s="10" t="n">
        <f aca="false">IF(OR(OR(AG75="Not counted",AG75="Excluded",AG75="Delivered"),P75="Student accommodation"),0,AJ75)</f>
        <v>74</v>
      </c>
      <c r="AM75" s="10" t="n">
        <f aca="false">IF(OR(OR(AG75="Not counted",AG75="Excluded",AG75="Delivered"),P75&lt;&gt;"Student accommodation"),0,AJ75)</f>
        <v>0</v>
      </c>
      <c r="AN75" s="10" t="n">
        <f aca="false">IF(OR(AG75="Not counted",AG75="Excluded",AG75="Delivered"),0,N(S75))</f>
        <v>0</v>
      </c>
      <c r="AO75" s="2" t="s">
        <v>1031</v>
      </c>
      <c r="AP75" s="10"/>
      <c r="AQ75" s="10"/>
      <c r="AR75" s="10" t="n">
        <v>12</v>
      </c>
      <c r="AS75" s="10" t="n">
        <v>30</v>
      </c>
      <c r="AT75" s="10" t="n">
        <v>32</v>
      </c>
      <c r="AU75" s="10"/>
      <c r="AV75" s="10" t="n">
        <f aca="false">N(AP75)+N(AQ75)+N(AR75)+N(AS75)+N(AT75)+N(AU75)</f>
        <v>74</v>
      </c>
      <c r="AW75" s="10" t="n">
        <v>74</v>
      </c>
      <c r="AX75" s="10"/>
      <c r="AY75" s="10"/>
      <c r="AZ75" s="2"/>
      <c r="BA75" s="2" t="s">
        <v>1022</v>
      </c>
      <c r="BB75" s="2" t="s">
        <v>1295</v>
      </c>
      <c r="BC75" s="2" t="s">
        <v>1023</v>
      </c>
      <c r="BD75" s="2" t="s">
        <v>1024</v>
      </c>
      <c r="BE75" s="2"/>
      <c r="BF75" s="2" t="s">
        <v>1025</v>
      </c>
      <c r="BG75" s="22" t="n">
        <v>45422</v>
      </c>
      <c r="BH75" s="22" t="n">
        <v>47280</v>
      </c>
      <c r="BI75" s="2"/>
      <c r="BJ75" s="22" t="n">
        <v>47280</v>
      </c>
      <c r="BK75" s="2" t="n">
        <v>74</v>
      </c>
      <c r="BL75" s="2" t="n">
        <v>0</v>
      </c>
      <c r="BM75" s="2"/>
      <c r="BN75" s="2" t="s">
        <v>1296</v>
      </c>
      <c r="BO75" s="23" t="s">
        <v>1297</v>
      </c>
      <c r="BP75" s="2" t="n">
        <f aca="false">IF(OR(K75="",BG75=""),"",ROUND(BG75-K75,0))</f>
        <v>0</v>
      </c>
      <c r="BQ75" s="2" t="str">
        <f aca="false">IF(OR(N(BK75)=0,Q75=""),"Not recorded",IF(BK75=Q75,"Match","Differs"))</f>
        <v>Match</v>
      </c>
      <c r="BR75" s="2" t="str">
        <f aca="false">IF(N75="No","Excluded (non-residential)",IF(BF75="No reference","Unverified – no reference",IF(BF75="Not in council register","Unverified – not in register (Part 8 / other)",IF(OR(BF75="Refused",BF75="Refused on appeal",BF75="Withdrawn",BF75="Invalid",BF75="Quashed"),IF(OR(G75="Complete",G75="On Site",G75="Part Complete"),"Conflict – register not live but CIS says built","Conflict – not live in register"),IF(AND(G75="Plans Submitted",OR(BF75="Granted",BF75="Granted on appeal")),"Stage out of date – now granted",IF(AND(G75&lt;&gt;"Plans Submitted",OR(BF75="Pending",BF75="Under appeal")),"Check – register still pending",IF(N(BL75)&gt;Method!$B$7,"Check – location differs",IF(AND(BP75&lt;&gt;"",ABS(N(BP75))&gt;60),"Consistent – decision date differs","Consistent"))))))))</f>
        <v>Consistent</v>
      </c>
      <c r="BS75" s="2"/>
      <c r="BT75" s="2"/>
      <c r="BU75" s="2"/>
      <c r="BV75" s="2"/>
      <c r="BW75" s="2"/>
      <c r="BX75" s="2"/>
    </row>
    <row r="76" customFormat="false" ht="15" hidden="false" customHeight="false" outlineLevel="0" collapsed="false">
      <c r="A76" s="2" t="n">
        <v>1325143</v>
      </c>
      <c r="B76" s="2" t="s">
        <v>252</v>
      </c>
      <c r="C76" s="2" t="s">
        <v>1298</v>
      </c>
      <c r="D76" s="2" t="s">
        <v>253</v>
      </c>
      <c r="E76" s="2" t="s">
        <v>254</v>
      </c>
      <c r="F76" s="2" t="s">
        <v>144</v>
      </c>
      <c r="G76" s="2" t="s">
        <v>198</v>
      </c>
      <c r="H76" s="2" t="s">
        <v>1014</v>
      </c>
      <c r="I76" s="2" t="s">
        <v>198</v>
      </c>
      <c r="J76" s="22" t="n">
        <v>45280</v>
      </c>
      <c r="K76" s="22" t="n">
        <v>45344</v>
      </c>
      <c r="L76" s="22" t="n">
        <v>46184.605081632</v>
      </c>
      <c r="M76" s="2" t="s">
        <v>1016</v>
      </c>
      <c r="N76" s="2" t="s">
        <v>121</v>
      </c>
      <c r="O76" s="2"/>
      <c r="P76" s="2" t="s">
        <v>1017</v>
      </c>
      <c r="Q76" s="10" t="n">
        <v>115</v>
      </c>
      <c r="R76" s="10" t="n">
        <v>73</v>
      </c>
      <c r="S76" s="10"/>
      <c r="T76" s="2" t="s">
        <v>120</v>
      </c>
      <c r="U76" s="2"/>
      <c r="V76" s="2" t="s">
        <v>1029</v>
      </c>
      <c r="W76" s="2" t="s">
        <v>1030</v>
      </c>
      <c r="X76" s="7"/>
      <c r="Y76" s="2" t="str">
        <f aca="false">IF(X76&lt;&gt;"",X76,T76)</f>
        <v>Primary</v>
      </c>
      <c r="Z76" s="2" t="str">
        <f aca="false">IF(OR(Y76="Primary",Y76="Additional phase",Y76="Additional application on site",Y76="Replaces earlier",Y76="Extension of duration (parent not in CIS)"),"Yes","No")</f>
        <v>Yes</v>
      </c>
      <c r="AA76" s="2"/>
      <c r="AB76" s="2" t="n">
        <f aca="false">IF(L76="","",ROUND((Method!$B$4-L76)/30.44,0))</f>
        <v>4</v>
      </c>
      <c r="AC76" s="2" t="str">
        <f aca="false">IF(AB76="","No",IF(AB76&gt;Method!$B$5,"Yes","No"))</f>
        <v>No</v>
      </c>
      <c r="AD76" s="22" t="n">
        <f aca="false">IF(BJ76&lt;&gt;"",BJ76,IF(K76&lt;&gt;"",EDATE(K76,60),""))</f>
        <v>47203</v>
      </c>
      <c r="AE76" s="2" t="str">
        <f aca="false">IF(AND(AD76&lt;&gt;"",OR(G76="Permission Granted",G76="Commencement Expected",G76="Stalled or Suspended")),IF(AD76&lt;Method!$B$4,"Yes","No"),"No")</f>
        <v>No</v>
      </c>
      <c r="AF76" s="7"/>
      <c r="AG76" s="2" t="str">
        <f aca="false">IF(Z76="No","Not counted",IF(AF76="Lapsed or dead","Excluded",IF(AF76="Constrained","Constrained / uncertain",IF(AF76="Confirmed live",IF(G76="On Site","Committed",IF(G76="Part Complete","Committed",IF(G76="Contract Awarded","Committed Pre-Construction",IF(G76="Tender","Advanced Pre-Construction",IF(G76="Commencement Expected","Likely",IF(G76="Permission Granted","Potential",IF(G76="Stalled or Suspended","Constrained / uncertain",IF(G76="Complete","Delivered","Application Pipeline")))))))),IF(G76="Complete","Delivered",IF(AND(OR(G76="Permission Granted",G76="Commencement Expected"),OR(AC76="Yes",AE76="Yes")),"Constrained / uncertain",IF(G76="On Site","Committed",IF(G76="Part Complete","Committed",IF(G76="Contract Awarded","Committed Pre-Construction",IF(G76="Tender","Advanced Pre-Construction",IF(G76="Commencement Expected","Likely",IF(G76="Permission Granted","Potential",IF(G76="Stalled or Suspended","Constrained / uncertain",IF(G76="Complete","Delivered","Application Pipeline"))))))))))))))</f>
        <v>Committed</v>
      </c>
      <c r="AH76" s="2" t="str">
        <f aca="false">IF(Z76="No","Relationship: "&amp;Y76,IF(AF76&lt;&gt;"","Analyst: "&amp;AF76,IF(G76="Complete","Complete",IF(AND(OR(G76="Permission Granted",G76="Commencement Expected"),AE76="Yes"),"Past expiry",IF(AND(OR(G76="Permission Granted",G76="Commencement Expected"),AC76="Yes"),"No CIS update in "&amp;AB76&amp;" months","As CIS")))))</f>
        <v>As CIS</v>
      </c>
      <c r="AI76" s="10" t="n">
        <f aca="false">IF(Z76="Yes",N(Q76),0)</f>
        <v>115</v>
      </c>
      <c r="AJ76" s="10" t="n">
        <f aca="false">IF(OR(Z76="No",G76="Complete"),0,MAX(N(Q76)-N(AA76),0))</f>
        <v>115</v>
      </c>
      <c r="AK76" s="10" t="n">
        <f aca="false">IF(Z76="No",0,IF(G76="Complete",N(Q76),MIN(N(AA76),N(Q76))))</f>
        <v>0</v>
      </c>
      <c r="AL76" s="10" t="n">
        <f aca="false">IF(OR(OR(AG76="Not counted",AG76="Excluded",AG76="Delivered"),P76="Student accommodation"),0,AJ76)</f>
        <v>115</v>
      </c>
      <c r="AM76" s="10" t="n">
        <f aca="false">IF(OR(OR(AG76="Not counted",AG76="Excluded",AG76="Delivered"),P76&lt;&gt;"Student accommodation"),0,AJ76)</f>
        <v>0</v>
      </c>
      <c r="AN76" s="10" t="n">
        <f aca="false">IF(OR(AG76="Not counted",AG76="Excluded",AG76="Delivered"),0,N(S76))</f>
        <v>0</v>
      </c>
      <c r="AO76" s="2" t="s">
        <v>1157</v>
      </c>
      <c r="AP76" s="10"/>
      <c r="AQ76" s="10"/>
      <c r="AR76" s="10" t="n">
        <v>42</v>
      </c>
      <c r="AS76" s="10" t="n">
        <v>61</v>
      </c>
      <c r="AT76" s="10" t="n">
        <v>12</v>
      </c>
      <c r="AU76" s="10"/>
      <c r="AV76" s="10" t="n">
        <f aca="false">N(AP76)+N(AQ76)+N(AR76)+N(AS76)+N(AT76)+N(AU76)</f>
        <v>115</v>
      </c>
      <c r="AW76" s="10" t="n">
        <v>73</v>
      </c>
      <c r="AX76" s="10" t="n">
        <v>42</v>
      </c>
      <c r="AY76" s="10"/>
      <c r="AZ76" s="2"/>
      <c r="BA76" s="2" t="s">
        <v>1022</v>
      </c>
      <c r="BB76" s="2" t="s">
        <v>1298</v>
      </c>
      <c r="BC76" s="2" t="s">
        <v>1023</v>
      </c>
      <c r="BD76" s="2" t="s">
        <v>1024</v>
      </c>
      <c r="BE76" s="2"/>
      <c r="BF76" s="2" t="s">
        <v>1025</v>
      </c>
      <c r="BG76" s="22" t="n">
        <v>45344</v>
      </c>
      <c r="BH76" s="22" t="n">
        <v>47203</v>
      </c>
      <c r="BI76" s="2"/>
      <c r="BJ76" s="22" t="n">
        <v>47203</v>
      </c>
      <c r="BK76" s="2" t="n">
        <v>73</v>
      </c>
      <c r="BL76" s="2" t="n">
        <v>0</v>
      </c>
      <c r="BM76" s="2"/>
      <c r="BN76" s="2" t="s">
        <v>1299</v>
      </c>
      <c r="BO76" s="23" t="s">
        <v>1300</v>
      </c>
      <c r="BP76" s="2" t="n">
        <f aca="false">IF(OR(K76="",BG76=""),"",ROUND(BG76-K76,0))</f>
        <v>0</v>
      </c>
      <c r="BQ76" s="2" t="str">
        <f aca="false">IF(OR(N(BK76)=0,Q76=""),"Not recorded",IF(BK76=Q76,"Match","Differs"))</f>
        <v>Differs</v>
      </c>
      <c r="BR76" s="2" t="str">
        <f aca="false">IF(N76="No","Excluded (non-residential)",IF(BF76="No reference","Unverified – no reference",IF(BF76="Not in council register","Unverified – not in register (Part 8 / other)",IF(OR(BF76="Refused",BF76="Refused on appeal",BF76="Withdrawn",BF76="Invalid",BF76="Quashed"),IF(OR(G76="Complete",G76="On Site",G76="Part Complete"),"Conflict – register not live but CIS says built","Conflict – not live in register"),IF(AND(G76="Plans Submitted",OR(BF76="Granted",BF76="Granted on appeal")),"Stage out of date – now granted",IF(AND(G76&lt;&gt;"Plans Submitted",OR(BF76="Pending",BF76="Under appeal")),"Check – register still pending",IF(N(BL76)&gt;Method!$B$7,"Check – location differs",IF(AND(BP76&lt;&gt;"",ABS(N(BP76))&gt;60),"Consistent – decision date differs","Consistent"))))))))</f>
        <v>Consistent</v>
      </c>
      <c r="BS76" s="2"/>
      <c r="BT76" s="2"/>
      <c r="BU76" s="2"/>
      <c r="BV76" s="2"/>
      <c r="BW76" s="2"/>
      <c r="BX76" s="2"/>
    </row>
    <row r="77" customFormat="false" ht="15" hidden="false" customHeight="false" outlineLevel="0" collapsed="false">
      <c r="A77" s="2" t="n">
        <v>1329797</v>
      </c>
      <c r="B77" s="2" t="s">
        <v>469</v>
      </c>
      <c r="C77" s="2" t="s">
        <v>1301</v>
      </c>
      <c r="D77" s="2" t="s">
        <v>470</v>
      </c>
      <c r="E77" s="2" t="s">
        <v>471</v>
      </c>
      <c r="F77" s="2" t="s">
        <v>144</v>
      </c>
      <c r="G77" s="2" t="s">
        <v>187</v>
      </c>
      <c r="H77" s="2" t="s">
        <v>1014</v>
      </c>
      <c r="I77" s="2"/>
      <c r="J77" s="22" t="n">
        <v>45322</v>
      </c>
      <c r="K77" s="22" t="n">
        <v>45457</v>
      </c>
      <c r="L77" s="22" t="n">
        <v>45461.4422104977</v>
      </c>
      <c r="M77" s="2" t="s">
        <v>1016</v>
      </c>
      <c r="N77" s="2" t="s">
        <v>121</v>
      </c>
      <c r="O77" s="2"/>
      <c r="P77" s="2" t="s">
        <v>1017</v>
      </c>
      <c r="Q77" s="10" t="n">
        <v>8</v>
      </c>
      <c r="R77" s="10"/>
      <c r="S77" s="10"/>
      <c r="T77" s="2" t="s">
        <v>30</v>
      </c>
      <c r="U77" s="2"/>
      <c r="V77" s="2" t="s">
        <v>1080</v>
      </c>
      <c r="W77" s="2" t="s">
        <v>1020</v>
      </c>
      <c r="X77" s="7"/>
      <c r="Y77" s="2" t="str">
        <f aca="false">IF(X77&lt;&gt;"",X77,T77)</f>
        <v>Additional application on site</v>
      </c>
      <c r="Z77" s="2" t="str">
        <f aca="false">IF(OR(Y77="Primary",Y77="Additional phase",Y77="Additional application on site",Y77="Replaces earlier",Y77="Extension of duration (parent not in CIS)"),"Yes","No")</f>
        <v>Yes</v>
      </c>
      <c r="AA77" s="2"/>
      <c r="AB77" s="2" t="n">
        <f aca="false">IF(L77="","",ROUND((Method!$B$4-L77)/30.44,0))</f>
        <v>27</v>
      </c>
      <c r="AC77" s="2" t="str">
        <f aca="false">IF(AB77="","No",IF(AB77&gt;Method!$B$5,"Yes","No"))</f>
        <v>Yes</v>
      </c>
      <c r="AD77" s="22" t="n">
        <f aca="false">IF(BJ77&lt;&gt;"",BJ77,IF(K77&lt;&gt;"",EDATE(K77,60),""))</f>
        <v>47315</v>
      </c>
      <c r="AE77" s="2" t="str">
        <f aca="false">IF(AND(AD77&lt;&gt;"",OR(G77="Permission Granted",G77="Commencement Expected",G77="Stalled or Suspended")),IF(AD77&lt;Method!$B$4,"Yes","No"),"No")</f>
        <v>No</v>
      </c>
      <c r="AF77" s="7"/>
      <c r="AG77" s="2" t="str">
        <f aca="false">IF(Z77="No","Not counted",IF(AF77="Lapsed or dead","Excluded",IF(AF77="Constrained","Constrained / uncertain",IF(AF77="Confirmed live",IF(G77="On Site","Committed",IF(G77="Part Complete","Committed",IF(G77="Contract Awarded","Committed Pre-Construction",IF(G77="Tender","Advanced Pre-Construction",IF(G77="Commencement Expected","Likely",IF(G77="Permission Granted","Potential",IF(G77="Stalled or Suspended","Constrained / uncertain",IF(G77="Complete","Delivered","Application Pipeline")))))))),IF(G77="Complete","Delivered",IF(AND(OR(G77="Permission Granted",G77="Commencement Expected"),OR(AC77="Yes",AE77="Yes")),"Constrained / uncertain",IF(G77="On Site","Committed",IF(G77="Part Complete","Committed",IF(G77="Contract Awarded","Committed Pre-Construction",IF(G77="Tender","Advanced Pre-Construction",IF(G77="Commencement Expected","Likely",IF(G77="Permission Granted","Potential",IF(G77="Stalled or Suspended","Constrained / uncertain",IF(G77="Complete","Delivered","Application Pipeline"))))))))))))))</f>
        <v>Constrained / uncertain</v>
      </c>
      <c r="AH77" s="2" t="str">
        <f aca="false">IF(Z77="No","Relationship: "&amp;Y77,IF(AF77&lt;&gt;"","Analyst: "&amp;AF77,IF(G77="Complete","Complete",IF(AND(OR(G77="Permission Granted",G77="Commencement Expected"),AE77="Yes"),"Past expiry",IF(AND(OR(G77="Permission Granted",G77="Commencement Expected"),AC77="Yes"),"No CIS update in "&amp;AB77&amp;" months","As CIS")))))</f>
        <v>No CIS update in 27 months</v>
      </c>
      <c r="AI77" s="10" t="n">
        <f aca="false">IF(Z77="Yes",N(Q77),0)</f>
        <v>8</v>
      </c>
      <c r="AJ77" s="10" t="n">
        <f aca="false">IF(OR(Z77="No",G77="Complete"),0,MAX(N(Q77)-N(AA77),0))</f>
        <v>8</v>
      </c>
      <c r="AK77" s="10" t="n">
        <f aca="false">IF(Z77="No",0,IF(G77="Complete",N(Q77),MIN(N(AA77),N(Q77))))</f>
        <v>0</v>
      </c>
      <c r="AL77" s="10" t="n">
        <f aca="false">IF(OR(OR(AG77="Not counted",AG77="Excluded",AG77="Delivered"),P77="Student accommodation"),0,AJ77)</f>
        <v>8</v>
      </c>
      <c r="AM77" s="10" t="n">
        <f aca="false">IF(OR(OR(AG77="Not counted",AG77="Excluded",AG77="Delivered"),P77&lt;&gt;"Student accommodation"),0,AJ77)</f>
        <v>0</v>
      </c>
      <c r="AN77" s="10" t="n">
        <f aca="false">IF(OR(AG77="Not counted",AG77="Excluded",AG77="Delivered"),0,N(S77))</f>
        <v>0</v>
      </c>
      <c r="AO77" s="2" t="s">
        <v>1021</v>
      </c>
      <c r="AP77" s="10"/>
      <c r="AQ77" s="10"/>
      <c r="AR77" s="10"/>
      <c r="AS77" s="10"/>
      <c r="AT77" s="10"/>
      <c r="AU77" s="10"/>
      <c r="AV77" s="10" t="n">
        <f aca="false">N(AP77)+N(AQ77)+N(AR77)+N(AS77)+N(AT77)+N(AU77)</f>
        <v>0</v>
      </c>
      <c r="AW77" s="10"/>
      <c r="AX77" s="10"/>
      <c r="AY77" s="10"/>
      <c r="AZ77" s="2"/>
      <c r="BA77" s="2" t="s">
        <v>1022</v>
      </c>
      <c r="BB77" s="2" t="s">
        <v>1301</v>
      </c>
      <c r="BC77" s="2" t="s">
        <v>1023</v>
      </c>
      <c r="BD77" s="2" t="s">
        <v>1024</v>
      </c>
      <c r="BE77" s="2"/>
      <c r="BF77" s="2" t="s">
        <v>1025</v>
      </c>
      <c r="BG77" s="22" t="n">
        <v>45457</v>
      </c>
      <c r="BH77" s="22" t="n">
        <v>47315</v>
      </c>
      <c r="BI77" s="2"/>
      <c r="BJ77" s="22" t="n">
        <v>47315</v>
      </c>
      <c r="BK77" s="2"/>
      <c r="BL77" s="2" t="n">
        <v>0</v>
      </c>
      <c r="BM77" s="2"/>
      <c r="BN77" s="2" t="s">
        <v>1302</v>
      </c>
      <c r="BO77" s="23" t="s">
        <v>1303</v>
      </c>
      <c r="BP77" s="2" t="n">
        <f aca="false">IF(OR(K77="",BG77=""),"",ROUND(BG77-K77,0))</f>
        <v>0</v>
      </c>
      <c r="BQ77" s="2" t="str">
        <f aca="false">IF(OR(N(BK77)=0,Q77=""),"Not recorded",IF(BK77=Q77,"Match","Differs"))</f>
        <v>Not recorded</v>
      </c>
      <c r="BR77" s="2" t="str">
        <f aca="false">IF(N77="No","Excluded (non-residential)",IF(BF77="No reference","Unverified – no reference",IF(BF77="Not in council register","Unverified – not in register (Part 8 / other)",IF(OR(BF77="Refused",BF77="Refused on appeal",BF77="Withdrawn",BF77="Invalid",BF77="Quashed"),IF(OR(G77="Complete",G77="On Site",G77="Part Complete"),"Conflict – register not live but CIS says built","Conflict – not live in register"),IF(AND(G77="Plans Submitted",OR(BF77="Granted",BF77="Granted on appeal")),"Stage out of date – now granted",IF(AND(G77&lt;&gt;"Plans Submitted",OR(BF77="Pending",BF77="Under appeal")),"Check – register still pending",IF(N(BL77)&gt;Method!$B$7,"Check – location differs",IF(AND(BP77&lt;&gt;"",ABS(N(BP77))&gt;60),"Consistent – decision date differs","Consistent"))))))))</f>
        <v>Consistent</v>
      </c>
      <c r="BS77" s="2"/>
      <c r="BT77" s="2"/>
      <c r="BU77" s="2"/>
      <c r="BV77" s="2"/>
      <c r="BW77" s="2"/>
      <c r="BX77" s="2"/>
    </row>
    <row r="78" customFormat="false" ht="15" hidden="false" customHeight="false" outlineLevel="0" collapsed="false">
      <c r="A78" s="2" t="n">
        <v>1333345</v>
      </c>
      <c r="B78" s="2" t="s">
        <v>282</v>
      </c>
      <c r="C78" s="2" t="s">
        <v>1304</v>
      </c>
      <c r="D78" s="2" t="s">
        <v>283</v>
      </c>
      <c r="E78" s="2" t="s">
        <v>284</v>
      </c>
      <c r="F78" s="2" t="s">
        <v>139</v>
      </c>
      <c r="G78" s="2" t="s">
        <v>198</v>
      </c>
      <c r="H78" s="2" t="s">
        <v>1014</v>
      </c>
      <c r="I78" s="2" t="s">
        <v>198</v>
      </c>
      <c r="J78" s="22" t="n">
        <v>45345</v>
      </c>
      <c r="K78" s="22" t="n">
        <v>45491</v>
      </c>
      <c r="L78" s="22" t="n">
        <v>46136.6002176736</v>
      </c>
      <c r="M78" s="2" t="s">
        <v>1016</v>
      </c>
      <c r="N78" s="2" t="s">
        <v>121</v>
      </c>
      <c r="O78" s="2"/>
      <c r="P78" s="2" t="s">
        <v>1017</v>
      </c>
      <c r="Q78" s="10" t="n">
        <v>7</v>
      </c>
      <c r="R78" s="10"/>
      <c r="S78" s="10"/>
      <c r="T78" s="2" t="s">
        <v>30</v>
      </c>
      <c r="U78" s="2"/>
      <c r="V78" s="2" t="s">
        <v>1080</v>
      </c>
      <c r="W78" s="2" t="s">
        <v>1020</v>
      </c>
      <c r="X78" s="7"/>
      <c r="Y78" s="2" t="str">
        <f aca="false">IF(X78&lt;&gt;"",X78,T78)</f>
        <v>Additional application on site</v>
      </c>
      <c r="Z78" s="2" t="str">
        <f aca="false">IF(OR(Y78="Primary",Y78="Additional phase",Y78="Additional application on site",Y78="Replaces earlier",Y78="Extension of duration (parent not in CIS)"),"Yes","No")</f>
        <v>Yes</v>
      </c>
      <c r="AA78" s="2"/>
      <c r="AB78" s="2" t="n">
        <f aca="false">IF(L78="","",ROUND((Method!$B$4-L78)/30.44,0))</f>
        <v>5</v>
      </c>
      <c r="AC78" s="2" t="str">
        <f aca="false">IF(AB78="","No",IF(AB78&gt;Method!$B$5,"Yes","No"))</f>
        <v>No</v>
      </c>
      <c r="AD78" s="22" t="n">
        <f aca="false">IF(BJ78&lt;&gt;"",BJ78,IF(K78&lt;&gt;"",EDATE(K78,60),""))</f>
        <v>47349</v>
      </c>
      <c r="AE78" s="2" t="str">
        <f aca="false">IF(AND(AD78&lt;&gt;"",OR(G78="Permission Granted",G78="Commencement Expected",G78="Stalled or Suspended")),IF(AD78&lt;Method!$B$4,"Yes","No"),"No")</f>
        <v>No</v>
      </c>
      <c r="AF78" s="7"/>
      <c r="AG78" s="2" t="str">
        <f aca="false">IF(Z78="No","Not counted",IF(AF78="Lapsed or dead","Excluded",IF(AF78="Constrained","Constrained / uncertain",IF(AF78="Confirmed live",IF(G78="On Site","Committed",IF(G78="Part Complete","Committed",IF(G78="Contract Awarded","Committed Pre-Construction",IF(G78="Tender","Advanced Pre-Construction",IF(G78="Commencement Expected","Likely",IF(G78="Permission Granted","Potential",IF(G78="Stalled or Suspended","Constrained / uncertain",IF(G78="Complete","Delivered","Application Pipeline")))))))),IF(G78="Complete","Delivered",IF(AND(OR(G78="Permission Granted",G78="Commencement Expected"),OR(AC78="Yes",AE78="Yes")),"Constrained / uncertain",IF(G78="On Site","Committed",IF(G78="Part Complete","Committed",IF(G78="Contract Awarded","Committed Pre-Construction",IF(G78="Tender","Advanced Pre-Construction",IF(G78="Commencement Expected","Likely",IF(G78="Permission Granted","Potential",IF(G78="Stalled or Suspended","Constrained / uncertain",IF(G78="Complete","Delivered","Application Pipeline"))))))))))))))</f>
        <v>Committed</v>
      </c>
      <c r="AH78" s="2" t="str">
        <f aca="false">IF(Z78="No","Relationship: "&amp;Y78,IF(AF78&lt;&gt;"","Analyst: "&amp;AF78,IF(G78="Complete","Complete",IF(AND(OR(G78="Permission Granted",G78="Commencement Expected"),AE78="Yes"),"Past expiry",IF(AND(OR(G78="Permission Granted",G78="Commencement Expected"),AC78="Yes"),"No CIS update in "&amp;AB78&amp;" months","As CIS")))))</f>
        <v>As CIS</v>
      </c>
      <c r="AI78" s="10" t="n">
        <f aca="false">IF(Z78="Yes",N(Q78),0)</f>
        <v>7</v>
      </c>
      <c r="AJ78" s="10" t="n">
        <f aca="false">IF(OR(Z78="No",G78="Complete"),0,MAX(N(Q78)-N(AA78),0))</f>
        <v>7</v>
      </c>
      <c r="AK78" s="10" t="n">
        <f aca="false">IF(Z78="No",0,IF(G78="Complete",N(Q78),MIN(N(AA78),N(Q78))))</f>
        <v>0</v>
      </c>
      <c r="AL78" s="10" t="n">
        <f aca="false">IF(OR(OR(AG78="Not counted",AG78="Excluded",AG78="Delivered"),P78="Student accommodation"),0,AJ78)</f>
        <v>7</v>
      </c>
      <c r="AM78" s="10" t="n">
        <f aca="false">IF(OR(OR(AG78="Not counted",AG78="Excluded",AG78="Delivered"),P78&lt;&gt;"Student accommodation"),0,AJ78)</f>
        <v>0</v>
      </c>
      <c r="AN78" s="10" t="n">
        <f aca="false">IF(OR(AG78="Not counted",AG78="Excluded",AG78="Delivered"),0,N(S78))</f>
        <v>0</v>
      </c>
      <c r="AO78" s="2" t="s">
        <v>1031</v>
      </c>
      <c r="AP78" s="10" t="n">
        <v>1</v>
      </c>
      <c r="AQ78" s="10" t="n">
        <v>3</v>
      </c>
      <c r="AR78" s="10" t="n">
        <v>3</v>
      </c>
      <c r="AS78" s="10"/>
      <c r="AT78" s="10"/>
      <c r="AU78" s="10"/>
      <c r="AV78" s="10" t="n">
        <f aca="false">N(AP78)+N(AQ78)+N(AR78)+N(AS78)+N(AT78)+N(AU78)</f>
        <v>7</v>
      </c>
      <c r="AW78" s="10"/>
      <c r="AX78" s="10" t="n">
        <v>7</v>
      </c>
      <c r="AY78" s="10"/>
      <c r="AZ78" s="2"/>
      <c r="BA78" s="2" t="s">
        <v>1022</v>
      </c>
      <c r="BB78" s="2" t="s">
        <v>1304</v>
      </c>
      <c r="BC78" s="2" t="s">
        <v>1023</v>
      </c>
      <c r="BD78" s="2" t="s">
        <v>1024</v>
      </c>
      <c r="BE78" s="2"/>
      <c r="BF78" s="2" t="s">
        <v>1025</v>
      </c>
      <c r="BG78" s="22" t="n">
        <v>45491</v>
      </c>
      <c r="BH78" s="22" t="n">
        <v>47349</v>
      </c>
      <c r="BI78" s="2"/>
      <c r="BJ78" s="22" t="n">
        <v>47349</v>
      </c>
      <c r="BK78" s="2"/>
      <c r="BL78" s="2" t="n">
        <v>0</v>
      </c>
      <c r="BM78" s="2"/>
      <c r="BN78" s="2" t="s">
        <v>1305</v>
      </c>
      <c r="BO78" s="23" t="s">
        <v>1306</v>
      </c>
      <c r="BP78" s="2" t="n">
        <f aca="false">IF(OR(K78="",BG78=""),"",ROUND(BG78-K78,0))</f>
        <v>0</v>
      </c>
      <c r="BQ78" s="2" t="str">
        <f aca="false">IF(OR(N(BK78)=0,Q78=""),"Not recorded",IF(BK78=Q78,"Match","Differs"))</f>
        <v>Not recorded</v>
      </c>
      <c r="BR78" s="2" t="str">
        <f aca="false">IF(N78="No","Excluded (non-residential)",IF(BF78="No reference","Unverified – no reference",IF(BF78="Not in council register","Unverified – not in register (Part 8 / other)",IF(OR(BF78="Refused",BF78="Refused on appeal",BF78="Withdrawn",BF78="Invalid",BF78="Quashed"),IF(OR(G78="Complete",G78="On Site",G78="Part Complete"),"Conflict – register not live but CIS says built","Conflict – not live in register"),IF(AND(G78="Plans Submitted",OR(BF78="Granted",BF78="Granted on appeal")),"Stage out of date – now granted",IF(AND(G78&lt;&gt;"Plans Submitted",OR(BF78="Pending",BF78="Under appeal")),"Check – register still pending",IF(N(BL78)&gt;Method!$B$7,"Check – location differs",IF(AND(BP78&lt;&gt;"",ABS(N(BP78))&gt;60),"Consistent – decision date differs","Consistent"))))))))</f>
        <v>Consistent</v>
      </c>
      <c r="BS78" s="2"/>
      <c r="BT78" s="2"/>
      <c r="BU78" s="2"/>
      <c r="BV78" s="2"/>
      <c r="BW78" s="2"/>
      <c r="BX78" s="2"/>
    </row>
    <row r="79" customFormat="false" ht="15" hidden="false" customHeight="false" outlineLevel="0" collapsed="false">
      <c r="A79" s="2" t="n">
        <v>1339954</v>
      </c>
      <c r="B79" s="2" t="s">
        <v>478</v>
      </c>
      <c r="C79" s="2" t="s">
        <v>1307</v>
      </c>
      <c r="D79" s="2" t="s">
        <v>479</v>
      </c>
      <c r="E79" s="2" t="s">
        <v>480</v>
      </c>
      <c r="F79" s="2" t="s">
        <v>144</v>
      </c>
      <c r="G79" s="2" t="s">
        <v>187</v>
      </c>
      <c r="H79" s="2" t="s">
        <v>1014</v>
      </c>
      <c r="I79" s="2"/>
      <c r="J79" s="22" t="n">
        <v>45387</v>
      </c>
      <c r="K79" s="22" t="n">
        <v>45441</v>
      </c>
      <c r="L79" s="22" t="n">
        <v>45443.3947533218</v>
      </c>
      <c r="M79" s="2" t="s">
        <v>1016</v>
      </c>
      <c r="N79" s="2" t="s">
        <v>121</v>
      </c>
      <c r="O79" s="2"/>
      <c r="P79" s="2" t="s">
        <v>1017</v>
      </c>
      <c r="Q79" s="10" t="n">
        <v>3</v>
      </c>
      <c r="R79" s="10"/>
      <c r="S79" s="10"/>
      <c r="T79" s="2" t="s">
        <v>120</v>
      </c>
      <c r="U79" s="2"/>
      <c r="V79" s="2" t="s">
        <v>1029</v>
      </c>
      <c r="W79" s="2" t="s">
        <v>1030</v>
      </c>
      <c r="X79" s="7"/>
      <c r="Y79" s="2" t="str">
        <f aca="false">IF(X79&lt;&gt;"",X79,T79)</f>
        <v>Primary</v>
      </c>
      <c r="Z79" s="2" t="str">
        <f aca="false">IF(OR(Y79="Primary",Y79="Additional phase",Y79="Additional application on site",Y79="Replaces earlier",Y79="Extension of duration (parent not in CIS)"),"Yes","No")</f>
        <v>Yes</v>
      </c>
      <c r="AA79" s="2"/>
      <c r="AB79" s="2" t="n">
        <f aca="false">IF(L79="","",ROUND((Method!$B$4-L79)/30.44,0))</f>
        <v>28</v>
      </c>
      <c r="AC79" s="2" t="str">
        <f aca="false">IF(AB79="","No",IF(AB79&gt;Method!$B$5,"Yes","No"))</f>
        <v>Yes</v>
      </c>
      <c r="AD79" s="22" t="n">
        <f aca="false">IF(BJ79&lt;&gt;"",BJ79,IF(K79&lt;&gt;"",EDATE(K79,60),""))</f>
        <v>47300</v>
      </c>
      <c r="AE79" s="2" t="str">
        <f aca="false">IF(AND(AD79&lt;&gt;"",OR(G79="Permission Granted",G79="Commencement Expected",G79="Stalled or Suspended")),IF(AD79&lt;Method!$B$4,"Yes","No"),"No")</f>
        <v>No</v>
      </c>
      <c r="AF79" s="7"/>
      <c r="AG79" s="2" t="str">
        <f aca="false">IF(Z79="No","Not counted",IF(AF79="Lapsed or dead","Excluded",IF(AF79="Constrained","Constrained / uncertain",IF(AF79="Confirmed live",IF(G79="On Site","Committed",IF(G79="Part Complete","Committed",IF(G79="Contract Awarded","Committed Pre-Construction",IF(G79="Tender","Advanced Pre-Construction",IF(G79="Commencement Expected","Likely",IF(G79="Permission Granted","Potential",IF(G79="Stalled or Suspended","Constrained / uncertain",IF(G79="Complete","Delivered","Application Pipeline")))))))),IF(G79="Complete","Delivered",IF(AND(OR(G79="Permission Granted",G79="Commencement Expected"),OR(AC79="Yes",AE79="Yes")),"Constrained / uncertain",IF(G79="On Site","Committed",IF(G79="Part Complete","Committed",IF(G79="Contract Awarded","Committed Pre-Construction",IF(G79="Tender","Advanced Pre-Construction",IF(G79="Commencement Expected","Likely",IF(G79="Permission Granted","Potential",IF(G79="Stalled or Suspended","Constrained / uncertain",IF(G79="Complete","Delivered","Application Pipeline"))))))))))))))</f>
        <v>Constrained / uncertain</v>
      </c>
      <c r="AH79" s="2" t="str">
        <f aca="false">IF(Z79="No","Relationship: "&amp;Y79,IF(AF79&lt;&gt;"","Analyst: "&amp;AF79,IF(G79="Complete","Complete",IF(AND(OR(G79="Permission Granted",G79="Commencement Expected"),AE79="Yes"),"Past expiry",IF(AND(OR(G79="Permission Granted",G79="Commencement Expected"),AC79="Yes"),"No CIS update in "&amp;AB79&amp;" months","As CIS")))))</f>
        <v>No CIS update in 28 months</v>
      </c>
      <c r="AI79" s="10" t="n">
        <f aca="false">IF(Z79="Yes",N(Q79),0)</f>
        <v>3</v>
      </c>
      <c r="AJ79" s="10" t="n">
        <f aca="false">IF(OR(Z79="No",G79="Complete"),0,MAX(N(Q79)-N(AA79),0))</f>
        <v>3</v>
      </c>
      <c r="AK79" s="10" t="n">
        <f aca="false">IF(Z79="No",0,IF(G79="Complete",N(Q79),MIN(N(AA79),N(Q79))))</f>
        <v>0</v>
      </c>
      <c r="AL79" s="10" t="n">
        <f aca="false">IF(OR(OR(AG79="Not counted",AG79="Excluded",AG79="Delivered"),P79="Student accommodation"),0,AJ79)</f>
        <v>3</v>
      </c>
      <c r="AM79" s="10" t="n">
        <f aca="false">IF(OR(OR(AG79="Not counted",AG79="Excluded",AG79="Delivered"),P79&lt;&gt;"Student accommodation"),0,AJ79)</f>
        <v>0</v>
      </c>
      <c r="AN79" s="10" t="n">
        <f aca="false">IF(OR(AG79="Not counted",AG79="Excluded",AG79="Delivered"),0,N(S79))</f>
        <v>0</v>
      </c>
      <c r="AO79" s="2" t="s">
        <v>1021</v>
      </c>
      <c r="AP79" s="10"/>
      <c r="AQ79" s="10"/>
      <c r="AR79" s="10"/>
      <c r="AS79" s="10"/>
      <c r="AT79" s="10"/>
      <c r="AU79" s="10"/>
      <c r="AV79" s="10" t="n">
        <f aca="false">N(AP79)+N(AQ79)+N(AR79)+N(AS79)+N(AT79)+N(AU79)</f>
        <v>0</v>
      </c>
      <c r="AW79" s="10"/>
      <c r="AX79" s="10"/>
      <c r="AY79" s="10"/>
      <c r="AZ79" s="2"/>
      <c r="BA79" s="2" t="s">
        <v>1022</v>
      </c>
      <c r="BB79" s="2" t="s">
        <v>1307</v>
      </c>
      <c r="BC79" s="2" t="s">
        <v>1023</v>
      </c>
      <c r="BD79" s="2" t="s">
        <v>1024</v>
      </c>
      <c r="BE79" s="2"/>
      <c r="BF79" s="2" t="s">
        <v>1025</v>
      </c>
      <c r="BG79" s="22" t="n">
        <v>45441</v>
      </c>
      <c r="BH79" s="22" t="n">
        <v>47300</v>
      </c>
      <c r="BI79" s="2"/>
      <c r="BJ79" s="22" t="n">
        <v>47300</v>
      </c>
      <c r="BK79" s="2" t="n">
        <v>3</v>
      </c>
      <c r="BL79" s="2" t="n">
        <v>0</v>
      </c>
      <c r="BM79" s="2"/>
      <c r="BN79" s="2" t="s">
        <v>1308</v>
      </c>
      <c r="BO79" s="23" t="s">
        <v>1309</v>
      </c>
      <c r="BP79" s="2" t="n">
        <f aca="false">IF(OR(K79="",BG79=""),"",ROUND(BG79-K79,0))</f>
        <v>0</v>
      </c>
      <c r="BQ79" s="2" t="str">
        <f aca="false">IF(OR(N(BK79)=0,Q79=""),"Not recorded",IF(BK79=Q79,"Match","Differs"))</f>
        <v>Match</v>
      </c>
      <c r="BR79" s="2" t="str">
        <f aca="false">IF(N79="No","Excluded (non-residential)",IF(BF79="No reference","Unverified – no reference",IF(BF79="Not in council register","Unverified – not in register (Part 8 / other)",IF(OR(BF79="Refused",BF79="Refused on appeal",BF79="Withdrawn",BF79="Invalid",BF79="Quashed"),IF(OR(G79="Complete",G79="On Site",G79="Part Complete"),"Conflict – register not live but CIS says built","Conflict – not live in register"),IF(AND(G79="Plans Submitted",OR(BF79="Granted",BF79="Granted on appeal")),"Stage out of date – now granted",IF(AND(G79&lt;&gt;"Plans Submitted",OR(BF79="Pending",BF79="Under appeal")),"Check – register still pending",IF(N(BL79)&gt;Method!$B$7,"Check – location differs",IF(AND(BP79&lt;&gt;"",ABS(N(BP79))&gt;60),"Consistent – decision date differs","Consistent"))))))))</f>
        <v>Consistent</v>
      </c>
      <c r="BS79" s="2"/>
      <c r="BT79" s="2"/>
      <c r="BU79" s="2"/>
      <c r="BV79" s="2"/>
      <c r="BW79" s="2"/>
      <c r="BX79" s="2"/>
    </row>
    <row r="80" customFormat="false" ht="15" hidden="false" customHeight="false" outlineLevel="0" collapsed="false">
      <c r="A80" s="2" t="n">
        <v>1345677</v>
      </c>
      <c r="B80" s="2" t="s">
        <v>435</v>
      </c>
      <c r="C80" s="2" t="s">
        <v>1310</v>
      </c>
      <c r="D80" s="2" t="s">
        <v>436</v>
      </c>
      <c r="E80" s="2" t="s">
        <v>1311</v>
      </c>
      <c r="F80" s="2" t="s">
        <v>143</v>
      </c>
      <c r="G80" s="2" t="s">
        <v>198</v>
      </c>
      <c r="H80" s="2" t="s">
        <v>1014</v>
      </c>
      <c r="I80" s="2" t="s">
        <v>198</v>
      </c>
      <c r="J80" s="22" t="n">
        <v>45527</v>
      </c>
      <c r="K80" s="22"/>
      <c r="L80" s="22" t="n">
        <v>45614.5326945602</v>
      </c>
      <c r="M80" s="2" t="s">
        <v>1016</v>
      </c>
      <c r="N80" s="2" t="s">
        <v>121</v>
      </c>
      <c r="O80" s="2"/>
      <c r="P80" s="2" t="s">
        <v>1017</v>
      </c>
      <c r="Q80" s="10" t="n">
        <v>11</v>
      </c>
      <c r="R80" s="10"/>
      <c r="S80" s="10"/>
      <c r="T80" s="2" t="s">
        <v>120</v>
      </c>
      <c r="U80" s="2"/>
      <c r="V80" s="2" t="s">
        <v>1029</v>
      </c>
      <c r="W80" s="2" t="s">
        <v>1030</v>
      </c>
      <c r="X80" s="7"/>
      <c r="Y80" s="2" t="str">
        <f aca="false">IF(X80&lt;&gt;"",X80,T80)</f>
        <v>Primary</v>
      </c>
      <c r="Z80" s="2" t="str">
        <f aca="false">IF(OR(Y80="Primary",Y80="Additional phase",Y80="Additional application on site",Y80="Replaces earlier",Y80="Extension of duration (parent not in CIS)"),"Yes","No")</f>
        <v>Yes</v>
      </c>
      <c r="AA80" s="2"/>
      <c r="AB80" s="2" t="n">
        <f aca="false">IF(L80="","",ROUND((Method!$B$4-L80)/30.44,0))</f>
        <v>22</v>
      </c>
      <c r="AC80" s="2" t="str">
        <f aca="false">IF(AB80="","No",IF(AB80&gt;Method!$B$5,"Yes","No"))</f>
        <v>No</v>
      </c>
      <c r="AD80" s="22" t="str">
        <f aca="false">IF(BJ80&lt;&gt;"",BJ80,IF(K80&lt;&gt;"",EDATE(K80,60),""))</f>
        <v/>
      </c>
      <c r="AE80" s="2" t="str">
        <f aca="false">IF(AND(AD80&lt;&gt;"",OR(G80="Permission Granted",G80="Commencement Expected",G80="Stalled or Suspended")),IF(AD80&lt;Method!$B$4,"Yes","No"),"No")</f>
        <v>No</v>
      </c>
      <c r="AF80" s="7"/>
      <c r="AG80" s="2" t="str">
        <f aca="false">IF(Z80="No","Not counted",IF(AF80="Lapsed or dead","Excluded",IF(AF80="Constrained","Constrained / uncertain",IF(AF80="Confirmed live",IF(G80="On Site","Committed",IF(G80="Part Complete","Committed",IF(G80="Contract Awarded","Committed Pre-Construction",IF(G80="Tender","Advanced Pre-Construction",IF(G80="Commencement Expected","Likely",IF(G80="Permission Granted","Potential",IF(G80="Stalled or Suspended","Constrained / uncertain",IF(G80="Complete","Delivered","Application Pipeline")))))))),IF(G80="Complete","Delivered",IF(AND(OR(G80="Permission Granted",G80="Commencement Expected"),OR(AC80="Yes",AE80="Yes")),"Constrained / uncertain",IF(G80="On Site","Committed",IF(G80="Part Complete","Committed",IF(G80="Contract Awarded","Committed Pre-Construction",IF(G80="Tender","Advanced Pre-Construction",IF(G80="Commencement Expected","Likely",IF(G80="Permission Granted","Potential",IF(G80="Stalled or Suspended","Constrained / uncertain",IF(G80="Complete","Delivered","Application Pipeline"))))))))))))))</f>
        <v>Committed</v>
      </c>
      <c r="AH80" s="2" t="str">
        <f aca="false">IF(Z80="No","Relationship: "&amp;Y80,IF(AF80&lt;&gt;"","Analyst: "&amp;AF80,IF(G80="Complete","Complete",IF(AND(OR(G80="Permission Granted",G80="Commencement Expected"),AE80="Yes"),"Past expiry",IF(AND(OR(G80="Permission Granted",G80="Commencement Expected"),AC80="Yes"),"No CIS update in "&amp;AB80&amp;" months","As CIS")))))</f>
        <v>As CIS</v>
      </c>
      <c r="AI80" s="10" t="n">
        <f aca="false">IF(Z80="Yes",N(Q80),0)</f>
        <v>11</v>
      </c>
      <c r="AJ80" s="10" t="n">
        <f aca="false">IF(OR(Z80="No",G80="Complete"),0,MAX(N(Q80)-N(AA80),0))</f>
        <v>11</v>
      </c>
      <c r="AK80" s="10" t="n">
        <f aca="false">IF(Z80="No",0,IF(G80="Complete",N(Q80),MIN(N(AA80),N(Q80))))</f>
        <v>0</v>
      </c>
      <c r="AL80" s="10" t="n">
        <f aca="false">IF(OR(OR(AG80="Not counted",AG80="Excluded",AG80="Delivered"),P80="Student accommodation"),0,AJ80)</f>
        <v>11</v>
      </c>
      <c r="AM80" s="10" t="n">
        <f aca="false">IF(OR(OR(AG80="Not counted",AG80="Excluded",AG80="Delivered"),P80&lt;&gt;"Student accommodation"),0,AJ80)</f>
        <v>0</v>
      </c>
      <c r="AN80" s="10" t="n">
        <f aca="false">IF(OR(AG80="Not counted",AG80="Excluded",AG80="Delivered"),0,N(S80))</f>
        <v>0</v>
      </c>
      <c r="AO80" s="2" t="s">
        <v>1043</v>
      </c>
      <c r="AP80" s="10"/>
      <c r="AQ80" s="10"/>
      <c r="AR80" s="10"/>
      <c r="AS80" s="10"/>
      <c r="AT80" s="10"/>
      <c r="AU80" s="10"/>
      <c r="AV80" s="10" t="n">
        <f aca="false">N(AP80)+N(AQ80)+N(AR80)+N(AS80)+N(AT80)+N(AU80)</f>
        <v>0</v>
      </c>
      <c r="AW80" s="10"/>
      <c r="AX80" s="10"/>
      <c r="AY80" s="10"/>
      <c r="AZ80" s="2"/>
      <c r="BA80" s="2" t="s">
        <v>1095</v>
      </c>
      <c r="BB80" s="2"/>
      <c r="BC80" s="2"/>
      <c r="BD80" s="2"/>
      <c r="BE80" s="2"/>
      <c r="BF80" s="2" t="s">
        <v>1095</v>
      </c>
      <c r="BG80" s="22"/>
      <c r="BH80" s="22"/>
      <c r="BI80" s="2"/>
      <c r="BJ80" s="22"/>
      <c r="BK80" s="2"/>
      <c r="BL80" s="2"/>
      <c r="BM80" s="2"/>
      <c r="BN80" s="2"/>
      <c r="BO80" s="2"/>
      <c r="BP80" s="2" t="str">
        <f aca="false">IF(OR(K80="",BG80=""),"",ROUND(BG80-K80,0))</f>
        <v/>
      </c>
      <c r="BQ80" s="2" t="str">
        <f aca="false">IF(OR(N(BK80)=0,Q80=""),"Not recorded",IF(BK80=Q80,"Match","Differs"))</f>
        <v>Not recorded</v>
      </c>
      <c r="BR80" s="2" t="str">
        <f aca="false">IF(N80="No","Excluded (non-residential)",IF(BF80="No reference","Unverified – no reference",IF(BF80="Not in council register","Unverified – not in register (Part 8 / other)",IF(OR(BF80="Refused",BF80="Refused on appeal",BF80="Withdrawn",BF80="Invalid",BF80="Quashed"),IF(OR(G80="Complete",G80="On Site",G80="Part Complete"),"Conflict – register not live but CIS says built","Conflict – not live in register"),IF(AND(G80="Plans Submitted",OR(BF80="Granted",BF80="Granted on appeal")),"Stage out of date – now granted",IF(AND(G80&lt;&gt;"Plans Submitted",OR(BF80="Pending",BF80="Under appeal")),"Check – register still pending",IF(N(BL80)&gt;Method!$B$7,"Check – location differs",IF(AND(BP80&lt;&gt;"",ABS(N(BP80))&gt;60),"Consistent – decision date differs","Consistent"))))))))</f>
        <v>Unverified – not in register (Part 8 / other)</v>
      </c>
      <c r="BS80" s="2"/>
      <c r="BT80" s="2"/>
      <c r="BU80" s="2"/>
      <c r="BV80" s="2"/>
      <c r="BW80" s="2"/>
      <c r="BX80" s="2"/>
    </row>
    <row r="81" customFormat="false" ht="15" hidden="false" customHeight="false" outlineLevel="0" collapsed="false">
      <c r="A81" s="2" t="n">
        <v>1350850</v>
      </c>
      <c r="B81" s="2" t="s">
        <v>191</v>
      </c>
      <c r="C81" s="2" t="s">
        <v>1312</v>
      </c>
      <c r="D81" s="2" t="s">
        <v>192</v>
      </c>
      <c r="E81" s="2" t="s">
        <v>193</v>
      </c>
      <c r="F81" s="2" t="s">
        <v>144</v>
      </c>
      <c r="G81" s="2" t="s">
        <v>194</v>
      </c>
      <c r="H81" s="2" t="s">
        <v>1014</v>
      </c>
      <c r="I81" s="2" t="s">
        <v>198</v>
      </c>
      <c r="J81" s="22" t="n">
        <v>45450</v>
      </c>
      <c r="K81" s="22" t="n">
        <v>45688</v>
      </c>
      <c r="L81" s="22" t="n">
        <v>46273.4343783565</v>
      </c>
      <c r="M81" s="2" t="s">
        <v>1016</v>
      </c>
      <c r="N81" s="2" t="s">
        <v>121</v>
      </c>
      <c r="O81" s="2"/>
      <c r="P81" s="2" t="s">
        <v>1017</v>
      </c>
      <c r="Q81" s="10" t="n">
        <v>18</v>
      </c>
      <c r="R81" s="10"/>
      <c r="S81" s="10"/>
      <c r="T81" s="2" t="s">
        <v>120</v>
      </c>
      <c r="U81" s="2"/>
      <c r="V81" s="2" t="s">
        <v>1029</v>
      </c>
      <c r="W81" s="2" t="s">
        <v>1030</v>
      </c>
      <c r="X81" s="7"/>
      <c r="Y81" s="2" t="str">
        <f aca="false">IF(X81&lt;&gt;"",X81,T81)</f>
        <v>Primary</v>
      </c>
      <c r="Z81" s="2" t="str">
        <f aca="false">IF(OR(Y81="Primary",Y81="Additional phase",Y81="Additional application on site",Y81="Replaces earlier",Y81="Extension of duration (parent not in CIS)"),"Yes","No")</f>
        <v>Yes</v>
      </c>
      <c r="AA81" s="2"/>
      <c r="AB81" s="2" t="n">
        <f aca="false">IF(L81="","",ROUND((Method!$B$4-L81)/30.44,0))</f>
        <v>1</v>
      </c>
      <c r="AC81" s="2" t="str">
        <f aca="false">IF(AB81="","No",IF(AB81&gt;Method!$B$5,"Yes","No"))</f>
        <v>No</v>
      </c>
      <c r="AD81" s="22" t="n">
        <f aca="false">IF(BJ81&lt;&gt;"",BJ81,IF(K81&lt;&gt;"",EDATE(K81,60),""))</f>
        <v>47548</v>
      </c>
      <c r="AE81" s="2" t="str">
        <f aca="false">IF(AND(AD81&lt;&gt;"",OR(G81="Permission Granted",G81="Commencement Expected",G81="Stalled or Suspended")),IF(AD81&lt;Method!$B$4,"Yes","No"),"No")</f>
        <v>No</v>
      </c>
      <c r="AF81" s="7"/>
      <c r="AG81" s="2" t="str">
        <f aca="false">IF(Z81="No","Not counted",IF(AF81="Lapsed or dead","Excluded",IF(AF81="Constrained","Constrained / uncertain",IF(AF81="Confirmed live",IF(G81="On Site","Committed",IF(G81="Part Complete","Committed",IF(G81="Contract Awarded","Committed Pre-Construction",IF(G81="Tender","Advanced Pre-Construction",IF(G81="Commencement Expected","Likely",IF(G81="Permission Granted","Potential",IF(G81="Stalled or Suspended","Constrained / uncertain",IF(G81="Complete","Delivered","Application Pipeline")))))))),IF(G81="Complete","Delivered",IF(AND(OR(G81="Permission Granted",G81="Commencement Expected"),OR(AC81="Yes",AE81="Yes")),"Constrained / uncertain",IF(G81="On Site","Committed",IF(G81="Part Complete","Committed",IF(G81="Contract Awarded","Committed Pre-Construction",IF(G81="Tender","Advanced Pre-Construction",IF(G81="Commencement Expected","Likely",IF(G81="Permission Granted","Potential",IF(G81="Stalled or Suspended","Constrained / uncertain",IF(G81="Complete","Delivered","Application Pipeline"))))))))))))))</f>
        <v>Likely</v>
      </c>
      <c r="AH81" s="2" t="str">
        <f aca="false">IF(Z81="No","Relationship: "&amp;Y81,IF(AF81&lt;&gt;"","Analyst: "&amp;AF81,IF(G81="Complete","Complete",IF(AND(OR(G81="Permission Granted",G81="Commencement Expected"),AE81="Yes"),"Past expiry",IF(AND(OR(G81="Permission Granted",G81="Commencement Expected"),AC81="Yes"),"No CIS update in "&amp;AB81&amp;" months","As CIS")))))</f>
        <v>As CIS</v>
      </c>
      <c r="AI81" s="10" t="n">
        <f aca="false">IF(Z81="Yes",N(Q81),0)</f>
        <v>18</v>
      </c>
      <c r="AJ81" s="10" t="n">
        <f aca="false">IF(OR(Z81="No",G81="Complete"),0,MAX(N(Q81)-N(AA81),0))</f>
        <v>18</v>
      </c>
      <c r="AK81" s="10" t="n">
        <f aca="false">IF(Z81="No",0,IF(G81="Complete",N(Q81),MIN(N(AA81),N(Q81))))</f>
        <v>0</v>
      </c>
      <c r="AL81" s="10" t="n">
        <f aca="false">IF(OR(OR(AG81="Not counted",AG81="Excluded",AG81="Delivered"),P81="Student accommodation"),0,AJ81)</f>
        <v>18</v>
      </c>
      <c r="AM81" s="10" t="n">
        <f aca="false">IF(OR(OR(AG81="Not counted",AG81="Excluded",AG81="Delivered"),P81&lt;&gt;"Student accommodation"),0,AJ81)</f>
        <v>0</v>
      </c>
      <c r="AN81" s="10" t="n">
        <f aca="false">IF(OR(AG81="Not counted",AG81="Excluded",AG81="Delivered"),0,N(S81))</f>
        <v>0</v>
      </c>
      <c r="AO81" s="2" t="s">
        <v>1021</v>
      </c>
      <c r="AP81" s="10"/>
      <c r="AQ81" s="10"/>
      <c r="AR81" s="10"/>
      <c r="AS81" s="10"/>
      <c r="AT81" s="10"/>
      <c r="AU81" s="10"/>
      <c r="AV81" s="10" t="n">
        <f aca="false">N(AP81)+N(AQ81)+N(AR81)+N(AS81)+N(AT81)+N(AU81)</f>
        <v>0</v>
      </c>
      <c r="AW81" s="10"/>
      <c r="AX81" s="10"/>
      <c r="AY81" s="10"/>
      <c r="AZ81" s="2"/>
      <c r="BA81" s="2" t="s">
        <v>1022</v>
      </c>
      <c r="BB81" s="2" t="s">
        <v>1312</v>
      </c>
      <c r="BC81" s="2" t="s">
        <v>1023</v>
      </c>
      <c r="BD81" s="2" t="s">
        <v>1024</v>
      </c>
      <c r="BE81" s="2"/>
      <c r="BF81" s="2" t="s">
        <v>1025</v>
      </c>
      <c r="BG81" s="22" t="n">
        <v>45688</v>
      </c>
      <c r="BH81" s="22" t="n">
        <v>47548</v>
      </c>
      <c r="BI81" s="2"/>
      <c r="BJ81" s="22" t="n">
        <v>47548</v>
      </c>
      <c r="BK81" s="2" t="n">
        <v>17</v>
      </c>
      <c r="BL81" s="2" t="n">
        <v>0</v>
      </c>
      <c r="BM81" s="2"/>
      <c r="BN81" s="2" t="s">
        <v>1313</v>
      </c>
      <c r="BO81" s="23" t="s">
        <v>1314</v>
      </c>
      <c r="BP81" s="2" t="n">
        <f aca="false">IF(OR(K81="",BG81=""),"",ROUND(BG81-K81,0))</f>
        <v>0</v>
      </c>
      <c r="BQ81" s="2" t="str">
        <f aca="false">IF(OR(N(BK81)=0,Q81=""),"Not recorded",IF(BK81=Q81,"Match","Differs"))</f>
        <v>Differs</v>
      </c>
      <c r="BR81" s="2" t="str">
        <f aca="false">IF(N81="No","Excluded (non-residential)",IF(BF81="No reference","Unverified – no reference",IF(BF81="Not in council register","Unverified – not in register (Part 8 / other)",IF(OR(BF81="Refused",BF81="Refused on appeal",BF81="Withdrawn",BF81="Invalid",BF81="Quashed"),IF(OR(G81="Complete",G81="On Site",G81="Part Complete"),"Conflict – register not live but CIS says built","Conflict – not live in register"),IF(AND(G81="Plans Submitted",OR(BF81="Granted",BF81="Granted on appeal")),"Stage out of date – now granted",IF(AND(G81&lt;&gt;"Plans Submitted",OR(BF81="Pending",BF81="Under appeal")),"Check – register still pending",IF(N(BL81)&gt;Method!$B$7,"Check – location differs",IF(AND(BP81&lt;&gt;"",ABS(N(BP81))&gt;60),"Consistent – decision date differs","Consistent"))))))))</f>
        <v>Consistent</v>
      </c>
      <c r="BS81" s="2"/>
      <c r="BT81" s="2"/>
      <c r="BU81" s="2"/>
      <c r="BV81" s="2"/>
      <c r="BW81" s="2"/>
      <c r="BX81" s="2"/>
    </row>
    <row r="82" customFormat="false" ht="15" hidden="false" customHeight="false" outlineLevel="0" collapsed="false">
      <c r="A82" s="2" t="n">
        <v>1350852</v>
      </c>
      <c r="B82" s="2" t="s">
        <v>414</v>
      </c>
      <c r="C82" s="2" t="s">
        <v>1315</v>
      </c>
      <c r="D82" s="2" t="s">
        <v>415</v>
      </c>
      <c r="E82" s="2" t="s">
        <v>416</v>
      </c>
      <c r="F82" s="2" t="s">
        <v>139</v>
      </c>
      <c r="G82" s="2" t="s">
        <v>187</v>
      </c>
      <c r="H82" s="2" t="s">
        <v>1014</v>
      </c>
      <c r="I82" s="2"/>
      <c r="J82" s="22" t="n">
        <v>45452</v>
      </c>
      <c r="K82" s="22" t="n">
        <v>45646</v>
      </c>
      <c r="L82" s="22" t="n">
        <v>45695.4693575232</v>
      </c>
      <c r="M82" s="2" t="s">
        <v>1016</v>
      </c>
      <c r="N82" s="2" t="s">
        <v>121</v>
      </c>
      <c r="O82" s="2"/>
      <c r="P82" s="2" t="s">
        <v>1017</v>
      </c>
      <c r="Q82" s="10" t="n">
        <v>40</v>
      </c>
      <c r="R82" s="10"/>
      <c r="S82" s="10"/>
      <c r="T82" s="2" t="s">
        <v>120</v>
      </c>
      <c r="U82" s="2"/>
      <c r="V82" s="2" t="s">
        <v>1029</v>
      </c>
      <c r="W82" s="2" t="s">
        <v>1030</v>
      </c>
      <c r="X82" s="7"/>
      <c r="Y82" s="2" t="str">
        <f aca="false">IF(X82&lt;&gt;"",X82,T82)</f>
        <v>Primary</v>
      </c>
      <c r="Z82" s="2" t="str">
        <f aca="false">IF(OR(Y82="Primary",Y82="Additional phase",Y82="Additional application on site",Y82="Replaces earlier",Y82="Extension of duration (parent not in CIS)"),"Yes","No")</f>
        <v>Yes</v>
      </c>
      <c r="AA82" s="2"/>
      <c r="AB82" s="2" t="n">
        <f aca="false">IF(L82="","",ROUND((Method!$B$4-L82)/30.44,0))</f>
        <v>20</v>
      </c>
      <c r="AC82" s="2" t="str">
        <f aca="false">IF(AB82="","No",IF(AB82&gt;Method!$B$5,"Yes","No"))</f>
        <v>No</v>
      </c>
      <c r="AD82" s="22" t="n">
        <f aca="false">IF(BJ82&lt;&gt;"",BJ82,IF(K82&lt;&gt;"",EDATE(K82,60),""))</f>
        <v>47519</v>
      </c>
      <c r="AE82" s="2" t="str">
        <f aca="false">IF(AND(AD82&lt;&gt;"",OR(G82="Permission Granted",G82="Commencement Expected",G82="Stalled or Suspended")),IF(AD82&lt;Method!$B$4,"Yes","No"),"No")</f>
        <v>No</v>
      </c>
      <c r="AF82" s="7"/>
      <c r="AG82" s="2" t="str">
        <f aca="false">IF(Z82="No","Not counted",IF(AF82="Lapsed or dead","Excluded",IF(AF82="Constrained","Constrained / uncertain",IF(AF82="Confirmed live",IF(G82="On Site","Committed",IF(G82="Part Complete","Committed",IF(G82="Contract Awarded","Committed Pre-Construction",IF(G82="Tender","Advanced Pre-Construction",IF(G82="Commencement Expected","Likely",IF(G82="Permission Granted","Potential",IF(G82="Stalled or Suspended","Constrained / uncertain",IF(G82="Complete","Delivered","Application Pipeline")))))))),IF(G82="Complete","Delivered",IF(AND(OR(G82="Permission Granted",G82="Commencement Expected"),OR(AC82="Yes",AE82="Yes")),"Constrained / uncertain",IF(G82="On Site","Committed",IF(G82="Part Complete","Committed",IF(G82="Contract Awarded","Committed Pre-Construction",IF(G82="Tender","Advanced Pre-Construction",IF(G82="Commencement Expected","Likely",IF(G82="Permission Granted","Potential",IF(G82="Stalled or Suspended","Constrained / uncertain",IF(G82="Complete","Delivered","Application Pipeline"))))))))))))))</f>
        <v>Potential</v>
      </c>
      <c r="AH82" s="2" t="str">
        <f aca="false">IF(Z82="No","Relationship: "&amp;Y82,IF(AF82&lt;&gt;"","Analyst: "&amp;AF82,IF(G82="Complete","Complete",IF(AND(OR(G82="Permission Granted",G82="Commencement Expected"),AE82="Yes"),"Past expiry",IF(AND(OR(G82="Permission Granted",G82="Commencement Expected"),AC82="Yes"),"No CIS update in "&amp;AB82&amp;" months","As CIS")))))</f>
        <v>As CIS</v>
      </c>
      <c r="AI82" s="10" t="n">
        <f aca="false">IF(Z82="Yes",N(Q82),0)</f>
        <v>40</v>
      </c>
      <c r="AJ82" s="10" t="n">
        <f aca="false">IF(OR(Z82="No",G82="Complete"),0,MAX(N(Q82)-N(AA82),0))</f>
        <v>40</v>
      </c>
      <c r="AK82" s="10" t="n">
        <f aca="false">IF(Z82="No",0,IF(G82="Complete",N(Q82),MIN(N(AA82),N(Q82))))</f>
        <v>0</v>
      </c>
      <c r="AL82" s="10" t="n">
        <f aca="false">IF(OR(OR(AG82="Not counted",AG82="Excluded",AG82="Delivered"),P82="Student accommodation"),0,AJ82)</f>
        <v>40</v>
      </c>
      <c r="AM82" s="10" t="n">
        <f aca="false">IF(OR(OR(AG82="Not counted",AG82="Excluded",AG82="Delivered"),P82&lt;&gt;"Student accommodation"),0,AJ82)</f>
        <v>0</v>
      </c>
      <c r="AN82" s="10" t="n">
        <f aca="false">IF(OR(AG82="Not counted",AG82="Excluded",AG82="Delivered"),0,N(S82))</f>
        <v>0</v>
      </c>
      <c r="AO82" s="2" t="s">
        <v>1157</v>
      </c>
      <c r="AP82" s="10"/>
      <c r="AQ82" s="10" t="n">
        <v>24</v>
      </c>
      <c r="AR82" s="10" t="n">
        <v>16</v>
      </c>
      <c r="AS82" s="10"/>
      <c r="AT82" s="10"/>
      <c r="AU82" s="10"/>
      <c r="AV82" s="10" t="n">
        <f aca="false">N(AP82)+N(AQ82)+N(AR82)+N(AS82)+N(AT82)+N(AU82)</f>
        <v>40</v>
      </c>
      <c r="AW82" s="10"/>
      <c r="AX82" s="10" t="n">
        <v>40</v>
      </c>
      <c r="AY82" s="10"/>
      <c r="AZ82" s="2"/>
      <c r="BA82" s="2" t="s">
        <v>1022</v>
      </c>
      <c r="BB82" s="2" t="s">
        <v>1315</v>
      </c>
      <c r="BC82" s="2" t="s">
        <v>1023</v>
      </c>
      <c r="BD82" s="2" t="s">
        <v>1024</v>
      </c>
      <c r="BE82" s="2"/>
      <c r="BF82" s="2" t="s">
        <v>1025</v>
      </c>
      <c r="BG82" s="22" t="n">
        <v>45646</v>
      </c>
      <c r="BH82" s="22" t="n">
        <v>47519</v>
      </c>
      <c r="BI82" s="2"/>
      <c r="BJ82" s="22" t="n">
        <v>47519</v>
      </c>
      <c r="BK82" s="2"/>
      <c r="BL82" s="2" t="n">
        <v>0</v>
      </c>
      <c r="BM82" s="2"/>
      <c r="BN82" s="2" t="s">
        <v>1316</v>
      </c>
      <c r="BO82" s="23" t="s">
        <v>1317</v>
      </c>
      <c r="BP82" s="2" t="n">
        <f aca="false">IF(OR(K82="",BG82=""),"",ROUND(BG82-K82,0))</f>
        <v>0</v>
      </c>
      <c r="BQ82" s="2" t="str">
        <f aca="false">IF(OR(N(BK82)=0,Q82=""),"Not recorded",IF(BK82=Q82,"Match","Differs"))</f>
        <v>Not recorded</v>
      </c>
      <c r="BR82" s="2" t="str">
        <f aca="false">IF(N82="No","Excluded (non-residential)",IF(BF82="No reference","Unverified – no reference",IF(BF82="Not in council register","Unverified – not in register (Part 8 / other)",IF(OR(BF82="Refused",BF82="Refused on appeal",BF82="Withdrawn",BF82="Invalid",BF82="Quashed"),IF(OR(G82="Complete",G82="On Site",G82="Part Complete"),"Conflict – register not live but CIS says built","Conflict – not live in register"),IF(AND(G82="Plans Submitted",OR(BF82="Granted",BF82="Granted on appeal")),"Stage out of date – now granted",IF(AND(G82&lt;&gt;"Plans Submitted",OR(BF82="Pending",BF82="Under appeal")),"Check – register still pending",IF(N(BL82)&gt;Method!$B$7,"Check – location differs",IF(AND(BP82&lt;&gt;"",ABS(N(BP82))&gt;60),"Consistent – decision date differs","Consistent"))))))))</f>
        <v>Consistent</v>
      </c>
      <c r="BS82" s="2"/>
      <c r="BT82" s="2"/>
      <c r="BU82" s="2"/>
      <c r="BV82" s="2"/>
      <c r="BW82" s="2"/>
      <c r="BX82" s="2"/>
    </row>
    <row r="83" customFormat="false" ht="15" hidden="false" customHeight="false" outlineLevel="0" collapsed="false">
      <c r="A83" s="2" t="n">
        <v>1357447</v>
      </c>
      <c r="B83" s="2" t="s">
        <v>354</v>
      </c>
      <c r="C83" s="2" t="s">
        <v>1318</v>
      </c>
      <c r="D83" s="2" t="s">
        <v>355</v>
      </c>
      <c r="E83" s="2" t="s">
        <v>356</v>
      </c>
      <c r="F83" s="2" t="s">
        <v>139</v>
      </c>
      <c r="G83" s="2" t="s">
        <v>187</v>
      </c>
      <c r="H83" s="2" t="s">
        <v>1014</v>
      </c>
      <c r="I83" s="2"/>
      <c r="J83" s="22" t="n">
        <v>45491</v>
      </c>
      <c r="K83" s="22" t="n">
        <v>45961</v>
      </c>
      <c r="L83" s="22" t="n">
        <v>45968.3493209144</v>
      </c>
      <c r="M83" s="2" t="s">
        <v>1016</v>
      </c>
      <c r="N83" s="2" t="s">
        <v>121</v>
      </c>
      <c r="O83" s="2"/>
      <c r="P83" s="2" t="s">
        <v>1017</v>
      </c>
      <c r="Q83" s="10" t="n">
        <v>25</v>
      </c>
      <c r="R83" s="10" t="n">
        <v>25</v>
      </c>
      <c r="S83" s="10"/>
      <c r="T83" s="2" t="s">
        <v>120</v>
      </c>
      <c r="U83" s="2"/>
      <c r="V83" s="2" t="s">
        <v>1029</v>
      </c>
      <c r="W83" s="2" t="s">
        <v>1030</v>
      </c>
      <c r="X83" s="7"/>
      <c r="Y83" s="2" t="str">
        <f aca="false">IF(X83&lt;&gt;"",X83,T83)</f>
        <v>Primary</v>
      </c>
      <c r="Z83" s="2" t="str">
        <f aca="false">IF(OR(Y83="Primary",Y83="Additional phase",Y83="Additional application on site",Y83="Replaces earlier",Y83="Extension of duration (parent not in CIS)"),"Yes","No")</f>
        <v>Yes</v>
      </c>
      <c r="AA83" s="2"/>
      <c r="AB83" s="2" t="n">
        <f aca="false">IF(L83="","",ROUND((Method!$B$4-L83)/30.44,0))</f>
        <v>11</v>
      </c>
      <c r="AC83" s="2" t="str">
        <f aca="false">IF(AB83="","No",IF(AB83&gt;Method!$B$5,"Yes","No"))</f>
        <v>No</v>
      </c>
      <c r="AD83" s="22" t="n">
        <f aca="false">IF(BJ83&lt;&gt;"",BJ83,IF(K83&lt;&gt;"",EDATE(K83,60),""))</f>
        <v>47786</v>
      </c>
      <c r="AE83" s="2" t="str">
        <f aca="false">IF(AND(AD83&lt;&gt;"",OR(G83="Permission Granted",G83="Commencement Expected",G83="Stalled or Suspended")),IF(AD83&lt;Method!$B$4,"Yes","No"),"No")</f>
        <v>No</v>
      </c>
      <c r="AF83" s="7"/>
      <c r="AG83" s="2" t="str">
        <f aca="false">IF(Z83="No","Not counted",IF(AF83="Lapsed or dead","Excluded",IF(AF83="Constrained","Constrained / uncertain",IF(AF83="Confirmed live",IF(G83="On Site","Committed",IF(G83="Part Complete","Committed",IF(G83="Contract Awarded","Committed Pre-Construction",IF(G83="Tender","Advanced Pre-Construction",IF(G83="Commencement Expected","Likely",IF(G83="Permission Granted","Potential",IF(G83="Stalled or Suspended","Constrained / uncertain",IF(G83="Complete","Delivered","Application Pipeline")))))))),IF(G83="Complete","Delivered",IF(AND(OR(G83="Permission Granted",G83="Commencement Expected"),OR(AC83="Yes",AE83="Yes")),"Constrained / uncertain",IF(G83="On Site","Committed",IF(G83="Part Complete","Committed",IF(G83="Contract Awarded","Committed Pre-Construction",IF(G83="Tender","Advanced Pre-Construction",IF(G83="Commencement Expected","Likely",IF(G83="Permission Granted","Potential",IF(G83="Stalled or Suspended","Constrained / uncertain",IF(G83="Complete","Delivered","Application Pipeline"))))))))))))))</f>
        <v>Potential</v>
      </c>
      <c r="AH83" s="2" t="str">
        <f aca="false">IF(Z83="No","Relationship: "&amp;Y83,IF(AF83&lt;&gt;"","Analyst: "&amp;AF83,IF(G83="Complete","Complete",IF(AND(OR(G83="Permission Granted",G83="Commencement Expected"),AE83="Yes"),"Past expiry",IF(AND(OR(G83="Permission Granted",G83="Commencement Expected"),AC83="Yes"),"No CIS update in "&amp;AB83&amp;" months","As CIS")))))</f>
        <v>As CIS</v>
      </c>
      <c r="AI83" s="10" t="n">
        <f aca="false">IF(Z83="Yes",N(Q83),0)</f>
        <v>25</v>
      </c>
      <c r="AJ83" s="10" t="n">
        <f aca="false">IF(OR(Z83="No",G83="Complete"),0,MAX(N(Q83)-N(AA83),0))</f>
        <v>25</v>
      </c>
      <c r="AK83" s="10" t="n">
        <f aca="false">IF(Z83="No",0,IF(G83="Complete",N(Q83),MIN(N(AA83),N(Q83))))</f>
        <v>0</v>
      </c>
      <c r="AL83" s="10" t="n">
        <f aca="false">IF(OR(OR(AG83="Not counted",AG83="Excluded",AG83="Delivered"),P83="Student accommodation"),0,AJ83)</f>
        <v>25</v>
      </c>
      <c r="AM83" s="10" t="n">
        <f aca="false">IF(OR(OR(AG83="Not counted",AG83="Excluded",AG83="Delivered"),P83&lt;&gt;"Student accommodation"),0,AJ83)</f>
        <v>0</v>
      </c>
      <c r="AN83" s="10" t="n">
        <f aca="false">IF(OR(AG83="Not counted",AG83="Excluded",AG83="Delivered"),0,N(S83))</f>
        <v>0</v>
      </c>
      <c r="AO83" s="2" t="s">
        <v>1157</v>
      </c>
      <c r="AP83" s="10"/>
      <c r="AQ83" s="10" t="n">
        <v>10</v>
      </c>
      <c r="AR83" s="10" t="n">
        <v>15</v>
      </c>
      <c r="AS83" s="10"/>
      <c r="AT83" s="10"/>
      <c r="AU83" s="10"/>
      <c r="AV83" s="10" t="n">
        <f aca="false">N(AP83)+N(AQ83)+N(AR83)+N(AS83)+N(AT83)+N(AU83)</f>
        <v>25</v>
      </c>
      <c r="AW83" s="10"/>
      <c r="AX83" s="10" t="n">
        <v>25</v>
      </c>
      <c r="AY83" s="10"/>
      <c r="AZ83" s="2"/>
      <c r="BA83" s="2" t="s">
        <v>1022</v>
      </c>
      <c r="BB83" s="2" t="s">
        <v>1318</v>
      </c>
      <c r="BC83" s="2" t="s">
        <v>1023</v>
      </c>
      <c r="BD83" s="2" t="s">
        <v>1024</v>
      </c>
      <c r="BE83" s="2" t="s">
        <v>1024</v>
      </c>
      <c r="BF83" s="2" t="s">
        <v>1059</v>
      </c>
      <c r="BG83" s="22" t="n">
        <v>45602</v>
      </c>
      <c r="BH83" s="22" t="n">
        <v>47786</v>
      </c>
      <c r="BI83" s="2"/>
      <c r="BJ83" s="22" t="n">
        <v>47786</v>
      </c>
      <c r="BK83" s="2"/>
      <c r="BL83" s="2" t="n">
        <v>0</v>
      </c>
      <c r="BM83" s="2"/>
      <c r="BN83" s="2" t="s">
        <v>1319</v>
      </c>
      <c r="BO83" s="23" t="s">
        <v>1320</v>
      </c>
      <c r="BP83" s="2" t="n">
        <f aca="false">IF(OR(K83="",BG83=""),"",ROUND(BG83-K83,0))</f>
        <v>-359</v>
      </c>
      <c r="BQ83" s="2" t="str">
        <f aca="false">IF(OR(N(BK83)=0,Q83=""),"Not recorded",IF(BK83=Q83,"Match","Differs"))</f>
        <v>Not recorded</v>
      </c>
      <c r="BR83" s="2" t="str">
        <f aca="false">IF(N83="No","Excluded (non-residential)",IF(BF83="No reference","Unverified – no reference",IF(BF83="Not in council register","Unverified – not in register (Part 8 / other)",IF(OR(BF83="Refused",BF83="Refused on appeal",BF83="Withdrawn",BF83="Invalid",BF83="Quashed"),IF(OR(G83="Complete",G83="On Site",G83="Part Complete"),"Conflict – register not live but CIS says built","Conflict – not live in register"),IF(AND(G83="Plans Submitted",OR(BF83="Granted",BF83="Granted on appeal")),"Stage out of date – now granted",IF(AND(G83&lt;&gt;"Plans Submitted",OR(BF83="Pending",BF83="Under appeal")),"Check – register still pending",IF(N(BL83)&gt;Method!$B$7,"Check – location differs",IF(AND(BP83&lt;&gt;"",ABS(N(BP83))&gt;60),"Consistent – decision date differs","Consistent"))))))))</f>
        <v>Consistent – decision date differs</v>
      </c>
      <c r="BS83" s="2"/>
      <c r="BT83" s="2"/>
      <c r="BU83" s="2"/>
      <c r="BV83" s="2"/>
      <c r="BW83" s="2"/>
      <c r="BX83" s="2"/>
    </row>
    <row r="84" customFormat="false" ht="15" hidden="false" customHeight="false" outlineLevel="0" collapsed="false">
      <c r="A84" s="2" t="n">
        <v>1360553</v>
      </c>
      <c r="B84" s="2" t="s">
        <v>258</v>
      </c>
      <c r="C84" s="2" t="s">
        <v>1321</v>
      </c>
      <c r="D84" s="2" t="s">
        <v>259</v>
      </c>
      <c r="E84" s="2" t="s">
        <v>260</v>
      </c>
      <c r="F84" s="2" t="s">
        <v>133</v>
      </c>
      <c r="G84" s="2" t="s">
        <v>198</v>
      </c>
      <c r="H84" s="2" t="s">
        <v>1014</v>
      </c>
      <c r="I84" s="2" t="s">
        <v>198</v>
      </c>
      <c r="J84" s="22" t="n">
        <v>45510</v>
      </c>
      <c r="K84" s="22" t="n">
        <v>45630</v>
      </c>
      <c r="L84" s="22" t="n">
        <v>46175.4681876157</v>
      </c>
      <c r="M84" s="2" t="s">
        <v>1016</v>
      </c>
      <c r="N84" s="2" t="s">
        <v>121</v>
      </c>
      <c r="O84" s="2"/>
      <c r="P84" s="2" t="s">
        <v>1017</v>
      </c>
      <c r="Q84" s="10" t="n">
        <v>6</v>
      </c>
      <c r="R84" s="10"/>
      <c r="S84" s="10"/>
      <c r="T84" s="2" t="s">
        <v>120</v>
      </c>
      <c r="U84" s="2"/>
      <c r="V84" s="2" t="s">
        <v>1029</v>
      </c>
      <c r="W84" s="2" t="s">
        <v>1030</v>
      </c>
      <c r="X84" s="7"/>
      <c r="Y84" s="2" t="str">
        <f aca="false">IF(X84&lt;&gt;"",X84,T84)</f>
        <v>Primary</v>
      </c>
      <c r="Z84" s="2" t="str">
        <f aca="false">IF(OR(Y84="Primary",Y84="Additional phase",Y84="Additional application on site",Y84="Replaces earlier",Y84="Extension of duration (parent not in CIS)"),"Yes","No")</f>
        <v>Yes</v>
      </c>
      <c r="AA84" s="2"/>
      <c r="AB84" s="2" t="n">
        <f aca="false">IF(L84="","",ROUND((Method!$B$4-L84)/30.44,0))</f>
        <v>4</v>
      </c>
      <c r="AC84" s="2" t="str">
        <f aca="false">IF(AB84="","No",IF(AB84&gt;Method!$B$5,"Yes","No"))</f>
        <v>No</v>
      </c>
      <c r="AD84" s="22" t="n">
        <f aca="false">IF(BJ84&lt;&gt;"",BJ84,IF(K84&lt;&gt;"",EDATE(K84,60),""))</f>
        <v>47456</v>
      </c>
      <c r="AE84" s="2" t="str">
        <f aca="false">IF(AND(AD84&lt;&gt;"",OR(G84="Permission Granted",G84="Commencement Expected",G84="Stalled or Suspended")),IF(AD84&lt;Method!$B$4,"Yes","No"),"No")</f>
        <v>No</v>
      </c>
      <c r="AF84" s="7"/>
      <c r="AG84" s="2" t="str">
        <f aca="false">IF(Z84="No","Not counted",IF(AF84="Lapsed or dead","Excluded",IF(AF84="Constrained","Constrained / uncertain",IF(AF84="Confirmed live",IF(G84="On Site","Committed",IF(G84="Part Complete","Committed",IF(G84="Contract Awarded","Committed Pre-Construction",IF(G84="Tender","Advanced Pre-Construction",IF(G84="Commencement Expected","Likely",IF(G84="Permission Granted","Potential",IF(G84="Stalled or Suspended","Constrained / uncertain",IF(G84="Complete","Delivered","Application Pipeline")))))))),IF(G84="Complete","Delivered",IF(AND(OR(G84="Permission Granted",G84="Commencement Expected"),OR(AC84="Yes",AE84="Yes")),"Constrained / uncertain",IF(G84="On Site","Committed",IF(G84="Part Complete","Committed",IF(G84="Contract Awarded","Committed Pre-Construction",IF(G84="Tender","Advanced Pre-Construction",IF(G84="Commencement Expected","Likely",IF(G84="Permission Granted","Potential",IF(G84="Stalled or Suspended","Constrained / uncertain",IF(G84="Complete","Delivered","Application Pipeline"))))))))))))))</f>
        <v>Committed</v>
      </c>
      <c r="AH84" s="2" t="str">
        <f aca="false">IF(Z84="No","Relationship: "&amp;Y84,IF(AF84&lt;&gt;"","Analyst: "&amp;AF84,IF(G84="Complete","Complete",IF(AND(OR(G84="Permission Granted",G84="Commencement Expected"),AE84="Yes"),"Past expiry",IF(AND(OR(G84="Permission Granted",G84="Commencement Expected"),AC84="Yes"),"No CIS update in "&amp;AB84&amp;" months","As CIS")))))</f>
        <v>As CIS</v>
      </c>
      <c r="AI84" s="10" t="n">
        <f aca="false">IF(Z84="Yes",N(Q84),0)</f>
        <v>6</v>
      </c>
      <c r="AJ84" s="10" t="n">
        <f aca="false">IF(OR(Z84="No",G84="Complete"),0,MAX(N(Q84)-N(AA84),0))</f>
        <v>6</v>
      </c>
      <c r="AK84" s="10" t="n">
        <f aca="false">IF(Z84="No",0,IF(G84="Complete",N(Q84),MIN(N(AA84),N(Q84))))</f>
        <v>0</v>
      </c>
      <c r="AL84" s="10" t="n">
        <f aca="false">IF(OR(OR(AG84="Not counted",AG84="Excluded",AG84="Delivered"),P84="Student accommodation"),0,AJ84)</f>
        <v>6</v>
      </c>
      <c r="AM84" s="10" t="n">
        <f aca="false">IF(OR(OR(AG84="Not counted",AG84="Excluded",AG84="Delivered"),P84&lt;&gt;"Student accommodation"),0,AJ84)</f>
        <v>0</v>
      </c>
      <c r="AN84" s="10" t="n">
        <f aca="false">IF(OR(AG84="Not counted",AG84="Excluded",AG84="Delivered"),0,N(S84))</f>
        <v>0</v>
      </c>
      <c r="AO84" s="2" t="s">
        <v>1043</v>
      </c>
      <c r="AP84" s="10"/>
      <c r="AQ84" s="10"/>
      <c r="AR84" s="10"/>
      <c r="AS84" s="10"/>
      <c r="AT84" s="10"/>
      <c r="AU84" s="10"/>
      <c r="AV84" s="10" t="n">
        <f aca="false">N(AP84)+N(AQ84)+N(AR84)+N(AS84)+N(AT84)+N(AU84)</f>
        <v>0</v>
      </c>
      <c r="AW84" s="10"/>
      <c r="AX84" s="10"/>
      <c r="AY84" s="10"/>
      <c r="AZ84" s="2"/>
      <c r="BA84" s="2" t="s">
        <v>1095</v>
      </c>
      <c r="BB84" s="2"/>
      <c r="BC84" s="2"/>
      <c r="BD84" s="2"/>
      <c r="BE84" s="2"/>
      <c r="BF84" s="2" t="s">
        <v>1095</v>
      </c>
      <c r="BG84" s="22"/>
      <c r="BH84" s="22"/>
      <c r="BI84" s="2"/>
      <c r="BJ84" s="22"/>
      <c r="BK84" s="2"/>
      <c r="BL84" s="2"/>
      <c r="BM84" s="2"/>
      <c r="BN84" s="2"/>
      <c r="BO84" s="2"/>
      <c r="BP84" s="2" t="str">
        <f aca="false">IF(OR(K84="",BG84=""),"",ROUND(BG84-K84,0))</f>
        <v/>
      </c>
      <c r="BQ84" s="2" t="str">
        <f aca="false">IF(OR(N(BK84)=0,Q84=""),"Not recorded",IF(BK84=Q84,"Match","Differs"))</f>
        <v>Not recorded</v>
      </c>
      <c r="BR84" s="2" t="str">
        <f aca="false">IF(N84="No","Excluded (non-residential)",IF(BF84="No reference","Unverified – no reference",IF(BF84="Not in council register","Unverified – not in register (Part 8 / other)",IF(OR(BF84="Refused",BF84="Refused on appeal",BF84="Withdrawn",BF84="Invalid",BF84="Quashed"),IF(OR(G84="Complete",G84="On Site",G84="Part Complete"),"Conflict – register not live but CIS says built","Conflict – not live in register"),IF(AND(G84="Plans Submitted",OR(BF84="Granted",BF84="Granted on appeal")),"Stage out of date – now granted",IF(AND(G84&lt;&gt;"Plans Submitted",OR(BF84="Pending",BF84="Under appeal")),"Check – register still pending",IF(N(BL84)&gt;Method!$B$7,"Check – location differs",IF(AND(BP84&lt;&gt;"",ABS(N(BP84))&gt;60),"Consistent – decision date differs","Consistent"))))))))</f>
        <v>Unverified – not in register (Part 8 / other)</v>
      </c>
      <c r="BS84" s="2" t="n">
        <v>1839</v>
      </c>
      <c r="BT84" s="2" t="s">
        <v>1049</v>
      </c>
      <c r="BU84" s="2"/>
      <c r="BV84" s="2" t="s">
        <v>1178</v>
      </c>
      <c r="BW84" s="2" t="s">
        <v>1179</v>
      </c>
      <c r="BX84" s="2" t="s">
        <v>1052</v>
      </c>
    </row>
    <row r="85" customFormat="false" ht="15" hidden="false" customHeight="false" outlineLevel="0" collapsed="false">
      <c r="A85" s="2" t="n">
        <v>1360674</v>
      </c>
      <c r="B85" s="2" t="s">
        <v>300</v>
      </c>
      <c r="C85" s="2" t="s">
        <v>1322</v>
      </c>
      <c r="D85" s="2" t="s">
        <v>301</v>
      </c>
      <c r="E85" s="2" t="s">
        <v>302</v>
      </c>
      <c r="F85" s="2" t="s">
        <v>138</v>
      </c>
      <c r="G85" s="2" t="s">
        <v>198</v>
      </c>
      <c r="H85" s="2" t="s">
        <v>1014</v>
      </c>
      <c r="I85" s="2" t="s">
        <v>198</v>
      </c>
      <c r="J85" s="22" t="n">
        <v>45510</v>
      </c>
      <c r="K85" s="22" t="n">
        <v>45790</v>
      </c>
      <c r="L85" s="22" t="n">
        <v>46121.6699155903</v>
      </c>
      <c r="M85" s="2" t="s">
        <v>1016</v>
      </c>
      <c r="N85" s="2" t="s">
        <v>121</v>
      </c>
      <c r="O85" s="2"/>
      <c r="P85" s="2" t="s">
        <v>1017</v>
      </c>
      <c r="Q85" s="10" t="n">
        <v>42</v>
      </c>
      <c r="R85" s="10" t="n">
        <v>42</v>
      </c>
      <c r="S85" s="10"/>
      <c r="T85" s="2" t="s">
        <v>120</v>
      </c>
      <c r="U85" s="2"/>
      <c r="V85" s="2" t="s">
        <v>1029</v>
      </c>
      <c r="W85" s="2" t="s">
        <v>1030</v>
      </c>
      <c r="X85" s="7"/>
      <c r="Y85" s="2" t="str">
        <f aca="false">IF(X85&lt;&gt;"",X85,T85)</f>
        <v>Primary</v>
      </c>
      <c r="Z85" s="2" t="str">
        <f aca="false">IF(OR(Y85="Primary",Y85="Additional phase",Y85="Additional application on site",Y85="Replaces earlier",Y85="Extension of duration (parent not in CIS)"),"Yes","No")</f>
        <v>Yes</v>
      </c>
      <c r="AA85" s="2"/>
      <c r="AB85" s="2" t="n">
        <f aca="false">IF(L85="","",ROUND((Method!$B$4-L85)/30.44,0))</f>
        <v>6</v>
      </c>
      <c r="AC85" s="2" t="str">
        <f aca="false">IF(AB85="","No",IF(AB85&gt;Method!$B$5,"Yes","No"))</f>
        <v>No</v>
      </c>
      <c r="AD85" s="22" t="n">
        <f aca="false">IF(BJ85&lt;&gt;"",BJ85,IF(K85&lt;&gt;"",EDATE(K85,60),""))</f>
        <v>47678</v>
      </c>
      <c r="AE85" s="2" t="str">
        <f aca="false">IF(AND(AD85&lt;&gt;"",OR(G85="Permission Granted",G85="Commencement Expected",G85="Stalled or Suspended")),IF(AD85&lt;Method!$B$4,"Yes","No"),"No")</f>
        <v>No</v>
      </c>
      <c r="AF85" s="7"/>
      <c r="AG85" s="2" t="str">
        <f aca="false">IF(Z85="No","Not counted",IF(AF85="Lapsed or dead","Excluded",IF(AF85="Constrained","Constrained / uncertain",IF(AF85="Confirmed live",IF(G85="On Site","Committed",IF(G85="Part Complete","Committed",IF(G85="Contract Awarded","Committed Pre-Construction",IF(G85="Tender","Advanced Pre-Construction",IF(G85="Commencement Expected","Likely",IF(G85="Permission Granted","Potential",IF(G85="Stalled or Suspended","Constrained / uncertain",IF(G85="Complete","Delivered","Application Pipeline")))))))),IF(G85="Complete","Delivered",IF(AND(OR(G85="Permission Granted",G85="Commencement Expected"),OR(AC85="Yes",AE85="Yes")),"Constrained / uncertain",IF(G85="On Site","Committed",IF(G85="Part Complete","Committed",IF(G85="Contract Awarded","Committed Pre-Construction",IF(G85="Tender","Advanced Pre-Construction",IF(G85="Commencement Expected","Likely",IF(G85="Permission Granted","Potential",IF(G85="Stalled or Suspended","Constrained / uncertain",IF(G85="Complete","Delivered","Application Pipeline"))))))))))))))</f>
        <v>Committed</v>
      </c>
      <c r="AH85" s="2" t="str">
        <f aca="false">IF(Z85="No","Relationship: "&amp;Y85,IF(AF85&lt;&gt;"","Analyst: "&amp;AF85,IF(G85="Complete","Complete",IF(AND(OR(G85="Permission Granted",G85="Commencement Expected"),AE85="Yes"),"Past expiry",IF(AND(OR(G85="Permission Granted",G85="Commencement Expected"),AC85="Yes"),"No CIS update in "&amp;AB85&amp;" months","As CIS")))))</f>
        <v>As CIS</v>
      </c>
      <c r="AI85" s="10" t="n">
        <f aca="false">IF(Z85="Yes",N(Q85),0)</f>
        <v>42</v>
      </c>
      <c r="AJ85" s="10" t="n">
        <f aca="false">IF(OR(Z85="No",G85="Complete"),0,MAX(N(Q85)-N(AA85),0))</f>
        <v>42</v>
      </c>
      <c r="AK85" s="10" t="n">
        <f aca="false">IF(Z85="No",0,IF(G85="Complete",N(Q85),MIN(N(AA85),N(Q85))))</f>
        <v>0</v>
      </c>
      <c r="AL85" s="10" t="n">
        <f aca="false">IF(OR(OR(AG85="Not counted",AG85="Excluded",AG85="Delivered"),P85="Student accommodation"),0,AJ85)</f>
        <v>42</v>
      </c>
      <c r="AM85" s="10" t="n">
        <f aca="false">IF(OR(OR(AG85="Not counted",AG85="Excluded",AG85="Delivered"),P85&lt;&gt;"Student accommodation"),0,AJ85)</f>
        <v>0</v>
      </c>
      <c r="AN85" s="10" t="n">
        <f aca="false">IF(OR(AG85="Not counted",AG85="Excluded",AG85="Delivered"),0,N(S85))</f>
        <v>0</v>
      </c>
      <c r="AO85" s="2" t="s">
        <v>1232</v>
      </c>
      <c r="AP85" s="10"/>
      <c r="AQ85" s="10" t="n">
        <v>4</v>
      </c>
      <c r="AR85" s="10" t="n">
        <v>12</v>
      </c>
      <c r="AS85" s="10" t="n">
        <v>18</v>
      </c>
      <c r="AT85" s="10" t="n">
        <v>8</v>
      </c>
      <c r="AU85" s="10"/>
      <c r="AV85" s="10" t="n">
        <f aca="false">N(AP85)+N(AQ85)+N(AR85)+N(AS85)+N(AT85)+N(AU85)</f>
        <v>42</v>
      </c>
      <c r="AW85" s="10" t="n">
        <v>34</v>
      </c>
      <c r="AX85" s="10" t="n">
        <v>8</v>
      </c>
      <c r="AY85" s="10"/>
      <c r="AZ85" s="2" t="s">
        <v>1323</v>
      </c>
      <c r="BA85" s="2" t="s">
        <v>1022</v>
      </c>
      <c r="BB85" s="2" t="s">
        <v>1322</v>
      </c>
      <c r="BC85" s="2" t="s">
        <v>1023</v>
      </c>
      <c r="BD85" s="2" t="s">
        <v>1024</v>
      </c>
      <c r="BE85" s="2"/>
      <c r="BF85" s="2" t="s">
        <v>1025</v>
      </c>
      <c r="BG85" s="22" t="n">
        <v>45790</v>
      </c>
      <c r="BH85" s="22" t="n">
        <v>47678</v>
      </c>
      <c r="BI85" s="2"/>
      <c r="BJ85" s="22" t="n">
        <v>47678</v>
      </c>
      <c r="BK85" s="2" t="n">
        <v>42</v>
      </c>
      <c r="BL85" s="2" t="n">
        <v>0</v>
      </c>
      <c r="BM85" s="2"/>
      <c r="BN85" s="24" t="s">
        <v>1324</v>
      </c>
      <c r="BO85" s="23" t="s">
        <v>1325</v>
      </c>
      <c r="BP85" s="2" t="n">
        <f aca="false">IF(OR(K85="",BG85=""),"",ROUND(BG85-K85,0))</f>
        <v>0</v>
      </c>
      <c r="BQ85" s="2" t="str">
        <f aca="false">IF(OR(N(BK85)=0,Q85=""),"Not recorded",IF(BK85=Q85,"Match","Differs"))</f>
        <v>Match</v>
      </c>
      <c r="BR85" s="2" t="str">
        <f aca="false">IF(N85="No","Excluded (non-residential)",IF(BF85="No reference","Unverified – no reference",IF(BF85="Not in council register","Unverified – not in register (Part 8 / other)",IF(OR(BF85="Refused",BF85="Refused on appeal",BF85="Withdrawn",BF85="Invalid",BF85="Quashed"),IF(OR(G85="Complete",G85="On Site",G85="Part Complete"),"Conflict – register not live but CIS says built","Conflict – not live in register"),IF(AND(G85="Plans Submitted",OR(BF85="Granted",BF85="Granted on appeal")),"Stage out of date – now granted",IF(AND(G85&lt;&gt;"Plans Submitted",OR(BF85="Pending",BF85="Under appeal")),"Check – register still pending",IF(N(BL85)&gt;Method!$B$7,"Check – location differs",IF(AND(BP85&lt;&gt;"",ABS(N(BP85))&gt;60),"Consistent – decision date differs","Consistent"))))))))</f>
        <v>Consistent</v>
      </c>
      <c r="BS85" s="2"/>
      <c r="BT85" s="2"/>
      <c r="BU85" s="2"/>
      <c r="BV85" s="2"/>
      <c r="BW85" s="2"/>
      <c r="BX85" s="2"/>
    </row>
    <row r="86" customFormat="false" ht="15" hidden="false" customHeight="false" outlineLevel="0" collapsed="false">
      <c r="A86" s="2" t="n">
        <v>1363541</v>
      </c>
      <c r="B86" s="2" t="s">
        <v>312</v>
      </c>
      <c r="C86" s="2" t="s">
        <v>1326</v>
      </c>
      <c r="D86" s="2" t="s">
        <v>313</v>
      </c>
      <c r="E86" s="2" t="s">
        <v>314</v>
      </c>
      <c r="F86" s="2" t="s">
        <v>144</v>
      </c>
      <c r="G86" s="2" t="s">
        <v>251</v>
      </c>
      <c r="H86" s="2" t="s">
        <v>1014</v>
      </c>
      <c r="I86" s="2" t="s">
        <v>1015</v>
      </c>
      <c r="J86" s="22" t="n">
        <v>45292</v>
      </c>
      <c r="K86" s="22" t="n">
        <v>45416</v>
      </c>
      <c r="L86" s="22" t="n">
        <v>46113.5181945255</v>
      </c>
      <c r="M86" s="2" t="s">
        <v>1016</v>
      </c>
      <c r="N86" s="2" t="s">
        <v>121</v>
      </c>
      <c r="O86" s="2"/>
      <c r="P86" s="2" t="s">
        <v>1017</v>
      </c>
      <c r="Q86" s="10" t="n">
        <v>6</v>
      </c>
      <c r="R86" s="10"/>
      <c r="S86" s="10"/>
      <c r="T86" s="2" t="s">
        <v>120</v>
      </c>
      <c r="U86" s="2"/>
      <c r="V86" s="2" t="s">
        <v>1029</v>
      </c>
      <c r="W86" s="2" t="s">
        <v>1030</v>
      </c>
      <c r="X86" s="7"/>
      <c r="Y86" s="2" t="str">
        <f aca="false">IF(X86&lt;&gt;"",X86,T86)</f>
        <v>Primary</v>
      </c>
      <c r="Z86" s="2" t="str">
        <f aca="false">IF(OR(Y86="Primary",Y86="Additional phase",Y86="Additional application on site",Y86="Replaces earlier",Y86="Extension of duration (parent not in CIS)"),"Yes","No")</f>
        <v>Yes</v>
      </c>
      <c r="AA86" s="2"/>
      <c r="AB86" s="2" t="n">
        <f aca="false">IF(L86="","",ROUND((Method!$B$4-L86)/30.44,0))</f>
        <v>6</v>
      </c>
      <c r="AC86" s="2" t="str">
        <f aca="false">IF(AB86="","No",IF(AB86&gt;Method!$B$5,"Yes","No"))</f>
        <v>No</v>
      </c>
      <c r="AD86" s="22" t="n">
        <f aca="false">IF(BJ86&lt;&gt;"",BJ86,IF(K86&lt;&gt;"",EDATE(K86,60),""))</f>
        <v>47242</v>
      </c>
      <c r="AE86" s="2" t="str">
        <f aca="false">IF(AND(AD86&lt;&gt;"",OR(G86="Permission Granted",G86="Commencement Expected",G86="Stalled or Suspended")),IF(AD86&lt;Method!$B$4,"Yes","No"),"No")</f>
        <v>No</v>
      </c>
      <c r="AF86" s="7"/>
      <c r="AG86" s="2" t="str">
        <f aca="false">IF(Z86="No","Not counted",IF(AF86="Lapsed or dead","Excluded",IF(AF86="Constrained","Constrained / uncertain",IF(AF86="Confirmed live",IF(G86="On Site","Committed",IF(G86="Part Complete","Committed",IF(G86="Contract Awarded","Committed Pre-Construction",IF(G86="Tender","Advanced Pre-Construction",IF(G86="Commencement Expected","Likely",IF(G86="Permission Granted","Potential",IF(G86="Stalled or Suspended","Constrained / uncertain",IF(G86="Complete","Delivered","Application Pipeline")))))))),IF(G86="Complete","Delivered",IF(AND(OR(G86="Permission Granted",G86="Commencement Expected"),OR(AC86="Yes",AE86="Yes")),"Constrained / uncertain",IF(G86="On Site","Committed",IF(G86="Part Complete","Committed",IF(G86="Contract Awarded","Committed Pre-Construction",IF(G86="Tender","Advanced Pre-Construction",IF(G86="Commencement Expected","Likely",IF(G86="Permission Granted","Potential",IF(G86="Stalled or Suspended","Constrained / uncertain",IF(G86="Complete","Delivered","Application Pipeline"))))))))))))))</f>
        <v>Delivered</v>
      </c>
      <c r="AH86" s="2" t="str">
        <f aca="false">IF(Z86="No","Relationship: "&amp;Y86,IF(AF86&lt;&gt;"","Analyst: "&amp;AF86,IF(G86="Complete","Complete",IF(AND(OR(G86="Permission Granted",G86="Commencement Expected"),AE86="Yes"),"Past expiry",IF(AND(OR(G86="Permission Granted",G86="Commencement Expected"),AC86="Yes"),"No CIS update in "&amp;AB86&amp;" months","As CIS")))))</f>
        <v>Complete</v>
      </c>
      <c r="AI86" s="10" t="n">
        <f aca="false">IF(Z86="Yes",N(Q86),0)</f>
        <v>6</v>
      </c>
      <c r="AJ86" s="10" t="n">
        <f aca="false">IF(OR(Z86="No",G86="Complete"),0,MAX(N(Q86)-N(AA86),0))</f>
        <v>0</v>
      </c>
      <c r="AK86" s="10" t="n">
        <f aca="false">IF(Z86="No",0,IF(G86="Complete",N(Q86),MIN(N(AA86),N(Q86))))</f>
        <v>6</v>
      </c>
      <c r="AL86" s="10" t="n">
        <f aca="false">IF(OR(OR(AG86="Not counted",AG86="Excluded",AG86="Delivered"),P86="Student accommodation"),0,AJ86)</f>
        <v>0</v>
      </c>
      <c r="AM86" s="10" t="n">
        <f aca="false">IF(OR(OR(AG86="Not counted",AG86="Excluded",AG86="Delivered"),P86&lt;&gt;"Student accommodation"),0,AJ86)</f>
        <v>0</v>
      </c>
      <c r="AN86" s="10" t="n">
        <f aca="false">IF(OR(AG86="Not counted",AG86="Excluded",AG86="Delivered"),0,N(S86))</f>
        <v>0</v>
      </c>
      <c r="AO86" s="2" t="s">
        <v>1043</v>
      </c>
      <c r="AP86" s="10"/>
      <c r="AQ86" s="10"/>
      <c r="AR86" s="10"/>
      <c r="AS86" s="10"/>
      <c r="AT86" s="10"/>
      <c r="AU86" s="10"/>
      <c r="AV86" s="10" t="n">
        <f aca="false">N(AP86)+N(AQ86)+N(AR86)+N(AS86)+N(AT86)+N(AU86)</f>
        <v>0</v>
      </c>
      <c r="AW86" s="10"/>
      <c r="AX86" s="10"/>
      <c r="AY86" s="10"/>
      <c r="AZ86" s="2"/>
      <c r="BA86" s="2" t="s">
        <v>1095</v>
      </c>
      <c r="BB86" s="2"/>
      <c r="BC86" s="2"/>
      <c r="BD86" s="2"/>
      <c r="BE86" s="2"/>
      <c r="BF86" s="2" t="s">
        <v>1095</v>
      </c>
      <c r="BG86" s="22"/>
      <c r="BH86" s="22"/>
      <c r="BI86" s="2"/>
      <c r="BJ86" s="22"/>
      <c r="BK86" s="2"/>
      <c r="BL86" s="2"/>
      <c r="BM86" s="2"/>
      <c r="BN86" s="2"/>
      <c r="BO86" s="2"/>
      <c r="BP86" s="2" t="str">
        <f aca="false">IF(OR(K86="",BG86=""),"",ROUND(BG86-K86,0))</f>
        <v/>
      </c>
      <c r="BQ86" s="2" t="str">
        <f aca="false">IF(OR(N(BK86)=0,Q86=""),"Not recorded",IF(BK86=Q86,"Match","Differs"))</f>
        <v>Not recorded</v>
      </c>
      <c r="BR86" s="2" t="str">
        <f aca="false">IF(N86="No","Excluded (non-residential)",IF(BF86="No reference","Unverified – no reference",IF(BF86="Not in council register","Unverified – not in register (Part 8 / other)",IF(OR(BF86="Refused",BF86="Refused on appeal",BF86="Withdrawn",BF86="Invalid",BF86="Quashed"),IF(OR(G86="Complete",G86="On Site",G86="Part Complete"),"Conflict – register not live but CIS says built","Conflict – not live in register"),IF(AND(G86="Plans Submitted",OR(BF86="Granted",BF86="Granted on appeal")),"Stage out of date – now granted",IF(AND(G86&lt;&gt;"Plans Submitted",OR(BF86="Pending",BF86="Under appeal")),"Check – register still pending",IF(N(BL86)&gt;Method!$B$7,"Check – location differs",IF(AND(BP86&lt;&gt;"",ABS(N(BP86))&gt;60),"Consistent – decision date differs","Consistent"))))))))</f>
        <v>Unverified – not in register (Part 8 / other)</v>
      </c>
      <c r="BS86" s="2"/>
      <c r="BT86" s="2"/>
      <c r="BU86" s="2"/>
      <c r="BV86" s="2"/>
      <c r="BW86" s="2"/>
      <c r="BX86" s="2"/>
    </row>
    <row r="87" customFormat="false" ht="15" hidden="false" customHeight="false" outlineLevel="0" collapsed="false">
      <c r="A87" s="2" t="n">
        <v>1363543</v>
      </c>
      <c r="B87" s="2" t="s">
        <v>318</v>
      </c>
      <c r="C87" s="2" t="s">
        <v>1327</v>
      </c>
      <c r="D87" s="2" t="s">
        <v>319</v>
      </c>
      <c r="E87" s="2" t="s">
        <v>320</v>
      </c>
      <c r="F87" s="2" t="s">
        <v>144</v>
      </c>
      <c r="G87" s="2" t="s">
        <v>251</v>
      </c>
      <c r="H87" s="2" t="s">
        <v>1014</v>
      </c>
      <c r="I87" s="2" t="s">
        <v>1015</v>
      </c>
      <c r="J87" s="22" t="n">
        <v>45292</v>
      </c>
      <c r="K87" s="22" t="n">
        <v>45413</v>
      </c>
      <c r="L87" s="22" t="n">
        <v>46106.5431837963</v>
      </c>
      <c r="M87" s="2" t="s">
        <v>1016</v>
      </c>
      <c r="N87" s="2" t="s">
        <v>121</v>
      </c>
      <c r="O87" s="2"/>
      <c r="P87" s="2" t="s">
        <v>1017</v>
      </c>
      <c r="Q87" s="10" t="n">
        <v>14</v>
      </c>
      <c r="R87" s="10"/>
      <c r="S87" s="10"/>
      <c r="T87" s="2" t="s">
        <v>120</v>
      </c>
      <c r="U87" s="2"/>
      <c r="V87" s="2" t="s">
        <v>1029</v>
      </c>
      <c r="W87" s="2" t="s">
        <v>1030</v>
      </c>
      <c r="X87" s="7"/>
      <c r="Y87" s="2" t="str">
        <f aca="false">IF(X87&lt;&gt;"",X87,T87)</f>
        <v>Primary</v>
      </c>
      <c r="Z87" s="2" t="str">
        <f aca="false">IF(OR(Y87="Primary",Y87="Additional phase",Y87="Additional application on site",Y87="Replaces earlier",Y87="Extension of duration (parent not in CIS)"),"Yes","No")</f>
        <v>Yes</v>
      </c>
      <c r="AA87" s="2"/>
      <c r="AB87" s="2" t="n">
        <f aca="false">IF(L87="","",ROUND((Method!$B$4-L87)/30.44,0))</f>
        <v>6</v>
      </c>
      <c r="AC87" s="2" t="str">
        <f aca="false">IF(AB87="","No",IF(AB87&gt;Method!$B$5,"Yes","No"))</f>
        <v>No</v>
      </c>
      <c r="AD87" s="22" t="n">
        <f aca="false">IF(BJ87&lt;&gt;"",BJ87,IF(K87&lt;&gt;"",EDATE(K87,60),""))</f>
        <v>47239</v>
      </c>
      <c r="AE87" s="2" t="str">
        <f aca="false">IF(AND(AD87&lt;&gt;"",OR(G87="Permission Granted",G87="Commencement Expected",G87="Stalled or Suspended")),IF(AD87&lt;Method!$B$4,"Yes","No"),"No")</f>
        <v>No</v>
      </c>
      <c r="AF87" s="7"/>
      <c r="AG87" s="2" t="str">
        <f aca="false">IF(Z87="No","Not counted",IF(AF87="Lapsed or dead","Excluded",IF(AF87="Constrained","Constrained / uncertain",IF(AF87="Confirmed live",IF(G87="On Site","Committed",IF(G87="Part Complete","Committed",IF(G87="Contract Awarded","Committed Pre-Construction",IF(G87="Tender","Advanced Pre-Construction",IF(G87="Commencement Expected","Likely",IF(G87="Permission Granted","Potential",IF(G87="Stalled or Suspended","Constrained / uncertain",IF(G87="Complete","Delivered","Application Pipeline")))))))),IF(G87="Complete","Delivered",IF(AND(OR(G87="Permission Granted",G87="Commencement Expected"),OR(AC87="Yes",AE87="Yes")),"Constrained / uncertain",IF(G87="On Site","Committed",IF(G87="Part Complete","Committed",IF(G87="Contract Awarded","Committed Pre-Construction",IF(G87="Tender","Advanced Pre-Construction",IF(G87="Commencement Expected","Likely",IF(G87="Permission Granted","Potential",IF(G87="Stalled or Suspended","Constrained / uncertain",IF(G87="Complete","Delivered","Application Pipeline"))))))))))))))</f>
        <v>Delivered</v>
      </c>
      <c r="AH87" s="2" t="str">
        <f aca="false">IF(Z87="No","Relationship: "&amp;Y87,IF(AF87&lt;&gt;"","Analyst: "&amp;AF87,IF(G87="Complete","Complete",IF(AND(OR(G87="Permission Granted",G87="Commencement Expected"),AE87="Yes"),"Past expiry",IF(AND(OR(G87="Permission Granted",G87="Commencement Expected"),AC87="Yes"),"No CIS update in "&amp;AB87&amp;" months","As CIS")))))</f>
        <v>Complete</v>
      </c>
      <c r="AI87" s="10" t="n">
        <f aca="false">IF(Z87="Yes",N(Q87),0)</f>
        <v>14</v>
      </c>
      <c r="AJ87" s="10" t="n">
        <f aca="false">IF(OR(Z87="No",G87="Complete"),0,MAX(N(Q87)-N(AA87),0))</f>
        <v>0</v>
      </c>
      <c r="AK87" s="10" t="n">
        <f aca="false">IF(Z87="No",0,IF(G87="Complete",N(Q87),MIN(N(AA87),N(Q87))))</f>
        <v>14</v>
      </c>
      <c r="AL87" s="10" t="n">
        <f aca="false">IF(OR(OR(AG87="Not counted",AG87="Excluded",AG87="Delivered"),P87="Student accommodation"),0,AJ87)</f>
        <v>0</v>
      </c>
      <c r="AM87" s="10" t="n">
        <f aca="false">IF(OR(OR(AG87="Not counted",AG87="Excluded",AG87="Delivered"),P87&lt;&gt;"Student accommodation"),0,AJ87)</f>
        <v>0</v>
      </c>
      <c r="AN87" s="10" t="n">
        <f aca="false">IF(OR(AG87="Not counted",AG87="Excluded",AG87="Delivered"),0,N(S87))</f>
        <v>0</v>
      </c>
      <c r="AO87" s="2" t="s">
        <v>1043</v>
      </c>
      <c r="AP87" s="10"/>
      <c r="AQ87" s="10"/>
      <c r="AR87" s="10"/>
      <c r="AS87" s="10"/>
      <c r="AT87" s="10"/>
      <c r="AU87" s="10"/>
      <c r="AV87" s="10" t="n">
        <f aca="false">N(AP87)+N(AQ87)+N(AR87)+N(AS87)+N(AT87)+N(AU87)</f>
        <v>0</v>
      </c>
      <c r="AW87" s="10"/>
      <c r="AX87" s="10"/>
      <c r="AY87" s="10"/>
      <c r="AZ87" s="2"/>
      <c r="BA87" s="2" t="s">
        <v>1095</v>
      </c>
      <c r="BB87" s="2"/>
      <c r="BC87" s="2"/>
      <c r="BD87" s="2"/>
      <c r="BE87" s="2"/>
      <c r="BF87" s="2" t="s">
        <v>1095</v>
      </c>
      <c r="BG87" s="22"/>
      <c r="BH87" s="22"/>
      <c r="BI87" s="2"/>
      <c r="BJ87" s="22"/>
      <c r="BK87" s="2"/>
      <c r="BL87" s="2"/>
      <c r="BM87" s="2"/>
      <c r="BN87" s="2"/>
      <c r="BO87" s="2"/>
      <c r="BP87" s="2" t="str">
        <f aca="false">IF(OR(K87="",BG87=""),"",ROUND(BG87-K87,0))</f>
        <v/>
      </c>
      <c r="BQ87" s="2" t="str">
        <f aca="false">IF(OR(N(BK87)=0,Q87=""),"Not recorded",IF(BK87=Q87,"Match","Differs"))</f>
        <v>Not recorded</v>
      </c>
      <c r="BR87" s="2" t="str">
        <f aca="false">IF(N87="No","Excluded (non-residential)",IF(BF87="No reference","Unverified – no reference",IF(BF87="Not in council register","Unverified – not in register (Part 8 / other)",IF(OR(BF87="Refused",BF87="Refused on appeal",BF87="Withdrawn",BF87="Invalid",BF87="Quashed"),IF(OR(G87="Complete",G87="On Site",G87="Part Complete"),"Conflict – register not live but CIS says built","Conflict – not live in register"),IF(AND(G87="Plans Submitted",OR(BF87="Granted",BF87="Granted on appeal")),"Stage out of date – now granted",IF(AND(G87&lt;&gt;"Plans Submitted",OR(BF87="Pending",BF87="Under appeal")),"Check – register still pending",IF(N(BL87)&gt;Method!$B$7,"Check – location differs",IF(AND(BP87&lt;&gt;"",ABS(N(BP87))&gt;60),"Consistent – decision date differs","Consistent"))))))))</f>
        <v>Unverified – not in register (Part 8 / other)</v>
      </c>
      <c r="BS87" s="2"/>
      <c r="BT87" s="2"/>
      <c r="BU87" s="2"/>
      <c r="BV87" s="2"/>
      <c r="BW87" s="2"/>
      <c r="BX87" s="2"/>
    </row>
    <row r="88" customFormat="false" ht="15" hidden="false" customHeight="false" outlineLevel="0" collapsed="false">
      <c r="A88" s="2" t="n">
        <v>1366163</v>
      </c>
      <c r="B88" s="2" t="s">
        <v>339</v>
      </c>
      <c r="C88" s="2" t="s">
        <v>1328</v>
      </c>
      <c r="D88" s="2" t="s">
        <v>340</v>
      </c>
      <c r="E88" s="2" t="s">
        <v>341</v>
      </c>
      <c r="F88" s="2" t="s">
        <v>144</v>
      </c>
      <c r="G88" s="2" t="s">
        <v>198</v>
      </c>
      <c r="H88" s="2" t="s">
        <v>1014</v>
      </c>
      <c r="I88" s="2" t="s">
        <v>198</v>
      </c>
      <c r="J88" s="22" t="n">
        <v>45547</v>
      </c>
      <c r="K88" s="22" t="n">
        <v>45883</v>
      </c>
      <c r="L88" s="22" t="n">
        <v>46035.3104376157</v>
      </c>
      <c r="M88" s="2" t="s">
        <v>1016</v>
      </c>
      <c r="N88" s="2" t="s">
        <v>121</v>
      </c>
      <c r="O88" s="2"/>
      <c r="P88" s="2" t="s">
        <v>1017</v>
      </c>
      <c r="Q88" s="10" t="n">
        <v>30</v>
      </c>
      <c r="R88" s="10" t="n">
        <v>30</v>
      </c>
      <c r="S88" s="10"/>
      <c r="T88" s="2" t="s">
        <v>120</v>
      </c>
      <c r="U88" s="2"/>
      <c r="V88" s="2" t="s">
        <v>1029</v>
      </c>
      <c r="W88" s="2" t="s">
        <v>1030</v>
      </c>
      <c r="X88" s="7"/>
      <c r="Y88" s="2" t="str">
        <f aca="false">IF(X88&lt;&gt;"",X88,T88)</f>
        <v>Primary</v>
      </c>
      <c r="Z88" s="2" t="str">
        <f aca="false">IF(OR(Y88="Primary",Y88="Additional phase",Y88="Additional application on site",Y88="Replaces earlier",Y88="Extension of duration (parent not in CIS)"),"Yes","No")</f>
        <v>Yes</v>
      </c>
      <c r="AA88" s="2"/>
      <c r="AB88" s="2" t="n">
        <f aca="false">IF(L88="","",ROUND((Method!$B$4-L88)/30.44,0))</f>
        <v>8</v>
      </c>
      <c r="AC88" s="2" t="str">
        <f aca="false">IF(AB88="","No",IF(AB88&gt;Method!$B$5,"Yes","No"))</f>
        <v>No</v>
      </c>
      <c r="AD88" s="22" t="n">
        <f aca="false">IF(BJ88&lt;&gt;"",BJ88,IF(K88&lt;&gt;"",EDATE(K88,60),""))</f>
        <v>47742</v>
      </c>
      <c r="AE88" s="2" t="str">
        <f aca="false">IF(AND(AD88&lt;&gt;"",OR(G88="Permission Granted",G88="Commencement Expected",G88="Stalled or Suspended")),IF(AD88&lt;Method!$B$4,"Yes","No"),"No")</f>
        <v>No</v>
      </c>
      <c r="AF88" s="7"/>
      <c r="AG88" s="2" t="str">
        <f aca="false">IF(Z88="No","Not counted",IF(AF88="Lapsed or dead","Excluded",IF(AF88="Constrained","Constrained / uncertain",IF(AF88="Confirmed live",IF(G88="On Site","Committed",IF(G88="Part Complete","Committed",IF(G88="Contract Awarded","Committed Pre-Construction",IF(G88="Tender","Advanced Pre-Construction",IF(G88="Commencement Expected","Likely",IF(G88="Permission Granted","Potential",IF(G88="Stalled or Suspended","Constrained / uncertain",IF(G88="Complete","Delivered","Application Pipeline")))))))),IF(G88="Complete","Delivered",IF(AND(OR(G88="Permission Granted",G88="Commencement Expected"),OR(AC88="Yes",AE88="Yes")),"Constrained / uncertain",IF(G88="On Site","Committed",IF(G88="Part Complete","Committed",IF(G88="Contract Awarded","Committed Pre-Construction",IF(G88="Tender","Advanced Pre-Construction",IF(G88="Commencement Expected","Likely",IF(G88="Permission Granted","Potential",IF(G88="Stalled or Suspended","Constrained / uncertain",IF(G88="Complete","Delivered","Application Pipeline"))))))))))))))</f>
        <v>Committed</v>
      </c>
      <c r="AH88" s="2" t="str">
        <f aca="false">IF(Z88="No","Relationship: "&amp;Y88,IF(AF88&lt;&gt;"","Analyst: "&amp;AF88,IF(G88="Complete","Complete",IF(AND(OR(G88="Permission Granted",G88="Commencement Expected"),AE88="Yes"),"Past expiry",IF(AND(OR(G88="Permission Granted",G88="Commencement Expected"),AC88="Yes"),"No CIS update in "&amp;AB88&amp;" months","As CIS")))))</f>
        <v>As CIS</v>
      </c>
      <c r="AI88" s="10" t="n">
        <f aca="false">IF(Z88="Yes",N(Q88),0)</f>
        <v>30</v>
      </c>
      <c r="AJ88" s="10" t="n">
        <f aca="false">IF(OR(Z88="No",G88="Complete"),0,MAX(N(Q88)-N(AA88),0))</f>
        <v>30</v>
      </c>
      <c r="AK88" s="10" t="n">
        <f aca="false">IF(Z88="No",0,IF(G88="Complete",N(Q88),MIN(N(AA88),N(Q88))))</f>
        <v>0</v>
      </c>
      <c r="AL88" s="10" t="n">
        <f aca="false">IF(OR(OR(AG88="Not counted",AG88="Excluded",AG88="Delivered"),P88="Student accommodation"),0,AJ88)</f>
        <v>30</v>
      </c>
      <c r="AM88" s="10" t="n">
        <f aca="false">IF(OR(OR(AG88="Not counted",AG88="Excluded",AG88="Delivered"),P88&lt;&gt;"Student accommodation"),0,AJ88)</f>
        <v>0</v>
      </c>
      <c r="AN88" s="10" t="n">
        <f aca="false">IF(OR(AG88="Not counted",AG88="Excluded",AG88="Delivered"),0,N(S88))</f>
        <v>0</v>
      </c>
      <c r="AO88" s="2" t="s">
        <v>1031</v>
      </c>
      <c r="AP88" s="10"/>
      <c r="AQ88" s="10"/>
      <c r="AR88" s="10"/>
      <c r="AS88" s="10" t="n">
        <v>30</v>
      </c>
      <c r="AT88" s="10"/>
      <c r="AU88" s="10"/>
      <c r="AV88" s="10" t="n">
        <f aca="false">N(AP88)+N(AQ88)+N(AR88)+N(AS88)+N(AT88)+N(AU88)</f>
        <v>30</v>
      </c>
      <c r="AW88" s="10" t="n">
        <v>30</v>
      </c>
      <c r="AX88" s="10"/>
      <c r="AY88" s="10"/>
      <c r="AZ88" s="2"/>
      <c r="BA88" s="2" t="s">
        <v>1022</v>
      </c>
      <c r="BB88" s="2" t="s">
        <v>1328</v>
      </c>
      <c r="BC88" s="2" t="s">
        <v>1023</v>
      </c>
      <c r="BD88" s="2" t="s">
        <v>1024</v>
      </c>
      <c r="BE88" s="2"/>
      <c r="BF88" s="2" t="s">
        <v>1025</v>
      </c>
      <c r="BG88" s="22" t="n">
        <v>45883</v>
      </c>
      <c r="BH88" s="22" t="n">
        <v>47742</v>
      </c>
      <c r="BI88" s="2"/>
      <c r="BJ88" s="22" t="n">
        <v>47742</v>
      </c>
      <c r="BK88" s="2" t="n">
        <v>30</v>
      </c>
      <c r="BL88" s="2" t="n">
        <v>0</v>
      </c>
      <c r="BM88" s="2"/>
      <c r="BN88" s="2" t="s">
        <v>1329</v>
      </c>
      <c r="BO88" s="23" t="s">
        <v>1330</v>
      </c>
      <c r="BP88" s="2" t="n">
        <f aca="false">IF(OR(K88="",BG88=""),"",ROUND(BG88-K88,0))</f>
        <v>0</v>
      </c>
      <c r="BQ88" s="2" t="str">
        <f aca="false">IF(OR(N(BK88)=0,Q88=""),"Not recorded",IF(BK88=Q88,"Match","Differs"))</f>
        <v>Match</v>
      </c>
      <c r="BR88" s="2" t="str">
        <f aca="false">IF(N88="No","Excluded (non-residential)",IF(BF88="No reference","Unverified – no reference",IF(BF88="Not in council register","Unverified – not in register (Part 8 / other)",IF(OR(BF88="Refused",BF88="Refused on appeal",BF88="Withdrawn",BF88="Invalid",BF88="Quashed"),IF(OR(G88="Complete",G88="On Site",G88="Part Complete"),"Conflict – register not live but CIS says built","Conflict – not live in register"),IF(AND(G88="Plans Submitted",OR(BF88="Granted",BF88="Granted on appeal")),"Stage out of date – now granted",IF(AND(G88&lt;&gt;"Plans Submitted",OR(BF88="Pending",BF88="Under appeal")),"Check – register still pending",IF(N(BL88)&gt;Method!$B$7,"Check – location differs",IF(AND(BP88&lt;&gt;"",ABS(N(BP88))&gt;60),"Consistent – decision date differs","Consistent"))))))))</f>
        <v>Consistent</v>
      </c>
      <c r="BS88" s="2"/>
      <c r="BT88" s="2"/>
      <c r="BU88" s="2"/>
      <c r="BV88" s="2"/>
      <c r="BW88" s="2"/>
      <c r="BX88" s="2"/>
    </row>
    <row r="89" customFormat="false" ht="15" hidden="false" customHeight="false" outlineLevel="0" collapsed="false">
      <c r="A89" s="2" t="n">
        <v>1379266</v>
      </c>
      <c r="B89" s="2" t="s">
        <v>291</v>
      </c>
      <c r="C89" s="2" t="s">
        <v>1331</v>
      </c>
      <c r="D89" s="2" t="s">
        <v>292</v>
      </c>
      <c r="E89" s="2" t="s">
        <v>293</v>
      </c>
      <c r="F89" s="2" t="s">
        <v>144</v>
      </c>
      <c r="G89" s="2" t="s">
        <v>187</v>
      </c>
      <c r="H89" s="2" t="s">
        <v>1014</v>
      </c>
      <c r="I89" s="2"/>
      <c r="J89" s="22" t="n">
        <v>45625</v>
      </c>
      <c r="K89" s="22" t="n">
        <v>46111</v>
      </c>
      <c r="L89" s="22" t="n">
        <v>46129.3191565972</v>
      </c>
      <c r="M89" s="2" t="s">
        <v>1016</v>
      </c>
      <c r="N89" s="2" t="s">
        <v>121</v>
      </c>
      <c r="O89" s="2"/>
      <c r="P89" s="2" t="s">
        <v>1017</v>
      </c>
      <c r="Q89" s="10" t="n">
        <v>27</v>
      </c>
      <c r="R89" s="10" t="n">
        <v>28</v>
      </c>
      <c r="S89" s="10"/>
      <c r="T89" s="2" t="s">
        <v>120</v>
      </c>
      <c r="U89" s="2"/>
      <c r="V89" s="2" t="s">
        <v>1029</v>
      </c>
      <c r="W89" s="2" t="s">
        <v>1030</v>
      </c>
      <c r="X89" s="7"/>
      <c r="Y89" s="2" t="str">
        <f aca="false">IF(X89&lt;&gt;"",X89,T89)</f>
        <v>Primary</v>
      </c>
      <c r="Z89" s="2" t="str">
        <f aca="false">IF(OR(Y89="Primary",Y89="Additional phase",Y89="Additional application on site",Y89="Replaces earlier",Y89="Extension of duration (parent not in CIS)"),"Yes","No")</f>
        <v>Yes</v>
      </c>
      <c r="AA89" s="2"/>
      <c r="AB89" s="2" t="n">
        <f aca="false">IF(L89="","",ROUND((Method!$B$4-L89)/30.44,0))</f>
        <v>5</v>
      </c>
      <c r="AC89" s="2" t="str">
        <f aca="false">IF(AB89="","No",IF(AB89&gt;Method!$B$5,"Yes","No"))</f>
        <v>No</v>
      </c>
      <c r="AD89" s="22" t="n">
        <f aca="false">IF(BJ89&lt;&gt;"",BJ89,IF(K89&lt;&gt;"",EDATE(K89,60),""))</f>
        <v>47936</v>
      </c>
      <c r="AE89" s="2" t="str">
        <f aca="false">IF(AND(AD89&lt;&gt;"",OR(G89="Permission Granted",G89="Commencement Expected",G89="Stalled or Suspended")),IF(AD89&lt;Method!$B$4,"Yes","No"),"No")</f>
        <v>No</v>
      </c>
      <c r="AF89" s="7"/>
      <c r="AG89" s="2" t="str">
        <f aca="false">IF(Z89="No","Not counted",IF(AF89="Lapsed or dead","Excluded",IF(AF89="Constrained","Constrained / uncertain",IF(AF89="Confirmed live",IF(G89="On Site","Committed",IF(G89="Part Complete","Committed",IF(G89="Contract Awarded","Committed Pre-Construction",IF(G89="Tender","Advanced Pre-Construction",IF(G89="Commencement Expected","Likely",IF(G89="Permission Granted","Potential",IF(G89="Stalled or Suspended","Constrained / uncertain",IF(G89="Complete","Delivered","Application Pipeline")))))))),IF(G89="Complete","Delivered",IF(AND(OR(G89="Permission Granted",G89="Commencement Expected"),OR(AC89="Yes",AE89="Yes")),"Constrained / uncertain",IF(G89="On Site","Committed",IF(G89="Part Complete","Committed",IF(G89="Contract Awarded","Committed Pre-Construction",IF(G89="Tender","Advanced Pre-Construction",IF(G89="Commencement Expected","Likely",IF(G89="Permission Granted","Potential",IF(G89="Stalled or Suspended","Constrained / uncertain",IF(G89="Complete","Delivered","Application Pipeline"))))))))))))))</f>
        <v>Potential</v>
      </c>
      <c r="AH89" s="2" t="str">
        <f aca="false">IF(Z89="No","Relationship: "&amp;Y89,IF(AF89&lt;&gt;"","Analyst: "&amp;AF89,IF(G89="Complete","Complete",IF(AND(OR(G89="Permission Granted",G89="Commencement Expected"),AE89="Yes"),"Past expiry",IF(AND(OR(G89="Permission Granted",G89="Commencement Expected"),AC89="Yes"),"No CIS update in "&amp;AB89&amp;" months","As CIS")))))</f>
        <v>As CIS</v>
      </c>
      <c r="AI89" s="10" t="n">
        <f aca="false">IF(Z89="Yes",N(Q89),0)</f>
        <v>27</v>
      </c>
      <c r="AJ89" s="10" t="n">
        <f aca="false">IF(OR(Z89="No",G89="Complete"),0,MAX(N(Q89)-N(AA89),0))</f>
        <v>27</v>
      </c>
      <c r="AK89" s="10" t="n">
        <f aca="false">IF(Z89="No",0,IF(G89="Complete",N(Q89),MIN(N(AA89),N(Q89))))</f>
        <v>0</v>
      </c>
      <c r="AL89" s="10" t="n">
        <f aca="false">IF(OR(OR(AG89="Not counted",AG89="Excluded",AG89="Delivered"),P89="Student accommodation"),0,AJ89)</f>
        <v>27</v>
      </c>
      <c r="AM89" s="10" t="n">
        <f aca="false">IF(OR(OR(AG89="Not counted",AG89="Excluded",AG89="Delivered"),P89&lt;&gt;"Student accommodation"),0,AJ89)</f>
        <v>0</v>
      </c>
      <c r="AN89" s="10" t="n">
        <f aca="false">IF(OR(AG89="Not counted",AG89="Excluded",AG89="Delivered"),0,N(S89))</f>
        <v>0</v>
      </c>
      <c r="AO89" s="2" t="s">
        <v>1031</v>
      </c>
      <c r="AP89" s="10"/>
      <c r="AQ89" s="10"/>
      <c r="AR89" s="10" t="n">
        <v>16</v>
      </c>
      <c r="AS89" s="10" t="n">
        <v>11</v>
      </c>
      <c r="AT89" s="10"/>
      <c r="AU89" s="10"/>
      <c r="AV89" s="10" t="n">
        <f aca="false">N(AP89)+N(AQ89)+N(AR89)+N(AS89)+N(AT89)+N(AU89)</f>
        <v>27</v>
      </c>
      <c r="AW89" s="10" t="n">
        <v>25</v>
      </c>
      <c r="AX89" s="10" t="n">
        <v>2</v>
      </c>
      <c r="AY89" s="10"/>
      <c r="AZ89" s="2"/>
      <c r="BA89" s="2" t="s">
        <v>1022</v>
      </c>
      <c r="BB89" s="2" t="s">
        <v>1331</v>
      </c>
      <c r="BC89" s="2" t="s">
        <v>1023</v>
      </c>
      <c r="BD89" s="2" t="s">
        <v>1024</v>
      </c>
      <c r="BE89" s="2" t="s">
        <v>1024</v>
      </c>
      <c r="BF89" s="2" t="s">
        <v>1059</v>
      </c>
      <c r="BG89" s="22" t="n">
        <v>45981</v>
      </c>
      <c r="BH89" s="22" t="n">
        <v>47936</v>
      </c>
      <c r="BI89" s="2"/>
      <c r="BJ89" s="22" t="n">
        <v>47936</v>
      </c>
      <c r="BK89" s="2" t="n">
        <v>27</v>
      </c>
      <c r="BL89" s="2" t="n">
        <v>0</v>
      </c>
      <c r="BM89" s="2"/>
      <c r="BN89" s="2" t="s">
        <v>1332</v>
      </c>
      <c r="BO89" s="23" t="s">
        <v>1333</v>
      </c>
      <c r="BP89" s="2" t="n">
        <f aca="false">IF(OR(K89="",BG89=""),"",ROUND(BG89-K89,0))</f>
        <v>-130</v>
      </c>
      <c r="BQ89" s="2" t="str">
        <f aca="false">IF(OR(N(BK89)=0,Q89=""),"Not recorded",IF(BK89=Q89,"Match","Differs"))</f>
        <v>Match</v>
      </c>
      <c r="BR89" s="2" t="str">
        <f aca="false">IF(N89="No","Excluded (non-residential)",IF(BF89="No reference","Unverified – no reference",IF(BF89="Not in council register","Unverified – not in register (Part 8 / other)",IF(OR(BF89="Refused",BF89="Refused on appeal",BF89="Withdrawn",BF89="Invalid",BF89="Quashed"),IF(OR(G89="Complete",G89="On Site",G89="Part Complete"),"Conflict – register not live but CIS says built","Conflict – not live in register"),IF(AND(G89="Plans Submitted",OR(BF89="Granted",BF89="Granted on appeal")),"Stage out of date – now granted",IF(AND(G89&lt;&gt;"Plans Submitted",OR(BF89="Pending",BF89="Under appeal")),"Check – register still pending",IF(N(BL89)&gt;Method!$B$7,"Check – location differs",IF(AND(BP89&lt;&gt;"",ABS(N(BP89))&gt;60),"Consistent – decision date differs","Consistent"))))))))</f>
        <v>Consistent – decision date differs</v>
      </c>
      <c r="BS89" s="2"/>
      <c r="BT89" s="2"/>
      <c r="BU89" s="2"/>
      <c r="BV89" s="2"/>
      <c r="BW89" s="2"/>
      <c r="BX89" s="2"/>
    </row>
    <row r="90" customFormat="false" ht="15" hidden="false" customHeight="false" outlineLevel="0" collapsed="false">
      <c r="A90" s="2" t="n">
        <v>1382991</v>
      </c>
      <c r="B90" s="2" t="s">
        <v>369</v>
      </c>
      <c r="C90" s="2" t="s">
        <v>1334</v>
      </c>
      <c r="D90" s="2" t="s">
        <v>370</v>
      </c>
      <c r="E90" s="2" t="s">
        <v>371</v>
      </c>
      <c r="F90" s="2" t="s">
        <v>140</v>
      </c>
      <c r="G90" s="2" t="s">
        <v>187</v>
      </c>
      <c r="H90" s="2" t="s">
        <v>1014</v>
      </c>
      <c r="I90" s="2"/>
      <c r="J90" s="22" t="n">
        <v>45645</v>
      </c>
      <c r="K90" s="22" t="n">
        <v>45803</v>
      </c>
      <c r="L90" s="22" t="n">
        <v>45945.3960582176</v>
      </c>
      <c r="M90" s="2" t="s">
        <v>1016</v>
      </c>
      <c r="N90" s="2" t="s">
        <v>121</v>
      </c>
      <c r="O90" s="2"/>
      <c r="P90" s="2" t="s">
        <v>1017</v>
      </c>
      <c r="Q90" s="10" t="n">
        <v>139</v>
      </c>
      <c r="R90" s="10" t="n">
        <v>139</v>
      </c>
      <c r="S90" s="10"/>
      <c r="T90" s="2" t="s">
        <v>120</v>
      </c>
      <c r="U90" s="2"/>
      <c r="V90" s="2" t="s">
        <v>1029</v>
      </c>
      <c r="W90" s="2" t="s">
        <v>1030</v>
      </c>
      <c r="X90" s="7"/>
      <c r="Y90" s="2" t="str">
        <f aca="false">IF(X90&lt;&gt;"",X90,T90)</f>
        <v>Primary</v>
      </c>
      <c r="Z90" s="2" t="str">
        <f aca="false">IF(OR(Y90="Primary",Y90="Additional phase",Y90="Additional application on site",Y90="Replaces earlier",Y90="Extension of duration (parent not in CIS)"),"Yes","No")</f>
        <v>Yes</v>
      </c>
      <c r="AA90" s="2"/>
      <c r="AB90" s="2" t="n">
        <f aca="false">IF(L90="","",ROUND((Method!$B$4-L90)/30.44,0))</f>
        <v>11</v>
      </c>
      <c r="AC90" s="2" t="str">
        <f aca="false">IF(AB90="","No",IF(AB90&gt;Method!$B$5,"Yes","No"))</f>
        <v>No</v>
      </c>
      <c r="AD90" s="22" t="n">
        <f aca="false">IF(BJ90&lt;&gt;"",BJ90,IF(K90&lt;&gt;"",EDATE(K90,60),""))</f>
        <v>47749</v>
      </c>
      <c r="AE90" s="2" t="str">
        <f aca="false">IF(AND(AD90&lt;&gt;"",OR(G90="Permission Granted",G90="Commencement Expected",G90="Stalled or Suspended")),IF(AD90&lt;Method!$B$4,"Yes","No"),"No")</f>
        <v>No</v>
      </c>
      <c r="AF90" s="7"/>
      <c r="AG90" s="2" t="str">
        <f aca="false">IF(Z90="No","Not counted",IF(AF90="Lapsed or dead","Excluded",IF(AF90="Constrained","Constrained / uncertain",IF(AF90="Confirmed live",IF(G90="On Site","Committed",IF(G90="Part Complete","Committed",IF(G90="Contract Awarded","Committed Pre-Construction",IF(G90="Tender","Advanced Pre-Construction",IF(G90="Commencement Expected","Likely",IF(G90="Permission Granted","Potential",IF(G90="Stalled or Suspended","Constrained / uncertain",IF(G90="Complete","Delivered","Application Pipeline")))))))),IF(G90="Complete","Delivered",IF(AND(OR(G90="Permission Granted",G90="Commencement Expected"),OR(AC90="Yes",AE90="Yes")),"Constrained / uncertain",IF(G90="On Site","Committed",IF(G90="Part Complete","Committed",IF(G90="Contract Awarded","Committed Pre-Construction",IF(G90="Tender","Advanced Pre-Construction",IF(G90="Commencement Expected","Likely",IF(G90="Permission Granted","Potential",IF(G90="Stalled or Suspended","Constrained / uncertain",IF(G90="Complete","Delivered","Application Pipeline"))))))))))))))</f>
        <v>Potential</v>
      </c>
      <c r="AH90" s="2" t="str">
        <f aca="false">IF(Z90="No","Relationship: "&amp;Y90,IF(AF90&lt;&gt;"","Analyst: "&amp;AF90,IF(G90="Complete","Complete",IF(AND(OR(G90="Permission Granted",G90="Commencement Expected"),AE90="Yes"),"Past expiry",IF(AND(OR(G90="Permission Granted",G90="Commencement Expected"),AC90="Yes"),"No CIS update in "&amp;AB90&amp;" months","As CIS")))))</f>
        <v>As CIS</v>
      </c>
      <c r="AI90" s="10" t="n">
        <f aca="false">IF(Z90="Yes",N(Q90),0)</f>
        <v>139</v>
      </c>
      <c r="AJ90" s="10" t="n">
        <f aca="false">IF(OR(Z90="No",G90="Complete"),0,MAX(N(Q90)-N(AA90),0))</f>
        <v>139</v>
      </c>
      <c r="AK90" s="10" t="n">
        <f aca="false">IF(Z90="No",0,IF(G90="Complete",N(Q90),MIN(N(AA90),N(Q90))))</f>
        <v>0</v>
      </c>
      <c r="AL90" s="10" t="n">
        <f aca="false">IF(OR(OR(AG90="Not counted",AG90="Excluded",AG90="Delivered"),P90="Student accommodation"),0,AJ90)</f>
        <v>139</v>
      </c>
      <c r="AM90" s="10" t="n">
        <f aca="false">IF(OR(OR(AG90="Not counted",AG90="Excluded",AG90="Delivered"),P90&lt;&gt;"Student accommodation"),0,AJ90)</f>
        <v>0</v>
      </c>
      <c r="AN90" s="10" t="n">
        <f aca="false">IF(OR(AG90="Not counted",AG90="Excluded",AG90="Delivered"),0,N(S90))</f>
        <v>0</v>
      </c>
      <c r="AO90" s="2" t="s">
        <v>1157</v>
      </c>
      <c r="AP90" s="10"/>
      <c r="AQ90" s="10"/>
      <c r="AR90" s="10"/>
      <c r="AS90" s="10" t="n">
        <v>60</v>
      </c>
      <c r="AT90" s="10" t="n">
        <v>19</v>
      </c>
      <c r="AU90" s="10"/>
      <c r="AV90" s="10" t="n">
        <f aca="false">N(AP90)+N(AQ90)+N(AR90)+N(AS90)+N(AT90)+N(AU90)</f>
        <v>79</v>
      </c>
      <c r="AW90" s="10" t="n">
        <v>79</v>
      </c>
      <c r="AX90" s="10" t="n">
        <v>60</v>
      </c>
      <c r="AY90" s="10"/>
      <c r="AZ90" s="2"/>
      <c r="BA90" s="2" t="s">
        <v>1022</v>
      </c>
      <c r="BB90" s="2" t="s">
        <v>1334</v>
      </c>
      <c r="BC90" s="2" t="s">
        <v>1023</v>
      </c>
      <c r="BD90" s="2" t="s">
        <v>1024</v>
      </c>
      <c r="BE90" s="2" t="s">
        <v>1024</v>
      </c>
      <c r="BF90" s="2" t="s">
        <v>1059</v>
      </c>
      <c r="BG90" s="22" t="n">
        <v>45803</v>
      </c>
      <c r="BH90" s="22" t="n">
        <v>47749</v>
      </c>
      <c r="BI90" s="2"/>
      <c r="BJ90" s="22" t="n">
        <v>47749</v>
      </c>
      <c r="BK90" s="2"/>
      <c r="BL90" s="2" t="n">
        <v>0</v>
      </c>
      <c r="BM90" s="2"/>
      <c r="BN90" s="2" t="s">
        <v>1335</v>
      </c>
      <c r="BO90" s="23" t="s">
        <v>1336</v>
      </c>
      <c r="BP90" s="2" t="n">
        <f aca="false">IF(OR(K90="",BG90=""),"",ROUND(BG90-K90,0))</f>
        <v>0</v>
      </c>
      <c r="BQ90" s="2" t="str">
        <f aca="false">IF(OR(N(BK90)=0,Q90=""),"Not recorded",IF(BK90=Q90,"Match","Differs"))</f>
        <v>Not recorded</v>
      </c>
      <c r="BR90" s="2" t="str">
        <f aca="false">IF(N90="No","Excluded (non-residential)",IF(BF90="No reference","Unverified – no reference",IF(BF90="Not in council register","Unverified – not in register (Part 8 / other)",IF(OR(BF90="Refused",BF90="Refused on appeal",BF90="Withdrawn",BF90="Invalid",BF90="Quashed"),IF(OR(G90="Complete",G90="On Site",G90="Part Complete"),"Conflict – register not live but CIS says built","Conflict – not live in register"),IF(AND(G90="Plans Submitted",OR(BF90="Granted",BF90="Granted on appeal")),"Stage out of date – now granted",IF(AND(G90&lt;&gt;"Plans Submitted",OR(BF90="Pending",BF90="Under appeal")),"Check – register still pending",IF(N(BL90)&gt;Method!$B$7,"Check – location differs",IF(AND(BP90&lt;&gt;"",ABS(N(BP90))&gt;60),"Consistent – decision date differs","Consistent"))))))))</f>
        <v>Consistent</v>
      </c>
      <c r="BS90" s="2"/>
      <c r="BT90" s="2"/>
      <c r="BU90" s="2"/>
      <c r="BV90" s="2"/>
      <c r="BW90" s="2"/>
      <c r="BX90" s="2"/>
    </row>
    <row r="91" customFormat="false" ht="15" hidden="false" customHeight="false" outlineLevel="0" collapsed="false">
      <c r="A91" s="2" t="n">
        <v>1383405</v>
      </c>
      <c r="B91" s="2" t="s">
        <v>333</v>
      </c>
      <c r="C91" s="2" t="s">
        <v>1337</v>
      </c>
      <c r="D91" s="2" t="s">
        <v>334</v>
      </c>
      <c r="E91" s="2" t="s">
        <v>335</v>
      </c>
      <c r="F91" s="2" t="s">
        <v>144</v>
      </c>
      <c r="G91" s="2" t="s">
        <v>198</v>
      </c>
      <c r="H91" s="2" t="s">
        <v>1014</v>
      </c>
      <c r="I91" s="2" t="s">
        <v>198</v>
      </c>
      <c r="J91" s="22" t="n">
        <v>45646</v>
      </c>
      <c r="K91" s="22" t="n">
        <v>45798</v>
      </c>
      <c r="L91" s="22" t="n">
        <v>46077.328652581</v>
      </c>
      <c r="M91" s="2" t="s">
        <v>1016</v>
      </c>
      <c r="N91" s="2" t="s">
        <v>121</v>
      </c>
      <c r="O91" s="2"/>
      <c r="P91" s="2" t="s">
        <v>1017</v>
      </c>
      <c r="Q91" s="10" t="n">
        <v>6</v>
      </c>
      <c r="R91" s="10"/>
      <c r="S91" s="10"/>
      <c r="T91" s="2" t="s">
        <v>120</v>
      </c>
      <c r="U91" s="2"/>
      <c r="V91" s="2" t="s">
        <v>1029</v>
      </c>
      <c r="W91" s="2" t="s">
        <v>1030</v>
      </c>
      <c r="X91" s="7"/>
      <c r="Y91" s="2" t="str">
        <f aca="false">IF(X91&lt;&gt;"",X91,T91)</f>
        <v>Primary</v>
      </c>
      <c r="Z91" s="2" t="str">
        <f aca="false">IF(OR(Y91="Primary",Y91="Additional phase",Y91="Additional application on site",Y91="Replaces earlier",Y91="Extension of duration (parent not in CIS)"),"Yes","No")</f>
        <v>Yes</v>
      </c>
      <c r="AA91" s="2"/>
      <c r="AB91" s="2" t="n">
        <f aca="false">IF(L91="","",ROUND((Method!$B$4-L91)/30.44,0))</f>
        <v>7</v>
      </c>
      <c r="AC91" s="2" t="str">
        <f aca="false">IF(AB91="","No",IF(AB91&gt;Method!$B$5,"Yes","No"))</f>
        <v>No</v>
      </c>
      <c r="AD91" s="22" t="n">
        <f aca="false">IF(BJ91&lt;&gt;"",BJ91,IF(K91&lt;&gt;"",EDATE(K91,60),""))</f>
        <v>47657</v>
      </c>
      <c r="AE91" s="2" t="str">
        <f aca="false">IF(AND(AD91&lt;&gt;"",OR(G91="Permission Granted",G91="Commencement Expected",G91="Stalled or Suspended")),IF(AD91&lt;Method!$B$4,"Yes","No"),"No")</f>
        <v>No</v>
      </c>
      <c r="AF91" s="7"/>
      <c r="AG91" s="2" t="str">
        <f aca="false">IF(Z91="No","Not counted",IF(AF91="Lapsed or dead","Excluded",IF(AF91="Constrained","Constrained / uncertain",IF(AF91="Confirmed live",IF(G91="On Site","Committed",IF(G91="Part Complete","Committed",IF(G91="Contract Awarded","Committed Pre-Construction",IF(G91="Tender","Advanced Pre-Construction",IF(G91="Commencement Expected","Likely",IF(G91="Permission Granted","Potential",IF(G91="Stalled or Suspended","Constrained / uncertain",IF(G91="Complete","Delivered","Application Pipeline")))))))),IF(G91="Complete","Delivered",IF(AND(OR(G91="Permission Granted",G91="Commencement Expected"),OR(AC91="Yes",AE91="Yes")),"Constrained / uncertain",IF(G91="On Site","Committed",IF(G91="Part Complete","Committed",IF(G91="Contract Awarded","Committed Pre-Construction",IF(G91="Tender","Advanced Pre-Construction",IF(G91="Commencement Expected","Likely",IF(G91="Permission Granted","Potential",IF(G91="Stalled or Suspended","Constrained / uncertain",IF(G91="Complete","Delivered","Application Pipeline"))))))))))))))</f>
        <v>Committed</v>
      </c>
      <c r="AH91" s="2" t="str">
        <f aca="false">IF(Z91="No","Relationship: "&amp;Y91,IF(AF91&lt;&gt;"","Analyst: "&amp;AF91,IF(G91="Complete","Complete",IF(AND(OR(G91="Permission Granted",G91="Commencement Expected"),AE91="Yes"),"Past expiry",IF(AND(OR(G91="Permission Granted",G91="Commencement Expected"),AC91="Yes"),"No CIS update in "&amp;AB91&amp;" months","As CIS")))))</f>
        <v>As CIS</v>
      </c>
      <c r="AI91" s="10" t="n">
        <f aca="false">IF(Z91="Yes",N(Q91),0)</f>
        <v>6</v>
      </c>
      <c r="AJ91" s="10" t="n">
        <f aca="false">IF(OR(Z91="No",G91="Complete"),0,MAX(N(Q91)-N(AA91),0))</f>
        <v>6</v>
      </c>
      <c r="AK91" s="10" t="n">
        <f aca="false">IF(Z91="No",0,IF(G91="Complete",N(Q91),MIN(N(AA91),N(Q91))))</f>
        <v>0</v>
      </c>
      <c r="AL91" s="10" t="n">
        <f aca="false">IF(OR(OR(AG91="Not counted",AG91="Excluded",AG91="Delivered"),P91="Student accommodation"),0,AJ91)</f>
        <v>6</v>
      </c>
      <c r="AM91" s="10" t="n">
        <f aca="false">IF(OR(OR(AG91="Not counted",AG91="Excluded",AG91="Delivered"),P91&lt;&gt;"Student accommodation"),0,AJ91)</f>
        <v>0</v>
      </c>
      <c r="AN91" s="10" t="n">
        <f aca="false">IF(OR(AG91="Not counted",AG91="Excluded",AG91="Delivered"),0,N(S91))</f>
        <v>0</v>
      </c>
      <c r="AO91" s="2" t="s">
        <v>1031</v>
      </c>
      <c r="AP91" s="10"/>
      <c r="AQ91" s="10" t="n">
        <v>4</v>
      </c>
      <c r="AR91" s="10" t="n">
        <v>2</v>
      </c>
      <c r="AS91" s="10"/>
      <c r="AT91" s="10"/>
      <c r="AU91" s="10"/>
      <c r="AV91" s="10" t="n">
        <f aca="false">N(AP91)+N(AQ91)+N(AR91)+N(AS91)+N(AT91)+N(AU91)</f>
        <v>6</v>
      </c>
      <c r="AW91" s="10"/>
      <c r="AX91" s="10" t="n">
        <v>6</v>
      </c>
      <c r="AY91" s="10"/>
      <c r="AZ91" s="2"/>
      <c r="BA91" s="2" t="s">
        <v>1022</v>
      </c>
      <c r="BB91" s="2" t="s">
        <v>1337</v>
      </c>
      <c r="BC91" s="2" t="s">
        <v>1023</v>
      </c>
      <c r="BD91" s="2" t="s">
        <v>1024</v>
      </c>
      <c r="BE91" s="2"/>
      <c r="BF91" s="2" t="s">
        <v>1025</v>
      </c>
      <c r="BG91" s="22" t="n">
        <v>45798</v>
      </c>
      <c r="BH91" s="22" t="n">
        <v>47657</v>
      </c>
      <c r="BI91" s="2"/>
      <c r="BJ91" s="22" t="n">
        <v>47657</v>
      </c>
      <c r="BK91" s="2"/>
      <c r="BL91" s="2" t="n">
        <v>0</v>
      </c>
      <c r="BM91" s="2"/>
      <c r="BN91" s="2" t="s">
        <v>1338</v>
      </c>
      <c r="BO91" s="23" t="s">
        <v>1339</v>
      </c>
      <c r="BP91" s="2" t="n">
        <f aca="false">IF(OR(K91="",BG91=""),"",ROUND(BG91-K91,0))</f>
        <v>0</v>
      </c>
      <c r="BQ91" s="2" t="str">
        <f aca="false">IF(OR(N(BK91)=0,Q91=""),"Not recorded",IF(BK91=Q91,"Match","Differs"))</f>
        <v>Not recorded</v>
      </c>
      <c r="BR91" s="2" t="str">
        <f aca="false">IF(N91="No","Excluded (non-residential)",IF(BF91="No reference","Unverified – no reference",IF(BF91="Not in council register","Unverified – not in register (Part 8 / other)",IF(OR(BF91="Refused",BF91="Refused on appeal",BF91="Withdrawn",BF91="Invalid",BF91="Quashed"),IF(OR(G91="Complete",G91="On Site",G91="Part Complete"),"Conflict – register not live but CIS says built","Conflict – not live in register"),IF(AND(G91="Plans Submitted",OR(BF91="Granted",BF91="Granted on appeal")),"Stage out of date – now granted",IF(AND(G91&lt;&gt;"Plans Submitted",OR(BF91="Pending",BF91="Under appeal")),"Check – register still pending",IF(N(BL91)&gt;Method!$B$7,"Check – location differs",IF(AND(BP91&lt;&gt;"",ABS(N(BP91))&gt;60),"Consistent – decision date differs","Consistent"))))))))</f>
        <v>Consistent</v>
      </c>
      <c r="BS91" s="2"/>
      <c r="BT91" s="2"/>
      <c r="BU91" s="2"/>
      <c r="BV91" s="2"/>
      <c r="BW91" s="2"/>
      <c r="BX91" s="2"/>
    </row>
    <row r="92" customFormat="false" ht="15" hidden="false" customHeight="false" outlineLevel="0" collapsed="false">
      <c r="A92" s="2" t="n">
        <v>1384661</v>
      </c>
      <c r="B92" s="2" t="s">
        <v>324</v>
      </c>
      <c r="C92" s="2" t="s">
        <v>1340</v>
      </c>
      <c r="D92" s="2" t="s">
        <v>325</v>
      </c>
      <c r="E92" s="2" t="s">
        <v>326</v>
      </c>
      <c r="F92" s="2" t="s">
        <v>144</v>
      </c>
      <c r="G92" s="2" t="s">
        <v>198</v>
      </c>
      <c r="H92" s="2" t="s">
        <v>1014</v>
      </c>
      <c r="I92" s="2" t="s">
        <v>198</v>
      </c>
      <c r="J92" s="22" t="n">
        <v>45660</v>
      </c>
      <c r="K92" s="22" t="n">
        <v>45960</v>
      </c>
      <c r="L92" s="22" t="n">
        <v>46098.3250662037</v>
      </c>
      <c r="M92" s="2" t="s">
        <v>1016</v>
      </c>
      <c r="N92" s="2" t="s">
        <v>121</v>
      </c>
      <c r="O92" s="2"/>
      <c r="P92" s="2" t="s">
        <v>1017</v>
      </c>
      <c r="Q92" s="10" t="n">
        <v>7</v>
      </c>
      <c r="R92" s="10" t="n">
        <v>5</v>
      </c>
      <c r="S92" s="10"/>
      <c r="T92" s="2" t="s">
        <v>120</v>
      </c>
      <c r="U92" s="2"/>
      <c r="V92" s="2" t="s">
        <v>1029</v>
      </c>
      <c r="W92" s="2" t="s">
        <v>1030</v>
      </c>
      <c r="X92" s="7"/>
      <c r="Y92" s="2" t="str">
        <f aca="false">IF(X92&lt;&gt;"",X92,T92)</f>
        <v>Primary</v>
      </c>
      <c r="Z92" s="2" t="str">
        <f aca="false">IF(OR(Y92="Primary",Y92="Additional phase",Y92="Additional application on site",Y92="Replaces earlier",Y92="Extension of duration (parent not in CIS)"),"Yes","No")</f>
        <v>Yes</v>
      </c>
      <c r="AA92" s="2"/>
      <c r="AB92" s="2" t="n">
        <f aca="false">IF(L92="","",ROUND((Method!$B$4-L92)/30.44,0))</f>
        <v>6</v>
      </c>
      <c r="AC92" s="2" t="str">
        <f aca="false">IF(AB92="","No",IF(AB92&gt;Method!$B$5,"Yes","No"))</f>
        <v>No</v>
      </c>
      <c r="AD92" s="22" t="n">
        <f aca="false">IF(BJ92&lt;&gt;"",BJ92,IF(K92&lt;&gt;"",EDATE(K92,60),""))</f>
        <v>47819</v>
      </c>
      <c r="AE92" s="2" t="str">
        <f aca="false">IF(AND(AD92&lt;&gt;"",OR(G92="Permission Granted",G92="Commencement Expected",G92="Stalled or Suspended")),IF(AD92&lt;Method!$B$4,"Yes","No"),"No")</f>
        <v>No</v>
      </c>
      <c r="AF92" s="7"/>
      <c r="AG92" s="2" t="str">
        <f aca="false">IF(Z92="No","Not counted",IF(AF92="Lapsed or dead","Excluded",IF(AF92="Constrained","Constrained / uncertain",IF(AF92="Confirmed live",IF(G92="On Site","Committed",IF(G92="Part Complete","Committed",IF(G92="Contract Awarded","Committed Pre-Construction",IF(G92="Tender","Advanced Pre-Construction",IF(G92="Commencement Expected","Likely",IF(G92="Permission Granted","Potential",IF(G92="Stalled or Suspended","Constrained / uncertain",IF(G92="Complete","Delivered","Application Pipeline")))))))),IF(G92="Complete","Delivered",IF(AND(OR(G92="Permission Granted",G92="Commencement Expected"),OR(AC92="Yes",AE92="Yes")),"Constrained / uncertain",IF(G92="On Site","Committed",IF(G92="Part Complete","Committed",IF(G92="Contract Awarded","Committed Pre-Construction",IF(G92="Tender","Advanced Pre-Construction",IF(G92="Commencement Expected","Likely",IF(G92="Permission Granted","Potential",IF(G92="Stalled or Suspended","Constrained / uncertain",IF(G92="Complete","Delivered","Application Pipeline"))))))))))))))</f>
        <v>Committed</v>
      </c>
      <c r="AH92" s="2" t="str">
        <f aca="false">IF(Z92="No","Relationship: "&amp;Y92,IF(AF92&lt;&gt;"","Analyst: "&amp;AF92,IF(G92="Complete","Complete",IF(AND(OR(G92="Permission Granted",G92="Commencement Expected"),AE92="Yes"),"Past expiry",IF(AND(OR(G92="Permission Granted",G92="Commencement Expected"),AC92="Yes"),"No CIS update in "&amp;AB92&amp;" months","As CIS")))))</f>
        <v>As CIS</v>
      </c>
      <c r="AI92" s="10" t="n">
        <f aca="false">IF(Z92="Yes",N(Q92),0)</f>
        <v>7</v>
      </c>
      <c r="AJ92" s="10" t="n">
        <f aca="false">IF(OR(Z92="No",G92="Complete"),0,MAX(N(Q92)-N(AA92),0))</f>
        <v>7</v>
      </c>
      <c r="AK92" s="10" t="n">
        <f aca="false">IF(Z92="No",0,IF(G92="Complete",N(Q92),MIN(N(AA92),N(Q92))))</f>
        <v>0</v>
      </c>
      <c r="AL92" s="10" t="n">
        <f aca="false">IF(OR(OR(AG92="Not counted",AG92="Excluded",AG92="Delivered"),P92="Student accommodation"),0,AJ92)</f>
        <v>7</v>
      </c>
      <c r="AM92" s="10" t="n">
        <f aca="false">IF(OR(OR(AG92="Not counted",AG92="Excluded",AG92="Delivered"),P92&lt;&gt;"Student accommodation"),0,AJ92)</f>
        <v>0</v>
      </c>
      <c r="AN92" s="10" t="n">
        <f aca="false">IF(OR(AG92="Not counted",AG92="Excluded",AG92="Delivered"),0,N(S92))</f>
        <v>0</v>
      </c>
      <c r="AO92" s="2" t="s">
        <v>1021</v>
      </c>
      <c r="AP92" s="10"/>
      <c r="AQ92" s="10"/>
      <c r="AR92" s="10"/>
      <c r="AS92" s="10"/>
      <c r="AT92" s="10"/>
      <c r="AU92" s="10"/>
      <c r="AV92" s="10" t="n">
        <f aca="false">N(AP92)+N(AQ92)+N(AR92)+N(AS92)+N(AT92)+N(AU92)</f>
        <v>0</v>
      </c>
      <c r="AW92" s="10"/>
      <c r="AX92" s="10"/>
      <c r="AY92" s="10"/>
      <c r="AZ92" s="2"/>
      <c r="BA92" s="2" t="s">
        <v>1022</v>
      </c>
      <c r="BB92" s="2" t="s">
        <v>1340</v>
      </c>
      <c r="BC92" s="2" t="s">
        <v>1023</v>
      </c>
      <c r="BD92" s="2" t="s">
        <v>1024</v>
      </c>
      <c r="BE92" s="2"/>
      <c r="BF92" s="2" t="s">
        <v>1025</v>
      </c>
      <c r="BG92" s="22" t="n">
        <v>45960</v>
      </c>
      <c r="BH92" s="22" t="n">
        <v>47819</v>
      </c>
      <c r="BI92" s="2"/>
      <c r="BJ92" s="22" t="n">
        <v>47819</v>
      </c>
      <c r="BK92" s="2" t="n">
        <v>1</v>
      </c>
      <c r="BL92" s="2" t="n">
        <v>0</v>
      </c>
      <c r="BM92" s="2"/>
      <c r="BN92" s="2" t="s">
        <v>1341</v>
      </c>
      <c r="BO92" s="23" t="s">
        <v>1342</v>
      </c>
      <c r="BP92" s="2" t="n">
        <f aca="false">IF(OR(K92="",BG92=""),"",ROUND(BG92-K92,0))</f>
        <v>0</v>
      </c>
      <c r="BQ92" s="2" t="str">
        <f aca="false">IF(OR(N(BK92)=0,Q92=""),"Not recorded",IF(BK92=Q92,"Match","Differs"))</f>
        <v>Differs</v>
      </c>
      <c r="BR92" s="2" t="str">
        <f aca="false">IF(N92="No","Excluded (non-residential)",IF(BF92="No reference","Unverified – no reference",IF(BF92="Not in council register","Unverified – not in register (Part 8 / other)",IF(OR(BF92="Refused",BF92="Refused on appeal",BF92="Withdrawn",BF92="Invalid",BF92="Quashed"),IF(OR(G92="Complete",G92="On Site",G92="Part Complete"),"Conflict – register not live but CIS says built","Conflict – not live in register"),IF(AND(G92="Plans Submitted",OR(BF92="Granted",BF92="Granted on appeal")),"Stage out of date – now granted",IF(AND(G92&lt;&gt;"Plans Submitted",OR(BF92="Pending",BF92="Under appeal")),"Check – register still pending",IF(N(BL92)&gt;Method!$B$7,"Check – location differs",IF(AND(BP92&lt;&gt;"",ABS(N(BP92))&gt;60),"Consistent – decision date differs","Consistent"))))))))</f>
        <v>Consistent</v>
      </c>
      <c r="BS92" s="2"/>
      <c r="BT92" s="2"/>
      <c r="BU92" s="2"/>
      <c r="BV92" s="2"/>
      <c r="BW92" s="2"/>
      <c r="BX92" s="2"/>
    </row>
    <row r="93" customFormat="false" ht="15" hidden="false" customHeight="false" outlineLevel="0" collapsed="false">
      <c r="A93" s="2" t="n">
        <v>1389800</v>
      </c>
      <c r="B93" s="2" t="s">
        <v>279</v>
      </c>
      <c r="C93" s="2" t="s">
        <v>1343</v>
      </c>
      <c r="D93" s="2" t="s">
        <v>280</v>
      </c>
      <c r="E93" s="2" t="s">
        <v>281</v>
      </c>
      <c r="F93" s="2" t="s">
        <v>139</v>
      </c>
      <c r="G93" s="2" t="s">
        <v>194</v>
      </c>
      <c r="H93" s="2" t="s">
        <v>1014</v>
      </c>
      <c r="I93" s="2"/>
      <c r="J93" s="22" t="n">
        <v>45700</v>
      </c>
      <c r="K93" s="22" t="n">
        <v>45935</v>
      </c>
      <c r="L93" s="22" t="n">
        <v>46140.3322208681</v>
      </c>
      <c r="M93" s="2" t="s">
        <v>1016</v>
      </c>
      <c r="N93" s="2" t="s">
        <v>121</v>
      </c>
      <c r="O93" s="2"/>
      <c r="P93" s="2" t="s">
        <v>41</v>
      </c>
      <c r="Q93" s="10" t="n">
        <v>196</v>
      </c>
      <c r="R93" s="10"/>
      <c r="S93" s="10" t="n">
        <v>1400</v>
      </c>
      <c r="T93" s="2" t="s">
        <v>120</v>
      </c>
      <c r="U93" s="2"/>
      <c r="V93" s="2" t="s">
        <v>1029</v>
      </c>
      <c r="W93" s="2" t="s">
        <v>1030</v>
      </c>
      <c r="X93" s="7"/>
      <c r="Y93" s="2" t="str">
        <f aca="false">IF(X93&lt;&gt;"",X93,T93)</f>
        <v>Primary</v>
      </c>
      <c r="Z93" s="2" t="str">
        <f aca="false">IF(OR(Y93="Primary",Y93="Additional phase",Y93="Additional application on site",Y93="Replaces earlier",Y93="Extension of duration (parent not in CIS)"),"Yes","No")</f>
        <v>Yes</v>
      </c>
      <c r="AA93" s="2"/>
      <c r="AB93" s="2" t="n">
        <f aca="false">IF(L93="","",ROUND((Method!$B$4-L93)/30.44,0))</f>
        <v>5</v>
      </c>
      <c r="AC93" s="2" t="str">
        <f aca="false">IF(AB93="","No",IF(AB93&gt;Method!$B$5,"Yes","No"))</f>
        <v>No</v>
      </c>
      <c r="AD93" s="22" t="n">
        <f aca="false">IF(BJ93&lt;&gt;"",BJ93,IF(K93&lt;&gt;"",EDATE(K93,60),""))</f>
        <v>47784</v>
      </c>
      <c r="AE93" s="2" t="str">
        <f aca="false">IF(AND(AD93&lt;&gt;"",OR(G93="Permission Granted",G93="Commencement Expected",G93="Stalled or Suspended")),IF(AD93&lt;Method!$B$4,"Yes","No"),"No")</f>
        <v>No</v>
      </c>
      <c r="AF93" s="7"/>
      <c r="AG93" s="2" t="str">
        <f aca="false">IF(Z93="No","Not counted",IF(AF93="Lapsed or dead","Excluded",IF(AF93="Constrained","Constrained / uncertain",IF(AF93="Confirmed live",IF(G93="On Site","Committed",IF(G93="Part Complete","Committed",IF(G93="Contract Awarded","Committed Pre-Construction",IF(G93="Tender","Advanced Pre-Construction",IF(G93="Commencement Expected","Likely",IF(G93="Permission Granted","Potential",IF(G93="Stalled or Suspended","Constrained / uncertain",IF(G93="Complete","Delivered","Application Pipeline")))))))),IF(G93="Complete","Delivered",IF(AND(OR(G93="Permission Granted",G93="Commencement Expected"),OR(AC93="Yes",AE93="Yes")),"Constrained / uncertain",IF(G93="On Site","Committed",IF(G93="Part Complete","Committed",IF(G93="Contract Awarded","Committed Pre-Construction",IF(G93="Tender","Advanced Pre-Construction",IF(G93="Commencement Expected","Likely",IF(G93="Permission Granted","Potential",IF(G93="Stalled or Suspended","Constrained / uncertain",IF(G93="Complete","Delivered","Application Pipeline"))))))))))))))</f>
        <v>Likely</v>
      </c>
      <c r="AH93" s="2" t="str">
        <f aca="false">IF(Z93="No","Relationship: "&amp;Y93,IF(AF93&lt;&gt;"","Analyst: "&amp;AF93,IF(G93="Complete","Complete",IF(AND(OR(G93="Permission Granted",G93="Commencement Expected"),AE93="Yes"),"Past expiry",IF(AND(OR(G93="Permission Granted",G93="Commencement Expected"),AC93="Yes"),"No CIS update in "&amp;AB93&amp;" months","As CIS")))))</f>
        <v>As CIS</v>
      </c>
      <c r="AI93" s="10" t="n">
        <f aca="false">IF(Z93="Yes",N(Q93),0)</f>
        <v>196</v>
      </c>
      <c r="AJ93" s="10" t="n">
        <f aca="false">IF(OR(Z93="No",G93="Complete"),0,MAX(N(Q93)-N(AA93),0))</f>
        <v>196</v>
      </c>
      <c r="AK93" s="10" t="n">
        <f aca="false">IF(Z93="No",0,IF(G93="Complete",N(Q93),MIN(N(AA93),N(Q93))))</f>
        <v>0</v>
      </c>
      <c r="AL93" s="10" t="n">
        <f aca="false">IF(OR(OR(AG93="Not counted",AG93="Excluded",AG93="Delivered"),P93="Student accommodation"),0,AJ93)</f>
        <v>0</v>
      </c>
      <c r="AM93" s="10" t="n">
        <f aca="false">IF(OR(OR(AG93="Not counted",AG93="Excluded",AG93="Delivered"),P93&lt;&gt;"Student accommodation"),0,AJ93)</f>
        <v>196</v>
      </c>
      <c r="AN93" s="10" t="n">
        <f aca="false">IF(OR(AG93="Not counted",AG93="Excluded",AG93="Delivered"),0,N(S93))</f>
        <v>1400</v>
      </c>
      <c r="AO93" s="2" t="s">
        <v>1157</v>
      </c>
      <c r="AP93" s="10"/>
      <c r="AQ93" s="10"/>
      <c r="AR93" s="10"/>
      <c r="AS93" s="10"/>
      <c r="AT93" s="10" t="n">
        <v>32</v>
      </c>
      <c r="AU93" s="10" t="n">
        <v>164</v>
      </c>
      <c r="AV93" s="10" t="n">
        <f aca="false">N(AP93)+N(AQ93)+N(AR93)+N(AS93)+N(AT93)+N(AU93)</f>
        <v>196</v>
      </c>
      <c r="AW93" s="10"/>
      <c r="AX93" s="10" t="n">
        <v>196</v>
      </c>
      <c r="AY93" s="10"/>
      <c r="AZ93" s="2"/>
      <c r="BA93" s="2" t="s">
        <v>1022</v>
      </c>
      <c r="BB93" s="2" t="s">
        <v>1343</v>
      </c>
      <c r="BC93" s="2" t="s">
        <v>1023</v>
      </c>
      <c r="BD93" s="2" t="s">
        <v>1024</v>
      </c>
      <c r="BE93" s="2"/>
      <c r="BF93" s="2" t="s">
        <v>1025</v>
      </c>
      <c r="BG93" s="22" t="n">
        <v>45925</v>
      </c>
      <c r="BH93" s="22" t="n">
        <v>47784</v>
      </c>
      <c r="BI93" s="2"/>
      <c r="BJ93" s="22" t="n">
        <v>47784</v>
      </c>
      <c r="BK93" s="2" t="n">
        <v>5</v>
      </c>
      <c r="BL93" s="2" t="n">
        <v>0</v>
      </c>
      <c r="BM93" s="2"/>
      <c r="BN93" s="2" t="s">
        <v>1344</v>
      </c>
      <c r="BO93" s="23" t="s">
        <v>1345</v>
      </c>
      <c r="BP93" s="2" t="n">
        <f aca="false">IF(OR(K93="",BG93=""),"",ROUND(BG93-K93,0))</f>
        <v>-10</v>
      </c>
      <c r="BQ93" s="2" t="str">
        <f aca="false">IF(OR(N(BK93)=0,Q93=""),"Not recorded",IF(BK93=Q93,"Match","Differs"))</f>
        <v>Differs</v>
      </c>
      <c r="BR93" s="2" t="str">
        <f aca="false">IF(N93="No","Excluded (non-residential)",IF(BF93="No reference","Unverified – no reference",IF(BF93="Not in council register","Unverified – not in register (Part 8 / other)",IF(OR(BF93="Refused",BF93="Refused on appeal",BF93="Withdrawn",BF93="Invalid",BF93="Quashed"),IF(OR(G93="Complete",G93="On Site",G93="Part Complete"),"Conflict – register not live but CIS says built","Conflict – not live in register"),IF(AND(G93="Plans Submitted",OR(BF93="Granted",BF93="Granted on appeal")),"Stage out of date – now granted",IF(AND(G93&lt;&gt;"Plans Submitted",OR(BF93="Pending",BF93="Under appeal")),"Check – register still pending",IF(N(BL93)&gt;Method!$B$7,"Check – location differs",IF(AND(BP93&lt;&gt;"",ABS(N(BP93))&gt;60),"Consistent – decision date differs","Consistent"))))))))</f>
        <v>Consistent</v>
      </c>
      <c r="BS93" s="2"/>
      <c r="BT93" s="2"/>
      <c r="BU93" s="2"/>
      <c r="BV93" s="2"/>
      <c r="BW93" s="2"/>
      <c r="BX93" s="2"/>
    </row>
    <row r="94" customFormat="false" ht="15" hidden="false" customHeight="false" outlineLevel="0" collapsed="false">
      <c r="A94" s="2" t="n">
        <v>1392454</v>
      </c>
      <c r="B94" s="2" t="s">
        <v>264</v>
      </c>
      <c r="C94" s="2" t="s">
        <v>1346</v>
      </c>
      <c r="D94" s="2" t="s">
        <v>265</v>
      </c>
      <c r="E94" s="2" t="s">
        <v>266</v>
      </c>
      <c r="F94" s="2" t="s">
        <v>134</v>
      </c>
      <c r="G94" s="2" t="s">
        <v>198</v>
      </c>
      <c r="H94" s="2" t="s">
        <v>1014</v>
      </c>
      <c r="I94" s="2" t="s">
        <v>198</v>
      </c>
      <c r="J94" s="22" t="n">
        <v>45477</v>
      </c>
      <c r="K94" s="22" t="n">
        <v>45569</v>
      </c>
      <c r="L94" s="22" t="n">
        <v>46168.2910353009</v>
      </c>
      <c r="M94" s="2" t="s">
        <v>1016</v>
      </c>
      <c r="N94" s="2" t="s">
        <v>121</v>
      </c>
      <c r="O94" s="2"/>
      <c r="P94" s="2" t="s">
        <v>1017</v>
      </c>
      <c r="Q94" s="10" t="n">
        <v>18</v>
      </c>
      <c r="R94" s="10"/>
      <c r="S94" s="10"/>
      <c r="T94" s="2" t="s">
        <v>120</v>
      </c>
      <c r="U94" s="2"/>
      <c r="V94" s="2" t="s">
        <v>1029</v>
      </c>
      <c r="W94" s="2" t="s">
        <v>1030</v>
      </c>
      <c r="X94" s="7"/>
      <c r="Y94" s="2" t="str">
        <f aca="false">IF(X94&lt;&gt;"",X94,T94)</f>
        <v>Primary</v>
      </c>
      <c r="Z94" s="2" t="str">
        <f aca="false">IF(OR(Y94="Primary",Y94="Additional phase",Y94="Additional application on site",Y94="Replaces earlier",Y94="Extension of duration (parent not in CIS)"),"Yes","No")</f>
        <v>Yes</v>
      </c>
      <c r="AA94" s="2"/>
      <c r="AB94" s="2" t="n">
        <f aca="false">IF(L94="","",ROUND((Method!$B$4-L94)/30.44,0))</f>
        <v>4</v>
      </c>
      <c r="AC94" s="2" t="str">
        <f aca="false">IF(AB94="","No",IF(AB94&gt;Method!$B$5,"Yes","No"))</f>
        <v>No</v>
      </c>
      <c r="AD94" s="22" t="n">
        <f aca="false">IF(BJ94&lt;&gt;"",BJ94,IF(K94&lt;&gt;"",EDATE(K94,60),""))</f>
        <v>47395</v>
      </c>
      <c r="AE94" s="2" t="str">
        <f aca="false">IF(AND(AD94&lt;&gt;"",OR(G94="Permission Granted",G94="Commencement Expected",G94="Stalled or Suspended")),IF(AD94&lt;Method!$B$4,"Yes","No"),"No")</f>
        <v>No</v>
      </c>
      <c r="AF94" s="7"/>
      <c r="AG94" s="2" t="str">
        <f aca="false">IF(Z94="No","Not counted",IF(AF94="Lapsed or dead","Excluded",IF(AF94="Constrained","Constrained / uncertain",IF(AF94="Confirmed live",IF(G94="On Site","Committed",IF(G94="Part Complete","Committed",IF(G94="Contract Awarded","Committed Pre-Construction",IF(G94="Tender","Advanced Pre-Construction",IF(G94="Commencement Expected","Likely",IF(G94="Permission Granted","Potential",IF(G94="Stalled or Suspended","Constrained / uncertain",IF(G94="Complete","Delivered","Application Pipeline")))))))),IF(G94="Complete","Delivered",IF(AND(OR(G94="Permission Granted",G94="Commencement Expected"),OR(AC94="Yes",AE94="Yes")),"Constrained / uncertain",IF(G94="On Site","Committed",IF(G94="Part Complete","Committed",IF(G94="Contract Awarded","Committed Pre-Construction",IF(G94="Tender","Advanced Pre-Construction",IF(G94="Commencement Expected","Likely",IF(G94="Permission Granted","Potential",IF(G94="Stalled or Suspended","Constrained / uncertain",IF(G94="Complete","Delivered","Application Pipeline"))))))))))))))</f>
        <v>Committed</v>
      </c>
      <c r="AH94" s="2" t="str">
        <f aca="false">IF(Z94="No","Relationship: "&amp;Y94,IF(AF94&lt;&gt;"","Analyst: "&amp;AF94,IF(G94="Complete","Complete",IF(AND(OR(G94="Permission Granted",G94="Commencement Expected"),AE94="Yes"),"Past expiry",IF(AND(OR(G94="Permission Granted",G94="Commencement Expected"),AC94="Yes"),"No CIS update in "&amp;AB94&amp;" months","As CIS")))))</f>
        <v>As CIS</v>
      </c>
      <c r="AI94" s="10" t="n">
        <f aca="false">IF(Z94="Yes",N(Q94),0)</f>
        <v>18</v>
      </c>
      <c r="AJ94" s="10" t="n">
        <f aca="false">IF(OR(Z94="No",G94="Complete"),0,MAX(N(Q94)-N(AA94),0))</f>
        <v>18</v>
      </c>
      <c r="AK94" s="10" t="n">
        <f aca="false">IF(Z94="No",0,IF(G94="Complete",N(Q94),MIN(N(AA94),N(Q94))))</f>
        <v>0</v>
      </c>
      <c r="AL94" s="10" t="n">
        <f aca="false">IF(OR(OR(AG94="Not counted",AG94="Excluded",AG94="Delivered"),P94="Student accommodation"),0,AJ94)</f>
        <v>18</v>
      </c>
      <c r="AM94" s="10" t="n">
        <f aca="false">IF(OR(OR(AG94="Not counted",AG94="Excluded",AG94="Delivered"),P94&lt;&gt;"Student accommodation"),0,AJ94)</f>
        <v>0</v>
      </c>
      <c r="AN94" s="10" t="n">
        <f aca="false">IF(OR(AG94="Not counted",AG94="Excluded",AG94="Delivered"),0,N(S94))</f>
        <v>0</v>
      </c>
      <c r="AO94" s="2" t="s">
        <v>1043</v>
      </c>
      <c r="AP94" s="10"/>
      <c r="AQ94" s="10"/>
      <c r="AR94" s="10"/>
      <c r="AS94" s="10"/>
      <c r="AT94" s="10"/>
      <c r="AU94" s="10"/>
      <c r="AV94" s="10" t="n">
        <f aca="false">N(AP94)+N(AQ94)+N(AR94)+N(AS94)+N(AT94)+N(AU94)</f>
        <v>0</v>
      </c>
      <c r="AW94" s="10"/>
      <c r="AX94" s="10"/>
      <c r="AY94" s="10"/>
      <c r="AZ94" s="2"/>
      <c r="BA94" s="2" t="s">
        <v>1095</v>
      </c>
      <c r="BB94" s="2"/>
      <c r="BC94" s="2"/>
      <c r="BD94" s="2"/>
      <c r="BE94" s="2"/>
      <c r="BF94" s="2" t="s">
        <v>1095</v>
      </c>
      <c r="BG94" s="22"/>
      <c r="BH94" s="22"/>
      <c r="BI94" s="2"/>
      <c r="BJ94" s="22"/>
      <c r="BK94" s="2"/>
      <c r="BL94" s="2"/>
      <c r="BM94" s="2"/>
      <c r="BN94" s="2"/>
      <c r="BO94" s="2"/>
      <c r="BP94" s="2" t="str">
        <f aca="false">IF(OR(K94="",BG94=""),"",ROUND(BG94-K94,0))</f>
        <v/>
      </c>
      <c r="BQ94" s="2" t="str">
        <f aca="false">IF(OR(N(BK94)=0,Q94=""),"Not recorded",IF(BK94=Q94,"Match","Differs"))</f>
        <v>Not recorded</v>
      </c>
      <c r="BR94" s="2" t="str">
        <f aca="false">IF(N94="No","Excluded (non-residential)",IF(BF94="No reference","Unverified – no reference",IF(BF94="Not in council register","Unverified – not in register (Part 8 / other)",IF(OR(BF94="Refused",BF94="Refused on appeal",BF94="Withdrawn",BF94="Invalid",BF94="Quashed"),IF(OR(G94="Complete",G94="On Site",G94="Part Complete"),"Conflict – register not live but CIS says built","Conflict – not live in register"),IF(AND(G94="Plans Submitted",OR(BF94="Granted",BF94="Granted on appeal")),"Stage out of date – now granted",IF(AND(G94&lt;&gt;"Plans Submitted",OR(BF94="Pending",BF94="Under appeal")),"Check – register still pending",IF(N(BL94)&gt;Method!$B$7,"Check – location differs",IF(AND(BP94&lt;&gt;"",ABS(N(BP94))&gt;60),"Consistent – decision date differs","Consistent"))))))))</f>
        <v>Unverified – not in register (Part 8 / other)</v>
      </c>
      <c r="BS94" s="2" t="n">
        <v>1831</v>
      </c>
      <c r="BT94" s="2" t="s">
        <v>1049</v>
      </c>
      <c r="BU94" s="2" t="s">
        <v>1050</v>
      </c>
      <c r="BV94" s="2" t="s">
        <v>1178</v>
      </c>
      <c r="BW94" s="2" t="s">
        <v>1092</v>
      </c>
      <c r="BX94" s="2" t="s">
        <v>1052</v>
      </c>
    </row>
    <row r="95" customFormat="false" ht="15" hidden="false" customHeight="false" outlineLevel="0" collapsed="false">
      <c r="A95" s="2" t="n">
        <v>1395070</v>
      </c>
      <c r="B95" s="2" t="s">
        <v>321</v>
      </c>
      <c r="C95" s="2" t="s">
        <v>1347</v>
      </c>
      <c r="D95" s="2" t="s">
        <v>322</v>
      </c>
      <c r="E95" s="2" t="s">
        <v>323</v>
      </c>
      <c r="F95" s="2" t="s">
        <v>144</v>
      </c>
      <c r="G95" s="2" t="s">
        <v>198</v>
      </c>
      <c r="H95" s="2" t="s">
        <v>1014</v>
      </c>
      <c r="I95" s="2"/>
      <c r="J95" s="22" t="n">
        <v>45731</v>
      </c>
      <c r="K95" s="22" t="n">
        <v>45784</v>
      </c>
      <c r="L95" s="22" t="n">
        <v>46104.5001340625</v>
      </c>
      <c r="M95" s="2" t="s">
        <v>1016</v>
      </c>
      <c r="N95" s="2" t="s">
        <v>121</v>
      </c>
      <c r="O95" s="2"/>
      <c r="P95" s="2" t="s">
        <v>1017</v>
      </c>
      <c r="Q95" s="10" t="n">
        <v>4</v>
      </c>
      <c r="R95" s="10"/>
      <c r="S95" s="10"/>
      <c r="T95" s="2" t="s">
        <v>120</v>
      </c>
      <c r="U95" s="2"/>
      <c r="V95" s="2" t="s">
        <v>1029</v>
      </c>
      <c r="W95" s="2" t="s">
        <v>1030</v>
      </c>
      <c r="X95" s="7"/>
      <c r="Y95" s="2" t="str">
        <f aca="false">IF(X95&lt;&gt;"",X95,T95)</f>
        <v>Primary</v>
      </c>
      <c r="Z95" s="2" t="str">
        <f aca="false">IF(OR(Y95="Primary",Y95="Additional phase",Y95="Additional application on site",Y95="Replaces earlier",Y95="Extension of duration (parent not in CIS)"),"Yes","No")</f>
        <v>Yes</v>
      </c>
      <c r="AA95" s="2"/>
      <c r="AB95" s="2" t="n">
        <f aca="false">IF(L95="","",ROUND((Method!$B$4-L95)/30.44,0))</f>
        <v>6</v>
      </c>
      <c r="AC95" s="2" t="str">
        <f aca="false">IF(AB95="","No",IF(AB95&gt;Method!$B$5,"Yes","No"))</f>
        <v>No</v>
      </c>
      <c r="AD95" s="22" t="n">
        <f aca="false">IF(BJ95&lt;&gt;"",BJ95,IF(K95&lt;&gt;"",EDATE(K95,60),""))</f>
        <v>47643</v>
      </c>
      <c r="AE95" s="2" t="str">
        <f aca="false">IF(AND(AD95&lt;&gt;"",OR(G95="Permission Granted",G95="Commencement Expected",G95="Stalled or Suspended")),IF(AD95&lt;Method!$B$4,"Yes","No"),"No")</f>
        <v>No</v>
      </c>
      <c r="AF95" s="7"/>
      <c r="AG95" s="2" t="str">
        <f aca="false">IF(Z95="No","Not counted",IF(AF95="Lapsed or dead","Excluded",IF(AF95="Constrained","Constrained / uncertain",IF(AF95="Confirmed live",IF(G95="On Site","Committed",IF(G95="Part Complete","Committed",IF(G95="Contract Awarded","Committed Pre-Construction",IF(G95="Tender","Advanced Pre-Construction",IF(G95="Commencement Expected","Likely",IF(G95="Permission Granted","Potential",IF(G95="Stalled or Suspended","Constrained / uncertain",IF(G95="Complete","Delivered","Application Pipeline")))))))),IF(G95="Complete","Delivered",IF(AND(OR(G95="Permission Granted",G95="Commencement Expected"),OR(AC95="Yes",AE95="Yes")),"Constrained / uncertain",IF(G95="On Site","Committed",IF(G95="Part Complete","Committed",IF(G95="Contract Awarded","Committed Pre-Construction",IF(G95="Tender","Advanced Pre-Construction",IF(G95="Commencement Expected","Likely",IF(G95="Permission Granted","Potential",IF(G95="Stalled or Suspended","Constrained / uncertain",IF(G95="Complete","Delivered","Application Pipeline"))))))))))))))</f>
        <v>Committed</v>
      </c>
      <c r="AH95" s="2" t="str">
        <f aca="false">IF(Z95="No","Relationship: "&amp;Y95,IF(AF95&lt;&gt;"","Analyst: "&amp;AF95,IF(G95="Complete","Complete",IF(AND(OR(G95="Permission Granted",G95="Commencement Expected"),AE95="Yes"),"Past expiry",IF(AND(OR(G95="Permission Granted",G95="Commencement Expected"),AC95="Yes"),"No CIS update in "&amp;AB95&amp;" months","As CIS")))))</f>
        <v>As CIS</v>
      </c>
      <c r="AI95" s="10" t="n">
        <f aca="false">IF(Z95="Yes",N(Q95),0)</f>
        <v>4</v>
      </c>
      <c r="AJ95" s="10" t="n">
        <f aca="false">IF(OR(Z95="No",G95="Complete"),0,MAX(N(Q95)-N(AA95),0))</f>
        <v>4</v>
      </c>
      <c r="AK95" s="10" t="n">
        <f aca="false">IF(Z95="No",0,IF(G95="Complete",N(Q95),MIN(N(AA95),N(Q95))))</f>
        <v>0</v>
      </c>
      <c r="AL95" s="10" t="n">
        <f aca="false">IF(OR(OR(AG95="Not counted",AG95="Excluded",AG95="Delivered"),P95="Student accommodation"),0,AJ95)</f>
        <v>4</v>
      </c>
      <c r="AM95" s="10" t="n">
        <f aca="false">IF(OR(OR(AG95="Not counted",AG95="Excluded",AG95="Delivered"),P95&lt;&gt;"Student accommodation"),0,AJ95)</f>
        <v>0</v>
      </c>
      <c r="AN95" s="10" t="n">
        <f aca="false">IF(OR(AG95="Not counted",AG95="Excluded",AG95="Delivered"),0,N(S95))</f>
        <v>0</v>
      </c>
      <c r="AO95" s="2" t="s">
        <v>1021</v>
      </c>
      <c r="AP95" s="10"/>
      <c r="AQ95" s="10"/>
      <c r="AR95" s="10"/>
      <c r="AS95" s="10"/>
      <c r="AT95" s="10"/>
      <c r="AU95" s="10"/>
      <c r="AV95" s="10" t="n">
        <f aca="false">N(AP95)+N(AQ95)+N(AR95)+N(AS95)+N(AT95)+N(AU95)</f>
        <v>0</v>
      </c>
      <c r="AW95" s="10"/>
      <c r="AX95" s="10"/>
      <c r="AY95" s="10"/>
      <c r="AZ95" s="2"/>
      <c r="BA95" s="2" t="s">
        <v>1022</v>
      </c>
      <c r="BB95" s="2" t="s">
        <v>1347</v>
      </c>
      <c r="BC95" s="2" t="s">
        <v>1023</v>
      </c>
      <c r="BD95" s="2" t="s">
        <v>1024</v>
      </c>
      <c r="BE95" s="2"/>
      <c r="BF95" s="2" t="s">
        <v>1025</v>
      </c>
      <c r="BG95" s="22" t="n">
        <v>45784</v>
      </c>
      <c r="BH95" s="22" t="n">
        <v>47643</v>
      </c>
      <c r="BI95" s="2"/>
      <c r="BJ95" s="22" t="n">
        <v>47643</v>
      </c>
      <c r="BK95" s="2"/>
      <c r="BL95" s="2" t="n">
        <v>0</v>
      </c>
      <c r="BM95" s="2"/>
      <c r="BN95" s="2" t="s">
        <v>1348</v>
      </c>
      <c r="BO95" s="23" t="s">
        <v>1349</v>
      </c>
      <c r="BP95" s="2" t="n">
        <f aca="false">IF(OR(K95="",BG95=""),"",ROUND(BG95-K95,0))</f>
        <v>0</v>
      </c>
      <c r="BQ95" s="2" t="str">
        <f aca="false">IF(OR(N(BK95)=0,Q95=""),"Not recorded",IF(BK95=Q95,"Match","Differs"))</f>
        <v>Not recorded</v>
      </c>
      <c r="BR95" s="2" t="str">
        <f aca="false">IF(N95="No","Excluded (non-residential)",IF(BF95="No reference","Unverified – no reference",IF(BF95="Not in council register","Unverified – not in register (Part 8 / other)",IF(OR(BF95="Refused",BF95="Refused on appeal",BF95="Withdrawn",BF95="Invalid",BF95="Quashed"),IF(OR(G95="Complete",G95="On Site",G95="Part Complete"),"Conflict – register not live but CIS says built","Conflict – not live in register"),IF(AND(G95="Plans Submitted",OR(BF95="Granted",BF95="Granted on appeal")),"Stage out of date – now granted",IF(AND(G95&lt;&gt;"Plans Submitted",OR(BF95="Pending",BF95="Under appeal")),"Check – register still pending",IF(N(BL95)&gt;Method!$B$7,"Check – location differs",IF(AND(BP95&lt;&gt;"",ABS(N(BP95))&gt;60),"Consistent – decision date differs","Consistent"))))))))</f>
        <v>Consistent</v>
      </c>
      <c r="BS95" s="2"/>
      <c r="BT95" s="2"/>
      <c r="BU95" s="2"/>
      <c r="BV95" s="2"/>
      <c r="BW95" s="2"/>
      <c r="BX95" s="2"/>
    </row>
    <row r="96" customFormat="false" ht="15" hidden="false" customHeight="false" outlineLevel="0" collapsed="false">
      <c r="A96" s="2" t="n">
        <v>1401743</v>
      </c>
      <c r="B96" s="2" t="s">
        <v>405</v>
      </c>
      <c r="C96" s="2" t="s">
        <v>1350</v>
      </c>
      <c r="D96" s="2" t="s">
        <v>406</v>
      </c>
      <c r="E96" s="2" t="s">
        <v>407</v>
      </c>
      <c r="F96" s="2" t="s">
        <v>144</v>
      </c>
      <c r="G96" s="2" t="s">
        <v>187</v>
      </c>
      <c r="H96" s="2" t="s">
        <v>1014</v>
      </c>
      <c r="I96" s="2"/>
      <c r="J96" s="22" t="n">
        <v>45772</v>
      </c>
      <c r="K96" s="22" t="n">
        <v>45960</v>
      </c>
      <c r="L96" s="22" t="n">
        <v>45776.2530918634</v>
      </c>
      <c r="M96" s="2" t="s">
        <v>1016</v>
      </c>
      <c r="N96" s="2" t="s">
        <v>121</v>
      </c>
      <c r="O96" s="2"/>
      <c r="P96" s="2" t="s">
        <v>1017</v>
      </c>
      <c r="Q96" s="10" t="n">
        <v>16</v>
      </c>
      <c r="R96" s="10" t="n">
        <v>12</v>
      </c>
      <c r="S96" s="10"/>
      <c r="T96" s="2" t="s">
        <v>30</v>
      </c>
      <c r="U96" s="2"/>
      <c r="V96" s="2" t="s">
        <v>1080</v>
      </c>
      <c r="W96" s="2" t="s">
        <v>1020</v>
      </c>
      <c r="X96" s="7"/>
      <c r="Y96" s="2" t="str">
        <f aca="false">IF(X96&lt;&gt;"",X96,T96)</f>
        <v>Additional application on site</v>
      </c>
      <c r="Z96" s="2" t="str">
        <f aca="false">IF(OR(Y96="Primary",Y96="Additional phase",Y96="Additional application on site",Y96="Replaces earlier",Y96="Extension of duration (parent not in CIS)"),"Yes","No")</f>
        <v>Yes</v>
      </c>
      <c r="AA96" s="2"/>
      <c r="AB96" s="2" t="n">
        <f aca="false">IF(L96="","",ROUND((Method!$B$4-L96)/30.44,0))</f>
        <v>17</v>
      </c>
      <c r="AC96" s="2" t="str">
        <f aca="false">IF(AB96="","No",IF(AB96&gt;Method!$B$5,"Yes","No"))</f>
        <v>No</v>
      </c>
      <c r="AD96" s="22" t="n">
        <f aca="false">IF(BJ96&lt;&gt;"",BJ96,IF(K96&lt;&gt;"",EDATE(K96,60),""))</f>
        <v>48014</v>
      </c>
      <c r="AE96" s="2" t="str">
        <f aca="false">IF(AND(AD96&lt;&gt;"",OR(G96="Permission Granted",G96="Commencement Expected",G96="Stalled or Suspended")),IF(AD96&lt;Method!$B$4,"Yes","No"),"No")</f>
        <v>No</v>
      </c>
      <c r="AF96" s="7"/>
      <c r="AG96" s="2" t="str">
        <f aca="false">IF(Z96="No","Not counted",IF(AF96="Lapsed or dead","Excluded",IF(AF96="Constrained","Constrained / uncertain",IF(AF96="Confirmed live",IF(G96="On Site","Committed",IF(G96="Part Complete","Committed",IF(G96="Contract Awarded","Committed Pre-Construction",IF(G96="Tender","Advanced Pre-Construction",IF(G96="Commencement Expected","Likely",IF(G96="Permission Granted","Potential",IF(G96="Stalled or Suspended","Constrained / uncertain",IF(G96="Complete","Delivered","Application Pipeline")))))))),IF(G96="Complete","Delivered",IF(AND(OR(G96="Permission Granted",G96="Commencement Expected"),OR(AC96="Yes",AE96="Yes")),"Constrained / uncertain",IF(G96="On Site","Committed",IF(G96="Part Complete","Committed",IF(G96="Contract Awarded","Committed Pre-Construction",IF(G96="Tender","Advanced Pre-Construction",IF(G96="Commencement Expected","Likely",IF(G96="Permission Granted","Potential",IF(G96="Stalled or Suspended","Constrained / uncertain",IF(G96="Complete","Delivered","Application Pipeline"))))))))))))))</f>
        <v>Potential</v>
      </c>
      <c r="AH96" s="2" t="str">
        <f aca="false">IF(Z96="No","Relationship: "&amp;Y96,IF(AF96&lt;&gt;"","Analyst: "&amp;AF96,IF(G96="Complete","Complete",IF(AND(OR(G96="Permission Granted",G96="Commencement Expected"),AE96="Yes"),"Past expiry",IF(AND(OR(G96="Permission Granted",G96="Commencement Expected"),AC96="Yes"),"No CIS update in "&amp;AB96&amp;" months","As CIS")))))</f>
        <v>As CIS</v>
      </c>
      <c r="AI96" s="10" t="n">
        <f aca="false">IF(Z96="Yes",N(Q96),0)</f>
        <v>16</v>
      </c>
      <c r="AJ96" s="10" t="n">
        <f aca="false">IF(OR(Z96="No",G96="Complete"),0,MAX(N(Q96)-N(AA96),0))</f>
        <v>16</v>
      </c>
      <c r="AK96" s="10" t="n">
        <f aca="false">IF(Z96="No",0,IF(G96="Complete",N(Q96),MIN(N(AA96),N(Q96))))</f>
        <v>0</v>
      </c>
      <c r="AL96" s="10" t="n">
        <f aca="false">IF(OR(OR(AG96="Not counted",AG96="Excluded",AG96="Delivered"),P96="Student accommodation"),0,AJ96)</f>
        <v>16</v>
      </c>
      <c r="AM96" s="10" t="n">
        <f aca="false">IF(OR(OR(AG96="Not counted",AG96="Excluded",AG96="Delivered"),P96&lt;&gt;"Student accommodation"),0,AJ96)</f>
        <v>0</v>
      </c>
      <c r="AN96" s="10" t="n">
        <f aca="false">IF(OR(AG96="Not counted",AG96="Excluded",AG96="Delivered"),0,N(S96))</f>
        <v>0</v>
      </c>
      <c r="AO96" s="2" t="s">
        <v>1157</v>
      </c>
      <c r="AP96" s="10"/>
      <c r="AQ96" s="10" t="n">
        <v>14</v>
      </c>
      <c r="AR96" s="10" t="n">
        <v>2</v>
      </c>
      <c r="AS96" s="10"/>
      <c r="AT96" s="10"/>
      <c r="AU96" s="10"/>
      <c r="AV96" s="10" t="n">
        <f aca="false">N(AP96)+N(AQ96)+N(AR96)+N(AS96)+N(AT96)+N(AU96)</f>
        <v>16</v>
      </c>
      <c r="AW96" s="10"/>
      <c r="AX96" s="10" t="n">
        <v>16</v>
      </c>
      <c r="AY96" s="10"/>
      <c r="AZ96" s="2"/>
      <c r="BA96" s="2" t="s">
        <v>1022</v>
      </c>
      <c r="BB96" s="2" t="s">
        <v>1350</v>
      </c>
      <c r="BC96" s="2" t="s">
        <v>1023</v>
      </c>
      <c r="BD96" s="2" t="s">
        <v>1024</v>
      </c>
      <c r="BE96" s="2" t="s">
        <v>1024</v>
      </c>
      <c r="BF96" s="2" t="s">
        <v>1059</v>
      </c>
      <c r="BG96" s="22" t="n">
        <v>45960</v>
      </c>
      <c r="BH96" s="22" t="n">
        <v>48014</v>
      </c>
      <c r="BI96" s="2"/>
      <c r="BJ96" s="22" t="n">
        <v>48014</v>
      </c>
      <c r="BK96" s="2"/>
      <c r="BL96" s="2" t="n">
        <v>0</v>
      </c>
      <c r="BM96" s="2"/>
      <c r="BN96" s="2" t="s">
        <v>1351</v>
      </c>
      <c r="BO96" s="23" t="s">
        <v>1352</v>
      </c>
      <c r="BP96" s="2" t="n">
        <f aca="false">IF(OR(K96="",BG96=""),"",ROUND(BG96-K96,0))</f>
        <v>0</v>
      </c>
      <c r="BQ96" s="2" t="str">
        <f aca="false">IF(OR(N(BK96)=0,Q96=""),"Not recorded",IF(BK96=Q96,"Match","Differs"))</f>
        <v>Not recorded</v>
      </c>
      <c r="BR96" s="2" t="str">
        <f aca="false">IF(N96="No","Excluded (non-residential)",IF(BF96="No reference","Unverified – no reference",IF(BF96="Not in council register","Unverified – not in register (Part 8 / other)",IF(OR(BF96="Refused",BF96="Refused on appeal",BF96="Withdrawn",BF96="Invalid",BF96="Quashed"),IF(OR(G96="Complete",G96="On Site",G96="Part Complete"),"Conflict – register not live but CIS says built","Conflict – not live in register"),IF(AND(G96="Plans Submitted",OR(BF96="Granted",BF96="Granted on appeal")),"Stage out of date – now granted",IF(AND(G96&lt;&gt;"Plans Submitted",OR(BF96="Pending",BF96="Under appeal")),"Check – register still pending",IF(N(BL96)&gt;Method!$B$7,"Check – location differs",IF(AND(BP96&lt;&gt;"",ABS(N(BP96))&gt;60),"Consistent – decision date differs","Consistent"))))))))</f>
        <v>Consistent</v>
      </c>
      <c r="BS96" s="2"/>
      <c r="BT96" s="2"/>
      <c r="BU96" s="2"/>
      <c r="BV96" s="2"/>
      <c r="BW96" s="2"/>
      <c r="BX96" s="2"/>
    </row>
    <row r="97" customFormat="false" ht="15" hidden="false" customHeight="false" outlineLevel="0" collapsed="false">
      <c r="A97" s="2" t="n">
        <v>1402906</v>
      </c>
      <c r="B97" s="2" t="s">
        <v>242</v>
      </c>
      <c r="C97" s="2" t="s">
        <v>1353</v>
      </c>
      <c r="D97" s="2" t="s">
        <v>243</v>
      </c>
      <c r="E97" s="2" t="s">
        <v>244</v>
      </c>
      <c r="F97" s="2" t="s">
        <v>133</v>
      </c>
      <c r="G97" s="2" t="s">
        <v>187</v>
      </c>
      <c r="H97" s="2" t="s">
        <v>1014</v>
      </c>
      <c r="I97" s="2"/>
      <c r="J97" s="22" t="n">
        <v>45779</v>
      </c>
      <c r="K97" s="22" t="n">
        <v>46216</v>
      </c>
      <c r="L97" s="22" t="n">
        <v>46227.3210200579</v>
      </c>
      <c r="M97" s="2" t="s">
        <v>1016</v>
      </c>
      <c r="N97" s="2" t="s">
        <v>121</v>
      </c>
      <c r="O97" s="2"/>
      <c r="P97" s="2" t="s">
        <v>1017</v>
      </c>
      <c r="Q97" s="10" t="n">
        <v>76</v>
      </c>
      <c r="R97" s="10" t="n">
        <v>74</v>
      </c>
      <c r="S97" s="10"/>
      <c r="T97" s="2" t="s">
        <v>120</v>
      </c>
      <c r="U97" s="2"/>
      <c r="V97" s="2" t="s">
        <v>1029</v>
      </c>
      <c r="W97" s="2" t="s">
        <v>1030</v>
      </c>
      <c r="X97" s="7"/>
      <c r="Y97" s="2" t="str">
        <f aca="false">IF(X97&lt;&gt;"",X97,T97)</f>
        <v>Primary</v>
      </c>
      <c r="Z97" s="2" t="str">
        <f aca="false">IF(OR(Y97="Primary",Y97="Additional phase",Y97="Additional application on site",Y97="Replaces earlier",Y97="Extension of duration (parent not in CIS)"),"Yes","No")</f>
        <v>Yes</v>
      </c>
      <c r="AA97" s="2"/>
      <c r="AB97" s="2" t="n">
        <f aca="false">IF(L97="","",ROUND((Method!$B$4-L97)/30.44,0))</f>
        <v>2</v>
      </c>
      <c r="AC97" s="2" t="str">
        <f aca="false">IF(AB97="","No",IF(AB97&gt;Method!$B$5,"Yes","No"))</f>
        <v>No</v>
      </c>
      <c r="AD97" s="22" t="n">
        <f aca="false">IF(BJ97&lt;&gt;"",BJ97,IF(K97&lt;&gt;"",EDATE(K97,60),""))</f>
        <v>48041</v>
      </c>
      <c r="AE97" s="2" t="str">
        <f aca="false">IF(AND(AD97&lt;&gt;"",OR(G97="Permission Granted",G97="Commencement Expected",G97="Stalled or Suspended")),IF(AD97&lt;Method!$B$4,"Yes","No"),"No")</f>
        <v>No</v>
      </c>
      <c r="AF97" s="7"/>
      <c r="AG97" s="2" t="str">
        <f aca="false">IF(Z97="No","Not counted",IF(AF97="Lapsed or dead","Excluded",IF(AF97="Constrained","Constrained / uncertain",IF(AF97="Confirmed live",IF(G97="On Site","Committed",IF(G97="Part Complete","Committed",IF(G97="Contract Awarded","Committed Pre-Construction",IF(G97="Tender","Advanced Pre-Construction",IF(G97="Commencement Expected","Likely",IF(G97="Permission Granted","Potential",IF(G97="Stalled or Suspended","Constrained / uncertain",IF(G97="Complete","Delivered","Application Pipeline")))))))),IF(G97="Complete","Delivered",IF(AND(OR(G97="Permission Granted",G97="Commencement Expected"),OR(AC97="Yes",AE97="Yes")),"Constrained / uncertain",IF(G97="On Site","Committed",IF(G97="Part Complete","Committed",IF(G97="Contract Awarded","Committed Pre-Construction",IF(G97="Tender","Advanced Pre-Construction",IF(G97="Commencement Expected","Likely",IF(G97="Permission Granted","Potential",IF(G97="Stalled or Suspended","Constrained / uncertain",IF(G97="Complete","Delivered","Application Pipeline"))))))))))))))</f>
        <v>Potential</v>
      </c>
      <c r="AH97" s="2" t="str">
        <f aca="false">IF(Z97="No","Relationship: "&amp;Y97,IF(AF97&lt;&gt;"","Analyst: "&amp;AF97,IF(G97="Complete","Complete",IF(AND(OR(G97="Permission Granted",G97="Commencement Expected"),AE97="Yes"),"Past expiry",IF(AND(OR(G97="Permission Granted",G97="Commencement Expected"),AC97="Yes"),"No CIS update in "&amp;AB97&amp;" months","As CIS")))))</f>
        <v>As CIS</v>
      </c>
      <c r="AI97" s="10" t="n">
        <f aca="false">IF(Z97="Yes",N(Q97),0)</f>
        <v>76</v>
      </c>
      <c r="AJ97" s="10" t="n">
        <f aca="false">IF(OR(Z97="No",G97="Complete"),0,MAX(N(Q97)-N(AA97),0))</f>
        <v>76</v>
      </c>
      <c r="AK97" s="10" t="n">
        <f aca="false">IF(Z97="No",0,IF(G97="Complete",N(Q97),MIN(N(AA97),N(Q97))))</f>
        <v>0</v>
      </c>
      <c r="AL97" s="10" t="n">
        <f aca="false">IF(OR(OR(AG97="Not counted",AG97="Excluded",AG97="Delivered"),P97="Student accommodation"),0,AJ97)</f>
        <v>76</v>
      </c>
      <c r="AM97" s="10" t="n">
        <f aca="false">IF(OR(OR(AG97="Not counted",AG97="Excluded",AG97="Delivered"),P97&lt;&gt;"Student accommodation"),0,AJ97)</f>
        <v>0</v>
      </c>
      <c r="AN97" s="10" t="n">
        <f aca="false">IF(OR(AG97="Not counted",AG97="Excluded",AG97="Delivered"),0,N(S97))</f>
        <v>0</v>
      </c>
      <c r="AO97" s="2" t="s">
        <v>1157</v>
      </c>
      <c r="AP97" s="10"/>
      <c r="AQ97" s="10" t="n">
        <v>14</v>
      </c>
      <c r="AR97" s="10" t="n">
        <v>16</v>
      </c>
      <c r="AS97" s="10" t="n">
        <v>33</v>
      </c>
      <c r="AT97" s="10" t="n">
        <v>12</v>
      </c>
      <c r="AU97" s="10" t="n">
        <v>1</v>
      </c>
      <c r="AV97" s="10" t="n">
        <f aca="false">N(AP97)+N(AQ97)+N(AR97)+N(AS97)+N(AT97)+N(AU97)</f>
        <v>76</v>
      </c>
      <c r="AW97" s="10" t="n">
        <v>46</v>
      </c>
      <c r="AX97" s="10" t="n">
        <v>30</v>
      </c>
      <c r="AY97" s="10"/>
      <c r="AZ97" s="2"/>
      <c r="BA97" s="2" t="s">
        <v>1022</v>
      </c>
      <c r="BB97" s="2" t="s">
        <v>1353</v>
      </c>
      <c r="BC97" s="2" t="s">
        <v>1023</v>
      </c>
      <c r="BD97" s="2" t="s">
        <v>1024</v>
      </c>
      <c r="BE97" s="2" t="s">
        <v>1024</v>
      </c>
      <c r="BF97" s="2" t="s">
        <v>1059</v>
      </c>
      <c r="BG97" s="22" t="n">
        <v>46070</v>
      </c>
      <c r="BH97" s="22" t="n">
        <v>48041</v>
      </c>
      <c r="BI97" s="2"/>
      <c r="BJ97" s="22" t="n">
        <v>48041</v>
      </c>
      <c r="BK97" s="2" t="n">
        <v>50</v>
      </c>
      <c r="BL97" s="2" t="n">
        <v>0</v>
      </c>
      <c r="BM97" s="2"/>
      <c r="BN97" s="2" t="s">
        <v>1354</v>
      </c>
      <c r="BO97" s="23" t="s">
        <v>1355</v>
      </c>
      <c r="BP97" s="2" t="n">
        <f aca="false">IF(OR(K97="",BG97=""),"",ROUND(BG97-K97,0))</f>
        <v>-146</v>
      </c>
      <c r="BQ97" s="2" t="str">
        <f aca="false">IF(OR(N(BK97)=0,Q97=""),"Not recorded",IF(BK97=Q97,"Match","Differs"))</f>
        <v>Differs</v>
      </c>
      <c r="BR97" s="2" t="str">
        <f aca="false">IF(N97="No","Excluded (non-residential)",IF(BF97="No reference","Unverified – no reference",IF(BF97="Not in council register","Unverified – not in register (Part 8 / other)",IF(OR(BF97="Refused",BF97="Refused on appeal",BF97="Withdrawn",BF97="Invalid",BF97="Quashed"),IF(OR(G97="Complete",G97="On Site",G97="Part Complete"),"Conflict – register not live but CIS says built","Conflict – not live in register"),IF(AND(G97="Plans Submitted",OR(BF97="Granted",BF97="Granted on appeal")),"Stage out of date – now granted",IF(AND(G97&lt;&gt;"Plans Submitted",OR(BF97="Pending",BF97="Under appeal")),"Check – register still pending",IF(N(BL97)&gt;Method!$B$7,"Check – location differs",IF(AND(BP97&lt;&gt;"",ABS(N(BP97))&gt;60),"Consistent – decision date differs","Consistent"))))))))</f>
        <v>Consistent – decision date differs</v>
      </c>
      <c r="BS97" s="2"/>
      <c r="BT97" s="2"/>
      <c r="BU97" s="2"/>
      <c r="BV97" s="2"/>
      <c r="BW97" s="2"/>
      <c r="BX97" s="2"/>
    </row>
    <row r="98" customFormat="false" ht="15" hidden="false" customHeight="false" outlineLevel="0" collapsed="false">
      <c r="A98" s="2" t="n">
        <v>1411773</v>
      </c>
      <c r="B98" s="2" t="s">
        <v>276</v>
      </c>
      <c r="C98" s="2" t="s">
        <v>1356</v>
      </c>
      <c r="D98" s="2" t="s">
        <v>277</v>
      </c>
      <c r="E98" s="2" t="s">
        <v>278</v>
      </c>
      <c r="F98" s="2" t="s">
        <v>139</v>
      </c>
      <c r="G98" s="2" t="s">
        <v>187</v>
      </c>
      <c r="H98" s="2" t="s">
        <v>1014</v>
      </c>
      <c r="I98" s="2"/>
      <c r="J98" s="22" t="n">
        <v>45874</v>
      </c>
      <c r="K98" s="22" t="n">
        <v>46143</v>
      </c>
      <c r="L98" s="22" t="n">
        <v>46148.2698654282</v>
      </c>
      <c r="M98" s="2" t="s">
        <v>1016</v>
      </c>
      <c r="N98" s="2" t="s">
        <v>121</v>
      </c>
      <c r="O98" s="2"/>
      <c r="P98" s="2" t="s">
        <v>1017</v>
      </c>
      <c r="Q98" s="10" t="n">
        <v>22</v>
      </c>
      <c r="R98" s="10"/>
      <c r="S98" s="10"/>
      <c r="T98" s="2" t="s">
        <v>30</v>
      </c>
      <c r="U98" s="2"/>
      <c r="V98" s="2" t="s">
        <v>1080</v>
      </c>
      <c r="W98" s="2" t="s">
        <v>1020</v>
      </c>
      <c r="X98" s="7"/>
      <c r="Y98" s="2" t="str">
        <f aca="false">IF(X98&lt;&gt;"",X98,T98)</f>
        <v>Additional application on site</v>
      </c>
      <c r="Z98" s="2" t="str">
        <f aca="false">IF(OR(Y98="Primary",Y98="Additional phase",Y98="Additional application on site",Y98="Replaces earlier",Y98="Extension of duration (parent not in CIS)"),"Yes","No")</f>
        <v>Yes</v>
      </c>
      <c r="AA98" s="2"/>
      <c r="AB98" s="2" t="n">
        <f aca="false">IF(L98="","",ROUND((Method!$B$4-L98)/30.44,0))</f>
        <v>5</v>
      </c>
      <c r="AC98" s="2" t="str">
        <f aca="false">IF(AB98="","No",IF(AB98&gt;Method!$B$5,"Yes","No"))</f>
        <v>No</v>
      </c>
      <c r="AD98" s="22" t="n">
        <f aca="false">IF(BJ98&lt;&gt;"",BJ98,IF(K98&lt;&gt;"",EDATE(K98,60),""))</f>
        <v>48006</v>
      </c>
      <c r="AE98" s="2" t="str">
        <f aca="false">IF(AND(AD98&lt;&gt;"",OR(G98="Permission Granted",G98="Commencement Expected",G98="Stalled or Suspended")),IF(AD98&lt;Method!$B$4,"Yes","No"),"No")</f>
        <v>No</v>
      </c>
      <c r="AF98" s="7"/>
      <c r="AG98" s="2" t="str">
        <f aca="false">IF(Z98="No","Not counted",IF(AF98="Lapsed or dead","Excluded",IF(AF98="Constrained","Constrained / uncertain",IF(AF98="Confirmed live",IF(G98="On Site","Committed",IF(G98="Part Complete","Committed",IF(G98="Contract Awarded","Committed Pre-Construction",IF(G98="Tender","Advanced Pre-Construction",IF(G98="Commencement Expected","Likely",IF(G98="Permission Granted","Potential",IF(G98="Stalled or Suspended","Constrained / uncertain",IF(G98="Complete","Delivered","Application Pipeline")))))))),IF(G98="Complete","Delivered",IF(AND(OR(G98="Permission Granted",G98="Commencement Expected"),OR(AC98="Yes",AE98="Yes")),"Constrained / uncertain",IF(G98="On Site","Committed",IF(G98="Part Complete","Committed",IF(G98="Contract Awarded","Committed Pre-Construction",IF(G98="Tender","Advanced Pre-Construction",IF(G98="Commencement Expected","Likely",IF(G98="Permission Granted","Potential",IF(G98="Stalled or Suspended","Constrained / uncertain",IF(G98="Complete","Delivered","Application Pipeline"))))))))))))))</f>
        <v>Potential</v>
      </c>
      <c r="AH98" s="2" t="str">
        <f aca="false">IF(Z98="No","Relationship: "&amp;Y98,IF(AF98&lt;&gt;"","Analyst: "&amp;AF98,IF(G98="Complete","Complete",IF(AND(OR(G98="Permission Granted",G98="Commencement Expected"),AE98="Yes"),"Past expiry",IF(AND(OR(G98="Permission Granted",G98="Commencement Expected"),AC98="Yes"),"No CIS update in "&amp;AB98&amp;" months","As CIS")))))</f>
        <v>As CIS</v>
      </c>
      <c r="AI98" s="10" t="n">
        <f aca="false">IF(Z98="Yes",N(Q98),0)</f>
        <v>22</v>
      </c>
      <c r="AJ98" s="10" t="n">
        <f aca="false">IF(OR(Z98="No",G98="Complete"),0,MAX(N(Q98)-N(AA98),0))</f>
        <v>22</v>
      </c>
      <c r="AK98" s="10" t="n">
        <f aca="false">IF(Z98="No",0,IF(G98="Complete",N(Q98),MIN(N(AA98),N(Q98))))</f>
        <v>0</v>
      </c>
      <c r="AL98" s="10" t="n">
        <f aca="false">IF(OR(OR(AG98="Not counted",AG98="Excluded",AG98="Delivered"),P98="Student accommodation"),0,AJ98)</f>
        <v>22</v>
      </c>
      <c r="AM98" s="10" t="n">
        <f aca="false">IF(OR(OR(AG98="Not counted",AG98="Excluded",AG98="Delivered"),P98&lt;&gt;"Student accommodation"),0,AJ98)</f>
        <v>0</v>
      </c>
      <c r="AN98" s="10" t="n">
        <f aca="false">IF(OR(AG98="Not counted",AG98="Excluded",AG98="Delivered"),0,N(S98))</f>
        <v>0</v>
      </c>
      <c r="AO98" s="2" t="s">
        <v>1157</v>
      </c>
      <c r="AP98" s="10"/>
      <c r="AQ98" s="10" t="n">
        <v>16</v>
      </c>
      <c r="AR98" s="10" t="n">
        <v>6</v>
      </c>
      <c r="AS98" s="10"/>
      <c r="AT98" s="10"/>
      <c r="AU98" s="10"/>
      <c r="AV98" s="10" t="n">
        <f aca="false">N(AP98)+N(AQ98)+N(AR98)+N(AS98)+N(AT98)+N(AU98)</f>
        <v>22</v>
      </c>
      <c r="AW98" s="10"/>
      <c r="AX98" s="10" t="n">
        <v>22</v>
      </c>
      <c r="AY98" s="10"/>
      <c r="AZ98" s="2"/>
      <c r="BA98" s="2" t="s">
        <v>1022</v>
      </c>
      <c r="BB98" s="2" t="s">
        <v>1356</v>
      </c>
      <c r="BC98" s="2" t="s">
        <v>1023</v>
      </c>
      <c r="BD98" s="2" t="s">
        <v>1024</v>
      </c>
      <c r="BE98" s="2"/>
      <c r="BF98" s="2" t="s">
        <v>1025</v>
      </c>
      <c r="BG98" s="22" t="n">
        <v>46143</v>
      </c>
      <c r="BH98" s="22" t="n">
        <v>48006</v>
      </c>
      <c r="BI98" s="2"/>
      <c r="BJ98" s="22" t="n">
        <v>48006</v>
      </c>
      <c r="BK98" s="2"/>
      <c r="BL98" s="2" t="n">
        <v>0</v>
      </c>
      <c r="BM98" s="2"/>
      <c r="BN98" s="24" t="s">
        <v>1357</v>
      </c>
      <c r="BO98" s="23" t="s">
        <v>1358</v>
      </c>
      <c r="BP98" s="2" t="n">
        <f aca="false">IF(OR(K98="",BG98=""),"",ROUND(BG98-K98,0))</f>
        <v>0</v>
      </c>
      <c r="BQ98" s="2" t="str">
        <f aca="false">IF(OR(N(BK98)=0,Q98=""),"Not recorded",IF(BK98=Q98,"Match","Differs"))</f>
        <v>Not recorded</v>
      </c>
      <c r="BR98" s="2" t="str">
        <f aca="false">IF(N98="No","Excluded (non-residential)",IF(BF98="No reference","Unverified – no reference",IF(BF98="Not in council register","Unverified – not in register (Part 8 / other)",IF(OR(BF98="Refused",BF98="Refused on appeal",BF98="Withdrawn",BF98="Invalid",BF98="Quashed"),IF(OR(G98="Complete",G98="On Site",G98="Part Complete"),"Conflict – register not live but CIS says built","Conflict – not live in register"),IF(AND(G98="Plans Submitted",OR(BF98="Granted",BF98="Granted on appeal")),"Stage out of date – now granted",IF(AND(G98&lt;&gt;"Plans Submitted",OR(BF98="Pending",BF98="Under appeal")),"Check – register still pending",IF(N(BL98)&gt;Method!$B$7,"Check – location differs",IF(AND(BP98&lt;&gt;"",ABS(N(BP98))&gt;60),"Consistent – decision date differs","Consistent"))))))))</f>
        <v>Consistent</v>
      </c>
      <c r="BS98" s="2"/>
      <c r="BT98" s="2"/>
      <c r="BU98" s="2"/>
      <c r="BV98" s="2"/>
      <c r="BW98" s="2"/>
      <c r="BX98" s="2"/>
    </row>
    <row r="99" customFormat="false" ht="15" hidden="false" customHeight="false" outlineLevel="0" collapsed="false">
      <c r="A99" s="2" t="n">
        <v>1414007</v>
      </c>
      <c r="B99" s="2" t="s">
        <v>202</v>
      </c>
      <c r="C99" s="2" t="s">
        <v>1359</v>
      </c>
      <c r="D99" s="2" t="s">
        <v>203</v>
      </c>
      <c r="E99" s="2" t="s">
        <v>204</v>
      </c>
      <c r="F99" s="2" t="s">
        <v>134</v>
      </c>
      <c r="G99" s="2" t="s">
        <v>187</v>
      </c>
      <c r="H99" s="2" t="s">
        <v>1014</v>
      </c>
      <c r="I99" s="2"/>
      <c r="J99" s="22" t="n">
        <v>45919</v>
      </c>
      <c r="K99" s="22" t="n">
        <v>46267</v>
      </c>
      <c r="L99" s="22" t="n">
        <v>46272.3276997338</v>
      </c>
      <c r="M99" s="2" t="s">
        <v>1016</v>
      </c>
      <c r="N99" s="2" t="s">
        <v>121</v>
      </c>
      <c r="O99" s="2"/>
      <c r="P99" s="2" t="s">
        <v>1017</v>
      </c>
      <c r="Q99" s="10" t="n">
        <v>8</v>
      </c>
      <c r="R99" s="10"/>
      <c r="S99" s="10"/>
      <c r="T99" s="2" t="s">
        <v>120</v>
      </c>
      <c r="U99" s="2"/>
      <c r="V99" s="2" t="s">
        <v>1029</v>
      </c>
      <c r="W99" s="2" t="s">
        <v>1030</v>
      </c>
      <c r="X99" s="7"/>
      <c r="Y99" s="2" t="str">
        <f aca="false">IF(X99&lt;&gt;"",X99,T99)</f>
        <v>Primary</v>
      </c>
      <c r="Z99" s="2" t="str">
        <f aca="false">IF(OR(Y99="Primary",Y99="Additional phase",Y99="Additional application on site",Y99="Replaces earlier",Y99="Extension of duration (parent not in CIS)"),"Yes","No")</f>
        <v>Yes</v>
      </c>
      <c r="AA99" s="2"/>
      <c r="AB99" s="2" t="n">
        <f aca="false">IF(L99="","",ROUND((Method!$B$4-L99)/30.44,0))</f>
        <v>1</v>
      </c>
      <c r="AC99" s="2" t="str">
        <f aca="false">IF(AB99="","No",IF(AB99&gt;Method!$B$5,"Yes","No"))</f>
        <v>No</v>
      </c>
      <c r="AD99" s="22" t="n">
        <f aca="false">IF(BJ99&lt;&gt;"",BJ99,IF(K99&lt;&gt;"",EDATE(K99,60),""))</f>
        <v>48093</v>
      </c>
      <c r="AE99" s="2" t="str">
        <f aca="false">IF(AND(AD99&lt;&gt;"",OR(G99="Permission Granted",G99="Commencement Expected",G99="Stalled or Suspended")),IF(AD99&lt;Method!$B$4,"Yes","No"),"No")</f>
        <v>No</v>
      </c>
      <c r="AF99" s="7"/>
      <c r="AG99" s="2" t="str">
        <f aca="false">IF(Z99="No","Not counted",IF(AF99="Lapsed or dead","Excluded",IF(AF99="Constrained","Constrained / uncertain",IF(AF99="Confirmed live",IF(G99="On Site","Committed",IF(G99="Part Complete","Committed",IF(G99="Contract Awarded","Committed Pre-Construction",IF(G99="Tender","Advanced Pre-Construction",IF(G99="Commencement Expected","Likely",IF(G99="Permission Granted","Potential",IF(G99="Stalled or Suspended","Constrained / uncertain",IF(G99="Complete","Delivered","Application Pipeline")))))))),IF(G99="Complete","Delivered",IF(AND(OR(G99="Permission Granted",G99="Commencement Expected"),OR(AC99="Yes",AE99="Yes")),"Constrained / uncertain",IF(G99="On Site","Committed",IF(G99="Part Complete","Committed",IF(G99="Contract Awarded","Committed Pre-Construction",IF(G99="Tender","Advanced Pre-Construction",IF(G99="Commencement Expected","Likely",IF(G99="Permission Granted","Potential",IF(G99="Stalled or Suspended","Constrained / uncertain",IF(G99="Complete","Delivered","Application Pipeline"))))))))))))))</f>
        <v>Potential</v>
      </c>
      <c r="AH99" s="2" t="str">
        <f aca="false">IF(Z99="No","Relationship: "&amp;Y99,IF(AF99&lt;&gt;"","Analyst: "&amp;AF99,IF(G99="Complete","Complete",IF(AND(OR(G99="Permission Granted",G99="Commencement Expected"),AE99="Yes"),"Past expiry",IF(AND(OR(G99="Permission Granted",G99="Commencement Expected"),AC99="Yes"),"No CIS update in "&amp;AB99&amp;" months","As CIS")))))</f>
        <v>As CIS</v>
      </c>
      <c r="AI99" s="10" t="n">
        <f aca="false">IF(Z99="Yes",N(Q99),0)</f>
        <v>8</v>
      </c>
      <c r="AJ99" s="10" t="n">
        <f aca="false">IF(OR(Z99="No",G99="Complete"),0,MAX(N(Q99)-N(AA99),0))</f>
        <v>8</v>
      </c>
      <c r="AK99" s="10" t="n">
        <f aca="false">IF(Z99="No",0,IF(G99="Complete",N(Q99),MIN(N(AA99),N(Q99))))</f>
        <v>0</v>
      </c>
      <c r="AL99" s="10" t="n">
        <f aca="false">IF(OR(OR(AG99="Not counted",AG99="Excluded",AG99="Delivered"),P99="Student accommodation"),0,AJ99)</f>
        <v>8</v>
      </c>
      <c r="AM99" s="10" t="n">
        <f aca="false">IF(OR(OR(AG99="Not counted",AG99="Excluded",AG99="Delivered"),P99&lt;&gt;"Student accommodation"),0,AJ99)</f>
        <v>0</v>
      </c>
      <c r="AN99" s="10" t="n">
        <f aca="false">IF(OR(AG99="Not counted",AG99="Excluded",AG99="Delivered"),0,N(S99))</f>
        <v>0</v>
      </c>
      <c r="AO99" s="2" t="s">
        <v>1021</v>
      </c>
      <c r="AP99" s="10"/>
      <c r="AQ99" s="10"/>
      <c r="AR99" s="10"/>
      <c r="AS99" s="10"/>
      <c r="AT99" s="10"/>
      <c r="AU99" s="10"/>
      <c r="AV99" s="10" t="n">
        <f aca="false">N(AP99)+N(AQ99)+N(AR99)+N(AS99)+N(AT99)+N(AU99)</f>
        <v>0</v>
      </c>
      <c r="AW99" s="10"/>
      <c r="AX99" s="10"/>
      <c r="AY99" s="10"/>
      <c r="AZ99" s="2"/>
      <c r="BA99" s="2" t="s">
        <v>1022</v>
      </c>
      <c r="BB99" s="2" t="s">
        <v>1359</v>
      </c>
      <c r="BC99" s="2" t="s">
        <v>1046</v>
      </c>
      <c r="BD99" s="2" t="s">
        <v>1024</v>
      </c>
      <c r="BE99" s="2"/>
      <c r="BF99" s="2" t="s">
        <v>1025</v>
      </c>
      <c r="BG99" s="22" t="n">
        <v>46267</v>
      </c>
      <c r="BH99" s="22"/>
      <c r="BI99" s="2"/>
      <c r="BJ99" s="22"/>
      <c r="BK99" s="2" t="n">
        <v>8</v>
      </c>
      <c r="BL99" s="2" t="n">
        <v>0</v>
      </c>
      <c r="BM99" s="2"/>
      <c r="BN99" s="2" t="s">
        <v>1360</v>
      </c>
      <c r="BO99" s="23" t="s">
        <v>1361</v>
      </c>
      <c r="BP99" s="2" t="n">
        <f aca="false">IF(OR(K99="",BG99=""),"",ROUND(BG99-K99,0))</f>
        <v>0</v>
      </c>
      <c r="BQ99" s="2" t="str">
        <f aca="false">IF(OR(N(BK99)=0,Q99=""),"Not recorded",IF(BK99=Q99,"Match","Differs"))</f>
        <v>Match</v>
      </c>
      <c r="BR99" s="2" t="str">
        <f aca="false">IF(N99="No","Excluded (non-residential)",IF(BF99="No reference","Unverified – no reference",IF(BF99="Not in council register","Unverified – not in register (Part 8 / other)",IF(OR(BF99="Refused",BF99="Refused on appeal",BF99="Withdrawn",BF99="Invalid",BF99="Quashed"),IF(OR(G99="Complete",G99="On Site",G99="Part Complete"),"Conflict – register not live but CIS says built","Conflict – not live in register"),IF(AND(G99="Plans Submitted",OR(BF99="Granted",BF99="Granted on appeal")),"Stage out of date – now granted",IF(AND(G99&lt;&gt;"Plans Submitted",OR(BF99="Pending",BF99="Under appeal")),"Check – register still pending",IF(N(BL99)&gt;Method!$B$7,"Check – location differs",IF(AND(BP99&lt;&gt;"",ABS(N(BP99))&gt;60),"Consistent – decision date differs","Consistent"))))))))</f>
        <v>Consistent</v>
      </c>
      <c r="BS99" s="2"/>
      <c r="BT99" s="2"/>
      <c r="BU99" s="2"/>
      <c r="BV99" s="2"/>
      <c r="BW99" s="2"/>
      <c r="BX99" s="2"/>
    </row>
    <row r="100" customFormat="false" ht="15" hidden="false" customHeight="false" outlineLevel="0" collapsed="false">
      <c r="A100" s="2" t="n">
        <v>1414128</v>
      </c>
      <c r="B100" s="2" t="s">
        <v>309</v>
      </c>
      <c r="C100" s="2" t="s">
        <v>1362</v>
      </c>
      <c r="D100" s="2" t="s">
        <v>310</v>
      </c>
      <c r="E100" s="2" t="s">
        <v>311</v>
      </c>
      <c r="F100" s="2" t="s">
        <v>139</v>
      </c>
      <c r="G100" s="2" t="s">
        <v>187</v>
      </c>
      <c r="H100" s="2" t="s">
        <v>1014</v>
      </c>
      <c r="I100" s="2"/>
      <c r="J100" s="22" t="n">
        <v>45922</v>
      </c>
      <c r="K100" s="22" t="n">
        <v>46106</v>
      </c>
      <c r="L100" s="22" t="n">
        <v>46114.4701051273</v>
      </c>
      <c r="M100" s="2" t="s">
        <v>1016</v>
      </c>
      <c r="N100" s="2" t="s">
        <v>121</v>
      </c>
      <c r="O100" s="2"/>
      <c r="P100" s="2" t="s">
        <v>1017</v>
      </c>
      <c r="Q100" s="10" t="n">
        <v>25</v>
      </c>
      <c r="R100" s="10" t="n">
        <v>25</v>
      </c>
      <c r="S100" s="10"/>
      <c r="T100" s="2" t="s">
        <v>120</v>
      </c>
      <c r="U100" s="2"/>
      <c r="V100" s="2" t="s">
        <v>1029</v>
      </c>
      <c r="W100" s="2" t="s">
        <v>1030</v>
      </c>
      <c r="X100" s="7"/>
      <c r="Y100" s="2" t="str">
        <f aca="false">IF(X100&lt;&gt;"",X100,T100)</f>
        <v>Primary</v>
      </c>
      <c r="Z100" s="2" t="str">
        <f aca="false">IF(OR(Y100="Primary",Y100="Additional phase",Y100="Additional application on site",Y100="Replaces earlier",Y100="Extension of duration (parent not in CIS)"),"Yes","No")</f>
        <v>Yes</v>
      </c>
      <c r="AA100" s="2"/>
      <c r="AB100" s="2" t="n">
        <f aca="false">IF(L100="","",ROUND((Method!$B$4-L100)/30.44,0))</f>
        <v>6</v>
      </c>
      <c r="AC100" s="2" t="str">
        <f aca="false">IF(AB100="","No",IF(AB100&gt;Method!$B$5,"Yes","No"))</f>
        <v>No</v>
      </c>
      <c r="AD100" s="22" t="n">
        <f aca="false">IF(BJ100&lt;&gt;"",BJ100,IF(K100&lt;&gt;"",EDATE(K100,60),""))</f>
        <v>47966</v>
      </c>
      <c r="AE100" s="2" t="str">
        <f aca="false">IF(AND(AD100&lt;&gt;"",OR(G100="Permission Granted",G100="Commencement Expected",G100="Stalled or Suspended")),IF(AD100&lt;Method!$B$4,"Yes","No"),"No")</f>
        <v>No</v>
      </c>
      <c r="AF100" s="7"/>
      <c r="AG100" s="2" t="str">
        <f aca="false">IF(Z100="No","Not counted",IF(AF100="Lapsed or dead","Excluded",IF(AF100="Constrained","Constrained / uncertain",IF(AF100="Confirmed live",IF(G100="On Site","Committed",IF(G100="Part Complete","Committed",IF(G100="Contract Awarded","Committed Pre-Construction",IF(G100="Tender","Advanced Pre-Construction",IF(G100="Commencement Expected","Likely",IF(G100="Permission Granted","Potential",IF(G100="Stalled or Suspended","Constrained / uncertain",IF(G100="Complete","Delivered","Application Pipeline")))))))),IF(G100="Complete","Delivered",IF(AND(OR(G100="Permission Granted",G100="Commencement Expected"),OR(AC100="Yes",AE100="Yes")),"Constrained / uncertain",IF(G100="On Site","Committed",IF(G100="Part Complete","Committed",IF(G100="Contract Awarded","Committed Pre-Construction",IF(G100="Tender","Advanced Pre-Construction",IF(G100="Commencement Expected","Likely",IF(G100="Permission Granted","Potential",IF(G100="Stalled or Suspended","Constrained / uncertain",IF(G100="Complete","Delivered","Application Pipeline"))))))))))))))</f>
        <v>Potential</v>
      </c>
      <c r="AH100" s="2" t="str">
        <f aca="false">IF(Z100="No","Relationship: "&amp;Y100,IF(AF100&lt;&gt;"","Analyst: "&amp;AF100,IF(G100="Complete","Complete",IF(AND(OR(G100="Permission Granted",G100="Commencement Expected"),AE100="Yes"),"Past expiry",IF(AND(OR(G100="Permission Granted",G100="Commencement Expected"),AC100="Yes"),"No CIS update in "&amp;AB100&amp;" months","As CIS")))))</f>
        <v>As CIS</v>
      </c>
      <c r="AI100" s="10" t="n">
        <f aca="false">IF(Z100="Yes",N(Q100),0)</f>
        <v>25</v>
      </c>
      <c r="AJ100" s="10" t="n">
        <f aca="false">IF(OR(Z100="No",G100="Complete"),0,MAX(N(Q100)-N(AA100),0))</f>
        <v>25</v>
      </c>
      <c r="AK100" s="10" t="n">
        <f aca="false">IF(Z100="No",0,IF(G100="Complete",N(Q100),MIN(N(AA100),N(Q100))))</f>
        <v>0</v>
      </c>
      <c r="AL100" s="10" t="n">
        <f aca="false">IF(OR(OR(AG100="Not counted",AG100="Excluded",AG100="Delivered"),P100="Student accommodation"),0,AJ100)</f>
        <v>25</v>
      </c>
      <c r="AM100" s="10" t="n">
        <f aca="false">IF(OR(OR(AG100="Not counted",AG100="Excluded",AG100="Delivered"),P100&lt;&gt;"Student accommodation"),0,AJ100)</f>
        <v>0</v>
      </c>
      <c r="AN100" s="10" t="n">
        <f aca="false">IF(OR(AG100="Not counted",AG100="Excluded",AG100="Delivered"),0,N(S100))</f>
        <v>0</v>
      </c>
      <c r="AO100" s="2" t="s">
        <v>1157</v>
      </c>
      <c r="AP100" s="10"/>
      <c r="AQ100" s="10" t="n">
        <v>8</v>
      </c>
      <c r="AR100" s="10" t="n">
        <v>8</v>
      </c>
      <c r="AS100" s="10" t="n">
        <v>9</v>
      </c>
      <c r="AT100" s="10"/>
      <c r="AU100" s="10"/>
      <c r="AV100" s="10" t="n">
        <f aca="false">N(AP100)+N(AQ100)+N(AR100)+N(AS100)+N(AT100)+N(AU100)</f>
        <v>25</v>
      </c>
      <c r="AW100" s="10" t="n">
        <v>9</v>
      </c>
      <c r="AX100" s="10" t="n">
        <v>16</v>
      </c>
      <c r="AY100" s="10"/>
      <c r="AZ100" s="2"/>
      <c r="BA100" s="2" t="s">
        <v>1022</v>
      </c>
      <c r="BB100" s="2" t="s">
        <v>1362</v>
      </c>
      <c r="BC100" s="2" t="s">
        <v>1023</v>
      </c>
      <c r="BD100" s="2" t="s">
        <v>1024</v>
      </c>
      <c r="BE100" s="2"/>
      <c r="BF100" s="2" t="s">
        <v>1025</v>
      </c>
      <c r="BG100" s="22" t="n">
        <v>46106</v>
      </c>
      <c r="BH100" s="22" t="n">
        <v>47966</v>
      </c>
      <c r="BI100" s="2"/>
      <c r="BJ100" s="22" t="n">
        <v>47966</v>
      </c>
      <c r="BK100" s="2" t="n">
        <v>25</v>
      </c>
      <c r="BL100" s="2" t="n">
        <v>0</v>
      </c>
      <c r="BM100" s="2"/>
      <c r="BN100" s="2" t="s">
        <v>1363</v>
      </c>
      <c r="BO100" s="23" t="s">
        <v>1364</v>
      </c>
      <c r="BP100" s="2" t="n">
        <f aca="false">IF(OR(K100="",BG100=""),"",ROUND(BG100-K100,0))</f>
        <v>0</v>
      </c>
      <c r="BQ100" s="2" t="str">
        <f aca="false">IF(OR(N(BK100)=0,Q100=""),"Not recorded",IF(BK100=Q100,"Match","Differs"))</f>
        <v>Match</v>
      </c>
      <c r="BR100" s="2" t="str">
        <f aca="false">IF(N100="No","Excluded (non-residential)",IF(BF100="No reference","Unverified – no reference",IF(BF100="Not in council register","Unverified – not in register (Part 8 / other)",IF(OR(BF100="Refused",BF100="Refused on appeal",BF100="Withdrawn",BF100="Invalid",BF100="Quashed"),IF(OR(G100="Complete",G100="On Site",G100="Part Complete"),"Conflict – register not live but CIS says built","Conflict – not live in register"),IF(AND(G100="Plans Submitted",OR(BF100="Granted",BF100="Granted on appeal")),"Stage out of date – now granted",IF(AND(G100&lt;&gt;"Plans Submitted",OR(BF100="Pending",BF100="Under appeal")),"Check – register still pending",IF(N(BL100)&gt;Method!$B$7,"Check – location differs",IF(AND(BP100&lt;&gt;"",ABS(N(BP100))&gt;60),"Consistent – decision date differs","Consistent"))))))))</f>
        <v>Consistent</v>
      </c>
      <c r="BS100" s="2"/>
      <c r="BT100" s="2"/>
      <c r="BU100" s="2"/>
      <c r="BV100" s="2"/>
      <c r="BW100" s="2"/>
      <c r="BX100" s="2"/>
    </row>
    <row r="101" customFormat="false" ht="15" hidden="false" customHeight="false" outlineLevel="0" collapsed="false">
      <c r="A101" s="2" t="n">
        <v>1417746</v>
      </c>
      <c r="B101" s="2" t="s">
        <v>306</v>
      </c>
      <c r="C101" s="2" t="s">
        <v>1365</v>
      </c>
      <c r="D101" s="2" t="s">
        <v>307</v>
      </c>
      <c r="E101" s="2" t="s">
        <v>308</v>
      </c>
      <c r="F101" s="2" t="s">
        <v>144</v>
      </c>
      <c r="G101" s="2" t="s">
        <v>187</v>
      </c>
      <c r="H101" s="2" t="s">
        <v>1014</v>
      </c>
      <c r="I101" s="2"/>
      <c r="J101" s="22" t="n">
        <v>45986</v>
      </c>
      <c r="K101" s="22" t="n">
        <v>46091</v>
      </c>
      <c r="L101" s="22" t="n">
        <v>46119.288997257</v>
      </c>
      <c r="M101" s="2" t="s">
        <v>1016</v>
      </c>
      <c r="N101" s="2" t="s">
        <v>121</v>
      </c>
      <c r="O101" s="2"/>
      <c r="P101" s="2" t="s">
        <v>41</v>
      </c>
      <c r="Q101" s="10"/>
      <c r="R101" s="10" t="n">
        <v>17</v>
      </c>
      <c r="S101" s="10" t="n">
        <v>115</v>
      </c>
      <c r="T101" s="2" t="s">
        <v>120</v>
      </c>
      <c r="U101" s="2"/>
      <c r="V101" s="2" t="s">
        <v>1029</v>
      </c>
      <c r="W101" s="2" t="s">
        <v>1030</v>
      </c>
      <c r="X101" s="7"/>
      <c r="Y101" s="2" t="str">
        <f aca="false">IF(X101&lt;&gt;"",X101,T101)</f>
        <v>Primary</v>
      </c>
      <c r="Z101" s="2" t="str">
        <f aca="false">IF(OR(Y101="Primary",Y101="Additional phase",Y101="Additional application on site",Y101="Replaces earlier",Y101="Extension of duration (parent not in CIS)"),"Yes","No")</f>
        <v>Yes</v>
      </c>
      <c r="AA101" s="2"/>
      <c r="AB101" s="2" t="n">
        <f aca="false">IF(L101="","",ROUND((Method!$B$4-L101)/30.44,0))</f>
        <v>6</v>
      </c>
      <c r="AC101" s="2" t="str">
        <f aca="false">IF(AB101="","No",IF(AB101&gt;Method!$B$5,"Yes","No"))</f>
        <v>No</v>
      </c>
      <c r="AD101" s="22" t="n">
        <f aca="false">IF(BJ101&lt;&gt;"",BJ101,IF(K101&lt;&gt;"",EDATE(K101,60),""))</f>
        <v>48056</v>
      </c>
      <c r="AE101" s="2" t="str">
        <f aca="false">IF(AND(AD101&lt;&gt;"",OR(G101="Permission Granted",G101="Commencement Expected",G101="Stalled or Suspended")),IF(AD101&lt;Method!$B$4,"Yes","No"),"No")</f>
        <v>No</v>
      </c>
      <c r="AF101" s="7"/>
      <c r="AG101" s="2" t="str">
        <f aca="false">IF(Z101="No","Not counted",IF(AF101="Lapsed or dead","Excluded",IF(AF101="Constrained","Constrained / uncertain",IF(AF101="Confirmed live",IF(G101="On Site","Committed",IF(G101="Part Complete","Committed",IF(G101="Contract Awarded","Committed Pre-Construction",IF(G101="Tender","Advanced Pre-Construction",IF(G101="Commencement Expected","Likely",IF(G101="Permission Granted","Potential",IF(G101="Stalled or Suspended","Constrained / uncertain",IF(G101="Complete","Delivered","Application Pipeline")))))))),IF(G101="Complete","Delivered",IF(AND(OR(G101="Permission Granted",G101="Commencement Expected"),OR(AC101="Yes",AE101="Yes")),"Constrained / uncertain",IF(G101="On Site","Committed",IF(G101="Part Complete","Committed",IF(G101="Contract Awarded","Committed Pre-Construction",IF(G101="Tender","Advanced Pre-Construction",IF(G101="Commencement Expected","Likely",IF(G101="Permission Granted","Potential",IF(G101="Stalled or Suspended","Constrained / uncertain",IF(G101="Complete","Delivered","Application Pipeline"))))))))))))))</f>
        <v>Potential</v>
      </c>
      <c r="AH101" s="2" t="str">
        <f aca="false">IF(Z101="No","Relationship: "&amp;Y101,IF(AF101&lt;&gt;"","Analyst: "&amp;AF101,IF(G101="Complete","Complete",IF(AND(OR(G101="Permission Granted",G101="Commencement Expected"),AE101="Yes"),"Past expiry",IF(AND(OR(G101="Permission Granted",G101="Commencement Expected"),AC101="Yes"),"No CIS update in "&amp;AB101&amp;" months","As CIS")))))</f>
        <v>As CIS</v>
      </c>
      <c r="AI101" s="10" t="n">
        <f aca="false">IF(Z101="Yes",N(Q101),0)</f>
        <v>0</v>
      </c>
      <c r="AJ101" s="10" t="n">
        <f aca="false">IF(OR(Z101="No",G101="Complete"),0,MAX(N(Q101)-N(AA101),0))</f>
        <v>0</v>
      </c>
      <c r="AK101" s="10" t="n">
        <f aca="false">IF(Z101="No",0,IF(G101="Complete",N(Q101),MIN(N(AA101),N(Q101))))</f>
        <v>0</v>
      </c>
      <c r="AL101" s="10" t="n">
        <f aca="false">IF(OR(OR(AG101="Not counted",AG101="Excluded",AG101="Delivered"),P101="Student accommodation"),0,AJ101)</f>
        <v>0</v>
      </c>
      <c r="AM101" s="10" t="n">
        <f aca="false">IF(OR(OR(AG101="Not counted",AG101="Excluded",AG101="Delivered"),P101&lt;&gt;"Student accommodation"),0,AJ101)</f>
        <v>0</v>
      </c>
      <c r="AN101" s="10" t="n">
        <f aca="false">IF(OR(AG101="Not counted",AG101="Excluded",AG101="Delivered"),0,N(S101))</f>
        <v>115</v>
      </c>
      <c r="AO101" s="2" t="s">
        <v>1021</v>
      </c>
      <c r="AP101" s="10"/>
      <c r="AQ101" s="10"/>
      <c r="AR101" s="10"/>
      <c r="AS101" s="10"/>
      <c r="AT101" s="10"/>
      <c r="AU101" s="10"/>
      <c r="AV101" s="10" t="n">
        <f aca="false">N(AP101)+N(AQ101)+N(AR101)+N(AS101)+N(AT101)+N(AU101)</f>
        <v>0</v>
      </c>
      <c r="AW101" s="10"/>
      <c r="AX101" s="10"/>
      <c r="AY101" s="10"/>
      <c r="AZ101" s="2"/>
      <c r="BA101" s="2" t="s">
        <v>1022</v>
      </c>
      <c r="BB101" s="2" t="s">
        <v>1365</v>
      </c>
      <c r="BC101" s="2" t="s">
        <v>1023</v>
      </c>
      <c r="BD101" s="2" t="s">
        <v>1024</v>
      </c>
      <c r="BE101" s="2" t="s">
        <v>1024</v>
      </c>
      <c r="BF101" s="2" t="s">
        <v>1059</v>
      </c>
      <c r="BG101" s="22" t="n">
        <v>46091</v>
      </c>
      <c r="BH101" s="22" t="n">
        <v>48056</v>
      </c>
      <c r="BI101" s="2"/>
      <c r="BJ101" s="22" t="n">
        <v>48056</v>
      </c>
      <c r="BK101" s="2"/>
      <c r="BL101" s="2" t="n">
        <v>0</v>
      </c>
      <c r="BM101" s="2"/>
      <c r="BN101" s="2" t="s">
        <v>1366</v>
      </c>
      <c r="BO101" s="23" t="s">
        <v>1367</v>
      </c>
      <c r="BP101" s="2" t="n">
        <f aca="false">IF(OR(K101="",BG101=""),"",ROUND(BG101-K101,0))</f>
        <v>0</v>
      </c>
      <c r="BQ101" s="2" t="str">
        <f aca="false">IF(OR(N(BK101)=0,Q101=""),"Not recorded",IF(BK101=Q101,"Match","Differs"))</f>
        <v>Not recorded</v>
      </c>
      <c r="BR101" s="2" t="str">
        <f aca="false">IF(N101="No","Excluded (non-residential)",IF(BF101="No reference","Unverified – no reference",IF(BF101="Not in council register","Unverified – not in register (Part 8 / other)",IF(OR(BF101="Refused",BF101="Refused on appeal",BF101="Withdrawn",BF101="Invalid",BF101="Quashed"),IF(OR(G101="Complete",G101="On Site",G101="Part Complete"),"Conflict – register not live but CIS says built","Conflict – not live in register"),IF(AND(G101="Plans Submitted",OR(BF101="Granted",BF101="Granted on appeal")),"Stage out of date – now granted",IF(AND(G101&lt;&gt;"Plans Submitted",OR(BF101="Pending",BF101="Under appeal")),"Check – register still pending",IF(N(BL101)&gt;Method!$B$7,"Check – location differs",IF(AND(BP101&lt;&gt;"",ABS(N(BP101))&gt;60),"Consistent – decision date differs","Consistent"))))))))</f>
        <v>Consistent</v>
      </c>
      <c r="BS101" s="2"/>
      <c r="BT101" s="2"/>
      <c r="BU101" s="2"/>
      <c r="BV101" s="2"/>
      <c r="BW101" s="2"/>
      <c r="BX101" s="2"/>
    </row>
    <row r="102" customFormat="false" ht="15" hidden="false" customHeight="false" outlineLevel="0" collapsed="false">
      <c r="A102" s="2" t="n">
        <v>1423228</v>
      </c>
      <c r="B102" s="2" t="s">
        <v>239</v>
      </c>
      <c r="C102" s="2" t="s">
        <v>1368</v>
      </c>
      <c r="D102" s="2" t="s">
        <v>240</v>
      </c>
      <c r="E102" s="2" t="s">
        <v>241</v>
      </c>
      <c r="F102" s="2" t="s">
        <v>139</v>
      </c>
      <c r="G102" s="2" t="s">
        <v>187</v>
      </c>
      <c r="H102" s="2" t="s">
        <v>1014</v>
      </c>
      <c r="I102" s="2"/>
      <c r="J102" s="22" t="n">
        <v>46052</v>
      </c>
      <c r="K102" s="22" t="n">
        <v>46225</v>
      </c>
      <c r="L102" s="22" t="n">
        <v>46239.5817488426</v>
      </c>
      <c r="M102" s="2" t="s">
        <v>1016</v>
      </c>
      <c r="N102" s="2" t="s">
        <v>121</v>
      </c>
      <c r="O102" s="2"/>
      <c r="P102" s="2" t="s">
        <v>41</v>
      </c>
      <c r="Q102" s="10" t="n">
        <v>465</v>
      </c>
      <c r="R102" s="10" t="n">
        <v>95</v>
      </c>
      <c r="S102" s="10" t="n">
        <v>309</v>
      </c>
      <c r="T102" s="2" t="s">
        <v>120</v>
      </c>
      <c r="U102" s="2"/>
      <c r="V102" s="2" t="s">
        <v>1029</v>
      </c>
      <c r="W102" s="2" t="s">
        <v>1030</v>
      </c>
      <c r="X102" s="7"/>
      <c r="Y102" s="2" t="str">
        <f aca="false">IF(X102&lt;&gt;"",X102,T102)</f>
        <v>Primary</v>
      </c>
      <c r="Z102" s="2" t="str">
        <f aca="false">IF(OR(Y102="Primary",Y102="Additional phase",Y102="Additional application on site",Y102="Replaces earlier",Y102="Extension of duration (parent not in CIS)"),"Yes","No")</f>
        <v>Yes</v>
      </c>
      <c r="AA102" s="2"/>
      <c r="AB102" s="2" t="n">
        <f aca="false">IF(L102="","",ROUND((Method!$B$4-L102)/30.44,0))</f>
        <v>2</v>
      </c>
      <c r="AC102" s="2" t="str">
        <f aca="false">IF(AB102="","No",IF(AB102&gt;Method!$B$5,"Yes","No"))</f>
        <v>No</v>
      </c>
      <c r="AD102" s="22" t="n">
        <f aca="false">IF(BJ102&lt;&gt;"",BJ102,IF(K102&lt;&gt;"",EDATE(K102,60),""))</f>
        <v>48050</v>
      </c>
      <c r="AE102" s="2" t="str">
        <f aca="false">IF(AND(AD102&lt;&gt;"",OR(G102="Permission Granted",G102="Commencement Expected",G102="Stalled or Suspended")),IF(AD102&lt;Method!$B$4,"Yes","No"),"No")</f>
        <v>No</v>
      </c>
      <c r="AF102" s="7"/>
      <c r="AG102" s="2" t="str">
        <f aca="false">IF(Z102="No","Not counted",IF(AF102="Lapsed or dead","Excluded",IF(AF102="Constrained","Constrained / uncertain",IF(AF102="Confirmed live",IF(G102="On Site","Committed",IF(G102="Part Complete","Committed",IF(G102="Contract Awarded","Committed Pre-Construction",IF(G102="Tender","Advanced Pre-Construction",IF(G102="Commencement Expected","Likely",IF(G102="Permission Granted","Potential",IF(G102="Stalled or Suspended","Constrained / uncertain",IF(G102="Complete","Delivered","Application Pipeline")))))))),IF(G102="Complete","Delivered",IF(AND(OR(G102="Permission Granted",G102="Commencement Expected"),OR(AC102="Yes",AE102="Yes")),"Constrained / uncertain",IF(G102="On Site","Committed",IF(G102="Part Complete","Committed",IF(G102="Contract Awarded","Committed Pre-Construction",IF(G102="Tender","Advanced Pre-Construction",IF(G102="Commencement Expected","Likely",IF(G102="Permission Granted","Potential",IF(G102="Stalled or Suspended","Constrained / uncertain",IF(G102="Complete","Delivered","Application Pipeline"))))))))))))))</f>
        <v>Potential</v>
      </c>
      <c r="AH102" s="2" t="str">
        <f aca="false">IF(Z102="No","Relationship: "&amp;Y102,IF(AF102&lt;&gt;"","Analyst: "&amp;AF102,IF(G102="Complete","Complete",IF(AND(OR(G102="Permission Granted",G102="Commencement Expected"),AE102="Yes"),"Past expiry",IF(AND(OR(G102="Permission Granted",G102="Commencement Expected"),AC102="Yes"),"No CIS update in "&amp;AB102&amp;" months","As CIS")))))</f>
        <v>As CIS</v>
      </c>
      <c r="AI102" s="10" t="n">
        <f aca="false">IF(Z102="Yes",N(Q102),0)</f>
        <v>465</v>
      </c>
      <c r="AJ102" s="10" t="n">
        <f aca="false">IF(OR(Z102="No",G102="Complete"),0,MAX(N(Q102)-N(AA102),0))</f>
        <v>465</v>
      </c>
      <c r="AK102" s="10" t="n">
        <f aca="false">IF(Z102="No",0,IF(G102="Complete",N(Q102),MIN(N(AA102),N(Q102))))</f>
        <v>0</v>
      </c>
      <c r="AL102" s="10" t="n">
        <f aca="false">IF(OR(OR(AG102="Not counted",AG102="Excluded",AG102="Delivered"),P102="Student accommodation"),0,AJ102)</f>
        <v>0</v>
      </c>
      <c r="AM102" s="10" t="n">
        <f aca="false">IF(OR(OR(AG102="Not counted",AG102="Excluded",AG102="Delivered"),P102&lt;&gt;"Student accommodation"),0,AJ102)</f>
        <v>465</v>
      </c>
      <c r="AN102" s="10" t="n">
        <f aca="false">IF(OR(AG102="Not counted",AG102="Excluded",AG102="Delivered"),0,N(S102))</f>
        <v>309</v>
      </c>
      <c r="AO102" s="2" t="s">
        <v>1157</v>
      </c>
      <c r="AP102" s="10"/>
      <c r="AQ102" s="10" t="n">
        <v>18</v>
      </c>
      <c r="AR102" s="10" t="n">
        <v>74</v>
      </c>
      <c r="AS102" s="10" t="n">
        <v>17</v>
      </c>
      <c r="AT102" s="10" t="n">
        <v>8</v>
      </c>
      <c r="AU102" s="10"/>
      <c r="AV102" s="10" t="n">
        <f aca="false">N(AP102)+N(AQ102)+N(AR102)+N(AS102)+N(AT102)+N(AU102)</f>
        <v>117</v>
      </c>
      <c r="AW102" s="10" t="n">
        <v>22</v>
      </c>
      <c r="AX102" s="10" t="n">
        <v>134</v>
      </c>
      <c r="AY102" s="10"/>
      <c r="AZ102" s="2"/>
      <c r="BA102" s="2" t="s">
        <v>1022</v>
      </c>
      <c r="BB102" s="2" t="s">
        <v>1368</v>
      </c>
      <c r="BC102" s="2" t="s">
        <v>1023</v>
      </c>
      <c r="BD102" s="2" t="s">
        <v>1024</v>
      </c>
      <c r="BE102" s="2" t="s">
        <v>1024</v>
      </c>
      <c r="BF102" s="2" t="s">
        <v>1059</v>
      </c>
      <c r="BG102" s="22" t="n">
        <v>46107</v>
      </c>
      <c r="BH102" s="22" t="n">
        <v>48050</v>
      </c>
      <c r="BI102" s="2"/>
      <c r="BJ102" s="22" t="n">
        <v>48050</v>
      </c>
      <c r="BK102" s="2" t="n">
        <v>22</v>
      </c>
      <c r="BL102" s="2" t="n">
        <v>0</v>
      </c>
      <c r="BM102" s="2"/>
      <c r="BN102" s="24" t="s">
        <v>1369</v>
      </c>
      <c r="BO102" s="23" t="s">
        <v>1370</v>
      </c>
      <c r="BP102" s="2" t="n">
        <f aca="false">IF(OR(K102="",BG102=""),"",ROUND(BG102-K102,0))</f>
        <v>-118</v>
      </c>
      <c r="BQ102" s="2" t="str">
        <f aca="false">IF(OR(N(BK102)=0,Q102=""),"Not recorded",IF(BK102=Q102,"Match","Differs"))</f>
        <v>Differs</v>
      </c>
      <c r="BR102" s="2" t="str">
        <f aca="false">IF(N102="No","Excluded (non-residential)",IF(BF102="No reference","Unverified – no reference",IF(BF102="Not in council register","Unverified – not in register (Part 8 / other)",IF(OR(BF102="Refused",BF102="Refused on appeal",BF102="Withdrawn",BF102="Invalid",BF102="Quashed"),IF(OR(G102="Complete",G102="On Site",G102="Part Complete"),"Conflict – register not live but CIS says built","Conflict – not live in register"),IF(AND(G102="Plans Submitted",OR(BF102="Granted",BF102="Granted on appeal")),"Stage out of date – now granted",IF(AND(G102&lt;&gt;"Plans Submitted",OR(BF102="Pending",BF102="Under appeal")),"Check – register still pending",IF(N(BL102)&gt;Method!$B$7,"Check – location differs",IF(AND(BP102&lt;&gt;"",ABS(N(BP102))&gt;60),"Consistent – decision date differs","Consistent"))))))))</f>
        <v>Consistent – decision date differs</v>
      </c>
      <c r="BS102" s="2"/>
      <c r="BT102" s="2"/>
      <c r="BU102" s="2"/>
      <c r="BV102" s="2"/>
      <c r="BW102" s="2"/>
      <c r="BX102" s="2"/>
    </row>
    <row r="103" customFormat="false" ht="15" hidden="false" customHeight="false" outlineLevel="0" collapsed="false">
      <c r="A103" s="2" t="n">
        <v>1424781</v>
      </c>
      <c r="B103" s="2" t="s">
        <v>255</v>
      </c>
      <c r="C103" s="2" t="s">
        <v>1371</v>
      </c>
      <c r="D103" s="2" t="s">
        <v>256</v>
      </c>
      <c r="E103" s="2" t="s">
        <v>257</v>
      </c>
      <c r="F103" s="2" t="s">
        <v>143</v>
      </c>
      <c r="G103" s="2" t="s">
        <v>198</v>
      </c>
      <c r="H103" s="2" t="s">
        <v>1014</v>
      </c>
      <c r="I103" s="2" t="s">
        <v>198</v>
      </c>
      <c r="J103" s="22" t="n">
        <v>45926</v>
      </c>
      <c r="K103" s="22" t="n">
        <v>46070</v>
      </c>
      <c r="L103" s="22" t="n">
        <v>46184.4284413542</v>
      </c>
      <c r="M103" s="2" t="s">
        <v>1016</v>
      </c>
      <c r="N103" s="2" t="s">
        <v>121</v>
      </c>
      <c r="O103" s="2"/>
      <c r="P103" s="2" t="s">
        <v>1017</v>
      </c>
      <c r="Q103" s="10" t="n">
        <v>10</v>
      </c>
      <c r="R103" s="10"/>
      <c r="S103" s="10"/>
      <c r="T103" s="2" t="s">
        <v>120</v>
      </c>
      <c r="U103" s="2"/>
      <c r="V103" s="2" t="s">
        <v>1029</v>
      </c>
      <c r="W103" s="2" t="s">
        <v>1030</v>
      </c>
      <c r="X103" s="7"/>
      <c r="Y103" s="2" t="str">
        <f aca="false">IF(X103&lt;&gt;"",X103,T103)</f>
        <v>Primary</v>
      </c>
      <c r="Z103" s="2" t="str">
        <f aca="false">IF(OR(Y103="Primary",Y103="Additional phase",Y103="Additional application on site",Y103="Replaces earlier",Y103="Extension of duration (parent not in CIS)"),"Yes","No")</f>
        <v>Yes</v>
      </c>
      <c r="AA103" s="2"/>
      <c r="AB103" s="2" t="n">
        <f aca="false">IF(L103="","",ROUND((Method!$B$4-L103)/30.44,0))</f>
        <v>4</v>
      </c>
      <c r="AC103" s="2" t="str">
        <f aca="false">IF(AB103="","No",IF(AB103&gt;Method!$B$5,"Yes","No"))</f>
        <v>No</v>
      </c>
      <c r="AD103" s="22" t="n">
        <f aca="false">IF(BJ103&lt;&gt;"",BJ103,IF(K103&lt;&gt;"",EDATE(K103,60),""))</f>
        <v>47929</v>
      </c>
      <c r="AE103" s="2" t="str">
        <f aca="false">IF(AND(AD103&lt;&gt;"",OR(G103="Permission Granted",G103="Commencement Expected",G103="Stalled or Suspended")),IF(AD103&lt;Method!$B$4,"Yes","No"),"No")</f>
        <v>No</v>
      </c>
      <c r="AF103" s="7"/>
      <c r="AG103" s="2" t="str">
        <f aca="false">IF(Z103="No","Not counted",IF(AF103="Lapsed or dead","Excluded",IF(AF103="Constrained","Constrained / uncertain",IF(AF103="Confirmed live",IF(G103="On Site","Committed",IF(G103="Part Complete","Committed",IF(G103="Contract Awarded","Committed Pre-Construction",IF(G103="Tender","Advanced Pre-Construction",IF(G103="Commencement Expected","Likely",IF(G103="Permission Granted","Potential",IF(G103="Stalled or Suspended","Constrained / uncertain",IF(G103="Complete","Delivered","Application Pipeline")))))))),IF(G103="Complete","Delivered",IF(AND(OR(G103="Permission Granted",G103="Commencement Expected"),OR(AC103="Yes",AE103="Yes")),"Constrained / uncertain",IF(G103="On Site","Committed",IF(G103="Part Complete","Committed",IF(G103="Contract Awarded","Committed Pre-Construction",IF(G103="Tender","Advanced Pre-Construction",IF(G103="Commencement Expected","Likely",IF(G103="Permission Granted","Potential",IF(G103="Stalled or Suspended","Constrained / uncertain",IF(G103="Complete","Delivered","Application Pipeline"))))))))))))))</f>
        <v>Committed</v>
      </c>
      <c r="AH103" s="2" t="str">
        <f aca="false">IF(Z103="No","Relationship: "&amp;Y103,IF(AF103&lt;&gt;"","Analyst: "&amp;AF103,IF(G103="Complete","Complete",IF(AND(OR(G103="Permission Granted",G103="Commencement Expected"),AE103="Yes"),"Past expiry",IF(AND(OR(G103="Permission Granted",G103="Commencement Expected"),AC103="Yes"),"No CIS update in "&amp;AB103&amp;" months","As CIS")))))</f>
        <v>As CIS</v>
      </c>
      <c r="AI103" s="10" t="n">
        <f aca="false">IF(Z103="Yes",N(Q103),0)</f>
        <v>10</v>
      </c>
      <c r="AJ103" s="10" t="n">
        <f aca="false">IF(OR(Z103="No",G103="Complete"),0,MAX(N(Q103)-N(AA103),0))</f>
        <v>10</v>
      </c>
      <c r="AK103" s="10" t="n">
        <f aca="false">IF(Z103="No",0,IF(G103="Complete",N(Q103),MIN(N(AA103),N(Q103))))</f>
        <v>0</v>
      </c>
      <c r="AL103" s="10" t="n">
        <f aca="false">IF(OR(OR(AG103="Not counted",AG103="Excluded",AG103="Delivered"),P103="Student accommodation"),0,AJ103)</f>
        <v>10</v>
      </c>
      <c r="AM103" s="10" t="n">
        <f aca="false">IF(OR(OR(AG103="Not counted",AG103="Excluded",AG103="Delivered"),P103&lt;&gt;"Student accommodation"),0,AJ103)</f>
        <v>0</v>
      </c>
      <c r="AN103" s="10" t="n">
        <f aca="false">IF(OR(AG103="Not counted",AG103="Excluded",AG103="Delivered"),0,N(S103))</f>
        <v>0</v>
      </c>
      <c r="AO103" s="2" t="s">
        <v>1031</v>
      </c>
      <c r="AP103" s="10"/>
      <c r="AQ103" s="10"/>
      <c r="AR103" s="10"/>
      <c r="AS103" s="10" t="n">
        <v>10</v>
      </c>
      <c r="AT103" s="10"/>
      <c r="AU103" s="10"/>
      <c r="AV103" s="10" t="n">
        <f aca="false">N(AP103)+N(AQ103)+N(AR103)+N(AS103)+N(AT103)+N(AU103)</f>
        <v>10</v>
      </c>
      <c r="AW103" s="10" t="n">
        <v>10</v>
      </c>
      <c r="AX103" s="10"/>
      <c r="AY103" s="10"/>
      <c r="AZ103" s="2"/>
      <c r="BA103" s="2" t="s">
        <v>1022</v>
      </c>
      <c r="BB103" s="2" t="s">
        <v>1371</v>
      </c>
      <c r="BC103" s="2" t="s">
        <v>1023</v>
      </c>
      <c r="BD103" s="2" t="s">
        <v>1024</v>
      </c>
      <c r="BE103" s="2"/>
      <c r="BF103" s="2" t="s">
        <v>1025</v>
      </c>
      <c r="BG103" s="22" t="n">
        <v>46070</v>
      </c>
      <c r="BH103" s="22" t="n">
        <v>47929</v>
      </c>
      <c r="BI103" s="2"/>
      <c r="BJ103" s="22" t="n">
        <v>47929</v>
      </c>
      <c r="BK103" s="2" t="n">
        <v>10</v>
      </c>
      <c r="BL103" s="2" t="n">
        <v>0</v>
      </c>
      <c r="BM103" s="2"/>
      <c r="BN103" s="2" t="s">
        <v>1372</v>
      </c>
      <c r="BO103" s="23" t="s">
        <v>1373</v>
      </c>
      <c r="BP103" s="2" t="n">
        <f aca="false">IF(OR(K103="",BG103=""),"",ROUND(BG103-K103,0))</f>
        <v>0</v>
      </c>
      <c r="BQ103" s="2" t="str">
        <f aca="false">IF(OR(N(BK103)=0,Q103=""),"Not recorded",IF(BK103=Q103,"Match","Differs"))</f>
        <v>Match</v>
      </c>
      <c r="BR103" s="2" t="str">
        <f aca="false">IF(N103="No","Excluded (non-residential)",IF(BF103="No reference","Unverified – no reference",IF(BF103="Not in council register","Unverified – not in register (Part 8 / other)",IF(OR(BF103="Refused",BF103="Refused on appeal",BF103="Withdrawn",BF103="Invalid",BF103="Quashed"),IF(OR(G103="Complete",G103="On Site",G103="Part Complete"),"Conflict – register not live but CIS says built","Conflict – not live in register"),IF(AND(G103="Plans Submitted",OR(BF103="Granted",BF103="Granted on appeal")),"Stage out of date – now granted",IF(AND(G103&lt;&gt;"Plans Submitted",OR(BF103="Pending",BF103="Under appeal")),"Check – register still pending",IF(N(BL103)&gt;Method!$B$7,"Check – location differs",IF(AND(BP103&lt;&gt;"",ABS(N(BP103))&gt;60),"Consistent – decision date differs","Consistent"))))))))</f>
        <v>Consistent</v>
      </c>
      <c r="BS103" s="2"/>
      <c r="BT103" s="2"/>
      <c r="BU103" s="2"/>
      <c r="BV103" s="2"/>
      <c r="BW103" s="2"/>
      <c r="BX103" s="2"/>
    </row>
    <row r="104" customFormat="false" ht="15" hidden="false" customHeight="false" outlineLevel="0" collapsed="false">
      <c r="A104" s="2" t="n">
        <v>1428325</v>
      </c>
      <c r="B104" s="2" t="s">
        <v>218</v>
      </c>
      <c r="C104" s="2" t="s">
        <v>1374</v>
      </c>
      <c r="D104" s="2" t="s">
        <v>219</v>
      </c>
      <c r="E104" s="2" t="s">
        <v>1375</v>
      </c>
      <c r="F104" s="2" t="s">
        <v>139</v>
      </c>
      <c r="G104" s="2" t="s">
        <v>187</v>
      </c>
      <c r="H104" s="2" t="s">
        <v>1014</v>
      </c>
      <c r="I104" s="2"/>
      <c r="J104" s="22" t="n">
        <v>46092</v>
      </c>
      <c r="K104" s="22" t="n">
        <v>46254</v>
      </c>
      <c r="L104" s="22" t="n">
        <v>46258.3403008912</v>
      </c>
      <c r="M104" s="2" t="s">
        <v>1016</v>
      </c>
      <c r="N104" s="2" t="s">
        <v>121</v>
      </c>
      <c r="O104" s="2"/>
      <c r="P104" s="2" t="s">
        <v>1017</v>
      </c>
      <c r="Q104" s="10" t="n">
        <v>212</v>
      </c>
      <c r="R104" s="10" t="n">
        <v>212</v>
      </c>
      <c r="S104" s="10"/>
      <c r="T104" s="2" t="s">
        <v>120</v>
      </c>
      <c r="U104" s="2"/>
      <c r="V104" s="2" t="s">
        <v>1029</v>
      </c>
      <c r="W104" s="2" t="s">
        <v>1030</v>
      </c>
      <c r="X104" s="7"/>
      <c r="Y104" s="2" t="str">
        <f aca="false">IF(X104&lt;&gt;"",X104,T104)</f>
        <v>Primary</v>
      </c>
      <c r="Z104" s="2" t="str">
        <f aca="false">IF(OR(Y104="Primary",Y104="Additional phase",Y104="Additional application on site",Y104="Replaces earlier",Y104="Extension of duration (parent not in CIS)"),"Yes","No")</f>
        <v>Yes</v>
      </c>
      <c r="AA104" s="2"/>
      <c r="AB104" s="2" t="n">
        <f aca="false">IF(L104="","",ROUND((Method!$B$4-L104)/30.44,0))</f>
        <v>1</v>
      </c>
      <c r="AC104" s="2" t="str">
        <f aca="false">IF(AB104="","No",IF(AB104&gt;Method!$B$5,"Yes","No"))</f>
        <v>No</v>
      </c>
      <c r="AD104" s="22" t="n">
        <f aca="false">IF(BJ104&lt;&gt;"",BJ104,IF(K104&lt;&gt;"",EDATE(K104,60),""))</f>
        <v>48113</v>
      </c>
      <c r="AE104" s="2" t="str">
        <f aca="false">IF(AND(AD104&lt;&gt;"",OR(G104="Permission Granted",G104="Commencement Expected",G104="Stalled or Suspended")),IF(AD104&lt;Method!$B$4,"Yes","No"),"No")</f>
        <v>No</v>
      </c>
      <c r="AF104" s="7"/>
      <c r="AG104" s="2" t="str">
        <f aca="false">IF(Z104="No","Not counted",IF(AF104="Lapsed or dead","Excluded",IF(AF104="Constrained","Constrained / uncertain",IF(AF104="Confirmed live",IF(G104="On Site","Committed",IF(G104="Part Complete","Committed",IF(G104="Contract Awarded","Committed Pre-Construction",IF(G104="Tender","Advanced Pre-Construction",IF(G104="Commencement Expected","Likely",IF(G104="Permission Granted","Potential",IF(G104="Stalled or Suspended","Constrained / uncertain",IF(G104="Complete","Delivered","Application Pipeline")))))))),IF(G104="Complete","Delivered",IF(AND(OR(G104="Permission Granted",G104="Commencement Expected"),OR(AC104="Yes",AE104="Yes")),"Constrained / uncertain",IF(G104="On Site","Committed",IF(G104="Part Complete","Committed",IF(G104="Contract Awarded","Committed Pre-Construction",IF(G104="Tender","Advanced Pre-Construction",IF(G104="Commencement Expected","Likely",IF(G104="Permission Granted","Potential",IF(G104="Stalled or Suspended","Constrained / uncertain",IF(G104="Complete","Delivered","Application Pipeline"))))))))))))))</f>
        <v>Potential</v>
      </c>
      <c r="AH104" s="2" t="str">
        <f aca="false">IF(Z104="No","Relationship: "&amp;Y104,IF(AF104&lt;&gt;"","Analyst: "&amp;AF104,IF(G104="Complete","Complete",IF(AND(OR(G104="Permission Granted",G104="Commencement Expected"),AE104="Yes"),"Past expiry",IF(AND(OR(G104="Permission Granted",G104="Commencement Expected"),AC104="Yes"),"No CIS update in "&amp;AB104&amp;" months","As CIS")))))</f>
        <v>As CIS</v>
      </c>
      <c r="AI104" s="10" t="n">
        <f aca="false">IF(Z104="Yes",N(Q104),0)</f>
        <v>212</v>
      </c>
      <c r="AJ104" s="10" t="n">
        <f aca="false">IF(OR(Z104="No",G104="Complete"),0,MAX(N(Q104)-N(AA104),0))</f>
        <v>212</v>
      </c>
      <c r="AK104" s="10" t="n">
        <f aca="false">IF(Z104="No",0,IF(G104="Complete",N(Q104),MIN(N(AA104),N(Q104))))</f>
        <v>0</v>
      </c>
      <c r="AL104" s="10" t="n">
        <f aca="false">IF(OR(OR(AG104="Not counted",AG104="Excluded",AG104="Delivered"),P104="Student accommodation"),0,AJ104)</f>
        <v>212</v>
      </c>
      <c r="AM104" s="10" t="n">
        <f aca="false">IF(OR(OR(AG104="Not counted",AG104="Excluded",AG104="Delivered"),P104&lt;&gt;"Student accommodation"),0,AJ104)</f>
        <v>0</v>
      </c>
      <c r="AN104" s="10" t="n">
        <f aca="false">IF(OR(AG104="Not counted",AG104="Excluded",AG104="Delivered"),0,N(S104))</f>
        <v>0</v>
      </c>
      <c r="AO104" s="2" t="s">
        <v>1157</v>
      </c>
      <c r="AP104" s="10"/>
      <c r="AQ104" s="10" t="n">
        <v>49</v>
      </c>
      <c r="AR104" s="10" t="n">
        <v>64</v>
      </c>
      <c r="AS104" s="10" t="n">
        <v>65</v>
      </c>
      <c r="AT104" s="10" t="n">
        <v>34</v>
      </c>
      <c r="AU104" s="10"/>
      <c r="AV104" s="10" t="n">
        <f aca="false">N(AP104)+N(AQ104)+N(AR104)+N(AS104)+N(AT104)+N(AU104)</f>
        <v>212</v>
      </c>
      <c r="AW104" s="10" t="n">
        <v>102</v>
      </c>
      <c r="AX104" s="10" t="n">
        <v>110</v>
      </c>
      <c r="AY104" s="10"/>
      <c r="AZ104" s="2"/>
      <c r="BA104" s="2" t="s">
        <v>1022</v>
      </c>
      <c r="BB104" s="2" t="s">
        <v>1374</v>
      </c>
      <c r="BC104" s="2" t="s">
        <v>1023</v>
      </c>
      <c r="BD104" s="2" t="s">
        <v>1024</v>
      </c>
      <c r="BE104" s="2"/>
      <c r="BF104" s="2" t="s">
        <v>1025</v>
      </c>
      <c r="BG104" s="22" t="n">
        <v>46254</v>
      </c>
      <c r="BH104" s="22" t="n">
        <v>48113</v>
      </c>
      <c r="BI104" s="2"/>
      <c r="BJ104" s="22" t="n">
        <v>48113</v>
      </c>
      <c r="BK104" s="2" t="n">
        <v>111</v>
      </c>
      <c r="BL104" s="2" t="n">
        <v>0</v>
      </c>
      <c r="BM104" s="2"/>
      <c r="BN104" s="2" t="s">
        <v>1376</v>
      </c>
      <c r="BO104" s="23" t="s">
        <v>1377</v>
      </c>
      <c r="BP104" s="2" t="n">
        <f aca="false">IF(OR(K104="",BG104=""),"",ROUND(BG104-K104,0))</f>
        <v>0</v>
      </c>
      <c r="BQ104" s="2" t="str">
        <f aca="false">IF(OR(N(BK104)=0,Q104=""),"Not recorded",IF(BK104=Q104,"Match","Differs"))</f>
        <v>Differs</v>
      </c>
      <c r="BR104" s="2" t="str">
        <f aca="false">IF(N104="No","Excluded (non-residential)",IF(BF104="No reference","Unverified – no reference",IF(BF104="Not in council register","Unverified – not in register (Part 8 / other)",IF(OR(BF104="Refused",BF104="Refused on appeal",BF104="Withdrawn",BF104="Invalid",BF104="Quashed"),IF(OR(G104="Complete",G104="On Site",G104="Part Complete"),"Conflict – register not live but CIS says built","Conflict – not live in register"),IF(AND(G104="Plans Submitted",OR(BF104="Granted",BF104="Granted on appeal")),"Stage out of date – now granted",IF(AND(G104&lt;&gt;"Plans Submitted",OR(BF104="Pending",BF104="Under appeal")),"Check – register still pending",IF(N(BL104)&gt;Method!$B$7,"Check – location differs",IF(AND(BP104&lt;&gt;"",ABS(N(BP104))&gt;60),"Consistent – decision date differs","Consistent"))))))))</f>
        <v>Consistent</v>
      </c>
      <c r="BS104" s="2"/>
      <c r="BT104" s="2"/>
      <c r="BU104" s="2"/>
      <c r="BV104" s="2"/>
      <c r="BW104" s="2"/>
      <c r="BX104" s="2"/>
    </row>
    <row r="105" customFormat="false" ht="15" hidden="false" customHeight="false" outlineLevel="0" collapsed="false">
      <c r="A105" s="2" t="n">
        <v>1432711</v>
      </c>
      <c r="B105" s="2" t="s">
        <v>183</v>
      </c>
      <c r="C105" s="2" t="s">
        <v>1378</v>
      </c>
      <c r="D105" s="2" t="s">
        <v>185</v>
      </c>
      <c r="E105" s="2" t="s">
        <v>186</v>
      </c>
      <c r="F105" s="2" t="s">
        <v>140</v>
      </c>
      <c r="G105" s="2" t="s">
        <v>187</v>
      </c>
      <c r="H105" s="2" t="s">
        <v>1014</v>
      </c>
      <c r="I105" s="2"/>
      <c r="J105" s="22" t="n">
        <v>46120</v>
      </c>
      <c r="K105" s="22" t="n">
        <v>46280</v>
      </c>
      <c r="L105" s="22" t="n">
        <v>46286.3485868866</v>
      </c>
      <c r="M105" s="2" t="s">
        <v>1016</v>
      </c>
      <c r="N105" s="2" t="s">
        <v>121</v>
      </c>
      <c r="O105" s="2"/>
      <c r="P105" s="2" t="s">
        <v>1017</v>
      </c>
      <c r="Q105" s="10" t="n">
        <v>182</v>
      </c>
      <c r="R105" s="10" t="n">
        <v>182</v>
      </c>
      <c r="S105" s="10"/>
      <c r="T105" s="2" t="s">
        <v>120</v>
      </c>
      <c r="U105" s="2"/>
      <c r="V105" s="2" t="s">
        <v>1029</v>
      </c>
      <c r="W105" s="2" t="s">
        <v>1030</v>
      </c>
      <c r="X105" s="7"/>
      <c r="Y105" s="2" t="str">
        <f aca="false">IF(X105&lt;&gt;"",X105,T105)</f>
        <v>Primary</v>
      </c>
      <c r="Z105" s="2" t="str">
        <f aca="false">IF(OR(Y105="Primary",Y105="Additional phase",Y105="Additional application on site",Y105="Replaces earlier",Y105="Extension of duration (parent not in CIS)"),"Yes","No")</f>
        <v>Yes</v>
      </c>
      <c r="AA105" s="2"/>
      <c r="AB105" s="2" t="n">
        <f aca="false">IF(L105="","",ROUND((Method!$B$4-L105)/30.44,0))</f>
        <v>0</v>
      </c>
      <c r="AC105" s="2" t="str">
        <f aca="false">IF(AB105="","No",IF(AB105&gt;Method!$B$5,"Yes","No"))</f>
        <v>No</v>
      </c>
      <c r="AD105" s="22" t="n">
        <f aca="false">IF(BJ105&lt;&gt;"",BJ105,IF(K105&lt;&gt;"",EDATE(K105,60),""))</f>
        <v>48106</v>
      </c>
      <c r="AE105" s="2" t="str">
        <f aca="false">IF(AND(AD105&lt;&gt;"",OR(G105="Permission Granted",G105="Commencement Expected",G105="Stalled or Suspended")),IF(AD105&lt;Method!$B$4,"Yes","No"),"No")</f>
        <v>No</v>
      </c>
      <c r="AF105" s="7"/>
      <c r="AG105" s="2" t="str">
        <f aca="false">IF(Z105="No","Not counted",IF(AF105="Lapsed or dead","Excluded",IF(AF105="Constrained","Constrained / uncertain",IF(AF105="Confirmed live",IF(G105="On Site","Committed",IF(G105="Part Complete","Committed",IF(G105="Contract Awarded","Committed Pre-Construction",IF(G105="Tender","Advanced Pre-Construction",IF(G105="Commencement Expected","Likely",IF(G105="Permission Granted","Potential",IF(G105="Stalled or Suspended","Constrained / uncertain",IF(G105="Complete","Delivered","Application Pipeline")))))))),IF(G105="Complete","Delivered",IF(AND(OR(G105="Permission Granted",G105="Commencement Expected"),OR(AC105="Yes",AE105="Yes")),"Constrained / uncertain",IF(G105="On Site","Committed",IF(G105="Part Complete","Committed",IF(G105="Contract Awarded","Committed Pre-Construction",IF(G105="Tender","Advanced Pre-Construction",IF(G105="Commencement Expected","Likely",IF(G105="Permission Granted","Potential",IF(G105="Stalled or Suspended","Constrained / uncertain",IF(G105="Complete","Delivered","Application Pipeline"))))))))))))))</f>
        <v>Potential</v>
      </c>
      <c r="AH105" s="2" t="str">
        <f aca="false">IF(Z105="No","Relationship: "&amp;Y105,IF(AF105&lt;&gt;"","Analyst: "&amp;AF105,IF(G105="Complete","Complete",IF(AND(OR(G105="Permission Granted",G105="Commencement Expected"),AE105="Yes"),"Past expiry",IF(AND(OR(G105="Permission Granted",G105="Commencement Expected"),AC105="Yes"),"No CIS update in "&amp;AB105&amp;" months","As CIS")))))</f>
        <v>As CIS</v>
      </c>
      <c r="AI105" s="10" t="n">
        <f aca="false">IF(Z105="Yes",N(Q105),0)</f>
        <v>182</v>
      </c>
      <c r="AJ105" s="10" t="n">
        <f aca="false">IF(OR(Z105="No",G105="Complete"),0,MAX(N(Q105)-N(AA105),0))</f>
        <v>182</v>
      </c>
      <c r="AK105" s="10" t="n">
        <f aca="false">IF(Z105="No",0,IF(G105="Complete",N(Q105),MIN(N(AA105),N(Q105))))</f>
        <v>0</v>
      </c>
      <c r="AL105" s="10" t="n">
        <f aca="false">IF(OR(OR(AG105="Not counted",AG105="Excluded",AG105="Delivered"),P105="Student accommodation"),0,AJ105)</f>
        <v>182</v>
      </c>
      <c r="AM105" s="10" t="n">
        <f aca="false">IF(OR(OR(AG105="Not counted",AG105="Excluded",AG105="Delivered"),P105&lt;&gt;"Student accommodation"),0,AJ105)</f>
        <v>0</v>
      </c>
      <c r="AN105" s="10" t="n">
        <f aca="false">IF(OR(AG105="Not counted",AG105="Excluded",AG105="Delivered"),0,N(S105))</f>
        <v>0</v>
      </c>
      <c r="AO105" s="2" t="s">
        <v>1031</v>
      </c>
      <c r="AP105" s="10"/>
      <c r="AQ105" s="10" t="n">
        <v>26</v>
      </c>
      <c r="AR105" s="10" t="n">
        <v>36</v>
      </c>
      <c r="AS105" s="10" t="n">
        <v>96</v>
      </c>
      <c r="AT105" s="10" t="n">
        <v>24</v>
      </c>
      <c r="AU105" s="10"/>
      <c r="AV105" s="10" t="n">
        <f aca="false">N(AP105)+N(AQ105)+N(AR105)+N(AS105)+N(AT105)+N(AU105)</f>
        <v>182</v>
      </c>
      <c r="AW105" s="10" t="n">
        <v>104</v>
      </c>
      <c r="AX105" s="10" t="n">
        <v>40</v>
      </c>
      <c r="AY105" s="10" t="n">
        <v>38</v>
      </c>
      <c r="AZ105" s="2"/>
      <c r="BA105" s="2" t="s">
        <v>1022</v>
      </c>
      <c r="BB105" s="2" t="s">
        <v>1378</v>
      </c>
      <c r="BC105" s="2" t="s">
        <v>1379</v>
      </c>
      <c r="BD105" s="2" t="s">
        <v>1024</v>
      </c>
      <c r="BE105" s="2"/>
      <c r="BF105" s="2" t="s">
        <v>1025</v>
      </c>
      <c r="BG105" s="22" t="n">
        <v>46280</v>
      </c>
      <c r="BH105" s="22"/>
      <c r="BI105" s="2"/>
      <c r="BJ105" s="22"/>
      <c r="BK105" s="2" t="n">
        <v>144</v>
      </c>
      <c r="BL105" s="2" t="n">
        <v>0</v>
      </c>
      <c r="BM105" s="2"/>
      <c r="BN105" s="2" t="s">
        <v>1380</v>
      </c>
      <c r="BO105" s="23" t="s">
        <v>1381</v>
      </c>
      <c r="BP105" s="2" t="n">
        <f aca="false">IF(OR(K105="",BG105=""),"",ROUND(BG105-K105,0))</f>
        <v>0</v>
      </c>
      <c r="BQ105" s="2" t="str">
        <f aca="false">IF(OR(N(BK105)=0,Q105=""),"Not recorded",IF(BK105=Q105,"Match","Differs"))</f>
        <v>Differs</v>
      </c>
      <c r="BR105" s="2" t="str">
        <f aca="false">IF(N105="No","Excluded (non-residential)",IF(BF105="No reference","Unverified – no reference",IF(BF105="Not in council register","Unverified – not in register (Part 8 / other)",IF(OR(BF105="Refused",BF105="Refused on appeal",BF105="Withdrawn",BF105="Invalid",BF105="Quashed"),IF(OR(G105="Complete",G105="On Site",G105="Part Complete"),"Conflict – register not live but CIS says built","Conflict – not live in register"),IF(AND(G105="Plans Submitted",OR(BF105="Granted",BF105="Granted on appeal")),"Stage out of date – now granted",IF(AND(G105&lt;&gt;"Plans Submitted",OR(BF105="Pending",BF105="Under appeal")),"Check – register still pending",IF(N(BL105)&gt;Method!$B$7,"Check – location differs",IF(AND(BP105&lt;&gt;"",ABS(N(BP105))&gt;60),"Consistent – decision date differs","Consistent"))))))))</f>
        <v>Consistent</v>
      </c>
      <c r="BS105" s="2"/>
      <c r="BT105" s="2"/>
      <c r="BU105" s="2"/>
      <c r="BV105" s="2"/>
      <c r="BW105" s="2"/>
      <c r="BX105" s="2"/>
    </row>
    <row r="106" customFormat="false" ht="15" hidden="false" customHeight="false" outlineLevel="0" collapsed="false">
      <c r="A106" s="2" t="n">
        <v>1437215</v>
      </c>
      <c r="B106" s="2" t="s">
        <v>215</v>
      </c>
      <c r="C106" s="2" t="s">
        <v>1382</v>
      </c>
      <c r="D106" s="2" t="s">
        <v>216</v>
      </c>
      <c r="E106" s="2" t="s">
        <v>217</v>
      </c>
      <c r="F106" s="2" t="s">
        <v>144</v>
      </c>
      <c r="G106" s="2" t="s">
        <v>187</v>
      </c>
      <c r="H106" s="2" t="s">
        <v>1014</v>
      </c>
      <c r="I106" s="2"/>
      <c r="J106" s="22" t="n">
        <v>46170</v>
      </c>
      <c r="K106" s="22" t="n">
        <v>46225</v>
      </c>
      <c r="L106" s="22" t="n">
        <v>46262.3033036227</v>
      </c>
      <c r="M106" s="2" t="s">
        <v>1016</v>
      </c>
      <c r="N106" s="2" t="s">
        <v>121</v>
      </c>
      <c r="O106" s="2"/>
      <c r="P106" s="2" t="s">
        <v>1017</v>
      </c>
      <c r="Q106" s="10" t="n">
        <v>403</v>
      </c>
      <c r="R106" s="10" t="n">
        <v>403</v>
      </c>
      <c r="S106" s="10"/>
      <c r="T106" s="2" t="s">
        <v>120</v>
      </c>
      <c r="U106" s="2"/>
      <c r="V106" s="2" t="s">
        <v>1029</v>
      </c>
      <c r="W106" s="2" t="s">
        <v>1030</v>
      </c>
      <c r="X106" s="7"/>
      <c r="Y106" s="2" t="str">
        <f aca="false">IF(X106&lt;&gt;"",X106,T106)</f>
        <v>Primary</v>
      </c>
      <c r="Z106" s="2" t="str">
        <f aca="false">IF(OR(Y106="Primary",Y106="Additional phase",Y106="Additional application on site",Y106="Replaces earlier",Y106="Extension of duration (parent not in CIS)"),"Yes","No")</f>
        <v>Yes</v>
      </c>
      <c r="AA106" s="2"/>
      <c r="AB106" s="2" t="n">
        <f aca="false">IF(L106="","",ROUND((Method!$B$4-L106)/30.44,0))</f>
        <v>1</v>
      </c>
      <c r="AC106" s="2" t="str">
        <f aca="false">IF(AB106="","No",IF(AB106&gt;Method!$B$5,"Yes","No"))</f>
        <v>No</v>
      </c>
      <c r="AD106" s="22" t="n">
        <f aca="false">IF(BJ106&lt;&gt;"",BJ106,IF(K106&lt;&gt;"",EDATE(K106,60),""))</f>
        <v>48051</v>
      </c>
      <c r="AE106" s="2" t="str">
        <f aca="false">IF(AND(AD106&lt;&gt;"",OR(G106="Permission Granted",G106="Commencement Expected",G106="Stalled or Suspended")),IF(AD106&lt;Method!$B$4,"Yes","No"),"No")</f>
        <v>No</v>
      </c>
      <c r="AF106" s="7"/>
      <c r="AG106" s="2" t="str">
        <f aca="false">IF(Z106="No","Not counted",IF(AF106="Lapsed or dead","Excluded",IF(AF106="Constrained","Constrained / uncertain",IF(AF106="Confirmed live",IF(G106="On Site","Committed",IF(G106="Part Complete","Committed",IF(G106="Contract Awarded","Committed Pre-Construction",IF(G106="Tender","Advanced Pre-Construction",IF(G106="Commencement Expected","Likely",IF(G106="Permission Granted","Potential",IF(G106="Stalled or Suspended","Constrained / uncertain",IF(G106="Complete","Delivered","Application Pipeline")))))))),IF(G106="Complete","Delivered",IF(AND(OR(G106="Permission Granted",G106="Commencement Expected"),OR(AC106="Yes",AE106="Yes")),"Constrained / uncertain",IF(G106="On Site","Committed",IF(G106="Part Complete","Committed",IF(G106="Contract Awarded","Committed Pre-Construction",IF(G106="Tender","Advanced Pre-Construction",IF(G106="Commencement Expected","Likely",IF(G106="Permission Granted","Potential",IF(G106="Stalled or Suspended","Constrained / uncertain",IF(G106="Complete","Delivered","Application Pipeline"))))))))))))))</f>
        <v>Potential</v>
      </c>
      <c r="AH106" s="2" t="str">
        <f aca="false">IF(Z106="No","Relationship: "&amp;Y106,IF(AF106&lt;&gt;"","Analyst: "&amp;AF106,IF(G106="Complete","Complete",IF(AND(OR(G106="Permission Granted",G106="Commencement Expected"),AE106="Yes"),"Past expiry",IF(AND(OR(G106="Permission Granted",G106="Commencement Expected"),AC106="Yes"),"No CIS update in "&amp;AB106&amp;" months","As CIS")))))</f>
        <v>As CIS</v>
      </c>
      <c r="AI106" s="10" t="n">
        <f aca="false">IF(Z106="Yes",N(Q106),0)</f>
        <v>403</v>
      </c>
      <c r="AJ106" s="10" t="n">
        <f aca="false">IF(OR(Z106="No",G106="Complete"),0,MAX(N(Q106)-N(AA106),0))</f>
        <v>403</v>
      </c>
      <c r="AK106" s="10" t="n">
        <f aca="false">IF(Z106="No",0,IF(G106="Complete",N(Q106),MIN(N(AA106),N(Q106))))</f>
        <v>0</v>
      </c>
      <c r="AL106" s="10" t="n">
        <f aca="false">IF(OR(OR(AG106="Not counted",AG106="Excluded",AG106="Delivered"),P106="Student accommodation"),0,AJ106)</f>
        <v>403</v>
      </c>
      <c r="AM106" s="10" t="n">
        <f aca="false">IF(OR(OR(AG106="Not counted",AG106="Excluded",AG106="Delivered"),P106&lt;&gt;"Student accommodation"),0,AJ106)</f>
        <v>0</v>
      </c>
      <c r="AN106" s="10" t="n">
        <f aca="false">IF(OR(AG106="Not counted",AG106="Excluded",AG106="Delivered"),0,N(S106))</f>
        <v>0</v>
      </c>
      <c r="AO106" s="2" t="s">
        <v>1031</v>
      </c>
      <c r="AP106" s="10"/>
      <c r="AQ106" s="10" t="n">
        <v>246</v>
      </c>
      <c r="AR106" s="10" t="n">
        <v>157</v>
      </c>
      <c r="AS106" s="10"/>
      <c r="AT106" s="10"/>
      <c r="AU106" s="10"/>
      <c r="AV106" s="10" t="n">
        <f aca="false">N(AP106)+N(AQ106)+N(AR106)+N(AS106)+N(AT106)+N(AU106)</f>
        <v>403</v>
      </c>
      <c r="AW106" s="10"/>
      <c r="AX106" s="10"/>
      <c r="AY106" s="10" t="n">
        <v>403</v>
      </c>
      <c r="AZ106" s="2"/>
      <c r="BA106" s="2" t="s">
        <v>1022</v>
      </c>
      <c r="BB106" s="2" t="s">
        <v>1382</v>
      </c>
      <c r="BC106" s="2" t="s">
        <v>1379</v>
      </c>
      <c r="BD106" s="2" t="s">
        <v>1024</v>
      </c>
      <c r="BE106" s="2"/>
      <c r="BF106" s="2" t="s">
        <v>1025</v>
      </c>
      <c r="BG106" s="22" t="n">
        <v>46225</v>
      </c>
      <c r="BH106" s="22"/>
      <c r="BI106" s="2"/>
      <c r="BJ106" s="22"/>
      <c r="BK106" s="2"/>
      <c r="BL106" s="2" t="n">
        <v>0</v>
      </c>
      <c r="BM106" s="2"/>
      <c r="BN106" s="2" t="s">
        <v>1383</v>
      </c>
      <c r="BO106" s="23" t="s">
        <v>1384</v>
      </c>
      <c r="BP106" s="2" t="n">
        <f aca="false">IF(OR(K106="",BG106=""),"",ROUND(BG106-K106,0))</f>
        <v>0</v>
      </c>
      <c r="BQ106" s="2" t="str">
        <f aca="false">IF(OR(N(BK106)=0,Q106=""),"Not recorded",IF(BK106=Q106,"Match","Differs"))</f>
        <v>Not recorded</v>
      </c>
      <c r="BR106" s="2" t="str">
        <f aca="false">IF(N106="No","Excluded (non-residential)",IF(BF106="No reference","Unverified – no reference",IF(BF106="Not in council register","Unverified – not in register (Part 8 / other)",IF(OR(BF106="Refused",BF106="Refused on appeal",BF106="Withdrawn",BF106="Invalid",BF106="Quashed"),IF(OR(G106="Complete",G106="On Site",G106="Part Complete"),"Conflict – register not live but CIS says built","Conflict – not live in register"),IF(AND(G106="Plans Submitted",OR(BF106="Granted",BF106="Granted on appeal")),"Stage out of date – now granted",IF(AND(G106&lt;&gt;"Plans Submitted",OR(BF106="Pending",BF106="Under appeal")),"Check – register still pending",IF(N(BL106)&gt;Method!$B$7,"Check – location differs",IF(AND(BP106&lt;&gt;"",ABS(N(BP106))&gt;60),"Consistent – decision date differs","Consistent"))))))))</f>
        <v>Consistent</v>
      </c>
      <c r="BS106" s="2"/>
      <c r="BT106" s="2"/>
      <c r="BU106" s="2"/>
      <c r="BV106" s="2"/>
      <c r="BW106" s="2"/>
      <c r="BX106" s="2"/>
    </row>
    <row r="107" customFormat="false" ht="15" hidden="false" customHeight="false" outlineLevel="0" collapsed="false">
      <c r="A107" s="2" t="n">
        <v>1444384</v>
      </c>
      <c r="B107" s="2" t="s">
        <v>199</v>
      </c>
      <c r="C107" s="2" t="s">
        <v>1385</v>
      </c>
      <c r="D107" s="2" t="s">
        <v>200</v>
      </c>
      <c r="E107" s="2" t="s">
        <v>201</v>
      </c>
      <c r="F107" s="2" t="s">
        <v>132</v>
      </c>
      <c r="G107" s="2" t="s">
        <v>187</v>
      </c>
      <c r="H107" s="2" t="s">
        <v>1014</v>
      </c>
      <c r="I107" s="2"/>
      <c r="J107" s="22" t="n">
        <v>46212</v>
      </c>
      <c r="K107" s="22" t="n">
        <v>46267</v>
      </c>
      <c r="L107" s="22" t="n">
        <v>46272.3580336458</v>
      </c>
      <c r="M107" s="2" t="s">
        <v>1016</v>
      </c>
      <c r="N107" s="2" t="s">
        <v>121</v>
      </c>
      <c r="O107" s="2"/>
      <c r="P107" s="2" t="s">
        <v>1017</v>
      </c>
      <c r="Q107" s="10" t="n">
        <v>28</v>
      </c>
      <c r="R107" s="10"/>
      <c r="S107" s="10"/>
      <c r="T107" s="2" t="s">
        <v>120</v>
      </c>
      <c r="U107" s="2"/>
      <c r="V107" s="2" t="s">
        <v>1029</v>
      </c>
      <c r="W107" s="2" t="s">
        <v>1030</v>
      </c>
      <c r="X107" s="7"/>
      <c r="Y107" s="2" t="str">
        <f aca="false">IF(X107&lt;&gt;"",X107,T107)</f>
        <v>Primary</v>
      </c>
      <c r="Z107" s="2" t="str">
        <f aca="false">IF(OR(Y107="Primary",Y107="Additional phase",Y107="Additional application on site",Y107="Replaces earlier",Y107="Extension of duration (parent not in CIS)"),"Yes","No")</f>
        <v>Yes</v>
      </c>
      <c r="AA107" s="2"/>
      <c r="AB107" s="2" t="n">
        <f aca="false">IF(L107="","",ROUND((Method!$B$4-L107)/30.44,0))</f>
        <v>1</v>
      </c>
      <c r="AC107" s="2" t="str">
        <f aca="false">IF(AB107="","No",IF(AB107&gt;Method!$B$5,"Yes","No"))</f>
        <v>No</v>
      </c>
      <c r="AD107" s="22" t="n">
        <f aca="false">IF(BJ107&lt;&gt;"",BJ107,IF(K107&lt;&gt;"",EDATE(K107,60),""))</f>
        <v>48093</v>
      </c>
      <c r="AE107" s="2" t="str">
        <f aca="false">IF(AND(AD107&lt;&gt;"",OR(G107="Permission Granted",G107="Commencement Expected",G107="Stalled or Suspended")),IF(AD107&lt;Method!$B$4,"Yes","No"),"No")</f>
        <v>No</v>
      </c>
      <c r="AF107" s="7"/>
      <c r="AG107" s="2" t="str">
        <f aca="false">IF(Z107="No","Not counted",IF(AF107="Lapsed or dead","Excluded",IF(AF107="Constrained","Constrained / uncertain",IF(AF107="Confirmed live",IF(G107="On Site","Committed",IF(G107="Part Complete","Committed",IF(G107="Contract Awarded","Committed Pre-Construction",IF(G107="Tender","Advanced Pre-Construction",IF(G107="Commencement Expected","Likely",IF(G107="Permission Granted","Potential",IF(G107="Stalled or Suspended","Constrained / uncertain",IF(G107="Complete","Delivered","Application Pipeline")))))))),IF(G107="Complete","Delivered",IF(AND(OR(G107="Permission Granted",G107="Commencement Expected"),OR(AC107="Yes",AE107="Yes")),"Constrained / uncertain",IF(G107="On Site","Committed",IF(G107="Part Complete","Committed",IF(G107="Contract Awarded","Committed Pre-Construction",IF(G107="Tender","Advanced Pre-Construction",IF(G107="Commencement Expected","Likely",IF(G107="Permission Granted","Potential",IF(G107="Stalled or Suspended","Constrained / uncertain",IF(G107="Complete","Delivered","Application Pipeline"))))))))))))))</f>
        <v>Potential</v>
      </c>
      <c r="AH107" s="2" t="str">
        <f aca="false">IF(Z107="No","Relationship: "&amp;Y107,IF(AF107&lt;&gt;"","Analyst: "&amp;AF107,IF(G107="Complete","Complete",IF(AND(OR(G107="Permission Granted",G107="Commencement Expected"),AE107="Yes"),"Past expiry",IF(AND(OR(G107="Permission Granted",G107="Commencement Expected"),AC107="Yes"),"No CIS update in "&amp;AB107&amp;" months","As CIS")))))</f>
        <v>As CIS</v>
      </c>
      <c r="AI107" s="10" t="n">
        <f aca="false">IF(Z107="Yes",N(Q107),0)</f>
        <v>28</v>
      </c>
      <c r="AJ107" s="10" t="n">
        <f aca="false">IF(OR(Z107="No",G107="Complete"),0,MAX(N(Q107)-N(AA107),0))</f>
        <v>28</v>
      </c>
      <c r="AK107" s="10" t="n">
        <f aca="false">IF(Z107="No",0,IF(G107="Complete",N(Q107),MIN(N(AA107),N(Q107))))</f>
        <v>0</v>
      </c>
      <c r="AL107" s="10" t="n">
        <f aca="false">IF(OR(OR(AG107="Not counted",AG107="Excluded",AG107="Delivered"),P107="Student accommodation"),0,AJ107)</f>
        <v>28</v>
      </c>
      <c r="AM107" s="10" t="n">
        <f aca="false">IF(OR(OR(AG107="Not counted",AG107="Excluded",AG107="Delivered"),P107&lt;&gt;"Student accommodation"),0,AJ107)</f>
        <v>0</v>
      </c>
      <c r="AN107" s="10" t="n">
        <f aca="false">IF(OR(AG107="Not counted",AG107="Excluded",AG107="Delivered"),0,N(S107))</f>
        <v>0</v>
      </c>
      <c r="AO107" s="2" t="s">
        <v>1069</v>
      </c>
      <c r="AP107" s="10"/>
      <c r="AQ107" s="10"/>
      <c r="AR107" s="10"/>
      <c r="AS107" s="10"/>
      <c r="AT107" s="10"/>
      <c r="AU107" s="10"/>
      <c r="AV107" s="10" t="n">
        <f aca="false">N(AP107)+N(AQ107)+N(AR107)+N(AS107)+N(AT107)+N(AU107)</f>
        <v>0</v>
      </c>
      <c r="AW107" s="10"/>
      <c r="AX107" s="10"/>
      <c r="AY107" s="10"/>
      <c r="AZ107" s="2" t="s">
        <v>1386</v>
      </c>
      <c r="BA107" s="2" t="s">
        <v>1022</v>
      </c>
      <c r="BB107" s="2" t="s">
        <v>1385</v>
      </c>
      <c r="BC107" s="2" t="s">
        <v>1046</v>
      </c>
      <c r="BD107" s="2" t="s">
        <v>1024</v>
      </c>
      <c r="BE107" s="2"/>
      <c r="BF107" s="2" t="s">
        <v>1025</v>
      </c>
      <c r="BG107" s="22" t="n">
        <v>46267</v>
      </c>
      <c r="BH107" s="22"/>
      <c r="BI107" s="2"/>
      <c r="BJ107" s="22"/>
      <c r="BK107" s="2" t="n">
        <v>1</v>
      </c>
      <c r="BL107" s="2" t="n">
        <v>0</v>
      </c>
      <c r="BM107" s="2"/>
      <c r="BN107" s="24" t="s">
        <v>1387</v>
      </c>
      <c r="BO107" s="23" t="s">
        <v>1388</v>
      </c>
      <c r="BP107" s="2" t="n">
        <f aca="false">IF(OR(K107="",BG107=""),"",ROUND(BG107-K107,0))</f>
        <v>0</v>
      </c>
      <c r="BQ107" s="2" t="str">
        <f aca="false">IF(OR(N(BK107)=0,Q107=""),"Not recorded",IF(BK107=Q107,"Match","Differs"))</f>
        <v>Differs</v>
      </c>
      <c r="BR107" s="2" t="str">
        <f aca="false">IF(N107="No","Excluded (non-residential)",IF(BF107="No reference","Unverified – no reference",IF(BF107="Not in council register","Unverified – not in register (Part 8 / other)",IF(OR(BF107="Refused",BF107="Refused on appeal",BF107="Withdrawn",BF107="Invalid",BF107="Quashed"),IF(OR(G107="Complete",G107="On Site",G107="Part Complete"),"Conflict – register not live but CIS says built","Conflict – not live in register"),IF(AND(G107="Plans Submitted",OR(BF107="Granted",BF107="Granted on appeal")),"Stage out of date – now granted",IF(AND(G107&lt;&gt;"Plans Submitted",OR(BF107="Pending",BF107="Under appeal")),"Check – register still pending",IF(N(BL107)&gt;Method!$B$7,"Check – location differs",IF(AND(BP107&lt;&gt;"",ABS(N(BP107))&gt;60),"Consistent – decision date differs","Consistent"))))))))</f>
        <v>Consistent</v>
      </c>
      <c r="BS107" s="2"/>
      <c r="BT107" s="2"/>
      <c r="BU107" s="2"/>
      <c r="BV107" s="2"/>
      <c r="BW107" s="2"/>
      <c r="BX107" s="2"/>
    </row>
    <row r="108" customFormat="false" ht="15" hidden="false" customHeight="false" outlineLevel="0" collapsed="false">
      <c r="A108" s="2" t="n">
        <v>1446288</v>
      </c>
      <c r="B108" s="2" t="s">
        <v>188</v>
      </c>
      <c r="C108" s="2" t="s">
        <v>1389</v>
      </c>
      <c r="D108" s="2" t="s">
        <v>189</v>
      </c>
      <c r="E108" s="2" t="s">
        <v>190</v>
      </c>
      <c r="F108" s="2" t="s">
        <v>139</v>
      </c>
      <c r="G108" s="2" t="s">
        <v>187</v>
      </c>
      <c r="H108" s="2" t="s">
        <v>1014</v>
      </c>
      <c r="I108" s="2"/>
      <c r="J108" s="22" t="n">
        <v>46085</v>
      </c>
      <c r="K108" s="22" t="n">
        <v>46266</v>
      </c>
      <c r="L108" s="22" t="n">
        <v>46276.3218122685</v>
      </c>
      <c r="M108" s="2" t="s">
        <v>1016</v>
      </c>
      <c r="N108" s="2" t="s">
        <v>121</v>
      </c>
      <c r="O108" s="2"/>
      <c r="P108" s="2" t="s">
        <v>1017</v>
      </c>
      <c r="Q108" s="10" t="n">
        <v>523</v>
      </c>
      <c r="R108" s="10" t="n">
        <v>523</v>
      </c>
      <c r="S108" s="10"/>
      <c r="T108" s="2" t="s">
        <v>120</v>
      </c>
      <c r="U108" s="2"/>
      <c r="V108" s="2" t="s">
        <v>1029</v>
      </c>
      <c r="W108" s="2" t="s">
        <v>1030</v>
      </c>
      <c r="X108" s="7"/>
      <c r="Y108" s="2" t="str">
        <f aca="false">IF(X108&lt;&gt;"",X108,T108)</f>
        <v>Primary</v>
      </c>
      <c r="Z108" s="2" t="str">
        <f aca="false">IF(OR(Y108="Primary",Y108="Additional phase",Y108="Additional application on site",Y108="Replaces earlier",Y108="Extension of duration (parent not in CIS)"),"Yes","No")</f>
        <v>Yes</v>
      </c>
      <c r="AA108" s="2"/>
      <c r="AB108" s="2" t="n">
        <f aca="false">IF(L108="","",ROUND((Method!$B$4-L108)/30.44,0))</f>
        <v>1</v>
      </c>
      <c r="AC108" s="2" t="str">
        <f aca="false">IF(AB108="","No",IF(AB108&gt;Method!$B$5,"Yes","No"))</f>
        <v>No</v>
      </c>
      <c r="AD108" s="22" t="n">
        <f aca="false">IF(BJ108&lt;&gt;"",BJ108,IF(K108&lt;&gt;"",EDATE(K108,60),""))</f>
        <v>48092</v>
      </c>
      <c r="AE108" s="2" t="str">
        <f aca="false">IF(AND(AD108&lt;&gt;"",OR(G108="Permission Granted",G108="Commencement Expected",G108="Stalled or Suspended")),IF(AD108&lt;Method!$B$4,"Yes","No"),"No")</f>
        <v>No</v>
      </c>
      <c r="AF108" s="7"/>
      <c r="AG108" s="2" t="str">
        <f aca="false">IF(Z108="No","Not counted",IF(AF108="Lapsed or dead","Excluded",IF(AF108="Constrained","Constrained / uncertain",IF(AF108="Confirmed live",IF(G108="On Site","Committed",IF(G108="Part Complete","Committed",IF(G108="Contract Awarded","Committed Pre-Construction",IF(G108="Tender","Advanced Pre-Construction",IF(G108="Commencement Expected","Likely",IF(G108="Permission Granted","Potential",IF(G108="Stalled or Suspended","Constrained / uncertain",IF(G108="Complete","Delivered","Application Pipeline")))))))),IF(G108="Complete","Delivered",IF(AND(OR(G108="Permission Granted",G108="Commencement Expected"),OR(AC108="Yes",AE108="Yes")),"Constrained / uncertain",IF(G108="On Site","Committed",IF(G108="Part Complete","Committed",IF(G108="Contract Awarded","Committed Pre-Construction",IF(G108="Tender","Advanced Pre-Construction",IF(G108="Commencement Expected","Likely",IF(G108="Permission Granted","Potential",IF(G108="Stalled or Suspended","Constrained / uncertain",IF(G108="Complete","Delivered","Application Pipeline"))))))))))))))</f>
        <v>Potential</v>
      </c>
      <c r="AH108" s="2" t="str">
        <f aca="false">IF(Z108="No","Relationship: "&amp;Y108,IF(AF108&lt;&gt;"","Analyst: "&amp;AF108,IF(G108="Complete","Complete",IF(AND(OR(G108="Permission Granted",G108="Commencement Expected"),AE108="Yes"),"Past expiry",IF(AND(OR(G108="Permission Granted",G108="Commencement Expected"),AC108="Yes"),"No CIS update in "&amp;AB108&amp;" months","As CIS")))))</f>
        <v>As CIS</v>
      </c>
      <c r="AI108" s="10" t="n">
        <f aca="false">IF(Z108="Yes",N(Q108),0)</f>
        <v>523</v>
      </c>
      <c r="AJ108" s="10" t="n">
        <f aca="false">IF(OR(Z108="No",G108="Complete"),0,MAX(N(Q108)-N(AA108),0))</f>
        <v>523</v>
      </c>
      <c r="AK108" s="10" t="n">
        <f aca="false">IF(Z108="No",0,IF(G108="Complete",N(Q108),MIN(N(AA108),N(Q108))))</f>
        <v>0</v>
      </c>
      <c r="AL108" s="10" t="n">
        <f aca="false">IF(OR(OR(AG108="Not counted",AG108="Excluded",AG108="Delivered"),P108="Student accommodation"),0,AJ108)</f>
        <v>523</v>
      </c>
      <c r="AM108" s="10" t="n">
        <f aca="false">IF(OR(OR(AG108="Not counted",AG108="Excluded",AG108="Delivered"),P108&lt;&gt;"Student accommodation"),0,AJ108)</f>
        <v>0</v>
      </c>
      <c r="AN108" s="10" t="n">
        <f aca="false">IF(OR(AG108="Not counted",AG108="Excluded",AG108="Delivered"),0,N(S108))</f>
        <v>0</v>
      </c>
      <c r="AO108" s="2" t="s">
        <v>1031</v>
      </c>
      <c r="AP108" s="10"/>
      <c r="AQ108" s="10" t="n">
        <v>159</v>
      </c>
      <c r="AR108" s="10" t="n">
        <v>151</v>
      </c>
      <c r="AS108" s="10" t="n">
        <v>213</v>
      </c>
      <c r="AT108" s="10"/>
      <c r="AU108" s="10"/>
      <c r="AV108" s="10" t="n">
        <f aca="false">N(AP108)+N(AQ108)+N(AR108)+N(AS108)+N(AT108)+N(AU108)</f>
        <v>523</v>
      </c>
      <c r="AW108" s="10"/>
      <c r="AX108" s="10" t="n">
        <v>523</v>
      </c>
      <c r="AY108" s="10"/>
      <c r="AZ108" s="2"/>
      <c r="BA108" s="2" t="s">
        <v>1022</v>
      </c>
      <c r="BB108" s="2" t="s">
        <v>1389</v>
      </c>
      <c r="BC108" s="2" t="s">
        <v>1379</v>
      </c>
      <c r="BD108" s="2" t="s">
        <v>1024</v>
      </c>
      <c r="BE108" s="2"/>
      <c r="BF108" s="2" t="s">
        <v>1025</v>
      </c>
      <c r="BG108" s="22" t="n">
        <v>46140</v>
      </c>
      <c r="BH108" s="22"/>
      <c r="BI108" s="2"/>
      <c r="BJ108" s="22"/>
      <c r="BK108" s="2" t="n">
        <v>214</v>
      </c>
      <c r="BL108" s="2" t="n">
        <v>0</v>
      </c>
      <c r="BM108" s="2"/>
      <c r="BN108" s="24" t="s">
        <v>1390</v>
      </c>
      <c r="BO108" s="23" t="s">
        <v>1391</v>
      </c>
      <c r="BP108" s="2" t="n">
        <f aca="false">IF(OR(K108="",BG108=""),"",ROUND(BG108-K108,0))</f>
        <v>-126</v>
      </c>
      <c r="BQ108" s="2" t="str">
        <f aca="false">IF(OR(N(BK108)=0,Q108=""),"Not recorded",IF(BK108=Q108,"Match","Differs"))</f>
        <v>Differs</v>
      </c>
      <c r="BR108" s="2" t="str">
        <f aca="false">IF(N108="No","Excluded (non-residential)",IF(BF108="No reference","Unverified – no reference",IF(BF108="Not in council register","Unverified – not in register (Part 8 / other)",IF(OR(BF108="Refused",BF108="Refused on appeal",BF108="Withdrawn",BF108="Invalid",BF108="Quashed"),IF(OR(G108="Complete",G108="On Site",G108="Part Complete"),"Conflict – register not live but CIS says built","Conflict – not live in register"),IF(AND(G108="Plans Submitted",OR(BF108="Granted",BF108="Granted on appeal")),"Stage out of date – now granted",IF(AND(G108&lt;&gt;"Plans Submitted",OR(BF108="Pending",BF108="Under appeal")),"Check – register still pending",IF(N(BL108)&gt;Method!$B$7,"Check – location differs",IF(AND(BP108&lt;&gt;"",ABS(N(BP108))&gt;60),"Consistent – decision date differs","Consistent"))))))))</f>
        <v>Consistent – decision date differs</v>
      </c>
      <c r="BS108" s="2"/>
      <c r="BT108" s="2"/>
      <c r="BU108" s="2"/>
      <c r="BV108" s="2"/>
      <c r="BW108" s="2"/>
      <c r="BX108" s="2"/>
    </row>
    <row r="109" customFormat="false" ht="15" hidden="false" customHeight="false" outlineLevel="0" collapsed="false">
      <c r="A109" s="2" t="n">
        <v>895586</v>
      </c>
      <c r="B109" s="2" t="s">
        <v>475</v>
      </c>
      <c r="C109" s="2" t="s">
        <v>1392</v>
      </c>
      <c r="D109" s="2" t="s">
        <v>476</v>
      </c>
      <c r="E109" s="2" t="s">
        <v>477</v>
      </c>
      <c r="F109" s="2" t="s">
        <v>139</v>
      </c>
      <c r="G109" s="2" t="s">
        <v>251</v>
      </c>
      <c r="H109" s="2" t="s">
        <v>1014</v>
      </c>
      <c r="I109" s="2" t="s">
        <v>1015</v>
      </c>
      <c r="J109" s="22" t="n">
        <v>43763</v>
      </c>
      <c r="K109" s="22" t="n">
        <v>43860</v>
      </c>
      <c r="L109" s="22" t="n">
        <v>45448.6604229514</v>
      </c>
      <c r="M109" s="2" t="s">
        <v>1016</v>
      </c>
      <c r="N109" s="2" t="s">
        <v>121</v>
      </c>
      <c r="O109" s="2"/>
      <c r="P109" s="2" t="s">
        <v>1017</v>
      </c>
      <c r="Q109" s="10" t="n">
        <v>35</v>
      </c>
      <c r="R109" s="10"/>
      <c r="S109" s="10"/>
      <c r="T109" s="2" t="s">
        <v>120</v>
      </c>
      <c r="U109" s="2"/>
      <c r="V109" s="2" t="s">
        <v>1029</v>
      </c>
      <c r="W109" s="2" t="s">
        <v>1030</v>
      </c>
      <c r="X109" s="7"/>
      <c r="Y109" s="2" t="str">
        <f aca="false">IF(X109&lt;&gt;"",X109,T109)</f>
        <v>Primary</v>
      </c>
      <c r="Z109" s="2" t="str">
        <f aca="false">IF(OR(Y109="Primary",Y109="Additional phase",Y109="Additional application on site",Y109="Replaces earlier",Y109="Extension of duration (parent not in CIS)"),"Yes","No")</f>
        <v>Yes</v>
      </c>
      <c r="AA109" s="2"/>
      <c r="AB109" s="2" t="n">
        <f aca="false">IF(L109="","",ROUND((Method!$B$4-L109)/30.44,0))</f>
        <v>28</v>
      </c>
      <c r="AC109" s="2" t="str">
        <f aca="false">IF(AB109="","No",IF(AB109&gt;Method!$B$5,"Yes","No"))</f>
        <v>Yes</v>
      </c>
      <c r="AD109" s="22" t="n">
        <f aca="false">IF(BJ109&lt;&gt;"",BJ109,IF(K109&lt;&gt;"",EDATE(K109,60),""))</f>
        <v>44730</v>
      </c>
      <c r="AE109" s="2" t="str">
        <f aca="false">IF(AND(AD109&lt;&gt;"",OR(G109="Permission Granted",G109="Commencement Expected",G109="Stalled or Suspended")),IF(AD109&lt;Method!$B$4,"Yes","No"),"No")</f>
        <v>No</v>
      </c>
      <c r="AF109" s="7"/>
      <c r="AG109" s="2" t="str">
        <f aca="false">IF(Z109="No","Not counted",IF(AF109="Lapsed or dead","Excluded",IF(AF109="Constrained","Constrained / uncertain",IF(AF109="Confirmed live",IF(G109="On Site","Committed",IF(G109="Part Complete","Committed",IF(G109="Contract Awarded","Committed Pre-Construction",IF(G109="Tender","Advanced Pre-Construction",IF(G109="Commencement Expected","Likely",IF(G109="Permission Granted","Potential",IF(G109="Stalled or Suspended","Constrained / uncertain",IF(G109="Complete","Delivered","Application Pipeline")))))))),IF(G109="Complete","Delivered",IF(AND(OR(G109="Permission Granted",G109="Commencement Expected"),OR(AC109="Yes",AE109="Yes")),"Constrained / uncertain",IF(G109="On Site","Committed",IF(G109="Part Complete","Committed",IF(G109="Contract Awarded","Committed Pre-Construction",IF(G109="Tender","Advanced Pre-Construction",IF(G109="Commencement Expected","Likely",IF(G109="Permission Granted","Potential",IF(G109="Stalled or Suspended","Constrained / uncertain",IF(G109="Complete","Delivered","Application Pipeline"))))))))))))))</f>
        <v>Delivered</v>
      </c>
      <c r="AH109" s="2" t="str">
        <f aca="false">IF(Z109="No","Relationship: "&amp;Y109,IF(AF109&lt;&gt;"","Analyst: "&amp;AF109,IF(G109="Complete","Complete",IF(AND(OR(G109="Permission Granted",G109="Commencement Expected"),AE109="Yes"),"Past expiry",IF(AND(OR(G109="Permission Granted",G109="Commencement Expected"),AC109="Yes"),"No CIS update in "&amp;AB109&amp;" months","As CIS")))))</f>
        <v>Complete</v>
      </c>
      <c r="AI109" s="10" t="n">
        <f aca="false">IF(Z109="Yes",N(Q109),0)</f>
        <v>35</v>
      </c>
      <c r="AJ109" s="10" t="n">
        <f aca="false">IF(OR(Z109="No",G109="Complete"),0,MAX(N(Q109)-N(AA109),0))</f>
        <v>0</v>
      </c>
      <c r="AK109" s="10" t="n">
        <f aca="false">IF(Z109="No",0,IF(G109="Complete",N(Q109),MIN(N(AA109),N(Q109))))</f>
        <v>35</v>
      </c>
      <c r="AL109" s="10" t="n">
        <f aca="false">IF(OR(OR(AG109="Not counted",AG109="Excluded",AG109="Delivered"),P109="Student accommodation"),0,AJ109)</f>
        <v>0</v>
      </c>
      <c r="AM109" s="10" t="n">
        <f aca="false">IF(OR(OR(AG109="Not counted",AG109="Excluded",AG109="Delivered"),P109&lt;&gt;"Student accommodation"),0,AJ109)</f>
        <v>0</v>
      </c>
      <c r="AN109" s="10" t="n">
        <f aca="false">IF(OR(AG109="Not counted",AG109="Excluded",AG109="Delivered"),0,N(S109))</f>
        <v>0</v>
      </c>
      <c r="AO109" s="2" t="s">
        <v>1021</v>
      </c>
      <c r="AP109" s="10"/>
      <c r="AQ109" s="10"/>
      <c r="AR109" s="10"/>
      <c r="AS109" s="10"/>
      <c r="AT109" s="10"/>
      <c r="AU109" s="10"/>
      <c r="AV109" s="10" t="n">
        <f aca="false">N(AP109)+N(AQ109)+N(AR109)+N(AS109)+N(AT109)+N(AU109)</f>
        <v>0</v>
      </c>
      <c r="AW109" s="10"/>
      <c r="AX109" s="10"/>
      <c r="AY109" s="10"/>
      <c r="AZ109" s="2"/>
      <c r="BA109" s="2" t="s">
        <v>1022</v>
      </c>
      <c r="BB109" s="2" t="s">
        <v>1392</v>
      </c>
      <c r="BC109" s="2" t="s">
        <v>1023</v>
      </c>
      <c r="BD109" s="2" t="s">
        <v>1024</v>
      </c>
      <c r="BE109" s="2"/>
      <c r="BF109" s="2" t="s">
        <v>1025</v>
      </c>
      <c r="BG109" s="22" t="n">
        <v>43860</v>
      </c>
      <c r="BH109" s="22" t="n">
        <v>44730</v>
      </c>
      <c r="BI109" s="2"/>
      <c r="BJ109" s="22" t="n">
        <v>44730</v>
      </c>
      <c r="BK109" s="2"/>
      <c r="BL109" s="2" t="n">
        <v>0</v>
      </c>
      <c r="BM109" s="2"/>
      <c r="BN109" s="2" t="s">
        <v>1393</v>
      </c>
      <c r="BO109" s="23" t="s">
        <v>1394</v>
      </c>
      <c r="BP109" s="2" t="n">
        <f aca="false">IF(OR(K109="",BG109=""),"",ROUND(BG109-K109,0))</f>
        <v>0</v>
      </c>
      <c r="BQ109" s="2" t="str">
        <f aca="false">IF(OR(N(BK109)=0,Q109=""),"Not recorded",IF(BK109=Q109,"Match","Differs"))</f>
        <v>Not recorded</v>
      </c>
      <c r="BR109" s="2" t="str">
        <f aca="false">IF(N109="No","Excluded (non-residential)",IF(BF109="No reference","Unverified – no reference",IF(BF109="Not in council register","Unverified – not in register (Part 8 / other)",IF(OR(BF109="Refused",BF109="Refused on appeal",BF109="Withdrawn",BF109="Invalid",BF109="Quashed"),IF(OR(G109="Complete",G109="On Site",G109="Part Complete"),"Conflict – register not live but CIS says built","Conflict – not live in register"),IF(AND(G109="Plans Submitted",OR(BF109="Granted",BF109="Granted on appeal")),"Stage out of date – now granted",IF(AND(G109&lt;&gt;"Plans Submitted",OR(BF109="Pending",BF109="Under appeal")),"Check – register still pending",IF(N(BL109)&gt;Method!$B$7,"Check – location differs",IF(AND(BP109&lt;&gt;"",ABS(N(BP109))&gt;60),"Consistent – decision date differs","Consistent"))))))))</f>
        <v>Consistent</v>
      </c>
      <c r="BS109" s="2"/>
      <c r="BT109" s="2"/>
      <c r="BU109" s="2"/>
      <c r="BV109" s="2"/>
      <c r="BW109" s="2"/>
      <c r="BX109" s="2"/>
    </row>
    <row r="110" customFormat="false" ht="15" hidden="false" customHeight="false" outlineLevel="0" collapsed="false">
      <c r="A110" s="2" t="n">
        <v>974045</v>
      </c>
      <c r="B110" s="2" t="s">
        <v>615</v>
      </c>
      <c r="C110" s="2" t="s">
        <v>1395</v>
      </c>
      <c r="D110" s="2" t="s">
        <v>616</v>
      </c>
      <c r="E110" s="2" t="s">
        <v>617</v>
      </c>
      <c r="F110" s="2" t="s">
        <v>144</v>
      </c>
      <c r="G110" s="2" t="s">
        <v>251</v>
      </c>
      <c r="H110" s="2" t="s">
        <v>1014</v>
      </c>
      <c r="I110" s="2" t="s">
        <v>1015</v>
      </c>
      <c r="J110" s="22" t="n">
        <v>43130</v>
      </c>
      <c r="K110" s="22" t="n">
        <v>43446</v>
      </c>
      <c r="L110" s="22" t="n">
        <v>44043.5544882292</v>
      </c>
      <c r="M110" s="2" t="s">
        <v>1016</v>
      </c>
      <c r="N110" s="2" t="s">
        <v>121</v>
      </c>
      <c r="O110" s="2"/>
      <c r="P110" s="2" t="s">
        <v>1017</v>
      </c>
      <c r="Q110" s="10" t="n">
        <v>4</v>
      </c>
      <c r="R110" s="10"/>
      <c r="S110" s="10"/>
      <c r="T110" s="2" t="s">
        <v>120</v>
      </c>
      <c r="U110" s="2"/>
      <c r="V110" s="2" t="s">
        <v>1029</v>
      </c>
      <c r="W110" s="2" t="s">
        <v>1030</v>
      </c>
      <c r="X110" s="7"/>
      <c r="Y110" s="2" t="str">
        <f aca="false">IF(X110&lt;&gt;"",X110,T110)</f>
        <v>Primary</v>
      </c>
      <c r="Z110" s="2" t="str">
        <f aca="false">IF(OR(Y110="Primary",Y110="Additional phase",Y110="Additional application on site",Y110="Replaces earlier",Y110="Extension of duration (parent not in CIS)"),"Yes","No")</f>
        <v>Yes</v>
      </c>
      <c r="AA110" s="2"/>
      <c r="AB110" s="2" t="n">
        <f aca="false">IF(L110="","",ROUND((Method!$B$4-L110)/30.44,0))</f>
        <v>74</v>
      </c>
      <c r="AC110" s="2" t="str">
        <f aca="false">IF(AB110="","No",IF(AB110&gt;Method!$B$5,"Yes","No"))</f>
        <v>Yes</v>
      </c>
      <c r="AD110" s="22" t="n">
        <f aca="false">IF(BJ110&lt;&gt;"",BJ110,IF(K110&lt;&gt;"",EDATE(K110,60),""))</f>
        <v>45308</v>
      </c>
      <c r="AE110" s="2" t="str">
        <f aca="false">IF(AND(AD110&lt;&gt;"",OR(G110="Permission Granted",G110="Commencement Expected",G110="Stalled or Suspended")),IF(AD110&lt;Method!$B$4,"Yes","No"),"No")</f>
        <v>No</v>
      </c>
      <c r="AF110" s="7"/>
      <c r="AG110" s="2" t="str">
        <f aca="false">IF(Z110="No","Not counted",IF(AF110="Lapsed or dead","Excluded",IF(AF110="Constrained","Constrained / uncertain",IF(AF110="Confirmed live",IF(G110="On Site","Committed",IF(G110="Part Complete","Committed",IF(G110="Contract Awarded","Committed Pre-Construction",IF(G110="Tender","Advanced Pre-Construction",IF(G110="Commencement Expected","Likely",IF(G110="Permission Granted","Potential",IF(G110="Stalled or Suspended","Constrained / uncertain",IF(G110="Complete","Delivered","Application Pipeline")))))))),IF(G110="Complete","Delivered",IF(AND(OR(G110="Permission Granted",G110="Commencement Expected"),OR(AC110="Yes",AE110="Yes")),"Constrained / uncertain",IF(G110="On Site","Committed",IF(G110="Part Complete","Committed",IF(G110="Contract Awarded","Committed Pre-Construction",IF(G110="Tender","Advanced Pre-Construction",IF(G110="Commencement Expected","Likely",IF(G110="Permission Granted","Potential",IF(G110="Stalled or Suspended","Constrained / uncertain",IF(G110="Complete","Delivered","Application Pipeline"))))))))))))))</f>
        <v>Delivered</v>
      </c>
      <c r="AH110" s="2" t="str">
        <f aca="false">IF(Z110="No","Relationship: "&amp;Y110,IF(AF110&lt;&gt;"","Analyst: "&amp;AF110,IF(G110="Complete","Complete",IF(AND(OR(G110="Permission Granted",G110="Commencement Expected"),AE110="Yes"),"Past expiry",IF(AND(OR(G110="Permission Granted",G110="Commencement Expected"),AC110="Yes"),"No CIS update in "&amp;AB110&amp;" months","As CIS")))))</f>
        <v>Complete</v>
      </c>
      <c r="AI110" s="10" t="n">
        <f aca="false">IF(Z110="Yes",N(Q110),0)</f>
        <v>4</v>
      </c>
      <c r="AJ110" s="10" t="n">
        <f aca="false">IF(OR(Z110="No",G110="Complete"),0,MAX(N(Q110)-N(AA110),0))</f>
        <v>0</v>
      </c>
      <c r="AK110" s="10" t="n">
        <f aca="false">IF(Z110="No",0,IF(G110="Complete",N(Q110),MIN(N(AA110),N(Q110))))</f>
        <v>4</v>
      </c>
      <c r="AL110" s="10" t="n">
        <f aca="false">IF(OR(OR(AG110="Not counted",AG110="Excluded",AG110="Delivered"),P110="Student accommodation"),0,AJ110)</f>
        <v>0</v>
      </c>
      <c r="AM110" s="10" t="n">
        <f aca="false">IF(OR(OR(AG110="Not counted",AG110="Excluded",AG110="Delivered"),P110&lt;&gt;"Student accommodation"),0,AJ110)</f>
        <v>0</v>
      </c>
      <c r="AN110" s="10" t="n">
        <f aca="false">IF(OR(AG110="Not counted",AG110="Excluded",AG110="Delivered"),0,N(S110))</f>
        <v>0</v>
      </c>
      <c r="AO110" s="2" t="s">
        <v>1021</v>
      </c>
      <c r="AP110" s="10"/>
      <c r="AQ110" s="10"/>
      <c r="AR110" s="10"/>
      <c r="AS110" s="10"/>
      <c r="AT110" s="10"/>
      <c r="AU110" s="10"/>
      <c r="AV110" s="10" t="n">
        <f aca="false">N(AP110)+N(AQ110)+N(AR110)+N(AS110)+N(AT110)+N(AU110)</f>
        <v>0</v>
      </c>
      <c r="AW110" s="10"/>
      <c r="AX110" s="10"/>
      <c r="AY110" s="10"/>
      <c r="AZ110" s="2"/>
      <c r="BA110" s="2" t="s">
        <v>1022</v>
      </c>
      <c r="BB110" s="2" t="s">
        <v>1395</v>
      </c>
      <c r="BC110" s="2" t="s">
        <v>1023</v>
      </c>
      <c r="BD110" s="2" t="s">
        <v>1024</v>
      </c>
      <c r="BE110" s="2"/>
      <c r="BF110" s="2" t="s">
        <v>1025</v>
      </c>
      <c r="BG110" s="22" t="n">
        <v>43446</v>
      </c>
      <c r="BH110" s="22" t="n">
        <v>45308</v>
      </c>
      <c r="BI110" s="2"/>
      <c r="BJ110" s="22" t="n">
        <v>45308</v>
      </c>
      <c r="BK110" s="2" t="n">
        <v>4</v>
      </c>
      <c r="BL110" s="2" t="n">
        <v>0</v>
      </c>
      <c r="BM110" s="2"/>
      <c r="BN110" s="2" t="s">
        <v>1396</v>
      </c>
      <c r="BO110" s="23" t="s">
        <v>1397</v>
      </c>
      <c r="BP110" s="2" t="n">
        <f aca="false">IF(OR(K110="",BG110=""),"",ROUND(BG110-K110,0))</f>
        <v>0</v>
      </c>
      <c r="BQ110" s="2" t="str">
        <f aca="false">IF(OR(N(BK110)=0,Q110=""),"Not recorded",IF(BK110=Q110,"Match","Differs"))</f>
        <v>Match</v>
      </c>
      <c r="BR110" s="2" t="str">
        <f aca="false">IF(N110="No","Excluded (non-residential)",IF(BF110="No reference","Unverified – no reference",IF(BF110="Not in council register","Unverified – not in register (Part 8 / other)",IF(OR(BF110="Refused",BF110="Refused on appeal",BF110="Withdrawn",BF110="Invalid",BF110="Quashed"),IF(OR(G110="Complete",G110="On Site",G110="Part Complete"),"Conflict – register not live but CIS says built","Conflict – not live in register"),IF(AND(G110="Plans Submitted",OR(BF110="Granted",BF110="Granted on appeal")),"Stage out of date – now granted",IF(AND(G110&lt;&gt;"Plans Submitted",OR(BF110="Pending",BF110="Under appeal")),"Check – register still pending",IF(N(BL110)&gt;Method!$B$7,"Check – location differs",IF(AND(BP110&lt;&gt;"",ABS(N(BP110))&gt;60),"Consistent – decision date differs","Consistent"))))))))</f>
        <v>Consistent</v>
      </c>
      <c r="BS110" s="2"/>
      <c r="BT110" s="2"/>
      <c r="BU110" s="2"/>
      <c r="BV110" s="2"/>
      <c r="BW110" s="2"/>
      <c r="BX110" s="2"/>
    </row>
    <row r="111" customFormat="false" ht="15" hidden="false" customHeight="false" outlineLevel="0" collapsed="false">
      <c r="A111" s="2" t="n">
        <v>978022</v>
      </c>
      <c r="B111" s="2" t="s">
        <v>644</v>
      </c>
      <c r="C111" s="2" t="s">
        <v>1398</v>
      </c>
      <c r="D111" s="2" t="s">
        <v>645</v>
      </c>
      <c r="E111" s="2" t="s">
        <v>646</v>
      </c>
      <c r="F111" s="2" t="s">
        <v>144</v>
      </c>
      <c r="G111" s="2" t="s">
        <v>187</v>
      </c>
      <c r="H111" s="2" t="s">
        <v>1014</v>
      </c>
      <c r="I111" s="2"/>
      <c r="J111" s="22" t="n">
        <v>43157</v>
      </c>
      <c r="K111" s="22" t="n">
        <v>43266</v>
      </c>
      <c r="L111" s="22" t="n">
        <v>43271.6349877662</v>
      </c>
      <c r="M111" s="2" t="s">
        <v>1016</v>
      </c>
      <c r="N111" s="2" t="s">
        <v>121</v>
      </c>
      <c r="O111" s="2"/>
      <c r="P111" s="2" t="s">
        <v>1017</v>
      </c>
      <c r="Q111" s="10" t="n">
        <v>8</v>
      </c>
      <c r="R111" s="10"/>
      <c r="S111" s="10"/>
      <c r="T111" s="2" t="s">
        <v>120</v>
      </c>
      <c r="U111" s="2"/>
      <c r="V111" s="2" t="s">
        <v>1029</v>
      </c>
      <c r="W111" s="2" t="s">
        <v>1030</v>
      </c>
      <c r="X111" s="7"/>
      <c r="Y111" s="2" t="str">
        <f aca="false">IF(X111&lt;&gt;"",X111,T111)</f>
        <v>Primary</v>
      </c>
      <c r="Z111" s="2" t="str">
        <f aca="false">IF(OR(Y111="Primary",Y111="Additional phase",Y111="Additional application on site",Y111="Replaces earlier",Y111="Extension of duration (parent not in CIS)"),"Yes","No")</f>
        <v>Yes</v>
      </c>
      <c r="AA111" s="2"/>
      <c r="AB111" s="2" t="n">
        <f aca="false">IF(L111="","",ROUND((Method!$B$4-L111)/30.44,0))</f>
        <v>99</v>
      </c>
      <c r="AC111" s="2" t="str">
        <f aca="false">IF(AB111="","No",IF(AB111&gt;Method!$B$5,"Yes","No"))</f>
        <v>Yes</v>
      </c>
      <c r="AD111" s="22" t="n">
        <f aca="false">IF(BJ111&lt;&gt;"",BJ111,IF(K111&lt;&gt;"",EDATE(K111,60),""))</f>
        <v>45125</v>
      </c>
      <c r="AE111" s="2" t="str">
        <f aca="false">IF(AND(AD111&lt;&gt;"",OR(G111="Permission Granted",G111="Commencement Expected",G111="Stalled or Suspended")),IF(AD111&lt;Method!$B$4,"Yes","No"),"No")</f>
        <v>Yes</v>
      </c>
      <c r="AF111" s="7"/>
      <c r="AG111" s="2" t="str">
        <f aca="false">IF(Z111="No","Not counted",IF(AF111="Lapsed or dead","Excluded",IF(AF111="Constrained","Constrained / uncertain",IF(AF111="Confirmed live",IF(G111="On Site","Committed",IF(G111="Part Complete","Committed",IF(G111="Contract Awarded","Committed Pre-Construction",IF(G111="Tender","Advanced Pre-Construction",IF(G111="Commencement Expected","Likely",IF(G111="Permission Granted","Potential",IF(G111="Stalled or Suspended","Constrained / uncertain",IF(G111="Complete","Delivered","Application Pipeline")))))))),IF(G111="Complete","Delivered",IF(AND(OR(G111="Permission Granted",G111="Commencement Expected"),OR(AC111="Yes",AE111="Yes")),"Constrained / uncertain",IF(G111="On Site","Committed",IF(G111="Part Complete","Committed",IF(G111="Contract Awarded","Committed Pre-Construction",IF(G111="Tender","Advanced Pre-Construction",IF(G111="Commencement Expected","Likely",IF(G111="Permission Granted","Potential",IF(G111="Stalled or Suspended","Constrained / uncertain",IF(G111="Complete","Delivered","Application Pipeline"))))))))))))))</f>
        <v>Constrained / uncertain</v>
      </c>
      <c r="AH111" s="2" t="str">
        <f aca="false">IF(Z111="No","Relationship: "&amp;Y111,IF(AF111&lt;&gt;"","Analyst: "&amp;AF111,IF(G111="Complete","Complete",IF(AND(OR(G111="Permission Granted",G111="Commencement Expected"),AE111="Yes"),"Past expiry",IF(AND(OR(G111="Permission Granted",G111="Commencement Expected"),AC111="Yes"),"No CIS update in "&amp;AB111&amp;" months","As CIS")))))</f>
        <v>Past expiry</v>
      </c>
      <c r="AI111" s="10" t="n">
        <f aca="false">IF(Z111="Yes",N(Q111),0)</f>
        <v>8</v>
      </c>
      <c r="AJ111" s="10" t="n">
        <f aca="false">IF(OR(Z111="No",G111="Complete"),0,MAX(N(Q111)-N(AA111),0))</f>
        <v>8</v>
      </c>
      <c r="AK111" s="10" t="n">
        <f aca="false">IF(Z111="No",0,IF(G111="Complete",N(Q111),MIN(N(AA111),N(Q111))))</f>
        <v>0</v>
      </c>
      <c r="AL111" s="10" t="n">
        <f aca="false">IF(OR(OR(AG111="Not counted",AG111="Excluded",AG111="Delivered"),P111="Student accommodation"),0,AJ111)</f>
        <v>8</v>
      </c>
      <c r="AM111" s="10" t="n">
        <f aca="false">IF(OR(OR(AG111="Not counted",AG111="Excluded",AG111="Delivered"),P111&lt;&gt;"Student accommodation"),0,AJ111)</f>
        <v>0</v>
      </c>
      <c r="AN111" s="10" t="n">
        <f aca="false">IF(OR(AG111="Not counted",AG111="Excluded",AG111="Delivered"),0,N(S111))</f>
        <v>0</v>
      </c>
      <c r="AO111" s="2" t="s">
        <v>1021</v>
      </c>
      <c r="AP111" s="10"/>
      <c r="AQ111" s="10"/>
      <c r="AR111" s="10"/>
      <c r="AS111" s="10"/>
      <c r="AT111" s="10"/>
      <c r="AU111" s="10"/>
      <c r="AV111" s="10" t="n">
        <f aca="false">N(AP111)+N(AQ111)+N(AR111)+N(AS111)+N(AT111)+N(AU111)</f>
        <v>0</v>
      </c>
      <c r="AW111" s="10"/>
      <c r="AX111" s="10"/>
      <c r="AY111" s="10"/>
      <c r="AZ111" s="2"/>
      <c r="BA111" s="2" t="s">
        <v>1022</v>
      </c>
      <c r="BB111" s="2" t="s">
        <v>1398</v>
      </c>
      <c r="BC111" s="2" t="s">
        <v>1023</v>
      </c>
      <c r="BD111" s="2" t="s">
        <v>1024</v>
      </c>
      <c r="BE111" s="2"/>
      <c r="BF111" s="2" t="s">
        <v>1025</v>
      </c>
      <c r="BG111" s="22" t="n">
        <v>43266</v>
      </c>
      <c r="BH111" s="22" t="n">
        <v>45125</v>
      </c>
      <c r="BI111" s="2" t="s">
        <v>1399</v>
      </c>
      <c r="BJ111" s="22" t="n">
        <v>45125</v>
      </c>
      <c r="BK111" s="2"/>
      <c r="BL111" s="2" t="n">
        <v>0</v>
      </c>
      <c r="BM111" s="2"/>
      <c r="BN111" s="2" t="s">
        <v>1400</v>
      </c>
      <c r="BO111" s="23" t="s">
        <v>1401</v>
      </c>
      <c r="BP111" s="2" t="n">
        <f aca="false">IF(OR(K111="",BG111=""),"",ROUND(BG111-K111,0))</f>
        <v>0</v>
      </c>
      <c r="BQ111" s="2" t="str">
        <f aca="false">IF(OR(N(BK111)=0,Q111=""),"Not recorded",IF(BK111=Q111,"Match","Differs"))</f>
        <v>Not recorded</v>
      </c>
      <c r="BR111" s="2" t="str">
        <f aca="false">IF(N111="No","Excluded (non-residential)",IF(BF111="No reference","Unverified – no reference",IF(BF111="Not in council register","Unverified – not in register (Part 8 / other)",IF(OR(BF111="Refused",BF111="Refused on appeal",BF111="Withdrawn",BF111="Invalid",BF111="Quashed"),IF(OR(G111="Complete",G111="On Site",G111="Part Complete"),"Conflict – register not live but CIS says built","Conflict – not live in register"),IF(AND(G111="Plans Submitted",OR(BF111="Granted",BF111="Granted on appeal")),"Stage out of date – now granted",IF(AND(G111&lt;&gt;"Plans Submitted",OR(BF111="Pending",BF111="Under appeal")),"Check – register still pending",IF(N(BL111)&gt;Method!$B$7,"Check – location differs",IF(AND(BP111&lt;&gt;"",ABS(N(BP111))&gt;60),"Consistent – decision date differs","Consistent"))))))))</f>
        <v>Consistent</v>
      </c>
      <c r="BS111" s="2"/>
      <c r="BT111" s="2"/>
      <c r="BU111" s="2"/>
      <c r="BV111" s="2"/>
      <c r="BW111" s="2"/>
      <c r="BX111" s="2"/>
    </row>
    <row r="112" customFormat="false" ht="15" hidden="false" customHeight="false" outlineLevel="0" collapsed="false">
      <c r="A112" s="2" t="n">
        <v>980328</v>
      </c>
      <c r="B112" s="2" t="s">
        <v>633</v>
      </c>
      <c r="C112" s="2" t="s">
        <v>1402</v>
      </c>
      <c r="D112" s="2" t="s">
        <v>607</v>
      </c>
      <c r="E112" s="2" t="s">
        <v>634</v>
      </c>
      <c r="F112" s="2" t="s">
        <v>144</v>
      </c>
      <c r="G112" s="2" t="s">
        <v>251</v>
      </c>
      <c r="H112" s="2" t="s">
        <v>1014</v>
      </c>
      <c r="I112" s="2" t="s">
        <v>1015</v>
      </c>
      <c r="J112" s="22" t="n">
        <v>43167</v>
      </c>
      <c r="K112" s="22" t="n">
        <v>43222</v>
      </c>
      <c r="L112" s="22" t="n">
        <v>43600.5233120023</v>
      </c>
      <c r="M112" s="2" t="s">
        <v>1016</v>
      </c>
      <c r="N112" s="2" t="s">
        <v>121</v>
      </c>
      <c r="O112" s="2"/>
      <c r="P112" s="2" t="s">
        <v>1017</v>
      </c>
      <c r="Q112" s="10" t="n">
        <v>14</v>
      </c>
      <c r="R112" s="10"/>
      <c r="S112" s="10"/>
      <c r="T112" s="2" t="s">
        <v>120</v>
      </c>
      <c r="U112" s="2"/>
      <c r="V112" s="2" t="s">
        <v>1029</v>
      </c>
      <c r="W112" s="2" t="s">
        <v>1030</v>
      </c>
      <c r="X112" s="7"/>
      <c r="Y112" s="2" t="str">
        <f aca="false">IF(X112&lt;&gt;"",X112,T112)</f>
        <v>Primary</v>
      </c>
      <c r="Z112" s="2" t="str">
        <f aca="false">IF(OR(Y112="Primary",Y112="Additional phase",Y112="Additional application on site",Y112="Replaces earlier",Y112="Extension of duration (parent not in CIS)"),"Yes","No")</f>
        <v>Yes</v>
      </c>
      <c r="AA112" s="2"/>
      <c r="AB112" s="2" t="n">
        <f aca="false">IF(L112="","",ROUND((Method!$B$4-L112)/30.44,0))</f>
        <v>88</v>
      </c>
      <c r="AC112" s="2" t="str">
        <f aca="false">IF(AB112="","No",IF(AB112&gt;Method!$B$5,"Yes","No"))</f>
        <v>Yes</v>
      </c>
      <c r="AD112" s="22" t="n">
        <f aca="false">IF(BJ112&lt;&gt;"",BJ112,IF(K112&lt;&gt;"",EDATE(K112,60),""))</f>
        <v>45179</v>
      </c>
      <c r="AE112" s="2" t="str">
        <f aca="false">IF(AND(AD112&lt;&gt;"",OR(G112="Permission Granted",G112="Commencement Expected",G112="Stalled or Suspended")),IF(AD112&lt;Method!$B$4,"Yes","No"),"No")</f>
        <v>No</v>
      </c>
      <c r="AF112" s="7"/>
      <c r="AG112" s="2" t="str">
        <f aca="false">IF(Z112="No","Not counted",IF(AF112="Lapsed or dead","Excluded",IF(AF112="Constrained","Constrained / uncertain",IF(AF112="Confirmed live",IF(G112="On Site","Committed",IF(G112="Part Complete","Committed",IF(G112="Contract Awarded","Committed Pre-Construction",IF(G112="Tender","Advanced Pre-Construction",IF(G112="Commencement Expected","Likely",IF(G112="Permission Granted","Potential",IF(G112="Stalled or Suspended","Constrained / uncertain",IF(G112="Complete","Delivered","Application Pipeline")))))))),IF(G112="Complete","Delivered",IF(AND(OR(G112="Permission Granted",G112="Commencement Expected"),OR(AC112="Yes",AE112="Yes")),"Constrained / uncertain",IF(G112="On Site","Committed",IF(G112="Part Complete","Committed",IF(G112="Contract Awarded","Committed Pre-Construction",IF(G112="Tender","Advanced Pre-Construction",IF(G112="Commencement Expected","Likely",IF(G112="Permission Granted","Potential",IF(G112="Stalled or Suspended","Constrained / uncertain",IF(G112="Complete","Delivered","Application Pipeline"))))))))))))))</f>
        <v>Delivered</v>
      </c>
      <c r="AH112" s="2" t="str">
        <f aca="false">IF(Z112="No","Relationship: "&amp;Y112,IF(AF112&lt;&gt;"","Analyst: "&amp;AF112,IF(G112="Complete","Complete",IF(AND(OR(G112="Permission Granted",G112="Commencement Expected"),AE112="Yes"),"Past expiry",IF(AND(OR(G112="Permission Granted",G112="Commencement Expected"),AC112="Yes"),"No CIS update in "&amp;AB112&amp;" months","As CIS")))))</f>
        <v>Complete</v>
      </c>
      <c r="AI112" s="10" t="n">
        <f aca="false">IF(Z112="Yes",N(Q112),0)</f>
        <v>14</v>
      </c>
      <c r="AJ112" s="10" t="n">
        <f aca="false">IF(OR(Z112="No",G112="Complete"),0,MAX(N(Q112)-N(AA112),0))</f>
        <v>0</v>
      </c>
      <c r="AK112" s="10" t="n">
        <f aca="false">IF(Z112="No",0,IF(G112="Complete",N(Q112),MIN(N(AA112),N(Q112))))</f>
        <v>14</v>
      </c>
      <c r="AL112" s="10" t="n">
        <f aca="false">IF(OR(OR(AG112="Not counted",AG112="Excluded",AG112="Delivered"),P112="Student accommodation"),0,AJ112)</f>
        <v>0</v>
      </c>
      <c r="AM112" s="10" t="n">
        <f aca="false">IF(OR(OR(AG112="Not counted",AG112="Excluded",AG112="Delivered"),P112&lt;&gt;"Student accommodation"),0,AJ112)</f>
        <v>0</v>
      </c>
      <c r="AN112" s="10" t="n">
        <f aca="false">IF(OR(AG112="Not counted",AG112="Excluded",AG112="Delivered"),0,N(S112))</f>
        <v>0</v>
      </c>
      <c r="AO112" s="2" t="s">
        <v>1031</v>
      </c>
      <c r="AP112" s="10" t="n">
        <v>14</v>
      </c>
      <c r="AQ112" s="10"/>
      <c r="AR112" s="10"/>
      <c r="AS112" s="10"/>
      <c r="AT112" s="10"/>
      <c r="AU112" s="10"/>
      <c r="AV112" s="10" t="n">
        <f aca="false">N(AP112)+N(AQ112)+N(AR112)+N(AS112)+N(AT112)+N(AU112)</f>
        <v>14</v>
      </c>
      <c r="AW112" s="10"/>
      <c r="AX112" s="10" t="n">
        <v>14</v>
      </c>
      <c r="AY112" s="10"/>
      <c r="AZ112" s="2"/>
      <c r="BA112" s="2" t="s">
        <v>1022</v>
      </c>
      <c r="BB112" s="2" t="s">
        <v>1402</v>
      </c>
      <c r="BC112" s="2" t="s">
        <v>1023</v>
      </c>
      <c r="BD112" s="2" t="s">
        <v>1024</v>
      </c>
      <c r="BE112" s="2" t="s">
        <v>1024</v>
      </c>
      <c r="BF112" s="2" t="s">
        <v>1059</v>
      </c>
      <c r="BG112" s="22" t="n">
        <v>43222</v>
      </c>
      <c r="BH112" s="22" t="n">
        <v>45179</v>
      </c>
      <c r="BI112" s="2"/>
      <c r="BJ112" s="22" t="n">
        <v>45179</v>
      </c>
      <c r="BK112" s="2"/>
      <c r="BL112" s="2" t="n">
        <v>0</v>
      </c>
      <c r="BM112" s="2"/>
      <c r="BN112" s="2" t="s">
        <v>1403</v>
      </c>
      <c r="BO112" s="23" t="s">
        <v>1404</v>
      </c>
      <c r="BP112" s="2" t="n">
        <f aca="false">IF(OR(K112="",BG112=""),"",ROUND(BG112-K112,0))</f>
        <v>0</v>
      </c>
      <c r="BQ112" s="2" t="str">
        <f aca="false">IF(OR(N(BK112)=0,Q112=""),"Not recorded",IF(BK112=Q112,"Match","Differs"))</f>
        <v>Not recorded</v>
      </c>
      <c r="BR112" s="2" t="str">
        <f aca="false">IF(N112="No","Excluded (non-residential)",IF(BF112="No reference","Unverified – no reference",IF(BF112="Not in council register","Unverified – not in register (Part 8 / other)",IF(OR(BF112="Refused",BF112="Refused on appeal",BF112="Withdrawn",BF112="Invalid",BF112="Quashed"),IF(OR(G112="Complete",G112="On Site",G112="Part Complete"),"Conflict – register not live but CIS says built","Conflict – not live in register"),IF(AND(G112="Plans Submitted",OR(BF112="Granted",BF112="Granted on appeal")),"Stage out of date – now granted",IF(AND(G112&lt;&gt;"Plans Submitted",OR(BF112="Pending",BF112="Under appeal")),"Check – register still pending",IF(N(BL112)&gt;Method!$B$7,"Check – location differs",IF(AND(BP112&lt;&gt;"",ABS(N(BP112))&gt;60),"Consistent – decision date differs","Consistent"))))))))</f>
        <v>Consistent</v>
      </c>
      <c r="BS112" s="2"/>
      <c r="BT112" s="2"/>
      <c r="BU112" s="2"/>
      <c r="BV112" s="2"/>
      <c r="BW112" s="2"/>
      <c r="BX112" s="2"/>
    </row>
    <row r="113" customFormat="false" ht="15" hidden="false" customHeight="false" outlineLevel="0" collapsed="false">
      <c r="A113" s="2" t="n">
        <v>981494</v>
      </c>
      <c r="B113" s="2" t="s">
        <v>496</v>
      </c>
      <c r="C113" s="2" t="s">
        <v>1405</v>
      </c>
      <c r="D113" s="2" t="s">
        <v>497</v>
      </c>
      <c r="E113" s="2" t="s">
        <v>498</v>
      </c>
      <c r="F113" s="2" t="s">
        <v>144</v>
      </c>
      <c r="G113" s="2" t="s">
        <v>251</v>
      </c>
      <c r="H113" s="2" t="s">
        <v>1014</v>
      </c>
      <c r="I113" s="2" t="s">
        <v>1015</v>
      </c>
      <c r="J113" s="22" t="n">
        <v>43174</v>
      </c>
      <c r="K113" s="22" t="n">
        <v>43710</v>
      </c>
      <c r="L113" s="22" t="n">
        <v>45274.4861118056</v>
      </c>
      <c r="M113" s="2" t="s">
        <v>1016</v>
      </c>
      <c r="N113" s="2" t="s">
        <v>121</v>
      </c>
      <c r="O113" s="2"/>
      <c r="P113" s="2" t="s">
        <v>1017</v>
      </c>
      <c r="Q113" s="10" t="n">
        <v>20</v>
      </c>
      <c r="R113" s="10"/>
      <c r="S113" s="10"/>
      <c r="T113" s="2" t="s">
        <v>120</v>
      </c>
      <c r="U113" s="2"/>
      <c r="V113" s="2" t="s">
        <v>1029</v>
      </c>
      <c r="W113" s="2" t="s">
        <v>1030</v>
      </c>
      <c r="X113" s="7"/>
      <c r="Y113" s="2" t="str">
        <f aca="false">IF(X113&lt;&gt;"",X113,T113)</f>
        <v>Primary</v>
      </c>
      <c r="Z113" s="2" t="str">
        <f aca="false">IF(OR(Y113="Primary",Y113="Additional phase",Y113="Additional application on site",Y113="Replaces earlier",Y113="Extension of duration (parent not in CIS)"),"Yes","No")</f>
        <v>Yes</v>
      </c>
      <c r="AA113" s="2"/>
      <c r="AB113" s="2" t="n">
        <f aca="false">IF(L113="","",ROUND((Method!$B$4-L113)/30.44,0))</f>
        <v>33</v>
      </c>
      <c r="AC113" s="2" t="str">
        <f aca="false">IF(AB113="","No",IF(AB113&gt;Method!$B$5,"Yes","No"))</f>
        <v>Yes</v>
      </c>
      <c r="AD113" s="22" t="n">
        <f aca="false">IF(BJ113&lt;&gt;"",BJ113,IF(K113&lt;&gt;"",EDATE(K113,60),""))</f>
        <v>45537</v>
      </c>
      <c r="AE113" s="2" t="str">
        <f aca="false">IF(AND(AD113&lt;&gt;"",OR(G113="Permission Granted",G113="Commencement Expected",G113="Stalled or Suspended")),IF(AD113&lt;Method!$B$4,"Yes","No"),"No")</f>
        <v>No</v>
      </c>
      <c r="AF113" s="7"/>
      <c r="AG113" s="2" t="str">
        <f aca="false">IF(Z113="No","Not counted",IF(AF113="Lapsed or dead","Excluded",IF(AF113="Constrained","Constrained / uncertain",IF(AF113="Confirmed live",IF(G113="On Site","Committed",IF(G113="Part Complete","Committed",IF(G113="Contract Awarded","Committed Pre-Construction",IF(G113="Tender","Advanced Pre-Construction",IF(G113="Commencement Expected","Likely",IF(G113="Permission Granted","Potential",IF(G113="Stalled or Suspended","Constrained / uncertain",IF(G113="Complete","Delivered","Application Pipeline")))))))),IF(G113="Complete","Delivered",IF(AND(OR(G113="Permission Granted",G113="Commencement Expected"),OR(AC113="Yes",AE113="Yes")),"Constrained / uncertain",IF(G113="On Site","Committed",IF(G113="Part Complete","Committed",IF(G113="Contract Awarded","Committed Pre-Construction",IF(G113="Tender","Advanced Pre-Construction",IF(G113="Commencement Expected","Likely",IF(G113="Permission Granted","Potential",IF(G113="Stalled or Suspended","Constrained / uncertain",IF(G113="Complete","Delivered","Application Pipeline"))))))))))))))</f>
        <v>Delivered</v>
      </c>
      <c r="AH113" s="2" t="str">
        <f aca="false">IF(Z113="No","Relationship: "&amp;Y113,IF(AF113&lt;&gt;"","Analyst: "&amp;AF113,IF(G113="Complete","Complete",IF(AND(OR(G113="Permission Granted",G113="Commencement Expected"),AE113="Yes"),"Past expiry",IF(AND(OR(G113="Permission Granted",G113="Commencement Expected"),AC113="Yes"),"No CIS update in "&amp;AB113&amp;" months","As CIS")))))</f>
        <v>Complete</v>
      </c>
      <c r="AI113" s="10" t="n">
        <f aca="false">IF(Z113="Yes",N(Q113),0)</f>
        <v>20</v>
      </c>
      <c r="AJ113" s="10" t="n">
        <f aca="false">IF(OR(Z113="No",G113="Complete"),0,MAX(N(Q113)-N(AA113),0))</f>
        <v>0</v>
      </c>
      <c r="AK113" s="10" t="n">
        <f aca="false">IF(Z113="No",0,IF(G113="Complete",N(Q113),MIN(N(AA113),N(Q113))))</f>
        <v>20</v>
      </c>
      <c r="AL113" s="10" t="n">
        <f aca="false">IF(OR(OR(AG113="Not counted",AG113="Excluded",AG113="Delivered"),P113="Student accommodation"),0,AJ113)</f>
        <v>0</v>
      </c>
      <c r="AM113" s="10" t="n">
        <f aca="false">IF(OR(OR(AG113="Not counted",AG113="Excluded",AG113="Delivered"),P113&lt;&gt;"Student accommodation"),0,AJ113)</f>
        <v>0</v>
      </c>
      <c r="AN113" s="10" t="n">
        <f aca="false">IF(OR(AG113="Not counted",AG113="Excluded",AG113="Delivered"),0,N(S113))</f>
        <v>0</v>
      </c>
      <c r="AO113" s="2" t="s">
        <v>1031</v>
      </c>
      <c r="AP113" s="10"/>
      <c r="AQ113" s="10"/>
      <c r="AR113" s="10" t="n">
        <v>12</v>
      </c>
      <c r="AS113" s="10" t="n">
        <v>7</v>
      </c>
      <c r="AT113" s="10" t="n">
        <v>1</v>
      </c>
      <c r="AU113" s="10"/>
      <c r="AV113" s="10" t="n">
        <f aca="false">N(AP113)+N(AQ113)+N(AR113)+N(AS113)+N(AT113)+N(AU113)</f>
        <v>20</v>
      </c>
      <c r="AW113" s="10"/>
      <c r="AX113" s="10" t="n">
        <v>20</v>
      </c>
      <c r="AY113" s="10"/>
      <c r="AZ113" s="2"/>
      <c r="BA113" s="2" t="s">
        <v>1022</v>
      </c>
      <c r="BB113" s="2" t="s">
        <v>1405</v>
      </c>
      <c r="BC113" s="2" t="s">
        <v>1046</v>
      </c>
      <c r="BD113" s="2" t="s">
        <v>1024</v>
      </c>
      <c r="BE113" s="2"/>
      <c r="BF113" s="2" t="s">
        <v>1025</v>
      </c>
      <c r="BG113" s="22" t="n">
        <v>43234</v>
      </c>
      <c r="BH113" s="22"/>
      <c r="BI113" s="2"/>
      <c r="BJ113" s="22"/>
      <c r="BK113" s="2" t="n">
        <v>20</v>
      </c>
      <c r="BL113" s="2" t="n">
        <v>0</v>
      </c>
      <c r="BM113" s="2"/>
      <c r="BN113" s="2" t="s">
        <v>1406</v>
      </c>
      <c r="BO113" s="23" t="s">
        <v>1407</v>
      </c>
      <c r="BP113" s="2" t="n">
        <f aca="false">IF(OR(K113="",BG113=""),"",ROUND(BG113-K113,0))</f>
        <v>-476</v>
      </c>
      <c r="BQ113" s="2" t="str">
        <f aca="false">IF(OR(N(BK113)=0,Q113=""),"Not recorded",IF(BK113=Q113,"Match","Differs"))</f>
        <v>Match</v>
      </c>
      <c r="BR113" s="2" t="str">
        <f aca="false">IF(N113="No","Excluded (non-residential)",IF(BF113="No reference","Unverified – no reference",IF(BF113="Not in council register","Unverified – not in register (Part 8 / other)",IF(OR(BF113="Refused",BF113="Refused on appeal",BF113="Withdrawn",BF113="Invalid",BF113="Quashed"),IF(OR(G113="Complete",G113="On Site",G113="Part Complete"),"Conflict – register not live but CIS says built","Conflict – not live in register"),IF(AND(G113="Plans Submitted",OR(BF113="Granted",BF113="Granted on appeal")),"Stage out of date – now granted",IF(AND(G113&lt;&gt;"Plans Submitted",OR(BF113="Pending",BF113="Under appeal")),"Check – register still pending",IF(N(BL113)&gt;Method!$B$7,"Check – location differs",IF(AND(BP113&lt;&gt;"",ABS(N(BP113))&gt;60),"Consistent – decision date differs","Consistent"))))))))</f>
        <v>Consistent – decision date differs</v>
      </c>
      <c r="BS113" s="2" t="n">
        <v>1819</v>
      </c>
      <c r="BT113" s="2" t="s">
        <v>1049</v>
      </c>
      <c r="BU113" s="2" t="s">
        <v>1050</v>
      </c>
      <c r="BV113" s="2" t="s">
        <v>1015</v>
      </c>
      <c r="BW113" s="2" t="s">
        <v>1408</v>
      </c>
      <c r="BX113" s="2" t="s">
        <v>1052</v>
      </c>
    </row>
    <row r="114" customFormat="false" ht="15" hidden="false" customHeight="false" outlineLevel="0" collapsed="false">
      <c r="A114" s="2" t="n">
        <v>991834</v>
      </c>
      <c r="B114" s="2" t="s">
        <v>627</v>
      </c>
      <c r="C114" s="2" t="s">
        <v>1409</v>
      </c>
      <c r="D114" s="2" t="s">
        <v>628</v>
      </c>
      <c r="E114" s="2" t="s">
        <v>629</v>
      </c>
      <c r="F114" s="2" t="s">
        <v>133</v>
      </c>
      <c r="G114" s="2" t="s">
        <v>251</v>
      </c>
      <c r="H114" s="2" t="s">
        <v>1014</v>
      </c>
      <c r="I114" s="2" t="s">
        <v>1015</v>
      </c>
      <c r="J114" s="22" t="n">
        <v>43241</v>
      </c>
      <c r="K114" s="22" t="n">
        <v>43447</v>
      </c>
      <c r="L114" s="22" t="n">
        <v>43726.4880129977</v>
      </c>
      <c r="M114" s="2" t="s">
        <v>1016</v>
      </c>
      <c r="N114" s="2" t="s">
        <v>121</v>
      </c>
      <c r="O114" s="2"/>
      <c r="P114" s="2" t="s">
        <v>1017</v>
      </c>
      <c r="Q114" s="10" t="n">
        <v>12</v>
      </c>
      <c r="R114" s="10"/>
      <c r="S114" s="10"/>
      <c r="T114" s="2" t="s">
        <v>120</v>
      </c>
      <c r="U114" s="2"/>
      <c r="V114" s="2" t="s">
        <v>1029</v>
      </c>
      <c r="W114" s="2" t="s">
        <v>1030</v>
      </c>
      <c r="X114" s="7"/>
      <c r="Y114" s="2" t="str">
        <f aca="false">IF(X114&lt;&gt;"",X114,T114)</f>
        <v>Primary</v>
      </c>
      <c r="Z114" s="2" t="str">
        <f aca="false">IF(OR(Y114="Primary",Y114="Additional phase",Y114="Additional application on site",Y114="Replaces earlier",Y114="Extension of duration (parent not in CIS)"),"Yes","No")</f>
        <v>Yes</v>
      </c>
      <c r="AA114" s="2"/>
      <c r="AB114" s="2" t="n">
        <f aca="false">IF(L114="","",ROUND((Method!$B$4-L114)/30.44,0))</f>
        <v>84</v>
      </c>
      <c r="AC114" s="2" t="str">
        <f aca="false">IF(AB114="","No",IF(AB114&gt;Method!$B$5,"Yes","No"))</f>
        <v>Yes</v>
      </c>
      <c r="AD114" s="22" t="n">
        <f aca="false">IF(BJ114&lt;&gt;"",BJ114,IF(K114&lt;&gt;"",EDATE(K114,60),""))</f>
        <v>45312</v>
      </c>
      <c r="AE114" s="2" t="str">
        <f aca="false">IF(AND(AD114&lt;&gt;"",OR(G114="Permission Granted",G114="Commencement Expected",G114="Stalled or Suspended")),IF(AD114&lt;Method!$B$4,"Yes","No"),"No")</f>
        <v>No</v>
      </c>
      <c r="AF114" s="7"/>
      <c r="AG114" s="2" t="str">
        <f aca="false">IF(Z114="No","Not counted",IF(AF114="Lapsed or dead","Excluded",IF(AF114="Constrained","Constrained / uncertain",IF(AF114="Confirmed live",IF(G114="On Site","Committed",IF(G114="Part Complete","Committed",IF(G114="Contract Awarded","Committed Pre-Construction",IF(G114="Tender","Advanced Pre-Construction",IF(G114="Commencement Expected","Likely",IF(G114="Permission Granted","Potential",IF(G114="Stalled or Suspended","Constrained / uncertain",IF(G114="Complete","Delivered","Application Pipeline")))))))),IF(G114="Complete","Delivered",IF(AND(OR(G114="Permission Granted",G114="Commencement Expected"),OR(AC114="Yes",AE114="Yes")),"Constrained / uncertain",IF(G114="On Site","Committed",IF(G114="Part Complete","Committed",IF(G114="Contract Awarded","Committed Pre-Construction",IF(G114="Tender","Advanced Pre-Construction",IF(G114="Commencement Expected","Likely",IF(G114="Permission Granted","Potential",IF(G114="Stalled or Suspended","Constrained / uncertain",IF(G114="Complete","Delivered","Application Pipeline"))))))))))))))</f>
        <v>Delivered</v>
      </c>
      <c r="AH114" s="2" t="str">
        <f aca="false">IF(Z114="No","Relationship: "&amp;Y114,IF(AF114&lt;&gt;"","Analyst: "&amp;AF114,IF(G114="Complete","Complete",IF(AND(OR(G114="Permission Granted",G114="Commencement Expected"),AE114="Yes"),"Past expiry",IF(AND(OR(G114="Permission Granted",G114="Commencement Expected"),AC114="Yes"),"No CIS update in "&amp;AB114&amp;" months","As CIS")))))</f>
        <v>Complete</v>
      </c>
      <c r="AI114" s="10" t="n">
        <f aca="false">IF(Z114="Yes",N(Q114),0)</f>
        <v>12</v>
      </c>
      <c r="AJ114" s="10" t="n">
        <f aca="false">IF(OR(Z114="No",G114="Complete"),0,MAX(N(Q114)-N(AA114),0))</f>
        <v>0</v>
      </c>
      <c r="AK114" s="10" t="n">
        <f aca="false">IF(Z114="No",0,IF(G114="Complete",N(Q114),MIN(N(AA114),N(Q114))))</f>
        <v>12</v>
      </c>
      <c r="AL114" s="10" t="n">
        <f aca="false">IF(OR(OR(AG114="Not counted",AG114="Excluded",AG114="Delivered"),P114="Student accommodation"),0,AJ114)</f>
        <v>0</v>
      </c>
      <c r="AM114" s="10" t="n">
        <f aca="false">IF(OR(OR(AG114="Not counted",AG114="Excluded",AG114="Delivered"),P114&lt;&gt;"Student accommodation"),0,AJ114)</f>
        <v>0</v>
      </c>
      <c r="AN114" s="10" t="n">
        <f aca="false">IF(OR(AG114="Not counted",AG114="Excluded",AG114="Delivered"),0,N(S114))</f>
        <v>0</v>
      </c>
      <c r="AO114" s="2" t="s">
        <v>1021</v>
      </c>
      <c r="AP114" s="10"/>
      <c r="AQ114" s="10"/>
      <c r="AR114" s="10"/>
      <c r="AS114" s="10"/>
      <c r="AT114" s="10"/>
      <c r="AU114" s="10"/>
      <c r="AV114" s="10" t="n">
        <f aca="false">N(AP114)+N(AQ114)+N(AR114)+N(AS114)+N(AT114)+N(AU114)</f>
        <v>0</v>
      </c>
      <c r="AW114" s="10"/>
      <c r="AX114" s="10"/>
      <c r="AY114" s="10"/>
      <c r="AZ114" s="2"/>
      <c r="BA114" s="2" t="s">
        <v>1022</v>
      </c>
      <c r="BB114" s="2" t="s">
        <v>1409</v>
      </c>
      <c r="BC114" s="2" t="s">
        <v>1023</v>
      </c>
      <c r="BD114" s="2" t="s">
        <v>1024</v>
      </c>
      <c r="BE114" s="2"/>
      <c r="BF114" s="2" t="s">
        <v>1025</v>
      </c>
      <c r="BG114" s="22" t="n">
        <v>43447</v>
      </c>
      <c r="BH114" s="22" t="n">
        <v>45312</v>
      </c>
      <c r="BI114" s="2"/>
      <c r="BJ114" s="22" t="n">
        <v>45312</v>
      </c>
      <c r="BK114" s="2" t="n">
        <v>12</v>
      </c>
      <c r="BL114" s="2" t="n">
        <v>0</v>
      </c>
      <c r="BM114" s="2"/>
      <c r="BN114" s="2" t="s">
        <v>1410</v>
      </c>
      <c r="BO114" s="23" t="s">
        <v>1411</v>
      </c>
      <c r="BP114" s="2" t="n">
        <f aca="false">IF(OR(K114="",BG114=""),"",ROUND(BG114-K114,0))</f>
        <v>0</v>
      </c>
      <c r="BQ114" s="2" t="str">
        <f aca="false">IF(OR(N(BK114)=0,Q114=""),"Not recorded",IF(BK114=Q114,"Match","Differs"))</f>
        <v>Match</v>
      </c>
      <c r="BR114" s="2" t="str">
        <f aca="false">IF(N114="No","Excluded (non-residential)",IF(BF114="No reference","Unverified – no reference",IF(BF114="Not in council register","Unverified – not in register (Part 8 / other)",IF(OR(BF114="Refused",BF114="Refused on appeal",BF114="Withdrawn",BF114="Invalid",BF114="Quashed"),IF(OR(G114="Complete",G114="On Site",G114="Part Complete"),"Conflict – register not live but CIS says built","Conflict – not live in register"),IF(AND(G114="Plans Submitted",OR(BF114="Granted",BF114="Granted on appeal")),"Stage out of date – now granted",IF(AND(G114&lt;&gt;"Plans Submitted",OR(BF114="Pending",BF114="Under appeal")),"Check – register still pending",IF(N(BL114)&gt;Method!$B$7,"Check – location differs",IF(AND(BP114&lt;&gt;"",ABS(N(BP114))&gt;60),"Consistent – decision date differs","Consistent"))))))))</f>
        <v>Consistent</v>
      </c>
      <c r="BS114" s="2"/>
      <c r="BT114" s="2"/>
      <c r="BU114" s="2"/>
      <c r="BV114" s="2"/>
      <c r="BW114" s="2"/>
      <c r="BX114" s="2"/>
    </row>
    <row r="115" customFormat="false" ht="15" hidden="false" customHeight="false" outlineLevel="0" collapsed="false">
      <c r="A115" s="2" t="n">
        <v>997576</v>
      </c>
      <c r="B115" s="2" t="s">
        <v>635</v>
      </c>
      <c r="C115" s="2" t="s">
        <v>1412</v>
      </c>
      <c r="D115" s="2" t="s">
        <v>636</v>
      </c>
      <c r="E115" s="2" t="s">
        <v>637</v>
      </c>
      <c r="F115" s="2" t="s">
        <v>139</v>
      </c>
      <c r="G115" s="2" t="s">
        <v>251</v>
      </c>
      <c r="H115" s="2" t="s">
        <v>1014</v>
      </c>
      <c r="I115" s="2" t="s">
        <v>1015</v>
      </c>
      <c r="J115" s="22" t="n">
        <v>43271</v>
      </c>
      <c r="K115" s="22" t="n">
        <v>43320</v>
      </c>
      <c r="L115" s="22" t="n">
        <v>43551.4954026273</v>
      </c>
      <c r="M115" s="2" t="s">
        <v>1016</v>
      </c>
      <c r="N115" s="2" t="s">
        <v>121</v>
      </c>
      <c r="O115" s="2"/>
      <c r="P115" s="2" t="s">
        <v>1017</v>
      </c>
      <c r="Q115" s="10" t="n">
        <v>6</v>
      </c>
      <c r="R115" s="10"/>
      <c r="S115" s="10"/>
      <c r="T115" s="2" t="s">
        <v>122</v>
      </c>
      <c r="U115" s="2" t="s">
        <v>1413</v>
      </c>
      <c r="V115" s="2" t="s">
        <v>1019</v>
      </c>
      <c r="W115" s="2" t="s">
        <v>1020</v>
      </c>
      <c r="X115" s="7"/>
      <c r="Y115" s="2" t="str">
        <f aca="false">IF(X115&lt;&gt;"",X115,T115)</f>
        <v>Extension of duration (parent not in CIS)</v>
      </c>
      <c r="Z115" s="2" t="str">
        <f aca="false">IF(OR(Y115="Primary",Y115="Additional phase",Y115="Additional application on site",Y115="Replaces earlier",Y115="Extension of duration (parent not in CIS)"),"Yes","No")</f>
        <v>Yes</v>
      </c>
      <c r="AA115" s="2"/>
      <c r="AB115" s="2" t="n">
        <f aca="false">IF(L115="","",ROUND((Method!$B$4-L115)/30.44,0))</f>
        <v>90</v>
      </c>
      <c r="AC115" s="2" t="str">
        <f aca="false">IF(AB115="","No",IF(AB115&gt;Method!$B$5,"Yes","No"))</f>
        <v>Yes</v>
      </c>
      <c r="AD115" s="22" t="n">
        <f aca="false">IF(BJ115&lt;&gt;"",BJ115,IF(K115&lt;&gt;"",EDATE(K115,60),""))</f>
        <v>45059</v>
      </c>
      <c r="AE115" s="2" t="str">
        <f aca="false">IF(AND(AD115&lt;&gt;"",OR(G115="Permission Granted",G115="Commencement Expected",G115="Stalled or Suspended")),IF(AD115&lt;Method!$B$4,"Yes","No"),"No")</f>
        <v>No</v>
      </c>
      <c r="AF115" s="7"/>
      <c r="AG115" s="2" t="str">
        <f aca="false">IF(Z115="No","Not counted",IF(AF115="Lapsed or dead","Excluded",IF(AF115="Constrained","Constrained / uncertain",IF(AF115="Confirmed live",IF(G115="On Site","Committed",IF(G115="Part Complete","Committed",IF(G115="Contract Awarded","Committed Pre-Construction",IF(G115="Tender","Advanced Pre-Construction",IF(G115="Commencement Expected","Likely",IF(G115="Permission Granted","Potential",IF(G115="Stalled or Suspended","Constrained / uncertain",IF(G115="Complete","Delivered","Application Pipeline")))))))),IF(G115="Complete","Delivered",IF(AND(OR(G115="Permission Granted",G115="Commencement Expected"),OR(AC115="Yes",AE115="Yes")),"Constrained / uncertain",IF(G115="On Site","Committed",IF(G115="Part Complete","Committed",IF(G115="Contract Awarded","Committed Pre-Construction",IF(G115="Tender","Advanced Pre-Construction",IF(G115="Commencement Expected","Likely",IF(G115="Permission Granted","Potential",IF(G115="Stalled or Suspended","Constrained / uncertain",IF(G115="Complete","Delivered","Application Pipeline"))))))))))))))</f>
        <v>Delivered</v>
      </c>
      <c r="AH115" s="2" t="str">
        <f aca="false">IF(Z115="No","Relationship: "&amp;Y115,IF(AF115&lt;&gt;"","Analyst: "&amp;AF115,IF(G115="Complete","Complete",IF(AND(OR(G115="Permission Granted",G115="Commencement Expected"),AE115="Yes"),"Past expiry",IF(AND(OR(G115="Permission Granted",G115="Commencement Expected"),AC115="Yes"),"No CIS update in "&amp;AB115&amp;" months","As CIS")))))</f>
        <v>Complete</v>
      </c>
      <c r="AI115" s="10" t="n">
        <f aca="false">IF(Z115="Yes",N(Q115),0)</f>
        <v>6</v>
      </c>
      <c r="AJ115" s="10" t="n">
        <f aca="false">IF(OR(Z115="No",G115="Complete"),0,MAX(N(Q115)-N(AA115),0))</f>
        <v>0</v>
      </c>
      <c r="AK115" s="10" t="n">
        <f aca="false">IF(Z115="No",0,IF(G115="Complete",N(Q115),MIN(N(AA115),N(Q115))))</f>
        <v>6</v>
      </c>
      <c r="AL115" s="10" t="n">
        <f aca="false">IF(OR(OR(AG115="Not counted",AG115="Excluded",AG115="Delivered"),P115="Student accommodation"),0,AJ115)</f>
        <v>0</v>
      </c>
      <c r="AM115" s="10" t="n">
        <f aca="false">IF(OR(OR(AG115="Not counted",AG115="Excluded",AG115="Delivered"),P115&lt;&gt;"Student accommodation"),0,AJ115)</f>
        <v>0</v>
      </c>
      <c r="AN115" s="10" t="n">
        <f aca="false">IF(OR(AG115="Not counted",AG115="Excluded",AG115="Delivered"),0,N(S115))</f>
        <v>0</v>
      </c>
      <c r="AO115" s="2" t="s">
        <v>1021</v>
      </c>
      <c r="AP115" s="10"/>
      <c r="AQ115" s="10"/>
      <c r="AR115" s="10"/>
      <c r="AS115" s="10"/>
      <c r="AT115" s="10"/>
      <c r="AU115" s="10"/>
      <c r="AV115" s="10" t="n">
        <f aca="false">N(AP115)+N(AQ115)+N(AR115)+N(AS115)+N(AT115)+N(AU115)</f>
        <v>0</v>
      </c>
      <c r="AW115" s="10"/>
      <c r="AX115" s="10"/>
      <c r="AY115" s="10"/>
      <c r="AZ115" s="2"/>
      <c r="BA115" s="2" t="s">
        <v>1022</v>
      </c>
      <c r="BB115" s="2" t="s">
        <v>1412</v>
      </c>
      <c r="BC115" s="2" t="s">
        <v>1023</v>
      </c>
      <c r="BD115" s="2" t="s">
        <v>1024</v>
      </c>
      <c r="BE115" s="2"/>
      <c r="BF115" s="2" t="s">
        <v>1025</v>
      </c>
      <c r="BG115" s="22" t="n">
        <v>43320</v>
      </c>
      <c r="BH115" s="22" t="n">
        <v>45059</v>
      </c>
      <c r="BI115" s="2"/>
      <c r="BJ115" s="22" t="n">
        <v>45059</v>
      </c>
      <c r="BK115" s="2"/>
      <c r="BL115" s="2" t="n">
        <v>0</v>
      </c>
      <c r="BM115" s="2"/>
      <c r="BN115" s="2" t="s">
        <v>1414</v>
      </c>
      <c r="BO115" s="23" t="s">
        <v>1415</v>
      </c>
      <c r="BP115" s="2" t="n">
        <f aca="false">IF(OR(K115="",BG115=""),"",ROUND(BG115-K115,0))</f>
        <v>0</v>
      </c>
      <c r="BQ115" s="2" t="str">
        <f aca="false">IF(OR(N(BK115)=0,Q115=""),"Not recorded",IF(BK115=Q115,"Match","Differs"))</f>
        <v>Not recorded</v>
      </c>
      <c r="BR115" s="2" t="str">
        <f aca="false">IF(N115="No","Excluded (non-residential)",IF(BF115="No reference","Unverified – no reference",IF(BF115="Not in council register","Unverified – not in register (Part 8 / other)",IF(OR(BF115="Refused",BF115="Refused on appeal",BF115="Withdrawn",BF115="Invalid",BF115="Quashed"),IF(OR(G115="Complete",G115="On Site",G115="Part Complete"),"Conflict – register not live but CIS says built","Conflict – not live in register"),IF(AND(G115="Plans Submitted",OR(BF115="Granted",BF115="Granted on appeal")),"Stage out of date – now granted",IF(AND(G115&lt;&gt;"Plans Submitted",OR(BF115="Pending",BF115="Under appeal")),"Check – register still pending",IF(N(BL115)&gt;Method!$B$7,"Check – location differs",IF(AND(BP115&lt;&gt;"",ABS(N(BP115))&gt;60),"Consistent – decision date differs","Consistent"))))))))</f>
        <v>Consistent</v>
      </c>
      <c r="BS115" s="2"/>
      <c r="BT115" s="2"/>
      <c r="BU115" s="2"/>
      <c r="BV115" s="2"/>
      <c r="BW115" s="2"/>
      <c r="BX115" s="2"/>
    </row>
    <row r="116" customFormat="false" ht="15" hidden="false" customHeight="false" outlineLevel="0" collapsed="false">
      <c r="A116" s="2" t="n">
        <v>998747</v>
      </c>
      <c r="B116" s="2" t="s">
        <v>621</v>
      </c>
      <c r="C116" s="2" t="s">
        <v>1416</v>
      </c>
      <c r="D116" s="2" t="s">
        <v>622</v>
      </c>
      <c r="E116" s="2" t="s">
        <v>623</v>
      </c>
      <c r="F116" s="2" t="s">
        <v>144</v>
      </c>
      <c r="G116" s="2" t="s">
        <v>251</v>
      </c>
      <c r="H116" s="2" t="s">
        <v>1014</v>
      </c>
      <c r="I116" s="2" t="s">
        <v>1015</v>
      </c>
      <c r="J116" s="22" t="n">
        <v>43279</v>
      </c>
      <c r="K116" s="22" t="n">
        <v>43308</v>
      </c>
      <c r="L116" s="22" t="n">
        <v>43969.4367584491</v>
      </c>
      <c r="M116" s="2" t="s">
        <v>1016</v>
      </c>
      <c r="N116" s="2" t="s">
        <v>121</v>
      </c>
      <c r="O116" s="2"/>
      <c r="P116" s="2" t="s">
        <v>1017</v>
      </c>
      <c r="Q116" s="10" t="n">
        <v>43</v>
      </c>
      <c r="R116" s="10" t="n">
        <v>43</v>
      </c>
      <c r="S116" s="10"/>
      <c r="T116" s="2" t="s">
        <v>120</v>
      </c>
      <c r="U116" s="2"/>
      <c r="V116" s="2" t="s">
        <v>1029</v>
      </c>
      <c r="W116" s="2" t="s">
        <v>1030</v>
      </c>
      <c r="X116" s="7"/>
      <c r="Y116" s="2" t="str">
        <f aca="false">IF(X116&lt;&gt;"",X116,T116)</f>
        <v>Primary</v>
      </c>
      <c r="Z116" s="2" t="str">
        <f aca="false">IF(OR(Y116="Primary",Y116="Additional phase",Y116="Additional application on site",Y116="Replaces earlier",Y116="Extension of duration (parent not in CIS)"),"Yes","No")</f>
        <v>Yes</v>
      </c>
      <c r="AA116" s="2"/>
      <c r="AB116" s="2" t="n">
        <f aca="false">IF(L116="","",ROUND((Method!$B$4-L116)/30.44,0))</f>
        <v>76</v>
      </c>
      <c r="AC116" s="2" t="str">
        <f aca="false">IF(AB116="","No",IF(AB116&gt;Method!$B$5,"Yes","No"))</f>
        <v>Yes</v>
      </c>
      <c r="AD116" s="22" t="n">
        <f aca="false">IF(BJ116&lt;&gt;"",BJ116,IF(K116&lt;&gt;"",EDATE(K116,60),""))</f>
        <v>45134</v>
      </c>
      <c r="AE116" s="2" t="str">
        <f aca="false">IF(AND(AD116&lt;&gt;"",OR(G116="Permission Granted",G116="Commencement Expected",G116="Stalled or Suspended")),IF(AD116&lt;Method!$B$4,"Yes","No"),"No")</f>
        <v>No</v>
      </c>
      <c r="AF116" s="7"/>
      <c r="AG116" s="2" t="str">
        <f aca="false">IF(Z116="No","Not counted",IF(AF116="Lapsed or dead","Excluded",IF(AF116="Constrained","Constrained / uncertain",IF(AF116="Confirmed live",IF(G116="On Site","Committed",IF(G116="Part Complete","Committed",IF(G116="Contract Awarded","Committed Pre-Construction",IF(G116="Tender","Advanced Pre-Construction",IF(G116="Commencement Expected","Likely",IF(G116="Permission Granted","Potential",IF(G116="Stalled or Suspended","Constrained / uncertain",IF(G116="Complete","Delivered","Application Pipeline")))))))),IF(G116="Complete","Delivered",IF(AND(OR(G116="Permission Granted",G116="Commencement Expected"),OR(AC116="Yes",AE116="Yes")),"Constrained / uncertain",IF(G116="On Site","Committed",IF(G116="Part Complete","Committed",IF(G116="Contract Awarded","Committed Pre-Construction",IF(G116="Tender","Advanced Pre-Construction",IF(G116="Commencement Expected","Likely",IF(G116="Permission Granted","Potential",IF(G116="Stalled or Suspended","Constrained / uncertain",IF(G116="Complete","Delivered","Application Pipeline"))))))))))))))</f>
        <v>Delivered</v>
      </c>
      <c r="AH116" s="2" t="str">
        <f aca="false">IF(Z116="No","Relationship: "&amp;Y116,IF(AF116&lt;&gt;"","Analyst: "&amp;AF116,IF(G116="Complete","Complete",IF(AND(OR(G116="Permission Granted",G116="Commencement Expected"),AE116="Yes"),"Past expiry",IF(AND(OR(G116="Permission Granted",G116="Commencement Expected"),AC116="Yes"),"No CIS update in "&amp;AB116&amp;" months","As CIS")))))</f>
        <v>Complete</v>
      </c>
      <c r="AI116" s="10" t="n">
        <f aca="false">IF(Z116="Yes",N(Q116),0)</f>
        <v>43</v>
      </c>
      <c r="AJ116" s="10" t="n">
        <f aca="false">IF(OR(Z116="No",G116="Complete"),0,MAX(N(Q116)-N(AA116),0))</f>
        <v>0</v>
      </c>
      <c r="AK116" s="10" t="n">
        <f aca="false">IF(Z116="No",0,IF(G116="Complete",N(Q116),MIN(N(AA116),N(Q116))))</f>
        <v>43</v>
      </c>
      <c r="AL116" s="10" t="n">
        <f aca="false">IF(OR(OR(AG116="Not counted",AG116="Excluded",AG116="Delivered"),P116="Student accommodation"),0,AJ116)</f>
        <v>0</v>
      </c>
      <c r="AM116" s="10" t="n">
        <f aca="false">IF(OR(OR(AG116="Not counted",AG116="Excluded",AG116="Delivered"),P116&lt;&gt;"Student accommodation"),0,AJ116)</f>
        <v>0</v>
      </c>
      <c r="AN116" s="10" t="n">
        <f aca="false">IF(OR(AG116="Not counted",AG116="Excluded",AG116="Delivered"),0,N(S116))</f>
        <v>0</v>
      </c>
      <c r="AO116" s="2" t="s">
        <v>1031</v>
      </c>
      <c r="AP116" s="10"/>
      <c r="AQ116" s="10"/>
      <c r="AR116" s="10" t="n">
        <v>20</v>
      </c>
      <c r="AS116" s="10" t="n">
        <v>23</v>
      </c>
      <c r="AT116" s="10"/>
      <c r="AU116" s="10"/>
      <c r="AV116" s="10" t="n">
        <f aca="false">N(AP116)+N(AQ116)+N(AR116)+N(AS116)+N(AT116)+N(AU116)</f>
        <v>43</v>
      </c>
      <c r="AW116" s="10" t="n">
        <v>43</v>
      </c>
      <c r="AX116" s="10"/>
      <c r="AY116" s="10"/>
      <c r="AZ116" s="2"/>
      <c r="BA116" s="2" t="s">
        <v>1022</v>
      </c>
      <c r="BB116" s="2" t="s">
        <v>1416</v>
      </c>
      <c r="BC116" s="2" t="s">
        <v>1046</v>
      </c>
      <c r="BD116" s="2" t="s">
        <v>1024</v>
      </c>
      <c r="BE116" s="2"/>
      <c r="BF116" s="2" t="s">
        <v>1025</v>
      </c>
      <c r="BG116" s="22" t="n">
        <v>43355</v>
      </c>
      <c r="BH116" s="22"/>
      <c r="BI116" s="2"/>
      <c r="BJ116" s="22"/>
      <c r="BK116" s="2" t="n">
        <v>43</v>
      </c>
      <c r="BL116" s="2" t="n">
        <v>0</v>
      </c>
      <c r="BM116" s="2"/>
      <c r="BN116" s="2" t="s">
        <v>1417</v>
      </c>
      <c r="BO116" s="23" t="s">
        <v>1418</v>
      </c>
      <c r="BP116" s="2" t="n">
        <f aca="false">IF(OR(K116="",BG116=""),"",ROUND(BG116-K116,0))</f>
        <v>47</v>
      </c>
      <c r="BQ116" s="2" t="str">
        <f aca="false">IF(OR(N(BK116)=0,Q116=""),"Not recorded",IF(BK116=Q116,"Match","Differs"))</f>
        <v>Match</v>
      </c>
      <c r="BR116" s="2" t="str">
        <f aca="false">IF(N116="No","Excluded (non-residential)",IF(BF116="No reference","Unverified – no reference",IF(BF116="Not in council register","Unverified – not in register (Part 8 / other)",IF(OR(BF116="Refused",BF116="Refused on appeal",BF116="Withdrawn",BF116="Invalid",BF116="Quashed"),IF(OR(G116="Complete",G116="On Site",G116="Part Complete"),"Conflict – register not live but CIS says built","Conflict – not live in register"),IF(AND(G116="Plans Submitted",OR(BF116="Granted",BF116="Granted on appeal")),"Stage out of date – now granted",IF(AND(G116&lt;&gt;"Plans Submitted",OR(BF116="Pending",BF116="Under appeal")),"Check – register still pending",IF(N(BL116)&gt;Method!$B$7,"Check – location differs",IF(AND(BP116&lt;&gt;"",ABS(N(BP116))&gt;60),"Consistent – decision date differs","Consistent"))))))))</f>
        <v>Consistent</v>
      </c>
      <c r="BS116" s="2"/>
      <c r="BT116" s="2"/>
      <c r="BU116" s="2"/>
      <c r="BV116" s="2"/>
      <c r="BW116" s="2"/>
      <c r="BX116" s="2"/>
    </row>
    <row r="117" customFormat="false" ht="15" hidden="false" customHeight="false" outlineLevel="0" collapsed="false">
      <c r="A117" s="2" t="n">
        <v>999956</v>
      </c>
      <c r="B117" s="2" t="s">
        <v>429</v>
      </c>
      <c r="C117" s="2" t="s">
        <v>1419</v>
      </c>
      <c r="D117" s="2" t="s">
        <v>430</v>
      </c>
      <c r="E117" s="2" t="s">
        <v>431</v>
      </c>
      <c r="F117" s="2" t="s">
        <v>144</v>
      </c>
      <c r="G117" s="2" t="s">
        <v>251</v>
      </c>
      <c r="H117" s="2" t="s">
        <v>1014</v>
      </c>
      <c r="I117" s="2" t="s">
        <v>1015</v>
      </c>
      <c r="J117" s="22" t="n">
        <v>43286</v>
      </c>
      <c r="K117" s="22" t="n">
        <v>43360</v>
      </c>
      <c r="L117" s="22" t="n">
        <v>45646.5148470255</v>
      </c>
      <c r="M117" s="2" t="s">
        <v>1016</v>
      </c>
      <c r="N117" s="2" t="s">
        <v>121</v>
      </c>
      <c r="O117" s="2"/>
      <c r="P117" s="2" t="s">
        <v>1017</v>
      </c>
      <c r="Q117" s="10" t="n">
        <v>43</v>
      </c>
      <c r="R117" s="10" t="n">
        <v>43</v>
      </c>
      <c r="S117" s="10"/>
      <c r="T117" s="2" t="s">
        <v>120</v>
      </c>
      <c r="U117" s="2"/>
      <c r="V117" s="2" t="s">
        <v>1029</v>
      </c>
      <c r="W117" s="2" t="s">
        <v>1030</v>
      </c>
      <c r="X117" s="7"/>
      <c r="Y117" s="2" t="str">
        <f aca="false">IF(X117&lt;&gt;"",X117,T117)</f>
        <v>Primary</v>
      </c>
      <c r="Z117" s="2" t="str">
        <f aca="false">IF(OR(Y117="Primary",Y117="Additional phase",Y117="Additional application on site",Y117="Replaces earlier",Y117="Extension of duration (parent not in CIS)"),"Yes","No")</f>
        <v>Yes</v>
      </c>
      <c r="AA117" s="2"/>
      <c r="AB117" s="2" t="n">
        <f aca="false">IF(L117="","",ROUND((Method!$B$4-L117)/30.44,0))</f>
        <v>21</v>
      </c>
      <c r="AC117" s="2" t="str">
        <f aca="false">IF(AB117="","No",IF(AB117&gt;Method!$B$5,"Yes","No"))</f>
        <v>No</v>
      </c>
      <c r="AD117" s="22" t="n">
        <f aca="false">IF(BJ117&lt;&gt;"",BJ117,IF(K117&lt;&gt;"",EDATE(K117,60),""))</f>
        <v>45186</v>
      </c>
      <c r="AE117" s="2" t="str">
        <f aca="false">IF(AND(AD117&lt;&gt;"",OR(G117="Permission Granted",G117="Commencement Expected",G117="Stalled or Suspended")),IF(AD117&lt;Method!$B$4,"Yes","No"),"No")</f>
        <v>No</v>
      </c>
      <c r="AF117" s="7"/>
      <c r="AG117" s="2" t="str">
        <f aca="false">IF(Z117="No","Not counted",IF(AF117="Lapsed or dead","Excluded",IF(AF117="Constrained","Constrained / uncertain",IF(AF117="Confirmed live",IF(G117="On Site","Committed",IF(G117="Part Complete","Committed",IF(G117="Contract Awarded","Committed Pre-Construction",IF(G117="Tender","Advanced Pre-Construction",IF(G117="Commencement Expected","Likely",IF(G117="Permission Granted","Potential",IF(G117="Stalled or Suspended","Constrained / uncertain",IF(G117="Complete","Delivered","Application Pipeline")))))))),IF(G117="Complete","Delivered",IF(AND(OR(G117="Permission Granted",G117="Commencement Expected"),OR(AC117="Yes",AE117="Yes")),"Constrained / uncertain",IF(G117="On Site","Committed",IF(G117="Part Complete","Committed",IF(G117="Contract Awarded","Committed Pre-Construction",IF(G117="Tender","Advanced Pre-Construction",IF(G117="Commencement Expected","Likely",IF(G117="Permission Granted","Potential",IF(G117="Stalled or Suspended","Constrained / uncertain",IF(G117="Complete","Delivered","Application Pipeline"))))))))))))))</f>
        <v>Delivered</v>
      </c>
      <c r="AH117" s="2" t="str">
        <f aca="false">IF(Z117="No","Relationship: "&amp;Y117,IF(AF117&lt;&gt;"","Analyst: "&amp;AF117,IF(G117="Complete","Complete",IF(AND(OR(G117="Permission Granted",G117="Commencement Expected"),AE117="Yes"),"Past expiry",IF(AND(OR(G117="Permission Granted",G117="Commencement Expected"),AC117="Yes"),"No CIS update in "&amp;AB117&amp;" months","As CIS")))))</f>
        <v>Complete</v>
      </c>
      <c r="AI117" s="10" t="n">
        <f aca="false">IF(Z117="Yes",N(Q117),0)</f>
        <v>43</v>
      </c>
      <c r="AJ117" s="10" t="n">
        <f aca="false">IF(OR(Z117="No",G117="Complete"),0,MAX(N(Q117)-N(AA117),0))</f>
        <v>0</v>
      </c>
      <c r="AK117" s="10" t="n">
        <f aca="false">IF(Z117="No",0,IF(G117="Complete",N(Q117),MIN(N(AA117),N(Q117))))</f>
        <v>43</v>
      </c>
      <c r="AL117" s="10" t="n">
        <f aca="false">IF(OR(OR(AG117="Not counted",AG117="Excluded",AG117="Delivered"),P117="Student accommodation"),0,AJ117)</f>
        <v>0</v>
      </c>
      <c r="AM117" s="10" t="n">
        <f aca="false">IF(OR(OR(AG117="Not counted",AG117="Excluded",AG117="Delivered"),P117&lt;&gt;"Student accommodation"),0,AJ117)</f>
        <v>0</v>
      </c>
      <c r="AN117" s="10" t="n">
        <f aca="false">IF(OR(AG117="Not counted",AG117="Excluded",AG117="Delivered"),0,N(S117))</f>
        <v>0</v>
      </c>
      <c r="AO117" s="2" t="s">
        <v>1031</v>
      </c>
      <c r="AP117" s="10"/>
      <c r="AQ117" s="10" t="n">
        <v>3</v>
      </c>
      <c r="AR117" s="10" t="n">
        <v>19</v>
      </c>
      <c r="AS117" s="10" t="n">
        <v>17</v>
      </c>
      <c r="AT117" s="10" t="n">
        <v>4</v>
      </c>
      <c r="AU117" s="10"/>
      <c r="AV117" s="10" t="n">
        <f aca="false">N(AP117)+N(AQ117)+N(AR117)+N(AS117)+N(AT117)+N(AU117)</f>
        <v>43</v>
      </c>
      <c r="AW117" s="10" t="n">
        <v>21</v>
      </c>
      <c r="AX117" s="10"/>
      <c r="AY117" s="10" t="n">
        <v>22</v>
      </c>
      <c r="AZ117" s="2"/>
      <c r="BA117" s="2" t="s">
        <v>1022</v>
      </c>
      <c r="BB117" s="2" t="s">
        <v>1419</v>
      </c>
      <c r="BC117" s="2" t="s">
        <v>1046</v>
      </c>
      <c r="BD117" s="2" t="s">
        <v>1024</v>
      </c>
      <c r="BE117" s="2"/>
      <c r="BF117" s="2" t="s">
        <v>1025</v>
      </c>
      <c r="BG117" s="22" t="n">
        <v>43355</v>
      </c>
      <c r="BH117" s="22"/>
      <c r="BI117" s="2"/>
      <c r="BJ117" s="22"/>
      <c r="BK117" s="2" t="n">
        <v>43</v>
      </c>
      <c r="BL117" s="2" t="n">
        <v>0</v>
      </c>
      <c r="BM117" s="2"/>
      <c r="BN117" s="2" t="s">
        <v>1420</v>
      </c>
      <c r="BO117" s="23" t="s">
        <v>1421</v>
      </c>
      <c r="BP117" s="2" t="n">
        <f aca="false">IF(OR(K117="",BG117=""),"",ROUND(BG117-K117,0))</f>
        <v>-5</v>
      </c>
      <c r="BQ117" s="2" t="str">
        <f aca="false">IF(OR(N(BK117)=0,Q117=""),"Not recorded",IF(BK117=Q117,"Match","Differs"))</f>
        <v>Match</v>
      </c>
      <c r="BR117" s="2" t="str">
        <f aca="false">IF(N117="No","Excluded (non-residential)",IF(BF117="No reference","Unverified – no reference",IF(BF117="Not in council register","Unverified – not in register (Part 8 / other)",IF(OR(BF117="Refused",BF117="Refused on appeal",BF117="Withdrawn",BF117="Invalid",BF117="Quashed"),IF(OR(G117="Complete",G117="On Site",G117="Part Complete"),"Conflict – register not live but CIS says built","Conflict – not live in register"),IF(AND(G117="Plans Submitted",OR(BF117="Granted",BF117="Granted on appeal")),"Stage out of date – now granted",IF(AND(G117&lt;&gt;"Plans Submitted",OR(BF117="Pending",BF117="Under appeal")),"Check – register still pending",IF(N(BL117)&gt;Method!$B$7,"Check – location differs",IF(AND(BP117&lt;&gt;"",ABS(N(BP117))&gt;60),"Consistent – decision date differs","Consistent"))))))))</f>
        <v>Consistent</v>
      </c>
      <c r="BS117" s="2" t="n">
        <v>1817</v>
      </c>
      <c r="BT117" s="2" t="s">
        <v>1049</v>
      </c>
      <c r="BU117" s="2" t="s">
        <v>1050</v>
      </c>
      <c r="BV117" s="2" t="s">
        <v>1015</v>
      </c>
      <c r="BW117" s="2" t="s">
        <v>1147</v>
      </c>
      <c r="BX117" s="2" t="s">
        <v>1052</v>
      </c>
    </row>
    <row r="118" customFormat="false" ht="15" hidden="false" customHeight="false" outlineLevel="0" collapsed="false">
      <c r="A118" s="2" t="n">
        <v>999957</v>
      </c>
      <c r="B118" s="2" t="s">
        <v>618</v>
      </c>
      <c r="C118" s="2" t="s">
        <v>1422</v>
      </c>
      <c r="D118" s="2" t="s">
        <v>619</v>
      </c>
      <c r="E118" s="2" t="s">
        <v>620</v>
      </c>
      <c r="F118" s="2" t="s">
        <v>144</v>
      </c>
      <c r="G118" s="2" t="s">
        <v>251</v>
      </c>
      <c r="H118" s="2" t="s">
        <v>1014</v>
      </c>
      <c r="I118" s="2" t="s">
        <v>1015</v>
      </c>
      <c r="J118" s="22" t="n">
        <v>43290</v>
      </c>
      <c r="K118" s="22" t="n">
        <v>43742</v>
      </c>
      <c r="L118" s="22" t="n">
        <v>44020.5559545486</v>
      </c>
      <c r="M118" s="2" t="s">
        <v>1016</v>
      </c>
      <c r="N118" s="2" t="s">
        <v>121</v>
      </c>
      <c r="O118" s="2"/>
      <c r="P118" s="2" t="s">
        <v>1017</v>
      </c>
      <c r="Q118" s="10" t="n">
        <v>5</v>
      </c>
      <c r="R118" s="10" t="n">
        <v>5</v>
      </c>
      <c r="S118" s="10"/>
      <c r="T118" s="2" t="s">
        <v>120</v>
      </c>
      <c r="U118" s="2"/>
      <c r="V118" s="2" t="s">
        <v>1029</v>
      </c>
      <c r="W118" s="2" t="s">
        <v>1030</v>
      </c>
      <c r="X118" s="7"/>
      <c r="Y118" s="2" t="str">
        <f aca="false">IF(X118&lt;&gt;"",X118,T118)</f>
        <v>Primary</v>
      </c>
      <c r="Z118" s="2" t="str">
        <f aca="false">IF(OR(Y118="Primary",Y118="Additional phase",Y118="Additional application on site",Y118="Replaces earlier",Y118="Extension of duration (parent not in CIS)"),"Yes","No")</f>
        <v>Yes</v>
      </c>
      <c r="AA118" s="2"/>
      <c r="AB118" s="2" t="n">
        <f aca="false">IF(L118="","",ROUND((Method!$B$4-L118)/30.44,0))</f>
        <v>75</v>
      </c>
      <c r="AC118" s="2" t="str">
        <f aca="false">IF(AB118="","No",IF(AB118&gt;Method!$B$5,"Yes","No"))</f>
        <v>Yes</v>
      </c>
      <c r="AD118" s="22" t="n">
        <f aca="false">IF(BJ118&lt;&gt;"",BJ118,IF(K118&lt;&gt;"",EDATE(K118,60),""))</f>
        <v>45569</v>
      </c>
      <c r="AE118" s="2" t="str">
        <f aca="false">IF(AND(AD118&lt;&gt;"",OR(G118="Permission Granted",G118="Commencement Expected",G118="Stalled or Suspended")),IF(AD118&lt;Method!$B$4,"Yes","No"),"No")</f>
        <v>No</v>
      </c>
      <c r="AF118" s="7"/>
      <c r="AG118" s="2" t="str">
        <f aca="false">IF(Z118="No","Not counted",IF(AF118="Lapsed or dead","Excluded",IF(AF118="Constrained","Constrained / uncertain",IF(AF118="Confirmed live",IF(G118="On Site","Committed",IF(G118="Part Complete","Committed",IF(G118="Contract Awarded","Committed Pre-Construction",IF(G118="Tender","Advanced Pre-Construction",IF(G118="Commencement Expected","Likely",IF(G118="Permission Granted","Potential",IF(G118="Stalled or Suspended","Constrained / uncertain",IF(G118="Complete","Delivered","Application Pipeline")))))))),IF(G118="Complete","Delivered",IF(AND(OR(G118="Permission Granted",G118="Commencement Expected"),OR(AC118="Yes",AE118="Yes")),"Constrained / uncertain",IF(G118="On Site","Committed",IF(G118="Part Complete","Committed",IF(G118="Contract Awarded","Committed Pre-Construction",IF(G118="Tender","Advanced Pre-Construction",IF(G118="Commencement Expected","Likely",IF(G118="Permission Granted","Potential",IF(G118="Stalled or Suspended","Constrained / uncertain",IF(G118="Complete","Delivered","Application Pipeline"))))))))))))))</f>
        <v>Delivered</v>
      </c>
      <c r="AH118" s="2" t="str">
        <f aca="false">IF(Z118="No","Relationship: "&amp;Y118,IF(AF118&lt;&gt;"","Analyst: "&amp;AF118,IF(G118="Complete","Complete",IF(AND(OR(G118="Permission Granted",G118="Commencement Expected"),AE118="Yes"),"Past expiry",IF(AND(OR(G118="Permission Granted",G118="Commencement Expected"),AC118="Yes"),"No CIS update in "&amp;AB118&amp;" months","As CIS")))))</f>
        <v>Complete</v>
      </c>
      <c r="AI118" s="10" t="n">
        <f aca="false">IF(Z118="Yes",N(Q118),0)</f>
        <v>5</v>
      </c>
      <c r="AJ118" s="10" t="n">
        <f aca="false">IF(OR(Z118="No",G118="Complete"),0,MAX(N(Q118)-N(AA118),0))</f>
        <v>0</v>
      </c>
      <c r="AK118" s="10" t="n">
        <f aca="false">IF(Z118="No",0,IF(G118="Complete",N(Q118),MIN(N(AA118),N(Q118))))</f>
        <v>5</v>
      </c>
      <c r="AL118" s="10" t="n">
        <f aca="false">IF(OR(OR(AG118="Not counted",AG118="Excluded",AG118="Delivered"),P118="Student accommodation"),0,AJ118)</f>
        <v>0</v>
      </c>
      <c r="AM118" s="10" t="n">
        <f aca="false">IF(OR(OR(AG118="Not counted",AG118="Excluded",AG118="Delivered"),P118&lt;&gt;"Student accommodation"),0,AJ118)</f>
        <v>0</v>
      </c>
      <c r="AN118" s="10" t="n">
        <f aca="false">IF(OR(AG118="Not counted",AG118="Excluded",AG118="Delivered"),0,N(S118))</f>
        <v>0</v>
      </c>
      <c r="AO118" s="2" t="s">
        <v>1031</v>
      </c>
      <c r="AP118" s="10"/>
      <c r="AQ118" s="10"/>
      <c r="AR118" s="10" t="n">
        <v>2</v>
      </c>
      <c r="AS118" s="10" t="n">
        <v>2</v>
      </c>
      <c r="AT118" s="10" t="n">
        <v>1</v>
      </c>
      <c r="AU118" s="10"/>
      <c r="AV118" s="10" t="n">
        <f aca="false">N(AP118)+N(AQ118)+N(AR118)+N(AS118)+N(AT118)+N(AU118)</f>
        <v>5</v>
      </c>
      <c r="AW118" s="10"/>
      <c r="AX118" s="10"/>
      <c r="AY118" s="10" t="n">
        <v>5</v>
      </c>
      <c r="AZ118" s="2"/>
      <c r="BA118" s="2" t="s">
        <v>1022</v>
      </c>
      <c r="BB118" s="2" t="s">
        <v>1422</v>
      </c>
      <c r="BC118" s="2" t="s">
        <v>1046</v>
      </c>
      <c r="BD118" s="2" t="s">
        <v>1024</v>
      </c>
      <c r="BE118" s="2"/>
      <c r="BF118" s="2" t="s">
        <v>1025</v>
      </c>
      <c r="BG118" s="22" t="n">
        <v>43343</v>
      </c>
      <c r="BH118" s="22"/>
      <c r="BI118" s="2"/>
      <c r="BJ118" s="22"/>
      <c r="BK118" s="2" t="n">
        <v>5</v>
      </c>
      <c r="BL118" s="2" t="n">
        <v>0</v>
      </c>
      <c r="BM118" s="2"/>
      <c r="BN118" s="2" t="s">
        <v>1423</v>
      </c>
      <c r="BO118" s="23" t="s">
        <v>1424</v>
      </c>
      <c r="BP118" s="2" t="n">
        <f aca="false">IF(OR(K118="",BG118=""),"",ROUND(BG118-K118,0))</f>
        <v>-399</v>
      </c>
      <c r="BQ118" s="2" t="str">
        <f aca="false">IF(OR(N(BK118)=0,Q118=""),"Not recorded",IF(BK118=Q118,"Match","Differs"))</f>
        <v>Match</v>
      </c>
      <c r="BR118" s="2" t="str">
        <f aca="false">IF(N118="No","Excluded (non-residential)",IF(BF118="No reference","Unverified – no reference",IF(BF118="Not in council register","Unverified – not in register (Part 8 / other)",IF(OR(BF118="Refused",BF118="Refused on appeal",BF118="Withdrawn",BF118="Invalid",BF118="Quashed"),IF(OR(G118="Complete",G118="On Site",G118="Part Complete"),"Conflict – register not live but CIS says built","Conflict – not live in register"),IF(AND(G118="Plans Submitted",OR(BF118="Granted",BF118="Granted on appeal")),"Stage out of date – now granted",IF(AND(G118&lt;&gt;"Plans Submitted",OR(BF118="Pending",BF118="Under appeal")),"Check – register still pending",IF(N(BL118)&gt;Method!$B$7,"Check – location differs",IF(AND(BP118&lt;&gt;"",ABS(N(BP118))&gt;60),"Consistent – decision date differs","Consistent"))))))))</f>
        <v>Consistent – decision date differs</v>
      </c>
      <c r="BS118" s="2"/>
      <c r="BT118" s="2"/>
      <c r="BU118" s="2"/>
      <c r="BV118" s="2"/>
      <c r="BW118" s="2"/>
      <c r="BX118" s="2"/>
    </row>
    <row r="119" customFormat="false" ht="15" hidden="false" customHeight="false" outlineLevel="0" collapsed="false">
      <c r="A119" s="2" t="n">
        <v>999958</v>
      </c>
      <c r="B119" s="2" t="s">
        <v>603</v>
      </c>
      <c r="C119" s="2" t="s">
        <v>1425</v>
      </c>
      <c r="D119" s="2" t="s">
        <v>604</v>
      </c>
      <c r="E119" s="2" t="s">
        <v>605</v>
      </c>
      <c r="F119" s="2" t="s">
        <v>144</v>
      </c>
      <c r="G119" s="2" t="s">
        <v>251</v>
      </c>
      <c r="H119" s="2" t="s">
        <v>1014</v>
      </c>
      <c r="I119" s="2" t="s">
        <v>1015</v>
      </c>
      <c r="J119" s="22" t="n">
        <v>43290</v>
      </c>
      <c r="K119" s="22" t="n">
        <v>43353</v>
      </c>
      <c r="L119" s="22" t="n">
        <v>44251.4788386921</v>
      </c>
      <c r="M119" s="2" t="s">
        <v>1016</v>
      </c>
      <c r="N119" s="2" t="s">
        <v>121</v>
      </c>
      <c r="O119" s="2"/>
      <c r="P119" s="2" t="s">
        <v>1017</v>
      </c>
      <c r="Q119" s="10" t="n">
        <v>11</v>
      </c>
      <c r="R119" s="10" t="n">
        <v>11</v>
      </c>
      <c r="S119" s="10"/>
      <c r="T119" s="2" t="s">
        <v>120</v>
      </c>
      <c r="U119" s="2"/>
      <c r="V119" s="2" t="s">
        <v>1029</v>
      </c>
      <c r="W119" s="2" t="s">
        <v>1030</v>
      </c>
      <c r="X119" s="7"/>
      <c r="Y119" s="2" t="str">
        <f aca="false">IF(X119&lt;&gt;"",X119,T119)</f>
        <v>Primary</v>
      </c>
      <c r="Z119" s="2" t="str">
        <f aca="false">IF(OR(Y119="Primary",Y119="Additional phase",Y119="Additional application on site",Y119="Replaces earlier",Y119="Extension of duration (parent not in CIS)"),"Yes","No")</f>
        <v>Yes</v>
      </c>
      <c r="AA119" s="2"/>
      <c r="AB119" s="2" t="n">
        <f aca="false">IF(L119="","",ROUND((Method!$B$4-L119)/30.44,0))</f>
        <v>67</v>
      </c>
      <c r="AC119" s="2" t="str">
        <f aca="false">IF(AB119="","No",IF(AB119&gt;Method!$B$5,"Yes","No"))</f>
        <v>Yes</v>
      </c>
      <c r="AD119" s="22" t="n">
        <f aca="false">IF(BJ119&lt;&gt;"",BJ119,IF(K119&lt;&gt;"",EDATE(K119,60),""))</f>
        <v>45179</v>
      </c>
      <c r="AE119" s="2" t="str">
        <f aca="false">IF(AND(AD119&lt;&gt;"",OR(G119="Permission Granted",G119="Commencement Expected",G119="Stalled or Suspended")),IF(AD119&lt;Method!$B$4,"Yes","No"),"No")</f>
        <v>No</v>
      </c>
      <c r="AF119" s="7"/>
      <c r="AG119" s="2" t="str">
        <f aca="false">IF(Z119="No","Not counted",IF(AF119="Lapsed or dead","Excluded",IF(AF119="Constrained","Constrained / uncertain",IF(AF119="Confirmed live",IF(G119="On Site","Committed",IF(G119="Part Complete","Committed",IF(G119="Contract Awarded","Committed Pre-Construction",IF(G119="Tender","Advanced Pre-Construction",IF(G119="Commencement Expected","Likely",IF(G119="Permission Granted","Potential",IF(G119="Stalled or Suspended","Constrained / uncertain",IF(G119="Complete","Delivered","Application Pipeline")))))))),IF(G119="Complete","Delivered",IF(AND(OR(G119="Permission Granted",G119="Commencement Expected"),OR(AC119="Yes",AE119="Yes")),"Constrained / uncertain",IF(G119="On Site","Committed",IF(G119="Part Complete","Committed",IF(G119="Contract Awarded","Committed Pre-Construction",IF(G119="Tender","Advanced Pre-Construction",IF(G119="Commencement Expected","Likely",IF(G119="Permission Granted","Potential",IF(G119="Stalled or Suspended","Constrained / uncertain",IF(G119="Complete","Delivered","Application Pipeline"))))))))))))))</f>
        <v>Delivered</v>
      </c>
      <c r="AH119" s="2" t="str">
        <f aca="false">IF(Z119="No","Relationship: "&amp;Y119,IF(AF119&lt;&gt;"","Analyst: "&amp;AF119,IF(G119="Complete","Complete",IF(AND(OR(G119="Permission Granted",G119="Commencement Expected"),AE119="Yes"),"Past expiry",IF(AND(OR(G119="Permission Granted",G119="Commencement Expected"),AC119="Yes"),"No CIS update in "&amp;AB119&amp;" months","As CIS")))))</f>
        <v>Complete</v>
      </c>
      <c r="AI119" s="10" t="n">
        <f aca="false">IF(Z119="Yes",N(Q119),0)</f>
        <v>11</v>
      </c>
      <c r="AJ119" s="10" t="n">
        <f aca="false">IF(OR(Z119="No",G119="Complete"),0,MAX(N(Q119)-N(AA119),0))</f>
        <v>0</v>
      </c>
      <c r="AK119" s="10" t="n">
        <f aca="false">IF(Z119="No",0,IF(G119="Complete",N(Q119),MIN(N(AA119),N(Q119))))</f>
        <v>11</v>
      </c>
      <c r="AL119" s="10" t="n">
        <f aca="false">IF(OR(OR(AG119="Not counted",AG119="Excluded",AG119="Delivered"),P119="Student accommodation"),0,AJ119)</f>
        <v>0</v>
      </c>
      <c r="AM119" s="10" t="n">
        <f aca="false">IF(OR(OR(AG119="Not counted",AG119="Excluded",AG119="Delivered"),P119&lt;&gt;"Student accommodation"),0,AJ119)</f>
        <v>0</v>
      </c>
      <c r="AN119" s="10" t="n">
        <f aca="false">IF(OR(AG119="Not counted",AG119="Excluded",AG119="Delivered"),0,N(S119))</f>
        <v>0</v>
      </c>
      <c r="AO119" s="2" t="s">
        <v>1031</v>
      </c>
      <c r="AP119" s="10"/>
      <c r="AQ119" s="10" t="n">
        <v>1</v>
      </c>
      <c r="AR119" s="10" t="n">
        <v>4</v>
      </c>
      <c r="AS119" s="10" t="n">
        <v>6</v>
      </c>
      <c r="AT119" s="10"/>
      <c r="AU119" s="10"/>
      <c r="AV119" s="10" t="n">
        <f aca="false">N(AP119)+N(AQ119)+N(AR119)+N(AS119)+N(AT119)+N(AU119)</f>
        <v>11</v>
      </c>
      <c r="AW119" s="10"/>
      <c r="AX119" s="10"/>
      <c r="AY119" s="10" t="n">
        <v>11</v>
      </c>
      <c r="AZ119" s="2"/>
      <c r="BA119" s="2" t="s">
        <v>1022</v>
      </c>
      <c r="BB119" s="2" t="s">
        <v>1425</v>
      </c>
      <c r="BC119" s="2" t="s">
        <v>1046</v>
      </c>
      <c r="BD119" s="2" t="s">
        <v>1024</v>
      </c>
      <c r="BE119" s="2"/>
      <c r="BF119" s="2" t="s">
        <v>1025</v>
      </c>
      <c r="BG119" s="22" t="n">
        <v>43343</v>
      </c>
      <c r="BH119" s="22"/>
      <c r="BI119" s="2"/>
      <c r="BJ119" s="22"/>
      <c r="BK119" s="2" t="n">
        <v>11</v>
      </c>
      <c r="BL119" s="2" t="n">
        <v>0</v>
      </c>
      <c r="BM119" s="2"/>
      <c r="BN119" s="2" t="s">
        <v>1426</v>
      </c>
      <c r="BO119" s="23" t="s">
        <v>1427</v>
      </c>
      <c r="BP119" s="2" t="n">
        <f aca="false">IF(OR(K119="",BG119=""),"",ROUND(BG119-K119,0))</f>
        <v>-10</v>
      </c>
      <c r="BQ119" s="2" t="str">
        <f aca="false">IF(OR(N(BK119)=0,Q119=""),"Not recorded",IF(BK119=Q119,"Match","Differs"))</f>
        <v>Match</v>
      </c>
      <c r="BR119" s="2" t="str">
        <f aca="false">IF(N119="No","Excluded (non-residential)",IF(BF119="No reference","Unverified – no reference",IF(BF119="Not in council register","Unverified – not in register (Part 8 / other)",IF(OR(BF119="Refused",BF119="Refused on appeal",BF119="Withdrawn",BF119="Invalid",BF119="Quashed"),IF(OR(G119="Complete",G119="On Site",G119="Part Complete"),"Conflict – register not live but CIS says built","Conflict – not live in register"),IF(AND(G119="Plans Submitted",OR(BF119="Granted",BF119="Granted on appeal")),"Stage out of date – now granted",IF(AND(G119&lt;&gt;"Plans Submitted",OR(BF119="Pending",BF119="Under appeal")),"Check – register still pending",IF(N(BL119)&gt;Method!$B$7,"Check – location differs",IF(AND(BP119&lt;&gt;"",ABS(N(BP119))&gt;60),"Consistent – decision date differs","Consistent"))))))))</f>
        <v>Consistent</v>
      </c>
      <c r="BS119" s="2"/>
      <c r="BT119" s="2"/>
      <c r="BU119" s="2"/>
      <c r="BV119" s="2"/>
      <c r="BW119" s="2"/>
      <c r="BX119" s="2"/>
    </row>
    <row r="120" customFormat="false" ht="15" hidden="false" customHeight="false" outlineLevel="0" collapsed="false">
      <c r="A120" s="2" t="n">
        <v>971158</v>
      </c>
      <c r="B120" s="2" t="s">
        <v>297</v>
      </c>
      <c r="C120" s="2" t="s">
        <v>1428</v>
      </c>
      <c r="D120" s="2" t="s">
        <v>298</v>
      </c>
      <c r="E120" s="2" t="s">
        <v>299</v>
      </c>
      <c r="F120" s="2" t="s">
        <v>140</v>
      </c>
      <c r="G120" s="2" t="s">
        <v>187</v>
      </c>
      <c r="H120" s="2" t="s">
        <v>1014</v>
      </c>
      <c r="I120" s="2"/>
      <c r="J120" s="22" t="n">
        <v>43109</v>
      </c>
      <c r="K120" s="22" t="n">
        <v>43200</v>
      </c>
      <c r="L120" s="22" t="n">
        <v>43201.6932942477</v>
      </c>
      <c r="M120" s="2" t="s">
        <v>1016</v>
      </c>
      <c r="N120" s="2" t="s">
        <v>121</v>
      </c>
      <c r="O120" s="2"/>
      <c r="P120" s="2" t="s">
        <v>1017</v>
      </c>
      <c r="Q120" s="10" t="n">
        <v>0</v>
      </c>
      <c r="R120" s="10" t="n">
        <v>145</v>
      </c>
      <c r="S120" s="10"/>
      <c r="T120" s="2" t="s">
        <v>122</v>
      </c>
      <c r="U120" s="2" t="s">
        <v>1429</v>
      </c>
      <c r="V120" s="2" t="s">
        <v>1019</v>
      </c>
      <c r="W120" s="2" t="s">
        <v>1020</v>
      </c>
      <c r="X120" s="7"/>
      <c r="Y120" s="2" t="str">
        <f aca="false">IF(X120&lt;&gt;"",X120,T120)</f>
        <v>Extension of duration (parent not in CIS)</v>
      </c>
      <c r="Z120" s="2" t="str">
        <f aca="false">IF(OR(Y120="Primary",Y120="Additional phase",Y120="Additional application on site",Y120="Replaces earlier",Y120="Extension of duration (parent not in CIS)"),"Yes","No")</f>
        <v>Yes</v>
      </c>
      <c r="AA120" s="2"/>
      <c r="AB120" s="2" t="n">
        <f aca="false">IF(L120="","",ROUND((Method!$B$4-L120)/30.44,0))</f>
        <v>102</v>
      </c>
      <c r="AC120" s="2" t="str">
        <f aca="false">IF(AB120="","No",IF(AB120&gt;Method!$B$5,"Yes","No"))</f>
        <v>Yes</v>
      </c>
      <c r="AD120" s="22" t="n">
        <f aca="false">IF(BJ120&lt;&gt;"",BJ120,IF(K120&lt;&gt;"",EDATE(K120,60),""))</f>
        <v>47189</v>
      </c>
      <c r="AE120" s="2" t="str">
        <f aca="false">IF(AND(AD120&lt;&gt;"",OR(G120="Permission Granted",G120="Commencement Expected",G120="Stalled or Suspended")),IF(AD120&lt;Method!$B$4,"Yes","No"),"No")</f>
        <v>No</v>
      </c>
      <c r="AF120" s="7"/>
      <c r="AG120" s="2" t="str">
        <f aca="false">IF(Z120="No","Not counted",IF(AF120="Lapsed or dead","Excluded",IF(AF120="Constrained","Constrained / uncertain",IF(AF120="Confirmed live",IF(G120="On Site","Committed",IF(G120="Part Complete","Committed",IF(G120="Contract Awarded","Committed Pre-Construction",IF(G120="Tender","Advanced Pre-Construction",IF(G120="Commencement Expected","Likely",IF(G120="Permission Granted","Potential",IF(G120="Stalled or Suspended","Constrained / uncertain",IF(G120="Complete","Delivered","Application Pipeline")))))))),IF(G120="Complete","Delivered",IF(AND(OR(G120="Permission Granted",G120="Commencement Expected"),OR(AC120="Yes",AE120="Yes")),"Constrained / uncertain",IF(G120="On Site","Committed",IF(G120="Part Complete","Committed",IF(G120="Contract Awarded","Committed Pre-Construction",IF(G120="Tender","Advanced Pre-Construction",IF(G120="Commencement Expected","Likely",IF(G120="Permission Granted","Potential",IF(G120="Stalled or Suspended","Constrained / uncertain",IF(G120="Complete","Delivered","Application Pipeline"))))))))))))))</f>
        <v>Constrained / uncertain</v>
      </c>
      <c r="AH120" s="2" t="str">
        <f aca="false">IF(Z120="No","Relationship: "&amp;Y120,IF(AF120&lt;&gt;"","Analyst: "&amp;AF120,IF(G120="Complete","Complete",IF(AND(OR(G120="Permission Granted",G120="Commencement Expected"),AE120="Yes"),"Past expiry",IF(AND(OR(G120="Permission Granted",G120="Commencement Expected"),AC120="Yes"),"No CIS update in "&amp;AB120&amp;" months","As CIS")))))</f>
        <v>No CIS update in 102 months</v>
      </c>
      <c r="AI120" s="10" t="n">
        <f aca="false">IF(Z120="Yes",N(Q120),0)</f>
        <v>0</v>
      </c>
      <c r="AJ120" s="10" t="n">
        <f aca="false">IF(OR(Z120="No",G120="Complete"),0,MAX(N(Q120)-N(AA120),0))</f>
        <v>0</v>
      </c>
      <c r="AK120" s="10" t="n">
        <f aca="false">IF(Z120="No",0,IF(G120="Complete",N(Q120),MIN(N(AA120),N(Q120))))</f>
        <v>0</v>
      </c>
      <c r="AL120" s="10" t="n">
        <f aca="false">IF(OR(OR(AG120="Not counted",AG120="Excluded",AG120="Delivered"),P120="Student accommodation"),0,AJ120)</f>
        <v>0</v>
      </c>
      <c r="AM120" s="10" t="n">
        <f aca="false">IF(OR(OR(AG120="Not counted",AG120="Excluded",AG120="Delivered"),P120&lt;&gt;"Student accommodation"),0,AJ120)</f>
        <v>0</v>
      </c>
      <c r="AN120" s="10" t="n">
        <f aca="false">IF(OR(AG120="Not counted",AG120="Excluded",AG120="Delivered"),0,N(S120))</f>
        <v>0</v>
      </c>
      <c r="AO120" s="2" t="s">
        <v>1021</v>
      </c>
      <c r="AP120" s="10"/>
      <c r="AQ120" s="10"/>
      <c r="AR120" s="10"/>
      <c r="AS120" s="10"/>
      <c r="AT120" s="10"/>
      <c r="AU120" s="10"/>
      <c r="AV120" s="10" t="n">
        <f aca="false">N(AP120)+N(AQ120)+N(AR120)+N(AS120)+N(AT120)+N(AU120)</f>
        <v>0</v>
      </c>
      <c r="AW120" s="10"/>
      <c r="AX120" s="10"/>
      <c r="AY120" s="10"/>
      <c r="AZ120" s="2"/>
      <c r="BA120" s="2" t="s">
        <v>1022</v>
      </c>
      <c r="BB120" s="2" t="s">
        <v>1428</v>
      </c>
      <c r="BC120" s="2" t="s">
        <v>1023</v>
      </c>
      <c r="BD120" s="2" t="s">
        <v>1024</v>
      </c>
      <c r="BE120" s="2"/>
      <c r="BF120" s="2" t="s">
        <v>1025</v>
      </c>
      <c r="BG120" s="22" t="n">
        <v>43200</v>
      </c>
      <c r="BH120" s="22" t="n">
        <v>44561</v>
      </c>
      <c r="BI120" s="2" t="s">
        <v>1430</v>
      </c>
      <c r="BJ120" s="22" t="n">
        <v>47189</v>
      </c>
      <c r="BK120" s="2"/>
      <c r="BL120" s="2" t="n">
        <v>0</v>
      </c>
      <c r="BM120" s="2"/>
      <c r="BN120" s="2" t="s">
        <v>1431</v>
      </c>
      <c r="BO120" s="23" t="s">
        <v>1432</v>
      </c>
      <c r="BP120" s="2" t="n">
        <f aca="false">IF(OR(K120="",BG120=""),"",ROUND(BG120-K120,0))</f>
        <v>0</v>
      </c>
      <c r="BQ120" s="2" t="str">
        <f aca="false">IF(OR(N(BK120)=0,Q120=""),"Not recorded",IF(BK120=Q120,"Match","Differs"))</f>
        <v>Not recorded</v>
      </c>
      <c r="BR120" s="2" t="str">
        <f aca="false">IF(N120="No","Excluded (non-residential)",IF(BF120="No reference","Unverified – no reference",IF(BF120="Not in council register","Unverified – not in register (Part 8 / other)",IF(OR(BF120="Refused",BF120="Refused on appeal",BF120="Withdrawn",BF120="Invalid",BF120="Quashed"),IF(OR(G120="Complete",G120="On Site",G120="Part Complete"),"Conflict – register not live but CIS says built","Conflict – not live in register"),IF(AND(G120="Plans Submitted",OR(BF120="Granted",BF120="Granted on appeal")),"Stage out of date – now granted",IF(AND(G120&lt;&gt;"Plans Submitted",OR(BF120="Pending",BF120="Under appeal")),"Check – register still pending",IF(N(BL120)&gt;Method!$B$7,"Check – location differs",IF(AND(BP120&lt;&gt;"",ABS(N(BP120))&gt;60),"Consistent – decision date differs","Consistent"))))))))</f>
        <v>Consistent</v>
      </c>
      <c r="BS120" s="2"/>
      <c r="BT120" s="2"/>
      <c r="BU120" s="2"/>
      <c r="BV120" s="2"/>
      <c r="BW120" s="2"/>
      <c r="BX120" s="2"/>
    </row>
    <row r="121" customFormat="false" ht="15" hidden="false" customHeight="false" outlineLevel="0" collapsed="false">
      <c r="A121" s="2" t="n">
        <v>1131237</v>
      </c>
      <c r="B121" s="2" t="s">
        <v>297</v>
      </c>
      <c r="C121" s="2" t="s">
        <v>1433</v>
      </c>
      <c r="D121" s="2" t="s">
        <v>1434</v>
      </c>
      <c r="E121" s="2" t="s">
        <v>299</v>
      </c>
      <c r="F121" s="2" t="s">
        <v>140</v>
      </c>
      <c r="G121" s="2" t="s">
        <v>198</v>
      </c>
      <c r="H121" s="2" t="s">
        <v>1014</v>
      </c>
      <c r="I121" s="2" t="s">
        <v>198</v>
      </c>
      <c r="J121" s="22" t="n">
        <v>44134</v>
      </c>
      <c r="K121" s="22" t="n">
        <v>44309</v>
      </c>
      <c r="L121" s="22" t="n">
        <v>46128.4553390857</v>
      </c>
      <c r="M121" s="2" t="s">
        <v>1016</v>
      </c>
      <c r="N121" s="2" t="s">
        <v>121</v>
      </c>
      <c r="O121" s="2"/>
      <c r="P121" s="2" t="s">
        <v>1017</v>
      </c>
      <c r="Q121" s="10" t="n">
        <v>96</v>
      </c>
      <c r="R121" s="10" t="n">
        <v>96</v>
      </c>
      <c r="S121" s="10"/>
      <c r="T121" s="2" t="s">
        <v>30</v>
      </c>
      <c r="U121" s="2"/>
      <c r="V121" s="2" t="s">
        <v>1080</v>
      </c>
      <c r="W121" s="2" t="s">
        <v>1020</v>
      </c>
      <c r="X121" s="7"/>
      <c r="Y121" s="2" t="str">
        <f aca="false">IF(X121&lt;&gt;"",X121,T121)</f>
        <v>Additional application on site</v>
      </c>
      <c r="Z121" s="2" t="str">
        <f aca="false">IF(OR(Y121="Primary",Y121="Additional phase",Y121="Additional application on site",Y121="Replaces earlier",Y121="Extension of duration (parent not in CIS)"),"Yes","No")</f>
        <v>Yes</v>
      </c>
      <c r="AA121" s="2"/>
      <c r="AB121" s="2" t="n">
        <f aca="false">IF(L121="","",ROUND((Method!$B$4-L121)/30.44,0))</f>
        <v>5</v>
      </c>
      <c r="AC121" s="2" t="str">
        <f aca="false">IF(AB121="","No",IF(AB121&gt;Method!$B$5,"Yes","No"))</f>
        <v>No</v>
      </c>
      <c r="AD121" s="22" t="n">
        <f aca="false">IF(BJ121&lt;&gt;"",BJ121,IF(K121&lt;&gt;"",EDATE(K121,60),""))</f>
        <v>47308</v>
      </c>
      <c r="AE121" s="2" t="str">
        <f aca="false">IF(AND(AD121&lt;&gt;"",OR(G121="Permission Granted",G121="Commencement Expected",G121="Stalled or Suspended")),IF(AD121&lt;Method!$B$4,"Yes","No"),"No")</f>
        <v>No</v>
      </c>
      <c r="AF121" s="7"/>
      <c r="AG121" s="2" t="str">
        <f aca="false">IF(Z121="No","Not counted",IF(AF121="Lapsed or dead","Excluded",IF(AF121="Constrained","Constrained / uncertain",IF(AF121="Confirmed live",IF(G121="On Site","Committed",IF(G121="Part Complete","Committed",IF(G121="Contract Awarded","Committed Pre-Construction",IF(G121="Tender","Advanced Pre-Construction",IF(G121="Commencement Expected","Likely",IF(G121="Permission Granted","Potential",IF(G121="Stalled or Suspended","Constrained / uncertain",IF(G121="Complete","Delivered","Application Pipeline")))))))),IF(G121="Complete","Delivered",IF(AND(OR(G121="Permission Granted",G121="Commencement Expected"),OR(AC121="Yes",AE121="Yes")),"Constrained / uncertain",IF(G121="On Site","Committed",IF(G121="Part Complete","Committed",IF(G121="Contract Awarded","Committed Pre-Construction",IF(G121="Tender","Advanced Pre-Construction",IF(G121="Commencement Expected","Likely",IF(G121="Permission Granted","Potential",IF(G121="Stalled or Suspended","Constrained / uncertain",IF(G121="Complete","Delivered","Application Pipeline"))))))))))))))</f>
        <v>Committed</v>
      </c>
      <c r="AH121" s="2" t="str">
        <f aca="false">IF(Z121="No","Relationship: "&amp;Y121,IF(AF121&lt;&gt;"","Analyst: "&amp;AF121,IF(G121="Complete","Complete",IF(AND(OR(G121="Permission Granted",G121="Commencement Expected"),AE121="Yes"),"Past expiry",IF(AND(OR(G121="Permission Granted",G121="Commencement Expected"),AC121="Yes"),"No CIS update in "&amp;AB121&amp;" months","As CIS")))))</f>
        <v>As CIS</v>
      </c>
      <c r="AI121" s="10" t="n">
        <f aca="false">IF(Z121="Yes",N(Q121),0)</f>
        <v>96</v>
      </c>
      <c r="AJ121" s="10" t="n">
        <f aca="false">IF(OR(Z121="No",G121="Complete"),0,MAX(N(Q121)-N(AA121),0))</f>
        <v>96</v>
      </c>
      <c r="AK121" s="10" t="n">
        <f aca="false">IF(Z121="No",0,IF(G121="Complete",N(Q121),MIN(N(AA121),N(Q121))))</f>
        <v>0</v>
      </c>
      <c r="AL121" s="10" t="n">
        <f aca="false">IF(OR(OR(AG121="Not counted",AG121="Excluded",AG121="Delivered"),P121="Student accommodation"),0,AJ121)</f>
        <v>96</v>
      </c>
      <c r="AM121" s="10" t="n">
        <f aca="false">IF(OR(OR(AG121="Not counted",AG121="Excluded",AG121="Delivered"),P121&lt;&gt;"Student accommodation"),0,AJ121)</f>
        <v>0</v>
      </c>
      <c r="AN121" s="10" t="n">
        <f aca="false">IF(OR(AG121="Not counted",AG121="Excluded",AG121="Delivered"),0,N(S121))</f>
        <v>0</v>
      </c>
      <c r="AO121" s="2" t="s">
        <v>1031</v>
      </c>
      <c r="AP121" s="10"/>
      <c r="AQ121" s="10" t="n">
        <v>1</v>
      </c>
      <c r="AR121" s="10" t="n">
        <v>70</v>
      </c>
      <c r="AS121" s="10" t="n">
        <v>22</v>
      </c>
      <c r="AT121" s="10" t="n">
        <v>3</v>
      </c>
      <c r="AU121" s="10"/>
      <c r="AV121" s="10" t="n">
        <f aca="false">N(AP121)+N(AQ121)+N(AR121)+N(AS121)+N(AT121)+N(AU121)</f>
        <v>96</v>
      </c>
      <c r="AW121" s="10" t="n">
        <v>22</v>
      </c>
      <c r="AX121" s="10" t="n">
        <v>74</v>
      </c>
      <c r="AY121" s="10"/>
      <c r="AZ121" s="2"/>
      <c r="BA121" s="2" t="s">
        <v>1022</v>
      </c>
      <c r="BB121" s="2" t="s">
        <v>1433</v>
      </c>
      <c r="BC121" s="2" t="s">
        <v>1023</v>
      </c>
      <c r="BD121" s="2" t="s">
        <v>1024</v>
      </c>
      <c r="BE121" s="2"/>
      <c r="BF121" s="2" t="s">
        <v>1025</v>
      </c>
      <c r="BG121" s="22" t="n">
        <v>44309</v>
      </c>
      <c r="BH121" s="22" t="n">
        <v>46168</v>
      </c>
      <c r="BI121" s="2" t="s">
        <v>1435</v>
      </c>
      <c r="BJ121" s="22" t="n">
        <v>47308</v>
      </c>
      <c r="BK121" s="2" t="n">
        <v>22</v>
      </c>
      <c r="BL121" s="2" t="n">
        <v>0</v>
      </c>
      <c r="BM121" s="2"/>
      <c r="BN121" s="2" t="s">
        <v>1436</v>
      </c>
      <c r="BO121" s="23" t="s">
        <v>1437</v>
      </c>
      <c r="BP121" s="2" t="n">
        <f aca="false">IF(OR(K121="",BG121=""),"",ROUND(BG121-K121,0))</f>
        <v>0</v>
      </c>
      <c r="BQ121" s="2" t="str">
        <f aca="false">IF(OR(N(BK121)=0,Q121=""),"Not recorded",IF(BK121=Q121,"Match","Differs"))</f>
        <v>Differs</v>
      </c>
      <c r="BR121" s="2" t="str">
        <f aca="false">IF(N121="No","Excluded (non-residential)",IF(BF121="No reference","Unverified – no reference",IF(BF121="Not in council register","Unverified – not in register (Part 8 / other)",IF(OR(BF121="Refused",BF121="Refused on appeal",BF121="Withdrawn",BF121="Invalid",BF121="Quashed"),IF(OR(G121="Complete",G121="On Site",G121="Part Complete"),"Conflict – register not live but CIS says built","Conflict – not live in register"),IF(AND(G121="Plans Submitted",OR(BF121="Granted",BF121="Granted on appeal")),"Stage out of date – now granted",IF(AND(G121&lt;&gt;"Plans Submitted",OR(BF121="Pending",BF121="Under appeal")),"Check – register still pending",IF(N(BL121)&gt;Method!$B$7,"Check – location differs",IF(AND(BP121&lt;&gt;"",ABS(N(BP121))&gt;60),"Consistent – decision date differs","Consistent"))))))))</f>
        <v>Consistent</v>
      </c>
      <c r="BS121" s="2"/>
      <c r="BT121" s="2"/>
      <c r="BU121" s="2"/>
      <c r="BV121" s="2"/>
      <c r="BW121" s="2"/>
      <c r="BX121" s="2"/>
    </row>
    <row r="122" customFormat="false" ht="15" hidden="false" customHeight="false" outlineLevel="0" collapsed="false">
      <c r="A122" s="2" t="n">
        <v>1136132</v>
      </c>
      <c r="B122" s="2" t="s">
        <v>297</v>
      </c>
      <c r="C122" s="2" t="s">
        <v>1438</v>
      </c>
      <c r="D122" s="2" t="s">
        <v>1439</v>
      </c>
      <c r="E122" s="2" t="s">
        <v>299</v>
      </c>
      <c r="F122" s="2" t="s">
        <v>140</v>
      </c>
      <c r="G122" s="2" t="s">
        <v>194</v>
      </c>
      <c r="H122" s="2" t="s">
        <v>1014</v>
      </c>
      <c r="I122" s="2" t="s">
        <v>198</v>
      </c>
      <c r="J122" s="22" t="n">
        <v>44134</v>
      </c>
      <c r="K122" s="22" t="n">
        <v>44309</v>
      </c>
      <c r="L122" s="22" t="n">
        <v>44860.6581727662</v>
      </c>
      <c r="M122" s="2" t="s">
        <v>1016</v>
      </c>
      <c r="N122" s="2" t="s">
        <v>121</v>
      </c>
      <c r="O122" s="2"/>
      <c r="P122" s="2" t="s">
        <v>1017</v>
      </c>
      <c r="Q122" s="10" t="n">
        <v>96</v>
      </c>
      <c r="R122" s="10" t="n">
        <v>96</v>
      </c>
      <c r="S122" s="10"/>
      <c r="T122" s="2" t="s">
        <v>30</v>
      </c>
      <c r="U122" s="2"/>
      <c r="V122" s="2" t="s">
        <v>1080</v>
      </c>
      <c r="W122" s="2" t="s">
        <v>1020</v>
      </c>
      <c r="X122" s="7"/>
      <c r="Y122" s="2" t="str">
        <f aca="false">IF(X122&lt;&gt;"",X122,T122)</f>
        <v>Additional application on site</v>
      </c>
      <c r="Z122" s="2" t="str">
        <f aca="false">IF(OR(Y122="Primary",Y122="Additional phase",Y122="Additional application on site",Y122="Replaces earlier",Y122="Extension of duration (parent not in CIS)"),"Yes","No")</f>
        <v>Yes</v>
      </c>
      <c r="AA122" s="2"/>
      <c r="AB122" s="2" t="n">
        <f aca="false">IF(L122="","",ROUND((Method!$B$4-L122)/30.44,0))</f>
        <v>47</v>
      </c>
      <c r="AC122" s="2" t="str">
        <f aca="false">IF(AB122="","No",IF(AB122&gt;Method!$B$5,"Yes","No"))</f>
        <v>Yes</v>
      </c>
      <c r="AD122" s="22" t="n">
        <f aca="false">IF(BJ122&lt;&gt;"",BJ122,IF(K122&lt;&gt;"",EDATE(K122,60),""))</f>
        <v>46168</v>
      </c>
      <c r="AE122" s="2" t="str">
        <f aca="false">IF(AND(AD122&lt;&gt;"",OR(G122="Permission Granted",G122="Commencement Expected",G122="Stalled or Suspended")),IF(AD122&lt;Method!$B$4,"Yes","No"),"No")</f>
        <v>Yes</v>
      </c>
      <c r="AF122" s="7"/>
      <c r="AG122" s="2" t="str">
        <f aca="false">IF(Z122="No","Not counted",IF(AF122="Lapsed or dead","Excluded",IF(AF122="Constrained","Constrained / uncertain",IF(AF122="Confirmed live",IF(G122="On Site","Committed",IF(G122="Part Complete","Committed",IF(G122="Contract Awarded","Committed Pre-Construction",IF(G122="Tender","Advanced Pre-Construction",IF(G122="Commencement Expected","Likely",IF(G122="Permission Granted","Potential",IF(G122="Stalled or Suspended","Constrained / uncertain",IF(G122="Complete","Delivered","Application Pipeline")))))))),IF(G122="Complete","Delivered",IF(AND(OR(G122="Permission Granted",G122="Commencement Expected"),OR(AC122="Yes",AE122="Yes")),"Constrained / uncertain",IF(G122="On Site","Committed",IF(G122="Part Complete","Committed",IF(G122="Contract Awarded","Committed Pre-Construction",IF(G122="Tender","Advanced Pre-Construction",IF(G122="Commencement Expected","Likely",IF(G122="Permission Granted","Potential",IF(G122="Stalled or Suspended","Constrained / uncertain",IF(G122="Complete","Delivered","Application Pipeline"))))))))))))))</f>
        <v>Constrained / uncertain</v>
      </c>
      <c r="AH122" s="2" t="str">
        <f aca="false">IF(Z122="No","Relationship: "&amp;Y122,IF(AF122&lt;&gt;"","Analyst: "&amp;AF122,IF(G122="Complete","Complete",IF(AND(OR(G122="Permission Granted",G122="Commencement Expected"),AE122="Yes"),"Past expiry",IF(AND(OR(G122="Permission Granted",G122="Commencement Expected"),AC122="Yes"),"No CIS update in "&amp;AB122&amp;" months","As CIS")))))</f>
        <v>Past expiry</v>
      </c>
      <c r="AI122" s="10" t="n">
        <f aca="false">IF(Z122="Yes",N(Q122),0)</f>
        <v>96</v>
      </c>
      <c r="AJ122" s="10" t="n">
        <f aca="false">IF(OR(Z122="No",G122="Complete"),0,MAX(N(Q122)-N(AA122),0))</f>
        <v>96</v>
      </c>
      <c r="AK122" s="10" t="n">
        <f aca="false">IF(Z122="No",0,IF(G122="Complete",N(Q122),MIN(N(AA122),N(Q122))))</f>
        <v>0</v>
      </c>
      <c r="AL122" s="10" t="n">
        <f aca="false">IF(OR(OR(AG122="Not counted",AG122="Excluded",AG122="Delivered"),P122="Student accommodation"),0,AJ122)</f>
        <v>96</v>
      </c>
      <c r="AM122" s="10" t="n">
        <f aca="false">IF(OR(OR(AG122="Not counted",AG122="Excluded",AG122="Delivered"),P122&lt;&gt;"Student accommodation"),0,AJ122)</f>
        <v>0</v>
      </c>
      <c r="AN122" s="10" t="n">
        <f aca="false">IF(OR(AG122="Not counted",AG122="Excluded",AG122="Delivered"),0,N(S122))</f>
        <v>0</v>
      </c>
      <c r="AO122" s="2" t="s">
        <v>1031</v>
      </c>
      <c r="AP122" s="10"/>
      <c r="AQ122" s="10" t="n">
        <v>4</v>
      </c>
      <c r="AR122" s="10" t="n">
        <v>30</v>
      </c>
      <c r="AS122" s="10" t="n">
        <v>40</v>
      </c>
      <c r="AT122" s="10" t="n">
        <v>22</v>
      </c>
      <c r="AU122" s="10"/>
      <c r="AV122" s="10" t="n">
        <f aca="false">N(AP122)+N(AQ122)+N(AR122)+N(AS122)+N(AT122)+N(AU122)</f>
        <v>96</v>
      </c>
      <c r="AW122" s="10" t="n">
        <v>75</v>
      </c>
      <c r="AX122" s="10" t="n">
        <v>21</v>
      </c>
      <c r="AY122" s="10"/>
      <c r="AZ122" s="2"/>
      <c r="BA122" s="2" t="s">
        <v>1022</v>
      </c>
      <c r="BB122" s="2" t="s">
        <v>1438</v>
      </c>
      <c r="BC122" s="2" t="s">
        <v>1023</v>
      </c>
      <c r="BD122" s="2" t="s">
        <v>1024</v>
      </c>
      <c r="BE122" s="2"/>
      <c r="BF122" s="2" t="s">
        <v>1025</v>
      </c>
      <c r="BG122" s="22" t="n">
        <v>44309</v>
      </c>
      <c r="BH122" s="22" t="n">
        <v>46168</v>
      </c>
      <c r="BI122" s="2"/>
      <c r="BJ122" s="22" t="n">
        <v>46168</v>
      </c>
      <c r="BK122" s="2" t="n">
        <v>75</v>
      </c>
      <c r="BL122" s="2" t="n">
        <v>0</v>
      </c>
      <c r="BM122" s="2"/>
      <c r="BN122" s="2" t="s">
        <v>1440</v>
      </c>
      <c r="BO122" s="23" t="s">
        <v>1441</v>
      </c>
      <c r="BP122" s="2" t="n">
        <f aca="false">IF(OR(K122="",BG122=""),"",ROUND(BG122-K122,0))</f>
        <v>0</v>
      </c>
      <c r="BQ122" s="2" t="str">
        <f aca="false">IF(OR(N(BK122)=0,Q122=""),"Not recorded",IF(BK122=Q122,"Match","Differs"))</f>
        <v>Differs</v>
      </c>
      <c r="BR122" s="2" t="str">
        <f aca="false">IF(N122="No","Excluded (non-residential)",IF(BF122="No reference","Unverified – no reference",IF(BF122="Not in council register","Unverified – not in register (Part 8 / other)",IF(OR(BF122="Refused",BF122="Refused on appeal",BF122="Withdrawn",BF122="Invalid",BF122="Quashed"),IF(OR(G122="Complete",G122="On Site",G122="Part Complete"),"Conflict – register not live but CIS says built","Conflict – not live in register"),IF(AND(G122="Plans Submitted",OR(BF122="Granted",BF122="Granted on appeal")),"Stage out of date – now granted",IF(AND(G122&lt;&gt;"Plans Submitted",OR(BF122="Pending",BF122="Under appeal")),"Check – register still pending",IF(N(BL122)&gt;Method!$B$7,"Check – location differs",IF(AND(BP122&lt;&gt;"",ABS(N(BP122))&gt;60),"Consistent – decision date differs","Consistent"))))))))</f>
        <v>Consistent</v>
      </c>
      <c r="BS122" s="2"/>
      <c r="BT122" s="2"/>
      <c r="BU122" s="2"/>
      <c r="BV122" s="2"/>
      <c r="BW122" s="2"/>
      <c r="BX122" s="2"/>
    </row>
    <row r="123" customFormat="false" ht="15" hidden="false" customHeight="false" outlineLevel="0" collapsed="false">
      <c r="A123" s="2" t="n">
        <v>973082</v>
      </c>
      <c r="B123" s="2" t="s">
        <v>285</v>
      </c>
      <c r="C123" s="2" t="s">
        <v>1442</v>
      </c>
      <c r="D123" s="2" t="s">
        <v>286</v>
      </c>
      <c r="E123" s="2" t="s">
        <v>287</v>
      </c>
      <c r="F123" s="2" t="s">
        <v>139</v>
      </c>
      <c r="G123" s="2" t="s">
        <v>194</v>
      </c>
      <c r="H123" s="2" t="s">
        <v>1014</v>
      </c>
      <c r="I123" s="2" t="s">
        <v>1015</v>
      </c>
      <c r="J123" s="22" t="n">
        <v>43123</v>
      </c>
      <c r="K123" s="22" t="n">
        <v>43251</v>
      </c>
      <c r="L123" s="22" t="n">
        <v>44818.3765469097</v>
      </c>
      <c r="M123" s="2" t="s">
        <v>1016</v>
      </c>
      <c r="N123" s="2" t="s">
        <v>121</v>
      </c>
      <c r="O123" s="2"/>
      <c r="P123" s="2" t="s">
        <v>1017</v>
      </c>
      <c r="Q123" s="10" t="n">
        <v>32</v>
      </c>
      <c r="R123" s="10" t="n">
        <v>31</v>
      </c>
      <c r="S123" s="10"/>
      <c r="T123" s="2" t="s">
        <v>120</v>
      </c>
      <c r="U123" s="2"/>
      <c r="V123" s="2" t="s">
        <v>1029</v>
      </c>
      <c r="W123" s="2" t="s">
        <v>1030</v>
      </c>
      <c r="X123" s="7"/>
      <c r="Y123" s="2" t="str">
        <f aca="false">IF(X123&lt;&gt;"",X123,T123)</f>
        <v>Primary</v>
      </c>
      <c r="Z123" s="2" t="str">
        <f aca="false">IF(OR(Y123="Primary",Y123="Additional phase",Y123="Additional application on site",Y123="Replaces earlier",Y123="Extension of duration (parent not in CIS)"),"Yes","No")</f>
        <v>Yes</v>
      </c>
      <c r="AA123" s="2"/>
      <c r="AB123" s="2" t="n">
        <f aca="false">IF(L123="","",ROUND((Method!$B$4-L123)/30.44,0))</f>
        <v>48</v>
      </c>
      <c r="AC123" s="2" t="str">
        <f aca="false">IF(AB123="","No",IF(AB123&gt;Method!$B$5,"Yes","No"))</f>
        <v>Yes</v>
      </c>
      <c r="AD123" s="22" t="n">
        <f aca="false">IF(BJ123&lt;&gt;"",BJ123,IF(K123&lt;&gt;"",EDATE(K123,60),""))</f>
        <v>45110</v>
      </c>
      <c r="AE123" s="2" t="str">
        <f aca="false">IF(AND(AD123&lt;&gt;"",OR(G123="Permission Granted",G123="Commencement Expected",G123="Stalled or Suspended")),IF(AD123&lt;Method!$B$4,"Yes","No"),"No")</f>
        <v>Yes</v>
      </c>
      <c r="AF123" s="7"/>
      <c r="AG123" s="2" t="str">
        <f aca="false">IF(Z123="No","Not counted",IF(AF123="Lapsed or dead","Excluded",IF(AF123="Constrained","Constrained / uncertain",IF(AF123="Confirmed live",IF(G123="On Site","Committed",IF(G123="Part Complete","Committed",IF(G123="Contract Awarded","Committed Pre-Construction",IF(G123="Tender","Advanced Pre-Construction",IF(G123="Commencement Expected","Likely",IF(G123="Permission Granted","Potential",IF(G123="Stalled or Suspended","Constrained / uncertain",IF(G123="Complete","Delivered","Application Pipeline")))))))),IF(G123="Complete","Delivered",IF(AND(OR(G123="Permission Granted",G123="Commencement Expected"),OR(AC123="Yes",AE123="Yes")),"Constrained / uncertain",IF(G123="On Site","Committed",IF(G123="Part Complete","Committed",IF(G123="Contract Awarded","Committed Pre-Construction",IF(G123="Tender","Advanced Pre-Construction",IF(G123="Commencement Expected","Likely",IF(G123="Permission Granted","Potential",IF(G123="Stalled or Suspended","Constrained / uncertain",IF(G123="Complete","Delivered","Application Pipeline"))))))))))))))</f>
        <v>Constrained / uncertain</v>
      </c>
      <c r="AH123" s="2" t="str">
        <f aca="false">IF(Z123="No","Relationship: "&amp;Y123,IF(AF123&lt;&gt;"","Analyst: "&amp;AF123,IF(G123="Complete","Complete",IF(AND(OR(G123="Permission Granted",G123="Commencement Expected"),AE123="Yes"),"Past expiry",IF(AND(OR(G123="Permission Granted",G123="Commencement Expected"),AC123="Yes"),"No CIS update in "&amp;AB123&amp;" months","As CIS")))))</f>
        <v>Past expiry</v>
      </c>
      <c r="AI123" s="10" t="n">
        <f aca="false">IF(Z123="Yes",N(Q123),0)</f>
        <v>32</v>
      </c>
      <c r="AJ123" s="10" t="n">
        <f aca="false">IF(OR(Z123="No",G123="Complete"),0,MAX(N(Q123)-N(AA123),0))</f>
        <v>32</v>
      </c>
      <c r="AK123" s="10" t="n">
        <f aca="false">IF(Z123="No",0,IF(G123="Complete",N(Q123),MIN(N(AA123),N(Q123))))</f>
        <v>0</v>
      </c>
      <c r="AL123" s="10" t="n">
        <f aca="false">IF(OR(OR(AG123="Not counted",AG123="Excluded",AG123="Delivered"),P123="Student accommodation"),0,AJ123)</f>
        <v>32</v>
      </c>
      <c r="AM123" s="10" t="n">
        <f aca="false">IF(OR(OR(AG123="Not counted",AG123="Excluded",AG123="Delivered"),P123&lt;&gt;"Student accommodation"),0,AJ123)</f>
        <v>0</v>
      </c>
      <c r="AN123" s="10" t="n">
        <f aca="false">IF(OR(AG123="Not counted",AG123="Excluded",AG123="Delivered"),0,N(S123))</f>
        <v>0</v>
      </c>
      <c r="AO123" s="2" t="s">
        <v>1021</v>
      </c>
      <c r="AP123" s="10"/>
      <c r="AQ123" s="10"/>
      <c r="AR123" s="10"/>
      <c r="AS123" s="10"/>
      <c r="AT123" s="10"/>
      <c r="AU123" s="10"/>
      <c r="AV123" s="10" t="n">
        <f aca="false">N(AP123)+N(AQ123)+N(AR123)+N(AS123)+N(AT123)+N(AU123)</f>
        <v>0</v>
      </c>
      <c r="AW123" s="10"/>
      <c r="AX123" s="10"/>
      <c r="AY123" s="10"/>
      <c r="AZ123" s="2"/>
      <c r="BA123" s="2" t="s">
        <v>1022</v>
      </c>
      <c r="BB123" s="2" t="s">
        <v>1442</v>
      </c>
      <c r="BC123" s="2" t="s">
        <v>1023</v>
      </c>
      <c r="BD123" s="2" t="s">
        <v>1024</v>
      </c>
      <c r="BE123" s="2"/>
      <c r="BF123" s="2" t="s">
        <v>1025</v>
      </c>
      <c r="BG123" s="22" t="n">
        <v>43251</v>
      </c>
      <c r="BH123" s="22" t="n">
        <v>45110</v>
      </c>
      <c r="BI123" s="2"/>
      <c r="BJ123" s="22" t="n">
        <v>45110</v>
      </c>
      <c r="BK123" s="2" t="n">
        <v>31</v>
      </c>
      <c r="BL123" s="2" t="n">
        <v>0</v>
      </c>
      <c r="BM123" s="2"/>
      <c r="BN123" s="2" t="s">
        <v>1443</v>
      </c>
      <c r="BO123" s="23" t="s">
        <v>1444</v>
      </c>
      <c r="BP123" s="2" t="n">
        <f aca="false">IF(OR(K123="",BG123=""),"",ROUND(BG123-K123,0))</f>
        <v>0</v>
      </c>
      <c r="BQ123" s="2" t="str">
        <f aca="false">IF(OR(N(BK123)=0,Q123=""),"Not recorded",IF(BK123=Q123,"Match","Differs"))</f>
        <v>Differs</v>
      </c>
      <c r="BR123" s="2" t="str">
        <f aca="false">IF(N123="No","Excluded (non-residential)",IF(BF123="No reference","Unverified – no reference",IF(BF123="Not in council register","Unverified – not in register (Part 8 / other)",IF(OR(BF123="Refused",BF123="Refused on appeal",BF123="Withdrawn",BF123="Invalid",BF123="Quashed"),IF(OR(G123="Complete",G123="On Site",G123="Part Complete"),"Conflict – register not live but CIS says built","Conflict – not live in register"),IF(AND(G123="Plans Submitted",OR(BF123="Granted",BF123="Granted on appeal")),"Stage out of date – now granted",IF(AND(G123&lt;&gt;"Plans Submitted",OR(BF123="Pending",BF123="Under appeal")),"Check – register still pending",IF(N(BL123)&gt;Method!$B$7,"Check – location differs",IF(AND(BP123&lt;&gt;"",ABS(N(BP123))&gt;60),"Consistent – decision date differs","Consistent"))))))))</f>
        <v>Consistent</v>
      </c>
      <c r="BS123" s="2"/>
      <c r="BT123" s="2"/>
      <c r="BU123" s="2"/>
      <c r="BV123" s="2"/>
      <c r="BW123" s="2"/>
      <c r="BX123" s="2"/>
    </row>
    <row r="124" customFormat="false" ht="15" hidden="false" customHeight="false" outlineLevel="0" collapsed="false">
      <c r="A124" s="2" t="n">
        <v>1025908</v>
      </c>
      <c r="B124" s="2" t="s">
        <v>285</v>
      </c>
      <c r="C124" s="2" t="s">
        <v>1445</v>
      </c>
      <c r="D124" s="2" t="s">
        <v>1446</v>
      </c>
      <c r="E124" s="2" t="s">
        <v>287</v>
      </c>
      <c r="F124" s="2" t="s">
        <v>139</v>
      </c>
      <c r="G124" s="2" t="s">
        <v>198</v>
      </c>
      <c r="H124" s="2" t="s">
        <v>1014</v>
      </c>
      <c r="I124" s="2" t="s">
        <v>198</v>
      </c>
      <c r="J124" s="22" t="n">
        <v>43455</v>
      </c>
      <c r="K124" s="22" t="n">
        <v>43790</v>
      </c>
      <c r="L124" s="22" t="n">
        <v>44846.5994985764</v>
      </c>
      <c r="M124" s="2" t="s">
        <v>1016</v>
      </c>
      <c r="N124" s="2" t="s">
        <v>121</v>
      </c>
      <c r="O124" s="2"/>
      <c r="P124" s="2" t="s">
        <v>1017</v>
      </c>
      <c r="Q124" s="10" t="n">
        <v>3</v>
      </c>
      <c r="R124" s="10" t="n">
        <v>3</v>
      </c>
      <c r="S124" s="10"/>
      <c r="T124" s="2" t="s">
        <v>32</v>
      </c>
      <c r="U124" s="2"/>
      <c r="V124" s="2" t="s">
        <v>1447</v>
      </c>
      <c r="W124" s="2" t="s">
        <v>1030</v>
      </c>
      <c r="X124" s="7"/>
      <c r="Y124" s="2" t="str">
        <f aca="false">IF(X124&lt;&gt;"",X124,T124)</f>
        <v>Not live</v>
      </c>
      <c r="Z124" s="2" t="str">
        <f aca="false">IF(OR(Y124="Primary",Y124="Additional phase",Y124="Additional application on site",Y124="Replaces earlier",Y124="Extension of duration (parent not in CIS)"),"Yes","No")</f>
        <v>No</v>
      </c>
      <c r="AA124" s="2"/>
      <c r="AB124" s="2" t="n">
        <f aca="false">IF(L124="","",ROUND((Method!$B$4-L124)/30.44,0))</f>
        <v>48</v>
      </c>
      <c r="AC124" s="2" t="str">
        <f aca="false">IF(AB124="","No",IF(AB124&gt;Method!$B$5,"Yes","No"))</f>
        <v>Yes</v>
      </c>
      <c r="AD124" s="22" t="n">
        <f aca="false">IF(BJ124&lt;&gt;"",BJ124,IF(K124&lt;&gt;"",EDATE(K124,60),""))</f>
        <v>45617</v>
      </c>
      <c r="AE124" s="2" t="str">
        <f aca="false">IF(AND(AD124&lt;&gt;"",OR(G124="Permission Granted",G124="Commencement Expected",G124="Stalled or Suspended")),IF(AD124&lt;Method!$B$4,"Yes","No"),"No")</f>
        <v>No</v>
      </c>
      <c r="AF124" s="7"/>
      <c r="AG124" s="2" t="str">
        <f aca="false">IF(Z124="No","Not counted",IF(AF124="Lapsed or dead","Excluded",IF(AF124="Constrained","Constrained / uncertain",IF(AF124="Confirmed live",IF(G124="On Site","Committed",IF(G124="Part Complete","Committed",IF(G124="Contract Awarded","Committed Pre-Construction",IF(G124="Tender","Advanced Pre-Construction",IF(G124="Commencement Expected","Likely",IF(G124="Permission Granted","Potential",IF(G124="Stalled or Suspended","Constrained / uncertain",IF(G124="Complete","Delivered","Application Pipeline")))))))),IF(G124="Complete","Delivered",IF(AND(OR(G124="Permission Granted",G124="Commencement Expected"),OR(AC124="Yes",AE124="Yes")),"Constrained / uncertain",IF(G124="On Site","Committed",IF(G124="Part Complete","Committed",IF(G124="Contract Awarded","Committed Pre-Construction",IF(G124="Tender","Advanced Pre-Construction",IF(G124="Commencement Expected","Likely",IF(G124="Permission Granted","Potential",IF(G124="Stalled or Suspended","Constrained / uncertain",IF(G124="Complete","Delivered","Application Pipeline"))))))))))))))</f>
        <v>Not counted</v>
      </c>
      <c r="AH124" s="2" t="str">
        <f aca="false">IF(Z124="No","Relationship: "&amp;Y124,IF(AF124&lt;&gt;"","Analyst: "&amp;AF124,IF(G124="Complete","Complete",IF(AND(OR(G124="Permission Granted",G124="Commencement Expected"),AE124="Yes"),"Past expiry",IF(AND(OR(G124="Permission Granted",G124="Commencement Expected"),AC124="Yes"),"No CIS update in "&amp;AB124&amp;" months","As CIS")))))</f>
        <v>Relationship: Not live</v>
      </c>
      <c r="AI124" s="10" t="n">
        <f aca="false">IF(Z124="Yes",N(Q124),0)</f>
        <v>0</v>
      </c>
      <c r="AJ124" s="10" t="n">
        <f aca="false">IF(OR(Z124="No",G124="Complete"),0,MAX(N(Q124)-N(AA124),0))</f>
        <v>0</v>
      </c>
      <c r="AK124" s="10" t="n">
        <f aca="false">IF(Z124="No",0,IF(G124="Complete",N(Q124),MIN(N(AA124),N(Q124))))</f>
        <v>0</v>
      </c>
      <c r="AL124" s="10" t="n">
        <f aca="false">IF(OR(OR(AG124="Not counted",AG124="Excluded",AG124="Delivered"),P124="Student accommodation"),0,AJ124)</f>
        <v>0</v>
      </c>
      <c r="AM124" s="10" t="n">
        <f aca="false">IF(OR(OR(AG124="Not counted",AG124="Excluded",AG124="Delivered"),P124&lt;&gt;"Student accommodation"),0,AJ124)</f>
        <v>0</v>
      </c>
      <c r="AN124" s="10" t="n">
        <f aca="false">IF(OR(AG124="Not counted",AG124="Excluded",AG124="Delivered"),0,N(S124))</f>
        <v>0</v>
      </c>
      <c r="AO124" s="2" t="s">
        <v>1021</v>
      </c>
      <c r="AP124" s="10"/>
      <c r="AQ124" s="10"/>
      <c r="AR124" s="10"/>
      <c r="AS124" s="10"/>
      <c r="AT124" s="10"/>
      <c r="AU124" s="10"/>
      <c r="AV124" s="10" t="n">
        <f aca="false">N(AP124)+N(AQ124)+N(AR124)+N(AS124)+N(AT124)+N(AU124)</f>
        <v>0</v>
      </c>
      <c r="AW124" s="10"/>
      <c r="AX124" s="10"/>
      <c r="AY124" s="10"/>
      <c r="AZ124" s="2"/>
      <c r="BA124" s="2" t="s">
        <v>1022</v>
      </c>
      <c r="BB124" s="2" t="s">
        <v>1445</v>
      </c>
      <c r="BC124" s="2" t="s">
        <v>1448</v>
      </c>
      <c r="BD124" s="2" t="s">
        <v>1033</v>
      </c>
      <c r="BE124" s="2"/>
      <c r="BF124" s="2" t="s">
        <v>1449</v>
      </c>
      <c r="BG124" s="22"/>
      <c r="BH124" s="22"/>
      <c r="BI124" s="2"/>
      <c r="BJ124" s="22"/>
      <c r="BK124" s="2" t="n">
        <v>3</v>
      </c>
      <c r="BL124" s="2" t="n">
        <v>0</v>
      </c>
      <c r="BM124" s="2" t="s">
        <v>1450</v>
      </c>
      <c r="BN124" s="2" t="s">
        <v>1451</v>
      </c>
      <c r="BO124" s="23" t="s">
        <v>1452</v>
      </c>
      <c r="BP124" s="2" t="str">
        <f aca="false">IF(OR(K124="",BG124=""),"",ROUND(BG124-K124,0))</f>
        <v/>
      </c>
      <c r="BQ124" s="2" t="str">
        <f aca="false">IF(OR(N(BK124)=0,Q124=""),"Not recorded",IF(BK124=Q124,"Match","Differs"))</f>
        <v>Match</v>
      </c>
      <c r="BR124" s="2" t="str">
        <f aca="false">IF(N124="No","Excluded (non-residential)",IF(BF124="No reference","Unverified – no reference",IF(BF124="Not in council register","Unverified – not in register (Part 8 / other)",IF(OR(BF124="Refused",BF124="Refused on appeal",BF124="Withdrawn",BF124="Invalid",BF124="Quashed"),IF(OR(G124="Complete",G124="On Site",G124="Part Complete"),"Conflict – register not live but CIS says built","Conflict – not live in register"),IF(AND(G124="Plans Submitted",OR(BF124="Granted",BF124="Granted on appeal")),"Stage out of date – now granted",IF(AND(G124&lt;&gt;"Plans Submitted",OR(BF124="Pending",BF124="Under appeal")),"Check – register still pending",IF(N(BL124)&gt;Method!$B$7,"Check – location differs",IF(AND(BP124&lt;&gt;"",ABS(N(BP124))&gt;60),"Consistent – decision date differs","Consistent"))))))))</f>
        <v>Conflict – register not live but CIS says built</v>
      </c>
      <c r="BS124" s="2"/>
      <c r="BT124" s="2"/>
      <c r="BU124" s="2"/>
      <c r="BV124" s="2"/>
      <c r="BW124" s="2"/>
      <c r="BX124" s="2"/>
    </row>
    <row r="125" customFormat="false" ht="15" hidden="false" customHeight="false" outlineLevel="0" collapsed="false">
      <c r="A125" s="2" t="n">
        <v>1100331</v>
      </c>
      <c r="B125" s="2" t="s">
        <v>285</v>
      </c>
      <c r="C125" s="2" t="s">
        <v>1453</v>
      </c>
      <c r="D125" s="2" t="s">
        <v>1454</v>
      </c>
      <c r="E125" s="2" t="s">
        <v>1455</v>
      </c>
      <c r="F125" s="2" t="s">
        <v>139</v>
      </c>
      <c r="G125" s="2" t="s">
        <v>198</v>
      </c>
      <c r="H125" s="2" t="s">
        <v>1014</v>
      </c>
      <c r="I125" s="2" t="s">
        <v>198</v>
      </c>
      <c r="J125" s="22" t="n">
        <v>43957</v>
      </c>
      <c r="K125" s="22" t="n">
        <v>44328</v>
      </c>
      <c r="L125" s="22" t="n">
        <v>44831.5954216088</v>
      </c>
      <c r="M125" s="2" t="s">
        <v>1016</v>
      </c>
      <c r="N125" s="2" t="s">
        <v>121</v>
      </c>
      <c r="O125" s="2"/>
      <c r="P125" s="2" t="s">
        <v>1017</v>
      </c>
      <c r="Q125" s="10" t="n">
        <v>3</v>
      </c>
      <c r="R125" s="10" t="n">
        <v>3</v>
      </c>
      <c r="S125" s="10"/>
      <c r="T125" s="2" t="s">
        <v>30</v>
      </c>
      <c r="U125" s="2"/>
      <c r="V125" s="2" t="s">
        <v>1080</v>
      </c>
      <c r="W125" s="2" t="s">
        <v>1020</v>
      </c>
      <c r="X125" s="7"/>
      <c r="Y125" s="2" t="str">
        <f aca="false">IF(X125&lt;&gt;"",X125,T125)</f>
        <v>Additional application on site</v>
      </c>
      <c r="Z125" s="2" t="str">
        <f aca="false">IF(OR(Y125="Primary",Y125="Additional phase",Y125="Additional application on site",Y125="Replaces earlier",Y125="Extension of duration (parent not in CIS)"),"Yes","No")</f>
        <v>Yes</v>
      </c>
      <c r="AA125" s="2"/>
      <c r="AB125" s="2" t="n">
        <f aca="false">IF(L125="","",ROUND((Method!$B$4-L125)/30.44,0))</f>
        <v>48</v>
      </c>
      <c r="AC125" s="2" t="str">
        <f aca="false">IF(AB125="","No",IF(AB125&gt;Method!$B$5,"Yes","No"))</f>
        <v>Yes</v>
      </c>
      <c r="AD125" s="22" t="n">
        <f aca="false">IF(BJ125&lt;&gt;"",BJ125,IF(K125&lt;&gt;"",EDATE(K125,60),""))</f>
        <v>46187</v>
      </c>
      <c r="AE125" s="2" t="str">
        <f aca="false">IF(AND(AD125&lt;&gt;"",OR(G125="Permission Granted",G125="Commencement Expected",G125="Stalled or Suspended")),IF(AD125&lt;Method!$B$4,"Yes","No"),"No")</f>
        <v>No</v>
      </c>
      <c r="AF125" s="7"/>
      <c r="AG125" s="2" t="str">
        <f aca="false">IF(Z125="No","Not counted",IF(AF125="Lapsed or dead","Excluded",IF(AF125="Constrained","Constrained / uncertain",IF(AF125="Confirmed live",IF(G125="On Site","Committed",IF(G125="Part Complete","Committed",IF(G125="Contract Awarded","Committed Pre-Construction",IF(G125="Tender","Advanced Pre-Construction",IF(G125="Commencement Expected","Likely",IF(G125="Permission Granted","Potential",IF(G125="Stalled or Suspended","Constrained / uncertain",IF(G125="Complete","Delivered","Application Pipeline")))))))),IF(G125="Complete","Delivered",IF(AND(OR(G125="Permission Granted",G125="Commencement Expected"),OR(AC125="Yes",AE125="Yes")),"Constrained / uncertain",IF(G125="On Site","Committed",IF(G125="Part Complete","Committed",IF(G125="Contract Awarded","Committed Pre-Construction",IF(G125="Tender","Advanced Pre-Construction",IF(G125="Commencement Expected","Likely",IF(G125="Permission Granted","Potential",IF(G125="Stalled or Suspended","Constrained / uncertain",IF(G125="Complete","Delivered","Application Pipeline"))))))))))))))</f>
        <v>Committed</v>
      </c>
      <c r="AH125" s="2" t="str">
        <f aca="false">IF(Z125="No","Relationship: "&amp;Y125,IF(AF125&lt;&gt;"","Analyst: "&amp;AF125,IF(G125="Complete","Complete",IF(AND(OR(G125="Permission Granted",G125="Commencement Expected"),AE125="Yes"),"Past expiry",IF(AND(OR(G125="Permission Granted",G125="Commencement Expected"),AC125="Yes"),"No CIS update in "&amp;AB125&amp;" months","As CIS")))))</f>
        <v>As CIS</v>
      </c>
      <c r="AI125" s="10" t="n">
        <f aca="false">IF(Z125="Yes",N(Q125),0)</f>
        <v>3</v>
      </c>
      <c r="AJ125" s="10" t="n">
        <f aca="false">IF(OR(Z125="No",G125="Complete"),0,MAX(N(Q125)-N(AA125),0))</f>
        <v>3</v>
      </c>
      <c r="AK125" s="10" t="n">
        <f aca="false">IF(Z125="No",0,IF(G125="Complete",N(Q125),MIN(N(AA125),N(Q125))))</f>
        <v>0</v>
      </c>
      <c r="AL125" s="10" t="n">
        <f aca="false">IF(OR(OR(AG125="Not counted",AG125="Excluded",AG125="Delivered"),P125="Student accommodation"),0,AJ125)</f>
        <v>3</v>
      </c>
      <c r="AM125" s="10" t="n">
        <f aca="false">IF(OR(OR(AG125="Not counted",AG125="Excluded",AG125="Delivered"),P125&lt;&gt;"Student accommodation"),0,AJ125)</f>
        <v>0</v>
      </c>
      <c r="AN125" s="10" t="n">
        <f aca="false">IF(OR(AG125="Not counted",AG125="Excluded",AG125="Delivered"),0,N(S125))</f>
        <v>0</v>
      </c>
      <c r="AO125" s="2" t="s">
        <v>1021</v>
      </c>
      <c r="AP125" s="10"/>
      <c r="AQ125" s="10"/>
      <c r="AR125" s="10"/>
      <c r="AS125" s="10"/>
      <c r="AT125" s="10"/>
      <c r="AU125" s="10"/>
      <c r="AV125" s="10" t="n">
        <f aca="false">N(AP125)+N(AQ125)+N(AR125)+N(AS125)+N(AT125)+N(AU125)</f>
        <v>0</v>
      </c>
      <c r="AW125" s="10"/>
      <c r="AX125" s="10"/>
      <c r="AY125" s="10"/>
      <c r="AZ125" s="2"/>
      <c r="BA125" s="2" t="s">
        <v>1022</v>
      </c>
      <c r="BB125" s="2" t="s">
        <v>1453</v>
      </c>
      <c r="BC125" s="2" t="s">
        <v>1023</v>
      </c>
      <c r="BD125" s="2" t="s">
        <v>1024</v>
      </c>
      <c r="BE125" s="2"/>
      <c r="BF125" s="2" t="s">
        <v>1025</v>
      </c>
      <c r="BG125" s="22" t="n">
        <v>44328</v>
      </c>
      <c r="BH125" s="22" t="n">
        <v>46187</v>
      </c>
      <c r="BI125" s="2"/>
      <c r="BJ125" s="22" t="n">
        <v>46187</v>
      </c>
      <c r="BK125" s="2" t="n">
        <v>3</v>
      </c>
      <c r="BL125" s="2" t="n">
        <v>0</v>
      </c>
      <c r="BM125" s="2"/>
      <c r="BN125" s="2" t="s">
        <v>1451</v>
      </c>
      <c r="BO125" s="23" t="s">
        <v>1456</v>
      </c>
      <c r="BP125" s="2" t="n">
        <f aca="false">IF(OR(K125="",BG125=""),"",ROUND(BG125-K125,0))</f>
        <v>0</v>
      </c>
      <c r="BQ125" s="2" t="str">
        <f aca="false">IF(OR(N(BK125)=0,Q125=""),"Not recorded",IF(BK125=Q125,"Match","Differs"))</f>
        <v>Match</v>
      </c>
      <c r="BR125" s="2" t="str">
        <f aca="false">IF(N125="No","Excluded (non-residential)",IF(BF125="No reference","Unverified – no reference",IF(BF125="Not in council register","Unverified – not in register (Part 8 / other)",IF(OR(BF125="Refused",BF125="Refused on appeal",BF125="Withdrawn",BF125="Invalid",BF125="Quashed"),IF(OR(G125="Complete",G125="On Site",G125="Part Complete"),"Conflict – register not live but CIS says built","Conflict – not live in register"),IF(AND(G125="Plans Submitted",OR(BF125="Granted",BF125="Granted on appeal")),"Stage out of date – now granted",IF(AND(G125&lt;&gt;"Plans Submitted",OR(BF125="Pending",BF125="Under appeal")),"Check – register still pending",IF(N(BL125)&gt;Method!$B$7,"Check – location differs",IF(AND(BP125&lt;&gt;"",ABS(N(BP125))&gt;60),"Consistent – decision date differs","Consistent"))))))))</f>
        <v>Consistent</v>
      </c>
      <c r="BS125" s="2"/>
      <c r="BT125" s="2"/>
      <c r="BU125" s="2"/>
      <c r="BV125" s="2"/>
      <c r="BW125" s="2"/>
      <c r="BX125" s="2"/>
    </row>
    <row r="126" customFormat="false" ht="15" hidden="false" customHeight="false" outlineLevel="0" collapsed="false">
      <c r="A126" s="2" t="n">
        <v>1174250</v>
      </c>
      <c r="B126" s="2" t="s">
        <v>285</v>
      </c>
      <c r="C126" s="2" t="s">
        <v>1457</v>
      </c>
      <c r="D126" s="2" t="s">
        <v>1458</v>
      </c>
      <c r="E126" s="2" t="s">
        <v>1459</v>
      </c>
      <c r="F126" s="2" t="s">
        <v>139</v>
      </c>
      <c r="G126" s="2" t="s">
        <v>194</v>
      </c>
      <c r="H126" s="2" t="s">
        <v>1014</v>
      </c>
      <c r="I126" s="2" t="s">
        <v>198</v>
      </c>
      <c r="J126" s="22" t="n">
        <v>44363</v>
      </c>
      <c r="K126" s="22" t="n">
        <v>44511</v>
      </c>
      <c r="L126" s="22" t="n">
        <v>45195.3522214931</v>
      </c>
      <c r="M126" s="2" t="s">
        <v>1016</v>
      </c>
      <c r="N126" s="2" t="s">
        <v>121</v>
      </c>
      <c r="O126" s="2"/>
      <c r="P126" s="2" t="s">
        <v>1017</v>
      </c>
      <c r="Q126" s="10" t="n">
        <v>2</v>
      </c>
      <c r="R126" s="10"/>
      <c r="S126" s="10"/>
      <c r="T126" s="2" t="s">
        <v>30</v>
      </c>
      <c r="U126" s="2"/>
      <c r="V126" s="2" t="s">
        <v>1080</v>
      </c>
      <c r="W126" s="2" t="s">
        <v>1020</v>
      </c>
      <c r="X126" s="7"/>
      <c r="Y126" s="2" t="str">
        <f aca="false">IF(X126&lt;&gt;"",X126,T126)</f>
        <v>Additional application on site</v>
      </c>
      <c r="Z126" s="2" t="str">
        <f aca="false">IF(OR(Y126="Primary",Y126="Additional phase",Y126="Additional application on site",Y126="Replaces earlier",Y126="Extension of duration (parent not in CIS)"),"Yes","No")</f>
        <v>Yes</v>
      </c>
      <c r="AA126" s="2"/>
      <c r="AB126" s="2" t="n">
        <f aca="false">IF(L126="","",ROUND((Method!$B$4-L126)/30.44,0))</f>
        <v>36</v>
      </c>
      <c r="AC126" s="2" t="str">
        <f aca="false">IF(AB126="","No",IF(AB126&gt;Method!$B$5,"Yes","No"))</f>
        <v>Yes</v>
      </c>
      <c r="AD126" s="22" t="n">
        <f aca="false">IF(BJ126&lt;&gt;"",BJ126,IF(K126&lt;&gt;"",EDATE(K126,60),""))</f>
        <v>46370</v>
      </c>
      <c r="AE126" s="2" t="str">
        <f aca="false">IF(AND(AD126&lt;&gt;"",OR(G126="Permission Granted",G126="Commencement Expected",G126="Stalled or Suspended")),IF(AD126&lt;Method!$B$4,"Yes","No"),"No")</f>
        <v>No</v>
      </c>
      <c r="AF126" s="7"/>
      <c r="AG126" s="2" t="str">
        <f aca="false">IF(Z126="No","Not counted",IF(AF126="Lapsed or dead","Excluded",IF(AF126="Constrained","Constrained / uncertain",IF(AF126="Confirmed live",IF(G126="On Site","Committed",IF(G126="Part Complete","Committed",IF(G126="Contract Awarded","Committed Pre-Construction",IF(G126="Tender","Advanced Pre-Construction",IF(G126="Commencement Expected","Likely",IF(G126="Permission Granted","Potential",IF(G126="Stalled or Suspended","Constrained / uncertain",IF(G126="Complete","Delivered","Application Pipeline")))))))),IF(G126="Complete","Delivered",IF(AND(OR(G126="Permission Granted",G126="Commencement Expected"),OR(AC126="Yes",AE126="Yes")),"Constrained / uncertain",IF(G126="On Site","Committed",IF(G126="Part Complete","Committed",IF(G126="Contract Awarded","Committed Pre-Construction",IF(G126="Tender","Advanced Pre-Construction",IF(G126="Commencement Expected","Likely",IF(G126="Permission Granted","Potential",IF(G126="Stalled or Suspended","Constrained / uncertain",IF(G126="Complete","Delivered","Application Pipeline"))))))))))))))</f>
        <v>Constrained / uncertain</v>
      </c>
      <c r="AH126" s="2" t="str">
        <f aca="false">IF(Z126="No","Relationship: "&amp;Y126,IF(AF126&lt;&gt;"","Analyst: "&amp;AF126,IF(G126="Complete","Complete",IF(AND(OR(G126="Permission Granted",G126="Commencement Expected"),AE126="Yes"),"Past expiry",IF(AND(OR(G126="Permission Granted",G126="Commencement Expected"),AC126="Yes"),"No CIS update in "&amp;AB126&amp;" months","As CIS")))))</f>
        <v>No CIS update in 36 months</v>
      </c>
      <c r="AI126" s="10" t="n">
        <f aca="false">IF(Z126="Yes",N(Q126),0)</f>
        <v>2</v>
      </c>
      <c r="AJ126" s="10" t="n">
        <f aca="false">IF(OR(Z126="No",G126="Complete"),0,MAX(N(Q126)-N(AA126),0))</f>
        <v>2</v>
      </c>
      <c r="AK126" s="10" t="n">
        <f aca="false">IF(Z126="No",0,IF(G126="Complete",N(Q126),MIN(N(AA126),N(Q126))))</f>
        <v>0</v>
      </c>
      <c r="AL126" s="10" t="n">
        <f aca="false">IF(OR(OR(AG126="Not counted",AG126="Excluded",AG126="Delivered"),P126="Student accommodation"),0,AJ126)</f>
        <v>2</v>
      </c>
      <c r="AM126" s="10" t="n">
        <f aca="false">IF(OR(OR(AG126="Not counted",AG126="Excluded",AG126="Delivered"),P126&lt;&gt;"Student accommodation"),0,AJ126)</f>
        <v>0</v>
      </c>
      <c r="AN126" s="10" t="n">
        <f aca="false">IF(OR(AG126="Not counted",AG126="Excluded",AG126="Delivered"),0,N(S126))</f>
        <v>0</v>
      </c>
      <c r="AO126" s="2" t="s">
        <v>1021</v>
      </c>
      <c r="AP126" s="10"/>
      <c r="AQ126" s="10"/>
      <c r="AR126" s="10"/>
      <c r="AS126" s="10"/>
      <c r="AT126" s="10"/>
      <c r="AU126" s="10"/>
      <c r="AV126" s="10" t="n">
        <f aca="false">N(AP126)+N(AQ126)+N(AR126)+N(AS126)+N(AT126)+N(AU126)</f>
        <v>0</v>
      </c>
      <c r="AW126" s="10"/>
      <c r="AX126" s="10"/>
      <c r="AY126" s="10"/>
      <c r="AZ126" s="2"/>
      <c r="BA126" s="2" t="s">
        <v>1022</v>
      </c>
      <c r="BB126" s="2" t="s">
        <v>1457</v>
      </c>
      <c r="BC126" s="2" t="s">
        <v>1023</v>
      </c>
      <c r="BD126" s="2" t="s">
        <v>1024</v>
      </c>
      <c r="BE126" s="2"/>
      <c r="BF126" s="2" t="s">
        <v>1025</v>
      </c>
      <c r="BG126" s="22" t="n">
        <v>44511</v>
      </c>
      <c r="BH126" s="22" t="n">
        <v>46370</v>
      </c>
      <c r="BI126" s="2"/>
      <c r="BJ126" s="22" t="n">
        <v>46370</v>
      </c>
      <c r="BK126" s="2" t="n">
        <v>2</v>
      </c>
      <c r="BL126" s="2" t="n">
        <v>0</v>
      </c>
      <c r="BM126" s="2"/>
      <c r="BN126" s="2" t="s">
        <v>1460</v>
      </c>
      <c r="BO126" s="23" t="s">
        <v>1461</v>
      </c>
      <c r="BP126" s="2" t="n">
        <f aca="false">IF(OR(K126="",BG126=""),"",ROUND(BG126-K126,0))</f>
        <v>0</v>
      </c>
      <c r="BQ126" s="2" t="str">
        <f aca="false">IF(OR(N(BK126)=0,Q126=""),"Not recorded",IF(BK126=Q126,"Match","Differs"))</f>
        <v>Match</v>
      </c>
      <c r="BR126" s="2" t="str">
        <f aca="false">IF(N126="No","Excluded (non-residential)",IF(BF126="No reference","Unverified – no reference",IF(BF126="Not in council register","Unverified – not in register (Part 8 / other)",IF(OR(BF126="Refused",BF126="Refused on appeal",BF126="Withdrawn",BF126="Invalid",BF126="Quashed"),IF(OR(G126="Complete",G126="On Site",G126="Part Complete"),"Conflict – register not live but CIS says built","Conflict – not live in register"),IF(AND(G126="Plans Submitted",OR(BF126="Granted",BF126="Granted on appeal")),"Stage out of date – now granted",IF(AND(G126&lt;&gt;"Plans Submitted",OR(BF126="Pending",BF126="Under appeal")),"Check – register still pending",IF(N(BL126)&gt;Method!$B$7,"Check – location differs",IF(AND(BP126&lt;&gt;"",ABS(N(BP126))&gt;60),"Consistent – decision date differs","Consistent"))))))))</f>
        <v>Consistent</v>
      </c>
      <c r="BS126" s="2"/>
      <c r="BT126" s="2"/>
      <c r="BU126" s="2"/>
      <c r="BV126" s="2"/>
      <c r="BW126" s="2"/>
      <c r="BX126" s="2"/>
    </row>
    <row r="127" customFormat="false" ht="15" hidden="false" customHeight="false" outlineLevel="0" collapsed="false">
      <c r="A127" s="2" t="n">
        <v>1397299</v>
      </c>
      <c r="B127" s="2" t="s">
        <v>285</v>
      </c>
      <c r="C127" s="2" t="s">
        <v>1462</v>
      </c>
      <c r="D127" s="2" t="s">
        <v>1463</v>
      </c>
      <c r="E127" s="2" t="s">
        <v>1464</v>
      </c>
      <c r="F127" s="2" t="s">
        <v>139</v>
      </c>
      <c r="G127" s="2" t="s">
        <v>187</v>
      </c>
      <c r="H127" s="2" t="s">
        <v>1014</v>
      </c>
      <c r="I127" s="2"/>
      <c r="J127" s="22" t="n">
        <v>45749</v>
      </c>
      <c r="K127" s="22" t="n">
        <v>46127</v>
      </c>
      <c r="L127" s="22" t="n">
        <v>46136.3136655093</v>
      </c>
      <c r="M127" s="2" t="s">
        <v>1016</v>
      </c>
      <c r="N127" s="2" t="s">
        <v>121</v>
      </c>
      <c r="O127" s="2"/>
      <c r="P127" s="2" t="s">
        <v>1017</v>
      </c>
      <c r="Q127" s="10" t="n">
        <v>114</v>
      </c>
      <c r="R127" s="10" t="n">
        <v>114</v>
      </c>
      <c r="S127" s="10"/>
      <c r="T127" s="2" t="s">
        <v>30</v>
      </c>
      <c r="U127" s="2"/>
      <c r="V127" s="2" t="s">
        <v>1080</v>
      </c>
      <c r="W127" s="2" t="s">
        <v>1020</v>
      </c>
      <c r="X127" s="7"/>
      <c r="Y127" s="2" t="str">
        <f aca="false">IF(X127&lt;&gt;"",X127,T127)</f>
        <v>Additional application on site</v>
      </c>
      <c r="Z127" s="2" t="str">
        <f aca="false">IF(OR(Y127="Primary",Y127="Additional phase",Y127="Additional application on site",Y127="Replaces earlier",Y127="Extension of duration (parent not in CIS)"),"Yes","No")</f>
        <v>Yes</v>
      </c>
      <c r="AA127" s="2"/>
      <c r="AB127" s="2" t="n">
        <f aca="false">IF(L127="","",ROUND((Method!$B$4-L127)/30.44,0))</f>
        <v>5</v>
      </c>
      <c r="AC127" s="2" t="str">
        <f aca="false">IF(AB127="","No",IF(AB127&gt;Method!$B$5,"Yes","No"))</f>
        <v>No</v>
      </c>
      <c r="AD127" s="22" t="n">
        <f aca="false">IF(BJ127&lt;&gt;"",BJ127,IF(K127&lt;&gt;"",EDATE(K127,60),""))</f>
        <v>47952</v>
      </c>
      <c r="AE127" s="2" t="str">
        <f aca="false">IF(AND(AD127&lt;&gt;"",OR(G127="Permission Granted",G127="Commencement Expected",G127="Stalled or Suspended")),IF(AD127&lt;Method!$B$4,"Yes","No"),"No")</f>
        <v>No</v>
      </c>
      <c r="AF127" s="7"/>
      <c r="AG127" s="2" t="str">
        <f aca="false">IF(Z127="No","Not counted",IF(AF127="Lapsed or dead","Excluded",IF(AF127="Constrained","Constrained / uncertain",IF(AF127="Confirmed live",IF(G127="On Site","Committed",IF(G127="Part Complete","Committed",IF(G127="Contract Awarded","Committed Pre-Construction",IF(G127="Tender","Advanced Pre-Construction",IF(G127="Commencement Expected","Likely",IF(G127="Permission Granted","Potential",IF(G127="Stalled or Suspended","Constrained / uncertain",IF(G127="Complete","Delivered","Application Pipeline")))))))),IF(G127="Complete","Delivered",IF(AND(OR(G127="Permission Granted",G127="Commencement Expected"),OR(AC127="Yes",AE127="Yes")),"Constrained / uncertain",IF(G127="On Site","Committed",IF(G127="Part Complete","Committed",IF(G127="Contract Awarded","Committed Pre-Construction",IF(G127="Tender","Advanced Pre-Construction",IF(G127="Commencement Expected","Likely",IF(G127="Permission Granted","Potential",IF(G127="Stalled or Suspended","Constrained / uncertain",IF(G127="Complete","Delivered","Application Pipeline"))))))))))))))</f>
        <v>Potential</v>
      </c>
      <c r="AH127" s="2" t="str">
        <f aca="false">IF(Z127="No","Relationship: "&amp;Y127,IF(AF127&lt;&gt;"","Analyst: "&amp;AF127,IF(G127="Complete","Complete",IF(AND(OR(G127="Permission Granted",G127="Commencement Expected"),AE127="Yes"),"Past expiry",IF(AND(OR(G127="Permission Granted",G127="Commencement Expected"),AC127="Yes"),"No CIS update in "&amp;AB127&amp;" months","As CIS")))))</f>
        <v>As CIS</v>
      </c>
      <c r="AI127" s="10" t="n">
        <f aca="false">IF(Z127="Yes",N(Q127),0)</f>
        <v>114</v>
      </c>
      <c r="AJ127" s="10" t="n">
        <f aca="false">IF(OR(Z127="No",G127="Complete"),0,MAX(N(Q127)-N(AA127),0))</f>
        <v>114</v>
      </c>
      <c r="AK127" s="10" t="n">
        <f aca="false">IF(Z127="No",0,IF(G127="Complete",N(Q127),MIN(N(AA127),N(Q127))))</f>
        <v>0</v>
      </c>
      <c r="AL127" s="10" t="n">
        <f aca="false">IF(OR(OR(AG127="Not counted",AG127="Excluded",AG127="Delivered"),P127="Student accommodation"),0,AJ127)</f>
        <v>114</v>
      </c>
      <c r="AM127" s="10" t="n">
        <f aca="false">IF(OR(OR(AG127="Not counted",AG127="Excluded",AG127="Delivered"),P127&lt;&gt;"Student accommodation"),0,AJ127)</f>
        <v>0</v>
      </c>
      <c r="AN127" s="10" t="n">
        <f aca="false">IF(OR(AG127="Not counted",AG127="Excluded",AG127="Delivered"),0,N(S127))</f>
        <v>0</v>
      </c>
      <c r="AO127" s="2" t="s">
        <v>1157</v>
      </c>
      <c r="AP127" s="10"/>
      <c r="AQ127" s="10"/>
      <c r="AR127" s="10" t="n">
        <v>35</v>
      </c>
      <c r="AS127" s="10" t="n">
        <v>63</v>
      </c>
      <c r="AT127" s="10" t="n">
        <v>16</v>
      </c>
      <c r="AU127" s="10"/>
      <c r="AV127" s="10" t="n">
        <f aca="false">N(AP127)+N(AQ127)+N(AR127)+N(AS127)+N(AT127)+N(AU127)</f>
        <v>114</v>
      </c>
      <c r="AW127" s="10" t="n">
        <v>60</v>
      </c>
      <c r="AX127" s="10" t="n">
        <v>54</v>
      </c>
      <c r="AY127" s="10"/>
      <c r="AZ127" s="2"/>
      <c r="BA127" s="2" t="s">
        <v>1022</v>
      </c>
      <c r="BB127" s="2" t="s">
        <v>1462</v>
      </c>
      <c r="BC127" s="2" t="s">
        <v>1023</v>
      </c>
      <c r="BD127" s="2" t="s">
        <v>1024</v>
      </c>
      <c r="BE127" s="2" t="s">
        <v>1024</v>
      </c>
      <c r="BF127" s="2" t="s">
        <v>1059</v>
      </c>
      <c r="BG127" s="22" t="n">
        <v>46003</v>
      </c>
      <c r="BH127" s="22" t="n">
        <v>47952</v>
      </c>
      <c r="BI127" s="2"/>
      <c r="BJ127" s="22" t="n">
        <v>47952</v>
      </c>
      <c r="BK127" s="2" t="n">
        <v>114</v>
      </c>
      <c r="BL127" s="2" t="n">
        <v>0</v>
      </c>
      <c r="BM127" s="2"/>
      <c r="BN127" s="24" t="s">
        <v>1465</v>
      </c>
      <c r="BO127" s="23" t="s">
        <v>1466</v>
      </c>
      <c r="BP127" s="2" t="n">
        <f aca="false">IF(OR(K127="",BG127=""),"",ROUND(BG127-K127,0))</f>
        <v>-124</v>
      </c>
      <c r="BQ127" s="2" t="str">
        <f aca="false">IF(OR(N(BK127)=0,Q127=""),"Not recorded",IF(BK127=Q127,"Match","Differs"))</f>
        <v>Match</v>
      </c>
      <c r="BR127" s="2" t="str">
        <f aca="false">IF(N127="No","Excluded (non-residential)",IF(BF127="No reference","Unverified – no reference",IF(BF127="Not in council register","Unverified – not in register (Part 8 / other)",IF(OR(BF127="Refused",BF127="Refused on appeal",BF127="Withdrawn",BF127="Invalid",BF127="Quashed"),IF(OR(G127="Complete",G127="On Site",G127="Part Complete"),"Conflict – register not live but CIS says built","Conflict – not live in register"),IF(AND(G127="Plans Submitted",OR(BF127="Granted",BF127="Granted on appeal")),"Stage out of date – now granted",IF(AND(G127&lt;&gt;"Plans Submitted",OR(BF127="Pending",BF127="Under appeal")),"Check – register still pending",IF(N(BL127)&gt;Method!$B$7,"Check – location differs",IF(AND(BP127&lt;&gt;"",ABS(N(BP127))&gt;60),"Consistent – decision date differs","Consistent"))))))))</f>
        <v>Consistent – decision date differs</v>
      </c>
      <c r="BS127" s="2"/>
      <c r="BT127" s="2"/>
      <c r="BU127" s="2"/>
      <c r="BV127" s="2"/>
      <c r="BW127" s="2"/>
      <c r="BX127" s="2"/>
    </row>
    <row r="128" customFormat="false" ht="15" hidden="false" customHeight="false" outlineLevel="0" collapsed="false">
      <c r="A128" s="2" t="n">
        <v>979081</v>
      </c>
      <c r="B128" s="2" t="s">
        <v>209</v>
      </c>
      <c r="C128" s="2" t="s">
        <v>1467</v>
      </c>
      <c r="D128" s="2" t="s">
        <v>210</v>
      </c>
      <c r="E128" s="2" t="s">
        <v>211</v>
      </c>
      <c r="F128" s="2" t="s">
        <v>142</v>
      </c>
      <c r="G128" s="2" t="s">
        <v>198</v>
      </c>
      <c r="H128" s="2" t="s">
        <v>1014</v>
      </c>
      <c r="I128" s="2" t="s">
        <v>198</v>
      </c>
      <c r="J128" s="22" t="n">
        <v>43165</v>
      </c>
      <c r="K128" s="22" t="n">
        <v>43411</v>
      </c>
      <c r="L128" s="22" t="n">
        <v>45252.4789404282</v>
      </c>
      <c r="M128" s="2" t="s">
        <v>1016</v>
      </c>
      <c r="N128" s="2" t="s">
        <v>121</v>
      </c>
      <c r="O128" s="2"/>
      <c r="P128" s="2" t="s">
        <v>1017</v>
      </c>
      <c r="Q128" s="10" t="n">
        <v>49</v>
      </c>
      <c r="R128" s="10" t="n">
        <v>48</v>
      </c>
      <c r="S128" s="10"/>
      <c r="T128" s="2" t="s">
        <v>120</v>
      </c>
      <c r="U128" s="2"/>
      <c r="V128" s="2" t="s">
        <v>1029</v>
      </c>
      <c r="W128" s="2" t="s">
        <v>1030</v>
      </c>
      <c r="X128" s="7"/>
      <c r="Y128" s="2" t="str">
        <f aca="false">IF(X128&lt;&gt;"",X128,T128)</f>
        <v>Primary</v>
      </c>
      <c r="Z128" s="2" t="str">
        <f aca="false">IF(OR(Y128="Primary",Y128="Additional phase",Y128="Additional application on site",Y128="Replaces earlier",Y128="Extension of duration (parent not in CIS)"),"Yes","No")</f>
        <v>Yes</v>
      </c>
      <c r="AA128" s="2"/>
      <c r="AB128" s="2" t="n">
        <f aca="false">IF(L128="","",ROUND((Method!$B$4-L128)/30.44,0))</f>
        <v>34</v>
      </c>
      <c r="AC128" s="2" t="str">
        <f aca="false">IF(AB128="","No",IF(AB128&gt;Method!$B$5,"Yes","No"))</f>
        <v>Yes</v>
      </c>
      <c r="AD128" s="22" t="n">
        <f aca="false">IF(BJ128&lt;&gt;"",BJ128,IF(K128&lt;&gt;"",EDATE(K128,60),""))</f>
        <v>46364</v>
      </c>
      <c r="AE128" s="2" t="str">
        <f aca="false">IF(AND(AD128&lt;&gt;"",OR(G128="Permission Granted",G128="Commencement Expected",G128="Stalled or Suspended")),IF(AD128&lt;Method!$B$4,"Yes","No"),"No")</f>
        <v>No</v>
      </c>
      <c r="AF128" s="7"/>
      <c r="AG128" s="2" t="str">
        <f aca="false">IF(Z128="No","Not counted",IF(AF128="Lapsed or dead","Excluded",IF(AF128="Constrained","Constrained / uncertain",IF(AF128="Confirmed live",IF(G128="On Site","Committed",IF(G128="Part Complete","Committed",IF(G128="Contract Awarded","Committed Pre-Construction",IF(G128="Tender","Advanced Pre-Construction",IF(G128="Commencement Expected","Likely",IF(G128="Permission Granted","Potential",IF(G128="Stalled or Suspended","Constrained / uncertain",IF(G128="Complete","Delivered","Application Pipeline")))))))),IF(G128="Complete","Delivered",IF(AND(OR(G128="Permission Granted",G128="Commencement Expected"),OR(AC128="Yes",AE128="Yes")),"Constrained / uncertain",IF(G128="On Site","Committed",IF(G128="Part Complete","Committed",IF(G128="Contract Awarded","Committed Pre-Construction",IF(G128="Tender","Advanced Pre-Construction",IF(G128="Commencement Expected","Likely",IF(G128="Permission Granted","Potential",IF(G128="Stalled or Suspended","Constrained / uncertain",IF(G128="Complete","Delivered","Application Pipeline"))))))))))))))</f>
        <v>Committed</v>
      </c>
      <c r="AH128" s="2" t="str">
        <f aca="false">IF(Z128="No","Relationship: "&amp;Y128,IF(AF128&lt;&gt;"","Analyst: "&amp;AF128,IF(G128="Complete","Complete",IF(AND(OR(G128="Permission Granted",G128="Commencement Expected"),AE128="Yes"),"Past expiry",IF(AND(OR(G128="Permission Granted",G128="Commencement Expected"),AC128="Yes"),"No CIS update in "&amp;AB128&amp;" months","As CIS")))))</f>
        <v>As CIS</v>
      </c>
      <c r="AI128" s="10" t="n">
        <f aca="false">IF(Z128="Yes",N(Q128),0)</f>
        <v>49</v>
      </c>
      <c r="AJ128" s="10" t="n">
        <f aca="false">IF(OR(Z128="No",G128="Complete"),0,MAX(N(Q128)-N(AA128),0))</f>
        <v>49</v>
      </c>
      <c r="AK128" s="10" t="n">
        <f aca="false">IF(Z128="No",0,IF(G128="Complete",N(Q128),MIN(N(AA128),N(Q128))))</f>
        <v>0</v>
      </c>
      <c r="AL128" s="10" t="n">
        <f aca="false">IF(OR(OR(AG128="Not counted",AG128="Excluded",AG128="Delivered"),P128="Student accommodation"),0,AJ128)</f>
        <v>49</v>
      </c>
      <c r="AM128" s="10" t="n">
        <f aca="false">IF(OR(OR(AG128="Not counted",AG128="Excluded",AG128="Delivered"),P128&lt;&gt;"Student accommodation"),0,AJ128)</f>
        <v>0</v>
      </c>
      <c r="AN128" s="10" t="n">
        <f aca="false">IF(OR(AG128="Not counted",AG128="Excluded",AG128="Delivered"),0,N(S128))</f>
        <v>0</v>
      </c>
      <c r="AO128" s="2" t="s">
        <v>1021</v>
      </c>
      <c r="AP128" s="10"/>
      <c r="AQ128" s="10"/>
      <c r="AR128" s="10"/>
      <c r="AS128" s="10"/>
      <c r="AT128" s="10"/>
      <c r="AU128" s="10"/>
      <c r="AV128" s="10" t="n">
        <f aca="false">N(AP128)+N(AQ128)+N(AR128)+N(AS128)+N(AT128)+N(AU128)</f>
        <v>0</v>
      </c>
      <c r="AW128" s="10"/>
      <c r="AX128" s="10"/>
      <c r="AY128" s="10"/>
      <c r="AZ128" s="2"/>
      <c r="BA128" s="2" t="s">
        <v>1022</v>
      </c>
      <c r="BB128" s="2" t="s">
        <v>1467</v>
      </c>
      <c r="BC128" s="2" t="s">
        <v>1023</v>
      </c>
      <c r="BD128" s="2" t="s">
        <v>1024</v>
      </c>
      <c r="BE128" s="2"/>
      <c r="BF128" s="2" t="s">
        <v>1025</v>
      </c>
      <c r="BG128" s="22" t="n">
        <v>43411</v>
      </c>
      <c r="BH128" s="22" t="n">
        <v>45270</v>
      </c>
      <c r="BI128" s="2" t="s">
        <v>1468</v>
      </c>
      <c r="BJ128" s="22" t="n">
        <v>46364</v>
      </c>
      <c r="BK128" s="2" t="n">
        <v>49</v>
      </c>
      <c r="BL128" s="2" t="n">
        <v>0</v>
      </c>
      <c r="BM128" s="2"/>
      <c r="BN128" s="2" t="s">
        <v>1469</v>
      </c>
      <c r="BO128" s="23" t="s">
        <v>1470</v>
      </c>
      <c r="BP128" s="2" t="n">
        <f aca="false">IF(OR(K128="",BG128=""),"",ROUND(BG128-K128,0))</f>
        <v>0</v>
      </c>
      <c r="BQ128" s="2" t="str">
        <f aca="false">IF(OR(N(BK128)=0,Q128=""),"Not recorded",IF(BK128=Q128,"Match","Differs"))</f>
        <v>Match</v>
      </c>
      <c r="BR128" s="2" t="str">
        <f aca="false">IF(N128="No","Excluded (non-residential)",IF(BF128="No reference","Unverified – no reference",IF(BF128="Not in council register","Unverified – not in register (Part 8 / other)",IF(OR(BF128="Refused",BF128="Refused on appeal",BF128="Withdrawn",BF128="Invalid",BF128="Quashed"),IF(OR(G128="Complete",G128="On Site",G128="Part Complete"),"Conflict – register not live but CIS says built","Conflict – not live in register"),IF(AND(G128="Plans Submitted",OR(BF128="Granted",BF128="Granted on appeal")),"Stage out of date – now granted",IF(AND(G128&lt;&gt;"Plans Submitted",OR(BF128="Pending",BF128="Under appeal")),"Check – register still pending",IF(N(BL128)&gt;Method!$B$7,"Check – location differs",IF(AND(BP128&lt;&gt;"",ABS(N(BP128))&gt;60),"Consistent – decision date differs","Consistent"))))))))</f>
        <v>Consistent</v>
      </c>
      <c r="BS128" s="2"/>
      <c r="BT128" s="2"/>
      <c r="BU128" s="2"/>
      <c r="BV128" s="2"/>
      <c r="BW128" s="2"/>
      <c r="BX128" s="2"/>
    </row>
    <row r="129" customFormat="false" ht="15" hidden="false" customHeight="false" outlineLevel="0" collapsed="false">
      <c r="A129" s="2" t="n">
        <v>1023413</v>
      </c>
      <c r="B129" s="2" t="s">
        <v>209</v>
      </c>
      <c r="C129" s="2" t="s">
        <v>1471</v>
      </c>
      <c r="D129" s="2" t="s">
        <v>1472</v>
      </c>
      <c r="E129" s="2" t="s">
        <v>211</v>
      </c>
      <c r="F129" s="2" t="s">
        <v>142</v>
      </c>
      <c r="G129" s="2" t="s">
        <v>208</v>
      </c>
      <c r="H129" s="2" t="s">
        <v>1014</v>
      </c>
      <c r="I129" s="2" t="s">
        <v>198</v>
      </c>
      <c r="J129" s="22" t="n">
        <v>43441</v>
      </c>
      <c r="K129" s="22" t="n">
        <v>43578</v>
      </c>
      <c r="L129" s="22" t="n">
        <v>46266.3902407407</v>
      </c>
      <c r="M129" s="2" t="s">
        <v>1016</v>
      </c>
      <c r="N129" s="2" t="s">
        <v>121</v>
      </c>
      <c r="O129" s="2"/>
      <c r="P129" s="2" t="s">
        <v>1017</v>
      </c>
      <c r="Q129" s="10" t="n">
        <v>58</v>
      </c>
      <c r="R129" s="10" t="n">
        <v>48</v>
      </c>
      <c r="S129" s="10"/>
      <c r="T129" s="2" t="s">
        <v>30</v>
      </c>
      <c r="U129" s="2"/>
      <c r="V129" s="2" t="s">
        <v>1080</v>
      </c>
      <c r="W129" s="2" t="s">
        <v>1020</v>
      </c>
      <c r="X129" s="7"/>
      <c r="Y129" s="2" t="str">
        <f aca="false">IF(X129&lt;&gt;"",X129,T129)</f>
        <v>Additional application on site</v>
      </c>
      <c r="Z129" s="2" t="str">
        <f aca="false">IF(OR(Y129="Primary",Y129="Additional phase",Y129="Additional application on site",Y129="Replaces earlier",Y129="Extension of duration (parent not in CIS)"),"Yes","No")</f>
        <v>Yes</v>
      </c>
      <c r="AA129" s="2" t="n">
        <v>26</v>
      </c>
      <c r="AB129" s="2" t="n">
        <f aca="false">IF(L129="","",ROUND((Method!$B$4-L129)/30.44,0))</f>
        <v>1</v>
      </c>
      <c r="AC129" s="2" t="str">
        <f aca="false">IF(AB129="","No",IF(AB129&gt;Method!$B$5,"Yes","No"))</f>
        <v>No</v>
      </c>
      <c r="AD129" s="22" t="n">
        <f aca="false">IF(BJ129&lt;&gt;"",BJ129,IF(K129&lt;&gt;"",EDATE(K129,60),""))</f>
        <v>46533</v>
      </c>
      <c r="AE129" s="2" t="str">
        <f aca="false">IF(AND(AD129&lt;&gt;"",OR(G129="Permission Granted",G129="Commencement Expected",G129="Stalled or Suspended")),IF(AD129&lt;Method!$B$4,"Yes","No"),"No")</f>
        <v>No</v>
      </c>
      <c r="AF129" s="7"/>
      <c r="AG129" s="2" t="str">
        <f aca="false">IF(Z129="No","Not counted",IF(AF129="Lapsed or dead","Excluded",IF(AF129="Constrained","Constrained / uncertain",IF(AF129="Confirmed live",IF(G129="On Site","Committed",IF(G129="Part Complete","Committed",IF(G129="Contract Awarded","Committed Pre-Construction",IF(G129="Tender","Advanced Pre-Construction",IF(G129="Commencement Expected","Likely",IF(G129="Permission Granted","Potential",IF(G129="Stalled or Suspended","Constrained / uncertain",IF(G129="Complete","Delivered","Application Pipeline")))))))),IF(G129="Complete","Delivered",IF(AND(OR(G129="Permission Granted",G129="Commencement Expected"),OR(AC129="Yes",AE129="Yes")),"Constrained / uncertain",IF(G129="On Site","Committed",IF(G129="Part Complete","Committed",IF(G129="Contract Awarded","Committed Pre-Construction",IF(G129="Tender","Advanced Pre-Construction",IF(G129="Commencement Expected","Likely",IF(G129="Permission Granted","Potential",IF(G129="Stalled or Suspended","Constrained / uncertain",IF(G129="Complete","Delivered","Application Pipeline"))))))))))))))</f>
        <v>Committed</v>
      </c>
      <c r="AH129" s="2" t="str">
        <f aca="false">IF(Z129="No","Relationship: "&amp;Y129,IF(AF129&lt;&gt;"","Analyst: "&amp;AF129,IF(G129="Complete","Complete",IF(AND(OR(G129="Permission Granted",G129="Commencement Expected"),AE129="Yes"),"Past expiry",IF(AND(OR(G129="Permission Granted",G129="Commencement Expected"),AC129="Yes"),"No CIS update in "&amp;AB129&amp;" months","As CIS")))))</f>
        <v>As CIS</v>
      </c>
      <c r="AI129" s="10" t="n">
        <f aca="false">IF(Z129="Yes",N(Q129),0)</f>
        <v>58</v>
      </c>
      <c r="AJ129" s="10" t="n">
        <f aca="false">IF(OR(Z129="No",G129="Complete"),0,MAX(N(Q129)-N(AA129),0))</f>
        <v>32</v>
      </c>
      <c r="AK129" s="10" t="n">
        <f aca="false">IF(Z129="No",0,IF(G129="Complete",N(Q129),MIN(N(AA129),N(Q129))))</f>
        <v>26</v>
      </c>
      <c r="AL129" s="10" t="n">
        <f aca="false">IF(OR(OR(AG129="Not counted",AG129="Excluded",AG129="Delivered"),P129="Student accommodation"),0,AJ129)</f>
        <v>32</v>
      </c>
      <c r="AM129" s="10" t="n">
        <f aca="false">IF(OR(OR(AG129="Not counted",AG129="Excluded",AG129="Delivered"),P129&lt;&gt;"Student accommodation"),0,AJ129)</f>
        <v>0</v>
      </c>
      <c r="AN129" s="10" t="n">
        <f aca="false">IF(OR(AG129="Not counted",AG129="Excluded",AG129="Delivered"),0,N(S129))</f>
        <v>0</v>
      </c>
      <c r="AO129" s="2" t="s">
        <v>1232</v>
      </c>
      <c r="AP129" s="10"/>
      <c r="AQ129" s="10"/>
      <c r="AR129" s="10" t="n">
        <v>10</v>
      </c>
      <c r="AS129" s="10" t="n">
        <v>39</v>
      </c>
      <c r="AT129" s="10"/>
      <c r="AU129" s="10"/>
      <c r="AV129" s="10" t="n">
        <f aca="false">N(AP129)+N(AQ129)+N(AR129)+N(AS129)+N(AT129)+N(AU129)</f>
        <v>49</v>
      </c>
      <c r="AW129" s="10" t="n">
        <v>49</v>
      </c>
      <c r="AX129" s="10"/>
      <c r="AY129" s="10"/>
      <c r="AZ129" s="2" t="s">
        <v>1473</v>
      </c>
      <c r="BA129" s="2" t="s">
        <v>1022</v>
      </c>
      <c r="BB129" s="2" t="s">
        <v>1471</v>
      </c>
      <c r="BC129" s="2" t="s">
        <v>1023</v>
      </c>
      <c r="BD129" s="2" t="s">
        <v>1024</v>
      </c>
      <c r="BE129" s="2"/>
      <c r="BF129" s="2" t="s">
        <v>1025</v>
      </c>
      <c r="BG129" s="22" t="n">
        <v>43578</v>
      </c>
      <c r="BH129" s="22" t="n">
        <v>45439</v>
      </c>
      <c r="BI129" s="2" t="s">
        <v>1474</v>
      </c>
      <c r="BJ129" s="22" t="n">
        <v>46533</v>
      </c>
      <c r="BK129" s="2" t="n">
        <v>49</v>
      </c>
      <c r="BL129" s="2" t="n">
        <v>0</v>
      </c>
      <c r="BM129" s="2"/>
      <c r="BN129" s="2" t="s">
        <v>1475</v>
      </c>
      <c r="BO129" s="23" t="s">
        <v>1476</v>
      </c>
      <c r="BP129" s="2" t="n">
        <f aca="false">IF(OR(K129="",BG129=""),"",ROUND(BG129-K129,0))</f>
        <v>0</v>
      </c>
      <c r="BQ129" s="2" t="str">
        <f aca="false">IF(OR(N(BK129)=0,Q129=""),"Not recorded",IF(BK129=Q129,"Match","Differs"))</f>
        <v>Differs</v>
      </c>
      <c r="BR129" s="2" t="str">
        <f aca="false">IF(N129="No","Excluded (non-residential)",IF(BF129="No reference","Unverified – no reference",IF(BF129="Not in council register","Unverified – not in register (Part 8 / other)",IF(OR(BF129="Refused",BF129="Refused on appeal",BF129="Withdrawn",BF129="Invalid",BF129="Quashed"),IF(OR(G129="Complete",G129="On Site",G129="Part Complete"),"Conflict – register not live but CIS says built","Conflict – not live in register"),IF(AND(G129="Plans Submitted",OR(BF129="Granted",BF129="Granted on appeal")),"Stage out of date – now granted",IF(AND(G129&lt;&gt;"Plans Submitted",OR(BF129="Pending",BF129="Under appeal")),"Check – register still pending",IF(N(BL129)&gt;Method!$B$7,"Check – location differs",IF(AND(BP129&lt;&gt;"",ABS(N(BP129))&gt;60),"Consistent – decision date differs","Consistent"))))))))</f>
        <v>Consistent</v>
      </c>
      <c r="BS129" s="2"/>
      <c r="BT129" s="2"/>
      <c r="BU129" s="2"/>
      <c r="BV129" s="2"/>
      <c r="BW129" s="2"/>
      <c r="BX129" s="2"/>
    </row>
    <row r="130" customFormat="false" ht="15" hidden="false" customHeight="false" outlineLevel="0" collapsed="false">
      <c r="A130" s="2" t="n">
        <v>1045778</v>
      </c>
      <c r="B130" s="2" t="s">
        <v>209</v>
      </c>
      <c r="C130" s="2" t="s">
        <v>1477</v>
      </c>
      <c r="D130" s="2" t="s">
        <v>1478</v>
      </c>
      <c r="E130" s="2" t="s">
        <v>211</v>
      </c>
      <c r="F130" s="2" t="s">
        <v>142</v>
      </c>
      <c r="G130" s="2" t="s">
        <v>198</v>
      </c>
      <c r="H130" s="2" t="s">
        <v>1014</v>
      </c>
      <c r="I130" s="2" t="s">
        <v>198</v>
      </c>
      <c r="J130" s="22" t="n">
        <v>43588</v>
      </c>
      <c r="K130" s="22" t="n">
        <v>43740</v>
      </c>
      <c r="L130" s="22" t="n">
        <v>45925.3571033912</v>
      </c>
      <c r="M130" s="2" t="s">
        <v>1016</v>
      </c>
      <c r="N130" s="2" t="s">
        <v>121</v>
      </c>
      <c r="O130" s="2"/>
      <c r="P130" s="2" t="s">
        <v>1017</v>
      </c>
      <c r="Q130" s="10" t="n">
        <v>5</v>
      </c>
      <c r="R130" s="10"/>
      <c r="S130" s="10"/>
      <c r="T130" s="2" t="s">
        <v>30</v>
      </c>
      <c r="U130" s="2"/>
      <c r="V130" s="2" t="s">
        <v>1080</v>
      </c>
      <c r="W130" s="2" t="s">
        <v>1020</v>
      </c>
      <c r="X130" s="7"/>
      <c r="Y130" s="2" t="str">
        <f aca="false">IF(X130&lt;&gt;"",X130,T130)</f>
        <v>Additional application on site</v>
      </c>
      <c r="Z130" s="2" t="str">
        <f aca="false">IF(OR(Y130="Primary",Y130="Additional phase",Y130="Additional application on site",Y130="Replaces earlier",Y130="Extension of duration (parent not in CIS)"),"Yes","No")</f>
        <v>Yes</v>
      </c>
      <c r="AA130" s="2"/>
      <c r="AB130" s="2" t="n">
        <f aca="false">IF(L130="","",ROUND((Method!$B$4-L130)/30.44,0))</f>
        <v>12</v>
      </c>
      <c r="AC130" s="2" t="str">
        <f aca="false">IF(AB130="","No",IF(AB130&gt;Method!$B$5,"Yes","No"))</f>
        <v>No</v>
      </c>
      <c r="AD130" s="22" t="n">
        <f aca="false">IF(BJ130&lt;&gt;"",BJ130,IF(K130&lt;&gt;"",EDATE(K130,60),""))</f>
        <v>45600</v>
      </c>
      <c r="AE130" s="2" t="str">
        <f aca="false">IF(AND(AD130&lt;&gt;"",OR(G130="Permission Granted",G130="Commencement Expected",G130="Stalled or Suspended")),IF(AD130&lt;Method!$B$4,"Yes","No"),"No")</f>
        <v>No</v>
      </c>
      <c r="AF130" s="7"/>
      <c r="AG130" s="2" t="str">
        <f aca="false">IF(Z130="No","Not counted",IF(AF130="Lapsed or dead","Excluded",IF(AF130="Constrained","Constrained / uncertain",IF(AF130="Confirmed live",IF(G130="On Site","Committed",IF(G130="Part Complete","Committed",IF(G130="Contract Awarded","Committed Pre-Construction",IF(G130="Tender","Advanced Pre-Construction",IF(G130="Commencement Expected","Likely",IF(G130="Permission Granted","Potential",IF(G130="Stalled or Suspended","Constrained / uncertain",IF(G130="Complete","Delivered","Application Pipeline")))))))),IF(G130="Complete","Delivered",IF(AND(OR(G130="Permission Granted",G130="Commencement Expected"),OR(AC130="Yes",AE130="Yes")),"Constrained / uncertain",IF(G130="On Site","Committed",IF(G130="Part Complete","Committed",IF(G130="Contract Awarded","Committed Pre-Construction",IF(G130="Tender","Advanced Pre-Construction",IF(G130="Commencement Expected","Likely",IF(G130="Permission Granted","Potential",IF(G130="Stalled or Suspended","Constrained / uncertain",IF(G130="Complete","Delivered","Application Pipeline"))))))))))))))</f>
        <v>Committed</v>
      </c>
      <c r="AH130" s="2" t="str">
        <f aca="false">IF(Z130="No","Relationship: "&amp;Y130,IF(AF130&lt;&gt;"","Analyst: "&amp;AF130,IF(G130="Complete","Complete",IF(AND(OR(G130="Permission Granted",G130="Commencement Expected"),AE130="Yes"),"Past expiry",IF(AND(OR(G130="Permission Granted",G130="Commencement Expected"),AC130="Yes"),"No CIS update in "&amp;AB130&amp;" months","As CIS")))))</f>
        <v>As CIS</v>
      </c>
      <c r="AI130" s="10" t="n">
        <f aca="false">IF(Z130="Yes",N(Q130),0)</f>
        <v>5</v>
      </c>
      <c r="AJ130" s="10" t="n">
        <f aca="false">IF(OR(Z130="No",G130="Complete"),0,MAX(N(Q130)-N(AA130),0))</f>
        <v>5</v>
      </c>
      <c r="AK130" s="10" t="n">
        <f aca="false">IF(Z130="No",0,IF(G130="Complete",N(Q130),MIN(N(AA130),N(Q130))))</f>
        <v>0</v>
      </c>
      <c r="AL130" s="10" t="n">
        <f aca="false">IF(OR(OR(AG130="Not counted",AG130="Excluded",AG130="Delivered"),P130="Student accommodation"),0,AJ130)</f>
        <v>5</v>
      </c>
      <c r="AM130" s="10" t="n">
        <f aca="false">IF(OR(OR(AG130="Not counted",AG130="Excluded",AG130="Delivered"),P130&lt;&gt;"Student accommodation"),0,AJ130)</f>
        <v>0</v>
      </c>
      <c r="AN130" s="10" t="n">
        <f aca="false">IF(OR(AG130="Not counted",AG130="Excluded",AG130="Delivered"),0,N(S130))</f>
        <v>0</v>
      </c>
      <c r="AO130" s="2" t="s">
        <v>1021</v>
      </c>
      <c r="AP130" s="10"/>
      <c r="AQ130" s="10"/>
      <c r="AR130" s="10"/>
      <c r="AS130" s="10"/>
      <c r="AT130" s="10"/>
      <c r="AU130" s="10"/>
      <c r="AV130" s="10" t="n">
        <f aca="false">N(AP130)+N(AQ130)+N(AR130)+N(AS130)+N(AT130)+N(AU130)</f>
        <v>0</v>
      </c>
      <c r="AW130" s="10"/>
      <c r="AX130" s="10"/>
      <c r="AY130" s="10"/>
      <c r="AZ130" s="2"/>
      <c r="BA130" s="2" t="s">
        <v>1022</v>
      </c>
      <c r="BB130" s="2" t="s">
        <v>1477</v>
      </c>
      <c r="BC130" s="2" t="s">
        <v>1023</v>
      </c>
      <c r="BD130" s="2" t="s">
        <v>1024</v>
      </c>
      <c r="BE130" s="2"/>
      <c r="BF130" s="2" t="s">
        <v>1025</v>
      </c>
      <c r="BG130" s="22" t="n">
        <v>43740</v>
      </c>
      <c r="BH130" s="22" t="n">
        <v>45600</v>
      </c>
      <c r="BI130" s="2"/>
      <c r="BJ130" s="22" t="n">
        <v>45600</v>
      </c>
      <c r="BK130" s="2" t="n">
        <v>15</v>
      </c>
      <c r="BL130" s="2" t="n">
        <v>0</v>
      </c>
      <c r="BM130" s="2"/>
      <c r="BN130" s="2" t="s">
        <v>1479</v>
      </c>
      <c r="BO130" s="23" t="s">
        <v>1480</v>
      </c>
      <c r="BP130" s="2" t="n">
        <f aca="false">IF(OR(K130="",BG130=""),"",ROUND(BG130-K130,0))</f>
        <v>0</v>
      </c>
      <c r="BQ130" s="2" t="str">
        <f aca="false">IF(OR(N(BK130)=0,Q130=""),"Not recorded",IF(BK130=Q130,"Match","Differs"))</f>
        <v>Differs</v>
      </c>
      <c r="BR130" s="2" t="str">
        <f aca="false">IF(N130="No","Excluded (non-residential)",IF(BF130="No reference","Unverified – no reference",IF(BF130="Not in council register","Unverified – not in register (Part 8 / other)",IF(OR(BF130="Refused",BF130="Refused on appeal",BF130="Withdrawn",BF130="Invalid",BF130="Quashed"),IF(OR(G130="Complete",G130="On Site",G130="Part Complete"),"Conflict – register not live but CIS says built","Conflict – not live in register"),IF(AND(G130="Plans Submitted",OR(BF130="Granted",BF130="Granted on appeal")),"Stage out of date – now granted",IF(AND(G130&lt;&gt;"Plans Submitted",OR(BF130="Pending",BF130="Under appeal")),"Check – register still pending",IF(N(BL130)&gt;Method!$B$7,"Check – location differs",IF(AND(BP130&lt;&gt;"",ABS(N(BP130))&gt;60),"Consistent – decision date differs","Consistent"))))))))</f>
        <v>Consistent</v>
      </c>
      <c r="BS130" s="2"/>
      <c r="BT130" s="2"/>
      <c r="BU130" s="2"/>
      <c r="BV130" s="2"/>
      <c r="BW130" s="2"/>
      <c r="BX130" s="2"/>
    </row>
    <row r="131" customFormat="false" ht="15" hidden="false" customHeight="false" outlineLevel="0" collapsed="false">
      <c r="A131" s="2" t="n">
        <v>1306516</v>
      </c>
      <c r="B131" s="2" t="s">
        <v>209</v>
      </c>
      <c r="C131" s="2" t="s">
        <v>1481</v>
      </c>
      <c r="D131" s="2" t="s">
        <v>210</v>
      </c>
      <c r="E131" s="2" t="s">
        <v>1482</v>
      </c>
      <c r="F131" s="2" t="s">
        <v>142</v>
      </c>
      <c r="G131" s="2" t="s">
        <v>198</v>
      </c>
      <c r="H131" s="2" t="s">
        <v>1014</v>
      </c>
      <c r="I131" s="2" t="s">
        <v>198</v>
      </c>
      <c r="J131" s="22" t="n">
        <v>45166</v>
      </c>
      <c r="K131" s="22" t="n">
        <v>45217</v>
      </c>
      <c r="L131" s="22" t="n">
        <v>45219.4513336806</v>
      </c>
      <c r="M131" s="2" t="s">
        <v>1016</v>
      </c>
      <c r="N131" s="2" t="s">
        <v>121</v>
      </c>
      <c r="O131" s="2"/>
      <c r="P131" s="2" t="s">
        <v>1017</v>
      </c>
      <c r="Q131" s="10" t="n">
        <v>0</v>
      </c>
      <c r="R131" s="10" t="n">
        <v>48</v>
      </c>
      <c r="S131" s="10"/>
      <c r="T131" s="2" t="s">
        <v>22</v>
      </c>
      <c r="U131" s="2" t="s">
        <v>1467</v>
      </c>
      <c r="V131" s="2" t="s">
        <v>1483</v>
      </c>
      <c r="W131" s="2" t="s">
        <v>1030</v>
      </c>
      <c r="X131" s="7"/>
      <c r="Y131" s="2" t="str">
        <f aca="false">IF(X131&lt;&gt;"",X131,T131)</f>
        <v>Extension of duration</v>
      </c>
      <c r="Z131" s="2" t="str">
        <f aca="false">IF(OR(Y131="Primary",Y131="Additional phase",Y131="Additional application on site",Y131="Replaces earlier",Y131="Extension of duration (parent not in CIS)"),"Yes","No")</f>
        <v>No</v>
      </c>
      <c r="AA131" s="2"/>
      <c r="AB131" s="2" t="n">
        <f aca="false">IF(L131="","",ROUND((Method!$B$4-L131)/30.44,0))</f>
        <v>35</v>
      </c>
      <c r="AC131" s="2" t="str">
        <f aca="false">IF(AB131="","No",IF(AB131&gt;Method!$B$5,"Yes","No"))</f>
        <v>Yes</v>
      </c>
      <c r="AD131" s="22" t="n">
        <f aca="false">IF(BJ131&lt;&gt;"",BJ131,IF(K131&lt;&gt;"",EDATE(K131,60),""))</f>
        <v>46364</v>
      </c>
      <c r="AE131" s="2" t="str">
        <f aca="false">IF(AND(AD131&lt;&gt;"",OR(G131="Permission Granted",G131="Commencement Expected",G131="Stalled or Suspended")),IF(AD131&lt;Method!$B$4,"Yes","No"),"No")</f>
        <v>No</v>
      </c>
      <c r="AF131" s="7"/>
      <c r="AG131" s="2" t="str">
        <f aca="false">IF(Z131="No","Not counted",IF(AF131="Lapsed or dead","Excluded",IF(AF131="Constrained","Constrained / uncertain",IF(AF131="Confirmed live",IF(G131="On Site","Committed",IF(G131="Part Complete","Committed",IF(G131="Contract Awarded","Committed Pre-Construction",IF(G131="Tender","Advanced Pre-Construction",IF(G131="Commencement Expected","Likely",IF(G131="Permission Granted","Potential",IF(G131="Stalled or Suspended","Constrained / uncertain",IF(G131="Complete","Delivered","Application Pipeline")))))))),IF(G131="Complete","Delivered",IF(AND(OR(G131="Permission Granted",G131="Commencement Expected"),OR(AC131="Yes",AE131="Yes")),"Constrained / uncertain",IF(G131="On Site","Committed",IF(G131="Part Complete","Committed",IF(G131="Contract Awarded","Committed Pre-Construction",IF(G131="Tender","Advanced Pre-Construction",IF(G131="Commencement Expected","Likely",IF(G131="Permission Granted","Potential",IF(G131="Stalled or Suspended","Constrained / uncertain",IF(G131="Complete","Delivered","Application Pipeline"))))))))))))))</f>
        <v>Not counted</v>
      </c>
      <c r="AH131" s="2" t="str">
        <f aca="false">IF(Z131="No","Relationship: "&amp;Y131,IF(AF131&lt;&gt;"","Analyst: "&amp;AF131,IF(G131="Complete","Complete",IF(AND(OR(G131="Permission Granted",G131="Commencement Expected"),AE131="Yes"),"Past expiry",IF(AND(OR(G131="Permission Granted",G131="Commencement Expected"),AC131="Yes"),"No CIS update in "&amp;AB131&amp;" months","As CIS")))))</f>
        <v>Relationship: Extension of duration</v>
      </c>
      <c r="AI131" s="10" t="n">
        <f aca="false">IF(Z131="Yes",N(Q131),0)</f>
        <v>0</v>
      </c>
      <c r="AJ131" s="10" t="n">
        <f aca="false">IF(OR(Z131="No",G131="Complete"),0,MAX(N(Q131)-N(AA131),0))</f>
        <v>0</v>
      </c>
      <c r="AK131" s="10" t="n">
        <f aca="false">IF(Z131="No",0,IF(G131="Complete",N(Q131),MIN(N(AA131),N(Q131))))</f>
        <v>0</v>
      </c>
      <c r="AL131" s="10" t="n">
        <f aca="false">IF(OR(OR(AG131="Not counted",AG131="Excluded",AG131="Delivered"),P131="Student accommodation"),0,AJ131)</f>
        <v>0</v>
      </c>
      <c r="AM131" s="10" t="n">
        <f aca="false">IF(OR(OR(AG131="Not counted",AG131="Excluded",AG131="Delivered"),P131&lt;&gt;"Student accommodation"),0,AJ131)</f>
        <v>0</v>
      </c>
      <c r="AN131" s="10" t="n">
        <f aca="false">IF(OR(AG131="Not counted",AG131="Excluded",AG131="Delivered"),0,N(S131))</f>
        <v>0</v>
      </c>
      <c r="AO131" s="2" t="s">
        <v>1021</v>
      </c>
      <c r="AP131" s="10"/>
      <c r="AQ131" s="10"/>
      <c r="AR131" s="10"/>
      <c r="AS131" s="10"/>
      <c r="AT131" s="10"/>
      <c r="AU131" s="10"/>
      <c r="AV131" s="10" t="n">
        <f aca="false">N(AP131)+N(AQ131)+N(AR131)+N(AS131)+N(AT131)+N(AU131)</f>
        <v>0</v>
      </c>
      <c r="AW131" s="10"/>
      <c r="AX131" s="10"/>
      <c r="AY131" s="10"/>
      <c r="AZ131" s="2"/>
      <c r="BA131" s="2" t="s">
        <v>1022</v>
      </c>
      <c r="BB131" s="2" t="s">
        <v>1481</v>
      </c>
      <c r="BC131" s="2" t="s">
        <v>1023</v>
      </c>
      <c r="BD131" s="2" t="s">
        <v>1024</v>
      </c>
      <c r="BE131" s="2"/>
      <c r="BF131" s="2" t="s">
        <v>1025</v>
      </c>
      <c r="BG131" s="22" t="n">
        <v>45217</v>
      </c>
      <c r="BH131" s="22" t="n">
        <v>45635</v>
      </c>
      <c r="BI131" s="2" t="s">
        <v>1468</v>
      </c>
      <c r="BJ131" s="22" t="n">
        <v>46364</v>
      </c>
      <c r="BK131" s="2"/>
      <c r="BL131" s="2" t="n">
        <v>0</v>
      </c>
      <c r="BM131" s="2"/>
      <c r="BN131" s="2" t="s">
        <v>1484</v>
      </c>
      <c r="BO131" s="23" t="s">
        <v>1485</v>
      </c>
      <c r="BP131" s="2" t="n">
        <f aca="false">IF(OR(K131="",BG131=""),"",ROUND(BG131-K131,0))</f>
        <v>0</v>
      </c>
      <c r="BQ131" s="2" t="str">
        <f aca="false">IF(OR(N(BK131)=0,Q131=""),"Not recorded",IF(BK131=Q131,"Match","Differs"))</f>
        <v>Not recorded</v>
      </c>
      <c r="BR131" s="2" t="str">
        <f aca="false">IF(N131="No","Excluded (non-residential)",IF(BF131="No reference","Unverified – no reference",IF(BF131="Not in council register","Unverified – not in register (Part 8 / other)",IF(OR(BF131="Refused",BF131="Refused on appeal",BF131="Withdrawn",BF131="Invalid",BF131="Quashed"),IF(OR(G131="Complete",G131="On Site",G131="Part Complete"),"Conflict – register not live but CIS says built","Conflict – not live in register"),IF(AND(G131="Plans Submitted",OR(BF131="Granted",BF131="Granted on appeal")),"Stage out of date – now granted",IF(AND(G131&lt;&gt;"Plans Submitted",OR(BF131="Pending",BF131="Under appeal")),"Check – register still pending",IF(N(BL131)&gt;Method!$B$7,"Check – location differs",IF(AND(BP131&lt;&gt;"",ABS(N(BP131))&gt;60),"Consistent – decision date differs","Consistent"))))))))</f>
        <v>Consistent</v>
      </c>
      <c r="BS131" s="2"/>
      <c r="BT131" s="2"/>
      <c r="BU131" s="2"/>
      <c r="BV131" s="2"/>
      <c r="BW131" s="2"/>
      <c r="BX131" s="2"/>
    </row>
    <row r="132" customFormat="false" ht="15" hidden="false" customHeight="false" outlineLevel="0" collapsed="false">
      <c r="A132" s="2" t="n">
        <v>1343139</v>
      </c>
      <c r="B132" s="2" t="s">
        <v>209</v>
      </c>
      <c r="C132" s="2" t="s">
        <v>1486</v>
      </c>
      <c r="D132" s="2" t="s">
        <v>1487</v>
      </c>
      <c r="E132" s="2" t="s">
        <v>1482</v>
      </c>
      <c r="F132" s="2" t="s">
        <v>142</v>
      </c>
      <c r="G132" s="2" t="s">
        <v>187</v>
      </c>
      <c r="H132" s="2" t="s">
        <v>1014</v>
      </c>
      <c r="I132" s="2"/>
      <c r="J132" s="22" t="n">
        <v>45406</v>
      </c>
      <c r="K132" s="22" t="n">
        <v>45504</v>
      </c>
      <c r="L132" s="22" t="n">
        <v>45506.4702381134</v>
      </c>
      <c r="M132" s="2" t="s">
        <v>1016</v>
      </c>
      <c r="N132" s="2" t="s">
        <v>121</v>
      </c>
      <c r="O132" s="2"/>
      <c r="P132" s="2" t="s">
        <v>1017</v>
      </c>
      <c r="Q132" s="10" t="n">
        <v>0</v>
      </c>
      <c r="R132" s="10" t="n">
        <v>48</v>
      </c>
      <c r="S132" s="10"/>
      <c r="T132" s="2" t="s">
        <v>22</v>
      </c>
      <c r="U132" s="2" t="s">
        <v>1471</v>
      </c>
      <c r="V132" s="2" t="s">
        <v>1488</v>
      </c>
      <c r="W132" s="2" t="s">
        <v>1030</v>
      </c>
      <c r="X132" s="7"/>
      <c r="Y132" s="2" t="str">
        <f aca="false">IF(X132&lt;&gt;"",X132,T132)</f>
        <v>Extension of duration</v>
      </c>
      <c r="Z132" s="2" t="str">
        <f aca="false">IF(OR(Y132="Primary",Y132="Additional phase",Y132="Additional application on site",Y132="Replaces earlier",Y132="Extension of duration (parent not in CIS)"),"Yes","No")</f>
        <v>No</v>
      </c>
      <c r="AA132" s="2"/>
      <c r="AB132" s="2" t="n">
        <f aca="false">IF(L132="","",ROUND((Method!$B$4-L132)/30.44,0))</f>
        <v>26</v>
      </c>
      <c r="AC132" s="2" t="str">
        <f aca="false">IF(AB132="","No",IF(AB132&gt;Method!$B$5,"Yes","No"))</f>
        <v>Yes</v>
      </c>
      <c r="AD132" s="22" t="n">
        <f aca="false">IF(BJ132&lt;&gt;"",BJ132,IF(K132&lt;&gt;"",EDATE(K132,60),""))</f>
        <v>46533</v>
      </c>
      <c r="AE132" s="2" t="str">
        <f aca="false">IF(AND(AD132&lt;&gt;"",OR(G132="Permission Granted",G132="Commencement Expected",G132="Stalled or Suspended")),IF(AD132&lt;Method!$B$4,"Yes","No"),"No")</f>
        <v>No</v>
      </c>
      <c r="AF132" s="7"/>
      <c r="AG132" s="2" t="str">
        <f aca="false">IF(Z132="No","Not counted",IF(AF132="Lapsed or dead","Excluded",IF(AF132="Constrained","Constrained / uncertain",IF(AF132="Confirmed live",IF(G132="On Site","Committed",IF(G132="Part Complete","Committed",IF(G132="Contract Awarded","Committed Pre-Construction",IF(G132="Tender","Advanced Pre-Construction",IF(G132="Commencement Expected","Likely",IF(G132="Permission Granted","Potential",IF(G132="Stalled or Suspended","Constrained / uncertain",IF(G132="Complete","Delivered","Application Pipeline")))))))),IF(G132="Complete","Delivered",IF(AND(OR(G132="Permission Granted",G132="Commencement Expected"),OR(AC132="Yes",AE132="Yes")),"Constrained / uncertain",IF(G132="On Site","Committed",IF(G132="Part Complete","Committed",IF(G132="Contract Awarded","Committed Pre-Construction",IF(G132="Tender","Advanced Pre-Construction",IF(G132="Commencement Expected","Likely",IF(G132="Permission Granted","Potential",IF(G132="Stalled or Suspended","Constrained / uncertain",IF(G132="Complete","Delivered","Application Pipeline"))))))))))))))</f>
        <v>Not counted</v>
      </c>
      <c r="AH132" s="2" t="str">
        <f aca="false">IF(Z132="No","Relationship: "&amp;Y132,IF(AF132&lt;&gt;"","Analyst: "&amp;AF132,IF(G132="Complete","Complete",IF(AND(OR(G132="Permission Granted",G132="Commencement Expected"),AE132="Yes"),"Past expiry",IF(AND(OR(G132="Permission Granted",G132="Commencement Expected"),AC132="Yes"),"No CIS update in "&amp;AB132&amp;" months","As CIS")))))</f>
        <v>Relationship: Extension of duration</v>
      </c>
      <c r="AI132" s="10" t="n">
        <f aca="false">IF(Z132="Yes",N(Q132),0)</f>
        <v>0</v>
      </c>
      <c r="AJ132" s="10" t="n">
        <f aca="false">IF(OR(Z132="No",G132="Complete"),0,MAX(N(Q132)-N(AA132),0))</f>
        <v>0</v>
      </c>
      <c r="AK132" s="10" t="n">
        <f aca="false">IF(Z132="No",0,IF(G132="Complete",N(Q132),MIN(N(AA132),N(Q132))))</f>
        <v>0</v>
      </c>
      <c r="AL132" s="10" t="n">
        <f aca="false">IF(OR(OR(AG132="Not counted",AG132="Excluded",AG132="Delivered"),P132="Student accommodation"),0,AJ132)</f>
        <v>0</v>
      </c>
      <c r="AM132" s="10" t="n">
        <f aca="false">IF(OR(OR(AG132="Not counted",AG132="Excluded",AG132="Delivered"),P132&lt;&gt;"Student accommodation"),0,AJ132)</f>
        <v>0</v>
      </c>
      <c r="AN132" s="10" t="n">
        <f aca="false">IF(OR(AG132="Not counted",AG132="Excluded",AG132="Delivered"),0,N(S132))</f>
        <v>0</v>
      </c>
      <c r="AO132" s="2" t="s">
        <v>1021</v>
      </c>
      <c r="AP132" s="10"/>
      <c r="AQ132" s="10"/>
      <c r="AR132" s="10"/>
      <c r="AS132" s="10"/>
      <c r="AT132" s="10"/>
      <c r="AU132" s="10"/>
      <c r="AV132" s="10" t="n">
        <f aca="false">N(AP132)+N(AQ132)+N(AR132)+N(AS132)+N(AT132)+N(AU132)</f>
        <v>0</v>
      </c>
      <c r="AW132" s="10"/>
      <c r="AX132" s="10"/>
      <c r="AY132" s="10"/>
      <c r="AZ132" s="2"/>
      <c r="BA132" s="2" t="s">
        <v>1022</v>
      </c>
      <c r="BB132" s="2" t="s">
        <v>1486</v>
      </c>
      <c r="BC132" s="2" t="s">
        <v>1023</v>
      </c>
      <c r="BD132" s="2" t="s">
        <v>1024</v>
      </c>
      <c r="BE132" s="2"/>
      <c r="BF132" s="2" t="s">
        <v>1025</v>
      </c>
      <c r="BG132" s="22" t="n">
        <v>45504</v>
      </c>
      <c r="BH132" s="22" t="n">
        <v>46168</v>
      </c>
      <c r="BI132" s="2" t="s">
        <v>1474</v>
      </c>
      <c r="BJ132" s="22" t="n">
        <v>46533</v>
      </c>
      <c r="BK132" s="2"/>
      <c r="BL132" s="2" t="n">
        <v>0</v>
      </c>
      <c r="BM132" s="2"/>
      <c r="BN132" s="2" t="s">
        <v>1489</v>
      </c>
      <c r="BO132" s="23" t="s">
        <v>1490</v>
      </c>
      <c r="BP132" s="2" t="n">
        <f aca="false">IF(OR(K132="",BG132=""),"",ROUND(BG132-K132,0))</f>
        <v>0</v>
      </c>
      <c r="BQ132" s="2" t="str">
        <f aca="false">IF(OR(N(BK132)=0,Q132=""),"Not recorded",IF(BK132=Q132,"Match","Differs"))</f>
        <v>Not recorded</v>
      </c>
      <c r="BR132" s="2" t="str">
        <f aca="false">IF(N132="No","Excluded (non-residential)",IF(BF132="No reference","Unverified – no reference",IF(BF132="Not in council register","Unverified – not in register (Part 8 / other)",IF(OR(BF132="Refused",BF132="Refused on appeal",BF132="Withdrawn",BF132="Invalid",BF132="Quashed"),IF(OR(G132="Complete",G132="On Site",G132="Part Complete"),"Conflict – register not live but CIS says built","Conflict – not live in register"),IF(AND(G132="Plans Submitted",OR(BF132="Granted",BF132="Granted on appeal")),"Stage out of date – now granted",IF(AND(G132&lt;&gt;"Plans Submitted",OR(BF132="Pending",BF132="Under appeal")),"Check – register still pending",IF(N(BL132)&gt;Method!$B$7,"Check – location differs",IF(AND(BP132&lt;&gt;"",ABS(N(BP132))&gt;60),"Consistent – decision date differs","Consistent"))))))))</f>
        <v>Consistent</v>
      </c>
      <c r="BS132" s="2"/>
      <c r="BT132" s="2"/>
      <c r="BU132" s="2"/>
      <c r="BV132" s="2"/>
      <c r="BW132" s="2"/>
      <c r="BX132" s="2"/>
    </row>
    <row r="133" customFormat="false" ht="15" hidden="false" customHeight="false" outlineLevel="0" collapsed="false">
      <c r="A133" s="2" t="n">
        <v>1379995</v>
      </c>
      <c r="B133" s="2" t="s">
        <v>209</v>
      </c>
      <c r="C133" s="2" t="s">
        <v>1491</v>
      </c>
      <c r="D133" s="2" t="s">
        <v>1492</v>
      </c>
      <c r="E133" s="2" t="s">
        <v>1482</v>
      </c>
      <c r="F133" s="2" t="s">
        <v>142</v>
      </c>
      <c r="G133" s="2" t="s">
        <v>187</v>
      </c>
      <c r="H133" s="2" t="s">
        <v>1014</v>
      </c>
      <c r="I133" s="2"/>
      <c r="J133" s="22" t="n">
        <v>45625</v>
      </c>
      <c r="K133" s="22" t="n">
        <v>45686</v>
      </c>
      <c r="L133" s="22" t="n">
        <v>45632.2964841782</v>
      </c>
      <c r="M133" s="2" t="s">
        <v>1016</v>
      </c>
      <c r="N133" s="2" t="s">
        <v>121</v>
      </c>
      <c r="O133" s="2"/>
      <c r="P133" s="2" t="s">
        <v>1017</v>
      </c>
      <c r="Q133" s="10" t="n">
        <v>0</v>
      </c>
      <c r="R133" s="10" t="n">
        <v>48</v>
      </c>
      <c r="S133" s="10"/>
      <c r="T133" s="2" t="s">
        <v>22</v>
      </c>
      <c r="U133" s="2" t="s">
        <v>1467</v>
      </c>
      <c r="V133" s="2" t="s">
        <v>1483</v>
      </c>
      <c r="W133" s="2" t="s">
        <v>1030</v>
      </c>
      <c r="X133" s="7"/>
      <c r="Y133" s="2" t="str">
        <f aca="false">IF(X133&lt;&gt;"",X133,T133)</f>
        <v>Extension of duration</v>
      </c>
      <c r="Z133" s="2" t="str">
        <f aca="false">IF(OR(Y133="Primary",Y133="Additional phase",Y133="Additional application on site",Y133="Replaces earlier",Y133="Extension of duration (parent not in CIS)"),"Yes","No")</f>
        <v>No</v>
      </c>
      <c r="AA133" s="2"/>
      <c r="AB133" s="2" t="n">
        <f aca="false">IF(L133="","",ROUND((Method!$B$4-L133)/30.44,0))</f>
        <v>22</v>
      </c>
      <c r="AC133" s="2" t="str">
        <f aca="false">IF(AB133="","No",IF(AB133&gt;Method!$B$5,"Yes","No"))</f>
        <v>No</v>
      </c>
      <c r="AD133" s="22" t="n">
        <f aca="false">IF(BJ133&lt;&gt;"",BJ133,IF(K133&lt;&gt;"",EDATE(K133,60),""))</f>
        <v>46364</v>
      </c>
      <c r="AE133" s="2" t="str">
        <f aca="false">IF(AND(AD133&lt;&gt;"",OR(G133="Permission Granted",G133="Commencement Expected",G133="Stalled or Suspended")),IF(AD133&lt;Method!$B$4,"Yes","No"),"No")</f>
        <v>No</v>
      </c>
      <c r="AF133" s="7"/>
      <c r="AG133" s="2" t="str">
        <f aca="false">IF(Z133="No","Not counted",IF(AF133="Lapsed or dead","Excluded",IF(AF133="Constrained","Constrained / uncertain",IF(AF133="Confirmed live",IF(G133="On Site","Committed",IF(G133="Part Complete","Committed",IF(G133="Contract Awarded","Committed Pre-Construction",IF(G133="Tender","Advanced Pre-Construction",IF(G133="Commencement Expected","Likely",IF(G133="Permission Granted","Potential",IF(G133="Stalled or Suspended","Constrained / uncertain",IF(G133="Complete","Delivered","Application Pipeline")))))))),IF(G133="Complete","Delivered",IF(AND(OR(G133="Permission Granted",G133="Commencement Expected"),OR(AC133="Yes",AE133="Yes")),"Constrained / uncertain",IF(G133="On Site","Committed",IF(G133="Part Complete","Committed",IF(G133="Contract Awarded","Committed Pre-Construction",IF(G133="Tender","Advanced Pre-Construction",IF(G133="Commencement Expected","Likely",IF(G133="Permission Granted","Potential",IF(G133="Stalled or Suspended","Constrained / uncertain",IF(G133="Complete","Delivered","Application Pipeline"))))))))))))))</f>
        <v>Not counted</v>
      </c>
      <c r="AH133" s="2" t="str">
        <f aca="false">IF(Z133="No","Relationship: "&amp;Y133,IF(AF133&lt;&gt;"","Analyst: "&amp;AF133,IF(G133="Complete","Complete",IF(AND(OR(G133="Permission Granted",G133="Commencement Expected"),AE133="Yes"),"Past expiry",IF(AND(OR(G133="Permission Granted",G133="Commencement Expected"),AC133="Yes"),"No CIS update in "&amp;AB133&amp;" months","As CIS")))))</f>
        <v>Relationship: Extension of duration</v>
      </c>
      <c r="AI133" s="10" t="n">
        <f aca="false">IF(Z133="Yes",N(Q133),0)</f>
        <v>0</v>
      </c>
      <c r="AJ133" s="10" t="n">
        <f aca="false">IF(OR(Z133="No",G133="Complete"),0,MAX(N(Q133)-N(AA133),0))</f>
        <v>0</v>
      </c>
      <c r="AK133" s="10" t="n">
        <f aca="false">IF(Z133="No",0,IF(G133="Complete",N(Q133),MIN(N(AA133),N(Q133))))</f>
        <v>0</v>
      </c>
      <c r="AL133" s="10" t="n">
        <f aca="false">IF(OR(OR(AG133="Not counted",AG133="Excluded",AG133="Delivered"),P133="Student accommodation"),0,AJ133)</f>
        <v>0</v>
      </c>
      <c r="AM133" s="10" t="n">
        <f aca="false">IF(OR(OR(AG133="Not counted",AG133="Excluded",AG133="Delivered"),P133&lt;&gt;"Student accommodation"),0,AJ133)</f>
        <v>0</v>
      </c>
      <c r="AN133" s="10" t="n">
        <f aca="false">IF(OR(AG133="Not counted",AG133="Excluded",AG133="Delivered"),0,N(S133))</f>
        <v>0</v>
      </c>
      <c r="AO133" s="2" t="s">
        <v>1021</v>
      </c>
      <c r="AP133" s="10"/>
      <c r="AQ133" s="10"/>
      <c r="AR133" s="10"/>
      <c r="AS133" s="10"/>
      <c r="AT133" s="10"/>
      <c r="AU133" s="10"/>
      <c r="AV133" s="10" t="n">
        <f aca="false">N(AP133)+N(AQ133)+N(AR133)+N(AS133)+N(AT133)+N(AU133)</f>
        <v>0</v>
      </c>
      <c r="AW133" s="10"/>
      <c r="AX133" s="10"/>
      <c r="AY133" s="10"/>
      <c r="AZ133" s="2"/>
      <c r="BA133" s="2" t="s">
        <v>1022</v>
      </c>
      <c r="BB133" s="2" t="s">
        <v>1491</v>
      </c>
      <c r="BC133" s="2" t="s">
        <v>1023</v>
      </c>
      <c r="BD133" s="2" t="s">
        <v>1024</v>
      </c>
      <c r="BE133" s="2"/>
      <c r="BF133" s="2" t="s">
        <v>1025</v>
      </c>
      <c r="BG133" s="22" t="n">
        <v>45686</v>
      </c>
      <c r="BH133" s="22" t="n">
        <v>46364</v>
      </c>
      <c r="BI133" s="2"/>
      <c r="BJ133" s="22" t="n">
        <v>46364</v>
      </c>
      <c r="BK133" s="2"/>
      <c r="BL133" s="2" t="n">
        <v>0</v>
      </c>
      <c r="BM133" s="2"/>
      <c r="BN133" s="2" t="s">
        <v>1493</v>
      </c>
      <c r="BO133" s="23" t="s">
        <v>1494</v>
      </c>
      <c r="BP133" s="2" t="n">
        <f aca="false">IF(OR(K133="",BG133=""),"",ROUND(BG133-K133,0))</f>
        <v>0</v>
      </c>
      <c r="BQ133" s="2" t="str">
        <f aca="false">IF(OR(N(BK133)=0,Q133=""),"Not recorded",IF(BK133=Q133,"Match","Differs"))</f>
        <v>Not recorded</v>
      </c>
      <c r="BR133" s="2" t="str">
        <f aca="false">IF(N133="No","Excluded (non-residential)",IF(BF133="No reference","Unverified – no reference",IF(BF133="Not in council register","Unverified – not in register (Part 8 / other)",IF(OR(BF133="Refused",BF133="Refused on appeal",BF133="Withdrawn",BF133="Invalid",BF133="Quashed"),IF(OR(G133="Complete",G133="On Site",G133="Part Complete"),"Conflict – register not live but CIS says built","Conflict – not live in register"),IF(AND(G133="Plans Submitted",OR(BF133="Granted",BF133="Granted on appeal")),"Stage out of date – now granted",IF(AND(G133&lt;&gt;"Plans Submitted",OR(BF133="Pending",BF133="Under appeal")),"Check – register still pending",IF(N(BL133)&gt;Method!$B$7,"Check – location differs",IF(AND(BP133&lt;&gt;"",ABS(N(BP133))&gt;60),"Consistent – decision date differs","Consistent"))))))))</f>
        <v>Consistent</v>
      </c>
      <c r="BS133" s="2"/>
      <c r="BT133" s="2"/>
      <c r="BU133" s="2"/>
      <c r="BV133" s="2"/>
      <c r="BW133" s="2"/>
      <c r="BX133" s="2"/>
    </row>
    <row r="134" customFormat="false" ht="15" hidden="false" customHeight="false" outlineLevel="0" collapsed="false">
      <c r="A134" s="2" t="n">
        <v>1386296</v>
      </c>
      <c r="B134" s="2" t="s">
        <v>209</v>
      </c>
      <c r="C134" s="2" t="s">
        <v>1495</v>
      </c>
      <c r="D134" s="2" t="s">
        <v>1496</v>
      </c>
      <c r="E134" s="2" t="s">
        <v>211</v>
      </c>
      <c r="F134" s="2" t="s">
        <v>142</v>
      </c>
      <c r="G134" s="2" t="s">
        <v>198</v>
      </c>
      <c r="H134" s="2" t="s">
        <v>1014</v>
      </c>
      <c r="I134" s="2" t="s">
        <v>198</v>
      </c>
      <c r="J134" s="22" t="n">
        <v>45678</v>
      </c>
      <c r="K134" s="22" t="n">
        <v>45729</v>
      </c>
      <c r="L134" s="22" t="n">
        <v>45734.593422882</v>
      </c>
      <c r="M134" s="2" t="s">
        <v>1016</v>
      </c>
      <c r="N134" s="2" t="s">
        <v>121</v>
      </c>
      <c r="O134" s="2"/>
      <c r="P134" s="2" t="s">
        <v>1017</v>
      </c>
      <c r="Q134" s="10" t="n">
        <v>16</v>
      </c>
      <c r="R134" s="10"/>
      <c r="S134" s="10"/>
      <c r="T134" s="2" t="s">
        <v>22</v>
      </c>
      <c r="U134" s="2" t="s">
        <v>1477</v>
      </c>
      <c r="V134" s="2" t="s">
        <v>1497</v>
      </c>
      <c r="W134" s="2" t="s">
        <v>1498</v>
      </c>
      <c r="X134" s="7"/>
      <c r="Y134" s="2" t="str">
        <f aca="false">IF(X134&lt;&gt;"",X134,T134)</f>
        <v>Extension of duration</v>
      </c>
      <c r="Z134" s="2" t="str">
        <f aca="false">IF(OR(Y134="Primary",Y134="Additional phase",Y134="Additional application on site",Y134="Replaces earlier",Y134="Extension of duration (parent not in CIS)"),"Yes","No")</f>
        <v>No</v>
      </c>
      <c r="AA134" s="2"/>
      <c r="AB134" s="2" t="n">
        <f aca="false">IF(L134="","",ROUND((Method!$B$4-L134)/30.44,0))</f>
        <v>18</v>
      </c>
      <c r="AC134" s="2" t="str">
        <f aca="false">IF(AB134="","No",IF(AB134&gt;Method!$B$5,"Yes","No"))</f>
        <v>No</v>
      </c>
      <c r="AD134" s="22" t="n">
        <f aca="false">IF(BJ134&lt;&gt;"",BJ134,IF(K134&lt;&gt;"",EDATE(K134,60),""))</f>
        <v>46185</v>
      </c>
      <c r="AE134" s="2" t="str">
        <f aca="false">IF(AND(AD134&lt;&gt;"",OR(G134="Permission Granted",G134="Commencement Expected",G134="Stalled or Suspended")),IF(AD134&lt;Method!$B$4,"Yes","No"),"No")</f>
        <v>No</v>
      </c>
      <c r="AF134" s="7"/>
      <c r="AG134" s="2" t="str">
        <f aca="false">IF(Z134="No","Not counted",IF(AF134="Lapsed or dead","Excluded",IF(AF134="Constrained","Constrained / uncertain",IF(AF134="Confirmed live",IF(G134="On Site","Committed",IF(G134="Part Complete","Committed",IF(G134="Contract Awarded","Committed Pre-Construction",IF(G134="Tender","Advanced Pre-Construction",IF(G134="Commencement Expected","Likely",IF(G134="Permission Granted","Potential",IF(G134="Stalled or Suspended","Constrained / uncertain",IF(G134="Complete","Delivered","Application Pipeline")))))))),IF(G134="Complete","Delivered",IF(AND(OR(G134="Permission Granted",G134="Commencement Expected"),OR(AC134="Yes",AE134="Yes")),"Constrained / uncertain",IF(G134="On Site","Committed",IF(G134="Part Complete","Committed",IF(G134="Contract Awarded","Committed Pre-Construction",IF(G134="Tender","Advanced Pre-Construction",IF(G134="Commencement Expected","Likely",IF(G134="Permission Granted","Potential",IF(G134="Stalled or Suspended","Constrained / uncertain",IF(G134="Complete","Delivered","Application Pipeline"))))))))))))))</f>
        <v>Not counted</v>
      </c>
      <c r="AH134" s="2" t="str">
        <f aca="false">IF(Z134="No","Relationship: "&amp;Y134,IF(AF134&lt;&gt;"","Analyst: "&amp;AF134,IF(G134="Complete","Complete",IF(AND(OR(G134="Permission Granted",G134="Commencement Expected"),AE134="Yes"),"Past expiry",IF(AND(OR(G134="Permission Granted",G134="Commencement Expected"),AC134="Yes"),"No CIS update in "&amp;AB134&amp;" months","As CIS")))))</f>
        <v>Relationship: Extension of duration</v>
      </c>
      <c r="AI134" s="10" t="n">
        <f aca="false">IF(Z134="Yes",N(Q134),0)</f>
        <v>0</v>
      </c>
      <c r="AJ134" s="10" t="n">
        <f aca="false">IF(OR(Z134="No",G134="Complete"),0,MAX(N(Q134)-N(AA134),0))</f>
        <v>0</v>
      </c>
      <c r="AK134" s="10" t="n">
        <f aca="false">IF(Z134="No",0,IF(G134="Complete",N(Q134),MIN(N(AA134),N(Q134))))</f>
        <v>0</v>
      </c>
      <c r="AL134" s="10" t="n">
        <f aca="false">IF(OR(OR(AG134="Not counted",AG134="Excluded",AG134="Delivered"),P134="Student accommodation"),0,AJ134)</f>
        <v>0</v>
      </c>
      <c r="AM134" s="10" t="n">
        <f aca="false">IF(OR(OR(AG134="Not counted",AG134="Excluded",AG134="Delivered"),P134&lt;&gt;"Student accommodation"),0,AJ134)</f>
        <v>0</v>
      </c>
      <c r="AN134" s="10" t="n">
        <f aca="false">IF(OR(AG134="Not counted",AG134="Excluded",AG134="Delivered"),0,N(S134))</f>
        <v>0</v>
      </c>
      <c r="AO134" s="2" t="s">
        <v>1021</v>
      </c>
      <c r="AP134" s="10"/>
      <c r="AQ134" s="10"/>
      <c r="AR134" s="10"/>
      <c r="AS134" s="10"/>
      <c r="AT134" s="10"/>
      <c r="AU134" s="10"/>
      <c r="AV134" s="10" t="n">
        <f aca="false">N(AP134)+N(AQ134)+N(AR134)+N(AS134)+N(AT134)+N(AU134)</f>
        <v>0</v>
      </c>
      <c r="AW134" s="10"/>
      <c r="AX134" s="10"/>
      <c r="AY134" s="10"/>
      <c r="AZ134" s="2"/>
      <c r="BA134" s="2" t="s">
        <v>1022</v>
      </c>
      <c r="BB134" s="2" t="s">
        <v>1495</v>
      </c>
      <c r="BC134" s="2" t="s">
        <v>1023</v>
      </c>
      <c r="BD134" s="2" t="s">
        <v>1024</v>
      </c>
      <c r="BE134" s="2"/>
      <c r="BF134" s="2" t="s">
        <v>1025</v>
      </c>
      <c r="BG134" s="22" t="n">
        <v>45729</v>
      </c>
      <c r="BH134" s="22" t="n">
        <v>46185</v>
      </c>
      <c r="BI134" s="2"/>
      <c r="BJ134" s="22" t="n">
        <v>46185</v>
      </c>
      <c r="BK134" s="2"/>
      <c r="BL134" s="2" t="n">
        <v>0</v>
      </c>
      <c r="BM134" s="2"/>
      <c r="BN134" s="2" t="s">
        <v>1479</v>
      </c>
      <c r="BO134" s="23" t="s">
        <v>1499</v>
      </c>
      <c r="BP134" s="2" t="n">
        <f aca="false">IF(OR(K134="",BG134=""),"",ROUND(BG134-K134,0))</f>
        <v>0</v>
      </c>
      <c r="BQ134" s="2" t="str">
        <f aca="false">IF(OR(N(BK134)=0,Q134=""),"Not recorded",IF(BK134=Q134,"Match","Differs"))</f>
        <v>Not recorded</v>
      </c>
      <c r="BR134" s="2" t="str">
        <f aca="false">IF(N134="No","Excluded (non-residential)",IF(BF134="No reference","Unverified – no reference",IF(BF134="Not in council register","Unverified – not in register (Part 8 / other)",IF(OR(BF134="Refused",BF134="Refused on appeal",BF134="Withdrawn",BF134="Invalid",BF134="Quashed"),IF(OR(G134="Complete",G134="On Site",G134="Part Complete"),"Conflict – register not live but CIS says built","Conflict – not live in register"),IF(AND(G134="Plans Submitted",OR(BF134="Granted",BF134="Granted on appeal")),"Stage out of date – now granted",IF(AND(G134&lt;&gt;"Plans Submitted",OR(BF134="Pending",BF134="Under appeal")),"Check – register still pending",IF(N(BL134)&gt;Method!$B$7,"Check – location differs",IF(AND(BP134&lt;&gt;"",ABS(N(BP134))&gt;60),"Consistent – decision date differs","Consistent"))))))))</f>
        <v>Consistent</v>
      </c>
      <c r="BS134" s="2"/>
      <c r="BT134" s="2"/>
      <c r="BU134" s="2"/>
      <c r="BV134" s="2"/>
      <c r="BW134" s="2"/>
      <c r="BX134" s="2"/>
    </row>
    <row r="135" customFormat="false" ht="15" hidden="false" customHeight="false" outlineLevel="0" collapsed="false">
      <c r="A135" s="2" t="n">
        <v>985986</v>
      </c>
      <c r="B135" s="2" t="s">
        <v>195</v>
      </c>
      <c r="C135" s="2" t="s">
        <v>1500</v>
      </c>
      <c r="D135" s="2" t="s">
        <v>196</v>
      </c>
      <c r="E135" s="2" t="s">
        <v>197</v>
      </c>
      <c r="F135" s="2" t="s">
        <v>142</v>
      </c>
      <c r="G135" s="2" t="s">
        <v>187</v>
      </c>
      <c r="H135" s="2" t="s">
        <v>1014</v>
      </c>
      <c r="I135" s="2"/>
      <c r="J135" s="22" t="n">
        <v>43201</v>
      </c>
      <c r="K135" s="22" t="n">
        <v>43361</v>
      </c>
      <c r="L135" s="22" t="n">
        <v>45187.6110681366</v>
      </c>
      <c r="M135" s="2" t="s">
        <v>1016</v>
      </c>
      <c r="N135" s="2" t="s">
        <v>121</v>
      </c>
      <c r="O135" s="2"/>
      <c r="P135" s="2" t="s">
        <v>1017</v>
      </c>
      <c r="Q135" s="10" t="n">
        <v>49</v>
      </c>
      <c r="R135" s="10" t="n">
        <v>49</v>
      </c>
      <c r="S135" s="10"/>
      <c r="T135" s="2" t="s">
        <v>120</v>
      </c>
      <c r="U135" s="2"/>
      <c r="V135" s="2" t="s">
        <v>1029</v>
      </c>
      <c r="W135" s="2" t="s">
        <v>1030</v>
      </c>
      <c r="X135" s="7"/>
      <c r="Y135" s="2" t="str">
        <f aca="false">IF(X135&lt;&gt;"",X135,T135)</f>
        <v>Primary</v>
      </c>
      <c r="Z135" s="2" t="str">
        <f aca="false">IF(OR(Y135="Primary",Y135="Additional phase",Y135="Additional application on site",Y135="Replaces earlier",Y135="Extension of duration (parent not in CIS)"),"Yes","No")</f>
        <v>Yes</v>
      </c>
      <c r="AA135" s="2"/>
      <c r="AB135" s="2" t="n">
        <f aca="false">IF(L135="","",ROUND((Method!$B$4-L135)/30.44,0))</f>
        <v>36</v>
      </c>
      <c r="AC135" s="2" t="str">
        <f aca="false">IF(AB135="","No",IF(AB135&gt;Method!$B$5,"Yes","No"))</f>
        <v>Yes</v>
      </c>
      <c r="AD135" s="22" t="n">
        <f aca="false">IF(BJ135&lt;&gt;"",BJ135,IF(K135&lt;&gt;"",EDATE(K135,60),""))</f>
        <v>45221</v>
      </c>
      <c r="AE135" s="2" t="str">
        <f aca="false">IF(AND(AD135&lt;&gt;"",OR(G135="Permission Granted",G135="Commencement Expected",G135="Stalled or Suspended")),IF(AD135&lt;Method!$B$4,"Yes","No"),"No")</f>
        <v>Yes</v>
      </c>
      <c r="AF135" s="7"/>
      <c r="AG135" s="2" t="str">
        <f aca="false">IF(Z135="No","Not counted",IF(AF135="Lapsed or dead","Excluded",IF(AF135="Constrained","Constrained / uncertain",IF(AF135="Confirmed live",IF(G135="On Site","Committed",IF(G135="Part Complete","Committed",IF(G135="Contract Awarded","Committed Pre-Construction",IF(G135="Tender","Advanced Pre-Construction",IF(G135="Commencement Expected","Likely",IF(G135="Permission Granted","Potential",IF(G135="Stalled or Suspended","Constrained / uncertain",IF(G135="Complete","Delivered","Application Pipeline")))))))),IF(G135="Complete","Delivered",IF(AND(OR(G135="Permission Granted",G135="Commencement Expected"),OR(AC135="Yes",AE135="Yes")),"Constrained / uncertain",IF(G135="On Site","Committed",IF(G135="Part Complete","Committed",IF(G135="Contract Awarded","Committed Pre-Construction",IF(G135="Tender","Advanced Pre-Construction",IF(G135="Commencement Expected","Likely",IF(G135="Permission Granted","Potential",IF(G135="Stalled or Suspended","Constrained / uncertain",IF(G135="Complete","Delivered","Application Pipeline"))))))))))))))</f>
        <v>Constrained / uncertain</v>
      </c>
      <c r="AH135" s="2" t="str">
        <f aca="false">IF(Z135="No","Relationship: "&amp;Y135,IF(AF135&lt;&gt;"","Analyst: "&amp;AF135,IF(G135="Complete","Complete",IF(AND(OR(G135="Permission Granted",G135="Commencement Expected"),AE135="Yes"),"Past expiry",IF(AND(OR(G135="Permission Granted",G135="Commencement Expected"),AC135="Yes"),"No CIS update in "&amp;AB135&amp;" months","As CIS")))))</f>
        <v>Past expiry</v>
      </c>
      <c r="AI135" s="10" t="n">
        <f aca="false">IF(Z135="Yes",N(Q135),0)</f>
        <v>49</v>
      </c>
      <c r="AJ135" s="10" t="n">
        <f aca="false">IF(OR(Z135="No",G135="Complete"),0,MAX(N(Q135)-N(AA135),0))</f>
        <v>49</v>
      </c>
      <c r="AK135" s="10" t="n">
        <f aca="false">IF(Z135="No",0,IF(G135="Complete",N(Q135),MIN(N(AA135),N(Q135))))</f>
        <v>0</v>
      </c>
      <c r="AL135" s="10" t="n">
        <f aca="false">IF(OR(OR(AG135="Not counted",AG135="Excluded",AG135="Delivered"),P135="Student accommodation"),0,AJ135)</f>
        <v>49</v>
      </c>
      <c r="AM135" s="10" t="n">
        <f aca="false">IF(OR(OR(AG135="Not counted",AG135="Excluded",AG135="Delivered"),P135&lt;&gt;"Student accommodation"),0,AJ135)</f>
        <v>0</v>
      </c>
      <c r="AN135" s="10" t="n">
        <f aca="false">IF(OR(AG135="Not counted",AG135="Excluded",AG135="Delivered"),0,N(S135))</f>
        <v>0</v>
      </c>
      <c r="AO135" s="2" t="s">
        <v>1021</v>
      </c>
      <c r="AP135" s="10"/>
      <c r="AQ135" s="10"/>
      <c r="AR135" s="10"/>
      <c r="AS135" s="10"/>
      <c r="AT135" s="10"/>
      <c r="AU135" s="10"/>
      <c r="AV135" s="10" t="n">
        <f aca="false">N(AP135)+N(AQ135)+N(AR135)+N(AS135)+N(AT135)+N(AU135)</f>
        <v>0</v>
      </c>
      <c r="AW135" s="10"/>
      <c r="AX135" s="10"/>
      <c r="AY135" s="10"/>
      <c r="AZ135" s="2"/>
      <c r="BA135" s="2" t="s">
        <v>1022</v>
      </c>
      <c r="BB135" s="2" t="s">
        <v>1500</v>
      </c>
      <c r="BC135" s="2" t="s">
        <v>1023</v>
      </c>
      <c r="BD135" s="2" t="s">
        <v>1024</v>
      </c>
      <c r="BE135" s="2"/>
      <c r="BF135" s="2" t="s">
        <v>1025</v>
      </c>
      <c r="BG135" s="22" t="n">
        <v>43361</v>
      </c>
      <c r="BH135" s="22" t="n">
        <v>45221</v>
      </c>
      <c r="BI135" s="2"/>
      <c r="BJ135" s="22" t="n">
        <v>45221</v>
      </c>
      <c r="BK135" s="2" t="n">
        <v>49</v>
      </c>
      <c r="BL135" s="2" t="n">
        <v>0</v>
      </c>
      <c r="BM135" s="2"/>
      <c r="BN135" s="2" t="s">
        <v>1501</v>
      </c>
      <c r="BO135" s="23" t="s">
        <v>1502</v>
      </c>
      <c r="BP135" s="2" t="n">
        <f aca="false">IF(OR(K135="",BG135=""),"",ROUND(BG135-K135,0))</f>
        <v>0</v>
      </c>
      <c r="BQ135" s="2" t="str">
        <f aca="false">IF(OR(N(BK135)=0,Q135=""),"Not recorded",IF(BK135=Q135,"Match","Differs"))</f>
        <v>Match</v>
      </c>
      <c r="BR135" s="2" t="str">
        <f aca="false">IF(N135="No","Excluded (non-residential)",IF(BF135="No reference","Unverified – no reference",IF(BF135="Not in council register","Unverified – not in register (Part 8 / other)",IF(OR(BF135="Refused",BF135="Refused on appeal",BF135="Withdrawn",BF135="Invalid",BF135="Quashed"),IF(OR(G135="Complete",G135="On Site",G135="Part Complete"),"Conflict – register not live but CIS says built","Conflict – not live in register"),IF(AND(G135="Plans Submitted",OR(BF135="Granted",BF135="Granted on appeal")),"Stage out of date – now granted",IF(AND(G135&lt;&gt;"Plans Submitted",OR(BF135="Pending",BF135="Under appeal")),"Check – register still pending",IF(N(BL135)&gt;Method!$B$7,"Check – location differs",IF(AND(BP135&lt;&gt;"",ABS(N(BP135))&gt;60),"Consistent – decision date differs","Consistent"))))))))</f>
        <v>Consistent</v>
      </c>
      <c r="BS135" s="2"/>
      <c r="BT135" s="2"/>
      <c r="BU135" s="2"/>
      <c r="BV135" s="2"/>
      <c r="BW135" s="2"/>
      <c r="BX135" s="2"/>
    </row>
    <row r="136" customFormat="false" ht="15" hidden="false" customHeight="false" outlineLevel="0" collapsed="false">
      <c r="A136" s="2" t="n">
        <v>1057729</v>
      </c>
      <c r="B136" s="2" t="s">
        <v>195</v>
      </c>
      <c r="C136" s="2" t="s">
        <v>1503</v>
      </c>
      <c r="D136" s="2" t="s">
        <v>1504</v>
      </c>
      <c r="E136" s="2" t="s">
        <v>197</v>
      </c>
      <c r="F136" s="2" t="s">
        <v>142</v>
      </c>
      <c r="G136" s="2" t="s">
        <v>198</v>
      </c>
      <c r="H136" s="2" t="s">
        <v>1014</v>
      </c>
      <c r="I136" s="2" t="s">
        <v>198</v>
      </c>
      <c r="J136" s="22" t="n">
        <v>43657</v>
      </c>
      <c r="K136" s="22" t="n">
        <v>43854</v>
      </c>
      <c r="L136" s="22" t="n">
        <v>46262.4019788542</v>
      </c>
      <c r="M136" s="2" t="s">
        <v>1016</v>
      </c>
      <c r="N136" s="2" t="s">
        <v>121</v>
      </c>
      <c r="O136" s="2"/>
      <c r="P136" s="2" t="s">
        <v>1017</v>
      </c>
      <c r="Q136" s="10" t="n">
        <v>9</v>
      </c>
      <c r="R136" s="10" t="n">
        <v>8</v>
      </c>
      <c r="S136" s="10"/>
      <c r="T136" s="2" t="s">
        <v>30</v>
      </c>
      <c r="U136" s="2"/>
      <c r="V136" s="2" t="s">
        <v>1080</v>
      </c>
      <c r="W136" s="2" t="s">
        <v>1020</v>
      </c>
      <c r="X136" s="7"/>
      <c r="Y136" s="2" t="str">
        <f aca="false">IF(X136&lt;&gt;"",X136,T136)</f>
        <v>Additional application on site</v>
      </c>
      <c r="Z136" s="2" t="str">
        <f aca="false">IF(OR(Y136="Primary",Y136="Additional phase",Y136="Additional application on site",Y136="Replaces earlier",Y136="Extension of duration (parent not in CIS)"),"Yes","No")</f>
        <v>Yes</v>
      </c>
      <c r="AA136" s="2"/>
      <c r="AB136" s="2" t="n">
        <f aca="false">IF(L136="","",ROUND((Method!$B$4-L136)/30.44,0))</f>
        <v>1</v>
      </c>
      <c r="AC136" s="2" t="str">
        <f aca="false">IF(AB136="","No",IF(AB136&gt;Method!$B$5,"Yes","No"))</f>
        <v>No</v>
      </c>
      <c r="AD136" s="22" t="n">
        <f aca="false">IF(BJ136&lt;&gt;"",BJ136,IF(K136&lt;&gt;"",EDATE(K136,60),""))</f>
        <v>46270</v>
      </c>
      <c r="AE136" s="2" t="str">
        <f aca="false">IF(AND(AD136&lt;&gt;"",OR(G136="Permission Granted",G136="Commencement Expected",G136="Stalled or Suspended")),IF(AD136&lt;Method!$B$4,"Yes","No"),"No")</f>
        <v>No</v>
      </c>
      <c r="AF136" s="7"/>
      <c r="AG136" s="2" t="str">
        <f aca="false">IF(Z136="No","Not counted",IF(AF136="Lapsed or dead","Excluded",IF(AF136="Constrained","Constrained / uncertain",IF(AF136="Confirmed live",IF(G136="On Site","Committed",IF(G136="Part Complete","Committed",IF(G136="Contract Awarded","Committed Pre-Construction",IF(G136="Tender","Advanced Pre-Construction",IF(G136="Commencement Expected","Likely",IF(G136="Permission Granted","Potential",IF(G136="Stalled or Suspended","Constrained / uncertain",IF(G136="Complete","Delivered","Application Pipeline")))))))),IF(G136="Complete","Delivered",IF(AND(OR(G136="Permission Granted",G136="Commencement Expected"),OR(AC136="Yes",AE136="Yes")),"Constrained / uncertain",IF(G136="On Site","Committed",IF(G136="Part Complete","Committed",IF(G136="Contract Awarded","Committed Pre-Construction",IF(G136="Tender","Advanced Pre-Construction",IF(G136="Commencement Expected","Likely",IF(G136="Permission Granted","Potential",IF(G136="Stalled or Suspended","Constrained / uncertain",IF(G136="Complete","Delivered","Application Pipeline"))))))))))))))</f>
        <v>Committed</v>
      </c>
      <c r="AH136" s="2" t="str">
        <f aca="false">IF(Z136="No","Relationship: "&amp;Y136,IF(AF136&lt;&gt;"","Analyst: "&amp;AF136,IF(G136="Complete","Complete",IF(AND(OR(G136="Permission Granted",G136="Commencement Expected"),AE136="Yes"),"Past expiry",IF(AND(OR(G136="Permission Granted",G136="Commencement Expected"),AC136="Yes"),"No CIS update in "&amp;AB136&amp;" months","As CIS")))))</f>
        <v>As CIS</v>
      </c>
      <c r="AI136" s="10" t="n">
        <f aca="false">IF(Z136="Yes",N(Q136),0)</f>
        <v>9</v>
      </c>
      <c r="AJ136" s="10" t="n">
        <f aca="false">IF(OR(Z136="No",G136="Complete"),0,MAX(N(Q136)-N(AA136),0))</f>
        <v>9</v>
      </c>
      <c r="AK136" s="10" t="n">
        <f aca="false">IF(Z136="No",0,IF(G136="Complete",N(Q136),MIN(N(AA136),N(Q136))))</f>
        <v>0</v>
      </c>
      <c r="AL136" s="10" t="n">
        <f aca="false">IF(OR(OR(AG136="Not counted",AG136="Excluded",AG136="Delivered"),P136="Student accommodation"),0,AJ136)</f>
        <v>9</v>
      </c>
      <c r="AM136" s="10" t="n">
        <f aca="false">IF(OR(OR(AG136="Not counted",AG136="Excluded",AG136="Delivered"),P136&lt;&gt;"Student accommodation"),0,AJ136)</f>
        <v>0</v>
      </c>
      <c r="AN136" s="10" t="n">
        <f aca="false">IF(OR(AG136="Not counted",AG136="Excluded",AG136="Delivered"),0,N(S136))</f>
        <v>0</v>
      </c>
      <c r="AO136" s="2" t="s">
        <v>1021</v>
      </c>
      <c r="AP136" s="10"/>
      <c r="AQ136" s="10"/>
      <c r="AR136" s="10"/>
      <c r="AS136" s="10"/>
      <c r="AT136" s="10"/>
      <c r="AU136" s="10"/>
      <c r="AV136" s="10" t="n">
        <f aca="false">N(AP136)+N(AQ136)+N(AR136)+N(AS136)+N(AT136)+N(AU136)</f>
        <v>0</v>
      </c>
      <c r="AW136" s="10"/>
      <c r="AX136" s="10"/>
      <c r="AY136" s="10"/>
      <c r="AZ136" s="2"/>
      <c r="BA136" s="2" t="s">
        <v>1022</v>
      </c>
      <c r="BB136" s="2" t="s">
        <v>1503</v>
      </c>
      <c r="BC136" s="2" t="s">
        <v>1023</v>
      </c>
      <c r="BD136" s="2" t="s">
        <v>1024</v>
      </c>
      <c r="BE136" s="2"/>
      <c r="BF136" s="2" t="s">
        <v>1025</v>
      </c>
      <c r="BG136" s="22" t="n">
        <v>43854</v>
      </c>
      <c r="BH136" s="22" t="n">
        <v>45714</v>
      </c>
      <c r="BI136" s="2" t="s">
        <v>1505</v>
      </c>
      <c r="BJ136" s="22" t="n">
        <v>46270</v>
      </c>
      <c r="BK136" s="2" t="n">
        <v>8</v>
      </c>
      <c r="BL136" s="2" t="n">
        <v>0</v>
      </c>
      <c r="BM136" s="2"/>
      <c r="BN136" s="2" t="s">
        <v>1506</v>
      </c>
      <c r="BO136" s="23" t="s">
        <v>1507</v>
      </c>
      <c r="BP136" s="2" t="n">
        <f aca="false">IF(OR(K136="",BG136=""),"",ROUND(BG136-K136,0))</f>
        <v>0</v>
      </c>
      <c r="BQ136" s="2" t="str">
        <f aca="false">IF(OR(N(BK136)=0,Q136=""),"Not recorded",IF(BK136=Q136,"Match","Differs"))</f>
        <v>Differs</v>
      </c>
      <c r="BR136" s="2" t="str">
        <f aca="false">IF(N136="No","Excluded (non-residential)",IF(BF136="No reference","Unverified – no reference",IF(BF136="Not in council register","Unverified – not in register (Part 8 / other)",IF(OR(BF136="Refused",BF136="Refused on appeal",BF136="Withdrawn",BF136="Invalid",BF136="Quashed"),IF(OR(G136="Complete",G136="On Site",G136="Part Complete"),"Conflict – register not live but CIS says built","Conflict – not live in register"),IF(AND(G136="Plans Submitted",OR(BF136="Granted",BF136="Granted on appeal")),"Stage out of date – now granted",IF(AND(G136&lt;&gt;"Plans Submitted",OR(BF136="Pending",BF136="Under appeal")),"Check – register still pending",IF(N(BL136)&gt;Method!$B$7,"Check – location differs",IF(AND(BP136&lt;&gt;"",ABS(N(BP136))&gt;60),"Consistent – decision date differs","Consistent"))))))))</f>
        <v>Consistent</v>
      </c>
      <c r="BS136" s="2"/>
      <c r="BT136" s="2"/>
      <c r="BU136" s="2"/>
      <c r="BV136" s="2"/>
      <c r="BW136" s="2"/>
      <c r="BX136" s="2"/>
    </row>
    <row r="137" customFormat="false" ht="15" hidden="false" customHeight="false" outlineLevel="0" collapsed="false">
      <c r="A137" s="2" t="n">
        <v>1097151</v>
      </c>
      <c r="B137" s="2" t="s">
        <v>195</v>
      </c>
      <c r="C137" s="2" t="s">
        <v>1508</v>
      </c>
      <c r="D137" s="2" t="s">
        <v>1509</v>
      </c>
      <c r="E137" s="2" t="s">
        <v>197</v>
      </c>
      <c r="F137" s="2" t="s">
        <v>142</v>
      </c>
      <c r="G137" s="2" t="s">
        <v>194</v>
      </c>
      <c r="H137" s="2" t="s">
        <v>1014</v>
      </c>
      <c r="I137" s="2" t="s">
        <v>198</v>
      </c>
      <c r="J137" s="22" t="n">
        <v>43923</v>
      </c>
      <c r="K137" s="22" t="n">
        <v>44167</v>
      </c>
      <c r="L137" s="22" t="n">
        <v>45644.6344735764</v>
      </c>
      <c r="M137" s="2" t="s">
        <v>1016</v>
      </c>
      <c r="N137" s="2" t="s">
        <v>121</v>
      </c>
      <c r="O137" s="2"/>
      <c r="P137" s="2" t="s">
        <v>1017</v>
      </c>
      <c r="Q137" s="10" t="n">
        <v>36</v>
      </c>
      <c r="R137" s="10"/>
      <c r="S137" s="10"/>
      <c r="T137" s="2" t="s">
        <v>30</v>
      </c>
      <c r="U137" s="2"/>
      <c r="V137" s="2" t="s">
        <v>1080</v>
      </c>
      <c r="W137" s="2" t="s">
        <v>1020</v>
      </c>
      <c r="X137" s="7"/>
      <c r="Y137" s="2" t="str">
        <f aca="false">IF(X137&lt;&gt;"",X137,T137)</f>
        <v>Additional application on site</v>
      </c>
      <c r="Z137" s="2" t="str">
        <f aca="false">IF(OR(Y137="Primary",Y137="Additional phase",Y137="Additional application on site",Y137="Replaces earlier",Y137="Extension of duration (parent not in CIS)"),"Yes","No")</f>
        <v>Yes</v>
      </c>
      <c r="AA137" s="2"/>
      <c r="AB137" s="2" t="n">
        <f aca="false">IF(L137="","",ROUND((Method!$B$4-L137)/30.44,0))</f>
        <v>21</v>
      </c>
      <c r="AC137" s="2" t="str">
        <f aca="false">IF(AB137="","No",IF(AB137&gt;Method!$B$5,"Yes","No"))</f>
        <v>No</v>
      </c>
      <c r="AD137" s="22" t="n">
        <f aca="false">IF(BJ137&lt;&gt;"",BJ137,IF(K137&lt;&gt;"",EDATE(K137,60),""))</f>
        <v>45992</v>
      </c>
      <c r="AE137" s="2" t="str">
        <f aca="false">IF(AND(AD137&lt;&gt;"",OR(G137="Permission Granted",G137="Commencement Expected",G137="Stalled or Suspended")),IF(AD137&lt;Method!$B$4,"Yes","No"),"No")</f>
        <v>Yes</v>
      </c>
      <c r="AF137" s="7"/>
      <c r="AG137" s="2" t="str">
        <f aca="false">IF(Z137="No","Not counted",IF(AF137="Lapsed or dead","Excluded",IF(AF137="Constrained","Constrained / uncertain",IF(AF137="Confirmed live",IF(G137="On Site","Committed",IF(G137="Part Complete","Committed",IF(G137="Contract Awarded","Committed Pre-Construction",IF(G137="Tender","Advanced Pre-Construction",IF(G137="Commencement Expected","Likely",IF(G137="Permission Granted","Potential",IF(G137="Stalled or Suspended","Constrained / uncertain",IF(G137="Complete","Delivered","Application Pipeline")))))))),IF(G137="Complete","Delivered",IF(AND(OR(G137="Permission Granted",G137="Commencement Expected"),OR(AC137="Yes",AE137="Yes")),"Constrained / uncertain",IF(G137="On Site","Committed",IF(G137="Part Complete","Committed",IF(G137="Contract Awarded","Committed Pre-Construction",IF(G137="Tender","Advanced Pre-Construction",IF(G137="Commencement Expected","Likely",IF(G137="Permission Granted","Potential",IF(G137="Stalled or Suspended","Constrained / uncertain",IF(G137="Complete","Delivered","Application Pipeline"))))))))))))))</f>
        <v>Constrained / uncertain</v>
      </c>
      <c r="AH137" s="2" t="str">
        <f aca="false">IF(Z137="No","Relationship: "&amp;Y137,IF(AF137&lt;&gt;"","Analyst: "&amp;AF137,IF(G137="Complete","Complete",IF(AND(OR(G137="Permission Granted",G137="Commencement Expected"),AE137="Yes"),"Past expiry",IF(AND(OR(G137="Permission Granted",G137="Commencement Expected"),AC137="Yes"),"No CIS update in "&amp;AB137&amp;" months","As CIS")))))</f>
        <v>Past expiry</v>
      </c>
      <c r="AI137" s="10" t="n">
        <f aca="false">IF(Z137="Yes",N(Q137),0)</f>
        <v>36</v>
      </c>
      <c r="AJ137" s="10" t="n">
        <f aca="false">IF(OR(Z137="No",G137="Complete"),0,MAX(N(Q137)-N(AA137),0))</f>
        <v>36</v>
      </c>
      <c r="AK137" s="10" t="n">
        <f aca="false">IF(Z137="No",0,IF(G137="Complete",N(Q137),MIN(N(AA137),N(Q137))))</f>
        <v>0</v>
      </c>
      <c r="AL137" s="10" t="n">
        <f aca="false">IF(OR(OR(AG137="Not counted",AG137="Excluded",AG137="Delivered"),P137="Student accommodation"),0,AJ137)</f>
        <v>36</v>
      </c>
      <c r="AM137" s="10" t="n">
        <f aca="false">IF(OR(OR(AG137="Not counted",AG137="Excluded",AG137="Delivered"),P137&lt;&gt;"Student accommodation"),0,AJ137)</f>
        <v>0</v>
      </c>
      <c r="AN137" s="10" t="n">
        <f aca="false">IF(OR(AG137="Not counted",AG137="Excluded",AG137="Delivered"),0,N(S137))</f>
        <v>0</v>
      </c>
      <c r="AO137" s="2" t="s">
        <v>1021</v>
      </c>
      <c r="AP137" s="10"/>
      <c r="AQ137" s="10"/>
      <c r="AR137" s="10"/>
      <c r="AS137" s="10"/>
      <c r="AT137" s="10"/>
      <c r="AU137" s="10"/>
      <c r="AV137" s="10" t="n">
        <f aca="false">N(AP137)+N(AQ137)+N(AR137)+N(AS137)+N(AT137)+N(AU137)</f>
        <v>0</v>
      </c>
      <c r="AW137" s="10"/>
      <c r="AX137" s="10"/>
      <c r="AY137" s="10"/>
      <c r="AZ137" s="2"/>
      <c r="BA137" s="2" t="s">
        <v>1022</v>
      </c>
      <c r="BB137" s="2" t="s">
        <v>1508</v>
      </c>
      <c r="BC137" s="2" t="s">
        <v>1023</v>
      </c>
      <c r="BD137" s="2" t="s">
        <v>1024</v>
      </c>
      <c r="BE137" s="2"/>
      <c r="BF137" s="2" t="s">
        <v>1025</v>
      </c>
      <c r="BG137" s="22" t="n">
        <v>44167</v>
      </c>
      <c r="BH137" s="22" t="n">
        <v>45992</v>
      </c>
      <c r="BI137" s="2"/>
      <c r="BJ137" s="22" t="n">
        <v>45992</v>
      </c>
      <c r="BK137" s="2" t="n">
        <v>36</v>
      </c>
      <c r="BL137" s="2" t="n">
        <v>0</v>
      </c>
      <c r="BM137" s="2"/>
      <c r="BN137" s="2" t="s">
        <v>1510</v>
      </c>
      <c r="BO137" s="23" t="s">
        <v>1511</v>
      </c>
      <c r="BP137" s="2" t="n">
        <f aca="false">IF(OR(K137="",BG137=""),"",ROUND(BG137-K137,0))</f>
        <v>0</v>
      </c>
      <c r="BQ137" s="2" t="str">
        <f aca="false">IF(OR(N(BK137)=0,Q137=""),"Not recorded",IF(BK137=Q137,"Match","Differs"))</f>
        <v>Match</v>
      </c>
      <c r="BR137" s="2" t="str">
        <f aca="false">IF(N137="No","Excluded (non-residential)",IF(BF137="No reference","Unverified – no reference",IF(BF137="Not in council register","Unverified – not in register (Part 8 / other)",IF(OR(BF137="Refused",BF137="Refused on appeal",BF137="Withdrawn",BF137="Invalid",BF137="Quashed"),IF(OR(G137="Complete",G137="On Site",G137="Part Complete"),"Conflict – register not live but CIS says built","Conflict – not live in register"),IF(AND(G137="Plans Submitted",OR(BF137="Granted",BF137="Granted on appeal")),"Stage out of date – now granted",IF(AND(G137&lt;&gt;"Plans Submitted",OR(BF137="Pending",BF137="Under appeal")),"Check – register still pending",IF(N(BL137)&gt;Method!$B$7,"Check – location differs",IF(AND(BP137&lt;&gt;"",ABS(N(BP137))&gt;60),"Consistent – decision date differs","Consistent"))))))))</f>
        <v>Consistent</v>
      </c>
      <c r="BS137" s="2"/>
      <c r="BT137" s="2"/>
      <c r="BU137" s="2"/>
      <c r="BV137" s="2"/>
      <c r="BW137" s="2"/>
      <c r="BX137" s="2"/>
    </row>
    <row r="138" customFormat="false" ht="15" hidden="false" customHeight="false" outlineLevel="0" collapsed="false">
      <c r="A138" s="2" t="n">
        <v>1174682</v>
      </c>
      <c r="B138" s="2" t="s">
        <v>195</v>
      </c>
      <c r="C138" s="2" t="s">
        <v>1512</v>
      </c>
      <c r="D138" s="2" t="s">
        <v>1513</v>
      </c>
      <c r="E138" s="2" t="s">
        <v>197</v>
      </c>
      <c r="F138" s="2" t="s">
        <v>142</v>
      </c>
      <c r="G138" s="2" t="s">
        <v>251</v>
      </c>
      <c r="H138" s="2" t="s">
        <v>1014</v>
      </c>
      <c r="I138" s="2" t="s">
        <v>1015</v>
      </c>
      <c r="J138" s="22" t="n">
        <v>44368</v>
      </c>
      <c r="K138" s="22" t="n">
        <v>44636</v>
      </c>
      <c r="L138" s="22" t="n">
        <v>46185.3723492708</v>
      </c>
      <c r="M138" s="2" t="s">
        <v>1016</v>
      </c>
      <c r="N138" s="2" t="s">
        <v>121</v>
      </c>
      <c r="O138" s="2"/>
      <c r="P138" s="2" t="s">
        <v>1017</v>
      </c>
      <c r="Q138" s="10" t="n">
        <v>9</v>
      </c>
      <c r="R138" s="10"/>
      <c r="S138" s="10"/>
      <c r="T138" s="2" t="s">
        <v>30</v>
      </c>
      <c r="U138" s="2"/>
      <c r="V138" s="2" t="s">
        <v>1080</v>
      </c>
      <c r="W138" s="2" t="s">
        <v>1020</v>
      </c>
      <c r="X138" s="7"/>
      <c r="Y138" s="2" t="str">
        <f aca="false">IF(X138&lt;&gt;"",X138,T138)</f>
        <v>Additional application on site</v>
      </c>
      <c r="Z138" s="2" t="str">
        <f aca="false">IF(OR(Y138="Primary",Y138="Additional phase",Y138="Additional application on site",Y138="Replaces earlier",Y138="Extension of duration (parent not in CIS)"),"Yes","No")</f>
        <v>Yes</v>
      </c>
      <c r="AA138" s="2"/>
      <c r="AB138" s="2" t="n">
        <f aca="false">IF(L138="","",ROUND((Method!$B$4-L138)/30.44,0))</f>
        <v>4</v>
      </c>
      <c r="AC138" s="2" t="str">
        <f aca="false">IF(AB138="","No",IF(AB138&gt;Method!$B$5,"Yes","No"))</f>
        <v>No</v>
      </c>
      <c r="AD138" s="22" t="n">
        <f aca="false">IF(BJ138&lt;&gt;"",BJ138,IF(K138&lt;&gt;"",EDATE(K138,60),""))</f>
        <v>46581</v>
      </c>
      <c r="AE138" s="2" t="str">
        <f aca="false">IF(AND(AD138&lt;&gt;"",OR(G138="Permission Granted",G138="Commencement Expected",G138="Stalled or Suspended")),IF(AD138&lt;Method!$B$4,"Yes","No"),"No")</f>
        <v>No</v>
      </c>
      <c r="AF138" s="7"/>
      <c r="AG138" s="2" t="str">
        <f aca="false">IF(Z138="No","Not counted",IF(AF138="Lapsed or dead","Excluded",IF(AF138="Constrained","Constrained / uncertain",IF(AF138="Confirmed live",IF(G138="On Site","Committed",IF(G138="Part Complete","Committed",IF(G138="Contract Awarded","Committed Pre-Construction",IF(G138="Tender","Advanced Pre-Construction",IF(G138="Commencement Expected","Likely",IF(G138="Permission Granted","Potential",IF(G138="Stalled or Suspended","Constrained / uncertain",IF(G138="Complete","Delivered","Application Pipeline")))))))),IF(G138="Complete","Delivered",IF(AND(OR(G138="Permission Granted",G138="Commencement Expected"),OR(AC138="Yes",AE138="Yes")),"Constrained / uncertain",IF(G138="On Site","Committed",IF(G138="Part Complete","Committed",IF(G138="Contract Awarded","Committed Pre-Construction",IF(G138="Tender","Advanced Pre-Construction",IF(G138="Commencement Expected","Likely",IF(G138="Permission Granted","Potential",IF(G138="Stalled or Suspended","Constrained / uncertain",IF(G138="Complete","Delivered","Application Pipeline"))))))))))))))</f>
        <v>Delivered</v>
      </c>
      <c r="AH138" s="2" t="str">
        <f aca="false">IF(Z138="No","Relationship: "&amp;Y138,IF(AF138&lt;&gt;"","Analyst: "&amp;AF138,IF(G138="Complete","Complete",IF(AND(OR(G138="Permission Granted",G138="Commencement Expected"),AE138="Yes"),"Past expiry",IF(AND(OR(G138="Permission Granted",G138="Commencement Expected"),AC138="Yes"),"No CIS update in "&amp;AB138&amp;" months","As CIS")))))</f>
        <v>Complete</v>
      </c>
      <c r="AI138" s="10" t="n">
        <f aca="false">IF(Z138="Yes",N(Q138),0)</f>
        <v>9</v>
      </c>
      <c r="AJ138" s="10" t="n">
        <f aca="false">IF(OR(Z138="No",G138="Complete"),0,MAX(N(Q138)-N(AA138),0))</f>
        <v>0</v>
      </c>
      <c r="AK138" s="10" t="n">
        <f aca="false">IF(Z138="No",0,IF(G138="Complete",N(Q138),MIN(N(AA138),N(Q138))))</f>
        <v>9</v>
      </c>
      <c r="AL138" s="10" t="n">
        <f aca="false">IF(OR(OR(AG138="Not counted",AG138="Excluded",AG138="Delivered"),P138="Student accommodation"),0,AJ138)</f>
        <v>0</v>
      </c>
      <c r="AM138" s="10" t="n">
        <f aca="false">IF(OR(OR(AG138="Not counted",AG138="Excluded",AG138="Delivered"),P138&lt;&gt;"Student accommodation"),0,AJ138)</f>
        <v>0</v>
      </c>
      <c r="AN138" s="10" t="n">
        <f aca="false">IF(OR(AG138="Not counted",AG138="Excluded",AG138="Delivered"),0,N(S138))</f>
        <v>0</v>
      </c>
      <c r="AO138" s="2" t="s">
        <v>1021</v>
      </c>
      <c r="AP138" s="10"/>
      <c r="AQ138" s="10"/>
      <c r="AR138" s="10"/>
      <c r="AS138" s="10"/>
      <c r="AT138" s="10"/>
      <c r="AU138" s="10"/>
      <c r="AV138" s="10" t="n">
        <f aca="false">N(AP138)+N(AQ138)+N(AR138)+N(AS138)+N(AT138)+N(AU138)</f>
        <v>0</v>
      </c>
      <c r="AW138" s="10"/>
      <c r="AX138" s="10"/>
      <c r="AY138" s="10"/>
      <c r="AZ138" s="2"/>
      <c r="BA138" s="2" t="s">
        <v>1022</v>
      </c>
      <c r="BB138" s="2" t="s">
        <v>1512</v>
      </c>
      <c r="BC138" s="2" t="s">
        <v>1023</v>
      </c>
      <c r="BD138" s="2" t="s">
        <v>1024</v>
      </c>
      <c r="BE138" s="2"/>
      <c r="BF138" s="2" t="s">
        <v>1025</v>
      </c>
      <c r="BG138" s="22" t="n">
        <v>44636</v>
      </c>
      <c r="BH138" s="22" t="n">
        <v>46581</v>
      </c>
      <c r="BI138" s="2"/>
      <c r="BJ138" s="22" t="n">
        <v>46581</v>
      </c>
      <c r="BK138" s="2" t="n">
        <v>9</v>
      </c>
      <c r="BL138" s="2" t="n">
        <v>0</v>
      </c>
      <c r="BM138" s="2"/>
      <c r="BN138" s="2" t="s">
        <v>1514</v>
      </c>
      <c r="BO138" s="23" t="s">
        <v>1515</v>
      </c>
      <c r="BP138" s="2" t="n">
        <f aca="false">IF(OR(K138="",BG138=""),"",ROUND(BG138-K138,0))</f>
        <v>0</v>
      </c>
      <c r="BQ138" s="2" t="str">
        <f aca="false">IF(OR(N(BK138)=0,Q138=""),"Not recorded",IF(BK138=Q138,"Match","Differs"))</f>
        <v>Match</v>
      </c>
      <c r="BR138" s="2" t="str">
        <f aca="false">IF(N138="No","Excluded (non-residential)",IF(BF138="No reference","Unverified – no reference",IF(BF138="Not in council register","Unverified – not in register (Part 8 / other)",IF(OR(BF138="Refused",BF138="Refused on appeal",BF138="Withdrawn",BF138="Invalid",BF138="Quashed"),IF(OR(G138="Complete",G138="On Site",G138="Part Complete"),"Conflict – register not live but CIS says built","Conflict – not live in register"),IF(AND(G138="Plans Submitted",OR(BF138="Granted",BF138="Granted on appeal")),"Stage out of date – now granted",IF(AND(G138&lt;&gt;"Plans Submitted",OR(BF138="Pending",BF138="Under appeal")),"Check – register still pending",IF(N(BL138)&gt;Method!$B$7,"Check – location differs",IF(AND(BP138&lt;&gt;"",ABS(N(BP138))&gt;60),"Consistent – decision date differs","Consistent"))))))))</f>
        <v>Consistent</v>
      </c>
      <c r="BS138" s="2"/>
      <c r="BT138" s="2"/>
      <c r="BU138" s="2"/>
      <c r="BV138" s="2"/>
      <c r="BW138" s="2"/>
      <c r="BX138" s="2"/>
    </row>
    <row r="139" customFormat="false" ht="15" hidden="false" customHeight="false" outlineLevel="0" collapsed="false">
      <c r="A139" s="2" t="n">
        <v>1248017</v>
      </c>
      <c r="B139" s="2" t="s">
        <v>195</v>
      </c>
      <c r="C139" s="2" t="s">
        <v>1516</v>
      </c>
      <c r="D139" s="2" t="s">
        <v>1517</v>
      </c>
      <c r="E139" s="2" t="s">
        <v>197</v>
      </c>
      <c r="F139" s="2" t="s">
        <v>142</v>
      </c>
      <c r="G139" s="2" t="s">
        <v>198</v>
      </c>
      <c r="H139" s="2" t="s">
        <v>1014</v>
      </c>
      <c r="I139" s="2" t="s">
        <v>198</v>
      </c>
      <c r="J139" s="22" t="n">
        <v>44809</v>
      </c>
      <c r="K139" s="22" t="n">
        <v>44907</v>
      </c>
      <c r="L139" s="22" t="n">
        <v>46220.4177132292</v>
      </c>
      <c r="M139" s="2" t="s">
        <v>1016</v>
      </c>
      <c r="N139" s="2" t="s">
        <v>121</v>
      </c>
      <c r="O139" s="2"/>
      <c r="P139" s="2" t="s">
        <v>1017</v>
      </c>
      <c r="Q139" s="10" t="n">
        <v>24</v>
      </c>
      <c r="R139" s="10"/>
      <c r="S139" s="10"/>
      <c r="T139" s="2" t="s">
        <v>30</v>
      </c>
      <c r="U139" s="2"/>
      <c r="V139" s="2" t="s">
        <v>1080</v>
      </c>
      <c r="W139" s="2" t="s">
        <v>1020</v>
      </c>
      <c r="X139" s="7"/>
      <c r="Y139" s="2" t="str">
        <f aca="false">IF(X139&lt;&gt;"",X139,T139)</f>
        <v>Additional application on site</v>
      </c>
      <c r="Z139" s="2" t="str">
        <f aca="false">IF(OR(Y139="Primary",Y139="Additional phase",Y139="Additional application on site",Y139="Replaces earlier",Y139="Extension of duration (parent not in CIS)"),"Yes","No")</f>
        <v>Yes</v>
      </c>
      <c r="AA139" s="2"/>
      <c r="AB139" s="2" t="n">
        <f aca="false">IF(L139="","",ROUND((Method!$B$4-L139)/30.44,0))</f>
        <v>2</v>
      </c>
      <c r="AC139" s="2" t="str">
        <f aca="false">IF(AB139="","No",IF(AB139&gt;Method!$B$5,"Yes","No"))</f>
        <v>No</v>
      </c>
      <c r="AD139" s="22" t="n">
        <f aca="false">IF(BJ139&lt;&gt;"",BJ139,IF(K139&lt;&gt;"",EDATE(K139,60),""))</f>
        <v>46733</v>
      </c>
      <c r="AE139" s="2" t="str">
        <f aca="false">IF(AND(AD139&lt;&gt;"",OR(G139="Permission Granted",G139="Commencement Expected",G139="Stalled or Suspended")),IF(AD139&lt;Method!$B$4,"Yes","No"),"No")</f>
        <v>No</v>
      </c>
      <c r="AF139" s="7"/>
      <c r="AG139" s="2" t="str">
        <f aca="false">IF(Z139="No","Not counted",IF(AF139="Lapsed or dead","Excluded",IF(AF139="Constrained","Constrained / uncertain",IF(AF139="Confirmed live",IF(G139="On Site","Committed",IF(G139="Part Complete","Committed",IF(G139="Contract Awarded","Committed Pre-Construction",IF(G139="Tender","Advanced Pre-Construction",IF(G139="Commencement Expected","Likely",IF(G139="Permission Granted","Potential",IF(G139="Stalled or Suspended","Constrained / uncertain",IF(G139="Complete","Delivered","Application Pipeline")))))))),IF(G139="Complete","Delivered",IF(AND(OR(G139="Permission Granted",G139="Commencement Expected"),OR(AC139="Yes",AE139="Yes")),"Constrained / uncertain",IF(G139="On Site","Committed",IF(G139="Part Complete","Committed",IF(G139="Contract Awarded","Committed Pre-Construction",IF(G139="Tender","Advanced Pre-Construction",IF(G139="Commencement Expected","Likely",IF(G139="Permission Granted","Potential",IF(G139="Stalled or Suspended","Constrained / uncertain",IF(G139="Complete","Delivered","Application Pipeline"))))))))))))))</f>
        <v>Committed</v>
      </c>
      <c r="AH139" s="2" t="str">
        <f aca="false">IF(Z139="No","Relationship: "&amp;Y139,IF(AF139&lt;&gt;"","Analyst: "&amp;AF139,IF(G139="Complete","Complete",IF(AND(OR(G139="Permission Granted",G139="Commencement Expected"),AE139="Yes"),"Past expiry",IF(AND(OR(G139="Permission Granted",G139="Commencement Expected"),AC139="Yes"),"No CIS update in "&amp;AB139&amp;" months","As CIS")))))</f>
        <v>As CIS</v>
      </c>
      <c r="AI139" s="10" t="n">
        <f aca="false">IF(Z139="Yes",N(Q139),0)</f>
        <v>24</v>
      </c>
      <c r="AJ139" s="10" t="n">
        <f aca="false">IF(OR(Z139="No",G139="Complete"),0,MAX(N(Q139)-N(AA139),0))</f>
        <v>24</v>
      </c>
      <c r="AK139" s="10" t="n">
        <f aca="false">IF(Z139="No",0,IF(G139="Complete",N(Q139),MIN(N(AA139),N(Q139))))</f>
        <v>0</v>
      </c>
      <c r="AL139" s="10" t="n">
        <f aca="false">IF(OR(OR(AG139="Not counted",AG139="Excluded",AG139="Delivered"),P139="Student accommodation"),0,AJ139)</f>
        <v>24</v>
      </c>
      <c r="AM139" s="10" t="n">
        <f aca="false">IF(OR(OR(AG139="Not counted",AG139="Excluded",AG139="Delivered"),P139&lt;&gt;"Student accommodation"),0,AJ139)</f>
        <v>0</v>
      </c>
      <c r="AN139" s="10" t="n">
        <f aca="false">IF(OR(AG139="Not counted",AG139="Excluded",AG139="Delivered"),0,N(S139))</f>
        <v>0</v>
      </c>
      <c r="AO139" s="2" t="s">
        <v>1031</v>
      </c>
      <c r="AP139" s="10"/>
      <c r="AQ139" s="10"/>
      <c r="AR139" s="10" t="n">
        <v>8</v>
      </c>
      <c r="AS139" s="10" t="n">
        <v>11</v>
      </c>
      <c r="AT139" s="10" t="n">
        <v>5</v>
      </c>
      <c r="AU139" s="10"/>
      <c r="AV139" s="10" t="n">
        <f aca="false">N(AP139)+N(AQ139)+N(AR139)+N(AS139)+N(AT139)+N(AU139)</f>
        <v>24</v>
      </c>
      <c r="AW139" s="10"/>
      <c r="AX139" s="10"/>
      <c r="AY139" s="10" t="n">
        <v>24</v>
      </c>
      <c r="AZ139" s="2"/>
      <c r="BA139" s="2" t="s">
        <v>1022</v>
      </c>
      <c r="BB139" s="2" t="s">
        <v>1516</v>
      </c>
      <c r="BC139" s="2" t="s">
        <v>1046</v>
      </c>
      <c r="BD139" s="2" t="s">
        <v>1024</v>
      </c>
      <c r="BE139" s="2"/>
      <c r="BF139" s="2" t="s">
        <v>1025</v>
      </c>
      <c r="BG139" s="22" t="n">
        <v>44907</v>
      </c>
      <c r="BH139" s="22"/>
      <c r="BI139" s="2"/>
      <c r="BJ139" s="22"/>
      <c r="BK139" s="2"/>
      <c r="BL139" s="2" t="n">
        <v>0</v>
      </c>
      <c r="BM139" s="2"/>
      <c r="BN139" s="2" t="s">
        <v>1518</v>
      </c>
      <c r="BO139" s="23" t="s">
        <v>1519</v>
      </c>
      <c r="BP139" s="2" t="n">
        <f aca="false">IF(OR(K139="",BG139=""),"",ROUND(BG139-K139,0))</f>
        <v>0</v>
      </c>
      <c r="BQ139" s="2" t="str">
        <f aca="false">IF(OR(N(BK139)=0,Q139=""),"Not recorded",IF(BK139=Q139,"Match","Differs"))</f>
        <v>Not recorded</v>
      </c>
      <c r="BR139" s="2" t="str">
        <f aca="false">IF(N139="No","Excluded (non-residential)",IF(BF139="No reference","Unverified – no reference",IF(BF139="Not in council register","Unverified – not in register (Part 8 / other)",IF(OR(BF139="Refused",BF139="Refused on appeal",BF139="Withdrawn",BF139="Invalid",BF139="Quashed"),IF(OR(G139="Complete",G139="On Site",G139="Part Complete"),"Conflict – register not live but CIS says built","Conflict – not live in register"),IF(AND(G139="Plans Submitted",OR(BF139="Granted",BF139="Granted on appeal")),"Stage out of date – now granted",IF(AND(G139&lt;&gt;"Plans Submitted",OR(BF139="Pending",BF139="Under appeal")),"Check – register still pending",IF(N(BL139)&gt;Method!$B$7,"Check – location differs",IF(AND(BP139&lt;&gt;"",ABS(N(BP139))&gt;60),"Consistent – decision date differs","Consistent"))))))))</f>
        <v>Consistent</v>
      </c>
      <c r="BS139" s="2"/>
      <c r="BT139" s="2"/>
      <c r="BU139" s="2"/>
      <c r="BV139" s="2"/>
      <c r="BW139" s="2"/>
      <c r="BX139" s="2"/>
    </row>
    <row r="140" customFormat="false" ht="15" hidden="false" customHeight="false" outlineLevel="0" collapsed="false">
      <c r="A140" s="2" t="n">
        <v>1248404</v>
      </c>
      <c r="B140" s="2" t="s">
        <v>195</v>
      </c>
      <c r="C140" s="2" t="s">
        <v>1520</v>
      </c>
      <c r="D140" s="2" t="s">
        <v>1521</v>
      </c>
      <c r="E140" s="2" t="s">
        <v>1522</v>
      </c>
      <c r="F140" s="2" t="s">
        <v>142</v>
      </c>
      <c r="G140" s="2" t="s">
        <v>187</v>
      </c>
      <c r="H140" s="2" t="s">
        <v>1014</v>
      </c>
      <c r="I140" s="2"/>
      <c r="J140" s="22" t="n">
        <v>44809</v>
      </c>
      <c r="K140" s="22" t="n">
        <v>44950</v>
      </c>
      <c r="L140" s="22" t="n">
        <v>44987.4668805903</v>
      </c>
      <c r="M140" s="2" t="s">
        <v>1016</v>
      </c>
      <c r="N140" s="2" t="s">
        <v>121</v>
      </c>
      <c r="O140" s="2"/>
      <c r="P140" s="2" t="s">
        <v>1017</v>
      </c>
      <c r="Q140" s="10" t="n">
        <v>24</v>
      </c>
      <c r="R140" s="10"/>
      <c r="S140" s="10"/>
      <c r="T140" s="2" t="s">
        <v>30</v>
      </c>
      <c r="U140" s="2"/>
      <c r="V140" s="2" t="s">
        <v>1080</v>
      </c>
      <c r="W140" s="2" t="s">
        <v>1020</v>
      </c>
      <c r="X140" s="7"/>
      <c r="Y140" s="2" t="str">
        <f aca="false">IF(X140&lt;&gt;"",X140,T140)</f>
        <v>Additional application on site</v>
      </c>
      <c r="Z140" s="2" t="str">
        <f aca="false">IF(OR(Y140="Primary",Y140="Additional phase",Y140="Additional application on site",Y140="Replaces earlier",Y140="Extension of duration (parent not in CIS)"),"Yes","No")</f>
        <v>Yes</v>
      </c>
      <c r="AA140" s="2"/>
      <c r="AB140" s="2" t="n">
        <f aca="false">IF(L140="","",ROUND((Method!$B$4-L140)/30.44,0))</f>
        <v>43</v>
      </c>
      <c r="AC140" s="2" t="str">
        <f aca="false">IF(AB140="","No",IF(AB140&gt;Method!$B$5,"Yes","No"))</f>
        <v>Yes</v>
      </c>
      <c r="AD140" s="22" t="n">
        <f aca="false">IF(BJ140&lt;&gt;"",BJ140,IF(K140&lt;&gt;"",EDATE(K140,60),""))</f>
        <v>46776</v>
      </c>
      <c r="AE140" s="2" t="str">
        <f aca="false">IF(AND(AD140&lt;&gt;"",OR(G140="Permission Granted",G140="Commencement Expected",G140="Stalled or Suspended")),IF(AD140&lt;Method!$B$4,"Yes","No"),"No")</f>
        <v>No</v>
      </c>
      <c r="AF140" s="7"/>
      <c r="AG140" s="2" t="str">
        <f aca="false">IF(Z140="No","Not counted",IF(AF140="Lapsed or dead","Excluded",IF(AF140="Constrained","Constrained / uncertain",IF(AF140="Confirmed live",IF(G140="On Site","Committed",IF(G140="Part Complete","Committed",IF(G140="Contract Awarded","Committed Pre-Construction",IF(G140="Tender","Advanced Pre-Construction",IF(G140="Commencement Expected","Likely",IF(G140="Permission Granted","Potential",IF(G140="Stalled or Suspended","Constrained / uncertain",IF(G140="Complete","Delivered","Application Pipeline")))))))),IF(G140="Complete","Delivered",IF(AND(OR(G140="Permission Granted",G140="Commencement Expected"),OR(AC140="Yes",AE140="Yes")),"Constrained / uncertain",IF(G140="On Site","Committed",IF(G140="Part Complete","Committed",IF(G140="Contract Awarded","Committed Pre-Construction",IF(G140="Tender","Advanced Pre-Construction",IF(G140="Commencement Expected","Likely",IF(G140="Permission Granted","Potential",IF(G140="Stalled or Suspended","Constrained / uncertain",IF(G140="Complete","Delivered","Application Pipeline"))))))))))))))</f>
        <v>Constrained / uncertain</v>
      </c>
      <c r="AH140" s="2" t="str">
        <f aca="false">IF(Z140="No","Relationship: "&amp;Y140,IF(AF140&lt;&gt;"","Analyst: "&amp;AF140,IF(G140="Complete","Complete",IF(AND(OR(G140="Permission Granted",G140="Commencement Expected"),AE140="Yes"),"Past expiry",IF(AND(OR(G140="Permission Granted",G140="Commencement Expected"),AC140="Yes"),"No CIS update in "&amp;AB140&amp;" months","As CIS")))))</f>
        <v>No CIS update in 43 months</v>
      </c>
      <c r="AI140" s="10" t="n">
        <f aca="false">IF(Z140="Yes",N(Q140),0)</f>
        <v>24</v>
      </c>
      <c r="AJ140" s="10" t="n">
        <f aca="false">IF(OR(Z140="No",G140="Complete"),0,MAX(N(Q140)-N(AA140),0))</f>
        <v>24</v>
      </c>
      <c r="AK140" s="10" t="n">
        <f aca="false">IF(Z140="No",0,IF(G140="Complete",N(Q140),MIN(N(AA140),N(Q140))))</f>
        <v>0</v>
      </c>
      <c r="AL140" s="10" t="n">
        <f aca="false">IF(OR(OR(AG140="Not counted",AG140="Excluded",AG140="Delivered"),P140="Student accommodation"),0,AJ140)</f>
        <v>24</v>
      </c>
      <c r="AM140" s="10" t="n">
        <f aca="false">IF(OR(OR(AG140="Not counted",AG140="Excluded",AG140="Delivered"),P140&lt;&gt;"Student accommodation"),0,AJ140)</f>
        <v>0</v>
      </c>
      <c r="AN140" s="10" t="n">
        <f aca="false">IF(OR(AG140="Not counted",AG140="Excluded",AG140="Delivered"),0,N(S140))</f>
        <v>0</v>
      </c>
      <c r="AO140" s="2" t="s">
        <v>1043</v>
      </c>
      <c r="AP140" s="10"/>
      <c r="AQ140" s="10"/>
      <c r="AR140" s="10"/>
      <c r="AS140" s="10"/>
      <c r="AT140" s="10"/>
      <c r="AU140" s="10"/>
      <c r="AV140" s="10" t="n">
        <f aca="false">N(AP140)+N(AQ140)+N(AR140)+N(AS140)+N(AT140)+N(AU140)</f>
        <v>0</v>
      </c>
      <c r="AW140" s="10"/>
      <c r="AX140" s="10"/>
      <c r="AY140" s="10"/>
      <c r="AZ140" s="2"/>
      <c r="BA140" s="2" t="s">
        <v>1095</v>
      </c>
      <c r="BB140" s="2"/>
      <c r="BC140" s="2"/>
      <c r="BD140" s="2"/>
      <c r="BE140" s="2"/>
      <c r="BF140" s="2" t="s">
        <v>1095</v>
      </c>
      <c r="BG140" s="22"/>
      <c r="BH140" s="22"/>
      <c r="BI140" s="2"/>
      <c r="BJ140" s="22"/>
      <c r="BK140" s="2"/>
      <c r="BL140" s="2"/>
      <c r="BM140" s="2"/>
      <c r="BN140" s="2"/>
      <c r="BO140" s="2"/>
      <c r="BP140" s="2" t="str">
        <f aca="false">IF(OR(K140="",BG140=""),"",ROUND(BG140-K140,0))</f>
        <v/>
      </c>
      <c r="BQ140" s="2" t="str">
        <f aca="false">IF(OR(N(BK140)=0,Q140=""),"Not recorded",IF(BK140=Q140,"Match","Differs"))</f>
        <v>Not recorded</v>
      </c>
      <c r="BR140" s="2" t="str">
        <f aca="false">IF(N140="No","Excluded (non-residential)",IF(BF140="No reference","Unverified – no reference",IF(BF140="Not in council register","Unverified – not in register (Part 8 / other)",IF(OR(BF140="Refused",BF140="Refused on appeal",BF140="Withdrawn",BF140="Invalid",BF140="Quashed"),IF(OR(G140="Complete",G140="On Site",G140="Part Complete"),"Conflict – register not live but CIS says built","Conflict – not live in register"),IF(AND(G140="Plans Submitted",OR(BF140="Granted",BF140="Granted on appeal")),"Stage out of date – now granted",IF(AND(G140&lt;&gt;"Plans Submitted",OR(BF140="Pending",BF140="Under appeal")),"Check – register still pending",IF(N(BL140)&gt;Method!$B$7,"Check – location differs",IF(AND(BP140&lt;&gt;"",ABS(N(BP140))&gt;60),"Consistent – decision date differs","Consistent"))))))))</f>
        <v>Unverified – not in register (Part 8 / other)</v>
      </c>
      <c r="BS140" s="2"/>
      <c r="BT140" s="2"/>
      <c r="BU140" s="2"/>
      <c r="BV140" s="2"/>
      <c r="BW140" s="2"/>
      <c r="BX140" s="2"/>
    </row>
    <row r="141" customFormat="false" ht="15" hidden="false" customHeight="false" outlineLevel="0" collapsed="false">
      <c r="A141" s="2" t="n">
        <v>1391914</v>
      </c>
      <c r="B141" s="2" t="s">
        <v>195</v>
      </c>
      <c r="C141" s="2" t="s">
        <v>1523</v>
      </c>
      <c r="D141" s="2" t="s">
        <v>1524</v>
      </c>
      <c r="E141" s="2" t="s">
        <v>197</v>
      </c>
      <c r="F141" s="2" t="s">
        <v>142</v>
      </c>
      <c r="G141" s="2" t="s">
        <v>187</v>
      </c>
      <c r="H141" s="2" t="s">
        <v>1014</v>
      </c>
      <c r="I141" s="2"/>
      <c r="J141" s="22" t="n">
        <v>45713</v>
      </c>
      <c r="K141" s="22" t="n">
        <v>45972</v>
      </c>
      <c r="L141" s="22" t="n">
        <v>45982.5703578357</v>
      </c>
      <c r="M141" s="2" t="s">
        <v>1016</v>
      </c>
      <c r="N141" s="2" t="s">
        <v>121</v>
      </c>
      <c r="O141" s="2"/>
      <c r="P141" s="2" t="s">
        <v>1017</v>
      </c>
      <c r="Q141" s="10" t="n">
        <v>63</v>
      </c>
      <c r="R141" s="10" t="n">
        <v>63</v>
      </c>
      <c r="S141" s="10"/>
      <c r="T141" s="2" t="s">
        <v>30</v>
      </c>
      <c r="U141" s="2"/>
      <c r="V141" s="2" t="s">
        <v>1080</v>
      </c>
      <c r="W141" s="2" t="s">
        <v>1020</v>
      </c>
      <c r="X141" s="7"/>
      <c r="Y141" s="2" t="str">
        <f aca="false">IF(X141&lt;&gt;"",X141,T141)</f>
        <v>Additional application on site</v>
      </c>
      <c r="Z141" s="2" t="str">
        <f aca="false">IF(OR(Y141="Primary",Y141="Additional phase",Y141="Additional application on site",Y141="Replaces earlier",Y141="Extension of duration (parent not in CIS)"),"Yes","No")</f>
        <v>Yes</v>
      </c>
      <c r="AA141" s="2"/>
      <c r="AB141" s="2" t="n">
        <f aca="false">IF(L141="","",ROUND((Method!$B$4-L141)/30.44,0))</f>
        <v>10</v>
      </c>
      <c r="AC141" s="2" t="str">
        <f aca="false">IF(AB141="","No",IF(AB141&gt;Method!$B$5,"Yes","No"))</f>
        <v>No</v>
      </c>
      <c r="AD141" s="22" t="n">
        <f aca="false">IF(BJ141&lt;&gt;"",BJ141,IF(K141&lt;&gt;"",EDATE(K141,60),""))</f>
        <v>47797</v>
      </c>
      <c r="AE141" s="2" t="str">
        <f aca="false">IF(AND(AD141&lt;&gt;"",OR(G141="Permission Granted",G141="Commencement Expected",G141="Stalled or Suspended")),IF(AD141&lt;Method!$B$4,"Yes","No"),"No")</f>
        <v>No</v>
      </c>
      <c r="AF141" s="7"/>
      <c r="AG141" s="2" t="str">
        <f aca="false">IF(Z141="No","Not counted",IF(AF141="Lapsed or dead","Excluded",IF(AF141="Constrained","Constrained / uncertain",IF(AF141="Confirmed live",IF(G141="On Site","Committed",IF(G141="Part Complete","Committed",IF(G141="Contract Awarded","Committed Pre-Construction",IF(G141="Tender","Advanced Pre-Construction",IF(G141="Commencement Expected","Likely",IF(G141="Permission Granted","Potential",IF(G141="Stalled or Suspended","Constrained / uncertain",IF(G141="Complete","Delivered","Application Pipeline")))))))),IF(G141="Complete","Delivered",IF(AND(OR(G141="Permission Granted",G141="Commencement Expected"),OR(AC141="Yes",AE141="Yes")),"Constrained / uncertain",IF(G141="On Site","Committed",IF(G141="Part Complete","Committed",IF(G141="Contract Awarded","Committed Pre-Construction",IF(G141="Tender","Advanced Pre-Construction",IF(G141="Commencement Expected","Likely",IF(G141="Permission Granted","Potential",IF(G141="Stalled or Suspended","Constrained / uncertain",IF(G141="Complete","Delivered","Application Pipeline"))))))))))))))</f>
        <v>Potential</v>
      </c>
      <c r="AH141" s="2" t="str">
        <f aca="false">IF(Z141="No","Relationship: "&amp;Y141,IF(AF141&lt;&gt;"","Analyst: "&amp;AF141,IF(G141="Complete","Complete",IF(AND(OR(G141="Permission Granted",G141="Commencement Expected"),AE141="Yes"),"Past expiry",IF(AND(OR(G141="Permission Granted",G141="Commencement Expected"),AC141="Yes"),"No CIS update in "&amp;AB141&amp;" months","As CIS")))))</f>
        <v>As CIS</v>
      </c>
      <c r="AI141" s="10" t="n">
        <f aca="false">IF(Z141="Yes",N(Q141),0)</f>
        <v>63</v>
      </c>
      <c r="AJ141" s="10" t="n">
        <f aca="false">IF(OR(Z141="No",G141="Complete"),0,MAX(N(Q141)-N(AA141),0))</f>
        <v>63</v>
      </c>
      <c r="AK141" s="10" t="n">
        <f aca="false">IF(Z141="No",0,IF(G141="Complete",N(Q141),MIN(N(AA141),N(Q141))))</f>
        <v>0</v>
      </c>
      <c r="AL141" s="10" t="n">
        <f aca="false">IF(OR(OR(AG141="Not counted",AG141="Excluded",AG141="Delivered"),P141="Student accommodation"),0,AJ141)</f>
        <v>63</v>
      </c>
      <c r="AM141" s="10" t="n">
        <f aca="false">IF(OR(OR(AG141="Not counted",AG141="Excluded",AG141="Delivered"),P141&lt;&gt;"Student accommodation"),0,AJ141)</f>
        <v>0</v>
      </c>
      <c r="AN141" s="10" t="n">
        <f aca="false">IF(OR(AG141="Not counted",AG141="Excluded",AG141="Delivered"),0,N(S141))</f>
        <v>0</v>
      </c>
      <c r="AO141" s="2" t="s">
        <v>1232</v>
      </c>
      <c r="AP141" s="10"/>
      <c r="AQ141" s="10"/>
      <c r="AR141" s="10" t="n">
        <v>5</v>
      </c>
      <c r="AS141" s="10" t="n">
        <v>55</v>
      </c>
      <c r="AT141" s="10" t="n">
        <v>3</v>
      </c>
      <c r="AU141" s="10"/>
      <c r="AV141" s="10" t="n">
        <f aca="false">N(AP141)+N(AQ141)+N(AR141)+N(AS141)+N(AT141)+N(AU141)</f>
        <v>63</v>
      </c>
      <c r="AW141" s="10" t="n">
        <v>63</v>
      </c>
      <c r="AX141" s="10"/>
      <c r="AY141" s="10"/>
      <c r="AZ141" s="2" t="s">
        <v>1525</v>
      </c>
      <c r="BA141" s="2" t="s">
        <v>1022</v>
      </c>
      <c r="BB141" s="2" t="s">
        <v>1523</v>
      </c>
      <c r="BC141" s="2" t="s">
        <v>1023</v>
      </c>
      <c r="BD141" s="2" t="s">
        <v>1024</v>
      </c>
      <c r="BE141" s="2" t="s">
        <v>1024</v>
      </c>
      <c r="BF141" s="2" t="s">
        <v>1059</v>
      </c>
      <c r="BG141" s="22" t="n">
        <v>45852</v>
      </c>
      <c r="BH141" s="22" t="n">
        <v>47797</v>
      </c>
      <c r="BI141" s="2"/>
      <c r="BJ141" s="22" t="n">
        <v>47797</v>
      </c>
      <c r="BK141" s="2" t="n">
        <v>63</v>
      </c>
      <c r="BL141" s="2" t="n">
        <v>0</v>
      </c>
      <c r="BM141" s="2"/>
      <c r="BN141" s="2" t="s">
        <v>1526</v>
      </c>
      <c r="BO141" s="23" t="s">
        <v>1527</v>
      </c>
      <c r="BP141" s="2" t="n">
        <f aca="false">IF(OR(K141="",BG141=""),"",ROUND(BG141-K141,0))</f>
        <v>-120</v>
      </c>
      <c r="BQ141" s="2" t="str">
        <f aca="false">IF(OR(N(BK141)=0,Q141=""),"Not recorded",IF(BK141=Q141,"Match","Differs"))</f>
        <v>Match</v>
      </c>
      <c r="BR141" s="2" t="str">
        <f aca="false">IF(N141="No","Excluded (non-residential)",IF(BF141="No reference","Unverified – no reference",IF(BF141="Not in council register","Unverified – not in register (Part 8 / other)",IF(OR(BF141="Refused",BF141="Refused on appeal",BF141="Withdrawn",BF141="Invalid",BF141="Quashed"),IF(OR(G141="Complete",G141="On Site",G141="Part Complete"),"Conflict – register not live but CIS says built","Conflict – not live in register"),IF(AND(G141="Plans Submitted",OR(BF141="Granted",BF141="Granted on appeal")),"Stage out of date – now granted",IF(AND(G141&lt;&gt;"Plans Submitted",OR(BF141="Pending",BF141="Under appeal")),"Check – register still pending",IF(N(BL141)&gt;Method!$B$7,"Check – location differs",IF(AND(BP141&lt;&gt;"",ABS(N(BP141))&gt;60),"Consistent – decision date differs","Consistent"))))))))</f>
        <v>Consistent – decision date differs</v>
      </c>
      <c r="BS141" s="2"/>
      <c r="BT141" s="2"/>
      <c r="BU141" s="2"/>
      <c r="BV141" s="2"/>
      <c r="BW141" s="2"/>
      <c r="BX141" s="2"/>
    </row>
    <row r="142" customFormat="false" ht="15" hidden="false" customHeight="false" outlineLevel="0" collapsed="false">
      <c r="A142" s="2" t="n">
        <v>1409727</v>
      </c>
      <c r="B142" s="2" t="s">
        <v>195</v>
      </c>
      <c r="C142" s="2" t="s">
        <v>1528</v>
      </c>
      <c r="D142" s="2" t="s">
        <v>1529</v>
      </c>
      <c r="E142" s="2" t="s">
        <v>197</v>
      </c>
      <c r="F142" s="2" t="s">
        <v>142</v>
      </c>
      <c r="G142" s="2" t="s">
        <v>187</v>
      </c>
      <c r="H142" s="2" t="s">
        <v>1014</v>
      </c>
      <c r="I142" s="2"/>
      <c r="J142" s="22" t="n">
        <v>45838</v>
      </c>
      <c r="K142" s="22" t="n">
        <v>46079</v>
      </c>
      <c r="L142" s="22" t="n">
        <v>46085.359544757</v>
      </c>
      <c r="M142" s="2" t="s">
        <v>1016</v>
      </c>
      <c r="N142" s="2" t="s">
        <v>121</v>
      </c>
      <c r="O142" s="2"/>
      <c r="P142" s="2" t="s">
        <v>1017</v>
      </c>
      <c r="Q142" s="10" t="n">
        <v>6</v>
      </c>
      <c r="R142" s="10"/>
      <c r="S142" s="10"/>
      <c r="T142" s="2" t="s">
        <v>30</v>
      </c>
      <c r="U142" s="2"/>
      <c r="V142" s="2" t="s">
        <v>1080</v>
      </c>
      <c r="W142" s="2" t="s">
        <v>1020</v>
      </c>
      <c r="X142" s="7"/>
      <c r="Y142" s="2" t="str">
        <f aca="false">IF(X142&lt;&gt;"",X142,T142)</f>
        <v>Additional application on site</v>
      </c>
      <c r="Z142" s="2" t="str">
        <f aca="false">IF(OR(Y142="Primary",Y142="Additional phase",Y142="Additional application on site",Y142="Replaces earlier",Y142="Extension of duration (parent not in CIS)"),"Yes","No")</f>
        <v>Yes</v>
      </c>
      <c r="AA142" s="2"/>
      <c r="AB142" s="2" t="n">
        <f aca="false">IF(L142="","",ROUND((Method!$B$4-L142)/30.44,0))</f>
        <v>7</v>
      </c>
      <c r="AC142" s="2" t="str">
        <f aca="false">IF(AB142="","No",IF(AB142&gt;Method!$B$5,"Yes","No"))</f>
        <v>No</v>
      </c>
      <c r="AD142" s="22" t="n">
        <f aca="false">IF(BJ142&lt;&gt;"",BJ142,IF(K142&lt;&gt;"",EDATE(K142,60),""))</f>
        <v>47938</v>
      </c>
      <c r="AE142" s="2" t="str">
        <f aca="false">IF(AND(AD142&lt;&gt;"",OR(G142="Permission Granted",G142="Commencement Expected",G142="Stalled or Suspended")),IF(AD142&lt;Method!$B$4,"Yes","No"),"No")</f>
        <v>No</v>
      </c>
      <c r="AF142" s="7"/>
      <c r="AG142" s="2" t="str">
        <f aca="false">IF(Z142="No","Not counted",IF(AF142="Lapsed or dead","Excluded",IF(AF142="Constrained","Constrained / uncertain",IF(AF142="Confirmed live",IF(G142="On Site","Committed",IF(G142="Part Complete","Committed",IF(G142="Contract Awarded","Committed Pre-Construction",IF(G142="Tender","Advanced Pre-Construction",IF(G142="Commencement Expected","Likely",IF(G142="Permission Granted","Potential",IF(G142="Stalled or Suspended","Constrained / uncertain",IF(G142="Complete","Delivered","Application Pipeline")))))))),IF(G142="Complete","Delivered",IF(AND(OR(G142="Permission Granted",G142="Commencement Expected"),OR(AC142="Yes",AE142="Yes")),"Constrained / uncertain",IF(G142="On Site","Committed",IF(G142="Part Complete","Committed",IF(G142="Contract Awarded","Committed Pre-Construction",IF(G142="Tender","Advanced Pre-Construction",IF(G142="Commencement Expected","Likely",IF(G142="Permission Granted","Potential",IF(G142="Stalled or Suspended","Constrained / uncertain",IF(G142="Complete","Delivered","Application Pipeline"))))))))))))))</f>
        <v>Potential</v>
      </c>
      <c r="AH142" s="2" t="str">
        <f aca="false">IF(Z142="No","Relationship: "&amp;Y142,IF(AF142&lt;&gt;"","Analyst: "&amp;AF142,IF(G142="Complete","Complete",IF(AND(OR(G142="Permission Granted",G142="Commencement Expected"),AE142="Yes"),"Past expiry",IF(AND(OR(G142="Permission Granted",G142="Commencement Expected"),AC142="Yes"),"No CIS update in "&amp;AB142&amp;" months","As CIS")))))</f>
        <v>As CIS</v>
      </c>
      <c r="AI142" s="10" t="n">
        <f aca="false">IF(Z142="Yes",N(Q142),0)</f>
        <v>6</v>
      </c>
      <c r="AJ142" s="10" t="n">
        <f aca="false">IF(OR(Z142="No",G142="Complete"),0,MAX(N(Q142)-N(AA142),0))</f>
        <v>6</v>
      </c>
      <c r="AK142" s="10" t="n">
        <f aca="false">IF(Z142="No",0,IF(G142="Complete",N(Q142),MIN(N(AA142),N(Q142))))</f>
        <v>0</v>
      </c>
      <c r="AL142" s="10" t="n">
        <f aca="false">IF(OR(OR(AG142="Not counted",AG142="Excluded",AG142="Delivered"),P142="Student accommodation"),0,AJ142)</f>
        <v>6</v>
      </c>
      <c r="AM142" s="10" t="n">
        <f aca="false">IF(OR(OR(AG142="Not counted",AG142="Excluded",AG142="Delivered"),P142&lt;&gt;"Student accommodation"),0,AJ142)</f>
        <v>0</v>
      </c>
      <c r="AN142" s="10" t="n">
        <f aca="false">IF(OR(AG142="Not counted",AG142="Excluded",AG142="Delivered"),0,N(S142))</f>
        <v>0</v>
      </c>
      <c r="AO142" s="2" t="s">
        <v>1021</v>
      </c>
      <c r="AP142" s="10"/>
      <c r="AQ142" s="10"/>
      <c r="AR142" s="10"/>
      <c r="AS142" s="10"/>
      <c r="AT142" s="10"/>
      <c r="AU142" s="10"/>
      <c r="AV142" s="10" t="n">
        <f aca="false">N(AP142)+N(AQ142)+N(AR142)+N(AS142)+N(AT142)+N(AU142)</f>
        <v>0</v>
      </c>
      <c r="AW142" s="10"/>
      <c r="AX142" s="10"/>
      <c r="AY142" s="10"/>
      <c r="AZ142" s="2"/>
      <c r="BA142" s="2" t="s">
        <v>1022</v>
      </c>
      <c r="BB142" s="2" t="s">
        <v>1528</v>
      </c>
      <c r="BC142" s="2" t="s">
        <v>1023</v>
      </c>
      <c r="BD142" s="2" t="s">
        <v>1024</v>
      </c>
      <c r="BE142" s="2"/>
      <c r="BF142" s="2" t="s">
        <v>1025</v>
      </c>
      <c r="BG142" s="22" t="n">
        <v>46079</v>
      </c>
      <c r="BH142" s="22" t="n">
        <v>47938</v>
      </c>
      <c r="BI142" s="2"/>
      <c r="BJ142" s="22" t="n">
        <v>47938</v>
      </c>
      <c r="BK142" s="2" t="n">
        <v>6</v>
      </c>
      <c r="BL142" s="2" t="n">
        <v>0</v>
      </c>
      <c r="BM142" s="2"/>
      <c r="BN142" s="2" t="s">
        <v>1530</v>
      </c>
      <c r="BO142" s="23" t="s">
        <v>1531</v>
      </c>
      <c r="BP142" s="2" t="n">
        <f aca="false">IF(OR(K142="",BG142=""),"",ROUND(BG142-K142,0))</f>
        <v>0</v>
      </c>
      <c r="BQ142" s="2" t="str">
        <f aca="false">IF(OR(N(BK142)=0,Q142=""),"Not recorded",IF(BK142=Q142,"Match","Differs"))</f>
        <v>Match</v>
      </c>
      <c r="BR142" s="2" t="str">
        <f aca="false">IF(N142="No","Excluded (non-residential)",IF(BF142="No reference","Unverified – no reference",IF(BF142="Not in council register","Unverified – not in register (Part 8 / other)",IF(OR(BF142="Refused",BF142="Refused on appeal",BF142="Withdrawn",BF142="Invalid",BF142="Quashed"),IF(OR(G142="Complete",G142="On Site",G142="Part Complete"),"Conflict – register not live but CIS says built","Conflict – not live in register"),IF(AND(G142="Plans Submitted",OR(BF142="Granted",BF142="Granted on appeal")),"Stage out of date – now granted",IF(AND(G142&lt;&gt;"Plans Submitted",OR(BF142="Pending",BF142="Under appeal")),"Check – register still pending",IF(N(BL142)&gt;Method!$B$7,"Check – location differs",IF(AND(BP142&lt;&gt;"",ABS(N(BP142))&gt;60),"Consistent – decision date differs","Consistent"))))))))</f>
        <v>Consistent</v>
      </c>
      <c r="BS142" s="2"/>
      <c r="BT142" s="2"/>
      <c r="BU142" s="2"/>
      <c r="BV142" s="2"/>
      <c r="BW142" s="2"/>
      <c r="BX142" s="2"/>
    </row>
    <row r="143" customFormat="false" ht="15" hidden="false" customHeight="false" outlineLevel="0" collapsed="false">
      <c r="A143" s="2" t="n">
        <v>1409934</v>
      </c>
      <c r="B143" s="2" t="s">
        <v>195</v>
      </c>
      <c r="C143" s="2" t="s">
        <v>1532</v>
      </c>
      <c r="D143" s="2" t="s">
        <v>1533</v>
      </c>
      <c r="E143" s="2" t="s">
        <v>197</v>
      </c>
      <c r="F143" s="2" t="s">
        <v>142</v>
      </c>
      <c r="G143" s="2" t="s">
        <v>453</v>
      </c>
      <c r="H143" s="2" t="s">
        <v>1014</v>
      </c>
      <c r="I143" s="2"/>
      <c r="J143" s="22" t="n">
        <v>45841</v>
      </c>
      <c r="K143" s="22" t="n">
        <v>46000</v>
      </c>
      <c r="L143" s="22" t="n">
        <v>46273.295202662</v>
      </c>
      <c r="M143" s="2" t="s">
        <v>1016</v>
      </c>
      <c r="N143" s="2" t="s">
        <v>121</v>
      </c>
      <c r="O143" s="2"/>
      <c r="P143" s="2" t="s">
        <v>1017</v>
      </c>
      <c r="Q143" s="10" t="n">
        <v>40</v>
      </c>
      <c r="R143" s="10" t="n">
        <v>40</v>
      </c>
      <c r="S143" s="10"/>
      <c r="T143" s="2" t="s">
        <v>30</v>
      </c>
      <c r="U143" s="2"/>
      <c r="V143" s="2" t="s">
        <v>1080</v>
      </c>
      <c r="W143" s="2" t="s">
        <v>1020</v>
      </c>
      <c r="X143" s="7"/>
      <c r="Y143" s="2" t="str">
        <f aca="false">IF(X143&lt;&gt;"",X143,T143)</f>
        <v>Additional application on site</v>
      </c>
      <c r="Z143" s="2" t="str">
        <f aca="false">IF(OR(Y143="Primary",Y143="Additional phase",Y143="Additional application on site",Y143="Replaces earlier",Y143="Extension of duration (parent not in CIS)"),"Yes","No")</f>
        <v>Yes</v>
      </c>
      <c r="AA143" s="2"/>
      <c r="AB143" s="2" t="n">
        <f aca="false">IF(L143="","",ROUND((Method!$B$4-L143)/30.44,0))</f>
        <v>1</v>
      </c>
      <c r="AC143" s="2" t="str">
        <f aca="false">IF(AB143="","No",IF(AB143&gt;Method!$B$5,"Yes","No"))</f>
        <v>No</v>
      </c>
      <c r="AD143" s="22" t="n">
        <f aca="false">IF(BJ143&lt;&gt;"",BJ143,IF(K143&lt;&gt;"",EDATE(K143,60),""))</f>
        <v>47867</v>
      </c>
      <c r="AE143" s="2" t="str">
        <f aca="false">IF(AND(AD143&lt;&gt;"",OR(G143="Permission Granted",G143="Commencement Expected",G143="Stalled or Suspended")),IF(AD143&lt;Method!$B$4,"Yes","No"),"No")</f>
        <v>No</v>
      </c>
      <c r="AF143" s="7"/>
      <c r="AG143" s="2" t="str">
        <f aca="false">IF(Z143="No","Not counted",IF(AF143="Lapsed or dead","Excluded",IF(AF143="Constrained","Constrained / uncertain",IF(AF143="Confirmed live",IF(G143="On Site","Committed",IF(G143="Part Complete","Committed",IF(G143="Contract Awarded","Committed Pre-Construction",IF(G143="Tender","Advanced Pre-Construction",IF(G143="Commencement Expected","Likely",IF(G143="Permission Granted","Potential",IF(G143="Stalled or Suspended","Constrained / uncertain",IF(G143="Complete","Delivered","Application Pipeline")))))))),IF(G143="Complete","Delivered",IF(AND(OR(G143="Permission Granted",G143="Commencement Expected"),OR(AC143="Yes",AE143="Yes")),"Constrained / uncertain",IF(G143="On Site","Committed",IF(G143="Part Complete","Committed",IF(G143="Contract Awarded","Committed Pre-Construction",IF(G143="Tender","Advanced Pre-Construction",IF(G143="Commencement Expected","Likely",IF(G143="Permission Granted","Potential",IF(G143="Stalled or Suspended","Constrained / uncertain",IF(G143="Complete","Delivered","Application Pipeline"))))))))))))))</f>
        <v>Constrained / uncertain</v>
      </c>
      <c r="AH143" s="2" t="str">
        <f aca="false">IF(Z143="No","Relationship: "&amp;Y143,IF(AF143&lt;&gt;"","Analyst: "&amp;AF143,IF(G143="Complete","Complete",IF(AND(OR(G143="Permission Granted",G143="Commencement Expected"),AE143="Yes"),"Past expiry",IF(AND(OR(G143="Permission Granted",G143="Commencement Expected"),AC143="Yes"),"No CIS update in "&amp;AB143&amp;" months","As CIS")))))</f>
        <v>As CIS</v>
      </c>
      <c r="AI143" s="10" t="n">
        <f aca="false">IF(Z143="Yes",N(Q143),0)</f>
        <v>40</v>
      </c>
      <c r="AJ143" s="10" t="n">
        <f aca="false">IF(OR(Z143="No",G143="Complete"),0,MAX(N(Q143)-N(AA143),0))</f>
        <v>40</v>
      </c>
      <c r="AK143" s="10" t="n">
        <f aca="false">IF(Z143="No",0,IF(G143="Complete",N(Q143),MIN(N(AA143),N(Q143))))</f>
        <v>0</v>
      </c>
      <c r="AL143" s="10" t="n">
        <f aca="false">IF(OR(OR(AG143="Not counted",AG143="Excluded",AG143="Delivered"),P143="Student accommodation"),0,AJ143)</f>
        <v>40</v>
      </c>
      <c r="AM143" s="10" t="n">
        <f aca="false">IF(OR(OR(AG143="Not counted",AG143="Excluded",AG143="Delivered"),P143&lt;&gt;"Student accommodation"),0,AJ143)</f>
        <v>0</v>
      </c>
      <c r="AN143" s="10" t="n">
        <f aca="false">IF(OR(AG143="Not counted",AG143="Excluded",AG143="Delivered"),0,N(S143))</f>
        <v>0</v>
      </c>
      <c r="AO143" s="2" t="s">
        <v>1232</v>
      </c>
      <c r="AP143" s="10"/>
      <c r="AQ143" s="10"/>
      <c r="AR143" s="10" t="n">
        <v>6</v>
      </c>
      <c r="AS143" s="10" t="n">
        <v>34</v>
      </c>
      <c r="AT143" s="10" t="n">
        <v>2</v>
      </c>
      <c r="AU143" s="10"/>
      <c r="AV143" s="10" t="n">
        <f aca="false">N(AP143)+N(AQ143)+N(AR143)+N(AS143)+N(AT143)+N(AU143)</f>
        <v>42</v>
      </c>
      <c r="AW143" s="10" t="n">
        <v>42</v>
      </c>
      <c r="AX143" s="10"/>
      <c r="AY143" s="10"/>
      <c r="AZ143" s="2" t="s">
        <v>1534</v>
      </c>
      <c r="BA143" s="2" t="s">
        <v>1022</v>
      </c>
      <c r="BB143" s="2" t="s">
        <v>1532</v>
      </c>
      <c r="BC143" s="2" t="s">
        <v>1023</v>
      </c>
      <c r="BD143" s="2" t="s">
        <v>1024</v>
      </c>
      <c r="BE143" s="2"/>
      <c r="BF143" s="2" t="s">
        <v>1025</v>
      </c>
      <c r="BG143" s="22" t="n">
        <v>46000</v>
      </c>
      <c r="BH143" s="22" t="n">
        <v>47867</v>
      </c>
      <c r="BI143" s="2"/>
      <c r="BJ143" s="22" t="n">
        <v>47867</v>
      </c>
      <c r="BK143" s="2" t="n">
        <v>40</v>
      </c>
      <c r="BL143" s="2" t="n">
        <v>0</v>
      </c>
      <c r="BM143" s="2"/>
      <c r="BN143" s="2" t="s">
        <v>1535</v>
      </c>
      <c r="BO143" s="23" t="s">
        <v>1536</v>
      </c>
      <c r="BP143" s="2" t="n">
        <f aca="false">IF(OR(K143="",BG143=""),"",ROUND(BG143-K143,0))</f>
        <v>0</v>
      </c>
      <c r="BQ143" s="2" t="str">
        <f aca="false">IF(OR(N(BK143)=0,Q143=""),"Not recorded",IF(BK143=Q143,"Match","Differs"))</f>
        <v>Match</v>
      </c>
      <c r="BR143" s="2" t="str">
        <f aca="false">IF(N143="No","Excluded (non-residential)",IF(BF143="No reference","Unverified – no reference",IF(BF143="Not in council register","Unverified – not in register (Part 8 / other)",IF(OR(BF143="Refused",BF143="Refused on appeal",BF143="Withdrawn",BF143="Invalid",BF143="Quashed"),IF(OR(G143="Complete",G143="On Site",G143="Part Complete"),"Conflict – register not live but CIS says built","Conflict – not live in register"),IF(AND(G143="Plans Submitted",OR(BF143="Granted",BF143="Granted on appeal")),"Stage out of date – now granted",IF(AND(G143&lt;&gt;"Plans Submitted",OR(BF143="Pending",BF143="Under appeal")),"Check – register still pending",IF(N(BL143)&gt;Method!$B$7,"Check – location differs",IF(AND(BP143&lt;&gt;"",ABS(N(BP143))&gt;60),"Consistent – decision date differs","Consistent"))))))))</f>
        <v>Consistent</v>
      </c>
      <c r="BS143" s="2"/>
      <c r="BT143" s="2"/>
      <c r="BU143" s="2"/>
      <c r="BV143" s="2"/>
      <c r="BW143" s="2"/>
      <c r="BX143" s="2"/>
    </row>
    <row r="144" customFormat="false" ht="15" hidden="false" customHeight="false" outlineLevel="0" collapsed="false">
      <c r="A144" s="2" t="n">
        <v>1417511</v>
      </c>
      <c r="B144" s="2" t="s">
        <v>195</v>
      </c>
      <c r="C144" s="2" t="s">
        <v>1537</v>
      </c>
      <c r="D144" s="2" t="s">
        <v>1538</v>
      </c>
      <c r="E144" s="2" t="s">
        <v>197</v>
      </c>
      <c r="F144" s="2" t="s">
        <v>142</v>
      </c>
      <c r="G144" s="2" t="s">
        <v>198</v>
      </c>
      <c r="H144" s="2" t="s">
        <v>1014</v>
      </c>
      <c r="I144" s="2" t="s">
        <v>198</v>
      </c>
      <c r="J144" s="22" t="n">
        <v>45985</v>
      </c>
      <c r="K144" s="22" t="n">
        <v>46113</v>
      </c>
      <c r="L144" s="22" t="n">
        <v>46231.4716650116</v>
      </c>
      <c r="M144" s="2" t="s">
        <v>1016</v>
      </c>
      <c r="N144" s="2" t="s">
        <v>121</v>
      </c>
      <c r="O144" s="2"/>
      <c r="P144" s="2" t="s">
        <v>1017</v>
      </c>
      <c r="Q144" s="10" t="n">
        <v>54</v>
      </c>
      <c r="R144" s="10" t="n">
        <v>55</v>
      </c>
      <c r="S144" s="10"/>
      <c r="T144" s="2" t="s">
        <v>30</v>
      </c>
      <c r="U144" s="2"/>
      <c r="V144" s="2" t="s">
        <v>1080</v>
      </c>
      <c r="W144" s="2" t="s">
        <v>1020</v>
      </c>
      <c r="X144" s="7"/>
      <c r="Y144" s="2" t="str">
        <f aca="false">IF(X144&lt;&gt;"",X144,T144)</f>
        <v>Additional application on site</v>
      </c>
      <c r="Z144" s="2" t="str">
        <f aca="false">IF(OR(Y144="Primary",Y144="Additional phase",Y144="Additional application on site",Y144="Replaces earlier",Y144="Extension of duration (parent not in CIS)"),"Yes","No")</f>
        <v>Yes</v>
      </c>
      <c r="AA144" s="2"/>
      <c r="AB144" s="2" t="n">
        <f aca="false">IF(L144="","",ROUND((Method!$B$4-L144)/30.44,0))</f>
        <v>2</v>
      </c>
      <c r="AC144" s="2" t="str">
        <f aca="false">IF(AB144="","No",IF(AB144&gt;Method!$B$5,"Yes","No"))</f>
        <v>No</v>
      </c>
      <c r="AD144" s="22" t="n">
        <f aca="false">IF(BJ144&lt;&gt;"",BJ144,IF(K144&lt;&gt;"",EDATE(K144,60),""))</f>
        <v>47973</v>
      </c>
      <c r="AE144" s="2" t="str">
        <f aca="false">IF(AND(AD144&lt;&gt;"",OR(G144="Permission Granted",G144="Commencement Expected",G144="Stalled or Suspended")),IF(AD144&lt;Method!$B$4,"Yes","No"),"No")</f>
        <v>No</v>
      </c>
      <c r="AF144" s="7"/>
      <c r="AG144" s="2" t="str">
        <f aca="false">IF(Z144="No","Not counted",IF(AF144="Lapsed or dead","Excluded",IF(AF144="Constrained","Constrained / uncertain",IF(AF144="Confirmed live",IF(G144="On Site","Committed",IF(G144="Part Complete","Committed",IF(G144="Contract Awarded","Committed Pre-Construction",IF(G144="Tender","Advanced Pre-Construction",IF(G144="Commencement Expected","Likely",IF(G144="Permission Granted","Potential",IF(G144="Stalled or Suspended","Constrained / uncertain",IF(G144="Complete","Delivered","Application Pipeline")))))))),IF(G144="Complete","Delivered",IF(AND(OR(G144="Permission Granted",G144="Commencement Expected"),OR(AC144="Yes",AE144="Yes")),"Constrained / uncertain",IF(G144="On Site","Committed",IF(G144="Part Complete","Committed",IF(G144="Contract Awarded","Committed Pre-Construction",IF(G144="Tender","Advanced Pre-Construction",IF(G144="Commencement Expected","Likely",IF(G144="Permission Granted","Potential",IF(G144="Stalled or Suspended","Constrained / uncertain",IF(G144="Complete","Delivered","Application Pipeline"))))))))))))))</f>
        <v>Committed</v>
      </c>
      <c r="AH144" s="2" t="str">
        <f aca="false">IF(Z144="No","Relationship: "&amp;Y144,IF(AF144&lt;&gt;"","Analyst: "&amp;AF144,IF(G144="Complete","Complete",IF(AND(OR(G144="Permission Granted",G144="Commencement Expected"),AE144="Yes"),"Past expiry",IF(AND(OR(G144="Permission Granted",G144="Commencement Expected"),AC144="Yes"),"No CIS update in "&amp;AB144&amp;" months","As CIS")))))</f>
        <v>As CIS</v>
      </c>
      <c r="AI144" s="10" t="n">
        <f aca="false">IF(Z144="Yes",N(Q144),0)</f>
        <v>54</v>
      </c>
      <c r="AJ144" s="10" t="n">
        <f aca="false">IF(OR(Z144="No",G144="Complete"),0,MAX(N(Q144)-N(AA144),0))</f>
        <v>54</v>
      </c>
      <c r="AK144" s="10" t="n">
        <f aca="false">IF(Z144="No",0,IF(G144="Complete",N(Q144),MIN(N(AA144),N(Q144))))</f>
        <v>0</v>
      </c>
      <c r="AL144" s="10" t="n">
        <f aca="false">IF(OR(OR(AG144="Not counted",AG144="Excluded",AG144="Delivered"),P144="Student accommodation"),0,AJ144)</f>
        <v>54</v>
      </c>
      <c r="AM144" s="10" t="n">
        <f aca="false">IF(OR(OR(AG144="Not counted",AG144="Excluded",AG144="Delivered"),P144&lt;&gt;"Student accommodation"),0,AJ144)</f>
        <v>0</v>
      </c>
      <c r="AN144" s="10" t="n">
        <f aca="false">IF(OR(AG144="Not counted",AG144="Excluded",AG144="Delivered"),0,N(S144))</f>
        <v>0</v>
      </c>
      <c r="AO144" s="2" t="s">
        <v>1031</v>
      </c>
      <c r="AP144" s="10"/>
      <c r="AQ144" s="10"/>
      <c r="AR144" s="10" t="n">
        <v>12</v>
      </c>
      <c r="AS144" s="10"/>
      <c r="AT144" s="10" t="n">
        <v>43</v>
      </c>
      <c r="AU144" s="10"/>
      <c r="AV144" s="10" t="n">
        <f aca="false">N(AP144)+N(AQ144)+N(AR144)+N(AS144)+N(AT144)+N(AU144)</f>
        <v>55</v>
      </c>
      <c r="AW144" s="10" t="n">
        <v>55</v>
      </c>
      <c r="AX144" s="10"/>
      <c r="AY144" s="10"/>
      <c r="AZ144" s="2"/>
      <c r="BA144" s="2" t="s">
        <v>1022</v>
      </c>
      <c r="BB144" s="2" t="s">
        <v>1537</v>
      </c>
      <c r="BC144" s="2" t="s">
        <v>1023</v>
      </c>
      <c r="BD144" s="2" t="s">
        <v>1024</v>
      </c>
      <c r="BE144" s="2"/>
      <c r="BF144" s="2" t="s">
        <v>1025</v>
      </c>
      <c r="BG144" s="22" t="n">
        <v>46113</v>
      </c>
      <c r="BH144" s="22" t="n">
        <v>47973</v>
      </c>
      <c r="BI144" s="2"/>
      <c r="BJ144" s="22" t="n">
        <v>47973</v>
      </c>
      <c r="BK144" s="2" t="n">
        <v>55</v>
      </c>
      <c r="BL144" s="2" t="n">
        <v>0</v>
      </c>
      <c r="BM144" s="2"/>
      <c r="BN144" s="2" t="s">
        <v>1539</v>
      </c>
      <c r="BO144" s="23" t="s">
        <v>1540</v>
      </c>
      <c r="BP144" s="2" t="n">
        <f aca="false">IF(OR(K144="",BG144=""),"",ROUND(BG144-K144,0))</f>
        <v>0</v>
      </c>
      <c r="BQ144" s="2" t="str">
        <f aca="false">IF(OR(N(BK144)=0,Q144=""),"Not recorded",IF(BK144=Q144,"Match","Differs"))</f>
        <v>Differs</v>
      </c>
      <c r="BR144" s="2" t="str">
        <f aca="false">IF(N144="No","Excluded (non-residential)",IF(BF144="No reference","Unverified – no reference",IF(BF144="Not in council register","Unverified – not in register (Part 8 / other)",IF(OR(BF144="Refused",BF144="Refused on appeal",BF144="Withdrawn",BF144="Invalid",BF144="Quashed"),IF(OR(G144="Complete",G144="On Site",G144="Part Complete"),"Conflict – register not live but CIS says built","Conflict – not live in register"),IF(AND(G144="Plans Submitted",OR(BF144="Granted",BF144="Granted on appeal")),"Stage out of date – now granted",IF(AND(G144&lt;&gt;"Plans Submitted",OR(BF144="Pending",BF144="Under appeal")),"Check – register still pending",IF(N(BL144)&gt;Method!$B$7,"Check – location differs",IF(AND(BP144&lt;&gt;"",ABS(N(BP144))&gt;60),"Consistent – decision date differs","Consistent"))))))))</f>
        <v>Consistent</v>
      </c>
      <c r="BS144" s="2"/>
      <c r="BT144" s="2"/>
      <c r="BU144" s="2"/>
      <c r="BV144" s="2"/>
      <c r="BW144" s="2"/>
      <c r="BX144" s="2"/>
    </row>
    <row r="145" customFormat="false" ht="15" hidden="false" customHeight="false" outlineLevel="0" collapsed="false">
      <c r="A145" s="2" t="n">
        <v>990309</v>
      </c>
      <c r="B145" s="2" t="s">
        <v>520</v>
      </c>
      <c r="C145" s="2" t="s">
        <v>1541</v>
      </c>
      <c r="D145" s="2" t="s">
        <v>521</v>
      </c>
      <c r="E145" s="2" t="s">
        <v>522</v>
      </c>
      <c r="F145" s="2" t="s">
        <v>144</v>
      </c>
      <c r="G145" s="2" t="s">
        <v>251</v>
      </c>
      <c r="H145" s="2" t="s">
        <v>1014</v>
      </c>
      <c r="I145" s="2" t="s">
        <v>1015</v>
      </c>
      <c r="J145" s="22" t="n">
        <v>43224</v>
      </c>
      <c r="K145" s="22" t="n">
        <v>43376</v>
      </c>
      <c r="L145" s="22" t="n">
        <v>45168.4618719097</v>
      </c>
      <c r="M145" s="2" t="s">
        <v>1016</v>
      </c>
      <c r="N145" s="2" t="s">
        <v>121</v>
      </c>
      <c r="O145" s="2"/>
      <c r="P145" s="2" t="s">
        <v>1017</v>
      </c>
      <c r="Q145" s="10" t="n">
        <v>133</v>
      </c>
      <c r="R145" s="10" t="n">
        <v>99</v>
      </c>
      <c r="S145" s="10"/>
      <c r="T145" s="2" t="s">
        <v>120</v>
      </c>
      <c r="U145" s="2"/>
      <c r="V145" s="2" t="s">
        <v>1029</v>
      </c>
      <c r="W145" s="2" t="s">
        <v>1030</v>
      </c>
      <c r="X145" s="7"/>
      <c r="Y145" s="2" t="str">
        <f aca="false">IF(X145&lt;&gt;"",X145,T145)</f>
        <v>Primary</v>
      </c>
      <c r="Z145" s="2" t="str">
        <f aca="false">IF(OR(Y145="Primary",Y145="Additional phase",Y145="Additional application on site",Y145="Replaces earlier",Y145="Extension of duration (parent not in CIS)"),"Yes","No")</f>
        <v>Yes</v>
      </c>
      <c r="AA145" s="2"/>
      <c r="AB145" s="2" t="n">
        <f aca="false">IF(L145="","",ROUND((Method!$B$4-L145)/30.44,0))</f>
        <v>37</v>
      </c>
      <c r="AC145" s="2" t="str">
        <f aca="false">IF(AB145="","No",IF(AB145&gt;Method!$B$5,"Yes","No"))</f>
        <v>Yes</v>
      </c>
      <c r="AD145" s="22" t="n">
        <f aca="false">IF(BJ145&lt;&gt;"",BJ145,IF(K145&lt;&gt;"",EDATE(K145,60),""))</f>
        <v>45235</v>
      </c>
      <c r="AE145" s="2" t="str">
        <f aca="false">IF(AND(AD145&lt;&gt;"",OR(G145="Permission Granted",G145="Commencement Expected",G145="Stalled or Suspended")),IF(AD145&lt;Method!$B$4,"Yes","No"),"No")</f>
        <v>No</v>
      </c>
      <c r="AF145" s="7"/>
      <c r="AG145" s="2" t="str">
        <f aca="false">IF(Z145="No","Not counted",IF(AF145="Lapsed or dead","Excluded",IF(AF145="Constrained","Constrained / uncertain",IF(AF145="Confirmed live",IF(G145="On Site","Committed",IF(G145="Part Complete","Committed",IF(G145="Contract Awarded","Committed Pre-Construction",IF(G145="Tender","Advanced Pre-Construction",IF(G145="Commencement Expected","Likely",IF(G145="Permission Granted","Potential",IF(G145="Stalled or Suspended","Constrained / uncertain",IF(G145="Complete","Delivered","Application Pipeline")))))))),IF(G145="Complete","Delivered",IF(AND(OR(G145="Permission Granted",G145="Commencement Expected"),OR(AC145="Yes",AE145="Yes")),"Constrained / uncertain",IF(G145="On Site","Committed",IF(G145="Part Complete","Committed",IF(G145="Contract Awarded","Committed Pre-Construction",IF(G145="Tender","Advanced Pre-Construction",IF(G145="Commencement Expected","Likely",IF(G145="Permission Granted","Potential",IF(G145="Stalled or Suspended","Constrained / uncertain",IF(G145="Complete","Delivered","Application Pipeline"))))))))))))))</f>
        <v>Delivered</v>
      </c>
      <c r="AH145" s="2" t="str">
        <f aca="false">IF(Z145="No","Relationship: "&amp;Y145,IF(AF145&lt;&gt;"","Analyst: "&amp;AF145,IF(G145="Complete","Complete",IF(AND(OR(G145="Permission Granted",G145="Commencement Expected"),AE145="Yes"),"Past expiry",IF(AND(OR(G145="Permission Granted",G145="Commencement Expected"),AC145="Yes"),"No CIS update in "&amp;AB145&amp;" months","As CIS")))))</f>
        <v>Complete</v>
      </c>
      <c r="AI145" s="10" t="n">
        <f aca="false">IF(Z145="Yes",N(Q145),0)</f>
        <v>133</v>
      </c>
      <c r="AJ145" s="10" t="n">
        <f aca="false">IF(OR(Z145="No",G145="Complete"),0,MAX(N(Q145)-N(AA145),0))</f>
        <v>0</v>
      </c>
      <c r="AK145" s="10" t="n">
        <f aca="false">IF(Z145="No",0,IF(G145="Complete",N(Q145),MIN(N(AA145),N(Q145))))</f>
        <v>133</v>
      </c>
      <c r="AL145" s="10" t="n">
        <f aca="false">IF(OR(OR(AG145="Not counted",AG145="Excluded",AG145="Delivered"),P145="Student accommodation"),0,AJ145)</f>
        <v>0</v>
      </c>
      <c r="AM145" s="10" t="n">
        <f aca="false">IF(OR(OR(AG145="Not counted",AG145="Excluded",AG145="Delivered"),P145&lt;&gt;"Student accommodation"),0,AJ145)</f>
        <v>0</v>
      </c>
      <c r="AN145" s="10" t="n">
        <f aca="false">IF(OR(AG145="Not counted",AG145="Excluded",AG145="Delivered"),0,N(S145))</f>
        <v>0</v>
      </c>
      <c r="AO145" s="2" t="s">
        <v>1031</v>
      </c>
      <c r="AP145" s="10"/>
      <c r="AQ145" s="10"/>
      <c r="AR145" s="10" t="n">
        <v>43</v>
      </c>
      <c r="AS145" s="10" t="n">
        <v>55</v>
      </c>
      <c r="AT145" s="10" t="n">
        <v>1</v>
      </c>
      <c r="AU145" s="10"/>
      <c r="AV145" s="10" t="n">
        <f aca="false">N(AP145)+N(AQ145)+N(AR145)+N(AS145)+N(AT145)+N(AU145)</f>
        <v>99</v>
      </c>
      <c r="AW145" s="10" t="n">
        <v>70</v>
      </c>
      <c r="AX145" s="10" t="n">
        <v>29</v>
      </c>
      <c r="AY145" s="10"/>
      <c r="AZ145" s="2"/>
      <c r="BA145" s="2" t="s">
        <v>1022</v>
      </c>
      <c r="BB145" s="2" t="s">
        <v>1541</v>
      </c>
      <c r="BC145" s="2" t="s">
        <v>1023</v>
      </c>
      <c r="BD145" s="2" t="s">
        <v>1024</v>
      </c>
      <c r="BE145" s="2"/>
      <c r="BF145" s="2" t="s">
        <v>1025</v>
      </c>
      <c r="BG145" s="22" t="n">
        <v>43376</v>
      </c>
      <c r="BH145" s="22" t="n">
        <v>45235</v>
      </c>
      <c r="BI145" s="2"/>
      <c r="BJ145" s="22" t="n">
        <v>45235</v>
      </c>
      <c r="BK145" s="2" t="n">
        <v>99</v>
      </c>
      <c r="BL145" s="2" t="n">
        <v>0</v>
      </c>
      <c r="BM145" s="2"/>
      <c r="BN145" s="2" t="s">
        <v>1542</v>
      </c>
      <c r="BO145" s="23" t="s">
        <v>1543</v>
      </c>
      <c r="BP145" s="2" t="n">
        <f aca="false">IF(OR(K145="",BG145=""),"",ROUND(BG145-K145,0))</f>
        <v>0</v>
      </c>
      <c r="BQ145" s="2" t="str">
        <f aca="false">IF(OR(N(BK145)=0,Q145=""),"Not recorded",IF(BK145=Q145,"Match","Differs"))</f>
        <v>Differs</v>
      </c>
      <c r="BR145" s="2" t="str">
        <f aca="false">IF(N145="No","Excluded (non-residential)",IF(BF145="No reference","Unverified – no reference",IF(BF145="Not in council register","Unverified – not in register (Part 8 / other)",IF(OR(BF145="Refused",BF145="Refused on appeal",BF145="Withdrawn",BF145="Invalid",BF145="Quashed"),IF(OR(G145="Complete",G145="On Site",G145="Part Complete"),"Conflict – register not live but CIS says built","Conflict – not live in register"),IF(AND(G145="Plans Submitted",OR(BF145="Granted",BF145="Granted on appeal")),"Stage out of date – now granted",IF(AND(G145&lt;&gt;"Plans Submitted",OR(BF145="Pending",BF145="Under appeal")),"Check – register still pending",IF(N(BL145)&gt;Method!$B$7,"Check – location differs",IF(AND(BP145&lt;&gt;"",ABS(N(BP145))&gt;60),"Consistent – decision date differs","Consistent"))))))))</f>
        <v>Consistent</v>
      </c>
      <c r="BS145" s="2"/>
      <c r="BT145" s="2"/>
      <c r="BU145" s="2"/>
      <c r="BV145" s="2"/>
      <c r="BW145" s="2"/>
      <c r="BX145" s="2"/>
    </row>
    <row r="146" customFormat="false" ht="15" hidden="false" customHeight="false" outlineLevel="0" collapsed="false">
      <c r="A146" s="2" t="n">
        <v>1025215</v>
      </c>
      <c r="B146" s="2" t="s">
        <v>520</v>
      </c>
      <c r="C146" s="2" t="s">
        <v>1544</v>
      </c>
      <c r="D146" s="2" t="s">
        <v>1545</v>
      </c>
      <c r="E146" s="2" t="s">
        <v>522</v>
      </c>
      <c r="F146" s="2" t="s">
        <v>144</v>
      </c>
      <c r="G146" s="2" t="s">
        <v>198</v>
      </c>
      <c r="H146" s="2" t="s">
        <v>1014</v>
      </c>
      <c r="I146" s="2" t="s">
        <v>198</v>
      </c>
      <c r="J146" s="22" t="n">
        <v>43454</v>
      </c>
      <c r="K146" s="22" t="n">
        <v>43580</v>
      </c>
      <c r="L146" s="22" t="n">
        <v>44405.602334294</v>
      </c>
      <c r="M146" s="2" t="s">
        <v>1016</v>
      </c>
      <c r="N146" s="2" t="s">
        <v>121</v>
      </c>
      <c r="O146" s="2"/>
      <c r="P146" s="2" t="s">
        <v>1017</v>
      </c>
      <c r="Q146" s="10" t="n">
        <v>37</v>
      </c>
      <c r="R146" s="10" t="n">
        <v>35</v>
      </c>
      <c r="S146" s="10"/>
      <c r="T146" s="2" t="s">
        <v>30</v>
      </c>
      <c r="U146" s="2"/>
      <c r="V146" s="2" t="s">
        <v>1080</v>
      </c>
      <c r="W146" s="2" t="s">
        <v>1020</v>
      </c>
      <c r="X146" s="7"/>
      <c r="Y146" s="2" t="str">
        <f aca="false">IF(X146&lt;&gt;"",X146,T146)</f>
        <v>Additional application on site</v>
      </c>
      <c r="Z146" s="2" t="str">
        <f aca="false">IF(OR(Y146="Primary",Y146="Additional phase",Y146="Additional application on site",Y146="Replaces earlier",Y146="Extension of duration (parent not in CIS)"),"Yes","No")</f>
        <v>Yes</v>
      </c>
      <c r="AA146" s="2"/>
      <c r="AB146" s="2" t="n">
        <f aca="false">IF(L146="","",ROUND((Method!$B$4-L146)/30.44,0))</f>
        <v>62</v>
      </c>
      <c r="AC146" s="2" t="str">
        <f aca="false">IF(AB146="","No",IF(AB146&gt;Method!$B$5,"Yes","No"))</f>
        <v>Yes</v>
      </c>
      <c r="AD146" s="22" t="n">
        <f aca="false">IF(BJ146&lt;&gt;"",BJ146,IF(K146&lt;&gt;"",EDATE(K146,60),""))</f>
        <v>45440</v>
      </c>
      <c r="AE146" s="2" t="str">
        <f aca="false">IF(AND(AD146&lt;&gt;"",OR(G146="Permission Granted",G146="Commencement Expected",G146="Stalled or Suspended")),IF(AD146&lt;Method!$B$4,"Yes","No"),"No")</f>
        <v>No</v>
      </c>
      <c r="AF146" s="7"/>
      <c r="AG146" s="2" t="str">
        <f aca="false">IF(Z146="No","Not counted",IF(AF146="Lapsed or dead","Excluded",IF(AF146="Constrained","Constrained / uncertain",IF(AF146="Confirmed live",IF(G146="On Site","Committed",IF(G146="Part Complete","Committed",IF(G146="Contract Awarded","Committed Pre-Construction",IF(G146="Tender","Advanced Pre-Construction",IF(G146="Commencement Expected","Likely",IF(G146="Permission Granted","Potential",IF(G146="Stalled or Suspended","Constrained / uncertain",IF(G146="Complete","Delivered","Application Pipeline")))))))),IF(G146="Complete","Delivered",IF(AND(OR(G146="Permission Granted",G146="Commencement Expected"),OR(AC146="Yes",AE146="Yes")),"Constrained / uncertain",IF(G146="On Site","Committed",IF(G146="Part Complete","Committed",IF(G146="Contract Awarded","Committed Pre-Construction",IF(G146="Tender","Advanced Pre-Construction",IF(G146="Commencement Expected","Likely",IF(G146="Permission Granted","Potential",IF(G146="Stalled or Suspended","Constrained / uncertain",IF(G146="Complete","Delivered","Application Pipeline"))))))))))))))</f>
        <v>Committed</v>
      </c>
      <c r="AH146" s="2" t="str">
        <f aca="false">IF(Z146="No","Relationship: "&amp;Y146,IF(AF146&lt;&gt;"","Analyst: "&amp;AF146,IF(G146="Complete","Complete",IF(AND(OR(G146="Permission Granted",G146="Commencement Expected"),AE146="Yes"),"Past expiry",IF(AND(OR(G146="Permission Granted",G146="Commencement Expected"),AC146="Yes"),"No CIS update in "&amp;AB146&amp;" months","As CIS")))))</f>
        <v>As CIS</v>
      </c>
      <c r="AI146" s="10" t="n">
        <f aca="false">IF(Z146="Yes",N(Q146),0)</f>
        <v>37</v>
      </c>
      <c r="AJ146" s="10" t="n">
        <f aca="false">IF(OR(Z146="No",G146="Complete"),0,MAX(N(Q146)-N(AA146),0))</f>
        <v>37</v>
      </c>
      <c r="AK146" s="10" t="n">
        <f aca="false">IF(Z146="No",0,IF(G146="Complete",N(Q146),MIN(N(AA146),N(Q146))))</f>
        <v>0</v>
      </c>
      <c r="AL146" s="10" t="n">
        <f aca="false">IF(OR(OR(AG146="Not counted",AG146="Excluded",AG146="Delivered"),P146="Student accommodation"),0,AJ146)</f>
        <v>37</v>
      </c>
      <c r="AM146" s="10" t="n">
        <f aca="false">IF(OR(OR(AG146="Not counted",AG146="Excluded",AG146="Delivered"),P146&lt;&gt;"Student accommodation"),0,AJ146)</f>
        <v>0</v>
      </c>
      <c r="AN146" s="10" t="n">
        <f aca="false">IF(OR(AG146="Not counted",AG146="Excluded",AG146="Delivered"),0,N(S146))</f>
        <v>0</v>
      </c>
      <c r="AO146" s="2" t="s">
        <v>1031</v>
      </c>
      <c r="AP146" s="10"/>
      <c r="AQ146" s="10"/>
      <c r="AR146" s="10" t="n">
        <v>2</v>
      </c>
      <c r="AS146" s="10" t="n">
        <v>32</v>
      </c>
      <c r="AT146" s="10" t="n">
        <v>1</v>
      </c>
      <c r="AU146" s="10"/>
      <c r="AV146" s="10" t="n">
        <f aca="false">N(AP146)+N(AQ146)+N(AR146)+N(AS146)+N(AT146)+N(AU146)</f>
        <v>35</v>
      </c>
      <c r="AW146" s="10" t="n">
        <v>31</v>
      </c>
      <c r="AX146" s="10" t="n">
        <v>4</v>
      </c>
      <c r="AY146" s="10"/>
      <c r="AZ146" s="2"/>
      <c r="BA146" s="2" t="s">
        <v>1022</v>
      </c>
      <c r="BB146" s="2" t="s">
        <v>1544</v>
      </c>
      <c r="BC146" s="2" t="s">
        <v>1023</v>
      </c>
      <c r="BD146" s="2" t="s">
        <v>1024</v>
      </c>
      <c r="BE146" s="2"/>
      <c r="BF146" s="2" t="s">
        <v>1025</v>
      </c>
      <c r="BG146" s="22" t="n">
        <v>43580</v>
      </c>
      <c r="BH146" s="22" t="n">
        <v>45440</v>
      </c>
      <c r="BI146" s="2"/>
      <c r="BJ146" s="22" t="n">
        <v>45440</v>
      </c>
      <c r="BK146" s="2" t="n">
        <v>37</v>
      </c>
      <c r="BL146" s="2" t="n">
        <v>0</v>
      </c>
      <c r="BM146" s="2"/>
      <c r="BN146" s="2" t="s">
        <v>1546</v>
      </c>
      <c r="BO146" s="23" t="s">
        <v>1547</v>
      </c>
      <c r="BP146" s="2" t="n">
        <f aca="false">IF(OR(K146="",BG146=""),"",ROUND(BG146-K146,0))</f>
        <v>0</v>
      </c>
      <c r="BQ146" s="2" t="str">
        <f aca="false">IF(OR(N(BK146)=0,Q146=""),"Not recorded",IF(BK146=Q146,"Match","Differs"))</f>
        <v>Match</v>
      </c>
      <c r="BR146" s="2" t="str">
        <f aca="false">IF(N146="No","Excluded (non-residential)",IF(BF146="No reference","Unverified – no reference",IF(BF146="Not in council register","Unverified – not in register (Part 8 / other)",IF(OR(BF146="Refused",BF146="Refused on appeal",BF146="Withdrawn",BF146="Invalid",BF146="Quashed"),IF(OR(G146="Complete",G146="On Site",G146="Part Complete"),"Conflict – register not live but CIS says built","Conflict – not live in register"),IF(AND(G146="Plans Submitted",OR(BF146="Granted",BF146="Granted on appeal")),"Stage out of date – now granted",IF(AND(G146&lt;&gt;"Plans Submitted",OR(BF146="Pending",BF146="Under appeal")),"Check – register still pending",IF(N(BL146)&gt;Method!$B$7,"Check – location differs",IF(AND(BP146&lt;&gt;"",ABS(N(BP146))&gt;60),"Consistent – decision date differs","Consistent"))))))))</f>
        <v>Consistent</v>
      </c>
      <c r="BS146" s="2" t="n">
        <v>1682</v>
      </c>
      <c r="BT146" s="2" t="s">
        <v>1183</v>
      </c>
      <c r="BU146" s="2" t="s">
        <v>1548</v>
      </c>
      <c r="BV146" s="2" t="s">
        <v>1015</v>
      </c>
      <c r="BW146" s="2" t="s">
        <v>1051</v>
      </c>
      <c r="BX146" s="2" t="s">
        <v>1185</v>
      </c>
    </row>
    <row r="147" customFormat="false" ht="15" hidden="false" customHeight="false" outlineLevel="0" collapsed="false">
      <c r="A147" s="2" t="n">
        <v>990340</v>
      </c>
      <c r="B147" s="2" t="s">
        <v>591</v>
      </c>
      <c r="C147" s="2" t="s">
        <v>1549</v>
      </c>
      <c r="D147" s="2" t="s">
        <v>592</v>
      </c>
      <c r="E147" s="2" t="s">
        <v>593</v>
      </c>
      <c r="F147" s="2" t="s">
        <v>140</v>
      </c>
      <c r="G147" s="2" t="s">
        <v>251</v>
      </c>
      <c r="H147" s="2" t="s">
        <v>1014</v>
      </c>
      <c r="I147" s="2" t="s">
        <v>1015</v>
      </c>
      <c r="J147" s="22" t="n">
        <v>43231</v>
      </c>
      <c r="K147" s="22" t="n">
        <v>43327</v>
      </c>
      <c r="L147" s="22" t="n">
        <v>44027.5678385764</v>
      </c>
      <c r="M147" s="2" t="s">
        <v>1016</v>
      </c>
      <c r="N147" s="2" t="s">
        <v>121</v>
      </c>
      <c r="O147" s="2"/>
      <c r="P147" s="2" t="s">
        <v>1017</v>
      </c>
      <c r="Q147" s="10" t="n">
        <v>25</v>
      </c>
      <c r="R147" s="10" t="n">
        <v>19</v>
      </c>
      <c r="S147" s="10"/>
      <c r="T147" s="2" t="s">
        <v>28</v>
      </c>
      <c r="U147" s="2" t="s">
        <v>1428</v>
      </c>
      <c r="V147" s="2" t="s">
        <v>1550</v>
      </c>
      <c r="W147" s="2" t="s">
        <v>1020</v>
      </c>
      <c r="X147" s="7"/>
      <c r="Y147" s="2" t="str">
        <f aca="false">IF(X147&lt;&gt;"",X147,T147)</f>
        <v>Additional phase</v>
      </c>
      <c r="Z147" s="2" t="str">
        <f aca="false">IF(OR(Y147="Primary",Y147="Additional phase",Y147="Additional application on site",Y147="Replaces earlier",Y147="Extension of duration (parent not in CIS)"),"Yes","No")</f>
        <v>Yes</v>
      </c>
      <c r="AA147" s="2"/>
      <c r="AB147" s="2" t="n">
        <f aca="false">IF(L147="","",ROUND((Method!$B$4-L147)/30.44,0))</f>
        <v>74</v>
      </c>
      <c r="AC147" s="2" t="str">
        <f aca="false">IF(AB147="","No",IF(AB147&gt;Method!$B$5,"Yes","No"))</f>
        <v>Yes</v>
      </c>
      <c r="AD147" s="22" t="n">
        <f aca="false">IF(BJ147&lt;&gt;"",BJ147,IF(K147&lt;&gt;"",EDATE(K147,60),""))</f>
        <v>45186</v>
      </c>
      <c r="AE147" s="2" t="str">
        <f aca="false">IF(AND(AD147&lt;&gt;"",OR(G147="Permission Granted",G147="Commencement Expected",G147="Stalled or Suspended")),IF(AD147&lt;Method!$B$4,"Yes","No"),"No")</f>
        <v>No</v>
      </c>
      <c r="AF147" s="7"/>
      <c r="AG147" s="2" t="str">
        <f aca="false">IF(Z147="No","Not counted",IF(AF147="Lapsed or dead","Excluded",IF(AF147="Constrained","Constrained / uncertain",IF(AF147="Confirmed live",IF(G147="On Site","Committed",IF(G147="Part Complete","Committed",IF(G147="Contract Awarded","Committed Pre-Construction",IF(G147="Tender","Advanced Pre-Construction",IF(G147="Commencement Expected","Likely",IF(G147="Permission Granted","Potential",IF(G147="Stalled or Suspended","Constrained / uncertain",IF(G147="Complete","Delivered","Application Pipeline")))))))),IF(G147="Complete","Delivered",IF(AND(OR(G147="Permission Granted",G147="Commencement Expected"),OR(AC147="Yes",AE147="Yes")),"Constrained / uncertain",IF(G147="On Site","Committed",IF(G147="Part Complete","Committed",IF(G147="Contract Awarded","Committed Pre-Construction",IF(G147="Tender","Advanced Pre-Construction",IF(G147="Commencement Expected","Likely",IF(G147="Permission Granted","Potential",IF(G147="Stalled or Suspended","Constrained / uncertain",IF(G147="Complete","Delivered","Application Pipeline"))))))))))))))</f>
        <v>Delivered</v>
      </c>
      <c r="AH147" s="2" t="str">
        <f aca="false">IF(Z147="No","Relationship: "&amp;Y147,IF(AF147&lt;&gt;"","Analyst: "&amp;AF147,IF(G147="Complete","Complete",IF(AND(OR(G147="Permission Granted",G147="Commencement Expected"),AE147="Yes"),"Past expiry",IF(AND(OR(G147="Permission Granted",G147="Commencement Expected"),AC147="Yes"),"No CIS update in "&amp;AB147&amp;" months","As CIS")))))</f>
        <v>Complete</v>
      </c>
      <c r="AI147" s="10" t="n">
        <f aca="false">IF(Z147="Yes",N(Q147),0)</f>
        <v>25</v>
      </c>
      <c r="AJ147" s="10" t="n">
        <f aca="false">IF(OR(Z147="No",G147="Complete"),0,MAX(N(Q147)-N(AA147),0))</f>
        <v>0</v>
      </c>
      <c r="AK147" s="10" t="n">
        <f aca="false">IF(Z147="No",0,IF(G147="Complete",N(Q147),MIN(N(AA147),N(Q147))))</f>
        <v>25</v>
      </c>
      <c r="AL147" s="10" t="n">
        <f aca="false">IF(OR(OR(AG147="Not counted",AG147="Excluded",AG147="Delivered"),P147="Student accommodation"),0,AJ147)</f>
        <v>0</v>
      </c>
      <c r="AM147" s="10" t="n">
        <f aca="false">IF(OR(OR(AG147="Not counted",AG147="Excluded",AG147="Delivered"),P147&lt;&gt;"Student accommodation"),0,AJ147)</f>
        <v>0</v>
      </c>
      <c r="AN147" s="10" t="n">
        <f aca="false">IF(OR(AG147="Not counted",AG147="Excluded",AG147="Delivered"),0,N(S147))</f>
        <v>0</v>
      </c>
      <c r="AO147" s="2" t="s">
        <v>1021</v>
      </c>
      <c r="AP147" s="10"/>
      <c r="AQ147" s="10"/>
      <c r="AR147" s="10"/>
      <c r="AS147" s="10"/>
      <c r="AT147" s="10"/>
      <c r="AU147" s="10"/>
      <c r="AV147" s="10" t="n">
        <f aca="false">N(AP147)+N(AQ147)+N(AR147)+N(AS147)+N(AT147)+N(AU147)</f>
        <v>0</v>
      </c>
      <c r="AW147" s="10"/>
      <c r="AX147" s="10"/>
      <c r="AY147" s="10"/>
      <c r="AZ147" s="2"/>
      <c r="BA147" s="2" t="s">
        <v>1022</v>
      </c>
      <c r="BB147" s="2" t="s">
        <v>1549</v>
      </c>
      <c r="BC147" s="2" t="s">
        <v>1023</v>
      </c>
      <c r="BD147" s="2" t="s">
        <v>1024</v>
      </c>
      <c r="BE147" s="2"/>
      <c r="BF147" s="2" t="s">
        <v>1025</v>
      </c>
      <c r="BG147" s="22" t="n">
        <v>43327</v>
      </c>
      <c r="BH147" s="22" t="n">
        <v>45186</v>
      </c>
      <c r="BI147" s="2"/>
      <c r="BJ147" s="22" t="n">
        <v>45186</v>
      </c>
      <c r="BK147" s="2" t="n">
        <v>19</v>
      </c>
      <c r="BL147" s="2" t="n">
        <v>0</v>
      </c>
      <c r="BM147" s="2"/>
      <c r="BN147" s="2" t="s">
        <v>1551</v>
      </c>
      <c r="BO147" s="23" t="s">
        <v>1552</v>
      </c>
      <c r="BP147" s="2" t="n">
        <f aca="false">IF(OR(K147="",BG147=""),"",ROUND(BG147-K147,0))</f>
        <v>0</v>
      </c>
      <c r="BQ147" s="2" t="str">
        <f aca="false">IF(OR(N(BK147)=0,Q147=""),"Not recorded",IF(BK147=Q147,"Match","Differs"))</f>
        <v>Differs</v>
      </c>
      <c r="BR147" s="2" t="str">
        <f aca="false">IF(N147="No","Excluded (non-residential)",IF(BF147="No reference","Unverified – no reference",IF(BF147="Not in council register","Unverified – not in register (Part 8 / other)",IF(OR(BF147="Refused",BF147="Refused on appeal",BF147="Withdrawn",BF147="Invalid",BF147="Quashed"),IF(OR(G147="Complete",G147="On Site",G147="Part Complete"),"Conflict – register not live but CIS says built","Conflict – not live in register"),IF(AND(G147="Plans Submitted",OR(BF147="Granted",BF147="Granted on appeal")),"Stage out of date – now granted",IF(AND(G147&lt;&gt;"Plans Submitted",OR(BF147="Pending",BF147="Under appeal")),"Check – register still pending",IF(N(BL147)&gt;Method!$B$7,"Check – location differs",IF(AND(BP147&lt;&gt;"",ABS(N(BP147))&gt;60),"Consistent – decision date differs","Consistent"))))))))</f>
        <v>Consistent</v>
      </c>
      <c r="BS147" s="2"/>
      <c r="BT147" s="2"/>
      <c r="BU147" s="2"/>
      <c r="BV147" s="2"/>
      <c r="BW147" s="2"/>
      <c r="BX147" s="2"/>
    </row>
    <row r="148" customFormat="false" ht="15" hidden="false" customHeight="false" outlineLevel="0" collapsed="false">
      <c r="A148" s="2" t="n">
        <v>1103803</v>
      </c>
      <c r="B148" s="2" t="s">
        <v>591</v>
      </c>
      <c r="C148" s="2" t="s">
        <v>1553</v>
      </c>
      <c r="D148" s="2" t="s">
        <v>1554</v>
      </c>
      <c r="E148" s="2" t="s">
        <v>1555</v>
      </c>
      <c r="F148" s="2" t="s">
        <v>140</v>
      </c>
      <c r="G148" s="2" t="s">
        <v>198</v>
      </c>
      <c r="H148" s="2" t="s">
        <v>1014</v>
      </c>
      <c r="I148" s="2" t="s">
        <v>198</v>
      </c>
      <c r="J148" s="22" t="n">
        <v>43987</v>
      </c>
      <c r="K148" s="22" t="n">
        <v>44180</v>
      </c>
      <c r="L148" s="22" t="n">
        <v>44489.6123730671</v>
      </c>
      <c r="M148" s="2" t="s">
        <v>1016</v>
      </c>
      <c r="N148" s="2" t="s">
        <v>121</v>
      </c>
      <c r="O148" s="2"/>
      <c r="P148" s="2" t="s">
        <v>1017</v>
      </c>
      <c r="Q148" s="10" t="n">
        <v>29</v>
      </c>
      <c r="R148" s="10" t="n">
        <v>29</v>
      </c>
      <c r="S148" s="10"/>
      <c r="T148" s="2" t="s">
        <v>28</v>
      </c>
      <c r="U148" s="2" t="s">
        <v>1428</v>
      </c>
      <c r="V148" s="2" t="s">
        <v>1550</v>
      </c>
      <c r="W148" s="2" t="s">
        <v>1020</v>
      </c>
      <c r="X148" s="7"/>
      <c r="Y148" s="2" t="str">
        <f aca="false">IF(X148&lt;&gt;"",X148,T148)</f>
        <v>Additional phase</v>
      </c>
      <c r="Z148" s="2" t="str">
        <f aca="false">IF(OR(Y148="Primary",Y148="Additional phase",Y148="Additional application on site",Y148="Replaces earlier",Y148="Extension of duration (parent not in CIS)"),"Yes","No")</f>
        <v>Yes</v>
      </c>
      <c r="AA148" s="2"/>
      <c r="AB148" s="2" t="n">
        <f aca="false">IF(L148="","",ROUND((Method!$B$4-L148)/30.44,0))</f>
        <v>59</v>
      </c>
      <c r="AC148" s="2" t="str">
        <f aca="false">IF(AB148="","No",IF(AB148&gt;Method!$B$5,"Yes","No"))</f>
        <v>Yes</v>
      </c>
      <c r="AD148" s="22" t="n">
        <f aca="false">IF(BJ148&lt;&gt;"",BJ148,IF(K148&lt;&gt;"",EDATE(K148,60),""))</f>
        <v>47189</v>
      </c>
      <c r="AE148" s="2" t="str">
        <f aca="false">IF(AND(AD148&lt;&gt;"",OR(G148="Permission Granted",G148="Commencement Expected",G148="Stalled or Suspended")),IF(AD148&lt;Method!$B$4,"Yes","No"),"No")</f>
        <v>No</v>
      </c>
      <c r="AF148" s="7"/>
      <c r="AG148" s="2" t="str">
        <f aca="false">IF(Z148="No","Not counted",IF(AF148="Lapsed or dead","Excluded",IF(AF148="Constrained","Constrained / uncertain",IF(AF148="Confirmed live",IF(G148="On Site","Committed",IF(G148="Part Complete","Committed",IF(G148="Contract Awarded","Committed Pre-Construction",IF(G148="Tender","Advanced Pre-Construction",IF(G148="Commencement Expected","Likely",IF(G148="Permission Granted","Potential",IF(G148="Stalled or Suspended","Constrained / uncertain",IF(G148="Complete","Delivered","Application Pipeline")))))))),IF(G148="Complete","Delivered",IF(AND(OR(G148="Permission Granted",G148="Commencement Expected"),OR(AC148="Yes",AE148="Yes")),"Constrained / uncertain",IF(G148="On Site","Committed",IF(G148="Part Complete","Committed",IF(G148="Contract Awarded","Committed Pre-Construction",IF(G148="Tender","Advanced Pre-Construction",IF(G148="Commencement Expected","Likely",IF(G148="Permission Granted","Potential",IF(G148="Stalled or Suspended","Constrained / uncertain",IF(G148="Complete","Delivered","Application Pipeline"))))))))))))))</f>
        <v>Committed</v>
      </c>
      <c r="AH148" s="2" t="str">
        <f aca="false">IF(Z148="No","Relationship: "&amp;Y148,IF(AF148&lt;&gt;"","Analyst: "&amp;AF148,IF(G148="Complete","Complete",IF(AND(OR(G148="Permission Granted",G148="Commencement Expected"),AE148="Yes"),"Past expiry",IF(AND(OR(G148="Permission Granted",G148="Commencement Expected"),AC148="Yes"),"No CIS update in "&amp;AB148&amp;" months","As CIS")))))</f>
        <v>As CIS</v>
      </c>
      <c r="AI148" s="10" t="n">
        <f aca="false">IF(Z148="Yes",N(Q148),0)</f>
        <v>29</v>
      </c>
      <c r="AJ148" s="10" t="n">
        <f aca="false">IF(OR(Z148="No",G148="Complete"),0,MAX(N(Q148)-N(AA148),0))</f>
        <v>29</v>
      </c>
      <c r="AK148" s="10" t="n">
        <f aca="false">IF(Z148="No",0,IF(G148="Complete",N(Q148),MIN(N(AA148),N(Q148))))</f>
        <v>0</v>
      </c>
      <c r="AL148" s="10" t="n">
        <f aca="false">IF(OR(OR(AG148="Not counted",AG148="Excluded",AG148="Delivered"),P148="Student accommodation"),0,AJ148)</f>
        <v>29</v>
      </c>
      <c r="AM148" s="10" t="n">
        <f aca="false">IF(OR(OR(AG148="Not counted",AG148="Excluded",AG148="Delivered"),P148&lt;&gt;"Student accommodation"),0,AJ148)</f>
        <v>0</v>
      </c>
      <c r="AN148" s="10" t="n">
        <f aca="false">IF(OR(AG148="Not counted",AG148="Excluded",AG148="Delivered"),0,N(S148))</f>
        <v>0</v>
      </c>
      <c r="AO148" s="2" t="s">
        <v>1031</v>
      </c>
      <c r="AP148" s="10"/>
      <c r="AQ148" s="10"/>
      <c r="AR148" s="10" t="n">
        <v>12</v>
      </c>
      <c r="AS148" s="10" t="n">
        <v>16</v>
      </c>
      <c r="AT148" s="10" t="n">
        <v>1</v>
      </c>
      <c r="AU148" s="10"/>
      <c r="AV148" s="10" t="n">
        <f aca="false">N(AP148)+N(AQ148)+N(AR148)+N(AS148)+N(AT148)+N(AU148)</f>
        <v>29</v>
      </c>
      <c r="AW148" s="10" t="n">
        <v>17</v>
      </c>
      <c r="AX148" s="10" t="n">
        <v>12</v>
      </c>
      <c r="AY148" s="10"/>
      <c r="AZ148" s="2"/>
      <c r="BA148" s="2" t="s">
        <v>1022</v>
      </c>
      <c r="BB148" s="2" t="s">
        <v>1553</v>
      </c>
      <c r="BC148" s="2" t="s">
        <v>1023</v>
      </c>
      <c r="BD148" s="2" t="s">
        <v>1024</v>
      </c>
      <c r="BE148" s="2"/>
      <c r="BF148" s="2" t="s">
        <v>1025</v>
      </c>
      <c r="BG148" s="22" t="n">
        <v>44180</v>
      </c>
      <c r="BH148" s="22" t="n">
        <v>46050</v>
      </c>
      <c r="BI148" s="2" t="s">
        <v>1430</v>
      </c>
      <c r="BJ148" s="22" t="n">
        <v>47189</v>
      </c>
      <c r="BK148" s="2" t="n">
        <v>29</v>
      </c>
      <c r="BL148" s="2" t="n">
        <v>0</v>
      </c>
      <c r="BM148" s="2"/>
      <c r="BN148" s="2" t="s">
        <v>1556</v>
      </c>
      <c r="BO148" s="23" t="s">
        <v>1557</v>
      </c>
      <c r="BP148" s="2" t="n">
        <f aca="false">IF(OR(K148="",BG148=""),"",ROUND(BG148-K148,0))</f>
        <v>0</v>
      </c>
      <c r="BQ148" s="2" t="str">
        <f aca="false">IF(OR(N(BK148)=0,Q148=""),"Not recorded",IF(BK148=Q148,"Match","Differs"))</f>
        <v>Match</v>
      </c>
      <c r="BR148" s="2" t="str">
        <f aca="false">IF(N148="No","Excluded (non-residential)",IF(BF148="No reference","Unverified – no reference",IF(BF148="Not in council register","Unverified – not in register (Part 8 / other)",IF(OR(BF148="Refused",BF148="Refused on appeal",BF148="Withdrawn",BF148="Invalid",BF148="Quashed"),IF(OR(G148="Complete",G148="On Site",G148="Part Complete"),"Conflict – register not live but CIS says built","Conflict – not live in register"),IF(AND(G148="Plans Submitted",OR(BF148="Granted",BF148="Granted on appeal")),"Stage out of date – now granted",IF(AND(G148&lt;&gt;"Plans Submitted",OR(BF148="Pending",BF148="Under appeal")),"Check – register still pending",IF(N(BL148)&gt;Method!$B$7,"Check – location differs",IF(AND(BP148&lt;&gt;"",ABS(N(BP148))&gt;60),"Consistent – decision date differs","Consistent"))))))))</f>
        <v>Consistent</v>
      </c>
      <c r="BS148" s="2"/>
      <c r="BT148" s="2"/>
      <c r="BU148" s="2"/>
      <c r="BV148" s="2"/>
      <c r="BW148" s="2"/>
      <c r="BX148" s="2"/>
    </row>
    <row r="149" customFormat="false" ht="15" hidden="false" customHeight="false" outlineLevel="0" collapsed="false">
      <c r="A149" s="2" t="n">
        <v>997554</v>
      </c>
      <c r="B149" s="2" t="s">
        <v>423</v>
      </c>
      <c r="C149" s="2" t="s">
        <v>1558</v>
      </c>
      <c r="D149" s="2" t="s">
        <v>424</v>
      </c>
      <c r="E149" s="2" t="s">
        <v>425</v>
      </c>
      <c r="F149" s="2" t="s">
        <v>138</v>
      </c>
      <c r="G149" s="2" t="s">
        <v>187</v>
      </c>
      <c r="H149" s="2" t="s">
        <v>1014</v>
      </c>
      <c r="I149" s="2"/>
      <c r="J149" s="22" t="n">
        <v>43272</v>
      </c>
      <c r="K149" s="22" t="n">
        <v>43396</v>
      </c>
      <c r="L149" s="22" t="n">
        <v>43397.5260954051</v>
      </c>
      <c r="M149" s="2" t="s">
        <v>1016</v>
      </c>
      <c r="N149" s="2" t="s">
        <v>121</v>
      </c>
      <c r="O149" s="2"/>
      <c r="P149" s="2" t="s">
        <v>1017</v>
      </c>
      <c r="Q149" s="10" t="n">
        <v>4</v>
      </c>
      <c r="R149" s="10"/>
      <c r="S149" s="10"/>
      <c r="T149" s="2" t="s">
        <v>120</v>
      </c>
      <c r="U149" s="2"/>
      <c r="V149" s="2" t="s">
        <v>1029</v>
      </c>
      <c r="W149" s="2" t="s">
        <v>1030</v>
      </c>
      <c r="X149" s="7"/>
      <c r="Y149" s="2" t="str">
        <f aca="false">IF(X149&lt;&gt;"",X149,T149)</f>
        <v>Primary</v>
      </c>
      <c r="Z149" s="2" t="str">
        <f aca="false">IF(OR(Y149="Primary",Y149="Additional phase",Y149="Additional application on site",Y149="Replaces earlier",Y149="Extension of duration (parent not in CIS)"),"Yes","No")</f>
        <v>Yes</v>
      </c>
      <c r="AA149" s="2"/>
      <c r="AB149" s="2" t="n">
        <f aca="false">IF(L149="","",ROUND((Method!$B$4-L149)/30.44,0))</f>
        <v>95</v>
      </c>
      <c r="AC149" s="2" t="str">
        <f aca="false">IF(AB149="","No",IF(AB149&gt;Method!$B$5,"Yes","No"))</f>
        <v>Yes</v>
      </c>
      <c r="AD149" s="22" t="n">
        <f aca="false">IF(BJ149&lt;&gt;"",BJ149,IF(K149&lt;&gt;"",EDATE(K149,60),""))</f>
        <v>45256</v>
      </c>
      <c r="AE149" s="2" t="str">
        <f aca="false">IF(AND(AD149&lt;&gt;"",OR(G149="Permission Granted",G149="Commencement Expected",G149="Stalled or Suspended")),IF(AD149&lt;Method!$B$4,"Yes","No"),"No")</f>
        <v>Yes</v>
      </c>
      <c r="AF149" s="7"/>
      <c r="AG149" s="2" t="str">
        <f aca="false">IF(Z149="No","Not counted",IF(AF149="Lapsed or dead","Excluded",IF(AF149="Constrained","Constrained / uncertain",IF(AF149="Confirmed live",IF(G149="On Site","Committed",IF(G149="Part Complete","Committed",IF(G149="Contract Awarded","Committed Pre-Construction",IF(G149="Tender","Advanced Pre-Construction",IF(G149="Commencement Expected","Likely",IF(G149="Permission Granted","Potential",IF(G149="Stalled or Suspended","Constrained / uncertain",IF(G149="Complete","Delivered","Application Pipeline")))))))),IF(G149="Complete","Delivered",IF(AND(OR(G149="Permission Granted",G149="Commencement Expected"),OR(AC149="Yes",AE149="Yes")),"Constrained / uncertain",IF(G149="On Site","Committed",IF(G149="Part Complete","Committed",IF(G149="Contract Awarded","Committed Pre-Construction",IF(G149="Tender","Advanced Pre-Construction",IF(G149="Commencement Expected","Likely",IF(G149="Permission Granted","Potential",IF(G149="Stalled or Suspended","Constrained / uncertain",IF(G149="Complete","Delivered","Application Pipeline"))))))))))))))</f>
        <v>Constrained / uncertain</v>
      </c>
      <c r="AH149" s="2" t="str">
        <f aca="false">IF(Z149="No","Relationship: "&amp;Y149,IF(AF149&lt;&gt;"","Analyst: "&amp;AF149,IF(G149="Complete","Complete",IF(AND(OR(G149="Permission Granted",G149="Commencement Expected"),AE149="Yes"),"Past expiry",IF(AND(OR(G149="Permission Granted",G149="Commencement Expected"),AC149="Yes"),"No CIS update in "&amp;AB149&amp;" months","As CIS")))))</f>
        <v>Past expiry</v>
      </c>
      <c r="AI149" s="10" t="n">
        <f aca="false">IF(Z149="Yes",N(Q149),0)</f>
        <v>4</v>
      </c>
      <c r="AJ149" s="10" t="n">
        <f aca="false">IF(OR(Z149="No",G149="Complete"),0,MAX(N(Q149)-N(AA149),0))</f>
        <v>4</v>
      </c>
      <c r="AK149" s="10" t="n">
        <f aca="false">IF(Z149="No",0,IF(G149="Complete",N(Q149),MIN(N(AA149),N(Q149))))</f>
        <v>0</v>
      </c>
      <c r="AL149" s="10" t="n">
        <f aca="false">IF(OR(OR(AG149="Not counted",AG149="Excluded",AG149="Delivered"),P149="Student accommodation"),0,AJ149)</f>
        <v>4</v>
      </c>
      <c r="AM149" s="10" t="n">
        <f aca="false">IF(OR(OR(AG149="Not counted",AG149="Excluded",AG149="Delivered"),P149&lt;&gt;"Student accommodation"),0,AJ149)</f>
        <v>0</v>
      </c>
      <c r="AN149" s="10" t="n">
        <f aca="false">IF(OR(AG149="Not counted",AG149="Excluded",AG149="Delivered"),0,N(S149))</f>
        <v>0</v>
      </c>
      <c r="AO149" s="2" t="s">
        <v>1021</v>
      </c>
      <c r="AP149" s="10"/>
      <c r="AQ149" s="10"/>
      <c r="AR149" s="10"/>
      <c r="AS149" s="10"/>
      <c r="AT149" s="10"/>
      <c r="AU149" s="10"/>
      <c r="AV149" s="10" t="n">
        <f aca="false">N(AP149)+N(AQ149)+N(AR149)+N(AS149)+N(AT149)+N(AU149)</f>
        <v>0</v>
      </c>
      <c r="AW149" s="10"/>
      <c r="AX149" s="10"/>
      <c r="AY149" s="10"/>
      <c r="AZ149" s="2"/>
      <c r="BA149" s="2" t="s">
        <v>1022</v>
      </c>
      <c r="BB149" s="2" t="s">
        <v>1558</v>
      </c>
      <c r="BC149" s="2" t="s">
        <v>1023</v>
      </c>
      <c r="BD149" s="2" t="s">
        <v>1024</v>
      </c>
      <c r="BE149" s="2"/>
      <c r="BF149" s="2" t="s">
        <v>1025</v>
      </c>
      <c r="BG149" s="22" t="n">
        <v>43396</v>
      </c>
      <c r="BH149" s="22" t="n">
        <v>45256</v>
      </c>
      <c r="BI149" s="2"/>
      <c r="BJ149" s="22" t="n">
        <v>45256</v>
      </c>
      <c r="BK149" s="2" t="n">
        <v>3</v>
      </c>
      <c r="BL149" s="2" t="n">
        <v>0</v>
      </c>
      <c r="BM149" s="2"/>
      <c r="BN149" s="2" t="s">
        <v>1559</v>
      </c>
      <c r="BO149" s="23" t="s">
        <v>1560</v>
      </c>
      <c r="BP149" s="2" t="n">
        <f aca="false">IF(OR(K149="",BG149=""),"",ROUND(BG149-K149,0))</f>
        <v>0</v>
      </c>
      <c r="BQ149" s="2" t="str">
        <f aca="false">IF(OR(N(BK149)=0,Q149=""),"Not recorded",IF(BK149=Q149,"Match","Differs"))</f>
        <v>Differs</v>
      </c>
      <c r="BR149" s="2" t="str">
        <f aca="false">IF(N149="No","Excluded (non-residential)",IF(BF149="No reference","Unverified – no reference",IF(BF149="Not in council register","Unverified – not in register (Part 8 / other)",IF(OR(BF149="Refused",BF149="Refused on appeal",BF149="Withdrawn",BF149="Invalid",BF149="Quashed"),IF(OR(G149="Complete",G149="On Site",G149="Part Complete"),"Conflict – register not live but CIS says built","Conflict – not live in register"),IF(AND(G149="Plans Submitted",OR(BF149="Granted",BF149="Granted on appeal")),"Stage out of date – now granted",IF(AND(G149&lt;&gt;"Plans Submitted",OR(BF149="Pending",BF149="Under appeal")),"Check – register still pending",IF(N(BL149)&gt;Method!$B$7,"Check – location differs",IF(AND(BP149&lt;&gt;"",ABS(N(BP149))&gt;60),"Consistent – decision date differs","Consistent"))))))))</f>
        <v>Consistent</v>
      </c>
      <c r="BS149" s="2"/>
      <c r="BT149" s="2"/>
      <c r="BU149" s="2"/>
      <c r="BV149" s="2"/>
      <c r="BW149" s="2"/>
      <c r="BX149" s="2"/>
    </row>
    <row r="150" customFormat="false" ht="15" hidden="false" customHeight="false" outlineLevel="0" collapsed="false">
      <c r="A150" s="2" t="n">
        <v>1024750</v>
      </c>
      <c r="B150" s="2" t="s">
        <v>423</v>
      </c>
      <c r="C150" s="2" t="s">
        <v>1561</v>
      </c>
      <c r="D150" s="2" t="s">
        <v>1562</v>
      </c>
      <c r="E150" s="2" t="s">
        <v>425</v>
      </c>
      <c r="F150" s="2" t="s">
        <v>138</v>
      </c>
      <c r="G150" s="2" t="s">
        <v>251</v>
      </c>
      <c r="H150" s="2" t="s">
        <v>1014</v>
      </c>
      <c r="I150" s="2" t="s">
        <v>1015</v>
      </c>
      <c r="J150" s="22" t="n">
        <v>43453</v>
      </c>
      <c r="K150" s="22" t="n">
        <v>43678</v>
      </c>
      <c r="L150" s="22" t="n">
        <v>45392.3715804398</v>
      </c>
      <c r="M150" s="2" t="s">
        <v>1016</v>
      </c>
      <c r="N150" s="2" t="s">
        <v>121</v>
      </c>
      <c r="O150" s="2"/>
      <c r="P150" s="2" t="s">
        <v>1017</v>
      </c>
      <c r="Q150" s="10" t="n">
        <v>53</v>
      </c>
      <c r="R150" s="10" t="n">
        <v>53</v>
      </c>
      <c r="S150" s="10"/>
      <c r="T150" s="2" t="s">
        <v>30</v>
      </c>
      <c r="U150" s="2"/>
      <c r="V150" s="2" t="s">
        <v>1080</v>
      </c>
      <c r="W150" s="2" t="s">
        <v>1020</v>
      </c>
      <c r="X150" s="7"/>
      <c r="Y150" s="2" t="str">
        <f aca="false">IF(X150&lt;&gt;"",X150,T150)</f>
        <v>Additional application on site</v>
      </c>
      <c r="Z150" s="2" t="str">
        <f aca="false">IF(OR(Y150="Primary",Y150="Additional phase",Y150="Additional application on site",Y150="Replaces earlier",Y150="Extension of duration (parent not in CIS)"),"Yes","No")</f>
        <v>Yes</v>
      </c>
      <c r="AA150" s="2"/>
      <c r="AB150" s="2" t="n">
        <f aca="false">IF(L150="","",ROUND((Method!$B$4-L150)/30.44,0))</f>
        <v>30</v>
      </c>
      <c r="AC150" s="2" t="str">
        <f aca="false">IF(AB150="","No",IF(AB150&gt;Method!$B$5,"Yes","No"))</f>
        <v>Yes</v>
      </c>
      <c r="AD150" s="22" t="n">
        <f aca="false">IF(BJ150&lt;&gt;"",BJ150,IF(K150&lt;&gt;"",EDATE(K150,60),""))</f>
        <v>45538</v>
      </c>
      <c r="AE150" s="2" t="str">
        <f aca="false">IF(AND(AD150&lt;&gt;"",OR(G150="Permission Granted",G150="Commencement Expected",G150="Stalled or Suspended")),IF(AD150&lt;Method!$B$4,"Yes","No"),"No")</f>
        <v>No</v>
      </c>
      <c r="AF150" s="7"/>
      <c r="AG150" s="2" t="str">
        <f aca="false">IF(Z150="No","Not counted",IF(AF150="Lapsed or dead","Excluded",IF(AF150="Constrained","Constrained / uncertain",IF(AF150="Confirmed live",IF(G150="On Site","Committed",IF(G150="Part Complete","Committed",IF(G150="Contract Awarded","Committed Pre-Construction",IF(G150="Tender","Advanced Pre-Construction",IF(G150="Commencement Expected","Likely",IF(G150="Permission Granted","Potential",IF(G150="Stalled or Suspended","Constrained / uncertain",IF(G150="Complete","Delivered","Application Pipeline")))))))),IF(G150="Complete","Delivered",IF(AND(OR(G150="Permission Granted",G150="Commencement Expected"),OR(AC150="Yes",AE150="Yes")),"Constrained / uncertain",IF(G150="On Site","Committed",IF(G150="Part Complete","Committed",IF(G150="Contract Awarded","Committed Pre-Construction",IF(G150="Tender","Advanced Pre-Construction",IF(G150="Commencement Expected","Likely",IF(G150="Permission Granted","Potential",IF(G150="Stalled or Suspended","Constrained / uncertain",IF(G150="Complete","Delivered","Application Pipeline"))))))))))))))</f>
        <v>Delivered</v>
      </c>
      <c r="AH150" s="2" t="str">
        <f aca="false">IF(Z150="No","Relationship: "&amp;Y150,IF(AF150&lt;&gt;"","Analyst: "&amp;AF150,IF(G150="Complete","Complete",IF(AND(OR(G150="Permission Granted",G150="Commencement Expected"),AE150="Yes"),"Past expiry",IF(AND(OR(G150="Permission Granted",G150="Commencement Expected"),AC150="Yes"),"No CIS update in "&amp;AB150&amp;" months","As CIS")))))</f>
        <v>Complete</v>
      </c>
      <c r="AI150" s="10" t="n">
        <f aca="false">IF(Z150="Yes",N(Q150),0)</f>
        <v>53</v>
      </c>
      <c r="AJ150" s="10" t="n">
        <f aca="false">IF(OR(Z150="No",G150="Complete"),0,MAX(N(Q150)-N(AA150),0))</f>
        <v>0</v>
      </c>
      <c r="AK150" s="10" t="n">
        <f aca="false">IF(Z150="No",0,IF(G150="Complete",N(Q150),MIN(N(AA150),N(Q150))))</f>
        <v>53</v>
      </c>
      <c r="AL150" s="10" t="n">
        <f aca="false">IF(OR(OR(AG150="Not counted",AG150="Excluded",AG150="Delivered"),P150="Student accommodation"),0,AJ150)</f>
        <v>0</v>
      </c>
      <c r="AM150" s="10" t="n">
        <f aca="false">IF(OR(OR(AG150="Not counted",AG150="Excluded",AG150="Delivered"),P150&lt;&gt;"Student accommodation"),0,AJ150)</f>
        <v>0</v>
      </c>
      <c r="AN150" s="10" t="n">
        <f aca="false">IF(OR(AG150="Not counted",AG150="Excluded",AG150="Delivered"),0,N(S150))</f>
        <v>0</v>
      </c>
      <c r="AO150" s="2" t="s">
        <v>1021</v>
      </c>
      <c r="AP150" s="10"/>
      <c r="AQ150" s="10"/>
      <c r="AR150" s="10"/>
      <c r="AS150" s="10"/>
      <c r="AT150" s="10"/>
      <c r="AU150" s="10"/>
      <c r="AV150" s="10" t="n">
        <f aca="false">N(AP150)+N(AQ150)+N(AR150)+N(AS150)+N(AT150)+N(AU150)</f>
        <v>0</v>
      </c>
      <c r="AW150" s="10"/>
      <c r="AX150" s="10"/>
      <c r="AY150" s="10"/>
      <c r="AZ150" s="2"/>
      <c r="BA150" s="2" t="s">
        <v>1022</v>
      </c>
      <c r="BB150" s="2" t="s">
        <v>1561</v>
      </c>
      <c r="BC150" s="2" t="s">
        <v>1023</v>
      </c>
      <c r="BD150" s="2" t="s">
        <v>1024</v>
      </c>
      <c r="BE150" s="2"/>
      <c r="BF150" s="2" t="s">
        <v>1025</v>
      </c>
      <c r="BG150" s="22" t="n">
        <v>43678</v>
      </c>
      <c r="BH150" s="22" t="n">
        <v>45538</v>
      </c>
      <c r="BI150" s="2"/>
      <c r="BJ150" s="22" t="n">
        <v>45538</v>
      </c>
      <c r="BK150" s="2" t="n">
        <v>53</v>
      </c>
      <c r="BL150" s="2" t="n">
        <v>0</v>
      </c>
      <c r="BM150" s="2"/>
      <c r="BN150" s="2" t="s">
        <v>1563</v>
      </c>
      <c r="BO150" s="23" t="s">
        <v>1564</v>
      </c>
      <c r="BP150" s="2" t="n">
        <f aca="false">IF(OR(K150="",BG150=""),"",ROUND(BG150-K150,0))</f>
        <v>0</v>
      </c>
      <c r="BQ150" s="2" t="str">
        <f aca="false">IF(OR(N(BK150)=0,Q150=""),"Not recorded",IF(BK150=Q150,"Match","Differs"))</f>
        <v>Match</v>
      </c>
      <c r="BR150" s="2" t="str">
        <f aca="false">IF(N150="No","Excluded (non-residential)",IF(BF150="No reference","Unverified – no reference",IF(BF150="Not in council register","Unverified – not in register (Part 8 / other)",IF(OR(BF150="Refused",BF150="Refused on appeal",BF150="Withdrawn",BF150="Invalid",BF150="Quashed"),IF(OR(G150="Complete",G150="On Site",G150="Part Complete"),"Conflict – register not live but CIS says built","Conflict – not live in register"),IF(AND(G150="Plans Submitted",OR(BF150="Granted",BF150="Granted on appeal")),"Stage out of date – now granted",IF(AND(G150&lt;&gt;"Plans Submitted",OR(BF150="Pending",BF150="Under appeal")),"Check – register still pending",IF(N(BL150)&gt;Method!$B$7,"Check – location differs",IF(AND(BP150&lt;&gt;"",ABS(N(BP150))&gt;60),"Consistent – decision date differs","Consistent"))))))))</f>
        <v>Consistent</v>
      </c>
      <c r="BS150" s="2"/>
      <c r="BT150" s="2"/>
      <c r="BU150" s="2"/>
      <c r="BV150" s="2"/>
      <c r="BW150" s="2"/>
      <c r="BX150" s="2"/>
    </row>
    <row r="151" customFormat="false" ht="15" hidden="false" customHeight="false" outlineLevel="0" collapsed="false">
      <c r="A151" s="2" t="n">
        <v>1347165</v>
      </c>
      <c r="B151" s="2" t="s">
        <v>423</v>
      </c>
      <c r="C151" s="2" t="s">
        <v>1565</v>
      </c>
      <c r="D151" s="2" t="s">
        <v>1566</v>
      </c>
      <c r="E151" s="2" t="s">
        <v>1567</v>
      </c>
      <c r="F151" s="2" t="s">
        <v>138</v>
      </c>
      <c r="G151" s="2" t="s">
        <v>198</v>
      </c>
      <c r="H151" s="2" t="s">
        <v>1014</v>
      </c>
      <c r="I151" s="2" t="s">
        <v>198</v>
      </c>
      <c r="J151" s="22" t="n">
        <v>45429</v>
      </c>
      <c r="K151" s="22" t="n">
        <v>45553</v>
      </c>
      <c r="L151" s="22" t="n">
        <v>45663.5079581366</v>
      </c>
      <c r="M151" s="2" t="s">
        <v>1016</v>
      </c>
      <c r="N151" s="2" t="s">
        <v>121</v>
      </c>
      <c r="O151" s="2"/>
      <c r="P151" s="2" t="s">
        <v>1017</v>
      </c>
      <c r="Q151" s="10" t="n">
        <v>12</v>
      </c>
      <c r="R151" s="10" t="n">
        <v>12</v>
      </c>
      <c r="S151" s="10"/>
      <c r="T151" s="2" t="s">
        <v>30</v>
      </c>
      <c r="U151" s="2"/>
      <c r="V151" s="2" t="s">
        <v>1080</v>
      </c>
      <c r="W151" s="2" t="s">
        <v>1020</v>
      </c>
      <c r="X151" s="7"/>
      <c r="Y151" s="2" t="str">
        <f aca="false">IF(X151&lt;&gt;"",X151,T151)</f>
        <v>Additional application on site</v>
      </c>
      <c r="Z151" s="2" t="str">
        <f aca="false">IF(OR(Y151="Primary",Y151="Additional phase",Y151="Additional application on site",Y151="Replaces earlier",Y151="Extension of duration (parent not in CIS)"),"Yes","No")</f>
        <v>Yes</v>
      </c>
      <c r="AA151" s="2"/>
      <c r="AB151" s="2" t="n">
        <f aca="false">IF(L151="","",ROUND((Method!$B$4-L151)/30.44,0))</f>
        <v>21</v>
      </c>
      <c r="AC151" s="2" t="str">
        <f aca="false">IF(AB151="","No",IF(AB151&gt;Method!$B$5,"Yes","No"))</f>
        <v>No</v>
      </c>
      <c r="AD151" s="22" t="n">
        <f aca="false">IF(BJ151&lt;&gt;"",BJ151,IF(K151&lt;&gt;"",EDATE(K151,60),""))</f>
        <v>47414</v>
      </c>
      <c r="AE151" s="2" t="str">
        <f aca="false">IF(AND(AD151&lt;&gt;"",OR(G151="Permission Granted",G151="Commencement Expected",G151="Stalled or Suspended")),IF(AD151&lt;Method!$B$4,"Yes","No"),"No")</f>
        <v>No</v>
      </c>
      <c r="AF151" s="7"/>
      <c r="AG151" s="2" t="str">
        <f aca="false">IF(Z151="No","Not counted",IF(AF151="Lapsed or dead","Excluded",IF(AF151="Constrained","Constrained / uncertain",IF(AF151="Confirmed live",IF(G151="On Site","Committed",IF(G151="Part Complete","Committed",IF(G151="Contract Awarded","Committed Pre-Construction",IF(G151="Tender","Advanced Pre-Construction",IF(G151="Commencement Expected","Likely",IF(G151="Permission Granted","Potential",IF(G151="Stalled or Suspended","Constrained / uncertain",IF(G151="Complete","Delivered","Application Pipeline")))))))),IF(G151="Complete","Delivered",IF(AND(OR(G151="Permission Granted",G151="Commencement Expected"),OR(AC151="Yes",AE151="Yes")),"Constrained / uncertain",IF(G151="On Site","Committed",IF(G151="Part Complete","Committed",IF(G151="Contract Awarded","Committed Pre-Construction",IF(G151="Tender","Advanced Pre-Construction",IF(G151="Commencement Expected","Likely",IF(G151="Permission Granted","Potential",IF(G151="Stalled or Suspended","Constrained / uncertain",IF(G151="Complete","Delivered","Application Pipeline"))))))))))))))</f>
        <v>Committed</v>
      </c>
      <c r="AH151" s="2" t="str">
        <f aca="false">IF(Z151="No","Relationship: "&amp;Y151,IF(AF151&lt;&gt;"","Analyst: "&amp;AF151,IF(G151="Complete","Complete",IF(AND(OR(G151="Permission Granted",G151="Commencement Expected"),AE151="Yes"),"Past expiry",IF(AND(OR(G151="Permission Granted",G151="Commencement Expected"),AC151="Yes"),"No CIS update in "&amp;AB151&amp;" months","As CIS")))))</f>
        <v>As CIS</v>
      </c>
      <c r="AI151" s="10" t="n">
        <f aca="false">IF(Z151="Yes",N(Q151),0)</f>
        <v>12</v>
      </c>
      <c r="AJ151" s="10" t="n">
        <f aca="false">IF(OR(Z151="No",G151="Complete"),0,MAX(N(Q151)-N(AA151),0))</f>
        <v>12</v>
      </c>
      <c r="AK151" s="10" t="n">
        <f aca="false">IF(Z151="No",0,IF(G151="Complete",N(Q151),MIN(N(AA151),N(Q151))))</f>
        <v>0</v>
      </c>
      <c r="AL151" s="10" t="n">
        <f aca="false">IF(OR(OR(AG151="Not counted",AG151="Excluded",AG151="Delivered"),P151="Student accommodation"),0,AJ151)</f>
        <v>12</v>
      </c>
      <c r="AM151" s="10" t="n">
        <f aca="false">IF(OR(OR(AG151="Not counted",AG151="Excluded",AG151="Delivered"),P151&lt;&gt;"Student accommodation"),0,AJ151)</f>
        <v>0</v>
      </c>
      <c r="AN151" s="10" t="n">
        <f aca="false">IF(OR(AG151="Not counted",AG151="Excluded",AG151="Delivered"),0,N(S151))</f>
        <v>0</v>
      </c>
      <c r="AO151" s="2" t="s">
        <v>1157</v>
      </c>
      <c r="AP151" s="10"/>
      <c r="AQ151" s="10"/>
      <c r="AR151" s="10"/>
      <c r="AS151" s="10" t="n">
        <v>2</v>
      </c>
      <c r="AT151" s="10" t="n">
        <v>10</v>
      </c>
      <c r="AU151" s="10"/>
      <c r="AV151" s="10" t="n">
        <f aca="false">N(AP151)+N(AQ151)+N(AR151)+N(AS151)+N(AT151)+N(AU151)</f>
        <v>12</v>
      </c>
      <c r="AW151" s="10" t="n">
        <v>12</v>
      </c>
      <c r="AX151" s="10"/>
      <c r="AY151" s="10"/>
      <c r="AZ151" s="2"/>
      <c r="BA151" s="2" t="s">
        <v>1022</v>
      </c>
      <c r="BB151" s="2" t="s">
        <v>1565</v>
      </c>
      <c r="BC151" s="2" t="s">
        <v>1023</v>
      </c>
      <c r="BD151" s="2" t="s">
        <v>1024</v>
      </c>
      <c r="BE151" s="2"/>
      <c r="BF151" s="2" t="s">
        <v>1025</v>
      </c>
      <c r="BG151" s="22" t="n">
        <v>45553</v>
      </c>
      <c r="BH151" s="22" t="n">
        <v>47414</v>
      </c>
      <c r="BI151" s="2"/>
      <c r="BJ151" s="22" t="n">
        <v>47414</v>
      </c>
      <c r="BK151" s="2" t="n">
        <v>12</v>
      </c>
      <c r="BL151" s="2" t="n">
        <v>0</v>
      </c>
      <c r="BM151" s="2"/>
      <c r="BN151" s="2" t="s">
        <v>1568</v>
      </c>
      <c r="BO151" s="23" t="s">
        <v>1569</v>
      </c>
      <c r="BP151" s="2" t="n">
        <f aca="false">IF(OR(K151="",BG151=""),"",ROUND(BG151-K151,0))</f>
        <v>0</v>
      </c>
      <c r="BQ151" s="2" t="str">
        <f aca="false">IF(OR(N(BK151)=0,Q151=""),"Not recorded",IF(BK151=Q151,"Match","Differs"))</f>
        <v>Match</v>
      </c>
      <c r="BR151" s="2" t="str">
        <f aca="false">IF(N151="No","Excluded (non-residential)",IF(BF151="No reference","Unverified – no reference",IF(BF151="Not in council register","Unverified – not in register (Part 8 / other)",IF(OR(BF151="Refused",BF151="Refused on appeal",BF151="Withdrawn",BF151="Invalid",BF151="Quashed"),IF(OR(G151="Complete",G151="On Site",G151="Part Complete"),"Conflict – register not live but CIS says built","Conflict – not live in register"),IF(AND(G151="Plans Submitted",OR(BF151="Granted",BF151="Granted on appeal")),"Stage out of date – now granted",IF(AND(G151&lt;&gt;"Plans Submitted",OR(BF151="Pending",BF151="Under appeal")),"Check – register still pending",IF(N(BL151)&gt;Method!$B$7,"Check – location differs",IF(AND(BP151&lt;&gt;"",ABS(N(BP151))&gt;60),"Consistent – decision date differs","Consistent"))))))))</f>
        <v>Consistent</v>
      </c>
      <c r="BS151" s="2"/>
      <c r="BT151" s="2"/>
      <c r="BU151" s="2"/>
      <c r="BV151" s="2"/>
      <c r="BW151" s="2"/>
      <c r="BX151" s="2"/>
    </row>
    <row r="152" customFormat="false" ht="15" hidden="false" customHeight="false" outlineLevel="0" collapsed="false">
      <c r="A152" s="2" t="n">
        <v>999946</v>
      </c>
      <c r="B152" s="2" t="s">
        <v>245</v>
      </c>
      <c r="C152" s="2" t="s">
        <v>1570</v>
      </c>
      <c r="D152" s="2" t="s">
        <v>246</v>
      </c>
      <c r="E152" s="2" t="s">
        <v>247</v>
      </c>
      <c r="F152" s="2" t="s">
        <v>139</v>
      </c>
      <c r="G152" s="2" t="s">
        <v>251</v>
      </c>
      <c r="H152" s="2" t="s">
        <v>1014</v>
      </c>
      <c r="I152" s="2" t="s">
        <v>1015</v>
      </c>
      <c r="J152" s="22" t="n">
        <v>43287</v>
      </c>
      <c r="K152" s="22" t="n">
        <v>43391</v>
      </c>
      <c r="L152" s="22" t="n">
        <v>43719.4560003125</v>
      </c>
      <c r="M152" s="2" t="s">
        <v>1016</v>
      </c>
      <c r="N152" s="2" t="s">
        <v>121</v>
      </c>
      <c r="O152" s="2"/>
      <c r="P152" s="2" t="s">
        <v>1017</v>
      </c>
      <c r="Q152" s="10" t="n">
        <v>38</v>
      </c>
      <c r="R152" s="10" t="n">
        <v>38</v>
      </c>
      <c r="S152" s="10"/>
      <c r="T152" s="2" t="s">
        <v>120</v>
      </c>
      <c r="U152" s="2"/>
      <c r="V152" s="2" t="s">
        <v>1029</v>
      </c>
      <c r="W152" s="2" t="s">
        <v>1030</v>
      </c>
      <c r="X152" s="7"/>
      <c r="Y152" s="2" t="str">
        <f aca="false">IF(X152&lt;&gt;"",X152,T152)</f>
        <v>Primary</v>
      </c>
      <c r="Z152" s="2" t="str">
        <f aca="false">IF(OR(Y152="Primary",Y152="Additional phase",Y152="Additional application on site",Y152="Replaces earlier",Y152="Extension of duration (parent not in CIS)"),"Yes","No")</f>
        <v>Yes</v>
      </c>
      <c r="AA152" s="2"/>
      <c r="AB152" s="2" t="n">
        <f aca="false">IF(L152="","",ROUND((Method!$B$4-L152)/30.44,0))</f>
        <v>85</v>
      </c>
      <c r="AC152" s="2" t="str">
        <f aca="false">IF(AB152="","No",IF(AB152&gt;Method!$B$5,"Yes","No"))</f>
        <v>Yes</v>
      </c>
      <c r="AD152" s="22" t="n">
        <f aca="false">IF(BJ152&lt;&gt;"",BJ152,IF(K152&lt;&gt;"",EDATE(K152,60),""))</f>
        <v>47141</v>
      </c>
      <c r="AE152" s="2" t="str">
        <f aca="false">IF(AND(AD152&lt;&gt;"",OR(G152="Permission Granted",G152="Commencement Expected",G152="Stalled or Suspended")),IF(AD152&lt;Method!$B$4,"Yes","No"),"No")</f>
        <v>No</v>
      </c>
      <c r="AF152" s="7"/>
      <c r="AG152" s="2" t="str">
        <f aca="false">IF(Z152="No","Not counted",IF(AF152="Lapsed or dead","Excluded",IF(AF152="Constrained","Constrained / uncertain",IF(AF152="Confirmed live",IF(G152="On Site","Committed",IF(G152="Part Complete","Committed",IF(G152="Contract Awarded","Committed Pre-Construction",IF(G152="Tender","Advanced Pre-Construction",IF(G152="Commencement Expected","Likely",IF(G152="Permission Granted","Potential",IF(G152="Stalled or Suspended","Constrained / uncertain",IF(G152="Complete","Delivered","Application Pipeline")))))))),IF(G152="Complete","Delivered",IF(AND(OR(G152="Permission Granted",G152="Commencement Expected"),OR(AC152="Yes",AE152="Yes")),"Constrained / uncertain",IF(G152="On Site","Committed",IF(G152="Part Complete","Committed",IF(G152="Contract Awarded","Committed Pre-Construction",IF(G152="Tender","Advanced Pre-Construction",IF(G152="Commencement Expected","Likely",IF(G152="Permission Granted","Potential",IF(G152="Stalled or Suspended","Constrained / uncertain",IF(G152="Complete","Delivered","Application Pipeline"))))))))))))))</f>
        <v>Delivered</v>
      </c>
      <c r="AH152" s="2" t="str">
        <f aca="false">IF(Z152="No","Relationship: "&amp;Y152,IF(AF152&lt;&gt;"","Analyst: "&amp;AF152,IF(G152="Complete","Complete",IF(AND(OR(G152="Permission Granted",G152="Commencement Expected"),AE152="Yes"),"Past expiry",IF(AND(OR(G152="Permission Granted",G152="Commencement Expected"),AC152="Yes"),"No CIS update in "&amp;AB152&amp;" months","As CIS")))))</f>
        <v>Complete</v>
      </c>
      <c r="AI152" s="10" t="n">
        <f aca="false">IF(Z152="Yes",N(Q152),0)</f>
        <v>38</v>
      </c>
      <c r="AJ152" s="10" t="n">
        <f aca="false">IF(OR(Z152="No",G152="Complete"),0,MAX(N(Q152)-N(AA152),0))</f>
        <v>0</v>
      </c>
      <c r="AK152" s="10" t="n">
        <f aca="false">IF(Z152="No",0,IF(G152="Complete",N(Q152),MIN(N(AA152),N(Q152))))</f>
        <v>38</v>
      </c>
      <c r="AL152" s="10" t="n">
        <f aca="false">IF(OR(OR(AG152="Not counted",AG152="Excluded",AG152="Delivered"),P152="Student accommodation"),0,AJ152)</f>
        <v>0</v>
      </c>
      <c r="AM152" s="10" t="n">
        <f aca="false">IF(OR(OR(AG152="Not counted",AG152="Excluded",AG152="Delivered"),P152&lt;&gt;"Student accommodation"),0,AJ152)</f>
        <v>0</v>
      </c>
      <c r="AN152" s="10" t="n">
        <f aca="false">IF(OR(AG152="Not counted",AG152="Excluded",AG152="Delivered"),0,N(S152))</f>
        <v>0</v>
      </c>
      <c r="AO152" s="2" t="s">
        <v>1021</v>
      </c>
      <c r="AP152" s="10"/>
      <c r="AQ152" s="10"/>
      <c r="AR152" s="10"/>
      <c r="AS152" s="10"/>
      <c r="AT152" s="10"/>
      <c r="AU152" s="10"/>
      <c r="AV152" s="10" t="n">
        <f aca="false">N(AP152)+N(AQ152)+N(AR152)+N(AS152)+N(AT152)+N(AU152)</f>
        <v>0</v>
      </c>
      <c r="AW152" s="10"/>
      <c r="AX152" s="10"/>
      <c r="AY152" s="10"/>
      <c r="AZ152" s="2"/>
      <c r="BA152" s="2" t="s">
        <v>1022</v>
      </c>
      <c r="BB152" s="2" t="s">
        <v>1570</v>
      </c>
      <c r="BC152" s="2" t="s">
        <v>1023</v>
      </c>
      <c r="BD152" s="2" t="s">
        <v>1024</v>
      </c>
      <c r="BE152" s="2"/>
      <c r="BF152" s="2" t="s">
        <v>1025</v>
      </c>
      <c r="BG152" s="22" t="n">
        <v>43391</v>
      </c>
      <c r="BH152" s="22" t="n">
        <v>45250</v>
      </c>
      <c r="BI152" s="2" t="s">
        <v>1571</v>
      </c>
      <c r="BJ152" s="22" t="n">
        <v>47141</v>
      </c>
      <c r="BK152" s="2" t="n">
        <v>38</v>
      </c>
      <c r="BL152" s="2" t="n">
        <v>0</v>
      </c>
      <c r="BM152" s="2"/>
      <c r="BN152" s="2" t="s">
        <v>1572</v>
      </c>
      <c r="BO152" s="23" t="s">
        <v>1573</v>
      </c>
      <c r="BP152" s="2" t="n">
        <f aca="false">IF(OR(K152="",BG152=""),"",ROUND(BG152-K152,0))</f>
        <v>0</v>
      </c>
      <c r="BQ152" s="2" t="str">
        <f aca="false">IF(OR(N(BK152)=0,Q152=""),"Not recorded",IF(BK152=Q152,"Match","Differs"))</f>
        <v>Match</v>
      </c>
      <c r="BR152" s="2" t="str">
        <f aca="false">IF(N152="No","Excluded (non-residential)",IF(BF152="No reference","Unverified – no reference",IF(BF152="Not in council register","Unverified – not in register (Part 8 / other)",IF(OR(BF152="Refused",BF152="Refused on appeal",BF152="Withdrawn",BF152="Invalid",BF152="Quashed"),IF(OR(G152="Complete",G152="On Site",G152="Part Complete"),"Conflict – register not live but CIS says built","Conflict – not live in register"),IF(AND(G152="Plans Submitted",OR(BF152="Granted",BF152="Granted on appeal")),"Stage out of date – now granted",IF(AND(G152&lt;&gt;"Plans Submitted",OR(BF152="Pending",BF152="Under appeal")),"Check – register still pending",IF(N(BL152)&gt;Method!$B$7,"Check – location differs",IF(AND(BP152&lt;&gt;"",ABS(N(BP152))&gt;60),"Consistent – decision date differs","Consistent"))))))))</f>
        <v>Consistent</v>
      </c>
      <c r="BS152" s="2"/>
      <c r="BT152" s="2"/>
      <c r="BU152" s="2"/>
      <c r="BV152" s="2"/>
      <c r="BW152" s="2"/>
      <c r="BX152" s="2"/>
    </row>
    <row r="153" customFormat="false" ht="15" hidden="false" customHeight="false" outlineLevel="0" collapsed="false">
      <c r="A153" s="2" t="n">
        <v>1019118</v>
      </c>
      <c r="B153" s="2" t="s">
        <v>245</v>
      </c>
      <c r="C153" s="2" t="s">
        <v>1574</v>
      </c>
      <c r="D153" s="2" t="s">
        <v>1575</v>
      </c>
      <c r="E153" s="2" t="s">
        <v>247</v>
      </c>
      <c r="F153" s="2" t="s">
        <v>139</v>
      </c>
      <c r="G153" s="2" t="s">
        <v>208</v>
      </c>
      <c r="H153" s="2" t="s">
        <v>1014</v>
      </c>
      <c r="I153" s="2" t="s">
        <v>198</v>
      </c>
      <c r="J153" s="22" t="n">
        <v>43418</v>
      </c>
      <c r="K153" s="22" t="n">
        <v>43585</v>
      </c>
      <c r="L153" s="22" t="n">
        <v>45231.4691256597</v>
      </c>
      <c r="M153" s="2" t="s">
        <v>1016</v>
      </c>
      <c r="N153" s="2" t="s">
        <v>121</v>
      </c>
      <c r="O153" s="2"/>
      <c r="P153" s="2" t="s">
        <v>1017</v>
      </c>
      <c r="Q153" s="10" t="n">
        <v>99</v>
      </c>
      <c r="R153" s="10" t="n">
        <v>89</v>
      </c>
      <c r="S153" s="10"/>
      <c r="T153" s="2" t="s">
        <v>30</v>
      </c>
      <c r="U153" s="2"/>
      <c r="V153" s="2" t="s">
        <v>1080</v>
      </c>
      <c r="W153" s="2" t="s">
        <v>1020</v>
      </c>
      <c r="X153" s="7"/>
      <c r="Y153" s="2" t="str">
        <f aca="false">IF(X153&lt;&gt;"",X153,T153)</f>
        <v>Additional application on site</v>
      </c>
      <c r="Z153" s="2" t="str">
        <f aca="false">IF(OR(Y153="Primary",Y153="Additional phase",Y153="Additional application on site",Y153="Replaces earlier",Y153="Extension of duration (parent not in CIS)"),"Yes","No")</f>
        <v>Yes</v>
      </c>
      <c r="AA153" s="2" t="n">
        <v>47</v>
      </c>
      <c r="AB153" s="2" t="n">
        <f aca="false">IF(L153="","",ROUND((Method!$B$4-L153)/30.44,0))</f>
        <v>35</v>
      </c>
      <c r="AC153" s="2" t="str">
        <f aca="false">IF(AB153="","No",IF(AB153&gt;Method!$B$5,"Yes","No"))</f>
        <v>Yes</v>
      </c>
      <c r="AD153" s="22" t="n">
        <f aca="false">IF(BJ153&lt;&gt;"",BJ153,IF(K153&lt;&gt;"",EDATE(K153,60),""))</f>
        <v>46540</v>
      </c>
      <c r="AE153" s="2" t="str">
        <f aca="false">IF(AND(AD153&lt;&gt;"",OR(G153="Permission Granted",G153="Commencement Expected",G153="Stalled or Suspended")),IF(AD153&lt;Method!$B$4,"Yes","No"),"No")</f>
        <v>No</v>
      </c>
      <c r="AF153" s="7"/>
      <c r="AG153" s="2" t="str">
        <f aca="false">IF(Z153="No","Not counted",IF(AF153="Lapsed or dead","Excluded",IF(AF153="Constrained","Constrained / uncertain",IF(AF153="Confirmed live",IF(G153="On Site","Committed",IF(G153="Part Complete","Committed",IF(G153="Contract Awarded","Committed Pre-Construction",IF(G153="Tender","Advanced Pre-Construction",IF(G153="Commencement Expected","Likely",IF(G153="Permission Granted","Potential",IF(G153="Stalled or Suspended","Constrained / uncertain",IF(G153="Complete","Delivered","Application Pipeline")))))))),IF(G153="Complete","Delivered",IF(AND(OR(G153="Permission Granted",G153="Commencement Expected"),OR(AC153="Yes",AE153="Yes")),"Constrained / uncertain",IF(G153="On Site","Committed",IF(G153="Part Complete","Committed",IF(G153="Contract Awarded","Committed Pre-Construction",IF(G153="Tender","Advanced Pre-Construction",IF(G153="Commencement Expected","Likely",IF(G153="Permission Granted","Potential",IF(G153="Stalled or Suspended","Constrained / uncertain",IF(G153="Complete","Delivered","Application Pipeline"))))))))))))))</f>
        <v>Committed</v>
      </c>
      <c r="AH153" s="2" t="str">
        <f aca="false">IF(Z153="No","Relationship: "&amp;Y153,IF(AF153&lt;&gt;"","Analyst: "&amp;AF153,IF(G153="Complete","Complete",IF(AND(OR(G153="Permission Granted",G153="Commencement Expected"),AE153="Yes"),"Past expiry",IF(AND(OR(G153="Permission Granted",G153="Commencement Expected"),AC153="Yes"),"No CIS update in "&amp;AB153&amp;" months","As CIS")))))</f>
        <v>As CIS</v>
      </c>
      <c r="AI153" s="10" t="n">
        <f aca="false">IF(Z153="Yes",N(Q153),0)</f>
        <v>99</v>
      </c>
      <c r="AJ153" s="10" t="n">
        <f aca="false">IF(OR(Z153="No",G153="Complete"),0,MAX(N(Q153)-N(AA153),0))</f>
        <v>52</v>
      </c>
      <c r="AK153" s="10" t="n">
        <f aca="false">IF(Z153="No",0,IF(G153="Complete",N(Q153),MIN(N(AA153),N(Q153))))</f>
        <v>47</v>
      </c>
      <c r="AL153" s="10" t="n">
        <f aca="false">IF(OR(OR(AG153="Not counted",AG153="Excluded",AG153="Delivered"),P153="Student accommodation"),0,AJ153)</f>
        <v>52</v>
      </c>
      <c r="AM153" s="10" t="n">
        <f aca="false">IF(OR(OR(AG153="Not counted",AG153="Excluded",AG153="Delivered"),P153&lt;&gt;"Student accommodation"),0,AJ153)</f>
        <v>0</v>
      </c>
      <c r="AN153" s="10" t="n">
        <f aca="false">IF(OR(AG153="Not counted",AG153="Excluded",AG153="Delivered"),0,N(S153))</f>
        <v>0</v>
      </c>
      <c r="AO153" s="2" t="s">
        <v>1069</v>
      </c>
      <c r="AP153" s="10"/>
      <c r="AQ153" s="10"/>
      <c r="AR153" s="10"/>
      <c r="AS153" s="10"/>
      <c r="AT153" s="10"/>
      <c r="AU153" s="10"/>
      <c r="AV153" s="10" t="n">
        <f aca="false">N(AP153)+N(AQ153)+N(AR153)+N(AS153)+N(AT153)+N(AU153)</f>
        <v>0</v>
      </c>
      <c r="AW153" s="10"/>
      <c r="AX153" s="10"/>
      <c r="AY153" s="10"/>
      <c r="AZ153" s="2" t="s">
        <v>1576</v>
      </c>
      <c r="BA153" s="2" t="s">
        <v>1022</v>
      </c>
      <c r="BB153" s="2" t="s">
        <v>1574</v>
      </c>
      <c r="BC153" s="2" t="s">
        <v>1023</v>
      </c>
      <c r="BD153" s="2" t="s">
        <v>1024</v>
      </c>
      <c r="BE153" s="2"/>
      <c r="BF153" s="2" t="s">
        <v>1025</v>
      </c>
      <c r="BG153" s="22" t="n">
        <v>43585</v>
      </c>
      <c r="BH153" s="22" t="n">
        <v>45446</v>
      </c>
      <c r="BI153" s="2" t="s">
        <v>1577</v>
      </c>
      <c r="BJ153" s="22" t="n">
        <v>46540</v>
      </c>
      <c r="BK153" s="2" t="n">
        <v>43</v>
      </c>
      <c r="BL153" s="2" t="n">
        <v>0</v>
      </c>
      <c r="BM153" s="2"/>
      <c r="BN153" s="2" t="s">
        <v>1578</v>
      </c>
      <c r="BO153" s="23" t="s">
        <v>1579</v>
      </c>
      <c r="BP153" s="2" t="n">
        <f aca="false">IF(OR(K153="",BG153=""),"",ROUND(BG153-K153,0))</f>
        <v>0</v>
      </c>
      <c r="BQ153" s="2" t="str">
        <f aca="false">IF(OR(N(BK153)=0,Q153=""),"Not recorded",IF(BK153=Q153,"Match","Differs"))</f>
        <v>Differs</v>
      </c>
      <c r="BR153" s="2" t="str">
        <f aca="false">IF(N153="No","Excluded (non-residential)",IF(BF153="No reference","Unverified – no reference",IF(BF153="Not in council register","Unverified – not in register (Part 8 / other)",IF(OR(BF153="Refused",BF153="Refused on appeal",BF153="Withdrawn",BF153="Invalid",BF153="Quashed"),IF(OR(G153="Complete",G153="On Site",G153="Part Complete"),"Conflict – register not live but CIS says built","Conflict – not live in register"),IF(AND(G153="Plans Submitted",OR(BF153="Granted",BF153="Granted on appeal")),"Stage out of date – now granted",IF(AND(G153&lt;&gt;"Plans Submitted",OR(BF153="Pending",BF153="Under appeal")),"Check – register still pending",IF(N(BL153)&gt;Method!$B$7,"Check – location differs",IF(AND(BP153&lt;&gt;"",ABS(N(BP153))&gt;60),"Consistent – decision date differs","Consistent"))))))))</f>
        <v>Consistent</v>
      </c>
      <c r="BS153" s="2"/>
      <c r="BT153" s="2"/>
      <c r="BU153" s="2"/>
      <c r="BV153" s="2"/>
      <c r="BW153" s="2"/>
      <c r="BX153" s="2"/>
    </row>
    <row r="154" customFormat="false" ht="15" hidden="false" customHeight="false" outlineLevel="0" collapsed="false">
      <c r="A154" s="2" t="n">
        <v>1019119</v>
      </c>
      <c r="B154" s="2" t="s">
        <v>245</v>
      </c>
      <c r="C154" s="2" t="s">
        <v>1580</v>
      </c>
      <c r="D154" s="2" t="s">
        <v>1581</v>
      </c>
      <c r="E154" s="2" t="s">
        <v>247</v>
      </c>
      <c r="F154" s="2" t="s">
        <v>139</v>
      </c>
      <c r="G154" s="2" t="s">
        <v>208</v>
      </c>
      <c r="H154" s="2" t="s">
        <v>1014</v>
      </c>
      <c r="I154" s="2" t="s">
        <v>198</v>
      </c>
      <c r="J154" s="22" t="n">
        <v>43418</v>
      </c>
      <c r="K154" s="22" t="n">
        <v>43585</v>
      </c>
      <c r="L154" s="22" t="n">
        <v>46202.2221488426</v>
      </c>
      <c r="M154" s="2" t="s">
        <v>1016</v>
      </c>
      <c r="N154" s="2" t="s">
        <v>121</v>
      </c>
      <c r="O154" s="2"/>
      <c r="P154" s="2" t="s">
        <v>1017</v>
      </c>
      <c r="Q154" s="10" t="n">
        <v>23</v>
      </c>
      <c r="R154" s="10" t="n">
        <v>41</v>
      </c>
      <c r="S154" s="10"/>
      <c r="T154" s="2" t="s">
        <v>30</v>
      </c>
      <c r="U154" s="2"/>
      <c r="V154" s="2" t="s">
        <v>1080</v>
      </c>
      <c r="W154" s="2" t="s">
        <v>1020</v>
      </c>
      <c r="X154" s="7"/>
      <c r="Y154" s="2" t="str">
        <f aca="false">IF(X154&lt;&gt;"",X154,T154)</f>
        <v>Additional application on site</v>
      </c>
      <c r="Z154" s="2" t="str">
        <f aca="false">IF(OR(Y154="Primary",Y154="Additional phase",Y154="Additional application on site",Y154="Replaces earlier",Y154="Extension of duration (parent not in CIS)"),"Yes","No")</f>
        <v>Yes</v>
      </c>
      <c r="AA154" s="2"/>
      <c r="AB154" s="2" t="n">
        <f aca="false">IF(L154="","",ROUND((Method!$B$4-L154)/30.44,0))</f>
        <v>3</v>
      </c>
      <c r="AC154" s="2" t="str">
        <f aca="false">IF(AB154="","No",IF(AB154&gt;Method!$B$5,"Yes","No"))</f>
        <v>No</v>
      </c>
      <c r="AD154" s="22" t="n">
        <f aca="false">IF(BJ154&lt;&gt;"",BJ154,IF(K154&lt;&gt;"",EDATE(K154,60),""))</f>
        <v>45553</v>
      </c>
      <c r="AE154" s="2" t="str">
        <f aca="false">IF(AND(AD154&lt;&gt;"",OR(G154="Permission Granted",G154="Commencement Expected",G154="Stalled or Suspended")),IF(AD154&lt;Method!$B$4,"Yes","No"),"No")</f>
        <v>No</v>
      </c>
      <c r="AF154" s="7"/>
      <c r="AG154" s="2" t="str">
        <f aca="false">IF(Z154="No","Not counted",IF(AF154="Lapsed or dead","Excluded",IF(AF154="Constrained","Constrained / uncertain",IF(AF154="Confirmed live",IF(G154="On Site","Committed",IF(G154="Part Complete","Committed",IF(G154="Contract Awarded","Committed Pre-Construction",IF(G154="Tender","Advanced Pre-Construction",IF(G154="Commencement Expected","Likely",IF(G154="Permission Granted","Potential",IF(G154="Stalled or Suspended","Constrained / uncertain",IF(G154="Complete","Delivered","Application Pipeline")))))))),IF(G154="Complete","Delivered",IF(AND(OR(G154="Permission Granted",G154="Commencement Expected"),OR(AC154="Yes",AE154="Yes")),"Constrained / uncertain",IF(G154="On Site","Committed",IF(G154="Part Complete","Committed",IF(G154="Contract Awarded","Committed Pre-Construction",IF(G154="Tender","Advanced Pre-Construction",IF(G154="Commencement Expected","Likely",IF(G154="Permission Granted","Potential",IF(G154="Stalled or Suspended","Constrained / uncertain",IF(G154="Complete","Delivered","Application Pipeline"))))))))))))))</f>
        <v>Committed</v>
      </c>
      <c r="AH154" s="2" t="str">
        <f aca="false">IF(Z154="No","Relationship: "&amp;Y154,IF(AF154&lt;&gt;"","Analyst: "&amp;AF154,IF(G154="Complete","Complete",IF(AND(OR(G154="Permission Granted",G154="Commencement Expected"),AE154="Yes"),"Past expiry",IF(AND(OR(G154="Permission Granted",G154="Commencement Expected"),AC154="Yes"),"No CIS update in "&amp;AB154&amp;" months","As CIS")))))</f>
        <v>As CIS</v>
      </c>
      <c r="AI154" s="10" t="n">
        <f aca="false">IF(Z154="Yes",N(Q154),0)</f>
        <v>23</v>
      </c>
      <c r="AJ154" s="10" t="n">
        <f aca="false">IF(OR(Z154="No",G154="Complete"),0,MAX(N(Q154)-N(AA154),0))</f>
        <v>23</v>
      </c>
      <c r="AK154" s="10" t="n">
        <f aca="false">IF(Z154="No",0,IF(G154="Complete",N(Q154),MIN(N(AA154),N(Q154))))</f>
        <v>0</v>
      </c>
      <c r="AL154" s="10" t="n">
        <f aca="false">IF(OR(OR(AG154="Not counted",AG154="Excluded",AG154="Delivered"),P154="Student accommodation"),0,AJ154)</f>
        <v>23</v>
      </c>
      <c r="AM154" s="10" t="n">
        <f aca="false">IF(OR(OR(AG154="Not counted",AG154="Excluded",AG154="Delivered"),P154&lt;&gt;"Student accommodation"),0,AJ154)</f>
        <v>0</v>
      </c>
      <c r="AN154" s="10" t="n">
        <f aca="false">IF(OR(AG154="Not counted",AG154="Excluded",AG154="Delivered"),0,N(S154))</f>
        <v>0</v>
      </c>
      <c r="AO154" s="2" t="s">
        <v>1021</v>
      </c>
      <c r="AP154" s="10"/>
      <c r="AQ154" s="10"/>
      <c r="AR154" s="10"/>
      <c r="AS154" s="10"/>
      <c r="AT154" s="10"/>
      <c r="AU154" s="10"/>
      <c r="AV154" s="10" t="n">
        <f aca="false">N(AP154)+N(AQ154)+N(AR154)+N(AS154)+N(AT154)+N(AU154)</f>
        <v>0</v>
      </c>
      <c r="AW154" s="10"/>
      <c r="AX154" s="10"/>
      <c r="AY154" s="10"/>
      <c r="AZ154" s="2"/>
      <c r="BA154" s="2" t="s">
        <v>1022</v>
      </c>
      <c r="BB154" s="2" t="s">
        <v>1580</v>
      </c>
      <c r="BC154" s="2" t="s">
        <v>1023</v>
      </c>
      <c r="BD154" s="2" t="s">
        <v>1024</v>
      </c>
      <c r="BE154" s="2" t="s">
        <v>1582</v>
      </c>
      <c r="BF154" s="2" t="s">
        <v>1025</v>
      </c>
      <c r="BG154" s="22" t="n">
        <v>43585</v>
      </c>
      <c r="BH154" s="22" t="n">
        <v>45553</v>
      </c>
      <c r="BI154" s="2" t="s">
        <v>1583</v>
      </c>
      <c r="BJ154" s="22" t="n">
        <v>45553</v>
      </c>
      <c r="BK154" s="2" t="n">
        <v>35</v>
      </c>
      <c r="BL154" s="2" t="n">
        <v>0</v>
      </c>
      <c r="BM154" s="2"/>
      <c r="BN154" s="2" t="s">
        <v>1584</v>
      </c>
      <c r="BO154" s="23" t="s">
        <v>1585</v>
      </c>
      <c r="BP154" s="2" t="n">
        <f aca="false">IF(OR(K154="",BG154=""),"",ROUND(BG154-K154,0))</f>
        <v>0</v>
      </c>
      <c r="BQ154" s="2" t="str">
        <f aca="false">IF(OR(N(BK154)=0,Q154=""),"Not recorded",IF(BK154=Q154,"Match","Differs"))</f>
        <v>Differs</v>
      </c>
      <c r="BR154" s="2" t="str">
        <f aca="false">IF(N154="No","Excluded (non-residential)",IF(BF154="No reference","Unverified – no reference",IF(BF154="Not in council register","Unverified – not in register (Part 8 / other)",IF(OR(BF154="Refused",BF154="Refused on appeal",BF154="Withdrawn",BF154="Invalid",BF154="Quashed"),IF(OR(G154="Complete",G154="On Site",G154="Part Complete"),"Conflict – register not live but CIS says built","Conflict – not live in register"),IF(AND(G154="Plans Submitted",OR(BF154="Granted",BF154="Granted on appeal")),"Stage out of date – now granted",IF(AND(G154&lt;&gt;"Plans Submitted",OR(BF154="Pending",BF154="Under appeal")),"Check – register still pending",IF(N(BL154)&gt;Method!$B$7,"Check – location differs",IF(AND(BP154&lt;&gt;"",ABS(N(BP154))&gt;60),"Consistent – decision date differs","Consistent"))))))))</f>
        <v>Consistent</v>
      </c>
      <c r="BS154" s="2"/>
      <c r="BT154" s="2"/>
      <c r="BU154" s="2"/>
      <c r="BV154" s="2"/>
      <c r="BW154" s="2"/>
      <c r="BX154" s="2"/>
    </row>
    <row r="155" customFormat="false" ht="15" hidden="false" customHeight="false" outlineLevel="0" collapsed="false">
      <c r="A155" s="2" t="n">
        <v>1051816</v>
      </c>
      <c r="B155" s="2" t="s">
        <v>245</v>
      </c>
      <c r="C155" s="2" t="s">
        <v>1586</v>
      </c>
      <c r="D155" s="2" t="s">
        <v>1587</v>
      </c>
      <c r="E155" s="2" t="s">
        <v>247</v>
      </c>
      <c r="F155" s="2" t="s">
        <v>139</v>
      </c>
      <c r="G155" s="2" t="s">
        <v>194</v>
      </c>
      <c r="H155" s="2" t="s">
        <v>1014</v>
      </c>
      <c r="I155" s="2" t="s">
        <v>198</v>
      </c>
      <c r="J155" s="22" t="n">
        <v>43622</v>
      </c>
      <c r="K155" s="22" t="n">
        <v>43809</v>
      </c>
      <c r="L155" s="22" t="n">
        <v>44860.4552454861</v>
      </c>
      <c r="M155" s="2" t="s">
        <v>1016</v>
      </c>
      <c r="N155" s="2" t="s">
        <v>121</v>
      </c>
      <c r="O155" s="2"/>
      <c r="P155" s="2" t="s">
        <v>1017</v>
      </c>
      <c r="Q155" s="10" t="n">
        <v>90</v>
      </c>
      <c r="R155" s="10" t="n">
        <v>70</v>
      </c>
      <c r="S155" s="10"/>
      <c r="T155" s="2" t="s">
        <v>30</v>
      </c>
      <c r="U155" s="2"/>
      <c r="V155" s="2" t="s">
        <v>1080</v>
      </c>
      <c r="W155" s="2" t="s">
        <v>1020</v>
      </c>
      <c r="X155" s="7"/>
      <c r="Y155" s="2" t="str">
        <f aca="false">IF(X155&lt;&gt;"",X155,T155)</f>
        <v>Additional application on site</v>
      </c>
      <c r="Z155" s="2" t="str">
        <f aca="false">IF(OR(Y155="Primary",Y155="Additional phase",Y155="Additional application on site",Y155="Replaces earlier",Y155="Extension of duration (parent not in CIS)"),"Yes","No")</f>
        <v>Yes</v>
      </c>
      <c r="AA155" s="2"/>
      <c r="AB155" s="2" t="n">
        <f aca="false">IF(L155="","",ROUND((Method!$B$4-L155)/30.44,0))</f>
        <v>47</v>
      </c>
      <c r="AC155" s="2" t="str">
        <f aca="false">IF(AB155="","No",IF(AB155&gt;Method!$B$5,"Yes","No"))</f>
        <v>Yes</v>
      </c>
      <c r="AD155" s="22" t="n">
        <f aca="false">IF(BJ155&lt;&gt;"",BJ155,IF(K155&lt;&gt;"",EDATE(K155,60),""))</f>
        <v>45804</v>
      </c>
      <c r="AE155" s="2" t="str">
        <f aca="false">IF(AND(AD155&lt;&gt;"",OR(G155="Permission Granted",G155="Commencement Expected",G155="Stalled or Suspended")),IF(AD155&lt;Method!$B$4,"Yes","No"),"No")</f>
        <v>Yes</v>
      </c>
      <c r="AF155" s="7"/>
      <c r="AG155" s="2" t="str">
        <f aca="false">IF(Z155="No","Not counted",IF(AF155="Lapsed or dead","Excluded",IF(AF155="Constrained","Constrained / uncertain",IF(AF155="Confirmed live",IF(G155="On Site","Committed",IF(G155="Part Complete","Committed",IF(G155="Contract Awarded","Committed Pre-Construction",IF(G155="Tender","Advanced Pre-Construction",IF(G155="Commencement Expected","Likely",IF(G155="Permission Granted","Potential",IF(G155="Stalled or Suspended","Constrained / uncertain",IF(G155="Complete","Delivered","Application Pipeline")))))))),IF(G155="Complete","Delivered",IF(AND(OR(G155="Permission Granted",G155="Commencement Expected"),OR(AC155="Yes",AE155="Yes")),"Constrained / uncertain",IF(G155="On Site","Committed",IF(G155="Part Complete","Committed",IF(G155="Contract Awarded","Committed Pre-Construction",IF(G155="Tender","Advanced Pre-Construction",IF(G155="Commencement Expected","Likely",IF(G155="Permission Granted","Potential",IF(G155="Stalled or Suspended","Constrained / uncertain",IF(G155="Complete","Delivered","Application Pipeline"))))))))))))))</f>
        <v>Constrained / uncertain</v>
      </c>
      <c r="AH155" s="2" t="str">
        <f aca="false">IF(Z155="No","Relationship: "&amp;Y155,IF(AF155&lt;&gt;"","Analyst: "&amp;AF155,IF(G155="Complete","Complete",IF(AND(OR(G155="Permission Granted",G155="Commencement Expected"),AE155="Yes"),"Past expiry",IF(AND(OR(G155="Permission Granted",G155="Commencement Expected"),AC155="Yes"),"No CIS update in "&amp;AB155&amp;" months","As CIS")))))</f>
        <v>Past expiry</v>
      </c>
      <c r="AI155" s="10" t="n">
        <f aca="false">IF(Z155="Yes",N(Q155),0)</f>
        <v>90</v>
      </c>
      <c r="AJ155" s="10" t="n">
        <f aca="false">IF(OR(Z155="No",G155="Complete"),0,MAX(N(Q155)-N(AA155),0))</f>
        <v>90</v>
      </c>
      <c r="AK155" s="10" t="n">
        <f aca="false">IF(Z155="No",0,IF(G155="Complete",N(Q155),MIN(N(AA155),N(Q155))))</f>
        <v>0</v>
      </c>
      <c r="AL155" s="10" t="n">
        <f aca="false">IF(OR(OR(AG155="Not counted",AG155="Excluded",AG155="Delivered"),P155="Student accommodation"),0,AJ155)</f>
        <v>90</v>
      </c>
      <c r="AM155" s="10" t="n">
        <f aca="false">IF(OR(OR(AG155="Not counted",AG155="Excluded",AG155="Delivered"),P155&lt;&gt;"Student accommodation"),0,AJ155)</f>
        <v>0</v>
      </c>
      <c r="AN155" s="10" t="n">
        <f aca="false">IF(OR(AG155="Not counted",AG155="Excluded",AG155="Delivered"),0,N(S155))</f>
        <v>0</v>
      </c>
      <c r="AO155" s="2" t="s">
        <v>1021</v>
      </c>
      <c r="AP155" s="10"/>
      <c r="AQ155" s="10"/>
      <c r="AR155" s="10"/>
      <c r="AS155" s="10"/>
      <c r="AT155" s="10"/>
      <c r="AU155" s="10"/>
      <c r="AV155" s="10" t="n">
        <f aca="false">N(AP155)+N(AQ155)+N(AR155)+N(AS155)+N(AT155)+N(AU155)</f>
        <v>0</v>
      </c>
      <c r="AW155" s="10"/>
      <c r="AX155" s="10"/>
      <c r="AY155" s="10"/>
      <c r="AZ155" s="2"/>
      <c r="BA155" s="2" t="s">
        <v>1022</v>
      </c>
      <c r="BB155" s="2" t="s">
        <v>1586</v>
      </c>
      <c r="BC155" s="2" t="s">
        <v>1023</v>
      </c>
      <c r="BD155" s="2" t="s">
        <v>1024</v>
      </c>
      <c r="BE155" s="2" t="s">
        <v>1582</v>
      </c>
      <c r="BF155" s="2" t="s">
        <v>1025</v>
      </c>
      <c r="BG155" s="22" t="n">
        <v>43809</v>
      </c>
      <c r="BH155" s="22" t="n">
        <v>45804</v>
      </c>
      <c r="BI155" s="2"/>
      <c r="BJ155" s="22" t="n">
        <v>45804</v>
      </c>
      <c r="BK155" s="2" t="n">
        <v>90</v>
      </c>
      <c r="BL155" s="2" t="n">
        <v>0</v>
      </c>
      <c r="BM155" s="2"/>
      <c r="BN155" s="2" t="s">
        <v>1588</v>
      </c>
      <c r="BO155" s="23" t="s">
        <v>1589</v>
      </c>
      <c r="BP155" s="2" t="n">
        <f aca="false">IF(OR(K155="",BG155=""),"",ROUND(BG155-K155,0))</f>
        <v>0</v>
      </c>
      <c r="BQ155" s="2" t="str">
        <f aca="false">IF(OR(N(BK155)=0,Q155=""),"Not recorded",IF(BK155=Q155,"Match","Differs"))</f>
        <v>Match</v>
      </c>
      <c r="BR155" s="2" t="str">
        <f aca="false">IF(N155="No","Excluded (non-residential)",IF(BF155="No reference","Unverified – no reference",IF(BF155="Not in council register","Unverified – not in register (Part 8 / other)",IF(OR(BF155="Refused",BF155="Refused on appeal",BF155="Withdrawn",BF155="Invalid",BF155="Quashed"),IF(OR(G155="Complete",G155="On Site",G155="Part Complete"),"Conflict – register not live but CIS says built","Conflict – not live in register"),IF(AND(G155="Plans Submitted",OR(BF155="Granted",BF155="Granted on appeal")),"Stage out of date – now granted",IF(AND(G155&lt;&gt;"Plans Submitted",OR(BF155="Pending",BF155="Under appeal")),"Check – register still pending",IF(N(BL155)&gt;Method!$B$7,"Check – location differs",IF(AND(BP155&lt;&gt;"",ABS(N(BP155))&gt;60),"Consistent – decision date differs","Consistent"))))))))</f>
        <v>Consistent</v>
      </c>
      <c r="BS155" s="2"/>
      <c r="BT155" s="2"/>
      <c r="BU155" s="2"/>
      <c r="BV155" s="2"/>
      <c r="BW155" s="2"/>
      <c r="BX155" s="2"/>
    </row>
    <row r="156" customFormat="false" ht="15" hidden="false" customHeight="false" outlineLevel="0" collapsed="false">
      <c r="A156" s="2" t="n">
        <v>1081200</v>
      </c>
      <c r="B156" s="2" t="s">
        <v>245</v>
      </c>
      <c r="C156" s="2" t="s">
        <v>1590</v>
      </c>
      <c r="D156" s="2" t="s">
        <v>1591</v>
      </c>
      <c r="E156" s="2" t="s">
        <v>247</v>
      </c>
      <c r="F156" s="2" t="s">
        <v>139</v>
      </c>
      <c r="G156" s="2" t="s">
        <v>251</v>
      </c>
      <c r="H156" s="2" t="s">
        <v>1014</v>
      </c>
      <c r="I156" s="2" t="s">
        <v>1015</v>
      </c>
      <c r="J156" s="22" t="n">
        <v>43811</v>
      </c>
      <c r="K156" s="22" t="n">
        <v>44635</v>
      </c>
      <c r="L156" s="22" t="n">
        <v>45252.4755143171</v>
      </c>
      <c r="M156" s="2" t="s">
        <v>1016</v>
      </c>
      <c r="N156" s="2" t="s">
        <v>121</v>
      </c>
      <c r="O156" s="2"/>
      <c r="P156" s="2" t="s">
        <v>1017</v>
      </c>
      <c r="Q156" s="10" t="n">
        <v>92</v>
      </c>
      <c r="R156" s="10" t="n">
        <v>92</v>
      </c>
      <c r="S156" s="10"/>
      <c r="T156" s="2" t="s">
        <v>30</v>
      </c>
      <c r="U156" s="2"/>
      <c r="V156" s="2" t="s">
        <v>1080</v>
      </c>
      <c r="W156" s="2" t="s">
        <v>1020</v>
      </c>
      <c r="X156" s="7"/>
      <c r="Y156" s="2" t="str">
        <f aca="false">IF(X156&lt;&gt;"",X156,T156)</f>
        <v>Additional application on site</v>
      </c>
      <c r="Z156" s="2" t="str">
        <f aca="false">IF(OR(Y156="Primary",Y156="Additional phase",Y156="Additional application on site",Y156="Replaces earlier",Y156="Extension of duration (parent not in CIS)"),"Yes","No")</f>
        <v>Yes</v>
      </c>
      <c r="AA156" s="2"/>
      <c r="AB156" s="2" t="n">
        <f aca="false">IF(L156="","",ROUND((Method!$B$4-L156)/30.44,0))</f>
        <v>34</v>
      </c>
      <c r="AC156" s="2" t="str">
        <f aca="false">IF(AB156="","No",IF(AB156&gt;Method!$B$5,"Yes","No"))</f>
        <v>Yes</v>
      </c>
      <c r="AD156" s="22" t="n">
        <f aca="false">IF(BJ156&lt;&gt;"",BJ156,IF(K156&lt;&gt;"",EDATE(K156,60),""))</f>
        <v>46084</v>
      </c>
      <c r="AE156" s="2" t="str">
        <f aca="false">IF(AND(AD156&lt;&gt;"",OR(G156="Permission Granted",G156="Commencement Expected",G156="Stalled or Suspended")),IF(AD156&lt;Method!$B$4,"Yes","No"),"No")</f>
        <v>No</v>
      </c>
      <c r="AF156" s="7"/>
      <c r="AG156" s="2" t="str">
        <f aca="false">IF(Z156="No","Not counted",IF(AF156="Lapsed or dead","Excluded",IF(AF156="Constrained","Constrained / uncertain",IF(AF156="Confirmed live",IF(G156="On Site","Committed",IF(G156="Part Complete","Committed",IF(G156="Contract Awarded","Committed Pre-Construction",IF(G156="Tender","Advanced Pre-Construction",IF(G156="Commencement Expected","Likely",IF(G156="Permission Granted","Potential",IF(G156="Stalled or Suspended","Constrained / uncertain",IF(G156="Complete","Delivered","Application Pipeline")))))))),IF(G156="Complete","Delivered",IF(AND(OR(G156="Permission Granted",G156="Commencement Expected"),OR(AC156="Yes",AE156="Yes")),"Constrained / uncertain",IF(G156="On Site","Committed",IF(G156="Part Complete","Committed",IF(G156="Contract Awarded","Committed Pre-Construction",IF(G156="Tender","Advanced Pre-Construction",IF(G156="Commencement Expected","Likely",IF(G156="Permission Granted","Potential",IF(G156="Stalled or Suspended","Constrained / uncertain",IF(G156="Complete","Delivered","Application Pipeline"))))))))))))))</f>
        <v>Delivered</v>
      </c>
      <c r="AH156" s="2" t="str">
        <f aca="false">IF(Z156="No","Relationship: "&amp;Y156,IF(AF156&lt;&gt;"","Analyst: "&amp;AF156,IF(G156="Complete","Complete",IF(AND(OR(G156="Permission Granted",G156="Commencement Expected"),AE156="Yes"),"Past expiry",IF(AND(OR(G156="Permission Granted",G156="Commencement Expected"),AC156="Yes"),"No CIS update in "&amp;AB156&amp;" months","As CIS")))))</f>
        <v>Complete</v>
      </c>
      <c r="AI156" s="10" t="n">
        <f aca="false">IF(Z156="Yes",N(Q156),0)</f>
        <v>92</v>
      </c>
      <c r="AJ156" s="10" t="n">
        <f aca="false">IF(OR(Z156="No",G156="Complete"),0,MAX(N(Q156)-N(AA156),0))</f>
        <v>0</v>
      </c>
      <c r="AK156" s="10" t="n">
        <f aca="false">IF(Z156="No",0,IF(G156="Complete",N(Q156),MIN(N(AA156),N(Q156))))</f>
        <v>92</v>
      </c>
      <c r="AL156" s="10" t="n">
        <f aca="false">IF(OR(OR(AG156="Not counted",AG156="Excluded",AG156="Delivered"),P156="Student accommodation"),0,AJ156)</f>
        <v>0</v>
      </c>
      <c r="AM156" s="10" t="n">
        <f aca="false">IF(OR(OR(AG156="Not counted",AG156="Excluded",AG156="Delivered"),P156&lt;&gt;"Student accommodation"),0,AJ156)</f>
        <v>0</v>
      </c>
      <c r="AN156" s="10" t="n">
        <f aca="false">IF(OR(AG156="Not counted",AG156="Excluded",AG156="Delivered"),0,N(S156))</f>
        <v>0</v>
      </c>
      <c r="AO156" s="2" t="s">
        <v>1021</v>
      </c>
      <c r="AP156" s="10"/>
      <c r="AQ156" s="10"/>
      <c r="AR156" s="10"/>
      <c r="AS156" s="10"/>
      <c r="AT156" s="10"/>
      <c r="AU156" s="10"/>
      <c r="AV156" s="10" t="n">
        <f aca="false">N(AP156)+N(AQ156)+N(AR156)+N(AS156)+N(AT156)+N(AU156)</f>
        <v>0</v>
      </c>
      <c r="AW156" s="10"/>
      <c r="AX156" s="10"/>
      <c r="AY156" s="10"/>
      <c r="AZ156" s="2"/>
      <c r="BA156" s="2" t="s">
        <v>1022</v>
      </c>
      <c r="BB156" s="2" t="s">
        <v>1590</v>
      </c>
      <c r="BC156" s="2" t="s">
        <v>1023</v>
      </c>
      <c r="BD156" s="2" t="s">
        <v>1024</v>
      </c>
      <c r="BE156" s="2"/>
      <c r="BF156" s="2" t="s">
        <v>1025</v>
      </c>
      <c r="BG156" s="22" t="n">
        <v>44225</v>
      </c>
      <c r="BH156" s="22" t="n">
        <v>46084</v>
      </c>
      <c r="BI156" s="2"/>
      <c r="BJ156" s="22" t="n">
        <v>46084</v>
      </c>
      <c r="BK156" s="2" t="n">
        <v>92</v>
      </c>
      <c r="BL156" s="2" t="n">
        <v>0</v>
      </c>
      <c r="BM156" s="2"/>
      <c r="BN156" s="2" t="s">
        <v>1592</v>
      </c>
      <c r="BO156" s="23" t="s">
        <v>1593</v>
      </c>
      <c r="BP156" s="2" t="n">
        <f aca="false">IF(OR(K156="",BG156=""),"",ROUND(BG156-K156,0))</f>
        <v>-410</v>
      </c>
      <c r="BQ156" s="2" t="str">
        <f aca="false">IF(OR(N(BK156)=0,Q156=""),"Not recorded",IF(BK156=Q156,"Match","Differs"))</f>
        <v>Match</v>
      </c>
      <c r="BR156" s="2" t="str">
        <f aca="false">IF(N156="No","Excluded (non-residential)",IF(BF156="No reference","Unverified – no reference",IF(BF156="Not in council register","Unverified – not in register (Part 8 / other)",IF(OR(BF156="Refused",BF156="Refused on appeal",BF156="Withdrawn",BF156="Invalid",BF156="Quashed"),IF(OR(G156="Complete",G156="On Site",G156="Part Complete"),"Conflict – register not live but CIS says built","Conflict – not live in register"),IF(AND(G156="Plans Submitted",OR(BF156="Granted",BF156="Granted on appeal")),"Stage out of date – now granted",IF(AND(G156&lt;&gt;"Plans Submitted",OR(BF156="Pending",BF156="Under appeal")),"Check – register still pending",IF(N(BL156)&gt;Method!$B$7,"Check – location differs",IF(AND(BP156&lt;&gt;"",ABS(N(BP156))&gt;60),"Consistent – decision date differs","Consistent"))))))))</f>
        <v>Consistent – decision date differs</v>
      </c>
      <c r="BS156" s="2"/>
      <c r="BT156" s="2"/>
      <c r="BU156" s="2"/>
      <c r="BV156" s="2"/>
      <c r="BW156" s="2"/>
      <c r="BX156" s="2"/>
    </row>
    <row r="157" customFormat="false" ht="15" hidden="false" customHeight="false" outlineLevel="0" collapsed="false">
      <c r="A157" s="2" t="n">
        <v>1095886</v>
      </c>
      <c r="B157" s="2" t="s">
        <v>245</v>
      </c>
      <c r="C157" s="2" t="s">
        <v>1594</v>
      </c>
      <c r="D157" s="2" t="s">
        <v>1595</v>
      </c>
      <c r="E157" s="2" t="s">
        <v>247</v>
      </c>
      <c r="F157" s="2" t="s">
        <v>139</v>
      </c>
      <c r="G157" s="2" t="s">
        <v>198</v>
      </c>
      <c r="H157" s="2" t="s">
        <v>1014</v>
      </c>
      <c r="I157" s="2" t="s">
        <v>198</v>
      </c>
      <c r="J157" s="22" t="n">
        <v>43916</v>
      </c>
      <c r="K157" s="22" t="n">
        <v>44138</v>
      </c>
      <c r="L157" s="22" t="n">
        <v>45827.3521112616</v>
      </c>
      <c r="M157" s="2" t="s">
        <v>1016</v>
      </c>
      <c r="N157" s="2" t="s">
        <v>121</v>
      </c>
      <c r="O157" s="2"/>
      <c r="P157" s="2" t="s">
        <v>1017</v>
      </c>
      <c r="Q157" s="10" t="n">
        <v>62</v>
      </c>
      <c r="R157" s="10" t="n">
        <v>57</v>
      </c>
      <c r="S157" s="10"/>
      <c r="T157" s="2" t="s">
        <v>123</v>
      </c>
      <c r="U157" s="2" t="s">
        <v>1596</v>
      </c>
      <c r="V157" s="2" t="s">
        <v>1597</v>
      </c>
      <c r="W157" s="2" t="s">
        <v>1498</v>
      </c>
      <c r="X157" s="7"/>
      <c r="Y157" s="2" t="str">
        <f aca="false">IF(X157&lt;&gt;"",X157,T157)</f>
        <v>Superseded</v>
      </c>
      <c r="Z157" s="2" t="str">
        <f aca="false">IF(OR(Y157="Primary",Y157="Additional phase",Y157="Additional application on site",Y157="Replaces earlier",Y157="Extension of duration (parent not in CIS)"),"Yes","No")</f>
        <v>No</v>
      </c>
      <c r="AA157" s="2"/>
      <c r="AB157" s="2" t="n">
        <f aca="false">IF(L157="","",ROUND((Method!$B$4-L157)/30.44,0))</f>
        <v>15</v>
      </c>
      <c r="AC157" s="2" t="str">
        <f aca="false">IF(AB157="","No",IF(AB157&gt;Method!$B$5,"Yes","No"))</f>
        <v>No</v>
      </c>
      <c r="AD157" s="22" t="n">
        <f aca="false">IF(BJ157&lt;&gt;"",BJ157,IF(K157&lt;&gt;"",EDATE(K157,60),""))</f>
        <v>47141</v>
      </c>
      <c r="AE157" s="2" t="str">
        <f aca="false">IF(AND(AD157&lt;&gt;"",OR(G157="Permission Granted",G157="Commencement Expected",G157="Stalled or Suspended")),IF(AD157&lt;Method!$B$4,"Yes","No"),"No")</f>
        <v>No</v>
      </c>
      <c r="AF157" s="7"/>
      <c r="AG157" s="2" t="str">
        <f aca="false">IF(Z157="No","Not counted",IF(AF157="Lapsed or dead","Excluded",IF(AF157="Constrained","Constrained / uncertain",IF(AF157="Confirmed live",IF(G157="On Site","Committed",IF(G157="Part Complete","Committed",IF(G157="Contract Awarded","Committed Pre-Construction",IF(G157="Tender","Advanced Pre-Construction",IF(G157="Commencement Expected","Likely",IF(G157="Permission Granted","Potential",IF(G157="Stalled or Suspended","Constrained / uncertain",IF(G157="Complete","Delivered","Application Pipeline")))))))),IF(G157="Complete","Delivered",IF(AND(OR(G157="Permission Granted",G157="Commencement Expected"),OR(AC157="Yes",AE157="Yes")),"Constrained / uncertain",IF(G157="On Site","Committed",IF(G157="Part Complete","Committed",IF(G157="Contract Awarded","Committed Pre-Construction",IF(G157="Tender","Advanced Pre-Construction",IF(G157="Commencement Expected","Likely",IF(G157="Permission Granted","Potential",IF(G157="Stalled or Suspended","Constrained / uncertain",IF(G157="Complete","Delivered","Application Pipeline"))))))))))))))</f>
        <v>Not counted</v>
      </c>
      <c r="AH157" s="2" t="str">
        <f aca="false">IF(Z157="No","Relationship: "&amp;Y157,IF(AF157&lt;&gt;"","Analyst: "&amp;AF157,IF(G157="Complete","Complete",IF(AND(OR(G157="Permission Granted",G157="Commencement Expected"),AE157="Yes"),"Past expiry",IF(AND(OR(G157="Permission Granted",G157="Commencement Expected"),AC157="Yes"),"No CIS update in "&amp;AB157&amp;" months","As CIS")))))</f>
        <v>Relationship: Superseded</v>
      </c>
      <c r="AI157" s="10" t="n">
        <f aca="false">IF(Z157="Yes",N(Q157),0)</f>
        <v>0</v>
      </c>
      <c r="AJ157" s="10" t="n">
        <f aca="false">IF(OR(Z157="No",G157="Complete"),0,MAX(N(Q157)-N(AA157),0))</f>
        <v>0</v>
      </c>
      <c r="AK157" s="10" t="n">
        <f aca="false">IF(Z157="No",0,IF(G157="Complete",N(Q157),MIN(N(AA157),N(Q157))))</f>
        <v>0</v>
      </c>
      <c r="AL157" s="10" t="n">
        <f aca="false">IF(OR(OR(AG157="Not counted",AG157="Excluded",AG157="Delivered"),P157="Student accommodation"),0,AJ157)</f>
        <v>0</v>
      </c>
      <c r="AM157" s="10" t="n">
        <f aca="false">IF(OR(OR(AG157="Not counted",AG157="Excluded",AG157="Delivered"),P157&lt;&gt;"Student accommodation"),0,AJ157)</f>
        <v>0</v>
      </c>
      <c r="AN157" s="10" t="n">
        <f aca="false">IF(OR(AG157="Not counted",AG157="Excluded",AG157="Delivered"),0,N(S157))</f>
        <v>0</v>
      </c>
      <c r="AO157" s="2" t="s">
        <v>1021</v>
      </c>
      <c r="AP157" s="10"/>
      <c r="AQ157" s="10"/>
      <c r="AR157" s="10"/>
      <c r="AS157" s="10"/>
      <c r="AT157" s="10"/>
      <c r="AU157" s="10"/>
      <c r="AV157" s="10" t="n">
        <f aca="false">N(AP157)+N(AQ157)+N(AR157)+N(AS157)+N(AT157)+N(AU157)</f>
        <v>0</v>
      </c>
      <c r="AW157" s="10"/>
      <c r="AX157" s="10"/>
      <c r="AY157" s="10"/>
      <c r="AZ157" s="2"/>
      <c r="BA157" s="2" t="s">
        <v>1022</v>
      </c>
      <c r="BB157" s="2" t="s">
        <v>1594</v>
      </c>
      <c r="BC157" s="2" t="s">
        <v>1023</v>
      </c>
      <c r="BD157" s="2" t="s">
        <v>1024</v>
      </c>
      <c r="BE157" s="2"/>
      <c r="BF157" s="2" t="s">
        <v>1025</v>
      </c>
      <c r="BG157" s="22" t="n">
        <v>44138</v>
      </c>
      <c r="BH157" s="22" t="n">
        <v>45998</v>
      </c>
      <c r="BI157" s="2" t="s">
        <v>1571</v>
      </c>
      <c r="BJ157" s="22" t="n">
        <v>47141</v>
      </c>
      <c r="BK157" s="2" t="n">
        <v>31</v>
      </c>
      <c r="BL157" s="2" t="n">
        <v>0</v>
      </c>
      <c r="BM157" s="2"/>
      <c r="BN157" s="2" t="s">
        <v>1598</v>
      </c>
      <c r="BO157" s="23" t="s">
        <v>1599</v>
      </c>
      <c r="BP157" s="2" t="n">
        <f aca="false">IF(OR(K157="",BG157=""),"",ROUND(BG157-K157,0))</f>
        <v>0</v>
      </c>
      <c r="BQ157" s="2" t="str">
        <f aca="false">IF(OR(N(BK157)=0,Q157=""),"Not recorded",IF(BK157=Q157,"Match","Differs"))</f>
        <v>Differs</v>
      </c>
      <c r="BR157" s="2" t="str">
        <f aca="false">IF(N157="No","Excluded (non-residential)",IF(BF157="No reference","Unverified – no reference",IF(BF157="Not in council register","Unverified – not in register (Part 8 / other)",IF(OR(BF157="Refused",BF157="Refused on appeal",BF157="Withdrawn",BF157="Invalid",BF157="Quashed"),IF(OR(G157="Complete",G157="On Site",G157="Part Complete"),"Conflict – register not live but CIS says built","Conflict – not live in register"),IF(AND(G157="Plans Submitted",OR(BF157="Granted",BF157="Granted on appeal")),"Stage out of date – now granted",IF(AND(G157&lt;&gt;"Plans Submitted",OR(BF157="Pending",BF157="Under appeal")),"Check – register still pending",IF(N(BL157)&gt;Method!$B$7,"Check – location differs",IF(AND(BP157&lt;&gt;"",ABS(N(BP157))&gt;60),"Consistent – decision date differs","Consistent"))))))))</f>
        <v>Consistent</v>
      </c>
      <c r="BS157" s="2"/>
      <c r="BT157" s="2"/>
      <c r="BU157" s="2"/>
      <c r="BV157" s="2"/>
      <c r="BW157" s="2"/>
      <c r="BX157" s="2"/>
    </row>
    <row r="158" customFormat="false" ht="15" hidden="false" customHeight="false" outlineLevel="0" collapsed="false">
      <c r="A158" s="2" t="n">
        <v>1157003</v>
      </c>
      <c r="B158" s="2" t="s">
        <v>245</v>
      </c>
      <c r="C158" s="2" t="s">
        <v>1596</v>
      </c>
      <c r="D158" s="2" t="s">
        <v>1600</v>
      </c>
      <c r="E158" s="2" t="s">
        <v>247</v>
      </c>
      <c r="F158" s="2" t="s">
        <v>139</v>
      </c>
      <c r="G158" s="2" t="s">
        <v>198</v>
      </c>
      <c r="H158" s="2" t="s">
        <v>1014</v>
      </c>
      <c r="I158" s="2" t="s">
        <v>198</v>
      </c>
      <c r="J158" s="22" t="n">
        <v>44277</v>
      </c>
      <c r="K158" s="22" t="n">
        <v>44495</v>
      </c>
      <c r="L158" s="22" t="n">
        <v>44636.4839481134</v>
      </c>
      <c r="M158" s="2" t="s">
        <v>1016</v>
      </c>
      <c r="N158" s="2" t="s">
        <v>121</v>
      </c>
      <c r="O158" s="2"/>
      <c r="P158" s="2" t="s">
        <v>1017</v>
      </c>
      <c r="Q158" s="10" t="n">
        <v>62</v>
      </c>
      <c r="R158" s="10" t="n">
        <v>62</v>
      </c>
      <c r="S158" s="10"/>
      <c r="T158" s="2" t="s">
        <v>24</v>
      </c>
      <c r="U158" s="2" t="s">
        <v>1594</v>
      </c>
      <c r="V158" s="2" t="s">
        <v>1601</v>
      </c>
      <c r="W158" s="2" t="s">
        <v>1498</v>
      </c>
      <c r="X158" s="7"/>
      <c r="Y158" s="2" t="str">
        <f aca="false">IF(X158&lt;&gt;"",X158,T158)</f>
        <v>Replaces earlier</v>
      </c>
      <c r="Z158" s="2" t="str">
        <f aca="false">IF(OR(Y158="Primary",Y158="Additional phase",Y158="Additional application on site",Y158="Replaces earlier",Y158="Extension of duration (parent not in CIS)"),"Yes","No")</f>
        <v>Yes</v>
      </c>
      <c r="AA158" s="2"/>
      <c r="AB158" s="2" t="n">
        <f aca="false">IF(L158="","",ROUND((Method!$B$4-L158)/30.44,0))</f>
        <v>54</v>
      </c>
      <c r="AC158" s="2" t="str">
        <f aca="false">IF(AB158="","No",IF(AB158&gt;Method!$B$5,"Yes","No"))</f>
        <v>Yes</v>
      </c>
      <c r="AD158" s="22" t="n">
        <f aca="false">IF(BJ158&lt;&gt;"",BJ158,IF(K158&lt;&gt;"",EDATE(K158,60),""))</f>
        <v>46358</v>
      </c>
      <c r="AE158" s="2" t="str">
        <f aca="false">IF(AND(AD158&lt;&gt;"",OR(G158="Permission Granted",G158="Commencement Expected",G158="Stalled or Suspended")),IF(AD158&lt;Method!$B$4,"Yes","No"),"No")</f>
        <v>No</v>
      </c>
      <c r="AF158" s="7"/>
      <c r="AG158" s="2" t="str">
        <f aca="false">IF(Z158="No","Not counted",IF(AF158="Lapsed or dead","Excluded",IF(AF158="Constrained","Constrained / uncertain",IF(AF158="Confirmed live",IF(G158="On Site","Committed",IF(G158="Part Complete","Committed",IF(G158="Contract Awarded","Committed Pre-Construction",IF(G158="Tender","Advanced Pre-Construction",IF(G158="Commencement Expected","Likely",IF(G158="Permission Granted","Potential",IF(G158="Stalled or Suspended","Constrained / uncertain",IF(G158="Complete","Delivered","Application Pipeline")))))))),IF(G158="Complete","Delivered",IF(AND(OR(G158="Permission Granted",G158="Commencement Expected"),OR(AC158="Yes",AE158="Yes")),"Constrained / uncertain",IF(G158="On Site","Committed",IF(G158="Part Complete","Committed",IF(G158="Contract Awarded","Committed Pre-Construction",IF(G158="Tender","Advanced Pre-Construction",IF(G158="Commencement Expected","Likely",IF(G158="Permission Granted","Potential",IF(G158="Stalled or Suspended","Constrained / uncertain",IF(G158="Complete","Delivered","Application Pipeline"))))))))))))))</f>
        <v>Committed</v>
      </c>
      <c r="AH158" s="2" t="str">
        <f aca="false">IF(Z158="No","Relationship: "&amp;Y158,IF(AF158&lt;&gt;"","Analyst: "&amp;AF158,IF(G158="Complete","Complete",IF(AND(OR(G158="Permission Granted",G158="Commencement Expected"),AE158="Yes"),"Past expiry",IF(AND(OR(G158="Permission Granted",G158="Commencement Expected"),AC158="Yes"),"No CIS update in "&amp;AB158&amp;" months","As CIS")))))</f>
        <v>As CIS</v>
      </c>
      <c r="AI158" s="10" t="n">
        <f aca="false">IF(Z158="Yes",N(Q158),0)</f>
        <v>62</v>
      </c>
      <c r="AJ158" s="10" t="n">
        <f aca="false">IF(OR(Z158="No",G158="Complete"),0,MAX(N(Q158)-N(AA158),0))</f>
        <v>62</v>
      </c>
      <c r="AK158" s="10" t="n">
        <f aca="false">IF(Z158="No",0,IF(G158="Complete",N(Q158),MIN(N(AA158),N(Q158))))</f>
        <v>0</v>
      </c>
      <c r="AL158" s="10" t="n">
        <f aca="false">IF(OR(OR(AG158="Not counted",AG158="Excluded",AG158="Delivered"),P158="Student accommodation"),0,AJ158)</f>
        <v>62</v>
      </c>
      <c r="AM158" s="10" t="n">
        <f aca="false">IF(OR(OR(AG158="Not counted",AG158="Excluded",AG158="Delivered"),P158&lt;&gt;"Student accommodation"),0,AJ158)</f>
        <v>0</v>
      </c>
      <c r="AN158" s="10" t="n">
        <f aca="false">IF(OR(AG158="Not counted",AG158="Excluded",AG158="Delivered"),0,N(S158))</f>
        <v>0</v>
      </c>
      <c r="AO158" s="2" t="s">
        <v>1157</v>
      </c>
      <c r="AP158" s="10"/>
      <c r="AQ158" s="10" t="n">
        <v>2</v>
      </c>
      <c r="AR158" s="10" t="n">
        <v>36</v>
      </c>
      <c r="AS158" s="10" t="n">
        <v>20</v>
      </c>
      <c r="AT158" s="10" t="n">
        <v>4</v>
      </c>
      <c r="AU158" s="10"/>
      <c r="AV158" s="10" t="n">
        <f aca="false">N(AP158)+N(AQ158)+N(AR158)+N(AS158)+N(AT158)+N(AU158)</f>
        <v>62</v>
      </c>
      <c r="AW158" s="10" t="n">
        <v>24</v>
      </c>
      <c r="AX158" s="10" t="n">
        <v>38</v>
      </c>
      <c r="AY158" s="10"/>
      <c r="AZ158" s="2"/>
      <c r="BA158" s="2" t="s">
        <v>1022</v>
      </c>
      <c r="BB158" s="2" t="s">
        <v>1596</v>
      </c>
      <c r="BC158" s="2" t="s">
        <v>1023</v>
      </c>
      <c r="BD158" s="2" t="s">
        <v>1024</v>
      </c>
      <c r="BE158" s="2"/>
      <c r="BF158" s="2" t="s">
        <v>1025</v>
      </c>
      <c r="BG158" s="22" t="n">
        <v>44495</v>
      </c>
      <c r="BH158" s="22" t="n">
        <v>46358</v>
      </c>
      <c r="BI158" s="2"/>
      <c r="BJ158" s="22" t="n">
        <v>46358</v>
      </c>
      <c r="BK158" s="2" t="n">
        <v>28</v>
      </c>
      <c r="BL158" s="2" t="n">
        <v>0</v>
      </c>
      <c r="BM158" s="2"/>
      <c r="BN158" s="2" t="s">
        <v>1602</v>
      </c>
      <c r="BO158" s="23" t="s">
        <v>1603</v>
      </c>
      <c r="BP158" s="2" t="n">
        <f aca="false">IF(OR(K158="",BG158=""),"",ROUND(BG158-K158,0))</f>
        <v>0</v>
      </c>
      <c r="BQ158" s="2" t="str">
        <f aca="false">IF(OR(N(BK158)=0,Q158=""),"Not recorded",IF(BK158=Q158,"Match","Differs"))</f>
        <v>Differs</v>
      </c>
      <c r="BR158" s="2" t="str">
        <f aca="false">IF(N158="No","Excluded (non-residential)",IF(BF158="No reference","Unverified – no reference",IF(BF158="Not in council register","Unverified – not in register (Part 8 / other)",IF(OR(BF158="Refused",BF158="Refused on appeal",BF158="Withdrawn",BF158="Invalid",BF158="Quashed"),IF(OR(G158="Complete",G158="On Site",G158="Part Complete"),"Conflict – register not live but CIS says built","Conflict – not live in register"),IF(AND(G158="Plans Submitted",OR(BF158="Granted",BF158="Granted on appeal")),"Stage out of date – now granted",IF(AND(G158&lt;&gt;"Plans Submitted",OR(BF158="Pending",BF158="Under appeal")),"Check – register still pending",IF(N(BL158)&gt;Method!$B$7,"Check – location differs",IF(AND(BP158&lt;&gt;"",ABS(N(BP158))&gt;60),"Consistent – decision date differs","Consistent"))))))))</f>
        <v>Consistent</v>
      </c>
      <c r="BS158" s="2"/>
      <c r="BT158" s="2"/>
      <c r="BU158" s="2"/>
      <c r="BV158" s="2"/>
      <c r="BW158" s="2"/>
      <c r="BX158" s="2"/>
    </row>
    <row r="159" customFormat="false" ht="15" hidden="false" customHeight="false" outlineLevel="0" collapsed="false">
      <c r="A159" s="2" t="n">
        <v>1184347</v>
      </c>
      <c r="B159" s="2" t="s">
        <v>245</v>
      </c>
      <c r="C159" s="2" t="s">
        <v>1604</v>
      </c>
      <c r="D159" s="2" t="s">
        <v>1605</v>
      </c>
      <c r="E159" s="2" t="s">
        <v>247</v>
      </c>
      <c r="F159" s="2" t="s">
        <v>139</v>
      </c>
      <c r="G159" s="2" t="s">
        <v>251</v>
      </c>
      <c r="H159" s="2" t="s">
        <v>1014</v>
      </c>
      <c r="I159" s="2" t="s">
        <v>1015</v>
      </c>
      <c r="J159" s="22" t="n">
        <v>44420</v>
      </c>
      <c r="K159" s="22" t="n">
        <v>44635</v>
      </c>
      <c r="L159" s="22" t="n">
        <v>46156.4011993403</v>
      </c>
      <c r="M159" s="2" t="s">
        <v>1016</v>
      </c>
      <c r="N159" s="2" t="s">
        <v>121</v>
      </c>
      <c r="O159" s="2"/>
      <c r="P159" s="2" t="s">
        <v>1017</v>
      </c>
      <c r="Q159" s="10" t="n">
        <v>105</v>
      </c>
      <c r="R159" s="10" t="n">
        <v>89</v>
      </c>
      <c r="S159" s="10"/>
      <c r="T159" s="2" t="s">
        <v>30</v>
      </c>
      <c r="U159" s="2"/>
      <c r="V159" s="2" t="s">
        <v>1080</v>
      </c>
      <c r="W159" s="2" t="s">
        <v>1020</v>
      </c>
      <c r="X159" s="7"/>
      <c r="Y159" s="2" t="str">
        <f aca="false">IF(X159&lt;&gt;"",X159,T159)</f>
        <v>Additional application on site</v>
      </c>
      <c r="Z159" s="2" t="str">
        <f aca="false">IF(OR(Y159="Primary",Y159="Additional phase",Y159="Additional application on site",Y159="Replaces earlier",Y159="Extension of duration (parent not in CIS)"),"Yes","No")</f>
        <v>Yes</v>
      </c>
      <c r="AA159" s="2"/>
      <c r="AB159" s="2" t="n">
        <f aca="false">IF(L159="","",ROUND((Method!$B$4-L159)/30.44,0))</f>
        <v>5</v>
      </c>
      <c r="AC159" s="2" t="str">
        <f aca="false">IF(AB159="","No",IF(AB159&gt;Method!$B$5,"Yes","No"))</f>
        <v>No</v>
      </c>
      <c r="AD159" s="22" t="n">
        <f aca="false">IF(BJ159&lt;&gt;"",BJ159,IF(K159&lt;&gt;"",EDATE(K159,60),""))</f>
        <v>46496</v>
      </c>
      <c r="AE159" s="2" t="str">
        <f aca="false">IF(AND(AD159&lt;&gt;"",OR(G159="Permission Granted",G159="Commencement Expected",G159="Stalled or Suspended")),IF(AD159&lt;Method!$B$4,"Yes","No"),"No")</f>
        <v>No</v>
      </c>
      <c r="AF159" s="7"/>
      <c r="AG159" s="2" t="str">
        <f aca="false">IF(Z159="No","Not counted",IF(AF159="Lapsed or dead","Excluded",IF(AF159="Constrained","Constrained / uncertain",IF(AF159="Confirmed live",IF(G159="On Site","Committed",IF(G159="Part Complete","Committed",IF(G159="Contract Awarded","Committed Pre-Construction",IF(G159="Tender","Advanced Pre-Construction",IF(G159="Commencement Expected","Likely",IF(G159="Permission Granted","Potential",IF(G159="Stalled or Suspended","Constrained / uncertain",IF(G159="Complete","Delivered","Application Pipeline")))))))),IF(G159="Complete","Delivered",IF(AND(OR(G159="Permission Granted",G159="Commencement Expected"),OR(AC159="Yes",AE159="Yes")),"Constrained / uncertain",IF(G159="On Site","Committed",IF(G159="Part Complete","Committed",IF(G159="Contract Awarded","Committed Pre-Construction",IF(G159="Tender","Advanced Pre-Construction",IF(G159="Commencement Expected","Likely",IF(G159="Permission Granted","Potential",IF(G159="Stalled or Suspended","Constrained / uncertain",IF(G159="Complete","Delivered","Application Pipeline"))))))))))))))</f>
        <v>Delivered</v>
      </c>
      <c r="AH159" s="2" t="str">
        <f aca="false">IF(Z159="No","Relationship: "&amp;Y159,IF(AF159&lt;&gt;"","Analyst: "&amp;AF159,IF(G159="Complete","Complete",IF(AND(OR(G159="Permission Granted",G159="Commencement Expected"),AE159="Yes"),"Past expiry",IF(AND(OR(G159="Permission Granted",G159="Commencement Expected"),AC159="Yes"),"No CIS update in "&amp;AB159&amp;" months","As CIS")))))</f>
        <v>Complete</v>
      </c>
      <c r="AI159" s="10" t="n">
        <f aca="false">IF(Z159="Yes",N(Q159),0)</f>
        <v>105</v>
      </c>
      <c r="AJ159" s="10" t="n">
        <f aca="false">IF(OR(Z159="No",G159="Complete"),0,MAX(N(Q159)-N(AA159),0))</f>
        <v>0</v>
      </c>
      <c r="AK159" s="10" t="n">
        <f aca="false">IF(Z159="No",0,IF(G159="Complete",N(Q159),MIN(N(AA159),N(Q159))))</f>
        <v>105</v>
      </c>
      <c r="AL159" s="10" t="n">
        <f aca="false">IF(OR(OR(AG159="Not counted",AG159="Excluded",AG159="Delivered"),P159="Student accommodation"),0,AJ159)</f>
        <v>0</v>
      </c>
      <c r="AM159" s="10" t="n">
        <f aca="false">IF(OR(OR(AG159="Not counted",AG159="Excluded",AG159="Delivered"),P159&lt;&gt;"Student accommodation"),0,AJ159)</f>
        <v>0</v>
      </c>
      <c r="AN159" s="10" t="n">
        <f aca="false">IF(OR(AG159="Not counted",AG159="Excluded",AG159="Delivered"),0,N(S159))</f>
        <v>0</v>
      </c>
      <c r="AO159" s="2" t="s">
        <v>1157</v>
      </c>
      <c r="AP159" s="10"/>
      <c r="AQ159" s="10" t="n">
        <v>8</v>
      </c>
      <c r="AR159" s="10" t="n">
        <v>24</v>
      </c>
      <c r="AS159" s="10" t="n">
        <v>54</v>
      </c>
      <c r="AT159" s="10" t="n">
        <v>3</v>
      </c>
      <c r="AU159" s="10"/>
      <c r="AV159" s="10" t="n">
        <f aca="false">N(AP159)+N(AQ159)+N(AR159)+N(AS159)+N(AT159)+N(AU159)</f>
        <v>89</v>
      </c>
      <c r="AW159" s="10" t="n">
        <v>69</v>
      </c>
      <c r="AX159" s="10" t="n">
        <v>20</v>
      </c>
      <c r="AY159" s="10"/>
      <c r="AZ159" s="2"/>
      <c r="BA159" s="2" t="s">
        <v>1022</v>
      </c>
      <c r="BB159" s="2" t="s">
        <v>1604</v>
      </c>
      <c r="BC159" s="2" t="s">
        <v>1023</v>
      </c>
      <c r="BD159" s="2" t="s">
        <v>1024</v>
      </c>
      <c r="BE159" s="2"/>
      <c r="BF159" s="2" t="s">
        <v>1025</v>
      </c>
      <c r="BG159" s="22" t="n">
        <v>44635</v>
      </c>
      <c r="BH159" s="22" t="n">
        <v>46496</v>
      </c>
      <c r="BI159" s="2"/>
      <c r="BJ159" s="22" t="n">
        <v>46496</v>
      </c>
      <c r="BK159" s="2" t="n">
        <v>89</v>
      </c>
      <c r="BL159" s="2" t="n">
        <v>0</v>
      </c>
      <c r="BM159" s="2"/>
      <c r="BN159" s="2" t="s">
        <v>1606</v>
      </c>
      <c r="BO159" s="23" t="s">
        <v>1607</v>
      </c>
      <c r="BP159" s="2" t="n">
        <f aca="false">IF(OR(K159="",BG159=""),"",ROUND(BG159-K159,0))</f>
        <v>0</v>
      </c>
      <c r="BQ159" s="2" t="str">
        <f aca="false">IF(OR(N(BK159)=0,Q159=""),"Not recorded",IF(BK159=Q159,"Match","Differs"))</f>
        <v>Differs</v>
      </c>
      <c r="BR159" s="2" t="str">
        <f aca="false">IF(N159="No","Excluded (non-residential)",IF(BF159="No reference","Unverified – no reference",IF(BF159="Not in council register","Unverified – not in register (Part 8 / other)",IF(OR(BF159="Refused",BF159="Refused on appeal",BF159="Withdrawn",BF159="Invalid",BF159="Quashed"),IF(OR(G159="Complete",G159="On Site",G159="Part Complete"),"Conflict – register not live but CIS says built","Conflict – not live in register"),IF(AND(G159="Plans Submitted",OR(BF159="Granted",BF159="Granted on appeal")),"Stage out of date – now granted",IF(AND(G159&lt;&gt;"Plans Submitted",OR(BF159="Pending",BF159="Under appeal")),"Check – register still pending",IF(N(BL159)&gt;Method!$B$7,"Check – location differs",IF(AND(BP159&lt;&gt;"",ABS(N(BP159))&gt;60),"Consistent – decision date differs","Consistent"))))))))</f>
        <v>Consistent</v>
      </c>
      <c r="BS159" s="2"/>
      <c r="BT159" s="2"/>
      <c r="BU159" s="2"/>
      <c r="BV159" s="2"/>
      <c r="BW159" s="2"/>
      <c r="BX159" s="2"/>
    </row>
    <row r="160" customFormat="false" ht="15" hidden="false" customHeight="false" outlineLevel="0" collapsed="false">
      <c r="A160" s="2" t="n">
        <v>1193936</v>
      </c>
      <c r="B160" s="2" t="s">
        <v>245</v>
      </c>
      <c r="C160" s="2" t="s">
        <v>1608</v>
      </c>
      <c r="D160" s="2" t="s">
        <v>1609</v>
      </c>
      <c r="E160" s="2" t="s">
        <v>247</v>
      </c>
      <c r="F160" s="2" t="s">
        <v>139</v>
      </c>
      <c r="G160" s="2" t="s">
        <v>194</v>
      </c>
      <c r="H160" s="2" t="s">
        <v>1014</v>
      </c>
      <c r="I160" s="2" t="s">
        <v>198</v>
      </c>
      <c r="J160" s="22" t="n">
        <v>44477</v>
      </c>
      <c r="K160" s="22" t="n">
        <v>44685</v>
      </c>
      <c r="L160" s="22" t="n">
        <v>46120.2851930208</v>
      </c>
      <c r="M160" s="2" t="s">
        <v>1016</v>
      </c>
      <c r="N160" s="2" t="s">
        <v>121</v>
      </c>
      <c r="O160" s="2"/>
      <c r="P160" s="2" t="s">
        <v>1017</v>
      </c>
      <c r="Q160" s="10" t="n">
        <v>98</v>
      </c>
      <c r="R160" s="10" t="n">
        <v>96</v>
      </c>
      <c r="S160" s="10"/>
      <c r="T160" s="2" t="s">
        <v>30</v>
      </c>
      <c r="U160" s="2"/>
      <c r="V160" s="2" t="s">
        <v>1080</v>
      </c>
      <c r="W160" s="2" t="s">
        <v>1020</v>
      </c>
      <c r="X160" s="7"/>
      <c r="Y160" s="2" t="str">
        <f aca="false">IF(X160&lt;&gt;"",X160,T160)</f>
        <v>Additional application on site</v>
      </c>
      <c r="Z160" s="2" t="str">
        <f aca="false">IF(OR(Y160="Primary",Y160="Additional phase",Y160="Additional application on site",Y160="Replaces earlier",Y160="Extension of duration (parent not in CIS)"),"Yes","No")</f>
        <v>Yes</v>
      </c>
      <c r="AA160" s="2"/>
      <c r="AB160" s="2" t="n">
        <f aca="false">IF(L160="","",ROUND((Method!$B$4-L160)/30.44,0))</f>
        <v>6</v>
      </c>
      <c r="AC160" s="2" t="str">
        <f aca="false">IF(AB160="","No",IF(AB160&gt;Method!$B$5,"Yes","No"))</f>
        <v>No</v>
      </c>
      <c r="AD160" s="22" t="n">
        <f aca="false">IF(BJ160&lt;&gt;"",BJ160,IF(K160&lt;&gt;"",EDATE(K160,60),""))</f>
        <v>46546</v>
      </c>
      <c r="AE160" s="2" t="str">
        <f aca="false">IF(AND(AD160&lt;&gt;"",OR(G160="Permission Granted",G160="Commencement Expected",G160="Stalled or Suspended")),IF(AD160&lt;Method!$B$4,"Yes","No"),"No")</f>
        <v>No</v>
      </c>
      <c r="AF160" s="7"/>
      <c r="AG160" s="2" t="str">
        <f aca="false">IF(Z160="No","Not counted",IF(AF160="Lapsed or dead","Excluded",IF(AF160="Constrained","Constrained / uncertain",IF(AF160="Confirmed live",IF(G160="On Site","Committed",IF(G160="Part Complete","Committed",IF(G160="Contract Awarded","Committed Pre-Construction",IF(G160="Tender","Advanced Pre-Construction",IF(G160="Commencement Expected","Likely",IF(G160="Permission Granted","Potential",IF(G160="Stalled or Suspended","Constrained / uncertain",IF(G160="Complete","Delivered","Application Pipeline")))))))),IF(G160="Complete","Delivered",IF(AND(OR(G160="Permission Granted",G160="Commencement Expected"),OR(AC160="Yes",AE160="Yes")),"Constrained / uncertain",IF(G160="On Site","Committed",IF(G160="Part Complete","Committed",IF(G160="Contract Awarded","Committed Pre-Construction",IF(G160="Tender","Advanced Pre-Construction",IF(G160="Commencement Expected","Likely",IF(G160="Permission Granted","Potential",IF(G160="Stalled or Suspended","Constrained / uncertain",IF(G160="Complete","Delivered","Application Pipeline"))))))))))))))</f>
        <v>Likely</v>
      </c>
      <c r="AH160" s="2" t="str">
        <f aca="false">IF(Z160="No","Relationship: "&amp;Y160,IF(AF160&lt;&gt;"","Analyst: "&amp;AF160,IF(G160="Complete","Complete",IF(AND(OR(G160="Permission Granted",G160="Commencement Expected"),AE160="Yes"),"Past expiry",IF(AND(OR(G160="Permission Granted",G160="Commencement Expected"),AC160="Yes"),"No CIS update in "&amp;AB160&amp;" months","As CIS")))))</f>
        <v>As CIS</v>
      </c>
      <c r="AI160" s="10" t="n">
        <f aca="false">IF(Z160="Yes",N(Q160),0)</f>
        <v>98</v>
      </c>
      <c r="AJ160" s="10" t="n">
        <f aca="false">IF(OR(Z160="No",G160="Complete"),0,MAX(N(Q160)-N(AA160),0))</f>
        <v>98</v>
      </c>
      <c r="AK160" s="10" t="n">
        <f aca="false">IF(Z160="No",0,IF(G160="Complete",N(Q160),MIN(N(AA160),N(Q160))))</f>
        <v>0</v>
      </c>
      <c r="AL160" s="10" t="n">
        <f aca="false">IF(OR(OR(AG160="Not counted",AG160="Excluded",AG160="Delivered"),P160="Student accommodation"),0,AJ160)</f>
        <v>98</v>
      </c>
      <c r="AM160" s="10" t="n">
        <f aca="false">IF(OR(OR(AG160="Not counted",AG160="Excluded",AG160="Delivered"),P160&lt;&gt;"Student accommodation"),0,AJ160)</f>
        <v>0</v>
      </c>
      <c r="AN160" s="10" t="n">
        <f aca="false">IF(OR(AG160="Not counted",AG160="Excluded",AG160="Delivered"),0,N(S160))</f>
        <v>0</v>
      </c>
      <c r="AO160" s="2" t="s">
        <v>1157</v>
      </c>
      <c r="AP160" s="10"/>
      <c r="AQ160" s="10" t="n">
        <v>8</v>
      </c>
      <c r="AR160" s="10" t="n">
        <v>66</v>
      </c>
      <c r="AS160" s="10" t="n">
        <v>18</v>
      </c>
      <c r="AT160" s="10" t="n">
        <v>6</v>
      </c>
      <c r="AU160" s="10"/>
      <c r="AV160" s="10" t="n">
        <f aca="false">N(AP160)+N(AQ160)+N(AR160)+N(AS160)+N(AT160)+N(AU160)</f>
        <v>98</v>
      </c>
      <c r="AW160" s="10" t="n">
        <v>24</v>
      </c>
      <c r="AX160" s="10" t="n">
        <v>74</v>
      </c>
      <c r="AY160" s="10"/>
      <c r="AZ160" s="2"/>
      <c r="BA160" s="2" t="s">
        <v>1022</v>
      </c>
      <c r="BB160" s="2" t="s">
        <v>1608</v>
      </c>
      <c r="BC160" s="2" t="s">
        <v>1023</v>
      </c>
      <c r="BD160" s="2" t="s">
        <v>1024</v>
      </c>
      <c r="BE160" s="2"/>
      <c r="BF160" s="2" t="s">
        <v>1025</v>
      </c>
      <c r="BG160" s="22" t="n">
        <v>44685</v>
      </c>
      <c r="BH160" s="22" t="n">
        <v>46546</v>
      </c>
      <c r="BI160" s="2"/>
      <c r="BJ160" s="22" t="n">
        <v>46546</v>
      </c>
      <c r="BK160" s="2" t="n">
        <v>26</v>
      </c>
      <c r="BL160" s="2" t="n">
        <v>0</v>
      </c>
      <c r="BM160" s="2"/>
      <c r="BN160" s="2" t="s">
        <v>1610</v>
      </c>
      <c r="BO160" s="23" t="s">
        <v>1611</v>
      </c>
      <c r="BP160" s="2" t="n">
        <f aca="false">IF(OR(K160="",BG160=""),"",ROUND(BG160-K160,0))</f>
        <v>0</v>
      </c>
      <c r="BQ160" s="2" t="str">
        <f aca="false">IF(OR(N(BK160)=0,Q160=""),"Not recorded",IF(BK160=Q160,"Match","Differs"))</f>
        <v>Differs</v>
      </c>
      <c r="BR160" s="2" t="str">
        <f aca="false">IF(N160="No","Excluded (non-residential)",IF(BF160="No reference","Unverified – no reference",IF(BF160="Not in council register","Unverified – not in register (Part 8 / other)",IF(OR(BF160="Refused",BF160="Refused on appeal",BF160="Withdrawn",BF160="Invalid",BF160="Quashed"),IF(OR(G160="Complete",G160="On Site",G160="Part Complete"),"Conflict – register not live but CIS says built","Conflict – not live in register"),IF(AND(G160="Plans Submitted",OR(BF160="Granted",BF160="Granted on appeal")),"Stage out of date – now granted",IF(AND(G160&lt;&gt;"Plans Submitted",OR(BF160="Pending",BF160="Under appeal")),"Check – register still pending",IF(N(BL160)&gt;Method!$B$7,"Check – location differs",IF(AND(BP160&lt;&gt;"",ABS(N(BP160))&gt;60),"Consistent – decision date differs","Consistent"))))))))</f>
        <v>Consistent</v>
      </c>
      <c r="BS160" s="2"/>
      <c r="BT160" s="2"/>
      <c r="BU160" s="2"/>
      <c r="BV160" s="2"/>
      <c r="BW160" s="2"/>
      <c r="BX160" s="2"/>
    </row>
    <row r="161" customFormat="false" ht="15" hidden="false" customHeight="false" outlineLevel="0" collapsed="false">
      <c r="A161" s="2" t="n">
        <v>1010675</v>
      </c>
      <c r="B161" s="2" t="s">
        <v>565</v>
      </c>
      <c r="C161" s="2" t="s">
        <v>1612</v>
      </c>
      <c r="D161" s="2" t="s">
        <v>566</v>
      </c>
      <c r="E161" s="2" t="s">
        <v>1613</v>
      </c>
      <c r="F161" s="2" t="s">
        <v>139</v>
      </c>
      <c r="G161" s="2" t="s">
        <v>198</v>
      </c>
      <c r="H161" s="2" t="s">
        <v>1014</v>
      </c>
      <c r="I161" s="2" t="s">
        <v>1015</v>
      </c>
      <c r="J161" s="22" t="n">
        <v>43341</v>
      </c>
      <c r="K161" s="22" t="n">
        <v>43396</v>
      </c>
      <c r="L161" s="22" t="n">
        <v>44783.6128495023</v>
      </c>
      <c r="M161" s="2" t="s">
        <v>1016</v>
      </c>
      <c r="N161" s="2" t="s">
        <v>121</v>
      </c>
      <c r="O161" s="2"/>
      <c r="P161" s="2" t="s">
        <v>1017</v>
      </c>
      <c r="Q161" s="10" t="n">
        <v>54</v>
      </c>
      <c r="R161" s="10" t="n">
        <v>240</v>
      </c>
      <c r="S161" s="10"/>
      <c r="T161" s="2" t="s">
        <v>122</v>
      </c>
      <c r="U161" s="2" t="s">
        <v>1614</v>
      </c>
      <c r="V161" s="2" t="s">
        <v>1019</v>
      </c>
      <c r="W161" s="2" t="s">
        <v>1020</v>
      </c>
      <c r="X161" s="7"/>
      <c r="Y161" s="2" t="str">
        <f aca="false">IF(X161&lt;&gt;"",X161,T161)</f>
        <v>Extension of duration (parent not in CIS)</v>
      </c>
      <c r="Z161" s="2" t="str">
        <f aca="false">IF(OR(Y161="Primary",Y161="Additional phase",Y161="Additional application on site",Y161="Replaces earlier",Y161="Extension of duration (parent not in CIS)"),"Yes","No")</f>
        <v>Yes</v>
      </c>
      <c r="AA161" s="2"/>
      <c r="AB161" s="2" t="n">
        <f aca="false">IF(L161="","",ROUND((Method!$B$4-L161)/30.44,0))</f>
        <v>50</v>
      </c>
      <c r="AC161" s="2" t="str">
        <f aca="false">IF(AB161="","No",IF(AB161&gt;Method!$B$5,"Yes","No"))</f>
        <v>Yes</v>
      </c>
      <c r="AD161" s="22" t="n">
        <f aca="false">IF(BJ161&lt;&gt;"",BJ161,IF(K161&lt;&gt;"",EDATE(K161,60),""))</f>
        <v>44561</v>
      </c>
      <c r="AE161" s="2" t="str">
        <f aca="false">IF(AND(AD161&lt;&gt;"",OR(G161="Permission Granted",G161="Commencement Expected",G161="Stalled or Suspended")),IF(AD161&lt;Method!$B$4,"Yes","No"),"No")</f>
        <v>No</v>
      </c>
      <c r="AF161" s="7"/>
      <c r="AG161" s="2" t="str">
        <f aca="false">IF(Z161="No","Not counted",IF(AF161="Lapsed or dead","Excluded",IF(AF161="Constrained","Constrained / uncertain",IF(AF161="Confirmed live",IF(G161="On Site","Committed",IF(G161="Part Complete","Committed",IF(G161="Contract Awarded","Committed Pre-Construction",IF(G161="Tender","Advanced Pre-Construction",IF(G161="Commencement Expected","Likely",IF(G161="Permission Granted","Potential",IF(G161="Stalled or Suspended","Constrained / uncertain",IF(G161="Complete","Delivered","Application Pipeline")))))))),IF(G161="Complete","Delivered",IF(AND(OR(G161="Permission Granted",G161="Commencement Expected"),OR(AC161="Yes",AE161="Yes")),"Constrained / uncertain",IF(G161="On Site","Committed",IF(G161="Part Complete","Committed",IF(G161="Contract Awarded","Committed Pre-Construction",IF(G161="Tender","Advanced Pre-Construction",IF(G161="Commencement Expected","Likely",IF(G161="Permission Granted","Potential",IF(G161="Stalled or Suspended","Constrained / uncertain",IF(G161="Complete","Delivered","Application Pipeline"))))))))))))))</f>
        <v>Committed</v>
      </c>
      <c r="AH161" s="2" t="str">
        <f aca="false">IF(Z161="No","Relationship: "&amp;Y161,IF(AF161&lt;&gt;"","Analyst: "&amp;AF161,IF(G161="Complete","Complete",IF(AND(OR(G161="Permission Granted",G161="Commencement Expected"),AE161="Yes"),"Past expiry",IF(AND(OR(G161="Permission Granted",G161="Commencement Expected"),AC161="Yes"),"No CIS update in "&amp;AB161&amp;" months","As CIS")))))</f>
        <v>As CIS</v>
      </c>
      <c r="AI161" s="10" t="n">
        <f aca="false">IF(Z161="Yes",N(Q161),0)</f>
        <v>54</v>
      </c>
      <c r="AJ161" s="10" t="n">
        <f aca="false">IF(OR(Z161="No",G161="Complete"),0,MAX(N(Q161)-N(AA161),0))</f>
        <v>54</v>
      </c>
      <c r="AK161" s="10" t="n">
        <f aca="false">IF(Z161="No",0,IF(G161="Complete",N(Q161),MIN(N(AA161),N(Q161))))</f>
        <v>0</v>
      </c>
      <c r="AL161" s="10" t="n">
        <f aca="false">IF(OR(OR(AG161="Not counted",AG161="Excluded",AG161="Delivered"),P161="Student accommodation"),0,AJ161)</f>
        <v>54</v>
      </c>
      <c r="AM161" s="10" t="n">
        <f aca="false">IF(OR(OR(AG161="Not counted",AG161="Excluded",AG161="Delivered"),P161&lt;&gt;"Student accommodation"),0,AJ161)</f>
        <v>0</v>
      </c>
      <c r="AN161" s="10" t="n">
        <f aca="false">IF(OR(AG161="Not counted",AG161="Excluded",AG161="Delivered"),0,N(S161))</f>
        <v>0</v>
      </c>
      <c r="AO161" s="2" t="s">
        <v>1069</v>
      </c>
      <c r="AP161" s="10"/>
      <c r="AQ161" s="10"/>
      <c r="AR161" s="10"/>
      <c r="AS161" s="10"/>
      <c r="AT161" s="10"/>
      <c r="AU161" s="10"/>
      <c r="AV161" s="10" t="n">
        <f aca="false">N(AP161)+N(AQ161)+N(AR161)+N(AS161)+N(AT161)+N(AU161)</f>
        <v>0</v>
      </c>
      <c r="AW161" s="10"/>
      <c r="AX161" s="10"/>
      <c r="AY161" s="10"/>
      <c r="AZ161" s="2" t="s">
        <v>1615</v>
      </c>
      <c r="BA161" s="2" t="s">
        <v>1022</v>
      </c>
      <c r="BB161" s="2" t="s">
        <v>1612</v>
      </c>
      <c r="BC161" s="2" t="s">
        <v>1023</v>
      </c>
      <c r="BD161" s="2" t="s">
        <v>1024</v>
      </c>
      <c r="BE161" s="2"/>
      <c r="BF161" s="2" t="s">
        <v>1025</v>
      </c>
      <c r="BG161" s="22" t="n">
        <v>43396</v>
      </c>
      <c r="BH161" s="22" t="n">
        <v>44561</v>
      </c>
      <c r="BI161" s="2"/>
      <c r="BJ161" s="22" t="n">
        <v>44561</v>
      </c>
      <c r="BK161" s="2"/>
      <c r="BL161" s="2" t="n">
        <v>0</v>
      </c>
      <c r="BM161" s="2"/>
      <c r="BN161" s="2" t="s">
        <v>1616</v>
      </c>
      <c r="BO161" s="23" t="s">
        <v>1617</v>
      </c>
      <c r="BP161" s="2" t="n">
        <f aca="false">IF(OR(K161="",BG161=""),"",ROUND(BG161-K161,0))</f>
        <v>0</v>
      </c>
      <c r="BQ161" s="2" t="str">
        <f aca="false">IF(OR(N(BK161)=0,Q161=""),"Not recorded",IF(BK161=Q161,"Match","Differs"))</f>
        <v>Not recorded</v>
      </c>
      <c r="BR161" s="2" t="str">
        <f aca="false">IF(N161="No","Excluded (non-residential)",IF(BF161="No reference","Unverified – no reference",IF(BF161="Not in council register","Unverified – not in register (Part 8 / other)",IF(OR(BF161="Refused",BF161="Refused on appeal",BF161="Withdrawn",BF161="Invalid",BF161="Quashed"),IF(OR(G161="Complete",G161="On Site",G161="Part Complete"),"Conflict – register not live but CIS says built","Conflict – not live in register"),IF(AND(G161="Plans Submitted",OR(BF161="Granted",BF161="Granted on appeal")),"Stage out of date – now granted",IF(AND(G161&lt;&gt;"Plans Submitted",OR(BF161="Pending",BF161="Under appeal")),"Check – register still pending",IF(N(BL161)&gt;Method!$B$7,"Check – location differs",IF(AND(BP161&lt;&gt;"",ABS(N(BP161))&gt;60),"Consistent – decision date differs","Consistent"))))))))</f>
        <v>Consistent</v>
      </c>
      <c r="BS161" s="2"/>
      <c r="BT161" s="2"/>
      <c r="BU161" s="2"/>
      <c r="BV161" s="2"/>
      <c r="BW161" s="2"/>
      <c r="BX161" s="2"/>
    </row>
    <row r="162" customFormat="false" ht="15" hidden="false" customHeight="false" outlineLevel="0" collapsed="false">
      <c r="A162" s="2" t="n">
        <v>1139440</v>
      </c>
      <c r="B162" s="2" t="s">
        <v>565</v>
      </c>
      <c r="C162" s="2" t="s">
        <v>1618</v>
      </c>
      <c r="D162" s="2" t="s">
        <v>1619</v>
      </c>
      <c r="E162" s="2" t="s">
        <v>1620</v>
      </c>
      <c r="F162" s="2" t="s">
        <v>139</v>
      </c>
      <c r="G162" s="2" t="s">
        <v>251</v>
      </c>
      <c r="H162" s="2" t="s">
        <v>1014</v>
      </c>
      <c r="I162" s="2" t="s">
        <v>1015</v>
      </c>
      <c r="J162" s="22" t="n">
        <v>44175</v>
      </c>
      <c r="K162" s="22" t="n">
        <v>44278</v>
      </c>
      <c r="L162" s="22" t="n">
        <v>44592.5103965278</v>
      </c>
      <c r="M162" s="2" t="s">
        <v>1016</v>
      </c>
      <c r="N162" s="2" t="s">
        <v>121</v>
      </c>
      <c r="O162" s="2"/>
      <c r="P162" s="2" t="s">
        <v>1017</v>
      </c>
      <c r="Q162" s="10" t="n">
        <v>21</v>
      </c>
      <c r="R162" s="10" t="n">
        <v>21</v>
      </c>
      <c r="S162" s="10"/>
      <c r="T162" s="2" t="s">
        <v>30</v>
      </c>
      <c r="U162" s="2"/>
      <c r="V162" s="2" t="s">
        <v>1080</v>
      </c>
      <c r="W162" s="2" t="s">
        <v>1020</v>
      </c>
      <c r="X162" s="7"/>
      <c r="Y162" s="2" t="str">
        <f aca="false">IF(X162&lt;&gt;"",X162,T162)</f>
        <v>Additional application on site</v>
      </c>
      <c r="Z162" s="2" t="str">
        <f aca="false">IF(OR(Y162="Primary",Y162="Additional phase",Y162="Additional application on site",Y162="Replaces earlier",Y162="Extension of duration (parent not in CIS)"),"Yes","No")</f>
        <v>Yes</v>
      </c>
      <c r="AA162" s="2"/>
      <c r="AB162" s="2" t="n">
        <f aca="false">IF(L162="","",ROUND((Method!$B$4-L162)/30.44,0))</f>
        <v>56</v>
      </c>
      <c r="AC162" s="2" t="str">
        <f aca="false">IF(AB162="","No",IF(AB162&gt;Method!$B$5,"Yes","No"))</f>
        <v>Yes</v>
      </c>
      <c r="AD162" s="22" t="n">
        <f aca="false">IF(BJ162&lt;&gt;"",BJ162,IF(K162&lt;&gt;"",EDATE(K162,60),""))</f>
        <v>46138</v>
      </c>
      <c r="AE162" s="2" t="str">
        <f aca="false">IF(AND(AD162&lt;&gt;"",OR(G162="Permission Granted",G162="Commencement Expected",G162="Stalled or Suspended")),IF(AD162&lt;Method!$B$4,"Yes","No"),"No")</f>
        <v>No</v>
      </c>
      <c r="AF162" s="7"/>
      <c r="AG162" s="2" t="str">
        <f aca="false">IF(Z162="No","Not counted",IF(AF162="Lapsed or dead","Excluded",IF(AF162="Constrained","Constrained / uncertain",IF(AF162="Confirmed live",IF(G162="On Site","Committed",IF(G162="Part Complete","Committed",IF(G162="Contract Awarded","Committed Pre-Construction",IF(G162="Tender","Advanced Pre-Construction",IF(G162="Commencement Expected","Likely",IF(G162="Permission Granted","Potential",IF(G162="Stalled or Suspended","Constrained / uncertain",IF(G162="Complete","Delivered","Application Pipeline")))))))),IF(G162="Complete","Delivered",IF(AND(OR(G162="Permission Granted",G162="Commencement Expected"),OR(AC162="Yes",AE162="Yes")),"Constrained / uncertain",IF(G162="On Site","Committed",IF(G162="Part Complete","Committed",IF(G162="Contract Awarded","Committed Pre-Construction",IF(G162="Tender","Advanced Pre-Construction",IF(G162="Commencement Expected","Likely",IF(G162="Permission Granted","Potential",IF(G162="Stalled or Suspended","Constrained / uncertain",IF(G162="Complete","Delivered","Application Pipeline"))))))))))))))</f>
        <v>Delivered</v>
      </c>
      <c r="AH162" s="2" t="str">
        <f aca="false">IF(Z162="No","Relationship: "&amp;Y162,IF(AF162&lt;&gt;"","Analyst: "&amp;AF162,IF(G162="Complete","Complete",IF(AND(OR(G162="Permission Granted",G162="Commencement Expected"),AE162="Yes"),"Past expiry",IF(AND(OR(G162="Permission Granted",G162="Commencement Expected"),AC162="Yes"),"No CIS update in "&amp;AB162&amp;" months","As CIS")))))</f>
        <v>Complete</v>
      </c>
      <c r="AI162" s="10" t="n">
        <f aca="false">IF(Z162="Yes",N(Q162),0)</f>
        <v>21</v>
      </c>
      <c r="AJ162" s="10" t="n">
        <f aca="false">IF(OR(Z162="No",G162="Complete"),0,MAX(N(Q162)-N(AA162),0))</f>
        <v>0</v>
      </c>
      <c r="AK162" s="10" t="n">
        <f aca="false">IF(Z162="No",0,IF(G162="Complete",N(Q162),MIN(N(AA162),N(Q162))))</f>
        <v>21</v>
      </c>
      <c r="AL162" s="10" t="n">
        <f aca="false">IF(OR(OR(AG162="Not counted",AG162="Excluded",AG162="Delivered"),P162="Student accommodation"),0,AJ162)</f>
        <v>0</v>
      </c>
      <c r="AM162" s="10" t="n">
        <f aca="false">IF(OR(OR(AG162="Not counted",AG162="Excluded",AG162="Delivered"),P162&lt;&gt;"Student accommodation"),0,AJ162)</f>
        <v>0</v>
      </c>
      <c r="AN162" s="10" t="n">
        <f aca="false">IF(OR(AG162="Not counted",AG162="Excluded",AG162="Delivered"),0,N(S162))</f>
        <v>0</v>
      </c>
      <c r="AO162" s="2" t="s">
        <v>1021</v>
      </c>
      <c r="AP162" s="10"/>
      <c r="AQ162" s="10"/>
      <c r="AR162" s="10"/>
      <c r="AS162" s="10"/>
      <c r="AT162" s="10"/>
      <c r="AU162" s="10"/>
      <c r="AV162" s="10" t="n">
        <f aca="false">N(AP162)+N(AQ162)+N(AR162)+N(AS162)+N(AT162)+N(AU162)</f>
        <v>0</v>
      </c>
      <c r="AW162" s="10"/>
      <c r="AX162" s="10"/>
      <c r="AY162" s="10"/>
      <c r="AZ162" s="2"/>
      <c r="BA162" s="2" t="s">
        <v>1022</v>
      </c>
      <c r="BB162" s="2" t="s">
        <v>1618</v>
      </c>
      <c r="BC162" s="2" t="s">
        <v>1023</v>
      </c>
      <c r="BD162" s="2" t="s">
        <v>1024</v>
      </c>
      <c r="BE162" s="2"/>
      <c r="BF162" s="2" t="s">
        <v>1025</v>
      </c>
      <c r="BG162" s="22" t="n">
        <v>44278</v>
      </c>
      <c r="BH162" s="22" t="n">
        <v>46138</v>
      </c>
      <c r="BI162" s="2"/>
      <c r="BJ162" s="22" t="n">
        <v>46138</v>
      </c>
      <c r="BK162" s="2" t="n">
        <v>21</v>
      </c>
      <c r="BL162" s="2" t="n">
        <v>0</v>
      </c>
      <c r="BM162" s="2"/>
      <c r="BN162" s="2" t="s">
        <v>1621</v>
      </c>
      <c r="BO162" s="23" t="s">
        <v>1622</v>
      </c>
      <c r="BP162" s="2" t="n">
        <f aca="false">IF(OR(K162="",BG162=""),"",ROUND(BG162-K162,0))</f>
        <v>0</v>
      </c>
      <c r="BQ162" s="2" t="str">
        <f aca="false">IF(OR(N(BK162)=0,Q162=""),"Not recorded",IF(BK162=Q162,"Match","Differs"))</f>
        <v>Match</v>
      </c>
      <c r="BR162" s="2" t="str">
        <f aca="false">IF(N162="No","Excluded (non-residential)",IF(BF162="No reference","Unverified – no reference",IF(BF162="Not in council register","Unverified – not in register (Part 8 / other)",IF(OR(BF162="Refused",BF162="Refused on appeal",BF162="Withdrawn",BF162="Invalid",BF162="Quashed"),IF(OR(G162="Complete",G162="On Site",G162="Part Complete"),"Conflict – register not live but CIS says built","Conflict – not live in register"),IF(AND(G162="Plans Submitted",OR(BF162="Granted",BF162="Granted on appeal")),"Stage out of date – now granted",IF(AND(G162&lt;&gt;"Plans Submitted",OR(BF162="Pending",BF162="Under appeal")),"Check – register still pending",IF(N(BL162)&gt;Method!$B$7,"Check – location differs",IF(AND(BP162&lt;&gt;"",ABS(N(BP162))&gt;60),"Consistent – decision date differs","Consistent"))))))))</f>
        <v>Consistent</v>
      </c>
      <c r="BS162" s="2"/>
      <c r="BT162" s="2"/>
      <c r="BU162" s="2"/>
      <c r="BV162" s="2"/>
      <c r="BW162" s="2"/>
      <c r="BX162" s="2"/>
    </row>
    <row r="163" customFormat="false" ht="15" hidden="false" customHeight="false" outlineLevel="0" collapsed="false">
      <c r="A163" s="2" t="n">
        <v>1049430</v>
      </c>
      <c r="B163" s="2" t="s">
        <v>378</v>
      </c>
      <c r="C163" s="2" t="s">
        <v>1623</v>
      </c>
      <c r="D163" s="2" t="s">
        <v>379</v>
      </c>
      <c r="E163" s="2" t="s">
        <v>380</v>
      </c>
      <c r="F163" s="2" t="s">
        <v>137</v>
      </c>
      <c r="G163" s="2" t="s">
        <v>198</v>
      </c>
      <c r="H163" s="2" t="s">
        <v>1014</v>
      </c>
      <c r="I163" s="2" t="s">
        <v>198</v>
      </c>
      <c r="J163" s="22" t="n">
        <v>43613</v>
      </c>
      <c r="K163" s="22" t="n">
        <v>43741</v>
      </c>
      <c r="L163" s="22" t="n">
        <v>45915.6731454514</v>
      </c>
      <c r="M163" s="2" t="s">
        <v>1016</v>
      </c>
      <c r="N163" s="2" t="s">
        <v>121</v>
      </c>
      <c r="O163" s="2"/>
      <c r="P163" s="2" t="s">
        <v>1017</v>
      </c>
      <c r="Q163" s="10" t="n">
        <v>51</v>
      </c>
      <c r="R163" s="10" t="n">
        <v>52</v>
      </c>
      <c r="S163" s="10"/>
      <c r="T163" s="2" t="s">
        <v>120</v>
      </c>
      <c r="U163" s="2"/>
      <c r="V163" s="2" t="s">
        <v>1029</v>
      </c>
      <c r="W163" s="2" t="s">
        <v>1030</v>
      </c>
      <c r="X163" s="7"/>
      <c r="Y163" s="2" t="str">
        <f aca="false">IF(X163&lt;&gt;"",X163,T163)</f>
        <v>Primary</v>
      </c>
      <c r="Z163" s="2" t="str">
        <f aca="false">IF(OR(Y163="Primary",Y163="Additional phase",Y163="Additional application on site",Y163="Replaces earlier",Y163="Extension of duration (parent not in CIS)"),"Yes","No")</f>
        <v>Yes</v>
      </c>
      <c r="AA163" s="2"/>
      <c r="AB163" s="2" t="n">
        <f aca="false">IF(L163="","",ROUND((Method!$B$4-L163)/30.44,0))</f>
        <v>12</v>
      </c>
      <c r="AC163" s="2" t="str">
        <f aca="false">IF(AB163="","No",IF(AB163&gt;Method!$B$5,"Yes","No"))</f>
        <v>No</v>
      </c>
      <c r="AD163" s="22" t="n">
        <f aca="false">IF(BJ163&lt;&gt;"",BJ163,IF(K163&lt;&gt;"",EDATE(K163,60),""))</f>
        <v>46011</v>
      </c>
      <c r="AE163" s="2" t="str">
        <f aca="false">IF(AND(AD163&lt;&gt;"",OR(G163="Permission Granted",G163="Commencement Expected",G163="Stalled or Suspended")),IF(AD163&lt;Method!$B$4,"Yes","No"),"No")</f>
        <v>No</v>
      </c>
      <c r="AF163" s="7"/>
      <c r="AG163" s="2" t="str">
        <f aca="false">IF(Z163="No","Not counted",IF(AF163="Lapsed or dead","Excluded",IF(AF163="Constrained","Constrained / uncertain",IF(AF163="Confirmed live",IF(G163="On Site","Committed",IF(G163="Part Complete","Committed",IF(G163="Contract Awarded","Committed Pre-Construction",IF(G163="Tender","Advanced Pre-Construction",IF(G163="Commencement Expected","Likely",IF(G163="Permission Granted","Potential",IF(G163="Stalled or Suspended","Constrained / uncertain",IF(G163="Complete","Delivered","Application Pipeline")))))))),IF(G163="Complete","Delivered",IF(AND(OR(G163="Permission Granted",G163="Commencement Expected"),OR(AC163="Yes",AE163="Yes")),"Constrained / uncertain",IF(G163="On Site","Committed",IF(G163="Part Complete","Committed",IF(G163="Contract Awarded","Committed Pre-Construction",IF(G163="Tender","Advanced Pre-Construction",IF(G163="Commencement Expected","Likely",IF(G163="Permission Granted","Potential",IF(G163="Stalled or Suspended","Constrained / uncertain",IF(G163="Complete","Delivered","Application Pipeline"))))))))))))))</f>
        <v>Committed</v>
      </c>
      <c r="AH163" s="2" t="str">
        <f aca="false">IF(Z163="No","Relationship: "&amp;Y163,IF(AF163&lt;&gt;"","Analyst: "&amp;AF163,IF(G163="Complete","Complete",IF(AND(OR(G163="Permission Granted",G163="Commencement Expected"),AE163="Yes"),"Past expiry",IF(AND(OR(G163="Permission Granted",G163="Commencement Expected"),AC163="Yes"),"No CIS update in "&amp;AB163&amp;" months","As CIS")))))</f>
        <v>As CIS</v>
      </c>
      <c r="AI163" s="10" t="n">
        <f aca="false">IF(Z163="Yes",N(Q163),0)</f>
        <v>51</v>
      </c>
      <c r="AJ163" s="10" t="n">
        <f aca="false">IF(OR(Z163="No",G163="Complete"),0,MAX(N(Q163)-N(AA163),0))</f>
        <v>51</v>
      </c>
      <c r="AK163" s="10" t="n">
        <f aca="false">IF(Z163="No",0,IF(G163="Complete",N(Q163),MIN(N(AA163),N(Q163))))</f>
        <v>0</v>
      </c>
      <c r="AL163" s="10" t="n">
        <f aca="false">IF(OR(OR(AG163="Not counted",AG163="Excluded",AG163="Delivered"),P163="Student accommodation"),0,AJ163)</f>
        <v>51</v>
      </c>
      <c r="AM163" s="10" t="n">
        <f aca="false">IF(OR(OR(AG163="Not counted",AG163="Excluded",AG163="Delivered"),P163&lt;&gt;"Student accommodation"),0,AJ163)</f>
        <v>0</v>
      </c>
      <c r="AN163" s="10" t="n">
        <f aca="false">IF(OR(AG163="Not counted",AG163="Excluded",AG163="Delivered"),0,N(S163))</f>
        <v>0</v>
      </c>
      <c r="AO163" s="2" t="s">
        <v>1031</v>
      </c>
      <c r="AP163" s="10"/>
      <c r="AQ163" s="10"/>
      <c r="AR163" s="10"/>
      <c r="AS163" s="10" t="n">
        <v>20</v>
      </c>
      <c r="AT163" s="10" t="n">
        <v>32</v>
      </c>
      <c r="AU163" s="10"/>
      <c r="AV163" s="10" t="n">
        <f aca="false">N(AP163)+N(AQ163)+N(AR163)+N(AS163)+N(AT163)+N(AU163)</f>
        <v>52</v>
      </c>
      <c r="AW163" s="10" t="n">
        <v>52</v>
      </c>
      <c r="AX163" s="10"/>
      <c r="AY163" s="10"/>
      <c r="AZ163" s="2"/>
      <c r="BA163" s="2" t="s">
        <v>1022</v>
      </c>
      <c r="BB163" s="2" t="s">
        <v>1623</v>
      </c>
      <c r="BC163" s="2" t="s">
        <v>1023</v>
      </c>
      <c r="BD163" s="2" t="s">
        <v>1024</v>
      </c>
      <c r="BE163" s="2" t="s">
        <v>1024</v>
      </c>
      <c r="BF163" s="2" t="s">
        <v>1059</v>
      </c>
      <c r="BG163" s="22" t="n">
        <v>43741</v>
      </c>
      <c r="BH163" s="22" t="n">
        <v>46011</v>
      </c>
      <c r="BI163" s="2"/>
      <c r="BJ163" s="22" t="n">
        <v>46011</v>
      </c>
      <c r="BK163" s="2" t="n">
        <v>51</v>
      </c>
      <c r="BL163" s="2" t="n">
        <v>0</v>
      </c>
      <c r="BM163" s="2"/>
      <c r="BN163" s="2" t="s">
        <v>1624</v>
      </c>
      <c r="BO163" s="23" t="s">
        <v>1625</v>
      </c>
      <c r="BP163" s="2" t="n">
        <f aca="false">IF(OR(K163="",BG163=""),"",ROUND(BG163-K163,0))</f>
        <v>0</v>
      </c>
      <c r="BQ163" s="2" t="str">
        <f aca="false">IF(OR(N(BK163)=0,Q163=""),"Not recorded",IF(BK163=Q163,"Match","Differs"))</f>
        <v>Match</v>
      </c>
      <c r="BR163" s="2" t="str">
        <f aca="false">IF(N163="No","Excluded (non-residential)",IF(BF163="No reference","Unverified – no reference",IF(BF163="Not in council register","Unverified – not in register (Part 8 / other)",IF(OR(BF163="Refused",BF163="Refused on appeal",BF163="Withdrawn",BF163="Invalid",BF163="Quashed"),IF(OR(G163="Complete",G163="On Site",G163="Part Complete"),"Conflict – register not live but CIS says built","Conflict – not live in register"),IF(AND(G163="Plans Submitted",OR(BF163="Granted",BF163="Granted on appeal")),"Stage out of date – now granted",IF(AND(G163&lt;&gt;"Plans Submitted",OR(BF163="Pending",BF163="Under appeal")),"Check – register still pending",IF(N(BL163)&gt;Method!$B$7,"Check – location differs",IF(AND(BP163&lt;&gt;"",ABS(N(BP163))&gt;60),"Consistent – decision date differs","Consistent"))))))))</f>
        <v>Consistent</v>
      </c>
      <c r="BS163" s="2"/>
      <c r="BT163" s="2"/>
      <c r="BU163" s="2"/>
      <c r="BV163" s="2"/>
      <c r="BW163" s="2"/>
      <c r="BX163" s="2"/>
    </row>
    <row r="164" customFormat="false" ht="15" hidden="false" customHeight="false" outlineLevel="0" collapsed="false">
      <c r="A164" s="2" t="n">
        <v>1327846</v>
      </c>
      <c r="B164" s="2" t="s">
        <v>378</v>
      </c>
      <c r="C164" s="2" t="s">
        <v>1626</v>
      </c>
      <c r="D164" s="2" t="s">
        <v>1627</v>
      </c>
      <c r="E164" s="2" t="s">
        <v>380</v>
      </c>
      <c r="F164" s="2" t="s">
        <v>137</v>
      </c>
      <c r="G164" s="2" t="s">
        <v>187</v>
      </c>
      <c r="H164" s="2" t="s">
        <v>1014</v>
      </c>
      <c r="I164" s="2"/>
      <c r="J164" s="22" t="n">
        <v>45309</v>
      </c>
      <c r="K164" s="22" t="n">
        <v>45568</v>
      </c>
      <c r="L164" s="22" t="n">
        <v>45740.395778125</v>
      </c>
      <c r="M164" s="2" t="s">
        <v>1016</v>
      </c>
      <c r="N164" s="2" t="s">
        <v>121</v>
      </c>
      <c r="O164" s="2"/>
      <c r="P164" s="2" t="s">
        <v>1017</v>
      </c>
      <c r="Q164" s="10" t="n">
        <v>14</v>
      </c>
      <c r="R164" s="10"/>
      <c r="S164" s="10"/>
      <c r="T164" s="2" t="s">
        <v>30</v>
      </c>
      <c r="U164" s="2"/>
      <c r="V164" s="2" t="s">
        <v>1080</v>
      </c>
      <c r="W164" s="2" t="s">
        <v>1020</v>
      </c>
      <c r="X164" s="7"/>
      <c r="Y164" s="2" t="str">
        <f aca="false">IF(X164&lt;&gt;"",X164,T164)</f>
        <v>Additional application on site</v>
      </c>
      <c r="Z164" s="2" t="str">
        <f aca="false">IF(OR(Y164="Primary",Y164="Additional phase",Y164="Additional application on site",Y164="Replaces earlier",Y164="Extension of duration (parent not in CIS)"),"Yes","No")</f>
        <v>Yes</v>
      </c>
      <c r="AA164" s="2"/>
      <c r="AB164" s="2" t="n">
        <f aca="false">IF(L164="","",ROUND((Method!$B$4-L164)/30.44,0))</f>
        <v>18</v>
      </c>
      <c r="AC164" s="2" t="str">
        <f aca="false">IF(AB164="","No",IF(AB164&gt;Method!$B$5,"Yes","No"))</f>
        <v>No</v>
      </c>
      <c r="AD164" s="22" t="n">
        <f aca="false">IF(BJ164&lt;&gt;"",BJ164,IF(K164&lt;&gt;"",EDATE(K164,60),""))</f>
        <v>47553</v>
      </c>
      <c r="AE164" s="2" t="str">
        <f aca="false">IF(AND(AD164&lt;&gt;"",OR(G164="Permission Granted",G164="Commencement Expected",G164="Stalled or Suspended")),IF(AD164&lt;Method!$B$4,"Yes","No"),"No")</f>
        <v>No</v>
      </c>
      <c r="AF164" s="7"/>
      <c r="AG164" s="2" t="str">
        <f aca="false">IF(Z164="No","Not counted",IF(AF164="Lapsed or dead","Excluded",IF(AF164="Constrained","Constrained / uncertain",IF(AF164="Confirmed live",IF(G164="On Site","Committed",IF(G164="Part Complete","Committed",IF(G164="Contract Awarded","Committed Pre-Construction",IF(G164="Tender","Advanced Pre-Construction",IF(G164="Commencement Expected","Likely",IF(G164="Permission Granted","Potential",IF(G164="Stalled or Suspended","Constrained / uncertain",IF(G164="Complete","Delivered","Application Pipeline")))))))),IF(G164="Complete","Delivered",IF(AND(OR(G164="Permission Granted",G164="Commencement Expected"),OR(AC164="Yes",AE164="Yes")),"Constrained / uncertain",IF(G164="On Site","Committed",IF(G164="Part Complete","Committed",IF(G164="Contract Awarded","Committed Pre-Construction",IF(G164="Tender","Advanced Pre-Construction",IF(G164="Commencement Expected","Likely",IF(G164="Permission Granted","Potential",IF(G164="Stalled or Suspended","Constrained / uncertain",IF(G164="Complete","Delivered","Application Pipeline"))))))))))))))</f>
        <v>Potential</v>
      </c>
      <c r="AH164" s="2" t="str">
        <f aca="false">IF(Z164="No","Relationship: "&amp;Y164,IF(AF164&lt;&gt;"","Analyst: "&amp;AF164,IF(G164="Complete","Complete",IF(AND(OR(G164="Permission Granted",G164="Commencement Expected"),AE164="Yes"),"Past expiry",IF(AND(OR(G164="Permission Granted",G164="Commencement Expected"),AC164="Yes"),"No CIS update in "&amp;AB164&amp;" months","As CIS")))))</f>
        <v>As CIS</v>
      </c>
      <c r="AI164" s="10" t="n">
        <f aca="false">IF(Z164="Yes",N(Q164),0)</f>
        <v>14</v>
      </c>
      <c r="AJ164" s="10" t="n">
        <f aca="false">IF(OR(Z164="No",G164="Complete"),0,MAX(N(Q164)-N(AA164),0))</f>
        <v>14</v>
      </c>
      <c r="AK164" s="10" t="n">
        <f aca="false">IF(Z164="No",0,IF(G164="Complete",N(Q164),MIN(N(AA164),N(Q164))))</f>
        <v>0</v>
      </c>
      <c r="AL164" s="10" t="n">
        <f aca="false">IF(OR(OR(AG164="Not counted",AG164="Excluded",AG164="Delivered"),P164="Student accommodation"),0,AJ164)</f>
        <v>14</v>
      </c>
      <c r="AM164" s="10" t="n">
        <f aca="false">IF(OR(OR(AG164="Not counted",AG164="Excluded",AG164="Delivered"),P164&lt;&gt;"Student accommodation"),0,AJ164)</f>
        <v>0</v>
      </c>
      <c r="AN164" s="10" t="n">
        <f aca="false">IF(OR(AG164="Not counted",AG164="Excluded",AG164="Delivered"),0,N(S164))</f>
        <v>0</v>
      </c>
      <c r="AO164" s="2" t="s">
        <v>1031</v>
      </c>
      <c r="AP164" s="10"/>
      <c r="AQ164" s="10"/>
      <c r="AR164" s="10" t="n">
        <v>14</v>
      </c>
      <c r="AS164" s="10"/>
      <c r="AT164" s="10"/>
      <c r="AU164" s="10"/>
      <c r="AV164" s="10" t="n">
        <f aca="false">N(AP164)+N(AQ164)+N(AR164)+N(AS164)+N(AT164)+N(AU164)</f>
        <v>14</v>
      </c>
      <c r="AW164" s="10" t="n">
        <v>14</v>
      </c>
      <c r="AX164" s="10"/>
      <c r="AY164" s="10"/>
      <c r="AZ164" s="2"/>
      <c r="BA164" s="2" t="s">
        <v>1022</v>
      </c>
      <c r="BB164" s="2" t="s">
        <v>1626</v>
      </c>
      <c r="BC164" s="2" t="s">
        <v>1023</v>
      </c>
      <c r="BD164" s="2" t="s">
        <v>1071</v>
      </c>
      <c r="BE164" s="2" t="s">
        <v>1024</v>
      </c>
      <c r="BF164" s="2" t="s">
        <v>1059</v>
      </c>
      <c r="BG164" s="22" t="n">
        <v>45568</v>
      </c>
      <c r="BH164" s="22" t="n">
        <v>47553</v>
      </c>
      <c r="BI164" s="2"/>
      <c r="BJ164" s="22" t="n">
        <v>47553</v>
      </c>
      <c r="BK164" s="2" t="n">
        <v>16</v>
      </c>
      <c r="BL164" s="2" t="n">
        <v>0</v>
      </c>
      <c r="BM164" s="2"/>
      <c r="BN164" s="2" t="s">
        <v>1628</v>
      </c>
      <c r="BO164" s="23" t="s">
        <v>1629</v>
      </c>
      <c r="BP164" s="2" t="n">
        <f aca="false">IF(OR(K164="",BG164=""),"",ROUND(BG164-K164,0))</f>
        <v>0</v>
      </c>
      <c r="BQ164" s="2" t="str">
        <f aca="false">IF(OR(N(BK164)=0,Q164=""),"Not recorded",IF(BK164=Q164,"Match","Differs"))</f>
        <v>Differs</v>
      </c>
      <c r="BR164" s="2" t="str">
        <f aca="false">IF(N164="No","Excluded (non-residential)",IF(BF164="No reference","Unverified – no reference",IF(BF164="Not in council register","Unverified – not in register (Part 8 / other)",IF(OR(BF164="Refused",BF164="Refused on appeal",BF164="Withdrawn",BF164="Invalid",BF164="Quashed"),IF(OR(G164="Complete",G164="On Site",G164="Part Complete"),"Conflict – register not live but CIS says built","Conflict – not live in register"),IF(AND(G164="Plans Submitted",OR(BF164="Granted",BF164="Granted on appeal")),"Stage out of date – now granted",IF(AND(G164&lt;&gt;"Plans Submitted",OR(BF164="Pending",BF164="Under appeal")),"Check – register still pending",IF(N(BL164)&gt;Method!$B$7,"Check – location differs",IF(AND(BP164&lt;&gt;"",ABS(N(BP164))&gt;60),"Consistent – decision date differs","Consistent"))))))))</f>
        <v>Consistent</v>
      </c>
      <c r="BS164" s="2"/>
      <c r="BT164" s="2"/>
      <c r="BU164" s="2"/>
      <c r="BV164" s="2"/>
      <c r="BW164" s="2"/>
      <c r="BX164" s="2"/>
    </row>
    <row r="165" customFormat="false" ht="15" hidden="false" customHeight="false" outlineLevel="0" collapsed="false">
      <c r="A165" s="2" t="n">
        <v>1061120</v>
      </c>
      <c r="B165" s="2" t="s">
        <v>441</v>
      </c>
      <c r="C165" s="2" t="s">
        <v>1630</v>
      </c>
      <c r="D165" s="2" t="s">
        <v>442</v>
      </c>
      <c r="E165" s="2" t="s">
        <v>443</v>
      </c>
      <c r="F165" s="2" t="s">
        <v>144</v>
      </c>
      <c r="G165" s="2" t="s">
        <v>198</v>
      </c>
      <c r="H165" s="2" t="s">
        <v>1014</v>
      </c>
      <c r="I165" s="2" t="s">
        <v>198</v>
      </c>
      <c r="J165" s="22" t="n">
        <v>43679</v>
      </c>
      <c r="K165" s="22" t="n">
        <v>43733</v>
      </c>
      <c r="L165" s="22" t="n">
        <v>45016.3989798264</v>
      </c>
      <c r="M165" s="2" t="s">
        <v>1016</v>
      </c>
      <c r="N165" s="2" t="s">
        <v>121</v>
      </c>
      <c r="O165" s="2"/>
      <c r="P165" s="2" t="s">
        <v>1017</v>
      </c>
      <c r="Q165" s="10" t="n">
        <v>5</v>
      </c>
      <c r="R165" s="10"/>
      <c r="S165" s="10"/>
      <c r="T165" s="2" t="s">
        <v>120</v>
      </c>
      <c r="U165" s="2"/>
      <c r="V165" s="2" t="s">
        <v>1029</v>
      </c>
      <c r="W165" s="2" t="s">
        <v>1030</v>
      </c>
      <c r="X165" s="7"/>
      <c r="Y165" s="2" t="str">
        <f aca="false">IF(X165&lt;&gt;"",X165,T165)</f>
        <v>Primary</v>
      </c>
      <c r="Z165" s="2" t="str">
        <f aca="false">IF(OR(Y165="Primary",Y165="Additional phase",Y165="Additional application on site",Y165="Replaces earlier",Y165="Extension of duration (parent not in CIS)"),"Yes","No")</f>
        <v>Yes</v>
      </c>
      <c r="AA165" s="2"/>
      <c r="AB165" s="2" t="n">
        <f aca="false">IF(L165="","",ROUND((Method!$B$4-L165)/30.44,0))</f>
        <v>42</v>
      </c>
      <c r="AC165" s="2" t="str">
        <f aca="false">IF(AB165="","No",IF(AB165&gt;Method!$B$5,"Yes","No"))</f>
        <v>Yes</v>
      </c>
      <c r="AD165" s="22" t="n">
        <f aca="false">IF(BJ165&lt;&gt;"",BJ165,IF(K165&lt;&gt;"",EDATE(K165,60),""))</f>
        <v>45958</v>
      </c>
      <c r="AE165" s="2" t="str">
        <f aca="false">IF(AND(AD165&lt;&gt;"",OR(G165="Permission Granted",G165="Commencement Expected",G165="Stalled or Suspended")),IF(AD165&lt;Method!$B$4,"Yes","No"),"No")</f>
        <v>No</v>
      </c>
      <c r="AF165" s="7"/>
      <c r="AG165" s="2" t="str">
        <f aca="false">IF(Z165="No","Not counted",IF(AF165="Lapsed or dead","Excluded",IF(AF165="Constrained","Constrained / uncertain",IF(AF165="Confirmed live",IF(G165="On Site","Committed",IF(G165="Part Complete","Committed",IF(G165="Contract Awarded","Committed Pre-Construction",IF(G165="Tender","Advanced Pre-Construction",IF(G165="Commencement Expected","Likely",IF(G165="Permission Granted","Potential",IF(G165="Stalled or Suspended","Constrained / uncertain",IF(G165="Complete","Delivered","Application Pipeline")))))))),IF(G165="Complete","Delivered",IF(AND(OR(G165="Permission Granted",G165="Commencement Expected"),OR(AC165="Yes",AE165="Yes")),"Constrained / uncertain",IF(G165="On Site","Committed",IF(G165="Part Complete","Committed",IF(G165="Contract Awarded","Committed Pre-Construction",IF(G165="Tender","Advanced Pre-Construction",IF(G165="Commencement Expected","Likely",IF(G165="Permission Granted","Potential",IF(G165="Stalled or Suspended","Constrained / uncertain",IF(G165="Complete","Delivered","Application Pipeline"))))))))))))))</f>
        <v>Committed</v>
      </c>
      <c r="AH165" s="2" t="str">
        <f aca="false">IF(Z165="No","Relationship: "&amp;Y165,IF(AF165&lt;&gt;"","Analyst: "&amp;AF165,IF(G165="Complete","Complete",IF(AND(OR(G165="Permission Granted",G165="Commencement Expected"),AE165="Yes"),"Past expiry",IF(AND(OR(G165="Permission Granted",G165="Commencement Expected"),AC165="Yes"),"No CIS update in "&amp;AB165&amp;" months","As CIS")))))</f>
        <v>As CIS</v>
      </c>
      <c r="AI165" s="10" t="n">
        <f aca="false">IF(Z165="Yes",N(Q165),0)</f>
        <v>5</v>
      </c>
      <c r="AJ165" s="10" t="n">
        <f aca="false">IF(OR(Z165="No",G165="Complete"),0,MAX(N(Q165)-N(AA165),0))</f>
        <v>5</v>
      </c>
      <c r="AK165" s="10" t="n">
        <f aca="false">IF(Z165="No",0,IF(G165="Complete",N(Q165),MIN(N(AA165),N(Q165))))</f>
        <v>0</v>
      </c>
      <c r="AL165" s="10" t="n">
        <f aca="false">IF(OR(OR(AG165="Not counted",AG165="Excluded",AG165="Delivered"),P165="Student accommodation"),0,AJ165)</f>
        <v>5</v>
      </c>
      <c r="AM165" s="10" t="n">
        <f aca="false">IF(OR(OR(AG165="Not counted",AG165="Excluded",AG165="Delivered"),P165&lt;&gt;"Student accommodation"),0,AJ165)</f>
        <v>0</v>
      </c>
      <c r="AN165" s="10" t="n">
        <f aca="false">IF(OR(AG165="Not counted",AG165="Excluded",AG165="Delivered"),0,N(S165))</f>
        <v>0</v>
      </c>
      <c r="AO165" s="2" t="s">
        <v>1021</v>
      </c>
      <c r="AP165" s="10"/>
      <c r="AQ165" s="10"/>
      <c r="AR165" s="10"/>
      <c r="AS165" s="10"/>
      <c r="AT165" s="10"/>
      <c r="AU165" s="10"/>
      <c r="AV165" s="10" t="n">
        <f aca="false">N(AP165)+N(AQ165)+N(AR165)+N(AS165)+N(AT165)+N(AU165)</f>
        <v>0</v>
      </c>
      <c r="AW165" s="10"/>
      <c r="AX165" s="10"/>
      <c r="AY165" s="10"/>
      <c r="AZ165" s="2"/>
      <c r="BA165" s="2" t="s">
        <v>1022</v>
      </c>
      <c r="BB165" s="2" t="s">
        <v>1630</v>
      </c>
      <c r="BC165" s="2" t="s">
        <v>1023</v>
      </c>
      <c r="BD165" s="2" t="s">
        <v>1024</v>
      </c>
      <c r="BE165" s="2"/>
      <c r="BF165" s="2" t="s">
        <v>1025</v>
      </c>
      <c r="BG165" s="22" t="n">
        <v>43733</v>
      </c>
      <c r="BH165" s="22" t="n">
        <v>45594</v>
      </c>
      <c r="BI165" s="2" t="s">
        <v>1631</v>
      </c>
      <c r="BJ165" s="22" t="n">
        <v>45958</v>
      </c>
      <c r="BK165" s="2" t="n">
        <v>1</v>
      </c>
      <c r="BL165" s="2" t="n">
        <v>0</v>
      </c>
      <c r="BM165" s="2"/>
      <c r="BN165" s="2" t="s">
        <v>1632</v>
      </c>
      <c r="BO165" s="23" t="s">
        <v>1633</v>
      </c>
      <c r="BP165" s="2" t="n">
        <f aca="false">IF(OR(K165="",BG165=""),"",ROUND(BG165-K165,0))</f>
        <v>0</v>
      </c>
      <c r="BQ165" s="2" t="str">
        <f aca="false">IF(OR(N(BK165)=0,Q165=""),"Not recorded",IF(BK165=Q165,"Match","Differs"))</f>
        <v>Differs</v>
      </c>
      <c r="BR165" s="2" t="str">
        <f aca="false">IF(N165="No","Excluded (non-residential)",IF(BF165="No reference","Unverified – no reference",IF(BF165="Not in council register","Unverified – not in register (Part 8 / other)",IF(OR(BF165="Refused",BF165="Refused on appeal",BF165="Withdrawn",BF165="Invalid",BF165="Quashed"),IF(OR(G165="Complete",G165="On Site",G165="Part Complete"),"Conflict – register not live but CIS says built","Conflict – not live in register"),IF(AND(G165="Plans Submitted",OR(BF165="Granted",BF165="Granted on appeal")),"Stage out of date – now granted",IF(AND(G165&lt;&gt;"Plans Submitted",OR(BF165="Pending",BF165="Under appeal")),"Check – register still pending",IF(N(BL165)&gt;Method!$B$7,"Check – location differs",IF(AND(BP165&lt;&gt;"",ABS(N(BP165))&gt;60),"Consistent – decision date differs","Consistent"))))))))</f>
        <v>Consistent</v>
      </c>
      <c r="BS165" s="2" t="n">
        <v>1934</v>
      </c>
      <c r="BT165" s="2" t="s">
        <v>1090</v>
      </c>
      <c r="BU165" s="2" t="s">
        <v>1634</v>
      </c>
      <c r="BV165" s="2" t="s">
        <v>198</v>
      </c>
      <c r="BW165" s="2" t="s">
        <v>1227</v>
      </c>
      <c r="BX165" s="2" t="s">
        <v>1093</v>
      </c>
    </row>
    <row r="166" customFormat="false" ht="15" hidden="false" customHeight="false" outlineLevel="0" collapsed="false">
      <c r="A166" s="2" t="n">
        <v>1366168</v>
      </c>
      <c r="B166" s="2" t="s">
        <v>441</v>
      </c>
      <c r="C166" s="2" t="s">
        <v>1635</v>
      </c>
      <c r="D166" s="2" t="s">
        <v>1636</v>
      </c>
      <c r="E166" s="2" t="s">
        <v>443</v>
      </c>
      <c r="F166" s="2" t="s">
        <v>144</v>
      </c>
      <c r="G166" s="2" t="s">
        <v>187</v>
      </c>
      <c r="H166" s="2" t="s">
        <v>1014</v>
      </c>
      <c r="I166" s="2"/>
      <c r="J166" s="22" t="n">
        <v>45546</v>
      </c>
      <c r="K166" s="22" t="n">
        <v>45596</v>
      </c>
      <c r="L166" s="22" t="n">
        <v>45601.4572541667</v>
      </c>
      <c r="M166" s="2" t="s">
        <v>1016</v>
      </c>
      <c r="N166" s="2" t="s">
        <v>121</v>
      </c>
      <c r="O166" s="2"/>
      <c r="P166" s="2" t="s">
        <v>1017</v>
      </c>
      <c r="Q166" s="10" t="n">
        <v>0</v>
      </c>
      <c r="R166" s="10"/>
      <c r="S166" s="10"/>
      <c r="T166" s="2" t="s">
        <v>22</v>
      </c>
      <c r="U166" s="2" t="s">
        <v>1630</v>
      </c>
      <c r="V166" s="2" t="s">
        <v>1637</v>
      </c>
      <c r="W166" s="2" t="s">
        <v>1030</v>
      </c>
      <c r="X166" s="7"/>
      <c r="Y166" s="2" t="str">
        <f aca="false">IF(X166&lt;&gt;"",X166,T166)</f>
        <v>Extension of duration</v>
      </c>
      <c r="Z166" s="2" t="str">
        <f aca="false">IF(OR(Y166="Primary",Y166="Additional phase",Y166="Additional application on site",Y166="Replaces earlier",Y166="Extension of duration (parent not in CIS)"),"Yes","No")</f>
        <v>No</v>
      </c>
      <c r="AA166" s="2"/>
      <c r="AB166" s="2" t="n">
        <f aca="false">IF(L166="","",ROUND((Method!$B$4-L166)/30.44,0))</f>
        <v>23</v>
      </c>
      <c r="AC166" s="2" t="str">
        <f aca="false">IF(AB166="","No",IF(AB166&gt;Method!$B$5,"Yes","No"))</f>
        <v>No</v>
      </c>
      <c r="AD166" s="22" t="n">
        <f aca="false">IF(BJ166&lt;&gt;"",BJ166,IF(K166&lt;&gt;"",EDATE(K166,60),""))</f>
        <v>45958</v>
      </c>
      <c r="AE166" s="2" t="str">
        <f aca="false">IF(AND(AD166&lt;&gt;"",OR(G166="Permission Granted",G166="Commencement Expected",G166="Stalled or Suspended")),IF(AD166&lt;Method!$B$4,"Yes","No"),"No")</f>
        <v>Yes</v>
      </c>
      <c r="AF166" s="7"/>
      <c r="AG166" s="2" t="str">
        <f aca="false">IF(Z166="No","Not counted",IF(AF166="Lapsed or dead","Excluded",IF(AF166="Constrained","Constrained / uncertain",IF(AF166="Confirmed live",IF(G166="On Site","Committed",IF(G166="Part Complete","Committed",IF(G166="Contract Awarded","Committed Pre-Construction",IF(G166="Tender","Advanced Pre-Construction",IF(G166="Commencement Expected","Likely",IF(G166="Permission Granted","Potential",IF(G166="Stalled or Suspended","Constrained / uncertain",IF(G166="Complete","Delivered","Application Pipeline")))))))),IF(G166="Complete","Delivered",IF(AND(OR(G166="Permission Granted",G166="Commencement Expected"),OR(AC166="Yes",AE166="Yes")),"Constrained / uncertain",IF(G166="On Site","Committed",IF(G166="Part Complete","Committed",IF(G166="Contract Awarded","Committed Pre-Construction",IF(G166="Tender","Advanced Pre-Construction",IF(G166="Commencement Expected","Likely",IF(G166="Permission Granted","Potential",IF(G166="Stalled or Suspended","Constrained / uncertain",IF(G166="Complete","Delivered","Application Pipeline"))))))))))))))</f>
        <v>Not counted</v>
      </c>
      <c r="AH166" s="2" t="str">
        <f aca="false">IF(Z166="No","Relationship: "&amp;Y166,IF(AF166&lt;&gt;"","Analyst: "&amp;AF166,IF(G166="Complete","Complete",IF(AND(OR(G166="Permission Granted",G166="Commencement Expected"),AE166="Yes"),"Past expiry",IF(AND(OR(G166="Permission Granted",G166="Commencement Expected"),AC166="Yes"),"No CIS update in "&amp;AB166&amp;" months","As CIS")))))</f>
        <v>Relationship: Extension of duration</v>
      </c>
      <c r="AI166" s="10" t="n">
        <f aca="false">IF(Z166="Yes",N(Q166),0)</f>
        <v>0</v>
      </c>
      <c r="AJ166" s="10" t="n">
        <f aca="false">IF(OR(Z166="No",G166="Complete"),0,MAX(N(Q166)-N(AA166),0))</f>
        <v>0</v>
      </c>
      <c r="AK166" s="10" t="n">
        <f aca="false">IF(Z166="No",0,IF(G166="Complete",N(Q166),MIN(N(AA166),N(Q166))))</f>
        <v>0</v>
      </c>
      <c r="AL166" s="10" t="n">
        <f aca="false">IF(OR(OR(AG166="Not counted",AG166="Excluded",AG166="Delivered"),P166="Student accommodation"),0,AJ166)</f>
        <v>0</v>
      </c>
      <c r="AM166" s="10" t="n">
        <f aca="false">IF(OR(OR(AG166="Not counted",AG166="Excluded",AG166="Delivered"),P166&lt;&gt;"Student accommodation"),0,AJ166)</f>
        <v>0</v>
      </c>
      <c r="AN166" s="10" t="n">
        <f aca="false">IF(OR(AG166="Not counted",AG166="Excluded",AG166="Delivered"),0,N(S166))</f>
        <v>0</v>
      </c>
      <c r="AO166" s="2" t="s">
        <v>1021</v>
      </c>
      <c r="AP166" s="10"/>
      <c r="AQ166" s="10"/>
      <c r="AR166" s="10"/>
      <c r="AS166" s="10"/>
      <c r="AT166" s="10"/>
      <c r="AU166" s="10"/>
      <c r="AV166" s="10" t="n">
        <f aca="false">N(AP166)+N(AQ166)+N(AR166)+N(AS166)+N(AT166)+N(AU166)</f>
        <v>0</v>
      </c>
      <c r="AW166" s="10"/>
      <c r="AX166" s="10"/>
      <c r="AY166" s="10"/>
      <c r="AZ166" s="2"/>
      <c r="BA166" s="2" t="s">
        <v>1022</v>
      </c>
      <c r="BB166" s="2" t="s">
        <v>1635</v>
      </c>
      <c r="BC166" s="2" t="s">
        <v>1023</v>
      </c>
      <c r="BD166" s="2" t="s">
        <v>1024</v>
      </c>
      <c r="BE166" s="2"/>
      <c r="BF166" s="2" t="s">
        <v>1025</v>
      </c>
      <c r="BG166" s="22" t="n">
        <v>45596</v>
      </c>
      <c r="BH166" s="22" t="n">
        <v>45958</v>
      </c>
      <c r="BI166" s="2"/>
      <c r="BJ166" s="22" t="n">
        <v>45958</v>
      </c>
      <c r="BK166" s="2"/>
      <c r="BL166" s="2" t="n">
        <v>0</v>
      </c>
      <c r="BM166" s="2"/>
      <c r="BN166" s="2" t="s">
        <v>1638</v>
      </c>
      <c r="BO166" s="23" t="s">
        <v>1639</v>
      </c>
      <c r="BP166" s="2" t="n">
        <f aca="false">IF(OR(K166="",BG166=""),"",ROUND(BG166-K166,0))</f>
        <v>0</v>
      </c>
      <c r="BQ166" s="2" t="str">
        <f aca="false">IF(OR(N(BK166)=0,Q166=""),"Not recorded",IF(BK166=Q166,"Match","Differs"))</f>
        <v>Not recorded</v>
      </c>
      <c r="BR166" s="2" t="str">
        <f aca="false">IF(N166="No","Excluded (non-residential)",IF(BF166="No reference","Unverified – no reference",IF(BF166="Not in council register","Unverified – not in register (Part 8 / other)",IF(OR(BF166="Refused",BF166="Refused on appeal",BF166="Withdrawn",BF166="Invalid",BF166="Quashed"),IF(OR(G166="Complete",G166="On Site",G166="Part Complete"),"Conflict – register not live but CIS says built","Conflict – not live in register"),IF(AND(G166="Plans Submitted",OR(BF166="Granted",BF166="Granted on appeal")),"Stage out of date – now granted",IF(AND(G166&lt;&gt;"Plans Submitted",OR(BF166="Pending",BF166="Under appeal")),"Check – register still pending",IF(N(BL166)&gt;Method!$B$7,"Check – location differs",IF(AND(BP166&lt;&gt;"",ABS(N(BP166))&gt;60),"Consistent – decision date differs","Consistent"))))))))</f>
        <v>Consistent</v>
      </c>
      <c r="BS166" s="2"/>
      <c r="BT166" s="2"/>
      <c r="BU166" s="2"/>
      <c r="BV166" s="2"/>
      <c r="BW166" s="2"/>
      <c r="BX166" s="2"/>
    </row>
    <row r="167" customFormat="false" ht="15" hidden="false" customHeight="false" outlineLevel="0" collapsed="false">
      <c r="A167" s="2" t="n">
        <v>1069596</v>
      </c>
      <c r="B167" s="2" t="s">
        <v>399</v>
      </c>
      <c r="C167" s="2" t="s">
        <v>1640</v>
      </c>
      <c r="D167" s="2" t="s">
        <v>400</v>
      </c>
      <c r="E167" s="2" t="s">
        <v>401</v>
      </c>
      <c r="F167" s="2" t="s">
        <v>144</v>
      </c>
      <c r="G167" s="2" t="s">
        <v>194</v>
      </c>
      <c r="H167" s="2" t="s">
        <v>1014</v>
      </c>
      <c r="I167" s="2" t="s">
        <v>198</v>
      </c>
      <c r="J167" s="22" t="n">
        <v>43739</v>
      </c>
      <c r="K167" s="22" t="n">
        <v>43951</v>
      </c>
      <c r="L167" s="22" t="n">
        <v>45700.5246613426</v>
      </c>
      <c r="M167" s="2" t="s">
        <v>1016</v>
      </c>
      <c r="N167" s="2" t="s">
        <v>121</v>
      </c>
      <c r="O167" s="2"/>
      <c r="P167" s="2" t="s">
        <v>1017</v>
      </c>
      <c r="Q167" s="10" t="n">
        <v>92</v>
      </c>
      <c r="R167" s="10" t="n">
        <v>92</v>
      </c>
      <c r="S167" s="10"/>
      <c r="T167" s="2" t="s">
        <v>120</v>
      </c>
      <c r="U167" s="2"/>
      <c r="V167" s="2" t="s">
        <v>1029</v>
      </c>
      <c r="W167" s="2" t="s">
        <v>1030</v>
      </c>
      <c r="X167" s="7"/>
      <c r="Y167" s="2" t="str">
        <f aca="false">IF(X167&lt;&gt;"",X167,T167)</f>
        <v>Primary</v>
      </c>
      <c r="Z167" s="2" t="str">
        <f aca="false">IF(OR(Y167="Primary",Y167="Additional phase",Y167="Additional application on site",Y167="Replaces earlier",Y167="Extension of duration (parent not in CIS)"),"Yes","No")</f>
        <v>Yes</v>
      </c>
      <c r="AA167" s="2"/>
      <c r="AB167" s="2" t="n">
        <f aca="false">IF(L167="","",ROUND((Method!$B$4-L167)/30.44,0))</f>
        <v>19</v>
      </c>
      <c r="AC167" s="2" t="str">
        <f aca="false">IF(AB167="","No",IF(AB167&gt;Method!$B$5,"Yes","No"))</f>
        <v>No</v>
      </c>
      <c r="AD167" s="22" t="n">
        <f aca="false">IF(BJ167&lt;&gt;"",BJ167,IF(K167&lt;&gt;"",EDATE(K167,60),""))</f>
        <v>47071</v>
      </c>
      <c r="AE167" s="2" t="str">
        <f aca="false">IF(AND(AD167&lt;&gt;"",OR(G167="Permission Granted",G167="Commencement Expected",G167="Stalled or Suspended")),IF(AD167&lt;Method!$B$4,"Yes","No"),"No")</f>
        <v>No</v>
      </c>
      <c r="AF167" s="7"/>
      <c r="AG167" s="2" t="str">
        <f aca="false">IF(Z167="No","Not counted",IF(AF167="Lapsed or dead","Excluded",IF(AF167="Constrained","Constrained / uncertain",IF(AF167="Confirmed live",IF(G167="On Site","Committed",IF(G167="Part Complete","Committed",IF(G167="Contract Awarded","Committed Pre-Construction",IF(G167="Tender","Advanced Pre-Construction",IF(G167="Commencement Expected","Likely",IF(G167="Permission Granted","Potential",IF(G167="Stalled or Suspended","Constrained / uncertain",IF(G167="Complete","Delivered","Application Pipeline")))))))),IF(G167="Complete","Delivered",IF(AND(OR(G167="Permission Granted",G167="Commencement Expected"),OR(AC167="Yes",AE167="Yes")),"Constrained / uncertain",IF(G167="On Site","Committed",IF(G167="Part Complete","Committed",IF(G167="Contract Awarded","Committed Pre-Construction",IF(G167="Tender","Advanced Pre-Construction",IF(G167="Commencement Expected","Likely",IF(G167="Permission Granted","Potential",IF(G167="Stalled or Suspended","Constrained / uncertain",IF(G167="Complete","Delivered","Application Pipeline"))))))))))))))</f>
        <v>Likely</v>
      </c>
      <c r="AH167" s="2" t="str">
        <f aca="false">IF(Z167="No","Relationship: "&amp;Y167,IF(AF167&lt;&gt;"","Analyst: "&amp;AF167,IF(G167="Complete","Complete",IF(AND(OR(G167="Permission Granted",G167="Commencement Expected"),AE167="Yes"),"Past expiry",IF(AND(OR(G167="Permission Granted",G167="Commencement Expected"),AC167="Yes"),"No CIS update in "&amp;AB167&amp;" months","As CIS")))))</f>
        <v>As CIS</v>
      </c>
      <c r="AI167" s="10" t="n">
        <f aca="false">IF(Z167="Yes",N(Q167),0)</f>
        <v>92</v>
      </c>
      <c r="AJ167" s="10" t="n">
        <f aca="false">IF(OR(Z167="No",G167="Complete"),0,MAX(N(Q167)-N(AA167),0))</f>
        <v>92</v>
      </c>
      <c r="AK167" s="10" t="n">
        <f aca="false">IF(Z167="No",0,IF(G167="Complete",N(Q167),MIN(N(AA167),N(Q167))))</f>
        <v>0</v>
      </c>
      <c r="AL167" s="10" t="n">
        <f aca="false">IF(OR(OR(AG167="Not counted",AG167="Excluded",AG167="Delivered"),P167="Student accommodation"),0,AJ167)</f>
        <v>92</v>
      </c>
      <c r="AM167" s="10" t="n">
        <f aca="false">IF(OR(OR(AG167="Not counted",AG167="Excluded",AG167="Delivered"),P167&lt;&gt;"Student accommodation"),0,AJ167)</f>
        <v>0</v>
      </c>
      <c r="AN167" s="10" t="n">
        <f aca="false">IF(OR(AG167="Not counted",AG167="Excluded",AG167="Delivered"),0,N(S167))</f>
        <v>0</v>
      </c>
      <c r="AO167" s="2" t="s">
        <v>1232</v>
      </c>
      <c r="AP167" s="10"/>
      <c r="AQ167" s="10" t="n">
        <v>4</v>
      </c>
      <c r="AR167" s="10" t="n">
        <v>48</v>
      </c>
      <c r="AS167" s="10" t="n">
        <v>40</v>
      </c>
      <c r="AT167" s="10"/>
      <c r="AU167" s="10"/>
      <c r="AV167" s="10" t="n">
        <f aca="false">N(AP167)+N(AQ167)+N(AR167)+N(AS167)+N(AT167)+N(AU167)</f>
        <v>92</v>
      </c>
      <c r="AW167" s="10" t="n">
        <v>36</v>
      </c>
      <c r="AX167" s="10" t="n">
        <v>56</v>
      </c>
      <c r="AY167" s="10"/>
      <c r="AZ167" s="2" t="s">
        <v>1641</v>
      </c>
      <c r="BA167" s="2" t="s">
        <v>1022</v>
      </c>
      <c r="BB167" s="2" t="s">
        <v>1640</v>
      </c>
      <c r="BC167" s="2" t="s">
        <v>1023</v>
      </c>
      <c r="BD167" s="2" t="s">
        <v>1024</v>
      </c>
      <c r="BE167" s="2" t="s">
        <v>1024</v>
      </c>
      <c r="BF167" s="2" t="s">
        <v>1059</v>
      </c>
      <c r="BG167" s="22" t="n">
        <v>43951</v>
      </c>
      <c r="BH167" s="22" t="n">
        <v>45976</v>
      </c>
      <c r="BI167" s="2" t="s">
        <v>1642</v>
      </c>
      <c r="BJ167" s="22" t="n">
        <v>47071</v>
      </c>
      <c r="BK167" s="2" t="n">
        <v>92</v>
      </c>
      <c r="BL167" s="2" t="n">
        <v>0</v>
      </c>
      <c r="BM167" s="2"/>
      <c r="BN167" s="2" t="s">
        <v>1643</v>
      </c>
      <c r="BO167" s="23" t="s">
        <v>1644</v>
      </c>
      <c r="BP167" s="2" t="n">
        <f aca="false">IF(OR(K167="",BG167=""),"",ROUND(BG167-K167,0))</f>
        <v>0</v>
      </c>
      <c r="BQ167" s="2" t="str">
        <f aca="false">IF(OR(N(BK167)=0,Q167=""),"Not recorded",IF(BK167=Q167,"Match","Differs"))</f>
        <v>Match</v>
      </c>
      <c r="BR167" s="2" t="str">
        <f aca="false">IF(N167="No","Excluded (non-residential)",IF(BF167="No reference","Unverified – no reference",IF(BF167="Not in council register","Unverified – not in register (Part 8 / other)",IF(OR(BF167="Refused",BF167="Refused on appeal",BF167="Withdrawn",BF167="Invalid",BF167="Quashed"),IF(OR(G167="Complete",G167="On Site",G167="Part Complete"),"Conflict – register not live but CIS says built","Conflict – not live in register"),IF(AND(G167="Plans Submitted",OR(BF167="Granted",BF167="Granted on appeal")),"Stage out of date – now granted",IF(AND(G167&lt;&gt;"Plans Submitted",OR(BF167="Pending",BF167="Under appeal")),"Check – register still pending",IF(N(BL167)&gt;Method!$B$7,"Check – location differs",IF(AND(BP167&lt;&gt;"",ABS(N(BP167))&gt;60),"Consistent – decision date differs","Consistent"))))))))</f>
        <v>Consistent</v>
      </c>
      <c r="BS167" s="2"/>
      <c r="BT167" s="2"/>
      <c r="BU167" s="2"/>
      <c r="BV167" s="2"/>
      <c r="BW167" s="2"/>
      <c r="BX167" s="2"/>
    </row>
    <row r="168" customFormat="false" ht="15" hidden="false" customHeight="false" outlineLevel="0" collapsed="false">
      <c r="A168" s="2" t="n">
        <v>1395332</v>
      </c>
      <c r="B168" s="2" t="s">
        <v>399</v>
      </c>
      <c r="C168" s="2" t="s">
        <v>1645</v>
      </c>
      <c r="D168" s="2" t="s">
        <v>1646</v>
      </c>
      <c r="E168" s="2" t="s">
        <v>401</v>
      </c>
      <c r="F168" s="2" t="s">
        <v>144</v>
      </c>
      <c r="G168" s="2" t="s">
        <v>187</v>
      </c>
      <c r="H168" s="2" t="s">
        <v>1014</v>
      </c>
      <c r="I168" s="2"/>
      <c r="J168" s="22" t="n">
        <v>45734</v>
      </c>
      <c r="K168" s="22" t="n">
        <v>45786</v>
      </c>
      <c r="L168" s="22" t="n">
        <v>45790.4782581019</v>
      </c>
      <c r="M168" s="2" t="s">
        <v>1016</v>
      </c>
      <c r="N168" s="2" t="s">
        <v>121</v>
      </c>
      <c r="O168" s="2"/>
      <c r="P168" s="2" t="s">
        <v>1017</v>
      </c>
      <c r="Q168" s="10" t="n">
        <v>0</v>
      </c>
      <c r="R168" s="10" t="n">
        <v>92</v>
      </c>
      <c r="S168" s="10"/>
      <c r="T168" s="2" t="s">
        <v>22</v>
      </c>
      <c r="U168" s="2" t="s">
        <v>1640</v>
      </c>
      <c r="V168" s="2" t="s">
        <v>1647</v>
      </c>
      <c r="W168" s="2" t="s">
        <v>1030</v>
      </c>
      <c r="X168" s="7"/>
      <c r="Y168" s="2" t="str">
        <f aca="false">IF(X168&lt;&gt;"",X168,T168)</f>
        <v>Extension of duration</v>
      </c>
      <c r="Z168" s="2" t="str">
        <f aca="false">IF(OR(Y168="Primary",Y168="Additional phase",Y168="Additional application on site",Y168="Replaces earlier",Y168="Extension of duration (parent not in CIS)"),"Yes","No")</f>
        <v>No</v>
      </c>
      <c r="AA168" s="2"/>
      <c r="AB168" s="2" t="n">
        <f aca="false">IF(L168="","",ROUND((Method!$B$4-L168)/30.44,0))</f>
        <v>17</v>
      </c>
      <c r="AC168" s="2" t="str">
        <f aca="false">IF(AB168="","No",IF(AB168&gt;Method!$B$5,"Yes","No"))</f>
        <v>No</v>
      </c>
      <c r="AD168" s="22" t="n">
        <f aca="false">IF(BJ168&lt;&gt;"",BJ168,IF(K168&lt;&gt;"",EDATE(K168,60),""))</f>
        <v>47071</v>
      </c>
      <c r="AE168" s="2" t="str">
        <f aca="false">IF(AND(AD168&lt;&gt;"",OR(G168="Permission Granted",G168="Commencement Expected",G168="Stalled or Suspended")),IF(AD168&lt;Method!$B$4,"Yes","No"),"No")</f>
        <v>No</v>
      </c>
      <c r="AF168" s="7"/>
      <c r="AG168" s="2" t="str">
        <f aca="false">IF(Z168="No","Not counted",IF(AF168="Lapsed or dead","Excluded",IF(AF168="Constrained","Constrained / uncertain",IF(AF168="Confirmed live",IF(G168="On Site","Committed",IF(G168="Part Complete","Committed",IF(G168="Contract Awarded","Committed Pre-Construction",IF(G168="Tender","Advanced Pre-Construction",IF(G168="Commencement Expected","Likely",IF(G168="Permission Granted","Potential",IF(G168="Stalled or Suspended","Constrained / uncertain",IF(G168="Complete","Delivered","Application Pipeline")))))))),IF(G168="Complete","Delivered",IF(AND(OR(G168="Permission Granted",G168="Commencement Expected"),OR(AC168="Yes",AE168="Yes")),"Constrained / uncertain",IF(G168="On Site","Committed",IF(G168="Part Complete","Committed",IF(G168="Contract Awarded","Committed Pre-Construction",IF(G168="Tender","Advanced Pre-Construction",IF(G168="Commencement Expected","Likely",IF(G168="Permission Granted","Potential",IF(G168="Stalled or Suspended","Constrained / uncertain",IF(G168="Complete","Delivered","Application Pipeline"))))))))))))))</f>
        <v>Not counted</v>
      </c>
      <c r="AH168" s="2" t="str">
        <f aca="false">IF(Z168="No","Relationship: "&amp;Y168,IF(AF168&lt;&gt;"","Analyst: "&amp;AF168,IF(G168="Complete","Complete",IF(AND(OR(G168="Permission Granted",G168="Commencement Expected"),AE168="Yes"),"Past expiry",IF(AND(OR(G168="Permission Granted",G168="Commencement Expected"),AC168="Yes"),"No CIS update in "&amp;AB168&amp;" months","As CIS")))))</f>
        <v>Relationship: Extension of duration</v>
      </c>
      <c r="AI168" s="10" t="n">
        <f aca="false">IF(Z168="Yes",N(Q168),0)</f>
        <v>0</v>
      </c>
      <c r="AJ168" s="10" t="n">
        <f aca="false">IF(OR(Z168="No",G168="Complete"),0,MAX(N(Q168)-N(AA168),0))</f>
        <v>0</v>
      </c>
      <c r="AK168" s="10" t="n">
        <f aca="false">IF(Z168="No",0,IF(G168="Complete",N(Q168),MIN(N(AA168),N(Q168))))</f>
        <v>0</v>
      </c>
      <c r="AL168" s="10" t="n">
        <f aca="false">IF(OR(OR(AG168="Not counted",AG168="Excluded",AG168="Delivered"),P168="Student accommodation"),0,AJ168)</f>
        <v>0</v>
      </c>
      <c r="AM168" s="10" t="n">
        <f aca="false">IF(OR(OR(AG168="Not counted",AG168="Excluded",AG168="Delivered"),P168&lt;&gt;"Student accommodation"),0,AJ168)</f>
        <v>0</v>
      </c>
      <c r="AN168" s="10" t="n">
        <f aca="false">IF(OR(AG168="Not counted",AG168="Excluded",AG168="Delivered"),0,N(S168))</f>
        <v>0</v>
      </c>
      <c r="AO168" s="2" t="s">
        <v>1021</v>
      </c>
      <c r="AP168" s="10"/>
      <c r="AQ168" s="10"/>
      <c r="AR168" s="10"/>
      <c r="AS168" s="10"/>
      <c r="AT168" s="10"/>
      <c r="AU168" s="10"/>
      <c r="AV168" s="10" t="n">
        <f aca="false">N(AP168)+N(AQ168)+N(AR168)+N(AS168)+N(AT168)+N(AU168)</f>
        <v>0</v>
      </c>
      <c r="AW168" s="10"/>
      <c r="AX168" s="10"/>
      <c r="AY168" s="10"/>
      <c r="AZ168" s="2"/>
      <c r="BA168" s="2" t="s">
        <v>1022</v>
      </c>
      <c r="BB168" s="2" t="s">
        <v>1645</v>
      </c>
      <c r="BC168" s="2" t="s">
        <v>1023</v>
      </c>
      <c r="BD168" s="2" t="s">
        <v>1024</v>
      </c>
      <c r="BE168" s="2"/>
      <c r="BF168" s="2" t="s">
        <v>1025</v>
      </c>
      <c r="BG168" s="22" t="n">
        <v>45786</v>
      </c>
      <c r="BH168" s="22" t="n">
        <v>47071</v>
      </c>
      <c r="BI168" s="2"/>
      <c r="BJ168" s="22" t="n">
        <v>47071</v>
      </c>
      <c r="BK168" s="2"/>
      <c r="BL168" s="2" t="n">
        <v>0</v>
      </c>
      <c r="BM168" s="2"/>
      <c r="BN168" s="2" t="s">
        <v>1648</v>
      </c>
      <c r="BO168" s="23" t="s">
        <v>1649</v>
      </c>
      <c r="BP168" s="2" t="n">
        <f aca="false">IF(OR(K168="",BG168=""),"",ROUND(BG168-K168,0))</f>
        <v>0</v>
      </c>
      <c r="BQ168" s="2" t="str">
        <f aca="false">IF(OR(N(BK168)=0,Q168=""),"Not recorded",IF(BK168=Q168,"Match","Differs"))</f>
        <v>Not recorded</v>
      </c>
      <c r="BR168" s="2" t="str">
        <f aca="false">IF(N168="No","Excluded (non-residential)",IF(BF168="No reference","Unverified – no reference",IF(BF168="Not in council register","Unverified – not in register (Part 8 / other)",IF(OR(BF168="Refused",BF168="Refused on appeal",BF168="Withdrawn",BF168="Invalid",BF168="Quashed"),IF(OR(G168="Complete",G168="On Site",G168="Part Complete"),"Conflict – register not live but CIS says built","Conflict – not live in register"),IF(AND(G168="Plans Submitted",OR(BF168="Granted",BF168="Granted on appeal")),"Stage out of date – now granted",IF(AND(G168&lt;&gt;"Plans Submitted",OR(BF168="Pending",BF168="Under appeal")),"Check – register still pending",IF(N(BL168)&gt;Method!$B$7,"Check – location differs",IF(AND(BP168&lt;&gt;"",ABS(N(BP168))&gt;60),"Consistent – decision date differs","Consistent"))))))))</f>
        <v>Consistent</v>
      </c>
      <c r="BS168" s="2"/>
      <c r="BT168" s="2"/>
      <c r="BU168" s="2"/>
      <c r="BV168" s="2"/>
      <c r="BW168" s="2"/>
      <c r="BX168" s="2"/>
    </row>
    <row r="169" customFormat="false" ht="15" hidden="false" customHeight="false" outlineLevel="0" collapsed="false">
      <c r="A169" s="2" t="n">
        <v>1070656</v>
      </c>
      <c r="B169" s="2" t="s">
        <v>230</v>
      </c>
      <c r="C169" s="2" t="s">
        <v>1650</v>
      </c>
      <c r="D169" s="2" t="s">
        <v>231</v>
      </c>
      <c r="E169" s="2" t="s">
        <v>232</v>
      </c>
      <c r="F169" s="2" t="s">
        <v>140</v>
      </c>
      <c r="G169" s="2" t="s">
        <v>251</v>
      </c>
      <c r="H169" s="2" t="s">
        <v>1014</v>
      </c>
      <c r="I169" s="2" t="s">
        <v>1015</v>
      </c>
      <c r="J169" s="22" t="n">
        <v>43742</v>
      </c>
      <c r="K169" s="22" t="n">
        <v>43797</v>
      </c>
      <c r="L169" s="22" t="n">
        <v>44160.6182660532</v>
      </c>
      <c r="M169" s="2" t="s">
        <v>1016</v>
      </c>
      <c r="N169" s="2" t="s">
        <v>121</v>
      </c>
      <c r="O169" s="2"/>
      <c r="P169" s="2" t="s">
        <v>1017</v>
      </c>
      <c r="Q169" s="10" t="n">
        <v>0</v>
      </c>
      <c r="R169" s="10"/>
      <c r="S169" s="10"/>
      <c r="T169" s="2" t="s">
        <v>120</v>
      </c>
      <c r="U169" s="2"/>
      <c r="V169" s="2" t="s">
        <v>1029</v>
      </c>
      <c r="W169" s="2" t="s">
        <v>1030</v>
      </c>
      <c r="X169" s="7"/>
      <c r="Y169" s="2" t="str">
        <f aca="false">IF(X169&lt;&gt;"",X169,T169)</f>
        <v>Primary</v>
      </c>
      <c r="Z169" s="2" t="str">
        <f aca="false">IF(OR(Y169="Primary",Y169="Additional phase",Y169="Additional application on site",Y169="Replaces earlier",Y169="Extension of duration (parent not in CIS)"),"Yes","No")</f>
        <v>Yes</v>
      </c>
      <c r="AA169" s="2"/>
      <c r="AB169" s="2" t="n">
        <f aca="false">IF(L169="","",ROUND((Method!$B$4-L169)/30.44,0))</f>
        <v>70</v>
      </c>
      <c r="AC169" s="2" t="str">
        <f aca="false">IF(AB169="","No",IF(AB169&gt;Method!$B$5,"Yes","No"))</f>
        <v>Yes</v>
      </c>
      <c r="AD169" s="22" t="n">
        <f aca="false">IF(BJ169&lt;&gt;"",BJ169,IF(K169&lt;&gt;"",EDATE(K169,60),""))</f>
        <v>44983</v>
      </c>
      <c r="AE169" s="2" t="str">
        <f aca="false">IF(AND(AD169&lt;&gt;"",OR(G169="Permission Granted",G169="Commencement Expected",G169="Stalled or Suspended")),IF(AD169&lt;Method!$B$4,"Yes","No"),"No")</f>
        <v>No</v>
      </c>
      <c r="AF169" s="7"/>
      <c r="AG169" s="2" t="str">
        <f aca="false">IF(Z169="No","Not counted",IF(AF169="Lapsed or dead","Excluded",IF(AF169="Constrained","Constrained / uncertain",IF(AF169="Confirmed live",IF(G169="On Site","Committed",IF(G169="Part Complete","Committed",IF(G169="Contract Awarded","Committed Pre-Construction",IF(G169="Tender","Advanced Pre-Construction",IF(G169="Commencement Expected","Likely",IF(G169="Permission Granted","Potential",IF(G169="Stalled or Suspended","Constrained / uncertain",IF(G169="Complete","Delivered","Application Pipeline")))))))),IF(G169="Complete","Delivered",IF(AND(OR(G169="Permission Granted",G169="Commencement Expected"),OR(AC169="Yes",AE169="Yes")),"Constrained / uncertain",IF(G169="On Site","Committed",IF(G169="Part Complete","Committed",IF(G169="Contract Awarded","Committed Pre-Construction",IF(G169="Tender","Advanced Pre-Construction",IF(G169="Commencement Expected","Likely",IF(G169="Permission Granted","Potential",IF(G169="Stalled or Suspended","Constrained / uncertain",IF(G169="Complete","Delivered","Application Pipeline"))))))))))))))</f>
        <v>Delivered</v>
      </c>
      <c r="AH169" s="2" t="str">
        <f aca="false">IF(Z169="No","Relationship: "&amp;Y169,IF(AF169&lt;&gt;"","Analyst: "&amp;AF169,IF(G169="Complete","Complete",IF(AND(OR(G169="Permission Granted",G169="Commencement Expected"),AE169="Yes"),"Past expiry",IF(AND(OR(G169="Permission Granted",G169="Commencement Expected"),AC169="Yes"),"No CIS update in "&amp;AB169&amp;" months","As CIS")))))</f>
        <v>Complete</v>
      </c>
      <c r="AI169" s="10" t="n">
        <f aca="false">IF(Z169="Yes",N(Q169),0)</f>
        <v>0</v>
      </c>
      <c r="AJ169" s="10" t="n">
        <f aca="false">IF(OR(Z169="No",G169="Complete"),0,MAX(N(Q169)-N(AA169),0))</f>
        <v>0</v>
      </c>
      <c r="AK169" s="10" t="n">
        <f aca="false">IF(Z169="No",0,IF(G169="Complete",N(Q169),MIN(N(AA169),N(Q169))))</f>
        <v>0</v>
      </c>
      <c r="AL169" s="10" t="n">
        <f aca="false">IF(OR(OR(AG169="Not counted",AG169="Excluded",AG169="Delivered"),P169="Student accommodation"),0,AJ169)</f>
        <v>0</v>
      </c>
      <c r="AM169" s="10" t="n">
        <f aca="false">IF(OR(OR(AG169="Not counted",AG169="Excluded",AG169="Delivered"),P169&lt;&gt;"Student accommodation"),0,AJ169)</f>
        <v>0</v>
      </c>
      <c r="AN169" s="10" t="n">
        <f aca="false">IF(OR(AG169="Not counted",AG169="Excluded",AG169="Delivered"),0,N(S169))</f>
        <v>0</v>
      </c>
      <c r="AO169" s="2" t="s">
        <v>1069</v>
      </c>
      <c r="AP169" s="10"/>
      <c r="AQ169" s="10"/>
      <c r="AR169" s="10"/>
      <c r="AS169" s="10"/>
      <c r="AT169" s="10"/>
      <c r="AU169" s="10"/>
      <c r="AV169" s="10" t="n">
        <f aca="false">N(AP169)+N(AQ169)+N(AR169)+N(AS169)+N(AT169)+N(AU169)</f>
        <v>0</v>
      </c>
      <c r="AW169" s="10"/>
      <c r="AX169" s="10"/>
      <c r="AY169" s="10"/>
      <c r="AZ169" s="2" t="s">
        <v>1651</v>
      </c>
      <c r="BA169" s="2" t="s">
        <v>1022</v>
      </c>
      <c r="BB169" s="2" t="s">
        <v>1650</v>
      </c>
      <c r="BC169" s="2" t="s">
        <v>1023</v>
      </c>
      <c r="BD169" s="2" t="s">
        <v>1024</v>
      </c>
      <c r="BE169" s="2"/>
      <c r="BF169" s="2" t="s">
        <v>1025</v>
      </c>
      <c r="BG169" s="22" t="n">
        <v>43797</v>
      </c>
      <c r="BH169" s="22" t="n">
        <v>44983</v>
      </c>
      <c r="BI169" s="2"/>
      <c r="BJ169" s="22" t="n">
        <v>44983</v>
      </c>
      <c r="BK169" s="2" t="n">
        <v>8</v>
      </c>
      <c r="BL169" s="2" t="n">
        <v>0</v>
      </c>
      <c r="BM169" s="2"/>
      <c r="BN169" s="2" t="s">
        <v>1652</v>
      </c>
      <c r="BO169" s="23" t="s">
        <v>1653</v>
      </c>
      <c r="BP169" s="2" t="n">
        <f aca="false">IF(OR(K169="",BG169=""),"",ROUND(BG169-K169,0))</f>
        <v>0</v>
      </c>
      <c r="BQ169" s="2" t="str">
        <f aca="false">IF(OR(N(BK169)=0,Q169=""),"Not recorded",IF(BK169=Q169,"Match","Differs"))</f>
        <v>Differs</v>
      </c>
      <c r="BR169" s="2" t="str">
        <f aca="false">IF(N169="No","Excluded (non-residential)",IF(BF169="No reference","Unverified – no reference",IF(BF169="Not in council register","Unverified – not in register (Part 8 / other)",IF(OR(BF169="Refused",BF169="Refused on appeal",BF169="Withdrawn",BF169="Invalid",BF169="Quashed"),IF(OR(G169="Complete",G169="On Site",G169="Part Complete"),"Conflict – register not live but CIS says built","Conflict – not live in register"),IF(AND(G169="Plans Submitted",OR(BF169="Granted",BF169="Granted on appeal")),"Stage out of date – now granted",IF(AND(G169&lt;&gt;"Plans Submitted",OR(BF169="Pending",BF169="Under appeal")),"Check – register still pending",IF(N(BL169)&gt;Method!$B$7,"Check – location differs",IF(AND(BP169&lt;&gt;"",ABS(N(BP169))&gt;60),"Consistent – decision date differs","Consistent"))))))))</f>
        <v>Consistent</v>
      </c>
      <c r="BS169" s="2"/>
      <c r="BT169" s="2"/>
      <c r="BU169" s="2"/>
      <c r="BV169" s="2"/>
      <c r="BW169" s="2"/>
      <c r="BX169" s="2"/>
    </row>
    <row r="170" customFormat="false" ht="15" hidden="false" customHeight="false" outlineLevel="0" collapsed="false">
      <c r="A170" s="2" t="n">
        <v>1134847</v>
      </c>
      <c r="B170" s="2" t="s">
        <v>230</v>
      </c>
      <c r="C170" s="2" t="s">
        <v>1654</v>
      </c>
      <c r="D170" s="2" t="s">
        <v>1655</v>
      </c>
      <c r="E170" s="2" t="s">
        <v>232</v>
      </c>
      <c r="F170" s="2" t="s">
        <v>140</v>
      </c>
      <c r="G170" s="2" t="s">
        <v>251</v>
      </c>
      <c r="H170" s="2" t="s">
        <v>1014</v>
      </c>
      <c r="I170" s="2" t="s">
        <v>1015</v>
      </c>
      <c r="J170" s="22" t="n">
        <v>44154</v>
      </c>
      <c r="K170" s="22" t="n">
        <v>44336</v>
      </c>
      <c r="L170" s="22" t="n">
        <v>45232.5274297454</v>
      </c>
      <c r="M170" s="2" t="s">
        <v>1016</v>
      </c>
      <c r="N170" s="2" t="s">
        <v>121</v>
      </c>
      <c r="O170" s="2"/>
      <c r="P170" s="2" t="s">
        <v>1017</v>
      </c>
      <c r="Q170" s="10" t="n">
        <v>66</v>
      </c>
      <c r="R170" s="10" t="n">
        <v>66</v>
      </c>
      <c r="S170" s="10"/>
      <c r="T170" s="2" t="s">
        <v>30</v>
      </c>
      <c r="U170" s="2"/>
      <c r="V170" s="2" t="s">
        <v>1080</v>
      </c>
      <c r="W170" s="2" t="s">
        <v>1020</v>
      </c>
      <c r="X170" s="7"/>
      <c r="Y170" s="2" t="str">
        <f aca="false">IF(X170&lt;&gt;"",X170,T170)</f>
        <v>Additional application on site</v>
      </c>
      <c r="Z170" s="2" t="str">
        <f aca="false">IF(OR(Y170="Primary",Y170="Additional phase",Y170="Additional application on site",Y170="Replaces earlier",Y170="Extension of duration (parent not in CIS)"),"Yes","No")</f>
        <v>Yes</v>
      </c>
      <c r="AA170" s="2"/>
      <c r="AB170" s="2" t="n">
        <f aca="false">IF(L170="","",ROUND((Method!$B$4-L170)/30.44,0))</f>
        <v>35</v>
      </c>
      <c r="AC170" s="2" t="str">
        <f aca="false">IF(AB170="","No",IF(AB170&gt;Method!$B$5,"Yes","No"))</f>
        <v>Yes</v>
      </c>
      <c r="AD170" s="22" t="n">
        <f aca="false">IF(BJ170&lt;&gt;"",BJ170,IF(K170&lt;&gt;"",EDATE(K170,60),""))</f>
        <v>46195</v>
      </c>
      <c r="AE170" s="2" t="str">
        <f aca="false">IF(AND(AD170&lt;&gt;"",OR(G170="Permission Granted",G170="Commencement Expected",G170="Stalled or Suspended")),IF(AD170&lt;Method!$B$4,"Yes","No"),"No")</f>
        <v>No</v>
      </c>
      <c r="AF170" s="7"/>
      <c r="AG170" s="2" t="str">
        <f aca="false">IF(Z170="No","Not counted",IF(AF170="Lapsed or dead","Excluded",IF(AF170="Constrained","Constrained / uncertain",IF(AF170="Confirmed live",IF(G170="On Site","Committed",IF(G170="Part Complete","Committed",IF(G170="Contract Awarded","Committed Pre-Construction",IF(G170="Tender","Advanced Pre-Construction",IF(G170="Commencement Expected","Likely",IF(G170="Permission Granted","Potential",IF(G170="Stalled or Suspended","Constrained / uncertain",IF(G170="Complete","Delivered","Application Pipeline")))))))),IF(G170="Complete","Delivered",IF(AND(OR(G170="Permission Granted",G170="Commencement Expected"),OR(AC170="Yes",AE170="Yes")),"Constrained / uncertain",IF(G170="On Site","Committed",IF(G170="Part Complete","Committed",IF(G170="Contract Awarded","Committed Pre-Construction",IF(G170="Tender","Advanced Pre-Construction",IF(G170="Commencement Expected","Likely",IF(G170="Permission Granted","Potential",IF(G170="Stalled or Suspended","Constrained / uncertain",IF(G170="Complete","Delivered","Application Pipeline"))))))))))))))</f>
        <v>Delivered</v>
      </c>
      <c r="AH170" s="2" t="str">
        <f aca="false">IF(Z170="No","Relationship: "&amp;Y170,IF(AF170&lt;&gt;"","Analyst: "&amp;AF170,IF(G170="Complete","Complete",IF(AND(OR(G170="Permission Granted",G170="Commencement Expected"),AE170="Yes"),"Past expiry",IF(AND(OR(G170="Permission Granted",G170="Commencement Expected"),AC170="Yes"),"No CIS update in "&amp;AB170&amp;" months","As CIS")))))</f>
        <v>Complete</v>
      </c>
      <c r="AI170" s="10" t="n">
        <f aca="false">IF(Z170="Yes",N(Q170),0)</f>
        <v>66</v>
      </c>
      <c r="AJ170" s="10" t="n">
        <f aca="false">IF(OR(Z170="No",G170="Complete"),0,MAX(N(Q170)-N(AA170),0))</f>
        <v>0</v>
      </c>
      <c r="AK170" s="10" t="n">
        <f aca="false">IF(Z170="No",0,IF(G170="Complete",N(Q170),MIN(N(AA170),N(Q170))))</f>
        <v>66</v>
      </c>
      <c r="AL170" s="10" t="n">
        <f aca="false">IF(OR(OR(AG170="Not counted",AG170="Excluded",AG170="Delivered"),P170="Student accommodation"),0,AJ170)</f>
        <v>0</v>
      </c>
      <c r="AM170" s="10" t="n">
        <f aca="false">IF(OR(OR(AG170="Not counted",AG170="Excluded",AG170="Delivered"),P170&lt;&gt;"Student accommodation"),0,AJ170)</f>
        <v>0</v>
      </c>
      <c r="AN170" s="10" t="n">
        <f aca="false">IF(OR(AG170="Not counted",AG170="Excluded",AG170="Delivered"),0,N(S170))</f>
        <v>0</v>
      </c>
      <c r="AO170" s="2" t="s">
        <v>1031</v>
      </c>
      <c r="AP170" s="10"/>
      <c r="AQ170" s="10" t="n">
        <v>18</v>
      </c>
      <c r="AR170" s="10" t="n">
        <v>21</v>
      </c>
      <c r="AS170" s="10" t="n">
        <v>27</v>
      </c>
      <c r="AT170" s="10"/>
      <c r="AU170" s="10"/>
      <c r="AV170" s="10" t="n">
        <f aca="false">N(AP170)+N(AQ170)+N(AR170)+N(AS170)+N(AT170)+N(AU170)</f>
        <v>66</v>
      </c>
      <c r="AW170" s="10" t="n">
        <v>39</v>
      </c>
      <c r="AX170" s="10" t="n">
        <v>27</v>
      </c>
      <c r="AY170" s="10"/>
      <c r="AZ170" s="2"/>
      <c r="BA170" s="2" t="s">
        <v>1022</v>
      </c>
      <c r="BB170" s="2" t="s">
        <v>1654</v>
      </c>
      <c r="BC170" s="2" t="s">
        <v>1023</v>
      </c>
      <c r="BD170" s="2" t="s">
        <v>1024</v>
      </c>
      <c r="BE170" s="2"/>
      <c r="BF170" s="2" t="s">
        <v>1025</v>
      </c>
      <c r="BG170" s="22" t="n">
        <v>44336</v>
      </c>
      <c r="BH170" s="22" t="n">
        <v>46195</v>
      </c>
      <c r="BI170" s="2"/>
      <c r="BJ170" s="22" t="n">
        <v>46195</v>
      </c>
      <c r="BK170" s="2" t="n">
        <v>35</v>
      </c>
      <c r="BL170" s="2" t="n">
        <v>0</v>
      </c>
      <c r="BM170" s="2"/>
      <c r="BN170" s="2" t="s">
        <v>1656</v>
      </c>
      <c r="BO170" s="23" t="s">
        <v>1657</v>
      </c>
      <c r="BP170" s="2" t="n">
        <f aca="false">IF(OR(K170="",BG170=""),"",ROUND(BG170-K170,0))</f>
        <v>0</v>
      </c>
      <c r="BQ170" s="2" t="str">
        <f aca="false">IF(OR(N(BK170)=0,Q170=""),"Not recorded",IF(BK170=Q170,"Match","Differs"))</f>
        <v>Differs</v>
      </c>
      <c r="BR170" s="2" t="str">
        <f aca="false">IF(N170="No","Excluded (non-residential)",IF(BF170="No reference","Unverified – no reference",IF(BF170="Not in council register","Unverified – not in register (Part 8 / other)",IF(OR(BF170="Refused",BF170="Refused on appeal",BF170="Withdrawn",BF170="Invalid",BF170="Quashed"),IF(OR(G170="Complete",G170="On Site",G170="Part Complete"),"Conflict – register not live but CIS says built","Conflict – not live in register"),IF(AND(G170="Plans Submitted",OR(BF170="Granted",BF170="Granted on appeal")),"Stage out of date – now granted",IF(AND(G170&lt;&gt;"Plans Submitted",OR(BF170="Pending",BF170="Under appeal")),"Check – register still pending",IF(N(BL170)&gt;Method!$B$7,"Check – location differs",IF(AND(BP170&lt;&gt;"",ABS(N(BP170))&gt;60),"Consistent – decision date differs","Consistent"))))))))</f>
        <v>Consistent</v>
      </c>
      <c r="BS170" s="2"/>
      <c r="BT170" s="2"/>
      <c r="BU170" s="2"/>
      <c r="BV170" s="2"/>
      <c r="BW170" s="2"/>
      <c r="BX170" s="2"/>
    </row>
    <row r="171" customFormat="false" ht="15" hidden="false" customHeight="false" outlineLevel="0" collapsed="false">
      <c r="A171" s="2" t="n">
        <v>1163125</v>
      </c>
      <c r="B171" s="2" t="s">
        <v>230</v>
      </c>
      <c r="C171" s="2" t="s">
        <v>1658</v>
      </c>
      <c r="D171" s="2" t="s">
        <v>1659</v>
      </c>
      <c r="E171" s="2" t="s">
        <v>1660</v>
      </c>
      <c r="F171" s="2" t="s">
        <v>140</v>
      </c>
      <c r="G171" s="2" t="s">
        <v>251</v>
      </c>
      <c r="H171" s="2" t="s">
        <v>1014</v>
      </c>
      <c r="I171" s="2" t="s">
        <v>1015</v>
      </c>
      <c r="J171" s="22" t="n">
        <v>44309</v>
      </c>
      <c r="K171" s="22" t="n">
        <v>44526</v>
      </c>
      <c r="L171" s="22" t="n">
        <v>44651.408875382</v>
      </c>
      <c r="M171" s="2" t="s">
        <v>1016</v>
      </c>
      <c r="N171" s="2" t="s">
        <v>121</v>
      </c>
      <c r="O171" s="2"/>
      <c r="P171" s="2" t="s">
        <v>1017</v>
      </c>
      <c r="Q171" s="10" t="n">
        <v>7</v>
      </c>
      <c r="R171" s="10" t="n">
        <v>4</v>
      </c>
      <c r="S171" s="10"/>
      <c r="T171" s="2" t="s">
        <v>30</v>
      </c>
      <c r="U171" s="2"/>
      <c r="V171" s="2" t="s">
        <v>1080</v>
      </c>
      <c r="W171" s="2" t="s">
        <v>1020</v>
      </c>
      <c r="X171" s="7"/>
      <c r="Y171" s="2" t="str">
        <f aca="false">IF(X171&lt;&gt;"",X171,T171)</f>
        <v>Additional application on site</v>
      </c>
      <c r="Z171" s="2" t="str">
        <f aca="false">IF(OR(Y171="Primary",Y171="Additional phase",Y171="Additional application on site",Y171="Replaces earlier",Y171="Extension of duration (parent not in CIS)"),"Yes","No")</f>
        <v>Yes</v>
      </c>
      <c r="AA171" s="2"/>
      <c r="AB171" s="2" t="n">
        <f aca="false">IF(L171="","",ROUND((Method!$B$4-L171)/30.44,0))</f>
        <v>54</v>
      </c>
      <c r="AC171" s="2" t="str">
        <f aca="false">IF(AB171="","No",IF(AB171&gt;Method!$B$5,"Yes","No"))</f>
        <v>Yes</v>
      </c>
      <c r="AD171" s="22" t="n">
        <f aca="false">IF(BJ171&lt;&gt;"",BJ171,IF(K171&lt;&gt;"",EDATE(K171,60),""))</f>
        <v>46399</v>
      </c>
      <c r="AE171" s="2" t="str">
        <f aca="false">IF(AND(AD171&lt;&gt;"",OR(G171="Permission Granted",G171="Commencement Expected",G171="Stalled or Suspended")),IF(AD171&lt;Method!$B$4,"Yes","No"),"No")</f>
        <v>No</v>
      </c>
      <c r="AF171" s="7"/>
      <c r="AG171" s="2" t="str">
        <f aca="false">IF(Z171="No","Not counted",IF(AF171="Lapsed or dead","Excluded",IF(AF171="Constrained","Constrained / uncertain",IF(AF171="Confirmed live",IF(G171="On Site","Committed",IF(G171="Part Complete","Committed",IF(G171="Contract Awarded","Committed Pre-Construction",IF(G171="Tender","Advanced Pre-Construction",IF(G171="Commencement Expected","Likely",IF(G171="Permission Granted","Potential",IF(G171="Stalled or Suspended","Constrained / uncertain",IF(G171="Complete","Delivered","Application Pipeline")))))))),IF(G171="Complete","Delivered",IF(AND(OR(G171="Permission Granted",G171="Commencement Expected"),OR(AC171="Yes",AE171="Yes")),"Constrained / uncertain",IF(G171="On Site","Committed",IF(G171="Part Complete","Committed",IF(G171="Contract Awarded","Committed Pre-Construction",IF(G171="Tender","Advanced Pre-Construction",IF(G171="Commencement Expected","Likely",IF(G171="Permission Granted","Potential",IF(G171="Stalled or Suspended","Constrained / uncertain",IF(G171="Complete","Delivered","Application Pipeline"))))))))))))))</f>
        <v>Delivered</v>
      </c>
      <c r="AH171" s="2" t="str">
        <f aca="false">IF(Z171="No","Relationship: "&amp;Y171,IF(AF171&lt;&gt;"","Analyst: "&amp;AF171,IF(G171="Complete","Complete",IF(AND(OR(G171="Permission Granted",G171="Commencement Expected"),AE171="Yes"),"Past expiry",IF(AND(OR(G171="Permission Granted",G171="Commencement Expected"),AC171="Yes"),"No CIS update in "&amp;AB171&amp;" months","As CIS")))))</f>
        <v>Complete</v>
      </c>
      <c r="AI171" s="10" t="n">
        <f aca="false">IF(Z171="Yes",N(Q171),0)</f>
        <v>7</v>
      </c>
      <c r="AJ171" s="10" t="n">
        <f aca="false">IF(OR(Z171="No",G171="Complete"),0,MAX(N(Q171)-N(AA171),0))</f>
        <v>0</v>
      </c>
      <c r="AK171" s="10" t="n">
        <f aca="false">IF(Z171="No",0,IF(G171="Complete",N(Q171),MIN(N(AA171),N(Q171))))</f>
        <v>7</v>
      </c>
      <c r="AL171" s="10" t="n">
        <f aca="false">IF(OR(OR(AG171="Not counted",AG171="Excluded",AG171="Delivered"),P171="Student accommodation"),0,AJ171)</f>
        <v>0</v>
      </c>
      <c r="AM171" s="10" t="n">
        <f aca="false">IF(OR(OR(AG171="Not counted",AG171="Excluded",AG171="Delivered"),P171&lt;&gt;"Student accommodation"),0,AJ171)</f>
        <v>0</v>
      </c>
      <c r="AN171" s="10" t="n">
        <f aca="false">IF(OR(AG171="Not counted",AG171="Excluded",AG171="Delivered"),0,N(S171))</f>
        <v>0</v>
      </c>
      <c r="AO171" s="2" t="s">
        <v>1031</v>
      </c>
      <c r="AP171" s="10"/>
      <c r="AQ171" s="10"/>
      <c r="AR171" s="10" t="n">
        <v>7</v>
      </c>
      <c r="AS171" s="10"/>
      <c r="AT171" s="10"/>
      <c r="AU171" s="10"/>
      <c r="AV171" s="10" t="n">
        <f aca="false">N(AP171)+N(AQ171)+N(AR171)+N(AS171)+N(AT171)+N(AU171)</f>
        <v>7</v>
      </c>
      <c r="AW171" s="10" t="n">
        <v>7</v>
      </c>
      <c r="AX171" s="10"/>
      <c r="AY171" s="10"/>
      <c r="AZ171" s="2"/>
      <c r="BA171" s="2" t="s">
        <v>1022</v>
      </c>
      <c r="BB171" s="2" t="s">
        <v>1658</v>
      </c>
      <c r="BC171" s="2" t="s">
        <v>1023</v>
      </c>
      <c r="BD171" s="2" t="s">
        <v>1024</v>
      </c>
      <c r="BE171" s="2"/>
      <c r="BF171" s="2" t="s">
        <v>1025</v>
      </c>
      <c r="BG171" s="22" t="n">
        <v>44526</v>
      </c>
      <c r="BH171" s="22" t="n">
        <v>46399</v>
      </c>
      <c r="BI171" s="2"/>
      <c r="BJ171" s="22" t="n">
        <v>46399</v>
      </c>
      <c r="BK171" s="2" t="n">
        <v>7</v>
      </c>
      <c r="BL171" s="2" t="n">
        <v>0</v>
      </c>
      <c r="BM171" s="2"/>
      <c r="BN171" s="2" t="s">
        <v>1661</v>
      </c>
      <c r="BO171" s="23" t="s">
        <v>1662</v>
      </c>
      <c r="BP171" s="2" t="n">
        <f aca="false">IF(OR(K171="",BG171=""),"",ROUND(BG171-K171,0))</f>
        <v>0</v>
      </c>
      <c r="BQ171" s="2" t="str">
        <f aca="false">IF(OR(N(BK171)=0,Q171=""),"Not recorded",IF(BK171=Q171,"Match","Differs"))</f>
        <v>Match</v>
      </c>
      <c r="BR171" s="2" t="str">
        <f aca="false">IF(N171="No","Excluded (non-residential)",IF(BF171="No reference","Unverified – no reference",IF(BF171="Not in council register","Unverified – not in register (Part 8 / other)",IF(OR(BF171="Refused",BF171="Refused on appeal",BF171="Withdrawn",BF171="Invalid",BF171="Quashed"),IF(OR(G171="Complete",G171="On Site",G171="Part Complete"),"Conflict – register not live but CIS says built","Conflict – not live in register"),IF(AND(G171="Plans Submitted",OR(BF171="Granted",BF171="Granted on appeal")),"Stage out of date – now granted",IF(AND(G171&lt;&gt;"Plans Submitted",OR(BF171="Pending",BF171="Under appeal")),"Check – register still pending",IF(N(BL171)&gt;Method!$B$7,"Check – location differs",IF(AND(BP171&lt;&gt;"",ABS(N(BP171))&gt;60),"Consistent – decision date differs","Consistent"))))))))</f>
        <v>Consistent</v>
      </c>
      <c r="BS171" s="2"/>
      <c r="BT171" s="2"/>
      <c r="BU171" s="2"/>
      <c r="BV171" s="2"/>
      <c r="BW171" s="2"/>
      <c r="BX171" s="2"/>
    </row>
    <row r="172" customFormat="false" ht="15" hidden="false" customHeight="false" outlineLevel="0" collapsed="false">
      <c r="A172" s="2" t="n">
        <v>1186980</v>
      </c>
      <c r="B172" s="2" t="s">
        <v>230</v>
      </c>
      <c r="C172" s="2" t="s">
        <v>1663</v>
      </c>
      <c r="D172" s="2" t="s">
        <v>1664</v>
      </c>
      <c r="E172" s="2" t="s">
        <v>232</v>
      </c>
      <c r="F172" s="2" t="s">
        <v>140</v>
      </c>
      <c r="G172" s="2" t="s">
        <v>198</v>
      </c>
      <c r="H172" s="2" t="s">
        <v>1014</v>
      </c>
      <c r="I172" s="2" t="s">
        <v>198</v>
      </c>
      <c r="J172" s="22" t="n">
        <v>44438</v>
      </c>
      <c r="K172" s="22" t="n">
        <v>45135</v>
      </c>
      <c r="L172" s="22" t="n">
        <v>45880.4835826736</v>
      </c>
      <c r="M172" s="2" t="s">
        <v>1016</v>
      </c>
      <c r="N172" s="2" t="s">
        <v>121</v>
      </c>
      <c r="O172" s="2"/>
      <c r="P172" s="2" t="s">
        <v>1017</v>
      </c>
      <c r="Q172" s="10" t="n">
        <v>101</v>
      </c>
      <c r="R172" s="10" t="n">
        <v>99</v>
      </c>
      <c r="S172" s="10"/>
      <c r="T172" s="2" t="s">
        <v>30</v>
      </c>
      <c r="U172" s="2"/>
      <c r="V172" s="2" t="s">
        <v>1080</v>
      </c>
      <c r="W172" s="2" t="s">
        <v>1020</v>
      </c>
      <c r="X172" s="7"/>
      <c r="Y172" s="2" t="str">
        <f aca="false">IF(X172&lt;&gt;"",X172,T172)</f>
        <v>Additional application on site</v>
      </c>
      <c r="Z172" s="2" t="str">
        <f aca="false">IF(OR(Y172="Primary",Y172="Additional phase",Y172="Additional application on site",Y172="Replaces earlier",Y172="Extension of duration (parent not in CIS)"),"Yes","No")</f>
        <v>Yes</v>
      </c>
      <c r="AA172" s="2"/>
      <c r="AB172" s="2" t="n">
        <f aca="false">IF(L172="","",ROUND((Method!$B$4-L172)/30.44,0))</f>
        <v>14</v>
      </c>
      <c r="AC172" s="2" t="str">
        <f aca="false">IF(AB172="","No",IF(AB172&gt;Method!$B$5,"Yes","No"))</f>
        <v>No</v>
      </c>
      <c r="AD172" s="22" t="n">
        <f aca="false">IF(BJ172&lt;&gt;"",BJ172,IF(K172&lt;&gt;"",EDATE(K172,60),""))</f>
        <v>46961</v>
      </c>
      <c r="AE172" s="2" t="str">
        <f aca="false">IF(AND(AD172&lt;&gt;"",OR(G172="Permission Granted",G172="Commencement Expected",G172="Stalled or Suspended")),IF(AD172&lt;Method!$B$4,"Yes","No"),"No")</f>
        <v>No</v>
      </c>
      <c r="AF172" s="7"/>
      <c r="AG172" s="2" t="str">
        <f aca="false">IF(Z172="No","Not counted",IF(AF172="Lapsed or dead","Excluded",IF(AF172="Constrained","Constrained / uncertain",IF(AF172="Confirmed live",IF(G172="On Site","Committed",IF(G172="Part Complete","Committed",IF(G172="Contract Awarded","Committed Pre-Construction",IF(G172="Tender","Advanced Pre-Construction",IF(G172="Commencement Expected","Likely",IF(G172="Permission Granted","Potential",IF(G172="Stalled or Suspended","Constrained / uncertain",IF(G172="Complete","Delivered","Application Pipeline")))))))),IF(G172="Complete","Delivered",IF(AND(OR(G172="Permission Granted",G172="Commencement Expected"),OR(AC172="Yes",AE172="Yes")),"Constrained / uncertain",IF(G172="On Site","Committed",IF(G172="Part Complete","Committed",IF(G172="Contract Awarded","Committed Pre-Construction",IF(G172="Tender","Advanced Pre-Construction",IF(G172="Commencement Expected","Likely",IF(G172="Permission Granted","Potential",IF(G172="Stalled or Suspended","Constrained / uncertain",IF(G172="Complete","Delivered","Application Pipeline"))))))))))))))</f>
        <v>Committed</v>
      </c>
      <c r="AH172" s="2" t="str">
        <f aca="false">IF(Z172="No","Relationship: "&amp;Y172,IF(AF172&lt;&gt;"","Analyst: "&amp;AF172,IF(G172="Complete","Complete",IF(AND(OR(G172="Permission Granted",G172="Commencement Expected"),AE172="Yes"),"Past expiry",IF(AND(OR(G172="Permission Granted",G172="Commencement Expected"),AC172="Yes"),"No CIS update in "&amp;AB172&amp;" months","As CIS")))))</f>
        <v>As CIS</v>
      </c>
      <c r="AI172" s="10" t="n">
        <f aca="false">IF(Z172="Yes",N(Q172),0)</f>
        <v>101</v>
      </c>
      <c r="AJ172" s="10" t="n">
        <f aca="false">IF(OR(Z172="No",G172="Complete"),0,MAX(N(Q172)-N(AA172),0))</f>
        <v>101</v>
      </c>
      <c r="AK172" s="10" t="n">
        <f aca="false">IF(Z172="No",0,IF(G172="Complete",N(Q172),MIN(N(AA172),N(Q172))))</f>
        <v>0</v>
      </c>
      <c r="AL172" s="10" t="n">
        <f aca="false">IF(OR(OR(AG172="Not counted",AG172="Excluded",AG172="Delivered"),P172="Student accommodation"),0,AJ172)</f>
        <v>101</v>
      </c>
      <c r="AM172" s="10" t="n">
        <f aca="false">IF(OR(OR(AG172="Not counted",AG172="Excluded",AG172="Delivered"),P172&lt;&gt;"Student accommodation"),0,AJ172)</f>
        <v>0</v>
      </c>
      <c r="AN172" s="10" t="n">
        <f aca="false">IF(OR(AG172="Not counted",AG172="Excluded",AG172="Delivered"),0,N(S172))</f>
        <v>0</v>
      </c>
      <c r="AO172" s="2" t="s">
        <v>1157</v>
      </c>
      <c r="AP172" s="10"/>
      <c r="AQ172" s="10" t="n">
        <v>19</v>
      </c>
      <c r="AR172" s="10" t="n">
        <v>32</v>
      </c>
      <c r="AS172" s="10" t="n">
        <v>46</v>
      </c>
      <c r="AT172" s="10" t="n">
        <v>4</v>
      </c>
      <c r="AU172" s="10"/>
      <c r="AV172" s="10" t="n">
        <f aca="false">N(AP172)+N(AQ172)+N(AR172)+N(AS172)+N(AT172)+N(AU172)</f>
        <v>101</v>
      </c>
      <c r="AW172" s="10" t="n">
        <v>50</v>
      </c>
      <c r="AX172" s="10" t="n">
        <v>51</v>
      </c>
      <c r="AY172" s="10"/>
      <c r="AZ172" s="2"/>
      <c r="BA172" s="2" t="s">
        <v>1022</v>
      </c>
      <c r="BB172" s="2" t="s">
        <v>1663</v>
      </c>
      <c r="BC172" s="2" t="s">
        <v>1023</v>
      </c>
      <c r="BD172" s="2" t="s">
        <v>1024</v>
      </c>
      <c r="BE172" s="2" t="s">
        <v>1024</v>
      </c>
      <c r="BF172" s="2" t="s">
        <v>1059</v>
      </c>
      <c r="BG172" s="22" t="n">
        <v>44764</v>
      </c>
      <c r="BH172" s="22" t="n">
        <v>46961</v>
      </c>
      <c r="BI172" s="2"/>
      <c r="BJ172" s="22" t="n">
        <v>46961</v>
      </c>
      <c r="BK172" s="2" t="n">
        <v>62</v>
      </c>
      <c r="BL172" s="2" t="n">
        <v>0</v>
      </c>
      <c r="BM172" s="2"/>
      <c r="BN172" s="2" t="s">
        <v>1665</v>
      </c>
      <c r="BO172" s="23" t="s">
        <v>1666</v>
      </c>
      <c r="BP172" s="2" t="n">
        <f aca="false">IF(OR(K172="",BG172=""),"",ROUND(BG172-K172,0))</f>
        <v>-371</v>
      </c>
      <c r="BQ172" s="2" t="str">
        <f aca="false">IF(OR(N(BK172)=0,Q172=""),"Not recorded",IF(BK172=Q172,"Match","Differs"))</f>
        <v>Differs</v>
      </c>
      <c r="BR172" s="2" t="str">
        <f aca="false">IF(N172="No","Excluded (non-residential)",IF(BF172="No reference","Unverified – no reference",IF(BF172="Not in council register","Unverified – not in register (Part 8 / other)",IF(OR(BF172="Refused",BF172="Refused on appeal",BF172="Withdrawn",BF172="Invalid",BF172="Quashed"),IF(OR(G172="Complete",G172="On Site",G172="Part Complete"),"Conflict – register not live but CIS says built","Conflict – not live in register"),IF(AND(G172="Plans Submitted",OR(BF172="Granted",BF172="Granted on appeal")),"Stage out of date – now granted",IF(AND(G172&lt;&gt;"Plans Submitted",OR(BF172="Pending",BF172="Under appeal")),"Check – register still pending",IF(N(BL172)&gt;Method!$B$7,"Check – location differs",IF(AND(BP172&lt;&gt;"",ABS(N(BP172))&gt;60),"Consistent – decision date differs","Consistent"))))))))</f>
        <v>Consistent – decision date differs</v>
      </c>
      <c r="BS172" s="2"/>
      <c r="BT172" s="2"/>
      <c r="BU172" s="2"/>
      <c r="BV172" s="2"/>
      <c r="BW172" s="2"/>
      <c r="BX172" s="2"/>
    </row>
    <row r="173" customFormat="false" ht="15" hidden="false" customHeight="false" outlineLevel="0" collapsed="false">
      <c r="A173" s="2" t="n">
        <v>1187172</v>
      </c>
      <c r="B173" s="2" t="s">
        <v>230</v>
      </c>
      <c r="C173" s="2" t="s">
        <v>1667</v>
      </c>
      <c r="D173" s="2" t="s">
        <v>1668</v>
      </c>
      <c r="E173" s="2" t="s">
        <v>232</v>
      </c>
      <c r="F173" s="2" t="s">
        <v>140</v>
      </c>
      <c r="G173" s="2" t="s">
        <v>208</v>
      </c>
      <c r="H173" s="2" t="s">
        <v>1014</v>
      </c>
      <c r="I173" s="2" t="s">
        <v>198</v>
      </c>
      <c r="J173" s="22" t="n">
        <v>44438</v>
      </c>
      <c r="K173" s="22" t="n">
        <v>45135</v>
      </c>
      <c r="L173" s="22" t="n">
        <v>46244.3039307523</v>
      </c>
      <c r="M173" s="2" t="s">
        <v>1016</v>
      </c>
      <c r="N173" s="2" t="s">
        <v>121</v>
      </c>
      <c r="O173" s="2"/>
      <c r="P173" s="2" t="s">
        <v>1017</v>
      </c>
      <c r="Q173" s="10" t="n">
        <v>99</v>
      </c>
      <c r="R173" s="10" t="n">
        <v>99</v>
      </c>
      <c r="S173" s="10"/>
      <c r="T173" s="2" t="s">
        <v>30</v>
      </c>
      <c r="U173" s="2"/>
      <c r="V173" s="2" t="s">
        <v>1080</v>
      </c>
      <c r="W173" s="2" t="s">
        <v>1020</v>
      </c>
      <c r="X173" s="7"/>
      <c r="Y173" s="2" t="str">
        <f aca="false">IF(X173&lt;&gt;"",X173,T173)</f>
        <v>Additional application on site</v>
      </c>
      <c r="Z173" s="2" t="str">
        <f aca="false">IF(OR(Y173="Primary",Y173="Additional phase",Y173="Additional application on site",Y173="Replaces earlier",Y173="Extension of duration (parent not in CIS)"),"Yes","No")</f>
        <v>Yes</v>
      </c>
      <c r="AA173" s="2" t="n">
        <v>6</v>
      </c>
      <c r="AB173" s="2" t="n">
        <f aca="false">IF(L173="","",ROUND((Method!$B$4-L173)/30.44,0))</f>
        <v>2</v>
      </c>
      <c r="AC173" s="2" t="str">
        <f aca="false">IF(AB173="","No",IF(AB173&gt;Method!$B$5,"Yes","No"))</f>
        <v>No</v>
      </c>
      <c r="AD173" s="22" t="n">
        <f aca="false">IF(BJ173&lt;&gt;"",BJ173,IF(K173&lt;&gt;"",EDATE(K173,60),""))</f>
        <v>46961</v>
      </c>
      <c r="AE173" s="2" t="str">
        <f aca="false">IF(AND(AD173&lt;&gt;"",OR(G173="Permission Granted",G173="Commencement Expected",G173="Stalled or Suspended")),IF(AD173&lt;Method!$B$4,"Yes","No"),"No")</f>
        <v>No</v>
      </c>
      <c r="AF173" s="7"/>
      <c r="AG173" s="2" t="str">
        <f aca="false">IF(Z173="No","Not counted",IF(AF173="Lapsed or dead","Excluded",IF(AF173="Constrained","Constrained / uncertain",IF(AF173="Confirmed live",IF(G173="On Site","Committed",IF(G173="Part Complete","Committed",IF(G173="Contract Awarded","Committed Pre-Construction",IF(G173="Tender","Advanced Pre-Construction",IF(G173="Commencement Expected","Likely",IF(G173="Permission Granted","Potential",IF(G173="Stalled or Suspended","Constrained / uncertain",IF(G173="Complete","Delivered","Application Pipeline")))))))),IF(G173="Complete","Delivered",IF(AND(OR(G173="Permission Granted",G173="Commencement Expected"),OR(AC173="Yes",AE173="Yes")),"Constrained / uncertain",IF(G173="On Site","Committed",IF(G173="Part Complete","Committed",IF(G173="Contract Awarded","Committed Pre-Construction",IF(G173="Tender","Advanced Pre-Construction",IF(G173="Commencement Expected","Likely",IF(G173="Permission Granted","Potential",IF(G173="Stalled or Suspended","Constrained / uncertain",IF(G173="Complete","Delivered","Application Pipeline"))))))))))))))</f>
        <v>Committed</v>
      </c>
      <c r="AH173" s="2" t="str">
        <f aca="false">IF(Z173="No","Relationship: "&amp;Y173,IF(AF173&lt;&gt;"","Analyst: "&amp;AF173,IF(G173="Complete","Complete",IF(AND(OR(G173="Permission Granted",G173="Commencement Expected"),AE173="Yes"),"Past expiry",IF(AND(OR(G173="Permission Granted",G173="Commencement Expected"),AC173="Yes"),"No CIS update in "&amp;AB173&amp;" months","As CIS")))))</f>
        <v>As CIS</v>
      </c>
      <c r="AI173" s="10" t="n">
        <f aca="false">IF(Z173="Yes",N(Q173),0)</f>
        <v>99</v>
      </c>
      <c r="AJ173" s="10" t="n">
        <f aca="false">IF(OR(Z173="No",G173="Complete"),0,MAX(N(Q173)-N(AA173),0))</f>
        <v>93</v>
      </c>
      <c r="AK173" s="10" t="n">
        <f aca="false">IF(Z173="No",0,IF(G173="Complete",N(Q173),MIN(N(AA173),N(Q173))))</f>
        <v>6</v>
      </c>
      <c r="AL173" s="10" t="n">
        <f aca="false">IF(OR(OR(AG173="Not counted",AG173="Excluded",AG173="Delivered"),P173="Student accommodation"),0,AJ173)</f>
        <v>93</v>
      </c>
      <c r="AM173" s="10" t="n">
        <f aca="false">IF(OR(OR(AG173="Not counted",AG173="Excluded",AG173="Delivered"),P173&lt;&gt;"Student accommodation"),0,AJ173)</f>
        <v>0</v>
      </c>
      <c r="AN173" s="10" t="n">
        <f aca="false">IF(OR(AG173="Not counted",AG173="Excluded",AG173="Delivered"),0,N(S173))</f>
        <v>0</v>
      </c>
      <c r="AO173" s="2" t="s">
        <v>1157</v>
      </c>
      <c r="AP173" s="10"/>
      <c r="AQ173" s="10" t="n">
        <v>19</v>
      </c>
      <c r="AR173" s="10" t="n">
        <v>32</v>
      </c>
      <c r="AS173" s="10" t="n">
        <v>44</v>
      </c>
      <c r="AT173" s="10" t="n">
        <v>4</v>
      </c>
      <c r="AU173" s="10"/>
      <c r="AV173" s="10" t="n">
        <f aca="false">N(AP173)+N(AQ173)+N(AR173)+N(AS173)+N(AT173)+N(AU173)</f>
        <v>99</v>
      </c>
      <c r="AW173" s="10" t="n">
        <v>48</v>
      </c>
      <c r="AX173" s="10" t="n">
        <v>51</v>
      </c>
      <c r="AY173" s="10"/>
      <c r="AZ173" s="2"/>
      <c r="BA173" s="2" t="s">
        <v>1022</v>
      </c>
      <c r="BB173" s="2" t="s">
        <v>1667</v>
      </c>
      <c r="BC173" s="2" t="s">
        <v>1023</v>
      </c>
      <c r="BD173" s="2" t="s">
        <v>1024</v>
      </c>
      <c r="BE173" s="2" t="s">
        <v>1024</v>
      </c>
      <c r="BF173" s="2" t="s">
        <v>1059</v>
      </c>
      <c r="BG173" s="22" t="n">
        <v>44764</v>
      </c>
      <c r="BH173" s="22" t="n">
        <v>46961</v>
      </c>
      <c r="BI173" s="2"/>
      <c r="BJ173" s="22" t="n">
        <v>46961</v>
      </c>
      <c r="BK173" s="2" t="n">
        <v>72</v>
      </c>
      <c r="BL173" s="2" t="n">
        <v>0</v>
      </c>
      <c r="BM173" s="2"/>
      <c r="BN173" s="2" t="s">
        <v>1669</v>
      </c>
      <c r="BO173" s="23" t="s">
        <v>1670</v>
      </c>
      <c r="BP173" s="2" t="n">
        <f aca="false">IF(OR(K173="",BG173=""),"",ROUND(BG173-K173,0))</f>
        <v>-371</v>
      </c>
      <c r="BQ173" s="2" t="str">
        <f aca="false">IF(OR(N(BK173)=0,Q173=""),"Not recorded",IF(BK173=Q173,"Match","Differs"))</f>
        <v>Differs</v>
      </c>
      <c r="BR173" s="2" t="str">
        <f aca="false">IF(N173="No","Excluded (non-residential)",IF(BF173="No reference","Unverified – no reference",IF(BF173="Not in council register","Unverified – not in register (Part 8 / other)",IF(OR(BF173="Refused",BF173="Refused on appeal",BF173="Withdrawn",BF173="Invalid",BF173="Quashed"),IF(OR(G173="Complete",G173="On Site",G173="Part Complete"),"Conflict – register not live but CIS says built","Conflict – not live in register"),IF(AND(G173="Plans Submitted",OR(BF173="Granted",BF173="Granted on appeal")),"Stage out of date – now granted",IF(AND(G173&lt;&gt;"Plans Submitted",OR(BF173="Pending",BF173="Under appeal")),"Check – register still pending",IF(N(BL173)&gt;Method!$B$7,"Check – location differs",IF(AND(BP173&lt;&gt;"",ABS(N(BP173))&gt;60),"Consistent – decision date differs","Consistent"))))))))</f>
        <v>Consistent – decision date differs</v>
      </c>
      <c r="BS173" s="2"/>
      <c r="BT173" s="2"/>
      <c r="BU173" s="2"/>
      <c r="BV173" s="2"/>
      <c r="BW173" s="2"/>
      <c r="BX173" s="2"/>
    </row>
    <row r="174" customFormat="false" ht="15" hidden="false" customHeight="false" outlineLevel="0" collapsed="false">
      <c r="A174" s="2" t="n">
        <v>1351058</v>
      </c>
      <c r="B174" s="2" t="s">
        <v>230</v>
      </c>
      <c r="C174" s="2" t="s">
        <v>1671</v>
      </c>
      <c r="D174" s="2" t="s">
        <v>1672</v>
      </c>
      <c r="E174" s="2" t="s">
        <v>232</v>
      </c>
      <c r="F174" s="2" t="s">
        <v>140</v>
      </c>
      <c r="G174" s="2" t="s">
        <v>251</v>
      </c>
      <c r="H174" s="2" t="s">
        <v>1014</v>
      </c>
      <c r="I174" s="2" t="s">
        <v>1015</v>
      </c>
      <c r="J174" s="22" t="n">
        <v>45454</v>
      </c>
      <c r="K174" s="22" t="n">
        <v>45573</v>
      </c>
      <c r="L174" s="22" t="n">
        <v>46181.412840706</v>
      </c>
      <c r="M174" s="2" t="s">
        <v>1016</v>
      </c>
      <c r="N174" s="2" t="s">
        <v>121</v>
      </c>
      <c r="O174" s="2"/>
      <c r="P174" s="2" t="s">
        <v>1017</v>
      </c>
      <c r="Q174" s="10" t="n">
        <v>7</v>
      </c>
      <c r="R174" s="10" t="n">
        <v>7</v>
      </c>
      <c r="S174" s="10"/>
      <c r="T174" s="2" t="s">
        <v>26</v>
      </c>
      <c r="U174" s="2" t="s">
        <v>1663</v>
      </c>
      <c r="V174" s="2" t="s">
        <v>1673</v>
      </c>
      <c r="W174" s="2" t="s">
        <v>1498</v>
      </c>
      <c r="X174" s="7"/>
      <c r="Y174" s="2" t="str">
        <f aca="false">IF(X174&lt;&gt;"",X174,T174)</f>
        <v>Amendment within parent</v>
      </c>
      <c r="Z174" s="2" t="str">
        <f aca="false">IF(OR(Y174="Primary",Y174="Additional phase",Y174="Additional application on site",Y174="Replaces earlier",Y174="Extension of duration (parent not in CIS)"),"Yes","No")</f>
        <v>No</v>
      </c>
      <c r="AA174" s="2"/>
      <c r="AB174" s="2" t="n">
        <f aca="false">IF(L174="","",ROUND((Method!$B$4-L174)/30.44,0))</f>
        <v>4</v>
      </c>
      <c r="AC174" s="2" t="str">
        <f aca="false">IF(AB174="","No",IF(AB174&gt;Method!$B$5,"Yes","No"))</f>
        <v>No</v>
      </c>
      <c r="AD174" s="22" t="n">
        <f aca="false">IF(BJ174&lt;&gt;"",BJ174,IF(K174&lt;&gt;"",EDATE(K174,60),""))</f>
        <v>47433</v>
      </c>
      <c r="AE174" s="2" t="str">
        <f aca="false">IF(AND(AD174&lt;&gt;"",OR(G174="Permission Granted",G174="Commencement Expected",G174="Stalled or Suspended")),IF(AD174&lt;Method!$B$4,"Yes","No"),"No")</f>
        <v>No</v>
      </c>
      <c r="AF174" s="7"/>
      <c r="AG174" s="2" t="str">
        <f aca="false">IF(Z174="No","Not counted",IF(AF174="Lapsed or dead","Excluded",IF(AF174="Constrained","Constrained / uncertain",IF(AF174="Confirmed live",IF(G174="On Site","Committed",IF(G174="Part Complete","Committed",IF(G174="Contract Awarded","Committed Pre-Construction",IF(G174="Tender","Advanced Pre-Construction",IF(G174="Commencement Expected","Likely",IF(G174="Permission Granted","Potential",IF(G174="Stalled or Suspended","Constrained / uncertain",IF(G174="Complete","Delivered","Application Pipeline")))))))),IF(G174="Complete","Delivered",IF(AND(OR(G174="Permission Granted",G174="Commencement Expected"),OR(AC174="Yes",AE174="Yes")),"Constrained / uncertain",IF(G174="On Site","Committed",IF(G174="Part Complete","Committed",IF(G174="Contract Awarded","Committed Pre-Construction",IF(G174="Tender","Advanced Pre-Construction",IF(G174="Commencement Expected","Likely",IF(G174="Permission Granted","Potential",IF(G174="Stalled or Suspended","Constrained / uncertain",IF(G174="Complete","Delivered","Application Pipeline"))))))))))))))</f>
        <v>Not counted</v>
      </c>
      <c r="AH174" s="2" t="str">
        <f aca="false">IF(Z174="No","Relationship: "&amp;Y174,IF(AF174&lt;&gt;"","Analyst: "&amp;AF174,IF(G174="Complete","Complete",IF(AND(OR(G174="Permission Granted",G174="Commencement Expected"),AE174="Yes"),"Past expiry",IF(AND(OR(G174="Permission Granted",G174="Commencement Expected"),AC174="Yes"),"No CIS update in "&amp;AB174&amp;" months","As CIS")))))</f>
        <v>Relationship: Amendment within parent</v>
      </c>
      <c r="AI174" s="10" t="n">
        <f aca="false">IF(Z174="Yes",N(Q174),0)</f>
        <v>0</v>
      </c>
      <c r="AJ174" s="10" t="n">
        <f aca="false">IF(OR(Z174="No",G174="Complete"),0,MAX(N(Q174)-N(AA174),0))</f>
        <v>0</v>
      </c>
      <c r="AK174" s="10" t="n">
        <f aca="false">IF(Z174="No",0,IF(G174="Complete",N(Q174),MIN(N(AA174),N(Q174))))</f>
        <v>0</v>
      </c>
      <c r="AL174" s="10" t="n">
        <f aca="false">IF(OR(OR(AG174="Not counted",AG174="Excluded",AG174="Delivered"),P174="Student accommodation"),0,AJ174)</f>
        <v>0</v>
      </c>
      <c r="AM174" s="10" t="n">
        <f aca="false">IF(OR(OR(AG174="Not counted",AG174="Excluded",AG174="Delivered"),P174&lt;&gt;"Student accommodation"),0,AJ174)</f>
        <v>0</v>
      </c>
      <c r="AN174" s="10" t="n">
        <f aca="false">IF(OR(AG174="Not counted",AG174="Excluded",AG174="Delivered"),0,N(S174))</f>
        <v>0</v>
      </c>
      <c r="AO174" s="2" t="s">
        <v>1021</v>
      </c>
      <c r="AP174" s="10"/>
      <c r="AQ174" s="10"/>
      <c r="AR174" s="10"/>
      <c r="AS174" s="10"/>
      <c r="AT174" s="10"/>
      <c r="AU174" s="10"/>
      <c r="AV174" s="10" t="n">
        <f aca="false">N(AP174)+N(AQ174)+N(AR174)+N(AS174)+N(AT174)+N(AU174)</f>
        <v>0</v>
      </c>
      <c r="AW174" s="10"/>
      <c r="AX174" s="10"/>
      <c r="AY174" s="10"/>
      <c r="AZ174" s="2"/>
      <c r="BA174" s="2" t="s">
        <v>1022</v>
      </c>
      <c r="BB174" s="2" t="s">
        <v>1671</v>
      </c>
      <c r="BC174" s="2" t="s">
        <v>1023</v>
      </c>
      <c r="BD174" s="2" t="s">
        <v>1024</v>
      </c>
      <c r="BE174" s="2"/>
      <c r="BF174" s="2" t="s">
        <v>1025</v>
      </c>
      <c r="BG174" s="22" t="n">
        <v>45573</v>
      </c>
      <c r="BH174" s="22" t="n">
        <v>47433</v>
      </c>
      <c r="BI174" s="2"/>
      <c r="BJ174" s="22" t="n">
        <v>47433</v>
      </c>
      <c r="BK174" s="2" t="n">
        <v>7</v>
      </c>
      <c r="BL174" s="2" t="n">
        <v>0</v>
      </c>
      <c r="BM174" s="2"/>
      <c r="BN174" s="24" t="s">
        <v>1674</v>
      </c>
      <c r="BO174" s="23" t="s">
        <v>1675</v>
      </c>
      <c r="BP174" s="2" t="n">
        <f aca="false">IF(OR(K174="",BG174=""),"",ROUND(BG174-K174,0))</f>
        <v>0</v>
      </c>
      <c r="BQ174" s="2" t="str">
        <f aca="false">IF(OR(N(BK174)=0,Q174=""),"Not recorded",IF(BK174=Q174,"Match","Differs"))</f>
        <v>Match</v>
      </c>
      <c r="BR174" s="2" t="str">
        <f aca="false">IF(N174="No","Excluded (non-residential)",IF(BF174="No reference","Unverified – no reference",IF(BF174="Not in council register","Unverified – not in register (Part 8 / other)",IF(OR(BF174="Refused",BF174="Refused on appeal",BF174="Withdrawn",BF174="Invalid",BF174="Quashed"),IF(OR(G174="Complete",G174="On Site",G174="Part Complete"),"Conflict – register not live but CIS says built","Conflict – not live in register"),IF(AND(G174="Plans Submitted",OR(BF174="Granted",BF174="Granted on appeal")),"Stage out of date – now granted",IF(AND(G174&lt;&gt;"Plans Submitted",OR(BF174="Pending",BF174="Under appeal")),"Check – register still pending",IF(N(BL174)&gt;Method!$B$7,"Check – location differs",IF(AND(BP174&lt;&gt;"",ABS(N(BP174))&gt;60),"Consistent – decision date differs","Consistent"))))))))</f>
        <v>Consistent</v>
      </c>
      <c r="BS174" s="2"/>
      <c r="BT174" s="2"/>
      <c r="BU174" s="2"/>
      <c r="BV174" s="2"/>
      <c r="BW174" s="2"/>
      <c r="BX174" s="2"/>
    </row>
    <row r="175" customFormat="false" ht="15" hidden="false" customHeight="false" outlineLevel="0" collapsed="false">
      <c r="A175" s="2" t="n">
        <v>1072840</v>
      </c>
      <c r="B175" s="2" t="s">
        <v>484</v>
      </c>
      <c r="C175" s="2" t="s">
        <v>1676</v>
      </c>
      <c r="D175" s="2" t="s">
        <v>485</v>
      </c>
      <c r="E175" s="2" t="s">
        <v>486</v>
      </c>
      <c r="F175" s="2" t="s">
        <v>139</v>
      </c>
      <c r="G175" s="2" t="s">
        <v>198</v>
      </c>
      <c r="H175" s="2" t="s">
        <v>1014</v>
      </c>
      <c r="I175" s="2" t="s">
        <v>198</v>
      </c>
      <c r="J175" s="22" t="n">
        <v>43756</v>
      </c>
      <c r="K175" s="22" t="n">
        <v>43966</v>
      </c>
      <c r="L175" s="22" t="n">
        <v>45405.4614979514</v>
      </c>
      <c r="M175" s="2" t="s">
        <v>1016</v>
      </c>
      <c r="N175" s="2" t="s">
        <v>121</v>
      </c>
      <c r="O175" s="2"/>
      <c r="P175" s="2" t="s">
        <v>1017</v>
      </c>
      <c r="Q175" s="10" t="n">
        <v>8</v>
      </c>
      <c r="R175" s="10" t="n">
        <v>6</v>
      </c>
      <c r="S175" s="10"/>
      <c r="T175" s="2" t="s">
        <v>120</v>
      </c>
      <c r="U175" s="2"/>
      <c r="V175" s="2" t="s">
        <v>1029</v>
      </c>
      <c r="W175" s="2" t="s">
        <v>1030</v>
      </c>
      <c r="X175" s="7"/>
      <c r="Y175" s="2" t="str">
        <f aca="false">IF(X175&lt;&gt;"",X175,T175)</f>
        <v>Primary</v>
      </c>
      <c r="Z175" s="2" t="str">
        <f aca="false">IF(OR(Y175="Primary",Y175="Additional phase",Y175="Additional application on site",Y175="Replaces earlier",Y175="Extension of duration (parent not in CIS)"),"Yes","No")</f>
        <v>Yes</v>
      </c>
      <c r="AA175" s="2"/>
      <c r="AB175" s="2" t="n">
        <f aca="false">IF(L175="","",ROUND((Method!$B$4-L175)/30.44,0))</f>
        <v>29</v>
      </c>
      <c r="AC175" s="2" t="str">
        <f aca="false">IF(AB175="","No",IF(AB175&gt;Method!$B$5,"Yes","No"))</f>
        <v>Yes</v>
      </c>
      <c r="AD175" s="22" t="n">
        <f aca="false">IF(BJ175&lt;&gt;"",BJ175,IF(K175&lt;&gt;"",EDATE(K175,60),""))</f>
        <v>45942</v>
      </c>
      <c r="AE175" s="2" t="str">
        <f aca="false">IF(AND(AD175&lt;&gt;"",OR(G175="Permission Granted",G175="Commencement Expected",G175="Stalled or Suspended")),IF(AD175&lt;Method!$B$4,"Yes","No"),"No")</f>
        <v>No</v>
      </c>
      <c r="AF175" s="7"/>
      <c r="AG175" s="2" t="str">
        <f aca="false">IF(Z175="No","Not counted",IF(AF175="Lapsed or dead","Excluded",IF(AF175="Constrained","Constrained / uncertain",IF(AF175="Confirmed live",IF(G175="On Site","Committed",IF(G175="Part Complete","Committed",IF(G175="Contract Awarded","Committed Pre-Construction",IF(G175="Tender","Advanced Pre-Construction",IF(G175="Commencement Expected","Likely",IF(G175="Permission Granted","Potential",IF(G175="Stalled or Suspended","Constrained / uncertain",IF(G175="Complete","Delivered","Application Pipeline")))))))),IF(G175="Complete","Delivered",IF(AND(OR(G175="Permission Granted",G175="Commencement Expected"),OR(AC175="Yes",AE175="Yes")),"Constrained / uncertain",IF(G175="On Site","Committed",IF(G175="Part Complete","Committed",IF(G175="Contract Awarded","Committed Pre-Construction",IF(G175="Tender","Advanced Pre-Construction",IF(G175="Commencement Expected","Likely",IF(G175="Permission Granted","Potential",IF(G175="Stalled or Suspended","Constrained / uncertain",IF(G175="Complete","Delivered","Application Pipeline"))))))))))))))</f>
        <v>Committed</v>
      </c>
      <c r="AH175" s="2" t="str">
        <f aca="false">IF(Z175="No","Relationship: "&amp;Y175,IF(AF175&lt;&gt;"","Analyst: "&amp;AF175,IF(G175="Complete","Complete",IF(AND(OR(G175="Permission Granted",G175="Commencement Expected"),AE175="Yes"),"Past expiry",IF(AND(OR(G175="Permission Granted",G175="Commencement Expected"),AC175="Yes"),"No CIS update in "&amp;AB175&amp;" months","As CIS")))))</f>
        <v>As CIS</v>
      </c>
      <c r="AI175" s="10" t="n">
        <f aca="false">IF(Z175="Yes",N(Q175),0)</f>
        <v>8</v>
      </c>
      <c r="AJ175" s="10" t="n">
        <f aca="false">IF(OR(Z175="No",G175="Complete"),0,MAX(N(Q175)-N(AA175),0))</f>
        <v>8</v>
      </c>
      <c r="AK175" s="10" t="n">
        <f aca="false">IF(Z175="No",0,IF(G175="Complete",N(Q175),MIN(N(AA175),N(Q175))))</f>
        <v>0</v>
      </c>
      <c r="AL175" s="10" t="n">
        <f aca="false">IF(OR(OR(AG175="Not counted",AG175="Excluded",AG175="Delivered"),P175="Student accommodation"),0,AJ175)</f>
        <v>8</v>
      </c>
      <c r="AM175" s="10" t="n">
        <f aca="false">IF(OR(OR(AG175="Not counted",AG175="Excluded",AG175="Delivered"),P175&lt;&gt;"Student accommodation"),0,AJ175)</f>
        <v>0</v>
      </c>
      <c r="AN175" s="10" t="n">
        <f aca="false">IF(OR(AG175="Not counted",AG175="Excluded",AG175="Delivered"),0,N(S175))</f>
        <v>0</v>
      </c>
      <c r="AO175" s="2" t="s">
        <v>1021</v>
      </c>
      <c r="AP175" s="10"/>
      <c r="AQ175" s="10"/>
      <c r="AR175" s="10"/>
      <c r="AS175" s="10"/>
      <c r="AT175" s="10"/>
      <c r="AU175" s="10"/>
      <c r="AV175" s="10" t="n">
        <f aca="false">N(AP175)+N(AQ175)+N(AR175)+N(AS175)+N(AT175)+N(AU175)</f>
        <v>0</v>
      </c>
      <c r="AW175" s="10"/>
      <c r="AX175" s="10"/>
      <c r="AY175" s="10"/>
      <c r="AZ175" s="2"/>
      <c r="BA175" s="2" t="s">
        <v>1022</v>
      </c>
      <c r="BB175" s="2" t="s">
        <v>1676</v>
      </c>
      <c r="BC175" s="2" t="s">
        <v>1023</v>
      </c>
      <c r="BD175" s="2" t="s">
        <v>1024</v>
      </c>
      <c r="BE175" s="2" t="s">
        <v>1024</v>
      </c>
      <c r="BF175" s="2" t="s">
        <v>1059</v>
      </c>
      <c r="BG175" s="22" t="n">
        <v>43966</v>
      </c>
      <c r="BH175" s="22" t="n">
        <v>45942</v>
      </c>
      <c r="BI175" s="2"/>
      <c r="BJ175" s="22" t="n">
        <v>45942</v>
      </c>
      <c r="BK175" s="2" t="n">
        <v>6</v>
      </c>
      <c r="BL175" s="2" t="n">
        <v>0</v>
      </c>
      <c r="BM175" s="2"/>
      <c r="BN175" s="2" t="s">
        <v>1677</v>
      </c>
      <c r="BO175" s="23" t="s">
        <v>1678</v>
      </c>
      <c r="BP175" s="2" t="n">
        <f aca="false">IF(OR(K175="",BG175=""),"",ROUND(BG175-K175,0))</f>
        <v>0</v>
      </c>
      <c r="BQ175" s="2" t="str">
        <f aca="false">IF(OR(N(BK175)=0,Q175=""),"Not recorded",IF(BK175=Q175,"Match","Differs"))</f>
        <v>Differs</v>
      </c>
      <c r="BR175" s="2" t="str">
        <f aca="false">IF(N175="No","Excluded (non-residential)",IF(BF175="No reference","Unverified – no reference",IF(BF175="Not in council register","Unverified – not in register (Part 8 / other)",IF(OR(BF175="Refused",BF175="Refused on appeal",BF175="Withdrawn",BF175="Invalid",BF175="Quashed"),IF(OR(G175="Complete",G175="On Site",G175="Part Complete"),"Conflict – register not live but CIS says built","Conflict – not live in register"),IF(AND(G175="Plans Submitted",OR(BF175="Granted",BF175="Granted on appeal")),"Stage out of date – now granted",IF(AND(G175&lt;&gt;"Plans Submitted",OR(BF175="Pending",BF175="Under appeal")),"Check – register still pending",IF(N(BL175)&gt;Method!$B$7,"Check – location differs",IF(AND(BP175&lt;&gt;"",ABS(N(BP175))&gt;60),"Consistent – decision date differs","Consistent"))))))))</f>
        <v>Consistent</v>
      </c>
      <c r="BS175" s="2"/>
      <c r="BT175" s="2"/>
      <c r="BU175" s="2"/>
      <c r="BV175" s="2"/>
      <c r="BW175" s="2"/>
      <c r="BX175" s="2"/>
    </row>
    <row r="176" customFormat="false" ht="15" hidden="false" customHeight="false" outlineLevel="0" collapsed="false">
      <c r="A176" s="2" t="n">
        <v>1075116</v>
      </c>
      <c r="B176" s="2" t="s">
        <v>484</v>
      </c>
      <c r="C176" s="2" t="s">
        <v>1679</v>
      </c>
      <c r="D176" s="2" t="s">
        <v>1680</v>
      </c>
      <c r="E176" s="2" t="s">
        <v>486</v>
      </c>
      <c r="F176" s="2" t="s">
        <v>139</v>
      </c>
      <c r="G176" s="2" t="s">
        <v>187</v>
      </c>
      <c r="H176" s="2" t="s">
        <v>1014</v>
      </c>
      <c r="I176" s="2"/>
      <c r="J176" s="22" t="n">
        <v>43775</v>
      </c>
      <c r="K176" s="22" t="n">
        <v>43868</v>
      </c>
      <c r="L176" s="22" t="n">
        <v>43914.34214375</v>
      </c>
      <c r="M176" s="2" t="s">
        <v>1016</v>
      </c>
      <c r="N176" s="2" t="s">
        <v>121</v>
      </c>
      <c r="O176" s="2"/>
      <c r="P176" s="2" t="s">
        <v>1017</v>
      </c>
      <c r="Q176" s="10" t="n">
        <v>12</v>
      </c>
      <c r="R176" s="10"/>
      <c r="S176" s="10"/>
      <c r="T176" s="2" t="s">
        <v>122</v>
      </c>
      <c r="U176" s="2" t="s">
        <v>1681</v>
      </c>
      <c r="V176" s="2" t="s">
        <v>1019</v>
      </c>
      <c r="W176" s="2" t="s">
        <v>1020</v>
      </c>
      <c r="X176" s="7"/>
      <c r="Y176" s="2" t="str">
        <f aca="false">IF(X176&lt;&gt;"",X176,T176)</f>
        <v>Extension of duration (parent not in CIS)</v>
      </c>
      <c r="Z176" s="2" t="str">
        <f aca="false">IF(OR(Y176="Primary",Y176="Additional phase",Y176="Additional application on site",Y176="Replaces earlier",Y176="Extension of duration (parent not in CIS)"),"Yes","No")</f>
        <v>Yes</v>
      </c>
      <c r="AA176" s="2"/>
      <c r="AB176" s="2" t="n">
        <f aca="false">IF(L176="","",ROUND((Method!$B$4-L176)/30.44,0))</f>
        <v>78</v>
      </c>
      <c r="AC176" s="2" t="str">
        <f aca="false">IF(AB176="","No",IF(AB176&gt;Method!$B$5,"Yes","No"))</f>
        <v>Yes</v>
      </c>
      <c r="AD176" s="22" t="n">
        <f aca="false">IF(BJ176&lt;&gt;"",BJ176,IF(K176&lt;&gt;"",EDATE(K176,60),""))</f>
        <v>45627</v>
      </c>
      <c r="AE176" s="2" t="str">
        <f aca="false">IF(AND(AD176&lt;&gt;"",OR(G176="Permission Granted",G176="Commencement Expected",G176="Stalled or Suspended")),IF(AD176&lt;Method!$B$4,"Yes","No"),"No")</f>
        <v>Yes</v>
      </c>
      <c r="AF176" s="7"/>
      <c r="AG176" s="2" t="str">
        <f aca="false">IF(Z176="No","Not counted",IF(AF176="Lapsed or dead","Excluded",IF(AF176="Constrained","Constrained / uncertain",IF(AF176="Confirmed live",IF(G176="On Site","Committed",IF(G176="Part Complete","Committed",IF(G176="Contract Awarded","Committed Pre-Construction",IF(G176="Tender","Advanced Pre-Construction",IF(G176="Commencement Expected","Likely",IF(G176="Permission Granted","Potential",IF(G176="Stalled or Suspended","Constrained / uncertain",IF(G176="Complete","Delivered","Application Pipeline")))))))),IF(G176="Complete","Delivered",IF(AND(OR(G176="Permission Granted",G176="Commencement Expected"),OR(AC176="Yes",AE176="Yes")),"Constrained / uncertain",IF(G176="On Site","Committed",IF(G176="Part Complete","Committed",IF(G176="Contract Awarded","Committed Pre-Construction",IF(G176="Tender","Advanced Pre-Construction",IF(G176="Commencement Expected","Likely",IF(G176="Permission Granted","Potential",IF(G176="Stalled or Suspended","Constrained / uncertain",IF(G176="Complete","Delivered","Application Pipeline"))))))))))))))</f>
        <v>Constrained / uncertain</v>
      </c>
      <c r="AH176" s="2" t="str">
        <f aca="false">IF(Z176="No","Relationship: "&amp;Y176,IF(AF176&lt;&gt;"","Analyst: "&amp;AF176,IF(G176="Complete","Complete",IF(AND(OR(G176="Permission Granted",G176="Commencement Expected"),AE176="Yes"),"Past expiry",IF(AND(OR(G176="Permission Granted",G176="Commencement Expected"),AC176="Yes"),"No CIS update in "&amp;AB176&amp;" months","As CIS")))))</f>
        <v>Past expiry</v>
      </c>
      <c r="AI176" s="10" t="n">
        <f aca="false">IF(Z176="Yes",N(Q176),0)</f>
        <v>12</v>
      </c>
      <c r="AJ176" s="10" t="n">
        <f aca="false">IF(OR(Z176="No",G176="Complete"),0,MAX(N(Q176)-N(AA176),0))</f>
        <v>12</v>
      </c>
      <c r="AK176" s="10" t="n">
        <f aca="false">IF(Z176="No",0,IF(G176="Complete",N(Q176),MIN(N(AA176),N(Q176))))</f>
        <v>0</v>
      </c>
      <c r="AL176" s="10" t="n">
        <f aca="false">IF(OR(OR(AG176="Not counted",AG176="Excluded",AG176="Delivered"),P176="Student accommodation"),0,AJ176)</f>
        <v>12</v>
      </c>
      <c r="AM176" s="10" t="n">
        <f aca="false">IF(OR(OR(AG176="Not counted",AG176="Excluded",AG176="Delivered"),P176&lt;&gt;"Student accommodation"),0,AJ176)</f>
        <v>0</v>
      </c>
      <c r="AN176" s="10" t="n">
        <f aca="false">IF(OR(AG176="Not counted",AG176="Excluded",AG176="Delivered"),0,N(S176))</f>
        <v>0</v>
      </c>
      <c r="AO176" s="2" t="s">
        <v>1021</v>
      </c>
      <c r="AP176" s="10"/>
      <c r="AQ176" s="10"/>
      <c r="AR176" s="10"/>
      <c r="AS176" s="10"/>
      <c r="AT176" s="10"/>
      <c r="AU176" s="10"/>
      <c r="AV176" s="10" t="n">
        <f aca="false">N(AP176)+N(AQ176)+N(AR176)+N(AS176)+N(AT176)+N(AU176)</f>
        <v>0</v>
      </c>
      <c r="AW176" s="10"/>
      <c r="AX176" s="10"/>
      <c r="AY176" s="10"/>
      <c r="AZ176" s="2"/>
      <c r="BA176" s="2" t="s">
        <v>1022</v>
      </c>
      <c r="BB176" s="2" t="s">
        <v>1679</v>
      </c>
      <c r="BC176" s="2" t="s">
        <v>1023</v>
      </c>
      <c r="BD176" s="2" t="s">
        <v>1024</v>
      </c>
      <c r="BE176" s="2"/>
      <c r="BF176" s="2" t="s">
        <v>1025</v>
      </c>
      <c r="BG176" s="22" t="n">
        <v>43868</v>
      </c>
      <c r="BH176" s="22" t="n">
        <v>45627</v>
      </c>
      <c r="BI176" s="2"/>
      <c r="BJ176" s="22" t="n">
        <v>45627</v>
      </c>
      <c r="BK176" s="2"/>
      <c r="BL176" s="2" t="n">
        <v>0</v>
      </c>
      <c r="BM176" s="2"/>
      <c r="BN176" s="2" t="s">
        <v>1682</v>
      </c>
      <c r="BO176" s="23" t="s">
        <v>1683</v>
      </c>
      <c r="BP176" s="2" t="n">
        <f aca="false">IF(OR(K176="",BG176=""),"",ROUND(BG176-K176,0))</f>
        <v>0</v>
      </c>
      <c r="BQ176" s="2" t="str">
        <f aca="false">IF(OR(N(BK176)=0,Q176=""),"Not recorded",IF(BK176=Q176,"Match","Differs"))</f>
        <v>Not recorded</v>
      </c>
      <c r="BR176" s="2" t="str">
        <f aca="false">IF(N176="No","Excluded (non-residential)",IF(BF176="No reference","Unverified – no reference",IF(BF176="Not in council register","Unverified – not in register (Part 8 / other)",IF(OR(BF176="Refused",BF176="Refused on appeal",BF176="Withdrawn",BF176="Invalid",BF176="Quashed"),IF(OR(G176="Complete",G176="On Site",G176="Part Complete"),"Conflict – register not live but CIS says built","Conflict – not live in register"),IF(AND(G176="Plans Submitted",OR(BF176="Granted",BF176="Granted on appeal")),"Stage out of date – now granted",IF(AND(G176&lt;&gt;"Plans Submitted",OR(BF176="Pending",BF176="Under appeal")),"Check – register still pending",IF(N(BL176)&gt;Method!$B$7,"Check – location differs",IF(AND(BP176&lt;&gt;"",ABS(N(BP176))&gt;60),"Consistent – decision date differs","Consistent"))))))))</f>
        <v>Consistent</v>
      </c>
      <c r="BS176" s="2"/>
      <c r="BT176" s="2"/>
      <c r="BU176" s="2"/>
      <c r="BV176" s="2"/>
      <c r="BW176" s="2"/>
      <c r="BX176" s="2"/>
    </row>
    <row r="177" customFormat="false" ht="15" hidden="false" customHeight="false" outlineLevel="0" collapsed="false">
      <c r="A177" s="2" t="n">
        <v>1073938</v>
      </c>
      <c r="B177" s="2" t="s">
        <v>366</v>
      </c>
      <c r="C177" s="2" t="s">
        <v>1684</v>
      </c>
      <c r="D177" s="2" t="s">
        <v>367</v>
      </c>
      <c r="E177" s="2" t="s">
        <v>368</v>
      </c>
      <c r="F177" s="2" t="s">
        <v>143</v>
      </c>
      <c r="G177" s="2" t="s">
        <v>187</v>
      </c>
      <c r="H177" s="2" t="s">
        <v>1014</v>
      </c>
      <c r="I177" s="2"/>
      <c r="J177" s="22" t="n">
        <v>43759</v>
      </c>
      <c r="K177" s="22" t="n">
        <v>43857</v>
      </c>
      <c r="L177" s="22" t="n">
        <v>43781.6000934838</v>
      </c>
      <c r="M177" s="2" t="s">
        <v>1016</v>
      </c>
      <c r="N177" s="2" t="s">
        <v>121</v>
      </c>
      <c r="O177" s="2"/>
      <c r="P177" s="2" t="s">
        <v>1017</v>
      </c>
      <c r="Q177" s="10" t="n">
        <v>31</v>
      </c>
      <c r="R177" s="10" t="n">
        <v>31</v>
      </c>
      <c r="S177" s="10"/>
      <c r="T177" s="2" t="s">
        <v>120</v>
      </c>
      <c r="U177" s="2"/>
      <c r="V177" s="2" t="s">
        <v>1029</v>
      </c>
      <c r="W177" s="2" t="s">
        <v>1030</v>
      </c>
      <c r="X177" s="7"/>
      <c r="Y177" s="2" t="str">
        <f aca="false">IF(X177&lt;&gt;"",X177,T177)</f>
        <v>Primary</v>
      </c>
      <c r="Z177" s="2" t="str">
        <f aca="false">IF(OR(Y177="Primary",Y177="Additional phase",Y177="Additional application on site",Y177="Replaces earlier",Y177="Extension of duration (parent not in CIS)"),"Yes","No")</f>
        <v>Yes</v>
      </c>
      <c r="AA177" s="2"/>
      <c r="AB177" s="2" t="n">
        <f aca="false">IF(L177="","",ROUND((Method!$B$4-L177)/30.44,0))</f>
        <v>83</v>
      </c>
      <c r="AC177" s="2" t="str">
        <f aca="false">IF(AB177="","No",IF(AB177&gt;Method!$B$5,"Yes","No"))</f>
        <v>Yes</v>
      </c>
      <c r="AD177" s="22" t="n">
        <f aca="false">IF(BJ177&lt;&gt;"",BJ177,IF(K177&lt;&gt;"",EDATE(K177,60),""))</f>
        <v>45684</v>
      </c>
      <c r="AE177" s="2" t="str">
        <f aca="false">IF(AND(AD177&lt;&gt;"",OR(G177="Permission Granted",G177="Commencement Expected",G177="Stalled or Suspended")),IF(AD177&lt;Method!$B$4,"Yes","No"),"No")</f>
        <v>Yes</v>
      </c>
      <c r="AF177" s="7"/>
      <c r="AG177" s="2" t="str">
        <f aca="false">IF(Z177="No","Not counted",IF(AF177="Lapsed or dead","Excluded",IF(AF177="Constrained","Constrained / uncertain",IF(AF177="Confirmed live",IF(G177="On Site","Committed",IF(G177="Part Complete","Committed",IF(G177="Contract Awarded","Committed Pre-Construction",IF(G177="Tender","Advanced Pre-Construction",IF(G177="Commencement Expected","Likely",IF(G177="Permission Granted","Potential",IF(G177="Stalled or Suspended","Constrained / uncertain",IF(G177="Complete","Delivered","Application Pipeline")))))))),IF(G177="Complete","Delivered",IF(AND(OR(G177="Permission Granted",G177="Commencement Expected"),OR(AC177="Yes",AE177="Yes")),"Constrained / uncertain",IF(G177="On Site","Committed",IF(G177="Part Complete","Committed",IF(G177="Contract Awarded","Committed Pre-Construction",IF(G177="Tender","Advanced Pre-Construction",IF(G177="Commencement Expected","Likely",IF(G177="Permission Granted","Potential",IF(G177="Stalled or Suspended","Constrained / uncertain",IF(G177="Complete","Delivered","Application Pipeline"))))))))))))))</f>
        <v>Constrained / uncertain</v>
      </c>
      <c r="AH177" s="2" t="str">
        <f aca="false">IF(Z177="No","Relationship: "&amp;Y177,IF(AF177&lt;&gt;"","Analyst: "&amp;AF177,IF(G177="Complete","Complete",IF(AND(OR(G177="Permission Granted",G177="Commencement Expected"),AE177="Yes"),"Past expiry",IF(AND(OR(G177="Permission Granted",G177="Commencement Expected"),AC177="Yes"),"No CIS update in "&amp;AB177&amp;" months","As CIS")))))</f>
        <v>Past expiry</v>
      </c>
      <c r="AI177" s="10" t="n">
        <f aca="false">IF(Z177="Yes",N(Q177),0)</f>
        <v>31</v>
      </c>
      <c r="AJ177" s="10" t="n">
        <f aca="false">IF(OR(Z177="No",G177="Complete"),0,MAX(N(Q177)-N(AA177),0))</f>
        <v>31</v>
      </c>
      <c r="AK177" s="10" t="n">
        <f aca="false">IF(Z177="No",0,IF(G177="Complete",N(Q177),MIN(N(AA177),N(Q177))))</f>
        <v>0</v>
      </c>
      <c r="AL177" s="10" t="n">
        <f aca="false">IF(OR(OR(AG177="Not counted",AG177="Excluded",AG177="Delivered"),P177="Student accommodation"),0,AJ177)</f>
        <v>31</v>
      </c>
      <c r="AM177" s="10" t="n">
        <f aca="false">IF(OR(OR(AG177="Not counted",AG177="Excluded",AG177="Delivered"),P177&lt;&gt;"Student accommodation"),0,AJ177)</f>
        <v>0</v>
      </c>
      <c r="AN177" s="10" t="n">
        <f aca="false">IF(OR(AG177="Not counted",AG177="Excluded",AG177="Delivered"),0,N(S177))</f>
        <v>0</v>
      </c>
      <c r="AO177" s="2" t="s">
        <v>1069</v>
      </c>
      <c r="AP177" s="10"/>
      <c r="AQ177" s="10"/>
      <c r="AR177" s="10"/>
      <c r="AS177" s="10"/>
      <c r="AT177" s="10"/>
      <c r="AU177" s="10"/>
      <c r="AV177" s="10" t="n">
        <f aca="false">N(AP177)+N(AQ177)+N(AR177)+N(AS177)+N(AT177)+N(AU177)</f>
        <v>0</v>
      </c>
      <c r="AW177" s="10"/>
      <c r="AX177" s="10"/>
      <c r="AY177" s="10"/>
      <c r="AZ177" s="2" t="s">
        <v>1685</v>
      </c>
      <c r="BA177" s="2" t="s">
        <v>1022</v>
      </c>
      <c r="BB177" s="2" t="s">
        <v>1684</v>
      </c>
      <c r="BC177" s="2" t="s">
        <v>1046</v>
      </c>
      <c r="BD177" s="2" t="s">
        <v>1024</v>
      </c>
      <c r="BE177" s="2"/>
      <c r="BF177" s="2" t="s">
        <v>1025</v>
      </c>
      <c r="BG177" s="22" t="n">
        <v>43857</v>
      </c>
      <c r="BH177" s="22"/>
      <c r="BI177" s="2"/>
      <c r="BJ177" s="22"/>
      <c r="BK177" s="2" t="n">
        <v>31</v>
      </c>
      <c r="BL177" s="2" t="n">
        <v>0</v>
      </c>
      <c r="BM177" s="2"/>
      <c r="BN177" s="2" t="s">
        <v>1686</v>
      </c>
      <c r="BO177" s="23" t="s">
        <v>1687</v>
      </c>
      <c r="BP177" s="2" t="n">
        <f aca="false">IF(OR(K177="",BG177=""),"",ROUND(BG177-K177,0))</f>
        <v>0</v>
      </c>
      <c r="BQ177" s="2" t="str">
        <f aca="false">IF(OR(N(BK177)=0,Q177=""),"Not recorded",IF(BK177=Q177,"Match","Differs"))</f>
        <v>Match</v>
      </c>
      <c r="BR177" s="2" t="str">
        <f aca="false">IF(N177="No","Excluded (non-residential)",IF(BF177="No reference","Unverified – no reference",IF(BF177="Not in council register","Unverified – not in register (Part 8 / other)",IF(OR(BF177="Refused",BF177="Refused on appeal",BF177="Withdrawn",BF177="Invalid",BF177="Quashed"),IF(OR(G177="Complete",G177="On Site",G177="Part Complete"),"Conflict – register not live but CIS says built","Conflict – not live in register"),IF(AND(G177="Plans Submitted",OR(BF177="Granted",BF177="Granted on appeal")),"Stage out of date – now granted",IF(AND(G177&lt;&gt;"Plans Submitted",OR(BF177="Pending",BF177="Under appeal")),"Check – register still pending",IF(N(BL177)&gt;Method!$B$7,"Check – location differs",IF(AND(BP177&lt;&gt;"",ABS(N(BP177))&gt;60),"Consistent – decision date differs","Consistent"))))))))</f>
        <v>Consistent</v>
      </c>
      <c r="BS177" s="2"/>
      <c r="BT177" s="2"/>
      <c r="BU177" s="2"/>
      <c r="BV177" s="2"/>
      <c r="BW177" s="2"/>
      <c r="BX177" s="2"/>
    </row>
    <row r="178" customFormat="false" ht="15" hidden="false" customHeight="false" outlineLevel="0" collapsed="false">
      <c r="A178" s="2" t="n">
        <v>1250091</v>
      </c>
      <c r="B178" s="2" t="s">
        <v>366</v>
      </c>
      <c r="C178" s="2" t="s">
        <v>1688</v>
      </c>
      <c r="D178" s="2" t="s">
        <v>1689</v>
      </c>
      <c r="E178" s="2" t="s">
        <v>1690</v>
      </c>
      <c r="F178" s="2" t="s">
        <v>143</v>
      </c>
      <c r="G178" s="2" t="s">
        <v>187</v>
      </c>
      <c r="H178" s="2" t="s">
        <v>1014</v>
      </c>
      <c r="I178" s="2"/>
      <c r="J178" s="22" t="n">
        <v>44817</v>
      </c>
      <c r="K178" s="22" t="n">
        <v>45713</v>
      </c>
      <c r="L178" s="22" t="n">
        <v>45723.6213548958</v>
      </c>
      <c r="M178" s="2" t="s">
        <v>1016</v>
      </c>
      <c r="N178" s="2" t="s">
        <v>121</v>
      </c>
      <c r="O178" s="2"/>
      <c r="P178" s="2" t="s">
        <v>1017</v>
      </c>
      <c r="Q178" s="10" t="n">
        <v>99</v>
      </c>
      <c r="R178" s="10" t="n">
        <v>74</v>
      </c>
      <c r="S178" s="10"/>
      <c r="T178" s="2" t="s">
        <v>30</v>
      </c>
      <c r="U178" s="2"/>
      <c r="V178" s="2" t="s">
        <v>1080</v>
      </c>
      <c r="W178" s="2" t="s">
        <v>1020</v>
      </c>
      <c r="X178" s="7"/>
      <c r="Y178" s="2" t="str">
        <f aca="false">IF(X178&lt;&gt;"",X178,T178)</f>
        <v>Additional application on site</v>
      </c>
      <c r="Z178" s="2" t="str">
        <f aca="false">IF(OR(Y178="Primary",Y178="Additional phase",Y178="Additional application on site",Y178="Replaces earlier",Y178="Extension of duration (parent not in CIS)"),"Yes","No")</f>
        <v>Yes</v>
      </c>
      <c r="AA178" s="2"/>
      <c r="AB178" s="2" t="n">
        <f aca="false">IF(L178="","",ROUND((Method!$B$4-L178)/30.44,0))</f>
        <v>19</v>
      </c>
      <c r="AC178" s="2" t="str">
        <f aca="false">IF(AB178="","No",IF(AB178&gt;Method!$B$5,"Yes","No"))</f>
        <v>No</v>
      </c>
      <c r="AD178" s="22" t="n">
        <f aca="false">IF(BJ178&lt;&gt;"",BJ178,IF(K178&lt;&gt;"",EDATE(K178,60),""))</f>
        <v>47538</v>
      </c>
      <c r="AE178" s="2" t="str">
        <f aca="false">IF(AND(AD178&lt;&gt;"",OR(G178="Permission Granted",G178="Commencement Expected",G178="Stalled or Suspended")),IF(AD178&lt;Method!$B$4,"Yes","No"),"No")</f>
        <v>No</v>
      </c>
      <c r="AF178" s="7"/>
      <c r="AG178" s="2" t="str">
        <f aca="false">IF(Z178="No","Not counted",IF(AF178="Lapsed or dead","Excluded",IF(AF178="Constrained","Constrained / uncertain",IF(AF178="Confirmed live",IF(G178="On Site","Committed",IF(G178="Part Complete","Committed",IF(G178="Contract Awarded","Committed Pre-Construction",IF(G178="Tender","Advanced Pre-Construction",IF(G178="Commencement Expected","Likely",IF(G178="Permission Granted","Potential",IF(G178="Stalled or Suspended","Constrained / uncertain",IF(G178="Complete","Delivered","Application Pipeline")))))))),IF(G178="Complete","Delivered",IF(AND(OR(G178="Permission Granted",G178="Commencement Expected"),OR(AC178="Yes",AE178="Yes")),"Constrained / uncertain",IF(G178="On Site","Committed",IF(G178="Part Complete","Committed",IF(G178="Contract Awarded","Committed Pre-Construction",IF(G178="Tender","Advanced Pre-Construction",IF(G178="Commencement Expected","Likely",IF(G178="Permission Granted","Potential",IF(G178="Stalled or Suspended","Constrained / uncertain",IF(G178="Complete","Delivered","Application Pipeline"))))))))))))))</f>
        <v>Potential</v>
      </c>
      <c r="AH178" s="2" t="str">
        <f aca="false">IF(Z178="No","Relationship: "&amp;Y178,IF(AF178&lt;&gt;"","Analyst: "&amp;AF178,IF(G178="Complete","Complete",IF(AND(OR(G178="Permission Granted",G178="Commencement Expected"),AE178="Yes"),"Past expiry",IF(AND(OR(G178="Permission Granted",G178="Commencement Expected"),AC178="Yes"),"No CIS update in "&amp;AB178&amp;" months","As CIS")))))</f>
        <v>As CIS</v>
      </c>
      <c r="AI178" s="10" t="n">
        <f aca="false">IF(Z178="Yes",N(Q178),0)</f>
        <v>99</v>
      </c>
      <c r="AJ178" s="10" t="n">
        <f aca="false">IF(OR(Z178="No",G178="Complete"),0,MAX(N(Q178)-N(AA178),0))</f>
        <v>99</v>
      </c>
      <c r="AK178" s="10" t="n">
        <f aca="false">IF(Z178="No",0,IF(G178="Complete",N(Q178),MIN(N(AA178),N(Q178))))</f>
        <v>0</v>
      </c>
      <c r="AL178" s="10" t="n">
        <f aca="false">IF(OR(OR(AG178="Not counted",AG178="Excluded",AG178="Delivered"),P178="Student accommodation"),0,AJ178)</f>
        <v>99</v>
      </c>
      <c r="AM178" s="10" t="n">
        <f aca="false">IF(OR(OR(AG178="Not counted",AG178="Excluded",AG178="Delivered"),P178&lt;&gt;"Student accommodation"),0,AJ178)</f>
        <v>0</v>
      </c>
      <c r="AN178" s="10" t="n">
        <f aca="false">IF(OR(AG178="Not counted",AG178="Excluded",AG178="Delivered"),0,N(S178))</f>
        <v>0</v>
      </c>
      <c r="AO178" s="2" t="s">
        <v>1031</v>
      </c>
      <c r="AP178" s="10"/>
      <c r="AQ178" s="10" t="n">
        <v>1</v>
      </c>
      <c r="AR178" s="10" t="n">
        <v>12</v>
      </c>
      <c r="AS178" s="10" t="n">
        <v>35</v>
      </c>
      <c r="AT178" s="10" t="n">
        <v>22</v>
      </c>
      <c r="AU178" s="10" t="n">
        <v>4</v>
      </c>
      <c r="AV178" s="10" t="n">
        <f aca="false">N(AP178)+N(AQ178)+N(AR178)+N(AS178)+N(AT178)+N(AU178)</f>
        <v>74</v>
      </c>
      <c r="AW178" s="10" t="n">
        <v>68</v>
      </c>
      <c r="AX178" s="10" t="n">
        <v>6</v>
      </c>
      <c r="AY178" s="10"/>
      <c r="AZ178" s="2"/>
      <c r="BA178" s="2" t="s">
        <v>1022</v>
      </c>
      <c r="BB178" s="2" t="s">
        <v>1688</v>
      </c>
      <c r="BC178" s="2" t="s">
        <v>1023</v>
      </c>
      <c r="BD178" s="2" t="s">
        <v>1024</v>
      </c>
      <c r="BE178" s="2" t="s">
        <v>1024</v>
      </c>
      <c r="BF178" s="2" t="s">
        <v>1059</v>
      </c>
      <c r="BG178" s="22" t="n">
        <v>45085</v>
      </c>
      <c r="BH178" s="22" t="n">
        <v>47538</v>
      </c>
      <c r="BI178" s="2"/>
      <c r="BJ178" s="22" t="n">
        <v>47538</v>
      </c>
      <c r="BK178" s="2" t="n">
        <v>99</v>
      </c>
      <c r="BL178" s="2" t="n">
        <v>0</v>
      </c>
      <c r="BM178" s="2"/>
      <c r="BN178" s="2" t="s">
        <v>1691</v>
      </c>
      <c r="BO178" s="23" t="s">
        <v>1692</v>
      </c>
      <c r="BP178" s="2" t="n">
        <f aca="false">IF(OR(K178="",BG178=""),"",ROUND(BG178-K178,0))</f>
        <v>-628</v>
      </c>
      <c r="BQ178" s="2" t="str">
        <f aca="false">IF(OR(N(BK178)=0,Q178=""),"Not recorded",IF(BK178=Q178,"Match","Differs"))</f>
        <v>Match</v>
      </c>
      <c r="BR178" s="2" t="str">
        <f aca="false">IF(N178="No","Excluded (non-residential)",IF(BF178="No reference","Unverified – no reference",IF(BF178="Not in council register","Unverified – not in register (Part 8 / other)",IF(OR(BF178="Refused",BF178="Refused on appeal",BF178="Withdrawn",BF178="Invalid",BF178="Quashed"),IF(OR(G178="Complete",G178="On Site",G178="Part Complete"),"Conflict – register not live but CIS says built","Conflict – not live in register"),IF(AND(G178="Plans Submitted",OR(BF178="Granted",BF178="Granted on appeal")),"Stage out of date – now granted",IF(AND(G178&lt;&gt;"Plans Submitted",OR(BF178="Pending",BF178="Under appeal")),"Check – register still pending",IF(N(BL178)&gt;Method!$B$7,"Check – location differs",IF(AND(BP178&lt;&gt;"",ABS(N(BP178))&gt;60),"Consistent – decision date differs","Consistent"))))))))</f>
        <v>Consistent – decision date differs</v>
      </c>
      <c r="BS178" s="2"/>
      <c r="BT178" s="2"/>
      <c r="BU178" s="2"/>
      <c r="BV178" s="2"/>
      <c r="BW178" s="2"/>
      <c r="BX178" s="2"/>
    </row>
    <row r="179" customFormat="false" ht="15" hidden="false" customHeight="false" outlineLevel="0" collapsed="false">
      <c r="A179" s="2" t="n">
        <v>1316491</v>
      </c>
      <c r="B179" s="2" t="s">
        <v>366</v>
      </c>
      <c r="C179" s="2" t="s">
        <v>1693</v>
      </c>
      <c r="D179" s="2" t="s">
        <v>1694</v>
      </c>
      <c r="E179" s="2" t="s">
        <v>1690</v>
      </c>
      <c r="F179" s="2" t="s">
        <v>143</v>
      </c>
      <c r="G179" s="2" t="s">
        <v>187</v>
      </c>
      <c r="H179" s="2" t="s">
        <v>1014</v>
      </c>
      <c r="I179" s="2"/>
      <c r="J179" s="22" t="n">
        <v>45231</v>
      </c>
      <c r="K179" s="22" t="n">
        <v>45737</v>
      </c>
      <c r="L179" s="22" t="n">
        <v>45951.3114055903</v>
      </c>
      <c r="M179" s="2" t="s">
        <v>1016</v>
      </c>
      <c r="N179" s="2" t="s">
        <v>121</v>
      </c>
      <c r="O179" s="2"/>
      <c r="P179" s="2" t="s">
        <v>1017</v>
      </c>
      <c r="Q179" s="10" t="n">
        <v>28</v>
      </c>
      <c r="R179" s="10" t="n">
        <v>28</v>
      </c>
      <c r="S179" s="10"/>
      <c r="T179" s="2" t="s">
        <v>28</v>
      </c>
      <c r="U179" s="2" t="s">
        <v>1688</v>
      </c>
      <c r="V179" s="2" t="s">
        <v>1695</v>
      </c>
      <c r="W179" s="2" t="s">
        <v>1498</v>
      </c>
      <c r="X179" s="7"/>
      <c r="Y179" s="2" t="str">
        <f aca="false">IF(X179&lt;&gt;"",X179,T179)</f>
        <v>Additional phase</v>
      </c>
      <c r="Z179" s="2" t="str">
        <f aca="false">IF(OR(Y179="Primary",Y179="Additional phase",Y179="Additional application on site",Y179="Replaces earlier",Y179="Extension of duration (parent not in CIS)"),"Yes","No")</f>
        <v>Yes</v>
      </c>
      <c r="AA179" s="2"/>
      <c r="AB179" s="2" t="n">
        <f aca="false">IF(L179="","",ROUND((Method!$B$4-L179)/30.44,0))</f>
        <v>11</v>
      </c>
      <c r="AC179" s="2" t="str">
        <f aca="false">IF(AB179="","No",IF(AB179&gt;Method!$B$5,"Yes","No"))</f>
        <v>No</v>
      </c>
      <c r="AD179" s="22" t="n">
        <f aca="false">IF(BJ179&lt;&gt;"",BJ179,IF(K179&lt;&gt;"",EDATE(K179,60),""))</f>
        <v>47562</v>
      </c>
      <c r="AE179" s="2" t="str">
        <f aca="false">IF(AND(AD179&lt;&gt;"",OR(G179="Permission Granted",G179="Commencement Expected",G179="Stalled or Suspended")),IF(AD179&lt;Method!$B$4,"Yes","No"),"No")</f>
        <v>No</v>
      </c>
      <c r="AF179" s="7"/>
      <c r="AG179" s="2" t="str">
        <f aca="false">IF(Z179="No","Not counted",IF(AF179="Lapsed or dead","Excluded",IF(AF179="Constrained","Constrained / uncertain",IF(AF179="Confirmed live",IF(G179="On Site","Committed",IF(G179="Part Complete","Committed",IF(G179="Contract Awarded","Committed Pre-Construction",IF(G179="Tender","Advanced Pre-Construction",IF(G179="Commencement Expected","Likely",IF(G179="Permission Granted","Potential",IF(G179="Stalled or Suspended","Constrained / uncertain",IF(G179="Complete","Delivered","Application Pipeline")))))))),IF(G179="Complete","Delivered",IF(AND(OR(G179="Permission Granted",G179="Commencement Expected"),OR(AC179="Yes",AE179="Yes")),"Constrained / uncertain",IF(G179="On Site","Committed",IF(G179="Part Complete","Committed",IF(G179="Contract Awarded","Committed Pre-Construction",IF(G179="Tender","Advanced Pre-Construction",IF(G179="Commencement Expected","Likely",IF(G179="Permission Granted","Potential",IF(G179="Stalled or Suspended","Constrained / uncertain",IF(G179="Complete","Delivered","Application Pipeline"))))))))))))))</f>
        <v>Potential</v>
      </c>
      <c r="AH179" s="2" t="str">
        <f aca="false">IF(Z179="No","Relationship: "&amp;Y179,IF(AF179&lt;&gt;"","Analyst: "&amp;AF179,IF(G179="Complete","Complete",IF(AND(OR(G179="Permission Granted",G179="Commencement Expected"),AE179="Yes"),"Past expiry",IF(AND(OR(G179="Permission Granted",G179="Commencement Expected"),AC179="Yes"),"No CIS update in "&amp;AB179&amp;" months","As CIS")))))</f>
        <v>As CIS</v>
      </c>
      <c r="AI179" s="10" t="n">
        <f aca="false">IF(Z179="Yes",N(Q179),0)</f>
        <v>28</v>
      </c>
      <c r="AJ179" s="10" t="n">
        <f aca="false">IF(OR(Z179="No",G179="Complete"),0,MAX(N(Q179)-N(AA179),0))</f>
        <v>28</v>
      </c>
      <c r="AK179" s="10" t="n">
        <f aca="false">IF(Z179="No",0,IF(G179="Complete",N(Q179),MIN(N(AA179),N(Q179))))</f>
        <v>0</v>
      </c>
      <c r="AL179" s="10" t="n">
        <f aca="false">IF(OR(OR(AG179="Not counted",AG179="Excluded",AG179="Delivered"),P179="Student accommodation"),0,AJ179)</f>
        <v>28</v>
      </c>
      <c r="AM179" s="10" t="n">
        <f aca="false">IF(OR(OR(AG179="Not counted",AG179="Excluded",AG179="Delivered"),P179&lt;&gt;"Student accommodation"),0,AJ179)</f>
        <v>0</v>
      </c>
      <c r="AN179" s="10" t="n">
        <f aca="false">IF(OR(AG179="Not counted",AG179="Excluded",AG179="Delivered"),0,N(S179))</f>
        <v>0</v>
      </c>
      <c r="AO179" s="2" t="s">
        <v>1031</v>
      </c>
      <c r="AP179" s="10"/>
      <c r="AQ179" s="10" t="n">
        <v>2</v>
      </c>
      <c r="AR179" s="10" t="n">
        <v>6</v>
      </c>
      <c r="AS179" s="10" t="n">
        <v>15</v>
      </c>
      <c r="AT179" s="10" t="n">
        <v>5</v>
      </c>
      <c r="AU179" s="10"/>
      <c r="AV179" s="10" t="n">
        <f aca="false">N(AP179)+N(AQ179)+N(AR179)+N(AS179)+N(AT179)+N(AU179)</f>
        <v>28</v>
      </c>
      <c r="AW179" s="10" t="n">
        <v>13</v>
      </c>
      <c r="AX179" s="10" t="n">
        <v>12</v>
      </c>
      <c r="AY179" s="10" t="n">
        <v>3</v>
      </c>
      <c r="AZ179" s="2"/>
      <c r="BA179" s="2" t="s">
        <v>1022</v>
      </c>
      <c r="BB179" s="2" t="s">
        <v>1693</v>
      </c>
      <c r="BC179" s="2" t="s">
        <v>1023</v>
      </c>
      <c r="BD179" s="2" t="s">
        <v>1071</v>
      </c>
      <c r="BE179" s="2" t="s">
        <v>1024</v>
      </c>
      <c r="BF179" s="2" t="s">
        <v>1059</v>
      </c>
      <c r="BG179" s="22" t="n">
        <v>45282</v>
      </c>
      <c r="BH179" s="22" t="n">
        <v>47562</v>
      </c>
      <c r="BI179" s="2"/>
      <c r="BJ179" s="22" t="n">
        <v>47562</v>
      </c>
      <c r="BK179" s="2" t="n">
        <v>28</v>
      </c>
      <c r="BL179" s="2" t="n">
        <v>0</v>
      </c>
      <c r="BM179" s="2"/>
      <c r="BN179" s="2" t="s">
        <v>1696</v>
      </c>
      <c r="BO179" s="23" t="s">
        <v>1697</v>
      </c>
      <c r="BP179" s="2" t="n">
        <f aca="false">IF(OR(K179="",BG179=""),"",ROUND(BG179-K179,0))</f>
        <v>-455</v>
      </c>
      <c r="BQ179" s="2" t="str">
        <f aca="false">IF(OR(N(BK179)=0,Q179=""),"Not recorded",IF(BK179=Q179,"Match","Differs"))</f>
        <v>Match</v>
      </c>
      <c r="BR179" s="2" t="str">
        <f aca="false">IF(N179="No","Excluded (non-residential)",IF(BF179="No reference","Unverified – no reference",IF(BF179="Not in council register","Unverified – not in register (Part 8 / other)",IF(OR(BF179="Refused",BF179="Refused on appeal",BF179="Withdrawn",BF179="Invalid",BF179="Quashed"),IF(OR(G179="Complete",G179="On Site",G179="Part Complete"),"Conflict – register not live but CIS says built","Conflict – not live in register"),IF(AND(G179="Plans Submitted",OR(BF179="Granted",BF179="Granted on appeal")),"Stage out of date – now granted",IF(AND(G179&lt;&gt;"Plans Submitted",OR(BF179="Pending",BF179="Under appeal")),"Check – register still pending",IF(N(BL179)&gt;Method!$B$7,"Check – location differs",IF(AND(BP179&lt;&gt;"",ABS(N(BP179))&gt;60),"Consistent – decision date differs","Consistent"))))))))</f>
        <v>Consistent – decision date differs</v>
      </c>
      <c r="BS179" s="2"/>
      <c r="BT179" s="2"/>
      <c r="BU179" s="2"/>
      <c r="BV179" s="2"/>
      <c r="BW179" s="2"/>
      <c r="BX179" s="2"/>
    </row>
    <row r="180" customFormat="false" ht="15" hidden="false" customHeight="false" outlineLevel="0" collapsed="false">
      <c r="A180" s="2" t="n">
        <v>1340202</v>
      </c>
      <c r="B180" s="2" t="s">
        <v>366</v>
      </c>
      <c r="C180" s="2" t="s">
        <v>1698</v>
      </c>
      <c r="D180" s="2" t="s">
        <v>1699</v>
      </c>
      <c r="E180" s="2" t="s">
        <v>1690</v>
      </c>
      <c r="F180" s="2" t="s">
        <v>143</v>
      </c>
      <c r="G180" s="2" t="s">
        <v>187</v>
      </c>
      <c r="H180" s="2" t="s">
        <v>1014</v>
      </c>
      <c r="I180" s="2"/>
      <c r="J180" s="22" t="n">
        <v>45391</v>
      </c>
      <c r="K180" s="22" t="n">
        <v>45442</v>
      </c>
      <c r="L180" s="22" t="n">
        <v>45470.3860335648</v>
      </c>
      <c r="M180" s="2" t="s">
        <v>1016</v>
      </c>
      <c r="N180" s="2" t="s">
        <v>121</v>
      </c>
      <c r="O180" s="2"/>
      <c r="P180" s="2" t="s">
        <v>1017</v>
      </c>
      <c r="Q180" s="10" t="n">
        <v>25</v>
      </c>
      <c r="R180" s="10" t="n">
        <v>25</v>
      </c>
      <c r="S180" s="10"/>
      <c r="T180" s="2" t="s">
        <v>28</v>
      </c>
      <c r="U180" s="2" t="s">
        <v>1688</v>
      </c>
      <c r="V180" s="2" t="s">
        <v>1695</v>
      </c>
      <c r="W180" s="2" t="s">
        <v>1498</v>
      </c>
      <c r="X180" s="7"/>
      <c r="Y180" s="2" t="str">
        <f aca="false">IF(X180&lt;&gt;"",X180,T180)</f>
        <v>Additional phase</v>
      </c>
      <c r="Z180" s="2" t="str">
        <f aca="false">IF(OR(Y180="Primary",Y180="Additional phase",Y180="Additional application on site",Y180="Replaces earlier",Y180="Extension of duration (parent not in CIS)"),"Yes","No")</f>
        <v>Yes</v>
      </c>
      <c r="AA180" s="2"/>
      <c r="AB180" s="2" t="n">
        <f aca="false">IF(L180="","",ROUND((Method!$B$4-L180)/30.44,0))</f>
        <v>27</v>
      </c>
      <c r="AC180" s="2" t="str">
        <f aca="false">IF(AB180="","No",IF(AB180&gt;Method!$B$5,"Yes","No"))</f>
        <v>Yes</v>
      </c>
      <c r="AD180" s="22" t="n">
        <f aca="false">IF(BJ180&lt;&gt;"",BJ180,IF(K180&lt;&gt;"",EDATE(K180,60),""))</f>
        <v>47562</v>
      </c>
      <c r="AE180" s="2" t="str">
        <f aca="false">IF(AND(AD180&lt;&gt;"",OR(G180="Permission Granted",G180="Commencement Expected",G180="Stalled or Suspended")),IF(AD180&lt;Method!$B$4,"Yes","No"),"No")</f>
        <v>No</v>
      </c>
      <c r="AF180" s="7"/>
      <c r="AG180" s="2" t="str">
        <f aca="false">IF(Z180="No","Not counted",IF(AF180="Lapsed or dead","Excluded",IF(AF180="Constrained","Constrained / uncertain",IF(AF180="Confirmed live",IF(G180="On Site","Committed",IF(G180="Part Complete","Committed",IF(G180="Contract Awarded","Committed Pre-Construction",IF(G180="Tender","Advanced Pre-Construction",IF(G180="Commencement Expected","Likely",IF(G180="Permission Granted","Potential",IF(G180="Stalled or Suspended","Constrained / uncertain",IF(G180="Complete","Delivered","Application Pipeline")))))))),IF(G180="Complete","Delivered",IF(AND(OR(G180="Permission Granted",G180="Commencement Expected"),OR(AC180="Yes",AE180="Yes")),"Constrained / uncertain",IF(G180="On Site","Committed",IF(G180="Part Complete","Committed",IF(G180="Contract Awarded","Committed Pre-Construction",IF(G180="Tender","Advanced Pre-Construction",IF(G180="Commencement Expected","Likely",IF(G180="Permission Granted","Potential",IF(G180="Stalled or Suspended","Constrained / uncertain",IF(G180="Complete","Delivered","Application Pipeline"))))))))))))))</f>
        <v>Constrained / uncertain</v>
      </c>
      <c r="AH180" s="2" t="str">
        <f aca="false">IF(Z180="No","Relationship: "&amp;Y180,IF(AF180&lt;&gt;"","Analyst: "&amp;AF180,IF(G180="Complete","Complete",IF(AND(OR(G180="Permission Granted",G180="Commencement Expected"),AE180="Yes"),"Past expiry",IF(AND(OR(G180="Permission Granted",G180="Commencement Expected"),AC180="Yes"),"No CIS update in "&amp;AB180&amp;" months","As CIS")))))</f>
        <v>No CIS update in 27 months</v>
      </c>
      <c r="AI180" s="10" t="n">
        <f aca="false">IF(Z180="Yes",N(Q180),0)</f>
        <v>25</v>
      </c>
      <c r="AJ180" s="10" t="n">
        <f aca="false">IF(OR(Z180="No",G180="Complete"),0,MAX(N(Q180)-N(AA180),0))</f>
        <v>25</v>
      </c>
      <c r="AK180" s="10" t="n">
        <f aca="false">IF(Z180="No",0,IF(G180="Complete",N(Q180),MIN(N(AA180),N(Q180))))</f>
        <v>0</v>
      </c>
      <c r="AL180" s="10" t="n">
        <f aca="false">IF(OR(OR(AG180="Not counted",AG180="Excluded",AG180="Delivered"),P180="Student accommodation"),0,AJ180)</f>
        <v>25</v>
      </c>
      <c r="AM180" s="10" t="n">
        <f aca="false">IF(OR(OR(AG180="Not counted",AG180="Excluded",AG180="Delivered"),P180&lt;&gt;"Student accommodation"),0,AJ180)</f>
        <v>0</v>
      </c>
      <c r="AN180" s="10" t="n">
        <f aca="false">IF(OR(AG180="Not counted",AG180="Excluded",AG180="Delivered"),0,N(S180))</f>
        <v>0</v>
      </c>
      <c r="AO180" s="2" t="s">
        <v>1031</v>
      </c>
      <c r="AP180" s="10"/>
      <c r="AQ180" s="10"/>
      <c r="AR180" s="10"/>
      <c r="AS180" s="10" t="n">
        <v>12</v>
      </c>
      <c r="AT180" s="10" t="n">
        <v>13</v>
      </c>
      <c r="AU180" s="10"/>
      <c r="AV180" s="10" t="n">
        <f aca="false">N(AP180)+N(AQ180)+N(AR180)+N(AS180)+N(AT180)+N(AU180)</f>
        <v>25</v>
      </c>
      <c r="AW180" s="10" t="n">
        <v>25</v>
      </c>
      <c r="AX180" s="10"/>
      <c r="AY180" s="10"/>
      <c r="AZ180" s="2"/>
      <c r="BA180" s="2" t="s">
        <v>1022</v>
      </c>
      <c r="BB180" s="2" t="s">
        <v>1698</v>
      </c>
      <c r="BC180" s="2" t="s">
        <v>1023</v>
      </c>
      <c r="BD180" s="2" t="s">
        <v>1071</v>
      </c>
      <c r="BE180" s="2" t="s">
        <v>1024</v>
      </c>
      <c r="BF180" s="2" t="s">
        <v>1059</v>
      </c>
      <c r="BG180" s="22" t="n">
        <v>45442</v>
      </c>
      <c r="BH180" s="22" t="n">
        <v>47562</v>
      </c>
      <c r="BI180" s="2"/>
      <c r="BJ180" s="22" t="n">
        <v>47562</v>
      </c>
      <c r="BK180" s="2" t="n">
        <v>25</v>
      </c>
      <c r="BL180" s="2" t="n">
        <v>0</v>
      </c>
      <c r="BM180" s="2"/>
      <c r="BN180" s="2" t="s">
        <v>1700</v>
      </c>
      <c r="BO180" s="23" t="s">
        <v>1701</v>
      </c>
      <c r="BP180" s="2" t="n">
        <f aca="false">IF(OR(K180="",BG180=""),"",ROUND(BG180-K180,0))</f>
        <v>0</v>
      </c>
      <c r="BQ180" s="2" t="str">
        <f aca="false">IF(OR(N(BK180)=0,Q180=""),"Not recorded",IF(BK180=Q180,"Match","Differs"))</f>
        <v>Match</v>
      </c>
      <c r="BR180" s="2" t="str">
        <f aca="false">IF(N180="No","Excluded (non-residential)",IF(BF180="No reference","Unverified – no reference",IF(BF180="Not in council register","Unverified – not in register (Part 8 / other)",IF(OR(BF180="Refused",BF180="Refused on appeal",BF180="Withdrawn",BF180="Invalid",BF180="Quashed"),IF(OR(G180="Complete",G180="On Site",G180="Part Complete"),"Conflict – register not live but CIS says built","Conflict – not live in register"),IF(AND(G180="Plans Submitted",OR(BF180="Granted",BF180="Granted on appeal")),"Stage out of date – now granted",IF(AND(G180&lt;&gt;"Plans Submitted",OR(BF180="Pending",BF180="Under appeal")),"Check – register still pending",IF(N(BL180)&gt;Method!$B$7,"Check – location differs",IF(AND(BP180&lt;&gt;"",ABS(N(BP180))&gt;60),"Consistent – decision date differs","Consistent"))))))))</f>
        <v>Consistent</v>
      </c>
      <c r="BS180" s="2"/>
      <c r="BT180" s="2"/>
      <c r="BU180" s="2"/>
      <c r="BV180" s="2"/>
      <c r="BW180" s="2"/>
      <c r="BX180" s="2"/>
    </row>
    <row r="181" customFormat="false" ht="15" hidden="false" customHeight="false" outlineLevel="0" collapsed="false">
      <c r="A181" s="2" t="n">
        <v>1079275</v>
      </c>
      <c r="B181" s="2" t="s">
        <v>438</v>
      </c>
      <c r="C181" s="2" t="s">
        <v>1702</v>
      </c>
      <c r="D181" s="2" t="s">
        <v>439</v>
      </c>
      <c r="E181" s="2" t="s">
        <v>440</v>
      </c>
      <c r="F181" s="2" t="s">
        <v>144</v>
      </c>
      <c r="G181" s="2" t="s">
        <v>194</v>
      </c>
      <c r="H181" s="2" t="s">
        <v>1014</v>
      </c>
      <c r="I181" s="2" t="s">
        <v>1015</v>
      </c>
      <c r="J181" s="22" t="n">
        <v>43798</v>
      </c>
      <c r="K181" s="22" t="n">
        <v>44005</v>
      </c>
      <c r="L181" s="22" t="n">
        <v>44518.6808738426</v>
      </c>
      <c r="M181" s="2" t="s">
        <v>1016</v>
      </c>
      <c r="N181" s="2" t="s">
        <v>121</v>
      </c>
      <c r="O181" s="2"/>
      <c r="P181" s="2" t="s">
        <v>1017</v>
      </c>
      <c r="Q181" s="10" t="n">
        <v>5</v>
      </c>
      <c r="R181" s="10"/>
      <c r="S181" s="10"/>
      <c r="T181" s="2" t="s">
        <v>30</v>
      </c>
      <c r="U181" s="2"/>
      <c r="V181" s="2" t="s">
        <v>1080</v>
      </c>
      <c r="W181" s="2" t="s">
        <v>1020</v>
      </c>
      <c r="X181" s="7"/>
      <c r="Y181" s="2" t="str">
        <f aca="false">IF(X181&lt;&gt;"",X181,T181)</f>
        <v>Additional application on site</v>
      </c>
      <c r="Z181" s="2" t="str">
        <f aca="false">IF(OR(Y181="Primary",Y181="Additional phase",Y181="Additional application on site",Y181="Replaces earlier",Y181="Extension of duration (parent not in CIS)"),"Yes","No")</f>
        <v>Yes</v>
      </c>
      <c r="AA181" s="2"/>
      <c r="AB181" s="2" t="n">
        <f aca="false">IF(L181="","",ROUND((Method!$B$4-L181)/30.44,0))</f>
        <v>58</v>
      </c>
      <c r="AC181" s="2" t="str">
        <f aca="false">IF(AB181="","No",IF(AB181&gt;Method!$B$5,"Yes","No"))</f>
        <v>Yes</v>
      </c>
      <c r="AD181" s="22" t="n">
        <f aca="false">IF(BJ181&lt;&gt;"",BJ181,IF(K181&lt;&gt;"",EDATE(K181,60),""))</f>
        <v>45865</v>
      </c>
      <c r="AE181" s="2" t="str">
        <f aca="false">IF(AND(AD181&lt;&gt;"",OR(G181="Permission Granted",G181="Commencement Expected",G181="Stalled or Suspended")),IF(AD181&lt;Method!$B$4,"Yes","No"),"No")</f>
        <v>Yes</v>
      </c>
      <c r="AF181" s="7"/>
      <c r="AG181" s="2" t="str">
        <f aca="false">IF(Z181="No","Not counted",IF(AF181="Lapsed or dead","Excluded",IF(AF181="Constrained","Constrained / uncertain",IF(AF181="Confirmed live",IF(G181="On Site","Committed",IF(G181="Part Complete","Committed",IF(G181="Contract Awarded","Committed Pre-Construction",IF(G181="Tender","Advanced Pre-Construction",IF(G181="Commencement Expected","Likely",IF(G181="Permission Granted","Potential",IF(G181="Stalled or Suspended","Constrained / uncertain",IF(G181="Complete","Delivered","Application Pipeline")))))))),IF(G181="Complete","Delivered",IF(AND(OR(G181="Permission Granted",G181="Commencement Expected"),OR(AC181="Yes",AE181="Yes")),"Constrained / uncertain",IF(G181="On Site","Committed",IF(G181="Part Complete","Committed",IF(G181="Contract Awarded","Committed Pre-Construction",IF(G181="Tender","Advanced Pre-Construction",IF(G181="Commencement Expected","Likely",IF(G181="Permission Granted","Potential",IF(G181="Stalled or Suspended","Constrained / uncertain",IF(G181="Complete","Delivered","Application Pipeline"))))))))))))))</f>
        <v>Constrained / uncertain</v>
      </c>
      <c r="AH181" s="2" t="str">
        <f aca="false">IF(Z181="No","Relationship: "&amp;Y181,IF(AF181&lt;&gt;"","Analyst: "&amp;AF181,IF(G181="Complete","Complete",IF(AND(OR(G181="Permission Granted",G181="Commencement Expected"),AE181="Yes"),"Past expiry",IF(AND(OR(G181="Permission Granted",G181="Commencement Expected"),AC181="Yes"),"No CIS update in "&amp;AB181&amp;" months","As CIS")))))</f>
        <v>Past expiry</v>
      </c>
      <c r="AI181" s="10" t="n">
        <f aca="false">IF(Z181="Yes",N(Q181),0)</f>
        <v>5</v>
      </c>
      <c r="AJ181" s="10" t="n">
        <f aca="false">IF(OR(Z181="No",G181="Complete"),0,MAX(N(Q181)-N(AA181),0))</f>
        <v>5</v>
      </c>
      <c r="AK181" s="10" t="n">
        <f aca="false">IF(Z181="No",0,IF(G181="Complete",N(Q181),MIN(N(AA181),N(Q181))))</f>
        <v>0</v>
      </c>
      <c r="AL181" s="10" t="n">
        <f aca="false">IF(OR(OR(AG181="Not counted",AG181="Excluded",AG181="Delivered"),P181="Student accommodation"),0,AJ181)</f>
        <v>5</v>
      </c>
      <c r="AM181" s="10" t="n">
        <f aca="false">IF(OR(OR(AG181="Not counted",AG181="Excluded",AG181="Delivered"),P181&lt;&gt;"Student accommodation"),0,AJ181)</f>
        <v>0</v>
      </c>
      <c r="AN181" s="10" t="n">
        <f aca="false">IF(OR(AG181="Not counted",AG181="Excluded",AG181="Delivered"),0,N(S181))</f>
        <v>0</v>
      </c>
      <c r="AO181" s="2" t="s">
        <v>1021</v>
      </c>
      <c r="AP181" s="10"/>
      <c r="AQ181" s="10"/>
      <c r="AR181" s="10"/>
      <c r="AS181" s="10"/>
      <c r="AT181" s="10"/>
      <c r="AU181" s="10"/>
      <c r="AV181" s="10" t="n">
        <f aca="false">N(AP181)+N(AQ181)+N(AR181)+N(AS181)+N(AT181)+N(AU181)</f>
        <v>0</v>
      </c>
      <c r="AW181" s="10"/>
      <c r="AX181" s="10"/>
      <c r="AY181" s="10"/>
      <c r="AZ181" s="2"/>
      <c r="BA181" s="2" t="s">
        <v>1022</v>
      </c>
      <c r="BB181" s="2" t="s">
        <v>1702</v>
      </c>
      <c r="BC181" s="2" t="s">
        <v>1023</v>
      </c>
      <c r="BD181" s="2" t="s">
        <v>1024</v>
      </c>
      <c r="BE181" s="2"/>
      <c r="BF181" s="2" t="s">
        <v>1025</v>
      </c>
      <c r="BG181" s="22" t="n">
        <v>44005</v>
      </c>
      <c r="BH181" s="22" t="n">
        <v>45865</v>
      </c>
      <c r="BI181" s="2"/>
      <c r="BJ181" s="22" t="n">
        <v>45865</v>
      </c>
      <c r="BK181" s="2" t="n">
        <v>5</v>
      </c>
      <c r="BL181" s="2" t="n">
        <v>0</v>
      </c>
      <c r="BM181" s="2"/>
      <c r="BN181" s="2" t="s">
        <v>1703</v>
      </c>
      <c r="BO181" s="23" t="s">
        <v>1704</v>
      </c>
      <c r="BP181" s="2" t="n">
        <f aca="false">IF(OR(K181="",BG181=""),"",ROUND(BG181-K181,0))</f>
        <v>0</v>
      </c>
      <c r="BQ181" s="2" t="str">
        <f aca="false">IF(OR(N(BK181)=0,Q181=""),"Not recorded",IF(BK181=Q181,"Match","Differs"))</f>
        <v>Match</v>
      </c>
      <c r="BR181" s="2" t="str">
        <f aca="false">IF(N181="No","Excluded (non-residential)",IF(BF181="No reference","Unverified – no reference",IF(BF181="Not in council register","Unverified – not in register (Part 8 / other)",IF(OR(BF181="Refused",BF181="Refused on appeal",BF181="Withdrawn",BF181="Invalid",BF181="Quashed"),IF(OR(G181="Complete",G181="On Site",G181="Part Complete"),"Conflict – register not live but CIS says built","Conflict – not live in register"),IF(AND(G181="Plans Submitted",OR(BF181="Granted",BF181="Granted on appeal")),"Stage out of date – now granted",IF(AND(G181&lt;&gt;"Plans Submitted",OR(BF181="Pending",BF181="Under appeal")),"Check – register still pending",IF(N(BL181)&gt;Method!$B$7,"Check – location differs",IF(AND(BP181&lt;&gt;"",ABS(N(BP181))&gt;60),"Consistent – decision date differs","Consistent"))))))))</f>
        <v>Consistent</v>
      </c>
      <c r="BS181" s="2"/>
      <c r="BT181" s="2"/>
      <c r="BU181" s="2"/>
      <c r="BV181" s="2"/>
      <c r="BW181" s="2"/>
      <c r="BX181" s="2"/>
    </row>
    <row r="182" customFormat="false" ht="15" hidden="false" customHeight="false" outlineLevel="0" collapsed="false">
      <c r="A182" s="2" t="n">
        <v>1293390</v>
      </c>
      <c r="B182" s="2" t="s">
        <v>438</v>
      </c>
      <c r="C182" s="2" t="s">
        <v>1705</v>
      </c>
      <c r="D182" s="2" t="s">
        <v>1706</v>
      </c>
      <c r="E182" s="2" t="s">
        <v>1707</v>
      </c>
      <c r="F182" s="2" t="s">
        <v>144</v>
      </c>
      <c r="G182" s="2" t="s">
        <v>251</v>
      </c>
      <c r="H182" s="2" t="s">
        <v>1014</v>
      </c>
      <c r="I182" s="2" t="s">
        <v>198</v>
      </c>
      <c r="J182" s="22" t="n">
        <v>45085</v>
      </c>
      <c r="K182" s="22" t="n">
        <v>45231</v>
      </c>
      <c r="L182" s="22" t="n">
        <v>45601.5283603009</v>
      </c>
      <c r="M182" s="2" t="s">
        <v>1016</v>
      </c>
      <c r="N182" s="2" t="s">
        <v>121</v>
      </c>
      <c r="O182" s="2"/>
      <c r="P182" s="2" t="s">
        <v>1017</v>
      </c>
      <c r="Q182" s="10" t="n">
        <v>8</v>
      </c>
      <c r="R182" s="10"/>
      <c r="S182" s="10"/>
      <c r="T182" s="2" t="s">
        <v>30</v>
      </c>
      <c r="U182" s="2"/>
      <c r="V182" s="2" t="s">
        <v>1080</v>
      </c>
      <c r="W182" s="2" t="s">
        <v>1020</v>
      </c>
      <c r="X182" s="7"/>
      <c r="Y182" s="2" t="str">
        <f aca="false">IF(X182&lt;&gt;"",X182,T182)</f>
        <v>Additional application on site</v>
      </c>
      <c r="Z182" s="2" t="str">
        <f aca="false">IF(OR(Y182="Primary",Y182="Additional phase",Y182="Additional application on site",Y182="Replaces earlier",Y182="Extension of duration (parent not in CIS)"),"Yes","No")</f>
        <v>Yes</v>
      </c>
      <c r="AA182" s="2"/>
      <c r="AB182" s="2" t="n">
        <f aca="false">IF(L182="","",ROUND((Method!$B$4-L182)/30.44,0))</f>
        <v>23</v>
      </c>
      <c r="AC182" s="2" t="str">
        <f aca="false">IF(AB182="","No",IF(AB182&gt;Method!$B$5,"Yes","No"))</f>
        <v>No</v>
      </c>
      <c r="AD182" s="22" t="n">
        <f aca="false">IF(BJ182&lt;&gt;"",BJ182,IF(K182&lt;&gt;"",EDATE(K182,60),""))</f>
        <v>47091</v>
      </c>
      <c r="AE182" s="2" t="str">
        <f aca="false">IF(AND(AD182&lt;&gt;"",OR(G182="Permission Granted",G182="Commencement Expected",G182="Stalled or Suspended")),IF(AD182&lt;Method!$B$4,"Yes","No"),"No")</f>
        <v>No</v>
      </c>
      <c r="AF182" s="7"/>
      <c r="AG182" s="2" t="str">
        <f aca="false">IF(Z182="No","Not counted",IF(AF182="Lapsed or dead","Excluded",IF(AF182="Constrained","Constrained / uncertain",IF(AF182="Confirmed live",IF(G182="On Site","Committed",IF(G182="Part Complete","Committed",IF(G182="Contract Awarded","Committed Pre-Construction",IF(G182="Tender","Advanced Pre-Construction",IF(G182="Commencement Expected","Likely",IF(G182="Permission Granted","Potential",IF(G182="Stalled or Suspended","Constrained / uncertain",IF(G182="Complete","Delivered","Application Pipeline")))))))),IF(G182="Complete","Delivered",IF(AND(OR(G182="Permission Granted",G182="Commencement Expected"),OR(AC182="Yes",AE182="Yes")),"Constrained / uncertain",IF(G182="On Site","Committed",IF(G182="Part Complete","Committed",IF(G182="Contract Awarded","Committed Pre-Construction",IF(G182="Tender","Advanced Pre-Construction",IF(G182="Commencement Expected","Likely",IF(G182="Permission Granted","Potential",IF(G182="Stalled or Suspended","Constrained / uncertain",IF(G182="Complete","Delivered","Application Pipeline"))))))))))))))</f>
        <v>Delivered</v>
      </c>
      <c r="AH182" s="2" t="str">
        <f aca="false">IF(Z182="No","Relationship: "&amp;Y182,IF(AF182&lt;&gt;"","Analyst: "&amp;AF182,IF(G182="Complete","Complete",IF(AND(OR(G182="Permission Granted",G182="Commencement Expected"),AE182="Yes"),"Past expiry",IF(AND(OR(G182="Permission Granted",G182="Commencement Expected"),AC182="Yes"),"No CIS update in "&amp;AB182&amp;" months","As CIS")))))</f>
        <v>Complete</v>
      </c>
      <c r="AI182" s="10" t="n">
        <f aca="false">IF(Z182="Yes",N(Q182),0)</f>
        <v>8</v>
      </c>
      <c r="AJ182" s="10" t="n">
        <f aca="false">IF(OR(Z182="No",G182="Complete"),0,MAX(N(Q182)-N(AA182),0))</f>
        <v>0</v>
      </c>
      <c r="AK182" s="10" t="n">
        <f aca="false">IF(Z182="No",0,IF(G182="Complete",N(Q182),MIN(N(AA182),N(Q182))))</f>
        <v>8</v>
      </c>
      <c r="AL182" s="10" t="n">
        <f aca="false">IF(OR(OR(AG182="Not counted",AG182="Excluded",AG182="Delivered"),P182="Student accommodation"),0,AJ182)</f>
        <v>0</v>
      </c>
      <c r="AM182" s="10" t="n">
        <f aca="false">IF(OR(OR(AG182="Not counted",AG182="Excluded",AG182="Delivered"),P182&lt;&gt;"Student accommodation"),0,AJ182)</f>
        <v>0</v>
      </c>
      <c r="AN182" s="10" t="n">
        <f aca="false">IF(OR(AG182="Not counted",AG182="Excluded",AG182="Delivered"),0,N(S182))</f>
        <v>0</v>
      </c>
      <c r="AO182" s="2" t="s">
        <v>1031</v>
      </c>
      <c r="AP182" s="10"/>
      <c r="AQ182" s="10"/>
      <c r="AR182" s="10"/>
      <c r="AS182" s="10"/>
      <c r="AT182" s="10" t="n">
        <v>4</v>
      </c>
      <c r="AU182" s="10"/>
      <c r="AV182" s="10" t="n">
        <f aca="false">N(AP182)+N(AQ182)+N(AR182)+N(AS182)+N(AT182)+N(AU182)</f>
        <v>4</v>
      </c>
      <c r="AW182" s="10" t="n">
        <v>4</v>
      </c>
      <c r="AX182" s="10"/>
      <c r="AY182" s="10"/>
      <c r="AZ182" s="2"/>
      <c r="BA182" s="2" t="s">
        <v>1022</v>
      </c>
      <c r="BB182" s="2" t="s">
        <v>1705</v>
      </c>
      <c r="BC182" s="2" t="s">
        <v>1023</v>
      </c>
      <c r="BD182" s="2" t="s">
        <v>1024</v>
      </c>
      <c r="BE182" s="2"/>
      <c r="BF182" s="2" t="s">
        <v>1025</v>
      </c>
      <c r="BG182" s="22" t="n">
        <v>45231</v>
      </c>
      <c r="BH182" s="22" t="n">
        <v>47091</v>
      </c>
      <c r="BI182" s="2"/>
      <c r="BJ182" s="22" t="n">
        <v>47091</v>
      </c>
      <c r="BK182" s="2" t="n">
        <v>4</v>
      </c>
      <c r="BL182" s="2" t="n">
        <v>0</v>
      </c>
      <c r="BM182" s="2"/>
      <c r="BN182" s="2" t="s">
        <v>1708</v>
      </c>
      <c r="BO182" s="23" t="s">
        <v>1709</v>
      </c>
      <c r="BP182" s="2" t="n">
        <f aca="false">IF(OR(K182="",BG182=""),"",ROUND(BG182-K182,0))</f>
        <v>0</v>
      </c>
      <c r="BQ182" s="2" t="str">
        <f aca="false">IF(OR(N(BK182)=0,Q182=""),"Not recorded",IF(BK182=Q182,"Match","Differs"))</f>
        <v>Differs</v>
      </c>
      <c r="BR182" s="2" t="str">
        <f aca="false">IF(N182="No","Excluded (non-residential)",IF(BF182="No reference","Unverified – no reference",IF(BF182="Not in council register","Unverified – not in register (Part 8 / other)",IF(OR(BF182="Refused",BF182="Refused on appeal",BF182="Withdrawn",BF182="Invalid",BF182="Quashed"),IF(OR(G182="Complete",G182="On Site",G182="Part Complete"),"Conflict – register not live but CIS says built","Conflict – not live in register"),IF(AND(G182="Plans Submitted",OR(BF182="Granted",BF182="Granted on appeal")),"Stage out of date – now granted",IF(AND(G182&lt;&gt;"Plans Submitted",OR(BF182="Pending",BF182="Under appeal")),"Check – register still pending",IF(N(BL182)&gt;Method!$B$7,"Check – location differs",IF(AND(BP182&lt;&gt;"",ABS(N(BP182))&gt;60),"Consistent – decision date differs","Consistent"))))))))</f>
        <v>Consistent</v>
      </c>
      <c r="BS182" s="2"/>
      <c r="BT182" s="2"/>
      <c r="BU182" s="2"/>
      <c r="BV182" s="2"/>
      <c r="BW182" s="2"/>
      <c r="BX182" s="2"/>
    </row>
    <row r="183" customFormat="false" ht="15" hidden="false" customHeight="false" outlineLevel="0" collapsed="false">
      <c r="A183" s="2" t="n">
        <v>1094519</v>
      </c>
      <c r="B183" s="2" t="s">
        <v>273</v>
      </c>
      <c r="C183" s="2" t="s">
        <v>1710</v>
      </c>
      <c r="D183" s="2" t="s">
        <v>274</v>
      </c>
      <c r="E183" s="2" t="s">
        <v>275</v>
      </c>
      <c r="F183" s="2" t="s">
        <v>144</v>
      </c>
      <c r="G183" s="2" t="s">
        <v>187</v>
      </c>
      <c r="H183" s="2" t="s">
        <v>1014</v>
      </c>
      <c r="I183" s="2"/>
      <c r="J183" s="22" t="n">
        <v>43903</v>
      </c>
      <c r="K183" s="22" t="n">
        <v>44161</v>
      </c>
      <c r="L183" s="22" t="n">
        <v>44166.4846238426</v>
      </c>
      <c r="M183" s="2" t="s">
        <v>1016</v>
      </c>
      <c r="N183" s="2" t="s">
        <v>121</v>
      </c>
      <c r="O183" s="2"/>
      <c r="P183" s="2" t="s">
        <v>1017</v>
      </c>
      <c r="Q183" s="10" t="n">
        <v>24</v>
      </c>
      <c r="R183" s="10" t="n">
        <v>24</v>
      </c>
      <c r="S183" s="10"/>
      <c r="T183" s="2" t="s">
        <v>120</v>
      </c>
      <c r="U183" s="2"/>
      <c r="V183" s="2" t="s">
        <v>1029</v>
      </c>
      <c r="W183" s="2" t="s">
        <v>1030</v>
      </c>
      <c r="X183" s="7"/>
      <c r="Y183" s="2" t="str">
        <f aca="false">IF(X183&lt;&gt;"",X183,T183)</f>
        <v>Primary</v>
      </c>
      <c r="Z183" s="2" t="str">
        <f aca="false">IF(OR(Y183="Primary",Y183="Additional phase",Y183="Additional application on site",Y183="Replaces earlier",Y183="Extension of duration (parent not in CIS)"),"Yes","No")</f>
        <v>Yes</v>
      </c>
      <c r="AA183" s="2"/>
      <c r="AB183" s="2" t="n">
        <f aca="false">IF(L183="","",ROUND((Method!$B$4-L183)/30.44,0))</f>
        <v>70</v>
      </c>
      <c r="AC183" s="2" t="str">
        <f aca="false">IF(AB183="","No",IF(AB183&gt;Method!$B$5,"Yes","No"))</f>
        <v>Yes</v>
      </c>
      <c r="AD183" s="22" t="n">
        <f aca="false">IF(BJ183&lt;&gt;"",BJ183,IF(K183&lt;&gt;"",EDATE(K183,60),""))</f>
        <v>46027</v>
      </c>
      <c r="AE183" s="2" t="str">
        <f aca="false">IF(AND(AD183&lt;&gt;"",OR(G183="Permission Granted",G183="Commencement Expected",G183="Stalled or Suspended")),IF(AD183&lt;Method!$B$4,"Yes","No"),"No")</f>
        <v>Yes</v>
      </c>
      <c r="AF183" s="7"/>
      <c r="AG183" s="2" t="str">
        <f aca="false">IF(Z183="No","Not counted",IF(AF183="Lapsed or dead","Excluded",IF(AF183="Constrained","Constrained / uncertain",IF(AF183="Confirmed live",IF(G183="On Site","Committed",IF(G183="Part Complete","Committed",IF(G183="Contract Awarded","Committed Pre-Construction",IF(G183="Tender","Advanced Pre-Construction",IF(G183="Commencement Expected","Likely",IF(G183="Permission Granted","Potential",IF(G183="Stalled or Suspended","Constrained / uncertain",IF(G183="Complete","Delivered","Application Pipeline")))))))),IF(G183="Complete","Delivered",IF(AND(OR(G183="Permission Granted",G183="Commencement Expected"),OR(AC183="Yes",AE183="Yes")),"Constrained / uncertain",IF(G183="On Site","Committed",IF(G183="Part Complete","Committed",IF(G183="Contract Awarded","Committed Pre-Construction",IF(G183="Tender","Advanced Pre-Construction",IF(G183="Commencement Expected","Likely",IF(G183="Permission Granted","Potential",IF(G183="Stalled or Suspended","Constrained / uncertain",IF(G183="Complete","Delivered","Application Pipeline"))))))))))))))</f>
        <v>Constrained / uncertain</v>
      </c>
      <c r="AH183" s="2" t="str">
        <f aca="false">IF(Z183="No","Relationship: "&amp;Y183,IF(AF183&lt;&gt;"","Analyst: "&amp;AF183,IF(G183="Complete","Complete",IF(AND(OR(G183="Permission Granted",G183="Commencement Expected"),AE183="Yes"),"Past expiry",IF(AND(OR(G183="Permission Granted",G183="Commencement Expected"),AC183="Yes"),"No CIS update in "&amp;AB183&amp;" months","As CIS")))))</f>
        <v>Past expiry</v>
      </c>
      <c r="AI183" s="10" t="n">
        <f aca="false">IF(Z183="Yes",N(Q183),0)</f>
        <v>24</v>
      </c>
      <c r="AJ183" s="10" t="n">
        <f aca="false">IF(OR(Z183="No",G183="Complete"),0,MAX(N(Q183)-N(AA183),0))</f>
        <v>24</v>
      </c>
      <c r="AK183" s="10" t="n">
        <f aca="false">IF(Z183="No",0,IF(G183="Complete",N(Q183),MIN(N(AA183),N(Q183))))</f>
        <v>0</v>
      </c>
      <c r="AL183" s="10" t="n">
        <f aca="false">IF(OR(OR(AG183="Not counted",AG183="Excluded",AG183="Delivered"),P183="Student accommodation"),0,AJ183)</f>
        <v>24</v>
      </c>
      <c r="AM183" s="10" t="n">
        <f aca="false">IF(OR(OR(AG183="Not counted",AG183="Excluded",AG183="Delivered"),P183&lt;&gt;"Student accommodation"),0,AJ183)</f>
        <v>0</v>
      </c>
      <c r="AN183" s="10" t="n">
        <f aca="false">IF(OR(AG183="Not counted",AG183="Excluded",AG183="Delivered"),0,N(S183))</f>
        <v>0</v>
      </c>
      <c r="AO183" s="2" t="s">
        <v>1031</v>
      </c>
      <c r="AP183" s="10"/>
      <c r="AQ183" s="10" t="n">
        <v>9</v>
      </c>
      <c r="AR183" s="10" t="n">
        <v>15</v>
      </c>
      <c r="AS183" s="10"/>
      <c r="AT183" s="10"/>
      <c r="AU183" s="10"/>
      <c r="AV183" s="10" t="n">
        <f aca="false">N(AP183)+N(AQ183)+N(AR183)+N(AS183)+N(AT183)+N(AU183)</f>
        <v>24</v>
      </c>
      <c r="AW183" s="10"/>
      <c r="AX183" s="10" t="n">
        <v>24</v>
      </c>
      <c r="AY183" s="10"/>
      <c r="AZ183" s="2"/>
      <c r="BA183" s="2" t="s">
        <v>1022</v>
      </c>
      <c r="BB183" s="2" t="s">
        <v>1710</v>
      </c>
      <c r="BC183" s="2" t="s">
        <v>1023</v>
      </c>
      <c r="BD183" s="2" t="s">
        <v>1024</v>
      </c>
      <c r="BE183" s="2"/>
      <c r="BF183" s="2" t="s">
        <v>1025</v>
      </c>
      <c r="BG183" s="22" t="n">
        <v>44161</v>
      </c>
      <c r="BH183" s="22" t="n">
        <v>46027</v>
      </c>
      <c r="BI183" s="2"/>
      <c r="BJ183" s="22" t="n">
        <v>46027</v>
      </c>
      <c r="BK183" s="2"/>
      <c r="BL183" s="2" t="n">
        <v>0</v>
      </c>
      <c r="BM183" s="2"/>
      <c r="BN183" s="2" t="s">
        <v>1711</v>
      </c>
      <c r="BO183" s="23" t="s">
        <v>1712</v>
      </c>
      <c r="BP183" s="2" t="n">
        <f aca="false">IF(OR(K183="",BG183=""),"",ROUND(BG183-K183,0))</f>
        <v>0</v>
      </c>
      <c r="BQ183" s="2" t="str">
        <f aca="false">IF(OR(N(BK183)=0,Q183=""),"Not recorded",IF(BK183=Q183,"Match","Differs"))</f>
        <v>Not recorded</v>
      </c>
      <c r="BR183" s="2" t="str">
        <f aca="false">IF(N183="No","Excluded (non-residential)",IF(BF183="No reference","Unverified – no reference",IF(BF183="Not in council register","Unverified – not in register (Part 8 / other)",IF(OR(BF183="Refused",BF183="Refused on appeal",BF183="Withdrawn",BF183="Invalid",BF183="Quashed"),IF(OR(G183="Complete",G183="On Site",G183="Part Complete"),"Conflict – register not live but CIS says built","Conflict – not live in register"),IF(AND(G183="Plans Submitted",OR(BF183="Granted",BF183="Granted on appeal")),"Stage out of date – now granted",IF(AND(G183&lt;&gt;"Plans Submitted",OR(BF183="Pending",BF183="Under appeal")),"Check – register still pending",IF(N(BL183)&gt;Method!$B$7,"Check – location differs",IF(AND(BP183&lt;&gt;"",ABS(N(BP183))&gt;60),"Consistent – decision date differs","Consistent"))))))))</f>
        <v>Consistent</v>
      </c>
      <c r="BS183" s="2"/>
      <c r="BT183" s="2"/>
      <c r="BU183" s="2"/>
      <c r="BV183" s="2"/>
      <c r="BW183" s="2"/>
      <c r="BX183" s="2"/>
    </row>
    <row r="184" customFormat="false" ht="15" hidden="false" customHeight="false" outlineLevel="0" collapsed="false">
      <c r="A184" s="2" t="n">
        <v>1417885</v>
      </c>
      <c r="B184" s="2" t="s">
        <v>273</v>
      </c>
      <c r="C184" s="2" t="s">
        <v>1713</v>
      </c>
      <c r="D184" s="2" t="s">
        <v>1714</v>
      </c>
      <c r="E184" s="2" t="s">
        <v>275</v>
      </c>
      <c r="F184" s="2" t="s">
        <v>144</v>
      </c>
      <c r="G184" s="2" t="s">
        <v>187</v>
      </c>
      <c r="H184" s="2" t="s">
        <v>1014</v>
      </c>
      <c r="I184" s="2"/>
      <c r="J184" s="22" t="n">
        <v>45989</v>
      </c>
      <c r="K184" s="22" t="n">
        <v>46149</v>
      </c>
      <c r="L184" s="22" t="n">
        <v>46154.3202430903</v>
      </c>
      <c r="M184" s="2" t="s">
        <v>1016</v>
      </c>
      <c r="N184" s="2" t="s">
        <v>121</v>
      </c>
      <c r="O184" s="2"/>
      <c r="P184" s="2" t="s">
        <v>1017</v>
      </c>
      <c r="Q184" s="10" t="n">
        <v>76</v>
      </c>
      <c r="R184" s="10" t="n">
        <v>76</v>
      </c>
      <c r="S184" s="10"/>
      <c r="T184" s="2" t="s">
        <v>30</v>
      </c>
      <c r="U184" s="2"/>
      <c r="V184" s="2" t="s">
        <v>1080</v>
      </c>
      <c r="W184" s="2" t="s">
        <v>1020</v>
      </c>
      <c r="X184" s="7"/>
      <c r="Y184" s="2" t="str">
        <f aca="false">IF(X184&lt;&gt;"",X184,T184)</f>
        <v>Additional application on site</v>
      </c>
      <c r="Z184" s="2" t="str">
        <f aca="false">IF(OR(Y184="Primary",Y184="Additional phase",Y184="Additional application on site",Y184="Replaces earlier",Y184="Extension of duration (parent not in CIS)"),"Yes","No")</f>
        <v>Yes</v>
      </c>
      <c r="AA184" s="2"/>
      <c r="AB184" s="2" t="n">
        <f aca="false">IF(L184="","",ROUND((Method!$B$4-L184)/30.44,0))</f>
        <v>5</v>
      </c>
      <c r="AC184" s="2" t="str">
        <f aca="false">IF(AB184="","No",IF(AB184&gt;Method!$B$5,"Yes","No"))</f>
        <v>No</v>
      </c>
      <c r="AD184" s="22" t="n">
        <f aca="false">IF(BJ184&lt;&gt;"",BJ184,IF(K184&lt;&gt;"",EDATE(K184,60),""))</f>
        <v>48008</v>
      </c>
      <c r="AE184" s="2" t="str">
        <f aca="false">IF(AND(AD184&lt;&gt;"",OR(G184="Permission Granted",G184="Commencement Expected",G184="Stalled or Suspended")),IF(AD184&lt;Method!$B$4,"Yes","No"),"No")</f>
        <v>No</v>
      </c>
      <c r="AF184" s="7"/>
      <c r="AG184" s="2" t="str">
        <f aca="false">IF(Z184="No","Not counted",IF(AF184="Lapsed or dead","Excluded",IF(AF184="Constrained","Constrained / uncertain",IF(AF184="Confirmed live",IF(G184="On Site","Committed",IF(G184="Part Complete","Committed",IF(G184="Contract Awarded","Committed Pre-Construction",IF(G184="Tender","Advanced Pre-Construction",IF(G184="Commencement Expected","Likely",IF(G184="Permission Granted","Potential",IF(G184="Stalled or Suspended","Constrained / uncertain",IF(G184="Complete","Delivered","Application Pipeline")))))))),IF(G184="Complete","Delivered",IF(AND(OR(G184="Permission Granted",G184="Commencement Expected"),OR(AC184="Yes",AE184="Yes")),"Constrained / uncertain",IF(G184="On Site","Committed",IF(G184="Part Complete","Committed",IF(G184="Contract Awarded","Committed Pre-Construction",IF(G184="Tender","Advanced Pre-Construction",IF(G184="Commencement Expected","Likely",IF(G184="Permission Granted","Potential",IF(G184="Stalled or Suspended","Constrained / uncertain",IF(G184="Complete","Delivered","Application Pipeline"))))))))))))))</f>
        <v>Potential</v>
      </c>
      <c r="AH184" s="2" t="str">
        <f aca="false">IF(Z184="No","Relationship: "&amp;Y184,IF(AF184&lt;&gt;"","Analyst: "&amp;AF184,IF(G184="Complete","Complete",IF(AND(OR(G184="Permission Granted",G184="Commencement Expected"),AE184="Yes"),"Past expiry",IF(AND(OR(G184="Permission Granted",G184="Commencement Expected"),AC184="Yes"),"No CIS update in "&amp;AB184&amp;" months","As CIS")))))</f>
        <v>As CIS</v>
      </c>
      <c r="AI184" s="10" t="n">
        <f aca="false">IF(Z184="Yes",N(Q184),0)</f>
        <v>76</v>
      </c>
      <c r="AJ184" s="10" t="n">
        <f aca="false">IF(OR(Z184="No",G184="Complete"),0,MAX(N(Q184)-N(AA184),0))</f>
        <v>76</v>
      </c>
      <c r="AK184" s="10" t="n">
        <f aca="false">IF(Z184="No",0,IF(G184="Complete",N(Q184),MIN(N(AA184),N(Q184))))</f>
        <v>0</v>
      </c>
      <c r="AL184" s="10" t="n">
        <f aca="false">IF(OR(OR(AG184="Not counted",AG184="Excluded",AG184="Delivered"),P184="Student accommodation"),0,AJ184)</f>
        <v>76</v>
      </c>
      <c r="AM184" s="10" t="n">
        <f aca="false">IF(OR(OR(AG184="Not counted",AG184="Excluded",AG184="Delivered"),P184&lt;&gt;"Student accommodation"),0,AJ184)</f>
        <v>0</v>
      </c>
      <c r="AN184" s="10" t="n">
        <f aca="false">IF(OR(AG184="Not counted",AG184="Excluded",AG184="Delivered"),0,N(S184))</f>
        <v>0</v>
      </c>
      <c r="AO184" s="2" t="s">
        <v>1157</v>
      </c>
      <c r="AP184" s="10"/>
      <c r="AQ184" s="10" t="n">
        <v>35</v>
      </c>
      <c r="AR184" s="10" t="n">
        <v>41</v>
      </c>
      <c r="AS184" s="10"/>
      <c r="AT184" s="10"/>
      <c r="AU184" s="10"/>
      <c r="AV184" s="10" t="n">
        <f aca="false">N(AP184)+N(AQ184)+N(AR184)+N(AS184)+N(AT184)+N(AU184)</f>
        <v>76</v>
      </c>
      <c r="AW184" s="10"/>
      <c r="AX184" s="10" t="n">
        <v>76</v>
      </c>
      <c r="AY184" s="10"/>
      <c r="AZ184" s="2"/>
      <c r="BA184" s="2" t="s">
        <v>1022</v>
      </c>
      <c r="BB184" s="2" t="s">
        <v>1713</v>
      </c>
      <c r="BC184" s="2" t="s">
        <v>1023</v>
      </c>
      <c r="BD184" s="2" t="s">
        <v>1024</v>
      </c>
      <c r="BE184" s="2"/>
      <c r="BF184" s="2" t="s">
        <v>1025</v>
      </c>
      <c r="BG184" s="22" t="n">
        <v>46149</v>
      </c>
      <c r="BH184" s="22" t="n">
        <v>48008</v>
      </c>
      <c r="BI184" s="2"/>
      <c r="BJ184" s="22" t="n">
        <v>48008</v>
      </c>
      <c r="BK184" s="2"/>
      <c r="BL184" s="2" t="n">
        <v>0</v>
      </c>
      <c r="BM184" s="2"/>
      <c r="BN184" s="2" t="s">
        <v>1715</v>
      </c>
      <c r="BO184" s="23" t="s">
        <v>1716</v>
      </c>
      <c r="BP184" s="2" t="n">
        <f aca="false">IF(OR(K184="",BG184=""),"",ROUND(BG184-K184,0))</f>
        <v>0</v>
      </c>
      <c r="BQ184" s="2" t="str">
        <f aca="false">IF(OR(N(BK184)=0,Q184=""),"Not recorded",IF(BK184=Q184,"Match","Differs"))</f>
        <v>Not recorded</v>
      </c>
      <c r="BR184" s="2" t="str">
        <f aca="false">IF(N184="No","Excluded (non-residential)",IF(BF184="No reference","Unverified – no reference",IF(BF184="Not in council register","Unverified – not in register (Part 8 / other)",IF(OR(BF184="Refused",BF184="Refused on appeal",BF184="Withdrawn",BF184="Invalid",BF184="Quashed"),IF(OR(G184="Complete",G184="On Site",G184="Part Complete"),"Conflict – register not live but CIS says built","Conflict – not live in register"),IF(AND(G184="Plans Submitted",OR(BF184="Granted",BF184="Granted on appeal")),"Stage out of date – now granted",IF(AND(G184&lt;&gt;"Plans Submitted",OR(BF184="Pending",BF184="Under appeal")),"Check – register still pending",IF(N(BL184)&gt;Method!$B$7,"Check – location differs",IF(AND(BP184&lt;&gt;"",ABS(N(BP184))&gt;60),"Consistent – decision date differs","Consistent"))))))))</f>
        <v>Consistent</v>
      </c>
      <c r="BS184" s="2"/>
      <c r="BT184" s="2"/>
      <c r="BU184" s="2"/>
      <c r="BV184" s="2"/>
      <c r="BW184" s="2"/>
      <c r="BX184" s="2"/>
    </row>
    <row r="185" customFormat="false" ht="15" hidden="false" customHeight="false" outlineLevel="0" collapsed="false">
      <c r="A185" s="2" t="n">
        <v>1103802</v>
      </c>
      <c r="B185" s="2" t="s">
        <v>411</v>
      </c>
      <c r="C185" s="2" t="s">
        <v>1717</v>
      </c>
      <c r="D185" s="2" t="s">
        <v>412</v>
      </c>
      <c r="E185" s="2" t="s">
        <v>413</v>
      </c>
      <c r="F185" s="2" t="s">
        <v>144</v>
      </c>
      <c r="G185" s="2" t="s">
        <v>187</v>
      </c>
      <c r="H185" s="2" t="s">
        <v>1014</v>
      </c>
      <c r="I185" s="2"/>
      <c r="J185" s="22" t="n">
        <v>43987</v>
      </c>
      <c r="K185" s="22" t="n">
        <v>44147</v>
      </c>
      <c r="L185" s="22" t="n">
        <v>44315.5968548958</v>
      </c>
      <c r="M185" s="2" t="s">
        <v>1016</v>
      </c>
      <c r="N185" s="2" t="s">
        <v>121</v>
      </c>
      <c r="O185" s="2"/>
      <c r="P185" s="2" t="s">
        <v>1017</v>
      </c>
      <c r="Q185" s="10" t="n">
        <v>8</v>
      </c>
      <c r="R185" s="10" t="n">
        <v>6</v>
      </c>
      <c r="S185" s="10"/>
      <c r="T185" s="2" t="s">
        <v>120</v>
      </c>
      <c r="U185" s="2"/>
      <c r="V185" s="2" t="s">
        <v>1029</v>
      </c>
      <c r="W185" s="2" t="s">
        <v>1030</v>
      </c>
      <c r="X185" s="7"/>
      <c r="Y185" s="2" t="str">
        <f aca="false">IF(X185&lt;&gt;"",X185,T185)</f>
        <v>Primary</v>
      </c>
      <c r="Z185" s="2" t="str">
        <f aca="false">IF(OR(Y185="Primary",Y185="Additional phase",Y185="Additional application on site",Y185="Replaces earlier",Y185="Extension of duration (parent not in CIS)"),"Yes","No")</f>
        <v>Yes</v>
      </c>
      <c r="AA185" s="2"/>
      <c r="AB185" s="2" t="n">
        <f aca="false">IF(L185="","",ROUND((Method!$B$4-L185)/30.44,0))</f>
        <v>65</v>
      </c>
      <c r="AC185" s="2" t="str">
        <f aca="false">IF(AB185="","No",IF(AB185&gt;Method!$B$5,"Yes","No"))</f>
        <v>Yes</v>
      </c>
      <c r="AD185" s="22" t="n">
        <f aca="false">IF(BJ185&lt;&gt;"",BJ185,IF(K185&lt;&gt;"",EDATE(K185,60),""))</f>
        <v>46131</v>
      </c>
      <c r="AE185" s="2" t="str">
        <f aca="false">IF(AND(AD185&lt;&gt;"",OR(G185="Permission Granted",G185="Commencement Expected",G185="Stalled or Suspended")),IF(AD185&lt;Method!$B$4,"Yes","No"),"No")</f>
        <v>Yes</v>
      </c>
      <c r="AF185" s="7"/>
      <c r="AG185" s="2" t="str">
        <f aca="false">IF(Z185="No","Not counted",IF(AF185="Lapsed or dead","Excluded",IF(AF185="Constrained","Constrained / uncertain",IF(AF185="Confirmed live",IF(G185="On Site","Committed",IF(G185="Part Complete","Committed",IF(G185="Contract Awarded","Committed Pre-Construction",IF(G185="Tender","Advanced Pre-Construction",IF(G185="Commencement Expected","Likely",IF(G185="Permission Granted","Potential",IF(G185="Stalled or Suspended","Constrained / uncertain",IF(G185="Complete","Delivered","Application Pipeline")))))))),IF(G185="Complete","Delivered",IF(AND(OR(G185="Permission Granted",G185="Commencement Expected"),OR(AC185="Yes",AE185="Yes")),"Constrained / uncertain",IF(G185="On Site","Committed",IF(G185="Part Complete","Committed",IF(G185="Contract Awarded","Committed Pre-Construction",IF(G185="Tender","Advanced Pre-Construction",IF(G185="Commencement Expected","Likely",IF(G185="Permission Granted","Potential",IF(G185="Stalled or Suspended","Constrained / uncertain",IF(G185="Complete","Delivered","Application Pipeline"))))))))))))))</f>
        <v>Constrained / uncertain</v>
      </c>
      <c r="AH185" s="2" t="str">
        <f aca="false">IF(Z185="No","Relationship: "&amp;Y185,IF(AF185&lt;&gt;"","Analyst: "&amp;AF185,IF(G185="Complete","Complete",IF(AND(OR(G185="Permission Granted",G185="Commencement Expected"),AE185="Yes"),"Past expiry",IF(AND(OR(G185="Permission Granted",G185="Commencement Expected"),AC185="Yes"),"No CIS update in "&amp;AB185&amp;" months","As CIS")))))</f>
        <v>Past expiry</v>
      </c>
      <c r="AI185" s="10" t="n">
        <f aca="false">IF(Z185="Yes",N(Q185),0)</f>
        <v>8</v>
      </c>
      <c r="AJ185" s="10" t="n">
        <f aca="false">IF(OR(Z185="No",G185="Complete"),0,MAX(N(Q185)-N(AA185),0))</f>
        <v>8</v>
      </c>
      <c r="AK185" s="10" t="n">
        <f aca="false">IF(Z185="No",0,IF(G185="Complete",N(Q185),MIN(N(AA185),N(Q185))))</f>
        <v>0</v>
      </c>
      <c r="AL185" s="10" t="n">
        <f aca="false">IF(OR(OR(AG185="Not counted",AG185="Excluded",AG185="Delivered"),P185="Student accommodation"),0,AJ185)</f>
        <v>8</v>
      </c>
      <c r="AM185" s="10" t="n">
        <f aca="false">IF(OR(OR(AG185="Not counted",AG185="Excluded",AG185="Delivered"),P185&lt;&gt;"Student accommodation"),0,AJ185)</f>
        <v>0</v>
      </c>
      <c r="AN185" s="10" t="n">
        <f aca="false">IF(OR(AG185="Not counted",AG185="Excluded",AG185="Delivered"),0,N(S185))</f>
        <v>0</v>
      </c>
      <c r="AO185" s="2" t="s">
        <v>1031</v>
      </c>
      <c r="AP185" s="10"/>
      <c r="AQ185" s="10" t="n">
        <v>3</v>
      </c>
      <c r="AR185" s="10" t="n">
        <v>3</v>
      </c>
      <c r="AS185" s="10"/>
      <c r="AT185" s="10"/>
      <c r="AU185" s="10"/>
      <c r="AV185" s="10" t="n">
        <f aca="false">N(AP185)+N(AQ185)+N(AR185)+N(AS185)+N(AT185)+N(AU185)</f>
        <v>6</v>
      </c>
      <c r="AW185" s="10"/>
      <c r="AX185" s="10" t="n">
        <v>6</v>
      </c>
      <c r="AY185" s="10"/>
      <c r="AZ185" s="2"/>
      <c r="BA185" s="2" t="s">
        <v>1022</v>
      </c>
      <c r="BB185" s="2" t="s">
        <v>1717</v>
      </c>
      <c r="BC185" s="2" t="s">
        <v>1023</v>
      </c>
      <c r="BD185" s="2" t="s">
        <v>1024</v>
      </c>
      <c r="BE185" s="2" t="s">
        <v>1024</v>
      </c>
      <c r="BF185" s="2" t="s">
        <v>1059</v>
      </c>
      <c r="BG185" s="22" t="n">
        <v>44147</v>
      </c>
      <c r="BH185" s="22" t="n">
        <v>46131</v>
      </c>
      <c r="BI185" s="2"/>
      <c r="BJ185" s="22" t="n">
        <v>46131</v>
      </c>
      <c r="BK185" s="2"/>
      <c r="BL185" s="2" t="n">
        <v>0</v>
      </c>
      <c r="BM185" s="2"/>
      <c r="BN185" s="2" t="s">
        <v>1718</v>
      </c>
      <c r="BO185" s="23" t="s">
        <v>1719</v>
      </c>
      <c r="BP185" s="2" t="n">
        <f aca="false">IF(OR(K185="",BG185=""),"",ROUND(BG185-K185,0))</f>
        <v>0</v>
      </c>
      <c r="BQ185" s="2" t="str">
        <f aca="false">IF(OR(N(BK185)=0,Q185=""),"Not recorded",IF(BK185=Q185,"Match","Differs"))</f>
        <v>Not recorded</v>
      </c>
      <c r="BR185" s="2" t="str">
        <f aca="false">IF(N185="No","Excluded (non-residential)",IF(BF185="No reference","Unverified – no reference",IF(BF185="Not in council register","Unverified – not in register (Part 8 / other)",IF(OR(BF185="Refused",BF185="Refused on appeal",BF185="Withdrawn",BF185="Invalid",BF185="Quashed"),IF(OR(G185="Complete",G185="On Site",G185="Part Complete"),"Conflict – register not live but CIS says built","Conflict – not live in register"),IF(AND(G185="Plans Submitted",OR(BF185="Granted",BF185="Granted on appeal")),"Stage out of date – now granted",IF(AND(G185&lt;&gt;"Plans Submitted",OR(BF185="Pending",BF185="Under appeal")),"Check – register still pending",IF(N(BL185)&gt;Method!$B$7,"Check – location differs",IF(AND(BP185&lt;&gt;"",ABS(N(BP185))&gt;60),"Consistent – decision date differs","Consistent"))))))))</f>
        <v>Consistent</v>
      </c>
      <c r="BS185" s="2"/>
      <c r="BT185" s="2"/>
      <c r="BU185" s="2"/>
      <c r="BV185" s="2"/>
      <c r="BW185" s="2"/>
      <c r="BX185" s="2"/>
    </row>
    <row r="186" customFormat="false" ht="15" hidden="false" customHeight="false" outlineLevel="0" collapsed="false">
      <c r="A186" s="2" t="n">
        <v>1264538</v>
      </c>
      <c r="B186" s="2" t="s">
        <v>411</v>
      </c>
      <c r="C186" s="2" t="s">
        <v>1720</v>
      </c>
      <c r="D186" s="2" t="s">
        <v>1721</v>
      </c>
      <c r="E186" s="2" t="s">
        <v>1722</v>
      </c>
      <c r="F186" s="2" t="s">
        <v>144</v>
      </c>
      <c r="G186" s="2" t="s">
        <v>251</v>
      </c>
      <c r="H186" s="2" t="s">
        <v>1014</v>
      </c>
      <c r="I186" s="2" t="s">
        <v>1015</v>
      </c>
      <c r="J186" s="22" t="n">
        <v>44916</v>
      </c>
      <c r="K186" s="22" t="n">
        <v>45134</v>
      </c>
      <c r="L186" s="22" t="n">
        <v>45707.6236408565</v>
      </c>
      <c r="M186" s="2" t="s">
        <v>1016</v>
      </c>
      <c r="N186" s="2" t="s">
        <v>121</v>
      </c>
      <c r="O186" s="2"/>
      <c r="P186" s="2" t="s">
        <v>1017</v>
      </c>
      <c r="Q186" s="10" t="n">
        <v>9</v>
      </c>
      <c r="R186" s="10"/>
      <c r="S186" s="10"/>
      <c r="T186" s="2" t="s">
        <v>30</v>
      </c>
      <c r="U186" s="2"/>
      <c r="V186" s="2" t="s">
        <v>1080</v>
      </c>
      <c r="W186" s="2" t="s">
        <v>1020</v>
      </c>
      <c r="X186" s="7"/>
      <c r="Y186" s="2" t="str">
        <f aca="false">IF(X186&lt;&gt;"",X186,T186)</f>
        <v>Additional application on site</v>
      </c>
      <c r="Z186" s="2" t="str">
        <f aca="false">IF(OR(Y186="Primary",Y186="Additional phase",Y186="Additional application on site",Y186="Replaces earlier",Y186="Extension of duration (parent not in CIS)"),"Yes","No")</f>
        <v>Yes</v>
      </c>
      <c r="AA186" s="2"/>
      <c r="AB186" s="2" t="n">
        <f aca="false">IF(L186="","",ROUND((Method!$B$4-L186)/30.44,0))</f>
        <v>19</v>
      </c>
      <c r="AC186" s="2" t="str">
        <f aca="false">IF(AB186="","No",IF(AB186&gt;Method!$B$5,"Yes","No"))</f>
        <v>No</v>
      </c>
      <c r="AD186" s="22" t="n">
        <f aca="false">IF(BJ186&lt;&gt;"",BJ186,IF(K186&lt;&gt;"",EDATE(K186,60),""))</f>
        <v>46993</v>
      </c>
      <c r="AE186" s="2" t="str">
        <f aca="false">IF(AND(AD186&lt;&gt;"",OR(G186="Permission Granted",G186="Commencement Expected",G186="Stalled or Suspended")),IF(AD186&lt;Method!$B$4,"Yes","No"),"No")</f>
        <v>No</v>
      </c>
      <c r="AF186" s="7"/>
      <c r="AG186" s="2" t="str">
        <f aca="false">IF(Z186="No","Not counted",IF(AF186="Lapsed or dead","Excluded",IF(AF186="Constrained","Constrained / uncertain",IF(AF186="Confirmed live",IF(G186="On Site","Committed",IF(G186="Part Complete","Committed",IF(G186="Contract Awarded","Committed Pre-Construction",IF(G186="Tender","Advanced Pre-Construction",IF(G186="Commencement Expected","Likely",IF(G186="Permission Granted","Potential",IF(G186="Stalled or Suspended","Constrained / uncertain",IF(G186="Complete","Delivered","Application Pipeline")))))))),IF(G186="Complete","Delivered",IF(AND(OR(G186="Permission Granted",G186="Commencement Expected"),OR(AC186="Yes",AE186="Yes")),"Constrained / uncertain",IF(G186="On Site","Committed",IF(G186="Part Complete","Committed",IF(G186="Contract Awarded","Committed Pre-Construction",IF(G186="Tender","Advanced Pre-Construction",IF(G186="Commencement Expected","Likely",IF(G186="Permission Granted","Potential",IF(G186="Stalled or Suspended","Constrained / uncertain",IF(G186="Complete","Delivered","Application Pipeline"))))))))))))))</f>
        <v>Delivered</v>
      </c>
      <c r="AH186" s="2" t="str">
        <f aca="false">IF(Z186="No","Relationship: "&amp;Y186,IF(AF186&lt;&gt;"","Analyst: "&amp;AF186,IF(G186="Complete","Complete",IF(AND(OR(G186="Permission Granted",G186="Commencement Expected"),AE186="Yes"),"Past expiry",IF(AND(OR(G186="Permission Granted",G186="Commencement Expected"),AC186="Yes"),"No CIS update in "&amp;AB186&amp;" months","As CIS")))))</f>
        <v>Complete</v>
      </c>
      <c r="AI186" s="10" t="n">
        <f aca="false">IF(Z186="Yes",N(Q186),0)</f>
        <v>9</v>
      </c>
      <c r="AJ186" s="10" t="n">
        <f aca="false">IF(OR(Z186="No",G186="Complete"),0,MAX(N(Q186)-N(AA186),0))</f>
        <v>0</v>
      </c>
      <c r="AK186" s="10" t="n">
        <f aca="false">IF(Z186="No",0,IF(G186="Complete",N(Q186),MIN(N(AA186),N(Q186))))</f>
        <v>9</v>
      </c>
      <c r="AL186" s="10" t="n">
        <f aca="false">IF(OR(OR(AG186="Not counted",AG186="Excluded",AG186="Delivered"),P186="Student accommodation"),0,AJ186)</f>
        <v>0</v>
      </c>
      <c r="AM186" s="10" t="n">
        <f aca="false">IF(OR(OR(AG186="Not counted",AG186="Excluded",AG186="Delivered"),P186&lt;&gt;"Student accommodation"),0,AJ186)</f>
        <v>0</v>
      </c>
      <c r="AN186" s="10" t="n">
        <f aca="false">IF(OR(AG186="Not counted",AG186="Excluded",AG186="Delivered"),0,N(S186))</f>
        <v>0</v>
      </c>
      <c r="AO186" s="2" t="s">
        <v>1031</v>
      </c>
      <c r="AP186" s="10"/>
      <c r="AQ186" s="10" t="n">
        <v>9</v>
      </c>
      <c r="AR186" s="10"/>
      <c r="AS186" s="10"/>
      <c r="AT186" s="10"/>
      <c r="AU186" s="10"/>
      <c r="AV186" s="10" t="n">
        <f aca="false">N(AP186)+N(AQ186)+N(AR186)+N(AS186)+N(AT186)+N(AU186)</f>
        <v>9</v>
      </c>
      <c r="AW186" s="10"/>
      <c r="AX186" s="10" t="n">
        <v>9</v>
      </c>
      <c r="AY186" s="10"/>
      <c r="AZ186" s="2"/>
      <c r="BA186" s="2" t="s">
        <v>1022</v>
      </c>
      <c r="BB186" s="2" t="s">
        <v>1720</v>
      </c>
      <c r="BC186" s="2" t="s">
        <v>1023</v>
      </c>
      <c r="BD186" s="2" t="s">
        <v>1024</v>
      </c>
      <c r="BE186" s="2"/>
      <c r="BF186" s="2" t="s">
        <v>1025</v>
      </c>
      <c r="BG186" s="22" t="n">
        <v>45134</v>
      </c>
      <c r="BH186" s="22" t="n">
        <v>46993</v>
      </c>
      <c r="BI186" s="2"/>
      <c r="BJ186" s="22" t="n">
        <v>46993</v>
      </c>
      <c r="BK186" s="2"/>
      <c r="BL186" s="2" t="n">
        <v>0</v>
      </c>
      <c r="BM186" s="2"/>
      <c r="BN186" s="2" t="s">
        <v>1723</v>
      </c>
      <c r="BO186" s="23" t="s">
        <v>1724</v>
      </c>
      <c r="BP186" s="2" t="n">
        <f aca="false">IF(OR(K186="",BG186=""),"",ROUND(BG186-K186,0))</f>
        <v>0</v>
      </c>
      <c r="BQ186" s="2" t="str">
        <f aca="false">IF(OR(N(BK186)=0,Q186=""),"Not recorded",IF(BK186=Q186,"Match","Differs"))</f>
        <v>Not recorded</v>
      </c>
      <c r="BR186" s="2" t="str">
        <f aca="false">IF(N186="No","Excluded (non-residential)",IF(BF186="No reference","Unverified – no reference",IF(BF186="Not in council register","Unverified – not in register (Part 8 / other)",IF(OR(BF186="Refused",BF186="Refused on appeal",BF186="Withdrawn",BF186="Invalid",BF186="Quashed"),IF(OR(G186="Complete",G186="On Site",G186="Part Complete"),"Conflict – register not live but CIS says built","Conflict – not live in register"),IF(AND(G186="Plans Submitted",OR(BF186="Granted",BF186="Granted on appeal")),"Stage out of date – now granted",IF(AND(G186&lt;&gt;"Plans Submitted",OR(BF186="Pending",BF186="Under appeal")),"Check – register still pending",IF(N(BL186)&gt;Method!$B$7,"Check – location differs",IF(AND(BP186&lt;&gt;"",ABS(N(BP186))&gt;60),"Consistent – decision date differs","Consistent"))))))))</f>
        <v>Consistent</v>
      </c>
      <c r="BS186" s="2"/>
      <c r="BT186" s="2"/>
      <c r="BU186" s="2"/>
      <c r="BV186" s="2"/>
      <c r="BW186" s="2"/>
      <c r="BX186" s="2"/>
    </row>
    <row r="187" customFormat="false" ht="15" hidden="false" customHeight="false" outlineLevel="0" collapsed="false">
      <c r="A187" s="2" t="n">
        <v>1114461</v>
      </c>
      <c r="B187" s="2" t="s">
        <v>212</v>
      </c>
      <c r="C187" s="2" t="s">
        <v>1725</v>
      </c>
      <c r="D187" s="2" t="s">
        <v>213</v>
      </c>
      <c r="E187" s="2" t="s">
        <v>214</v>
      </c>
      <c r="F187" s="2" t="s">
        <v>139</v>
      </c>
      <c r="G187" s="2" t="s">
        <v>251</v>
      </c>
      <c r="H187" s="2" t="s">
        <v>1014</v>
      </c>
      <c r="I187" s="2" t="s">
        <v>1015</v>
      </c>
      <c r="J187" s="22" t="n">
        <v>44029</v>
      </c>
      <c r="K187" s="22" t="n">
        <v>44137</v>
      </c>
      <c r="L187" s="22" t="n">
        <v>45555.585431794</v>
      </c>
      <c r="M187" s="2" t="s">
        <v>1016</v>
      </c>
      <c r="N187" s="2" t="s">
        <v>121</v>
      </c>
      <c r="O187" s="2"/>
      <c r="P187" s="2" t="s">
        <v>1017</v>
      </c>
      <c r="Q187" s="10" t="n">
        <v>200</v>
      </c>
      <c r="R187" s="10" t="n">
        <v>200</v>
      </c>
      <c r="S187" s="10"/>
      <c r="T187" s="2" t="s">
        <v>120</v>
      </c>
      <c r="U187" s="2"/>
      <c r="V187" s="2" t="s">
        <v>1029</v>
      </c>
      <c r="W187" s="2" t="s">
        <v>1030</v>
      </c>
      <c r="X187" s="7"/>
      <c r="Y187" s="2" t="str">
        <f aca="false">IF(X187&lt;&gt;"",X187,T187)</f>
        <v>Primary</v>
      </c>
      <c r="Z187" s="2" t="str">
        <f aca="false">IF(OR(Y187="Primary",Y187="Additional phase",Y187="Additional application on site",Y187="Replaces earlier",Y187="Extension of duration (parent not in CIS)"),"Yes","No")</f>
        <v>Yes</v>
      </c>
      <c r="AA187" s="2"/>
      <c r="AB187" s="2" t="n">
        <f aca="false">IF(L187="","",ROUND((Method!$B$4-L187)/30.44,0))</f>
        <v>24</v>
      </c>
      <c r="AC187" s="2" t="str">
        <f aca="false">IF(AB187="","No",IF(AB187&gt;Method!$B$5,"Yes","No"))</f>
        <v>No</v>
      </c>
      <c r="AD187" s="22" t="n">
        <f aca="false">IF(BJ187&lt;&gt;"",BJ187,IF(K187&lt;&gt;"",EDATE(K187,60),""))</f>
        <v>45962</v>
      </c>
      <c r="AE187" s="2" t="str">
        <f aca="false">IF(AND(AD187&lt;&gt;"",OR(G187="Permission Granted",G187="Commencement Expected",G187="Stalled or Suspended")),IF(AD187&lt;Method!$B$4,"Yes","No"),"No")</f>
        <v>No</v>
      </c>
      <c r="AF187" s="7"/>
      <c r="AG187" s="2" t="str">
        <f aca="false">IF(Z187="No","Not counted",IF(AF187="Lapsed or dead","Excluded",IF(AF187="Constrained","Constrained / uncertain",IF(AF187="Confirmed live",IF(G187="On Site","Committed",IF(G187="Part Complete","Committed",IF(G187="Contract Awarded","Committed Pre-Construction",IF(G187="Tender","Advanced Pre-Construction",IF(G187="Commencement Expected","Likely",IF(G187="Permission Granted","Potential",IF(G187="Stalled or Suspended","Constrained / uncertain",IF(G187="Complete","Delivered","Application Pipeline")))))))),IF(G187="Complete","Delivered",IF(AND(OR(G187="Permission Granted",G187="Commencement Expected"),OR(AC187="Yes",AE187="Yes")),"Constrained / uncertain",IF(G187="On Site","Committed",IF(G187="Part Complete","Committed",IF(G187="Contract Awarded","Committed Pre-Construction",IF(G187="Tender","Advanced Pre-Construction",IF(G187="Commencement Expected","Likely",IF(G187="Permission Granted","Potential",IF(G187="Stalled or Suspended","Constrained / uncertain",IF(G187="Complete","Delivered","Application Pipeline"))))))))))))))</f>
        <v>Delivered</v>
      </c>
      <c r="AH187" s="2" t="str">
        <f aca="false">IF(Z187="No","Relationship: "&amp;Y187,IF(AF187&lt;&gt;"","Analyst: "&amp;AF187,IF(G187="Complete","Complete",IF(AND(OR(G187="Permission Granted",G187="Commencement Expected"),AE187="Yes"),"Past expiry",IF(AND(OR(G187="Permission Granted",G187="Commencement Expected"),AC187="Yes"),"No CIS update in "&amp;AB187&amp;" months","As CIS")))))</f>
        <v>Complete</v>
      </c>
      <c r="AI187" s="10" t="n">
        <f aca="false">IF(Z187="Yes",N(Q187),0)</f>
        <v>200</v>
      </c>
      <c r="AJ187" s="10" t="n">
        <f aca="false">IF(OR(Z187="No",G187="Complete"),0,MAX(N(Q187)-N(AA187),0))</f>
        <v>0</v>
      </c>
      <c r="AK187" s="10" t="n">
        <f aca="false">IF(Z187="No",0,IF(G187="Complete",N(Q187),MIN(N(AA187),N(Q187))))</f>
        <v>200</v>
      </c>
      <c r="AL187" s="10" t="n">
        <f aca="false">IF(OR(OR(AG187="Not counted",AG187="Excluded",AG187="Delivered"),P187="Student accommodation"),0,AJ187)</f>
        <v>0</v>
      </c>
      <c r="AM187" s="10" t="n">
        <f aca="false">IF(OR(OR(AG187="Not counted",AG187="Excluded",AG187="Delivered"),P187&lt;&gt;"Student accommodation"),0,AJ187)</f>
        <v>0</v>
      </c>
      <c r="AN187" s="10" t="n">
        <f aca="false">IF(OR(AG187="Not counted",AG187="Excluded",AG187="Delivered"),0,N(S187))</f>
        <v>0</v>
      </c>
      <c r="AO187" s="2" t="s">
        <v>1232</v>
      </c>
      <c r="AP187" s="10"/>
      <c r="AQ187" s="10" t="n">
        <v>53</v>
      </c>
      <c r="AR187" s="10" t="n">
        <v>69</v>
      </c>
      <c r="AS187" s="10" t="n">
        <v>78</v>
      </c>
      <c r="AT187" s="10"/>
      <c r="AU187" s="10"/>
      <c r="AV187" s="10" t="n">
        <f aca="false">N(AP187)+N(AQ187)+N(AR187)+N(AS187)+N(AT187)+N(AU187)</f>
        <v>200</v>
      </c>
      <c r="AW187" s="10" t="n">
        <v>85</v>
      </c>
      <c r="AX187" s="10" t="n">
        <v>115</v>
      </c>
      <c r="AY187" s="10"/>
      <c r="AZ187" s="2" t="s">
        <v>1726</v>
      </c>
      <c r="BA187" s="2" t="s">
        <v>17</v>
      </c>
      <c r="BB187" s="2" t="s">
        <v>1727</v>
      </c>
      <c r="BC187" s="2" t="s">
        <v>1162</v>
      </c>
      <c r="BD187" s="2" t="s">
        <v>1163</v>
      </c>
      <c r="BE187" s="2"/>
      <c r="BF187" s="2" t="s">
        <v>1025</v>
      </c>
      <c r="BG187" s="22" t="n">
        <v>44137</v>
      </c>
      <c r="BH187" s="22" t="n">
        <v>45962</v>
      </c>
      <c r="BI187" s="2"/>
      <c r="BJ187" s="22" t="n">
        <v>45962</v>
      </c>
      <c r="BK187" s="2" t="n">
        <v>200</v>
      </c>
      <c r="BL187" s="2"/>
      <c r="BM187" s="2"/>
      <c r="BN187" s="2" t="s">
        <v>1728</v>
      </c>
      <c r="BO187" s="23" t="s">
        <v>1729</v>
      </c>
      <c r="BP187" s="2" t="n">
        <f aca="false">IF(OR(K187="",BG187=""),"",ROUND(BG187-K187,0))</f>
        <v>0</v>
      </c>
      <c r="BQ187" s="2" t="str">
        <f aca="false">IF(OR(N(BK187)=0,Q187=""),"Not recorded",IF(BK187=Q187,"Match","Differs"))</f>
        <v>Match</v>
      </c>
      <c r="BR187" s="2" t="str">
        <f aca="false">IF(N187="No","Excluded (non-residential)",IF(BF187="No reference","Unverified – no reference",IF(BF187="Not in council register","Unverified – not in register (Part 8 / other)",IF(OR(BF187="Refused",BF187="Refused on appeal",BF187="Withdrawn",BF187="Invalid",BF187="Quashed"),IF(OR(G187="Complete",G187="On Site",G187="Part Complete"),"Conflict – register not live but CIS says built","Conflict – not live in register"),IF(AND(G187="Plans Submitted",OR(BF187="Granted",BF187="Granted on appeal")),"Stage out of date – now granted",IF(AND(G187&lt;&gt;"Plans Submitted",OR(BF187="Pending",BF187="Under appeal")),"Check – register still pending",IF(N(BL187)&gt;Method!$B$7,"Check – location differs",IF(AND(BP187&lt;&gt;"",ABS(N(BP187))&gt;60),"Consistent – decision date differs","Consistent"))))))))</f>
        <v>Consistent</v>
      </c>
      <c r="BS187" s="2"/>
      <c r="BT187" s="2"/>
      <c r="BU187" s="2"/>
      <c r="BV187" s="2"/>
      <c r="BW187" s="2"/>
      <c r="BX187" s="2"/>
    </row>
    <row r="188" customFormat="false" ht="15" hidden="false" customHeight="false" outlineLevel="0" collapsed="false">
      <c r="A188" s="2" t="n">
        <v>1196488</v>
      </c>
      <c r="B188" s="2" t="s">
        <v>212</v>
      </c>
      <c r="C188" s="2" t="s">
        <v>1730</v>
      </c>
      <c r="D188" s="2" t="s">
        <v>1731</v>
      </c>
      <c r="E188" s="2" t="s">
        <v>214</v>
      </c>
      <c r="F188" s="2" t="s">
        <v>139</v>
      </c>
      <c r="G188" s="2" t="s">
        <v>198</v>
      </c>
      <c r="H188" s="2" t="s">
        <v>1014</v>
      </c>
      <c r="I188" s="2" t="s">
        <v>1015</v>
      </c>
      <c r="J188" s="22" t="n">
        <v>44491</v>
      </c>
      <c r="K188" s="22" t="n">
        <v>44650</v>
      </c>
      <c r="L188" s="22" t="n">
        <v>45191.4667876157</v>
      </c>
      <c r="M188" s="2" t="s">
        <v>1016</v>
      </c>
      <c r="N188" s="2" t="s">
        <v>121</v>
      </c>
      <c r="O188" s="2"/>
      <c r="P188" s="2" t="s">
        <v>1017</v>
      </c>
      <c r="Q188" s="10" t="n">
        <v>23</v>
      </c>
      <c r="R188" s="10"/>
      <c r="S188" s="10"/>
      <c r="T188" s="2" t="s">
        <v>30</v>
      </c>
      <c r="U188" s="2"/>
      <c r="V188" s="2" t="s">
        <v>1080</v>
      </c>
      <c r="W188" s="2" t="s">
        <v>1020</v>
      </c>
      <c r="X188" s="7"/>
      <c r="Y188" s="2" t="str">
        <f aca="false">IF(X188&lt;&gt;"",X188,T188)</f>
        <v>Additional application on site</v>
      </c>
      <c r="Z188" s="2" t="str">
        <f aca="false">IF(OR(Y188="Primary",Y188="Additional phase",Y188="Additional application on site",Y188="Replaces earlier",Y188="Extension of duration (parent not in CIS)"),"Yes","No")</f>
        <v>Yes</v>
      </c>
      <c r="AA188" s="2"/>
      <c r="AB188" s="2" t="n">
        <f aca="false">IF(L188="","",ROUND((Method!$B$4-L188)/30.44,0))</f>
        <v>36</v>
      </c>
      <c r="AC188" s="2" t="str">
        <f aca="false">IF(AB188="","No",IF(AB188&gt;Method!$B$5,"Yes","No"))</f>
        <v>Yes</v>
      </c>
      <c r="AD188" s="22" t="n">
        <f aca="false">IF(BJ188&lt;&gt;"",BJ188,IF(K188&lt;&gt;"",EDATE(K188,60),""))</f>
        <v>46509</v>
      </c>
      <c r="AE188" s="2" t="str">
        <f aca="false">IF(AND(AD188&lt;&gt;"",OR(G188="Permission Granted",G188="Commencement Expected",G188="Stalled or Suspended")),IF(AD188&lt;Method!$B$4,"Yes","No"),"No")</f>
        <v>No</v>
      </c>
      <c r="AF188" s="7"/>
      <c r="AG188" s="2" t="str">
        <f aca="false">IF(Z188="No","Not counted",IF(AF188="Lapsed or dead","Excluded",IF(AF188="Constrained","Constrained / uncertain",IF(AF188="Confirmed live",IF(G188="On Site","Committed",IF(G188="Part Complete","Committed",IF(G188="Contract Awarded","Committed Pre-Construction",IF(G188="Tender","Advanced Pre-Construction",IF(G188="Commencement Expected","Likely",IF(G188="Permission Granted","Potential",IF(G188="Stalled or Suspended","Constrained / uncertain",IF(G188="Complete","Delivered","Application Pipeline")))))))),IF(G188="Complete","Delivered",IF(AND(OR(G188="Permission Granted",G188="Commencement Expected"),OR(AC188="Yes",AE188="Yes")),"Constrained / uncertain",IF(G188="On Site","Committed",IF(G188="Part Complete","Committed",IF(G188="Contract Awarded","Committed Pre-Construction",IF(G188="Tender","Advanced Pre-Construction",IF(G188="Commencement Expected","Likely",IF(G188="Permission Granted","Potential",IF(G188="Stalled or Suspended","Constrained / uncertain",IF(G188="Complete","Delivered","Application Pipeline"))))))))))))))</f>
        <v>Committed</v>
      </c>
      <c r="AH188" s="2" t="str">
        <f aca="false">IF(Z188="No","Relationship: "&amp;Y188,IF(AF188&lt;&gt;"","Analyst: "&amp;AF188,IF(G188="Complete","Complete",IF(AND(OR(G188="Permission Granted",G188="Commencement Expected"),AE188="Yes"),"Past expiry",IF(AND(OR(G188="Permission Granted",G188="Commencement Expected"),AC188="Yes"),"No CIS update in "&amp;AB188&amp;" months","As CIS")))))</f>
        <v>As CIS</v>
      </c>
      <c r="AI188" s="10" t="n">
        <f aca="false">IF(Z188="Yes",N(Q188),0)</f>
        <v>23</v>
      </c>
      <c r="AJ188" s="10" t="n">
        <f aca="false">IF(OR(Z188="No",G188="Complete"),0,MAX(N(Q188)-N(AA188),0))</f>
        <v>23</v>
      </c>
      <c r="AK188" s="10" t="n">
        <f aca="false">IF(Z188="No",0,IF(G188="Complete",N(Q188),MIN(N(AA188),N(Q188))))</f>
        <v>0</v>
      </c>
      <c r="AL188" s="10" t="n">
        <f aca="false">IF(OR(OR(AG188="Not counted",AG188="Excluded",AG188="Delivered"),P188="Student accommodation"),0,AJ188)</f>
        <v>23</v>
      </c>
      <c r="AM188" s="10" t="n">
        <f aca="false">IF(OR(OR(AG188="Not counted",AG188="Excluded",AG188="Delivered"),P188&lt;&gt;"Student accommodation"),0,AJ188)</f>
        <v>0</v>
      </c>
      <c r="AN188" s="10" t="n">
        <f aca="false">IF(OR(AG188="Not counted",AG188="Excluded",AG188="Delivered"),0,N(S188))</f>
        <v>0</v>
      </c>
      <c r="AO188" s="2" t="s">
        <v>1157</v>
      </c>
      <c r="AP188" s="10"/>
      <c r="AQ188" s="10"/>
      <c r="AR188" s="10"/>
      <c r="AS188" s="10" t="n">
        <v>23</v>
      </c>
      <c r="AT188" s="10"/>
      <c r="AU188" s="10"/>
      <c r="AV188" s="10" t="n">
        <f aca="false">N(AP188)+N(AQ188)+N(AR188)+N(AS188)+N(AT188)+N(AU188)</f>
        <v>23</v>
      </c>
      <c r="AW188" s="10" t="n">
        <v>23</v>
      </c>
      <c r="AX188" s="10"/>
      <c r="AY188" s="10"/>
      <c r="AZ188" s="2"/>
      <c r="BA188" s="2" t="s">
        <v>1022</v>
      </c>
      <c r="BB188" s="2" t="s">
        <v>1730</v>
      </c>
      <c r="BC188" s="2" t="s">
        <v>1023</v>
      </c>
      <c r="BD188" s="2" t="s">
        <v>1024</v>
      </c>
      <c r="BE188" s="2"/>
      <c r="BF188" s="2" t="s">
        <v>1025</v>
      </c>
      <c r="BG188" s="22" t="n">
        <v>44650</v>
      </c>
      <c r="BH188" s="22" t="n">
        <v>46509</v>
      </c>
      <c r="BI188" s="2"/>
      <c r="BJ188" s="22" t="n">
        <v>46509</v>
      </c>
      <c r="BK188" s="2" t="n">
        <v>23</v>
      </c>
      <c r="BL188" s="2" t="n">
        <v>0</v>
      </c>
      <c r="BM188" s="2"/>
      <c r="BN188" s="2" t="s">
        <v>1732</v>
      </c>
      <c r="BO188" s="23" t="s">
        <v>1733</v>
      </c>
      <c r="BP188" s="2" t="n">
        <f aca="false">IF(OR(K188="",BG188=""),"",ROUND(BG188-K188,0))</f>
        <v>0</v>
      </c>
      <c r="BQ188" s="2" t="str">
        <f aca="false">IF(OR(N(BK188)=0,Q188=""),"Not recorded",IF(BK188=Q188,"Match","Differs"))</f>
        <v>Match</v>
      </c>
      <c r="BR188" s="2" t="str">
        <f aca="false">IF(N188="No","Excluded (non-residential)",IF(BF188="No reference","Unverified – no reference",IF(BF188="Not in council register","Unverified – not in register (Part 8 / other)",IF(OR(BF188="Refused",BF188="Refused on appeal",BF188="Withdrawn",BF188="Invalid",BF188="Quashed"),IF(OR(G188="Complete",G188="On Site",G188="Part Complete"),"Conflict – register not live but CIS says built","Conflict – not live in register"),IF(AND(G188="Plans Submitted",OR(BF188="Granted",BF188="Granted on appeal")),"Stage out of date – now granted",IF(AND(G188&lt;&gt;"Plans Submitted",OR(BF188="Pending",BF188="Under appeal")),"Check – register still pending",IF(N(BL188)&gt;Method!$B$7,"Check – location differs",IF(AND(BP188&lt;&gt;"",ABS(N(BP188))&gt;60),"Consistent – decision date differs","Consistent"))))))))</f>
        <v>Consistent</v>
      </c>
      <c r="BS188" s="2"/>
      <c r="BT188" s="2"/>
      <c r="BU188" s="2"/>
      <c r="BV188" s="2"/>
      <c r="BW188" s="2"/>
      <c r="BX188" s="2"/>
    </row>
    <row r="189" customFormat="false" ht="15" hidden="false" customHeight="false" outlineLevel="0" collapsed="false">
      <c r="A189" s="2" t="n">
        <v>1419374</v>
      </c>
      <c r="B189" s="2" t="s">
        <v>212</v>
      </c>
      <c r="C189" s="2" t="s">
        <v>1734</v>
      </c>
      <c r="D189" s="2" t="s">
        <v>1735</v>
      </c>
      <c r="E189" s="2" t="s">
        <v>214</v>
      </c>
      <c r="F189" s="2" t="s">
        <v>139</v>
      </c>
      <c r="G189" s="2" t="s">
        <v>187</v>
      </c>
      <c r="H189" s="2" t="s">
        <v>1014</v>
      </c>
      <c r="I189" s="2"/>
      <c r="J189" s="22" t="n">
        <v>46003</v>
      </c>
      <c r="K189" s="22" t="n">
        <v>46233</v>
      </c>
      <c r="L189" s="22" t="n">
        <v>46262.3497116551</v>
      </c>
      <c r="M189" s="2" t="s">
        <v>1016</v>
      </c>
      <c r="N189" s="2" t="s">
        <v>121</v>
      </c>
      <c r="O189" s="2"/>
      <c r="P189" s="2" t="s">
        <v>1017</v>
      </c>
      <c r="Q189" s="10" t="n">
        <v>4</v>
      </c>
      <c r="R189" s="10"/>
      <c r="S189" s="10"/>
      <c r="T189" s="2" t="s">
        <v>30</v>
      </c>
      <c r="U189" s="2"/>
      <c r="V189" s="2" t="s">
        <v>1080</v>
      </c>
      <c r="W189" s="2" t="s">
        <v>1020</v>
      </c>
      <c r="X189" s="7"/>
      <c r="Y189" s="2" t="str">
        <f aca="false">IF(X189&lt;&gt;"",X189,T189)</f>
        <v>Additional application on site</v>
      </c>
      <c r="Z189" s="2" t="str">
        <f aca="false">IF(OR(Y189="Primary",Y189="Additional phase",Y189="Additional application on site",Y189="Replaces earlier",Y189="Extension of duration (parent not in CIS)"),"Yes","No")</f>
        <v>Yes</v>
      </c>
      <c r="AA189" s="2"/>
      <c r="AB189" s="2" t="n">
        <f aca="false">IF(L189="","",ROUND((Method!$B$4-L189)/30.44,0))</f>
        <v>1</v>
      </c>
      <c r="AC189" s="2" t="str">
        <f aca="false">IF(AB189="","No",IF(AB189&gt;Method!$B$5,"Yes","No"))</f>
        <v>No</v>
      </c>
      <c r="AD189" s="22" t="n">
        <f aca="false">IF(BJ189&lt;&gt;"",BJ189,IF(K189&lt;&gt;"",EDATE(K189,60),""))</f>
        <v>48059</v>
      </c>
      <c r="AE189" s="2" t="str">
        <f aca="false">IF(AND(AD189&lt;&gt;"",OR(G189="Permission Granted",G189="Commencement Expected",G189="Stalled or Suspended")),IF(AD189&lt;Method!$B$4,"Yes","No"),"No")</f>
        <v>No</v>
      </c>
      <c r="AF189" s="7"/>
      <c r="AG189" s="2" t="str">
        <f aca="false">IF(Z189="No","Not counted",IF(AF189="Lapsed or dead","Excluded",IF(AF189="Constrained","Constrained / uncertain",IF(AF189="Confirmed live",IF(G189="On Site","Committed",IF(G189="Part Complete","Committed",IF(G189="Contract Awarded","Committed Pre-Construction",IF(G189="Tender","Advanced Pre-Construction",IF(G189="Commencement Expected","Likely",IF(G189="Permission Granted","Potential",IF(G189="Stalled or Suspended","Constrained / uncertain",IF(G189="Complete","Delivered","Application Pipeline")))))))),IF(G189="Complete","Delivered",IF(AND(OR(G189="Permission Granted",G189="Commencement Expected"),OR(AC189="Yes",AE189="Yes")),"Constrained / uncertain",IF(G189="On Site","Committed",IF(G189="Part Complete","Committed",IF(G189="Contract Awarded","Committed Pre-Construction",IF(G189="Tender","Advanced Pre-Construction",IF(G189="Commencement Expected","Likely",IF(G189="Permission Granted","Potential",IF(G189="Stalled or Suspended","Constrained / uncertain",IF(G189="Complete","Delivered","Application Pipeline"))))))))))))))</f>
        <v>Potential</v>
      </c>
      <c r="AH189" s="2" t="str">
        <f aca="false">IF(Z189="No","Relationship: "&amp;Y189,IF(AF189&lt;&gt;"","Analyst: "&amp;AF189,IF(G189="Complete","Complete",IF(AND(OR(G189="Permission Granted",G189="Commencement Expected"),AE189="Yes"),"Past expiry",IF(AND(OR(G189="Permission Granted",G189="Commencement Expected"),AC189="Yes"),"No CIS update in "&amp;AB189&amp;" months","As CIS")))))</f>
        <v>As CIS</v>
      </c>
      <c r="AI189" s="10" t="n">
        <f aca="false">IF(Z189="Yes",N(Q189),0)</f>
        <v>4</v>
      </c>
      <c r="AJ189" s="10" t="n">
        <f aca="false">IF(OR(Z189="No",G189="Complete"),0,MAX(N(Q189)-N(AA189),0))</f>
        <v>4</v>
      </c>
      <c r="AK189" s="10" t="n">
        <f aca="false">IF(Z189="No",0,IF(G189="Complete",N(Q189),MIN(N(AA189),N(Q189))))</f>
        <v>0</v>
      </c>
      <c r="AL189" s="10" t="n">
        <f aca="false">IF(OR(OR(AG189="Not counted",AG189="Excluded",AG189="Delivered"),P189="Student accommodation"),0,AJ189)</f>
        <v>4</v>
      </c>
      <c r="AM189" s="10" t="n">
        <f aca="false">IF(OR(OR(AG189="Not counted",AG189="Excluded",AG189="Delivered"),P189&lt;&gt;"Student accommodation"),0,AJ189)</f>
        <v>0</v>
      </c>
      <c r="AN189" s="10" t="n">
        <f aca="false">IF(OR(AG189="Not counted",AG189="Excluded",AG189="Delivered"),0,N(S189))</f>
        <v>0</v>
      </c>
      <c r="AO189" s="2" t="s">
        <v>1031</v>
      </c>
      <c r="AP189" s="10"/>
      <c r="AQ189" s="10" t="n">
        <v>2</v>
      </c>
      <c r="AR189" s="10" t="n">
        <v>2</v>
      </c>
      <c r="AS189" s="10"/>
      <c r="AT189" s="10"/>
      <c r="AU189" s="10"/>
      <c r="AV189" s="10" t="n">
        <f aca="false">N(AP189)+N(AQ189)+N(AR189)+N(AS189)+N(AT189)+N(AU189)</f>
        <v>4</v>
      </c>
      <c r="AW189" s="10"/>
      <c r="AX189" s="10" t="n">
        <v>4</v>
      </c>
      <c r="AY189" s="10"/>
      <c r="AZ189" s="2"/>
      <c r="BA189" s="2" t="s">
        <v>1022</v>
      </c>
      <c r="BB189" s="2" t="s">
        <v>1734</v>
      </c>
      <c r="BC189" s="2" t="s">
        <v>1379</v>
      </c>
      <c r="BD189" s="2" t="s">
        <v>1024</v>
      </c>
      <c r="BE189" s="2"/>
      <c r="BF189" s="2" t="s">
        <v>1025</v>
      </c>
      <c r="BG189" s="22" t="n">
        <v>46233</v>
      </c>
      <c r="BH189" s="22"/>
      <c r="BI189" s="2"/>
      <c r="BJ189" s="22"/>
      <c r="BK189" s="2"/>
      <c r="BL189" s="2" t="n">
        <v>0</v>
      </c>
      <c r="BM189" s="2"/>
      <c r="BN189" s="2" t="s">
        <v>1736</v>
      </c>
      <c r="BO189" s="23" t="s">
        <v>1737</v>
      </c>
      <c r="BP189" s="2" t="n">
        <f aca="false">IF(OR(K189="",BG189=""),"",ROUND(BG189-K189,0))</f>
        <v>0</v>
      </c>
      <c r="BQ189" s="2" t="str">
        <f aca="false">IF(OR(N(BK189)=0,Q189=""),"Not recorded",IF(BK189=Q189,"Match","Differs"))</f>
        <v>Not recorded</v>
      </c>
      <c r="BR189" s="2" t="str">
        <f aca="false">IF(N189="No","Excluded (non-residential)",IF(BF189="No reference","Unverified – no reference",IF(BF189="Not in council register","Unverified – not in register (Part 8 / other)",IF(OR(BF189="Refused",BF189="Refused on appeal",BF189="Withdrawn",BF189="Invalid",BF189="Quashed"),IF(OR(G189="Complete",G189="On Site",G189="Part Complete"),"Conflict – register not live but CIS says built","Conflict – not live in register"),IF(AND(G189="Plans Submitted",OR(BF189="Granted",BF189="Granted on appeal")),"Stage out of date – now granted",IF(AND(G189&lt;&gt;"Plans Submitted",OR(BF189="Pending",BF189="Under appeal")),"Check – register still pending",IF(N(BL189)&gt;Method!$B$7,"Check – location differs",IF(AND(BP189&lt;&gt;"",ABS(N(BP189))&gt;60),"Consistent – decision date differs","Consistent"))))))))</f>
        <v>Consistent</v>
      </c>
      <c r="BS189" s="2"/>
      <c r="BT189" s="2"/>
      <c r="BU189" s="2"/>
      <c r="BV189" s="2"/>
      <c r="BW189" s="2"/>
      <c r="BX189" s="2"/>
    </row>
    <row r="190" customFormat="false" ht="15" hidden="false" customHeight="false" outlineLevel="0" collapsed="false">
      <c r="A190" s="2" t="n">
        <v>1147240</v>
      </c>
      <c r="B190" s="2" t="s">
        <v>221</v>
      </c>
      <c r="C190" s="2" t="s">
        <v>1738</v>
      </c>
      <c r="D190" s="2" t="s">
        <v>222</v>
      </c>
      <c r="E190" s="2" t="s">
        <v>223</v>
      </c>
      <c r="F190" s="2" t="s">
        <v>140</v>
      </c>
      <c r="G190" s="2" t="s">
        <v>198</v>
      </c>
      <c r="H190" s="2" t="s">
        <v>1014</v>
      </c>
      <c r="I190" s="2" t="s">
        <v>198</v>
      </c>
      <c r="J190" s="22" t="n">
        <v>44230</v>
      </c>
      <c r="K190" s="22" t="n">
        <v>44390</v>
      </c>
      <c r="L190" s="22" t="n">
        <v>46239.6011476505</v>
      </c>
      <c r="M190" s="2" t="s">
        <v>1016</v>
      </c>
      <c r="N190" s="2" t="s">
        <v>121</v>
      </c>
      <c r="O190" s="2"/>
      <c r="P190" s="2" t="s">
        <v>1017</v>
      </c>
      <c r="Q190" s="10" t="n">
        <v>250</v>
      </c>
      <c r="R190" s="10" t="n">
        <v>253</v>
      </c>
      <c r="S190" s="10"/>
      <c r="T190" s="2" t="s">
        <v>120</v>
      </c>
      <c r="U190" s="2"/>
      <c r="V190" s="2" t="s">
        <v>1029</v>
      </c>
      <c r="W190" s="2" t="s">
        <v>1030</v>
      </c>
      <c r="X190" s="7"/>
      <c r="Y190" s="2" t="str">
        <f aca="false">IF(X190&lt;&gt;"",X190,T190)</f>
        <v>Primary</v>
      </c>
      <c r="Z190" s="2" t="str">
        <f aca="false">IF(OR(Y190="Primary",Y190="Additional phase",Y190="Additional application on site",Y190="Replaces earlier",Y190="Extension of duration (parent not in CIS)"),"Yes","No")</f>
        <v>Yes</v>
      </c>
      <c r="AA190" s="2"/>
      <c r="AB190" s="2" t="n">
        <f aca="false">IF(L190="","",ROUND((Method!$B$4-L190)/30.44,0))</f>
        <v>2</v>
      </c>
      <c r="AC190" s="2" t="str">
        <f aca="false">IF(AB190="","No",IF(AB190&gt;Method!$B$5,"Yes","No"))</f>
        <v>No</v>
      </c>
      <c r="AD190" s="22" t="n">
        <f aca="false">IF(BJ190&lt;&gt;"",BJ190,IF(K190&lt;&gt;"",EDATE(K190,60),""))</f>
        <v>46216</v>
      </c>
      <c r="AE190" s="2" t="str">
        <f aca="false">IF(AND(AD190&lt;&gt;"",OR(G190="Permission Granted",G190="Commencement Expected",G190="Stalled or Suspended")),IF(AD190&lt;Method!$B$4,"Yes","No"),"No")</f>
        <v>No</v>
      </c>
      <c r="AF190" s="7"/>
      <c r="AG190" s="2" t="str">
        <f aca="false">IF(Z190="No","Not counted",IF(AF190="Lapsed or dead","Excluded",IF(AF190="Constrained","Constrained / uncertain",IF(AF190="Confirmed live",IF(G190="On Site","Committed",IF(G190="Part Complete","Committed",IF(G190="Contract Awarded","Committed Pre-Construction",IF(G190="Tender","Advanced Pre-Construction",IF(G190="Commencement Expected","Likely",IF(G190="Permission Granted","Potential",IF(G190="Stalled or Suspended","Constrained / uncertain",IF(G190="Complete","Delivered","Application Pipeline")))))))),IF(G190="Complete","Delivered",IF(AND(OR(G190="Permission Granted",G190="Commencement Expected"),OR(AC190="Yes",AE190="Yes")),"Constrained / uncertain",IF(G190="On Site","Committed",IF(G190="Part Complete","Committed",IF(G190="Contract Awarded","Committed Pre-Construction",IF(G190="Tender","Advanced Pre-Construction",IF(G190="Commencement Expected","Likely",IF(G190="Permission Granted","Potential",IF(G190="Stalled or Suspended","Constrained / uncertain",IF(G190="Complete","Delivered","Application Pipeline"))))))))))))))</f>
        <v>Committed</v>
      </c>
      <c r="AH190" s="2" t="str">
        <f aca="false">IF(Z190="No","Relationship: "&amp;Y190,IF(AF190&lt;&gt;"","Analyst: "&amp;AF190,IF(G190="Complete","Complete",IF(AND(OR(G190="Permission Granted",G190="Commencement Expected"),AE190="Yes"),"Past expiry",IF(AND(OR(G190="Permission Granted",G190="Commencement Expected"),AC190="Yes"),"No CIS update in "&amp;AB190&amp;" months","As CIS")))))</f>
        <v>As CIS</v>
      </c>
      <c r="AI190" s="10" t="n">
        <f aca="false">IF(Z190="Yes",N(Q190),0)</f>
        <v>250</v>
      </c>
      <c r="AJ190" s="10" t="n">
        <f aca="false">IF(OR(Z190="No",G190="Complete"),0,MAX(N(Q190)-N(AA190),0))</f>
        <v>250</v>
      </c>
      <c r="AK190" s="10" t="n">
        <f aca="false">IF(Z190="No",0,IF(G190="Complete",N(Q190),MIN(N(AA190),N(Q190))))</f>
        <v>0</v>
      </c>
      <c r="AL190" s="10" t="n">
        <f aca="false">IF(OR(OR(AG190="Not counted",AG190="Excluded",AG190="Delivered"),P190="Student accommodation"),0,AJ190)</f>
        <v>250</v>
      </c>
      <c r="AM190" s="10" t="n">
        <f aca="false">IF(OR(OR(AG190="Not counted",AG190="Excluded",AG190="Delivered"),P190&lt;&gt;"Student accommodation"),0,AJ190)</f>
        <v>0</v>
      </c>
      <c r="AN190" s="10" t="n">
        <f aca="false">IF(OR(AG190="Not counted",AG190="Excluded",AG190="Delivered"),0,N(S190))</f>
        <v>0</v>
      </c>
      <c r="AO190" s="2" t="s">
        <v>1031</v>
      </c>
      <c r="AP190" s="10"/>
      <c r="AQ190" s="10" t="n">
        <v>42</v>
      </c>
      <c r="AR190" s="10" t="n">
        <v>73</v>
      </c>
      <c r="AS190" s="10" t="n">
        <v>110</v>
      </c>
      <c r="AT190" s="10" t="n">
        <v>26</v>
      </c>
      <c r="AU190" s="10" t="n">
        <v>2</v>
      </c>
      <c r="AV190" s="10" t="n">
        <f aca="false">N(AP190)+N(AQ190)+N(AR190)+N(AS190)+N(AT190)+N(AU190)</f>
        <v>253</v>
      </c>
      <c r="AW190" s="10" t="n">
        <v>174</v>
      </c>
      <c r="AX190" s="10" t="n">
        <v>79</v>
      </c>
      <c r="AY190" s="10"/>
      <c r="AZ190" s="2"/>
      <c r="BA190" s="2" t="s">
        <v>1022</v>
      </c>
      <c r="BB190" s="2" t="s">
        <v>1738</v>
      </c>
      <c r="BC190" s="2" t="s">
        <v>1046</v>
      </c>
      <c r="BD190" s="2" t="s">
        <v>1024</v>
      </c>
      <c r="BE190" s="2"/>
      <c r="BF190" s="2" t="s">
        <v>1025</v>
      </c>
      <c r="BG190" s="22" t="n">
        <v>44390</v>
      </c>
      <c r="BH190" s="22"/>
      <c r="BI190" s="2"/>
      <c r="BJ190" s="22"/>
      <c r="BK190" s="2" t="n">
        <v>191</v>
      </c>
      <c r="BL190" s="2" t="n">
        <v>0</v>
      </c>
      <c r="BM190" s="2"/>
      <c r="BN190" s="2" t="s">
        <v>1739</v>
      </c>
      <c r="BO190" s="23" t="s">
        <v>1740</v>
      </c>
      <c r="BP190" s="2" t="n">
        <f aca="false">IF(OR(K190="",BG190=""),"",ROUND(BG190-K190,0))</f>
        <v>0</v>
      </c>
      <c r="BQ190" s="2" t="str">
        <f aca="false">IF(OR(N(BK190)=0,Q190=""),"Not recorded",IF(BK190=Q190,"Match","Differs"))</f>
        <v>Differs</v>
      </c>
      <c r="BR190" s="2" t="str">
        <f aca="false">IF(N190="No","Excluded (non-residential)",IF(BF190="No reference","Unverified – no reference",IF(BF190="Not in council register","Unverified – not in register (Part 8 / other)",IF(OR(BF190="Refused",BF190="Refused on appeal",BF190="Withdrawn",BF190="Invalid",BF190="Quashed"),IF(OR(G190="Complete",G190="On Site",G190="Part Complete"),"Conflict – register not live but CIS says built","Conflict – not live in register"),IF(AND(G190="Plans Submitted",OR(BF190="Granted",BF190="Granted on appeal")),"Stage out of date – now granted",IF(AND(G190&lt;&gt;"Plans Submitted",OR(BF190="Pending",BF190="Under appeal")),"Check – register still pending",IF(N(BL190)&gt;Method!$B$7,"Check – location differs",IF(AND(BP190&lt;&gt;"",ABS(N(BP190))&gt;60),"Consistent – decision date differs","Consistent"))))))))</f>
        <v>Consistent</v>
      </c>
      <c r="BS190" s="2"/>
      <c r="BT190" s="2"/>
      <c r="BU190" s="2"/>
      <c r="BV190" s="2"/>
      <c r="BW190" s="2"/>
      <c r="BX190" s="2"/>
    </row>
    <row r="191" customFormat="false" ht="15" hidden="false" customHeight="false" outlineLevel="0" collapsed="false">
      <c r="A191" s="2" t="n">
        <v>1417769</v>
      </c>
      <c r="B191" s="2" t="s">
        <v>221</v>
      </c>
      <c r="C191" s="2" t="s">
        <v>1741</v>
      </c>
      <c r="D191" s="2" t="s">
        <v>1742</v>
      </c>
      <c r="E191" s="2" t="s">
        <v>223</v>
      </c>
      <c r="F191" s="2" t="s">
        <v>140</v>
      </c>
      <c r="G191" s="2" t="s">
        <v>187</v>
      </c>
      <c r="H191" s="2" t="s">
        <v>1014</v>
      </c>
      <c r="I191" s="2"/>
      <c r="J191" s="22" t="n">
        <v>45986</v>
      </c>
      <c r="K191" s="22" t="n">
        <v>46233</v>
      </c>
      <c r="L191" s="22" t="n">
        <v>46255.5401911227</v>
      </c>
      <c r="M191" s="2" t="s">
        <v>1016</v>
      </c>
      <c r="N191" s="2" t="s">
        <v>121</v>
      </c>
      <c r="O191" s="2"/>
      <c r="P191" s="2" t="s">
        <v>1017</v>
      </c>
      <c r="Q191" s="10" t="n">
        <v>169</v>
      </c>
      <c r="R191" s="10" t="n">
        <v>169</v>
      </c>
      <c r="S191" s="10"/>
      <c r="T191" s="2" t="s">
        <v>30</v>
      </c>
      <c r="U191" s="2"/>
      <c r="V191" s="2" t="s">
        <v>1080</v>
      </c>
      <c r="W191" s="2" t="s">
        <v>1020</v>
      </c>
      <c r="X191" s="7"/>
      <c r="Y191" s="2" t="str">
        <f aca="false">IF(X191&lt;&gt;"",X191,T191)</f>
        <v>Additional application on site</v>
      </c>
      <c r="Z191" s="2" t="str">
        <f aca="false">IF(OR(Y191="Primary",Y191="Additional phase",Y191="Additional application on site",Y191="Replaces earlier",Y191="Extension of duration (parent not in CIS)"),"Yes","No")</f>
        <v>Yes</v>
      </c>
      <c r="AA191" s="2"/>
      <c r="AB191" s="2" t="n">
        <f aca="false">IF(L191="","",ROUND((Method!$B$4-L191)/30.44,0))</f>
        <v>1</v>
      </c>
      <c r="AC191" s="2" t="str">
        <f aca="false">IF(AB191="","No",IF(AB191&gt;Method!$B$5,"Yes","No"))</f>
        <v>No</v>
      </c>
      <c r="AD191" s="22" t="n">
        <f aca="false">IF(BJ191&lt;&gt;"",BJ191,IF(K191&lt;&gt;"",EDATE(K191,60),""))</f>
        <v>48059</v>
      </c>
      <c r="AE191" s="2" t="str">
        <f aca="false">IF(AND(AD191&lt;&gt;"",OR(G191="Permission Granted",G191="Commencement Expected",G191="Stalled or Suspended")),IF(AD191&lt;Method!$B$4,"Yes","No"),"No")</f>
        <v>No</v>
      </c>
      <c r="AF191" s="7"/>
      <c r="AG191" s="2" t="str">
        <f aca="false">IF(Z191="No","Not counted",IF(AF191="Lapsed or dead","Excluded",IF(AF191="Constrained","Constrained / uncertain",IF(AF191="Confirmed live",IF(G191="On Site","Committed",IF(G191="Part Complete","Committed",IF(G191="Contract Awarded","Committed Pre-Construction",IF(G191="Tender","Advanced Pre-Construction",IF(G191="Commencement Expected","Likely",IF(G191="Permission Granted","Potential",IF(G191="Stalled or Suspended","Constrained / uncertain",IF(G191="Complete","Delivered","Application Pipeline")))))))),IF(G191="Complete","Delivered",IF(AND(OR(G191="Permission Granted",G191="Commencement Expected"),OR(AC191="Yes",AE191="Yes")),"Constrained / uncertain",IF(G191="On Site","Committed",IF(G191="Part Complete","Committed",IF(G191="Contract Awarded","Committed Pre-Construction",IF(G191="Tender","Advanced Pre-Construction",IF(G191="Commencement Expected","Likely",IF(G191="Permission Granted","Potential",IF(G191="Stalled or Suspended","Constrained / uncertain",IF(G191="Complete","Delivered","Application Pipeline"))))))))))))))</f>
        <v>Potential</v>
      </c>
      <c r="AH191" s="2" t="str">
        <f aca="false">IF(Z191="No","Relationship: "&amp;Y191,IF(AF191&lt;&gt;"","Analyst: "&amp;AF191,IF(G191="Complete","Complete",IF(AND(OR(G191="Permission Granted",G191="Commencement Expected"),AE191="Yes"),"Past expiry",IF(AND(OR(G191="Permission Granted",G191="Commencement Expected"),AC191="Yes"),"No CIS update in "&amp;AB191&amp;" months","As CIS")))))</f>
        <v>As CIS</v>
      </c>
      <c r="AI191" s="10" t="n">
        <f aca="false">IF(Z191="Yes",N(Q191),0)</f>
        <v>169</v>
      </c>
      <c r="AJ191" s="10" t="n">
        <f aca="false">IF(OR(Z191="No",G191="Complete"),0,MAX(N(Q191)-N(AA191),0))</f>
        <v>169</v>
      </c>
      <c r="AK191" s="10" t="n">
        <f aca="false">IF(Z191="No",0,IF(G191="Complete",N(Q191),MIN(N(AA191),N(Q191))))</f>
        <v>0</v>
      </c>
      <c r="AL191" s="10" t="n">
        <f aca="false">IF(OR(OR(AG191="Not counted",AG191="Excluded",AG191="Delivered"),P191="Student accommodation"),0,AJ191)</f>
        <v>169</v>
      </c>
      <c r="AM191" s="10" t="n">
        <f aca="false">IF(OR(OR(AG191="Not counted",AG191="Excluded",AG191="Delivered"),P191&lt;&gt;"Student accommodation"),0,AJ191)</f>
        <v>0</v>
      </c>
      <c r="AN191" s="10" t="n">
        <f aca="false">IF(OR(AG191="Not counted",AG191="Excluded",AG191="Delivered"),0,N(S191))</f>
        <v>0</v>
      </c>
      <c r="AO191" s="2" t="s">
        <v>1157</v>
      </c>
      <c r="AP191" s="10"/>
      <c r="AQ191" s="10" t="n">
        <v>12</v>
      </c>
      <c r="AR191" s="10" t="n">
        <v>71</v>
      </c>
      <c r="AS191" s="10" t="n">
        <v>78</v>
      </c>
      <c r="AT191" s="10" t="n">
        <v>8</v>
      </c>
      <c r="AU191" s="10"/>
      <c r="AV191" s="10" t="n">
        <f aca="false">N(AP191)+N(AQ191)+N(AR191)+N(AS191)+N(AT191)+N(AU191)</f>
        <v>169</v>
      </c>
      <c r="AW191" s="10" t="n">
        <v>145</v>
      </c>
      <c r="AX191" s="10" t="n">
        <v>24</v>
      </c>
      <c r="AY191" s="10"/>
      <c r="AZ191" s="2"/>
      <c r="BA191" s="2" t="s">
        <v>1022</v>
      </c>
      <c r="BB191" s="2" t="s">
        <v>1741</v>
      </c>
      <c r="BC191" s="2" t="s">
        <v>1379</v>
      </c>
      <c r="BD191" s="2" t="s">
        <v>1024</v>
      </c>
      <c r="BE191" s="2"/>
      <c r="BF191" s="2" t="s">
        <v>1025</v>
      </c>
      <c r="BG191" s="22" t="n">
        <v>46233</v>
      </c>
      <c r="BH191" s="22"/>
      <c r="BI191" s="2"/>
      <c r="BJ191" s="22"/>
      <c r="BK191" s="2" t="n">
        <v>142</v>
      </c>
      <c r="BL191" s="2" t="n">
        <v>0</v>
      </c>
      <c r="BM191" s="2"/>
      <c r="BN191" s="2" t="s">
        <v>1743</v>
      </c>
      <c r="BO191" s="23" t="s">
        <v>1744</v>
      </c>
      <c r="BP191" s="2" t="n">
        <f aca="false">IF(OR(K191="",BG191=""),"",ROUND(BG191-K191,0))</f>
        <v>0</v>
      </c>
      <c r="BQ191" s="2" t="str">
        <f aca="false">IF(OR(N(BK191)=0,Q191=""),"Not recorded",IF(BK191=Q191,"Match","Differs"))</f>
        <v>Differs</v>
      </c>
      <c r="BR191" s="2" t="str">
        <f aca="false">IF(N191="No","Excluded (non-residential)",IF(BF191="No reference","Unverified – no reference",IF(BF191="Not in council register","Unverified – not in register (Part 8 / other)",IF(OR(BF191="Refused",BF191="Refused on appeal",BF191="Withdrawn",BF191="Invalid",BF191="Quashed"),IF(OR(G191="Complete",G191="On Site",G191="Part Complete"),"Conflict – register not live but CIS says built","Conflict – not live in register"),IF(AND(G191="Plans Submitted",OR(BF191="Granted",BF191="Granted on appeal")),"Stage out of date – now granted",IF(AND(G191&lt;&gt;"Plans Submitted",OR(BF191="Pending",BF191="Under appeal")),"Check – register still pending",IF(N(BL191)&gt;Method!$B$7,"Check – location differs",IF(AND(BP191&lt;&gt;"",ABS(N(BP191))&gt;60),"Consistent – decision date differs","Consistent"))))))))</f>
        <v>Consistent</v>
      </c>
      <c r="BS191" s="2"/>
      <c r="BT191" s="2"/>
      <c r="BU191" s="2"/>
      <c r="BV191" s="2"/>
      <c r="BW191" s="2"/>
      <c r="BX191" s="2"/>
    </row>
    <row r="192" customFormat="false" ht="15" hidden="false" customHeight="false" outlineLevel="0" collapsed="false">
      <c r="A192" s="2" t="n">
        <v>1148944</v>
      </c>
      <c r="B192" s="2" t="s">
        <v>571</v>
      </c>
      <c r="C192" s="2" t="s">
        <v>1745</v>
      </c>
      <c r="D192" s="2" t="s">
        <v>494</v>
      </c>
      <c r="E192" s="2" t="s">
        <v>572</v>
      </c>
      <c r="F192" s="2" t="s">
        <v>139</v>
      </c>
      <c r="G192" s="2" t="s">
        <v>187</v>
      </c>
      <c r="H192" s="2" t="s">
        <v>1014</v>
      </c>
      <c r="I192" s="2"/>
      <c r="J192" s="22" t="n">
        <v>44239</v>
      </c>
      <c r="K192" s="22" t="n">
        <v>44551</v>
      </c>
      <c r="L192" s="22" t="n">
        <v>44565.3068393866</v>
      </c>
      <c r="M192" s="2" t="s">
        <v>1016</v>
      </c>
      <c r="N192" s="2" t="s">
        <v>121</v>
      </c>
      <c r="O192" s="2"/>
      <c r="P192" s="2" t="s">
        <v>1017</v>
      </c>
      <c r="Q192" s="10" t="n">
        <v>11</v>
      </c>
      <c r="R192" s="10"/>
      <c r="S192" s="10"/>
      <c r="T192" s="2" t="s">
        <v>120</v>
      </c>
      <c r="U192" s="2"/>
      <c r="V192" s="2" t="s">
        <v>1029</v>
      </c>
      <c r="W192" s="2" t="s">
        <v>1030</v>
      </c>
      <c r="X192" s="7"/>
      <c r="Y192" s="2" t="str">
        <f aca="false">IF(X192&lt;&gt;"",X192,T192)</f>
        <v>Primary</v>
      </c>
      <c r="Z192" s="2" t="str">
        <f aca="false">IF(OR(Y192="Primary",Y192="Additional phase",Y192="Additional application on site",Y192="Replaces earlier",Y192="Extension of duration (parent not in CIS)"),"Yes","No")</f>
        <v>Yes</v>
      </c>
      <c r="AA192" s="2"/>
      <c r="AB192" s="2" t="n">
        <f aca="false">IF(L192="","",ROUND((Method!$B$4-L192)/30.44,0))</f>
        <v>57</v>
      </c>
      <c r="AC192" s="2" t="str">
        <f aca="false">IF(AB192="","No",IF(AB192&gt;Method!$B$5,"Yes","No"))</f>
        <v>Yes</v>
      </c>
      <c r="AD192" s="22" t="n">
        <f aca="false">IF(BJ192&lt;&gt;"",BJ192,IF(K192&lt;&gt;"",EDATE(K192,60),""))</f>
        <v>46424</v>
      </c>
      <c r="AE192" s="2" t="str">
        <f aca="false">IF(AND(AD192&lt;&gt;"",OR(G192="Permission Granted",G192="Commencement Expected",G192="Stalled or Suspended")),IF(AD192&lt;Method!$B$4,"Yes","No"),"No")</f>
        <v>No</v>
      </c>
      <c r="AF192" s="7"/>
      <c r="AG192" s="2" t="str">
        <f aca="false">IF(Z192="No","Not counted",IF(AF192="Lapsed or dead","Excluded",IF(AF192="Constrained","Constrained / uncertain",IF(AF192="Confirmed live",IF(G192="On Site","Committed",IF(G192="Part Complete","Committed",IF(G192="Contract Awarded","Committed Pre-Construction",IF(G192="Tender","Advanced Pre-Construction",IF(G192="Commencement Expected","Likely",IF(G192="Permission Granted","Potential",IF(G192="Stalled or Suspended","Constrained / uncertain",IF(G192="Complete","Delivered","Application Pipeline")))))))),IF(G192="Complete","Delivered",IF(AND(OR(G192="Permission Granted",G192="Commencement Expected"),OR(AC192="Yes",AE192="Yes")),"Constrained / uncertain",IF(G192="On Site","Committed",IF(G192="Part Complete","Committed",IF(G192="Contract Awarded","Committed Pre-Construction",IF(G192="Tender","Advanced Pre-Construction",IF(G192="Commencement Expected","Likely",IF(G192="Permission Granted","Potential",IF(G192="Stalled or Suspended","Constrained / uncertain",IF(G192="Complete","Delivered","Application Pipeline"))))))))))))))</f>
        <v>Constrained / uncertain</v>
      </c>
      <c r="AH192" s="2" t="str">
        <f aca="false">IF(Z192="No","Relationship: "&amp;Y192,IF(AF192&lt;&gt;"","Analyst: "&amp;AF192,IF(G192="Complete","Complete",IF(AND(OR(G192="Permission Granted",G192="Commencement Expected"),AE192="Yes"),"Past expiry",IF(AND(OR(G192="Permission Granted",G192="Commencement Expected"),AC192="Yes"),"No CIS update in "&amp;AB192&amp;" months","As CIS")))))</f>
        <v>No CIS update in 57 months</v>
      </c>
      <c r="AI192" s="10" t="n">
        <f aca="false">IF(Z192="Yes",N(Q192),0)</f>
        <v>11</v>
      </c>
      <c r="AJ192" s="10" t="n">
        <f aca="false">IF(OR(Z192="No",G192="Complete"),0,MAX(N(Q192)-N(AA192),0))</f>
        <v>11</v>
      </c>
      <c r="AK192" s="10" t="n">
        <f aca="false">IF(Z192="No",0,IF(G192="Complete",N(Q192),MIN(N(AA192),N(Q192))))</f>
        <v>0</v>
      </c>
      <c r="AL192" s="10" t="n">
        <f aca="false">IF(OR(OR(AG192="Not counted",AG192="Excluded",AG192="Delivered"),P192="Student accommodation"),0,AJ192)</f>
        <v>11</v>
      </c>
      <c r="AM192" s="10" t="n">
        <f aca="false">IF(OR(OR(AG192="Not counted",AG192="Excluded",AG192="Delivered"),P192&lt;&gt;"Student accommodation"),0,AJ192)</f>
        <v>0</v>
      </c>
      <c r="AN192" s="10" t="n">
        <f aca="false">IF(OR(AG192="Not counted",AG192="Excluded",AG192="Delivered"),0,N(S192))</f>
        <v>0</v>
      </c>
      <c r="AO192" s="2" t="s">
        <v>1021</v>
      </c>
      <c r="AP192" s="10"/>
      <c r="AQ192" s="10"/>
      <c r="AR192" s="10"/>
      <c r="AS192" s="10"/>
      <c r="AT192" s="10"/>
      <c r="AU192" s="10"/>
      <c r="AV192" s="10" t="n">
        <f aca="false">N(AP192)+N(AQ192)+N(AR192)+N(AS192)+N(AT192)+N(AU192)</f>
        <v>0</v>
      </c>
      <c r="AW192" s="10"/>
      <c r="AX192" s="10"/>
      <c r="AY192" s="10"/>
      <c r="AZ192" s="2"/>
      <c r="BA192" s="2" t="s">
        <v>1022</v>
      </c>
      <c r="BB192" s="2" t="s">
        <v>1745</v>
      </c>
      <c r="BC192" s="2" t="s">
        <v>1023</v>
      </c>
      <c r="BD192" s="2" t="s">
        <v>1024</v>
      </c>
      <c r="BE192" s="2"/>
      <c r="BF192" s="2" t="s">
        <v>1025</v>
      </c>
      <c r="BG192" s="22" t="n">
        <v>44551</v>
      </c>
      <c r="BH192" s="22" t="n">
        <v>46424</v>
      </c>
      <c r="BI192" s="2"/>
      <c r="BJ192" s="22" t="n">
        <v>46424</v>
      </c>
      <c r="BK192" s="2" t="n">
        <v>11</v>
      </c>
      <c r="BL192" s="2" t="n">
        <v>0</v>
      </c>
      <c r="BM192" s="2"/>
      <c r="BN192" s="2" t="s">
        <v>1746</v>
      </c>
      <c r="BO192" s="23" t="s">
        <v>1747</v>
      </c>
      <c r="BP192" s="2" t="n">
        <f aca="false">IF(OR(K192="",BG192=""),"",ROUND(BG192-K192,0))</f>
        <v>0</v>
      </c>
      <c r="BQ192" s="2" t="str">
        <f aca="false">IF(OR(N(BK192)=0,Q192=""),"Not recorded",IF(BK192=Q192,"Match","Differs"))</f>
        <v>Match</v>
      </c>
      <c r="BR192" s="2" t="str">
        <f aca="false">IF(N192="No","Excluded (non-residential)",IF(BF192="No reference","Unverified – no reference",IF(BF192="Not in council register","Unverified – not in register (Part 8 / other)",IF(OR(BF192="Refused",BF192="Refused on appeal",BF192="Withdrawn",BF192="Invalid",BF192="Quashed"),IF(OR(G192="Complete",G192="On Site",G192="Part Complete"),"Conflict – register not live but CIS says built","Conflict – not live in register"),IF(AND(G192="Plans Submitted",OR(BF192="Granted",BF192="Granted on appeal")),"Stage out of date – now granted",IF(AND(G192&lt;&gt;"Plans Submitted",OR(BF192="Pending",BF192="Under appeal")),"Check – register still pending",IF(N(BL192)&gt;Method!$B$7,"Check – location differs",IF(AND(BP192&lt;&gt;"",ABS(N(BP192))&gt;60),"Consistent – decision date differs","Consistent"))))))))</f>
        <v>Consistent</v>
      </c>
      <c r="BS192" s="2"/>
      <c r="BT192" s="2"/>
      <c r="BU192" s="2"/>
      <c r="BV192" s="2"/>
      <c r="BW192" s="2"/>
      <c r="BX192" s="2"/>
    </row>
    <row r="193" customFormat="false" ht="15" hidden="false" customHeight="false" outlineLevel="0" collapsed="false">
      <c r="A193" s="2" t="n">
        <v>1229606</v>
      </c>
      <c r="B193" s="2" t="s">
        <v>571</v>
      </c>
      <c r="C193" s="2" t="s">
        <v>1748</v>
      </c>
      <c r="D193" s="2" t="s">
        <v>1749</v>
      </c>
      <c r="E193" s="2" t="s">
        <v>572</v>
      </c>
      <c r="F193" s="2" t="s">
        <v>139</v>
      </c>
      <c r="G193" s="2" t="s">
        <v>187</v>
      </c>
      <c r="H193" s="2" t="s">
        <v>1014</v>
      </c>
      <c r="I193" s="2"/>
      <c r="J193" s="22" t="n">
        <v>44693</v>
      </c>
      <c r="K193" s="22" t="n">
        <v>44740</v>
      </c>
      <c r="L193" s="22" t="n">
        <v>44699.2412415162</v>
      </c>
      <c r="M193" s="2" t="s">
        <v>1016</v>
      </c>
      <c r="N193" s="2" t="s">
        <v>121</v>
      </c>
      <c r="O193" s="2"/>
      <c r="P193" s="2" t="s">
        <v>1017</v>
      </c>
      <c r="Q193" s="10" t="n">
        <v>2</v>
      </c>
      <c r="R193" s="10" t="n">
        <v>3</v>
      </c>
      <c r="S193" s="10"/>
      <c r="T193" s="2" t="s">
        <v>26</v>
      </c>
      <c r="U193" s="2" t="s">
        <v>1745</v>
      </c>
      <c r="V193" s="2" t="s">
        <v>1750</v>
      </c>
      <c r="W193" s="2" t="s">
        <v>1498</v>
      </c>
      <c r="X193" s="7"/>
      <c r="Y193" s="2" t="str">
        <f aca="false">IF(X193&lt;&gt;"",X193,T193)</f>
        <v>Amendment within parent</v>
      </c>
      <c r="Z193" s="2" t="str">
        <f aca="false">IF(OR(Y193="Primary",Y193="Additional phase",Y193="Additional application on site",Y193="Replaces earlier",Y193="Extension of duration (parent not in CIS)"),"Yes","No")</f>
        <v>No</v>
      </c>
      <c r="AA193" s="2"/>
      <c r="AB193" s="2" t="n">
        <f aca="false">IF(L193="","",ROUND((Method!$B$4-L193)/30.44,0))</f>
        <v>52</v>
      </c>
      <c r="AC193" s="2" t="str">
        <f aca="false">IF(AB193="","No",IF(AB193&gt;Method!$B$5,"Yes","No"))</f>
        <v>Yes</v>
      </c>
      <c r="AD193" s="22" t="n">
        <f aca="false">IF(BJ193&lt;&gt;"",BJ193,IF(K193&lt;&gt;"",EDATE(K193,60),""))</f>
        <v>46602</v>
      </c>
      <c r="AE193" s="2" t="str">
        <f aca="false">IF(AND(AD193&lt;&gt;"",OR(G193="Permission Granted",G193="Commencement Expected",G193="Stalled or Suspended")),IF(AD193&lt;Method!$B$4,"Yes","No"),"No")</f>
        <v>No</v>
      </c>
      <c r="AF193" s="7"/>
      <c r="AG193" s="2" t="str">
        <f aca="false">IF(Z193="No","Not counted",IF(AF193="Lapsed or dead","Excluded",IF(AF193="Constrained","Constrained / uncertain",IF(AF193="Confirmed live",IF(G193="On Site","Committed",IF(G193="Part Complete","Committed",IF(G193="Contract Awarded","Committed Pre-Construction",IF(G193="Tender","Advanced Pre-Construction",IF(G193="Commencement Expected","Likely",IF(G193="Permission Granted","Potential",IF(G193="Stalled or Suspended","Constrained / uncertain",IF(G193="Complete","Delivered","Application Pipeline")))))))),IF(G193="Complete","Delivered",IF(AND(OR(G193="Permission Granted",G193="Commencement Expected"),OR(AC193="Yes",AE193="Yes")),"Constrained / uncertain",IF(G193="On Site","Committed",IF(G193="Part Complete","Committed",IF(G193="Contract Awarded","Committed Pre-Construction",IF(G193="Tender","Advanced Pre-Construction",IF(G193="Commencement Expected","Likely",IF(G193="Permission Granted","Potential",IF(G193="Stalled or Suspended","Constrained / uncertain",IF(G193="Complete","Delivered","Application Pipeline"))))))))))))))</f>
        <v>Not counted</v>
      </c>
      <c r="AH193" s="2" t="str">
        <f aca="false">IF(Z193="No","Relationship: "&amp;Y193,IF(AF193&lt;&gt;"","Analyst: "&amp;AF193,IF(G193="Complete","Complete",IF(AND(OR(G193="Permission Granted",G193="Commencement Expected"),AE193="Yes"),"Past expiry",IF(AND(OR(G193="Permission Granted",G193="Commencement Expected"),AC193="Yes"),"No CIS update in "&amp;AB193&amp;" months","As CIS")))))</f>
        <v>Relationship: Amendment within parent</v>
      </c>
      <c r="AI193" s="10" t="n">
        <f aca="false">IF(Z193="Yes",N(Q193),0)</f>
        <v>0</v>
      </c>
      <c r="AJ193" s="10" t="n">
        <f aca="false">IF(OR(Z193="No",G193="Complete"),0,MAX(N(Q193)-N(AA193),0))</f>
        <v>0</v>
      </c>
      <c r="AK193" s="10" t="n">
        <f aca="false">IF(Z193="No",0,IF(G193="Complete",N(Q193),MIN(N(AA193),N(Q193))))</f>
        <v>0</v>
      </c>
      <c r="AL193" s="10" t="n">
        <f aca="false">IF(OR(OR(AG193="Not counted",AG193="Excluded",AG193="Delivered"),P193="Student accommodation"),0,AJ193)</f>
        <v>0</v>
      </c>
      <c r="AM193" s="10" t="n">
        <f aca="false">IF(OR(OR(AG193="Not counted",AG193="Excluded",AG193="Delivered"),P193&lt;&gt;"Student accommodation"),0,AJ193)</f>
        <v>0</v>
      </c>
      <c r="AN193" s="10" t="n">
        <f aca="false">IF(OR(AG193="Not counted",AG193="Excluded",AG193="Delivered"),0,N(S193))</f>
        <v>0</v>
      </c>
      <c r="AO193" s="2" t="s">
        <v>1021</v>
      </c>
      <c r="AP193" s="10"/>
      <c r="AQ193" s="10"/>
      <c r="AR193" s="10"/>
      <c r="AS193" s="10"/>
      <c r="AT193" s="10"/>
      <c r="AU193" s="10"/>
      <c r="AV193" s="10" t="n">
        <f aca="false">N(AP193)+N(AQ193)+N(AR193)+N(AS193)+N(AT193)+N(AU193)</f>
        <v>0</v>
      </c>
      <c r="AW193" s="10"/>
      <c r="AX193" s="10"/>
      <c r="AY193" s="10"/>
      <c r="AZ193" s="2"/>
      <c r="BA193" s="2" t="s">
        <v>1022</v>
      </c>
      <c r="BB193" s="2" t="s">
        <v>1748</v>
      </c>
      <c r="BC193" s="2" t="s">
        <v>1023</v>
      </c>
      <c r="BD193" s="2" t="s">
        <v>1024</v>
      </c>
      <c r="BE193" s="2"/>
      <c r="BF193" s="2" t="s">
        <v>1025</v>
      </c>
      <c r="BG193" s="22" t="n">
        <v>44740</v>
      </c>
      <c r="BH193" s="22" t="n">
        <v>46602</v>
      </c>
      <c r="BI193" s="2"/>
      <c r="BJ193" s="22" t="n">
        <v>46602</v>
      </c>
      <c r="BK193" s="2"/>
      <c r="BL193" s="2" t="n">
        <v>0</v>
      </c>
      <c r="BM193" s="2"/>
      <c r="BN193" s="2" t="s">
        <v>1751</v>
      </c>
      <c r="BO193" s="23" t="s">
        <v>1752</v>
      </c>
      <c r="BP193" s="2" t="n">
        <f aca="false">IF(OR(K193="",BG193=""),"",ROUND(BG193-K193,0))</f>
        <v>0</v>
      </c>
      <c r="BQ193" s="2" t="str">
        <f aca="false">IF(OR(N(BK193)=0,Q193=""),"Not recorded",IF(BK193=Q193,"Match","Differs"))</f>
        <v>Not recorded</v>
      </c>
      <c r="BR193" s="2" t="str">
        <f aca="false">IF(N193="No","Excluded (non-residential)",IF(BF193="No reference","Unverified – no reference",IF(BF193="Not in council register","Unverified – not in register (Part 8 / other)",IF(OR(BF193="Refused",BF193="Refused on appeal",BF193="Withdrawn",BF193="Invalid",BF193="Quashed"),IF(OR(G193="Complete",G193="On Site",G193="Part Complete"),"Conflict – register not live but CIS says built","Conflict – not live in register"),IF(AND(G193="Plans Submitted",OR(BF193="Granted",BF193="Granted on appeal")),"Stage out of date – now granted",IF(AND(G193&lt;&gt;"Plans Submitted",OR(BF193="Pending",BF193="Under appeal")),"Check – register still pending",IF(N(BL193)&gt;Method!$B$7,"Check – location differs",IF(AND(BP193&lt;&gt;"",ABS(N(BP193))&gt;60),"Consistent – decision date differs","Consistent"))))))))</f>
        <v>Consistent</v>
      </c>
      <c r="BS193" s="2"/>
      <c r="BT193" s="2"/>
      <c r="BU193" s="2"/>
      <c r="BV193" s="2"/>
      <c r="BW193" s="2"/>
      <c r="BX193" s="2"/>
    </row>
    <row r="194" customFormat="false" ht="15" hidden="false" customHeight="false" outlineLevel="0" collapsed="false">
      <c r="A194" s="2" t="n">
        <v>1163124</v>
      </c>
      <c r="B194" s="2" t="s">
        <v>444</v>
      </c>
      <c r="C194" s="2" t="s">
        <v>1753</v>
      </c>
      <c r="D194" s="2" t="s">
        <v>445</v>
      </c>
      <c r="E194" s="2" t="s">
        <v>446</v>
      </c>
      <c r="F194" s="2" t="s">
        <v>141</v>
      </c>
      <c r="G194" s="2" t="s">
        <v>194</v>
      </c>
      <c r="H194" s="2" t="s">
        <v>1014</v>
      </c>
      <c r="I194" s="2" t="s">
        <v>198</v>
      </c>
      <c r="J194" s="22" t="n">
        <v>44309</v>
      </c>
      <c r="K194" s="22" t="n">
        <v>44648</v>
      </c>
      <c r="L194" s="22" t="n">
        <v>45357.6825399653</v>
      </c>
      <c r="M194" s="2" t="s">
        <v>1016</v>
      </c>
      <c r="N194" s="2" t="s">
        <v>121</v>
      </c>
      <c r="O194" s="2"/>
      <c r="P194" s="2" t="s">
        <v>1017</v>
      </c>
      <c r="Q194" s="10" t="n">
        <v>61</v>
      </c>
      <c r="R194" s="10" t="n">
        <v>12</v>
      </c>
      <c r="S194" s="10"/>
      <c r="T194" s="2" t="s">
        <v>120</v>
      </c>
      <c r="U194" s="2"/>
      <c r="V194" s="2" t="s">
        <v>1029</v>
      </c>
      <c r="W194" s="2" t="s">
        <v>1030</v>
      </c>
      <c r="X194" s="7"/>
      <c r="Y194" s="2" t="str">
        <f aca="false">IF(X194&lt;&gt;"",X194,T194)</f>
        <v>Primary</v>
      </c>
      <c r="Z194" s="2" t="str">
        <f aca="false">IF(OR(Y194="Primary",Y194="Additional phase",Y194="Additional application on site",Y194="Replaces earlier",Y194="Extension of duration (parent not in CIS)"),"Yes","No")</f>
        <v>Yes</v>
      </c>
      <c r="AA194" s="2"/>
      <c r="AB194" s="2" t="n">
        <f aca="false">IF(L194="","",ROUND((Method!$B$4-L194)/30.44,0))</f>
        <v>31</v>
      </c>
      <c r="AC194" s="2" t="str">
        <f aca="false">IF(AB194="","No",IF(AB194&gt;Method!$B$5,"Yes","No"))</f>
        <v>Yes</v>
      </c>
      <c r="AD194" s="22" t="n">
        <f aca="false">IF(BJ194&lt;&gt;"",BJ194,IF(K194&lt;&gt;"",EDATE(K194,60),""))</f>
        <v>46509</v>
      </c>
      <c r="AE194" s="2" t="str">
        <f aca="false">IF(AND(AD194&lt;&gt;"",OR(G194="Permission Granted",G194="Commencement Expected",G194="Stalled or Suspended")),IF(AD194&lt;Method!$B$4,"Yes","No"),"No")</f>
        <v>No</v>
      </c>
      <c r="AF194" s="7"/>
      <c r="AG194" s="2" t="str">
        <f aca="false">IF(Z194="No","Not counted",IF(AF194="Lapsed or dead","Excluded",IF(AF194="Constrained","Constrained / uncertain",IF(AF194="Confirmed live",IF(G194="On Site","Committed",IF(G194="Part Complete","Committed",IF(G194="Contract Awarded","Committed Pre-Construction",IF(G194="Tender","Advanced Pre-Construction",IF(G194="Commencement Expected","Likely",IF(G194="Permission Granted","Potential",IF(G194="Stalled or Suspended","Constrained / uncertain",IF(G194="Complete","Delivered","Application Pipeline")))))))),IF(G194="Complete","Delivered",IF(AND(OR(G194="Permission Granted",G194="Commencement Expected"),OR(AC194="Yes",AE194="Yes")),"Constrained / uncertain",IF(G194="On Site","Committed",IF(G194="Part Complete","Committed",IF(G194="Contract Awarded","Committed Pre-Construction",IF(G194="Tender","Advanced Pre-Construction",IF(G194="Commencement Expected","Likely",IF(G194="Permission Granted","Potential",IF(G194="Stalled or Suspended","Constrained / uncertain",IF(G194="Complete","Delivered","Application Pipeline"))))))))))))))</f>
        <v>Constrained / uncertain</v>
      </c>
      <c r="AH194" s="2" t="str">
        <f aca="false">IF(Z194="No","Relationship: "&amp;Y194,IF(AF194&lt;&gt;"","Analyst: "&amp;AF194,IF(G194="Complete","Complete",IF(AND(OR(G194="Permission Granted",G194="Commencement Expected"),AE194="Yes"),"Past expiry",IF(AND(OR(G194="Permission Granted",G194="Commencement Expected"),AC194="Yes"),"No CIS update in "&amp;AB194&amp;" months","As CIS")))))</f>
        <v>No CIS update in 31 months</v>
      </c>
      <c r="AI194" s="10" t="n">
        <f aca="false">IF(Z194="Yes",N(Q194),0)</f>
        <v>61</v>
      </c>
      <c r="AJ194" s="10" t="n">
        <f aca="false">IF(OR(Z194="No",G194="Complete"),0,MAX(N(Q194)-N(AA194),0))</f>
        <v>61</v>
      </c>
      <c r="AK194" s="10" t="n">
        <f aca="false">IF(Z194="No",0,IF(G194="Complete",N(Q194),MIN(N(AA194),N(Q194))))</f>
        <v>0</v>
      </c>
      <c r="AL194" s="10" t="n">
        <f aca="false">IF(OR(OR(AG194="Not counted",AG194="Excluded",AG194="Delivered"),P194="Student accommodation"),0,AJ194)</f>
        <v>61</v>
      </c>
      <c r="AM194" s="10" t="n">
        <f aca="false">IF(OR(OR(AG194="Not counted",AG194="Excluded",AG194="Delivered"),P194&lt;&gt;"Student accommodation"),0,AJ194)</f>
        <v>0</v>
      </c>
      <c r="AN194" s="10" t="n">
        <f aca="false">IF(OR(AG194="Not counted",AG194="Excluded",AG194="Delivered"),0,N(S194))</f>
        <v>0</v>
      </c>
      <c r="AO194" s="2" t="s">
        <v>1021</v>
      </c>
      <c r="AP194" s="10"/>
      <c r="AQ194" s="10"/>
      <c r="AR194" s="10"/>
      <c r="AS194" s="10"/>
      <c r="AT194" s="10"/>
      <c r="AU194" s="10"/>
      <c r="AV194" s="10" t="n">
        <f aca="false">N(AP194)+N(AQ194)+N(AR194)+N(AS194)+N(AT194)+N(AU194)</f>
        <v>0</v>
      </c>
      <c r="AW194" s="10"/>
      <c r="AX194" s="10"/>
      <c r="AY194" s="10"/>
      <c r="AZ194" s="2"/>
      <c r="BA194" s="2" t="s">
        <v>1022</v>
      </c>
      <c r="BB194" s="2" t="s">
        <v>1753</v>
      </c>
      <c r="BC194" s="2" t="s">
        <v>1023</v>
      </c>
      <c r="BD194" s="2" t="s">
        <v>1024</v>
      </c>
      <c r="BE194" s="2"/>
      <c r="BF194" s="2" t="s">
        <v>1025</v>
      </c>
      <c r="BG194" s="22" t="n">
        <v>44648</v>
      </c>
      <c r="BH194" s="22" t="n">
        <v>46509</v>
      </c>
      <c r="BI194" s="2"/>
      <c r="BJ194" s="22" t="n">
        <v>46509</v>
      </c>
      <c r="BK194" s="2" t="n">
        <v>63</v>
      </c>
      <c r="BL194" s="2" t="n">
        <v>0</v>
      </c>
      <c r="BM194" s="2"/>
      <c r="BN194" s="2" t="s">
        <v>1754</v>
      </c>
      <c r="BO194" s="23" t="s">
        <v>1755</v>
      </c>
      <c r="BP194" s="2" t="n">
        <f aca="false">IF(OR(K194="",BG194=""),"",ROUND(BG194-K194,0))</f>
        <v>0</v>
      </c>
      <c r="BQ194" s="2" t="str">
        <f aca="false">IF(OR(N(BK194)=0,Q194=""),"Not recorded",IF(BK194=Q194,"Match","Differs"))</f>
        <v>Differs</v>
      </c>
      <c r="BR194" s="2" t="str">
        <f aca="false">IF(N194="No","Excluded (non-residential)",IF(BF194="No reference","Unverified – no reference",IF(BF194="Not in council register","Unverified – not in register (Part 8 / other)",IF(OR(BF194="Refused",BF194="Refused on appeal",BF194="Withdrawn",BF194="Invalid",BF194="Quashed"),IF(OR(G194="Complete",G194="On Site",G194="Part Complete"),"Conflict – register not live but CIS says built","Conflict – not live in register"),IF(AND(G194="Plans Submitted",OR(BF194="Granted",BF194="Granted on appeal")),"Stage out of date – now granted",IF(AND(G194&lt;&gt;"Plans Submitted",OR(BF194="Pending",BF194="Under appeal")),"Check – register still pending",IF(N(BL194)&gt;Method!$B$7,"Check – location differs",IF(AND(BP194&lt;&gt;"",ABS(N(BP194))&gt;60),"Consistent – decision date differs","Consistent"))))))))</f>
        <v>Consistent</v>
      </c>
      <c r="BS194" s="2"/>
      <c r="BT194" s="2"/>
      <c r="BU194" s="2"/>
      <c r="BV194" s="2"/>
      <c r="BW194" s="2"/>
      <c r="BX194" s="2"/>
    </row>
    <row r="195" customFormat="false" ht="15" hidden="false" customHeight="false" outlineLevel="0" collapsed="false">
      <c r="A195" s="2" t="n">
        <v>1330186</v>
      </c>
      <c r="B195" s="2" t="s">
        <v>444</v>
      </c>
      <c r="C195" s="2" t="s">
        <v>1756</v>
      </c>
      <c r="D195" s="2" t="s">
        <v>1757</v>
      </c>
      <c r="E195" s="2" t="s">
        <v>446</v>
      </c>
      <c r="F195" s="2" t="s">
        <v>141</v>
      </c>
      <c r="G195" s="2" t="s">
        <v>198</v>
      </c>
      <c r="H195" s="2" t="s">
        <v>1014</v>
      </c>
      <c r="I195" s="2" t="s">
        <v>198</v>
      </c>
      <c r="J195" s="22" t="n">
        <v>45324</v>
      </c>
      <c r="K195" s="22" t="n">
        <v>45377</v>
      </c>
      <c r="L195" s="22" t="n">
        <v>45580.4197943287</v>
      </c>
      <c r="M195" s="2" t="s">
        <v>1016</v>
      </c>
      <c r="N195" s="2" t="s">
        <v>121</v>
      </c>
      <c r="O195" s="2"/>
      <c r="P195" s="2" t="s">
        <v>1017</v>
      </c>
      <c r="Q195" s="10" t="n">
        <v>12</v>
      </c>
      <c r="R195" s="10" t="n">
        <v>12</v>
      </c>
      <c r="S195" s="10"/>
      <c r="T195" s="2" t="s">
        <v>30</v>
      </c>
      <c r="U195" s="2"/>
      <c r="V195" s="2" t="s">
        <v>1080</v>
      </c>
      <c r="W195" s="2" t="s">
        <v>1020</v>
      </c>
      <c r="X195" s="7"/>
      <c r="Y195" s="2" t="str">
        <f aca="false">IF(X195&lt;&gt;"",X195,T195)</f>
        <v>Additional application on site</v>
      </c>
      <c r="Z195" s="2" t="str">
        <f aca="false">IF(OR(Y195="Primary",Y195="Additional phase",Y195="Additional application on site",Y195="Replaces earlier",Y195="Extension of duration (parent not in CIS)"),"Yes","No")</f>
        <v>Yes</v>
      </c>
      <c r="AA195" s="2"/>
      <c r="AB195" s="2" t="n">
        <f aca="false">IF(L195="","",ROUND((Method!$B$4-L195)/30.44,0))</f>
        <v>23</v>
      </c>
      <c r="AC195" s="2" t="str">
        <f aca="false">IF(AB195="","No",IF(AB195&gt;Method!$B$5,"Yes","No"))</f>
        <v>No</v>
      </c>
      <c r="AD195" s="22" t="n">
        <f aca="false">IF(BJ195&lt;&gt;"",BJ195,IF(K195&lt;&gt;"",EDATE(K195,60),""))</f>
        <v>46509</v>
      </c>
      <c r="AE195" s="2" t="str">
        <f aca="false">IF(AND(AD195&lt;&gt;"",OR(G195="Permission Granted",G195="Commencement Expected",G195="Stalled or Suspended")),IF(AD195&lt;Method!$B$4,"Yes","No"),"No")</f>
        <v>No</v>
      </c>
      <c r="AF195" s="7"/>
      <c r="AG195" s="2" t="str">
        <f aca="false">IF(Z195="No","Not counted",IF(AF195="Lapsed or dead","Excluded",IF(AF195="Constrained","Constrained / uncertain",IF(AF195="Confirmed live",IF(G195="On Site","Committed",IF(G195="Part Complete","Committed",IF(G195="Contract Awarded","Committed Pre-Construction",IF(G195="Tender","Advanced Pre-Construction",IF(G195="Commencement Expected","Likely",IF(G195="Permission Granted","Potential",IF(G195="Stalled or Suspended","Constrained / uncertain",IF(G195="Complete","Delivered","Application Pipeline")))))))),IF(G195="Complete","Delivered",IF(AND(OR(G195="Permission Granted",G195="Commencement Expected"),OR(AC195="Yes",AE195="Yes")),"Constrained / uncertain",IF(G195="On Site","Committed",IF(G195="Part Complete","Committed",IF(G195="Contract Awarded","Committed Pre-Construction",IF(G195="Tender","Advanced Pre-Construction",IF(G195="Commencement Expected","Likely",IF(G195="Permission Granted","Potential",IF(G195="Stalled or Suspended","Constrained / uncertain",IF(G195="Complete","Delivered","Application Pipeline"))))))))))))))</f>
        <v>Committed</v>
      </c>
      <c r="AH195" s="2" t="str">
        <f aca="false">IF(Z195="No","Relationship: "&amp;Y195,IF(AF195&lt;&gt;"","Analyst: "&amp;AF195,IF(G195="Complete","Complete",IF(AND(OR(G195="Permission Granted",G195="Commencement Expected"),AE195="Yes"),"Past expiry",IF(AND(OR(G195="Permission Granted",G195="Commencement Expected"),AC195="Yes"),"No CIS update in "&amp;AB195&amp;" months","As CIS")))))</f>
        <v>As CIS</v>
      </c>
      <c r="AI195" s="10" t="n">
        <f aca="false">IF(Z195="Yes",N(Q195),0)</f>
        <v>12</v>
      </c>
      <c r="AJ195" s="10" t="n">
        <f aca="false">IF(OR(Z195="No",G195="Complete"),0,MAX(N(Q195)-N(AA195),0))</f>
        <v>12</v>
      </c>
      <c r="AK195" s="10" t="n">
        <f aca="false">IF(Z195="No",0,IF(G195="Complete",N(Q195),MIN(N(AA195),N(Q195))))</f>
        <v>0</v>
      </c>
      <c r="AL195" s="10" t="n">
        <f aca="false">IF(OR(OR(AG195="Not counted",AG195="Excluded",AG195="Delivered"),P195="Student accommodation"),0,AJ195)</f>
        <v>12</v>
      </c>
      <c r="AM195" s="10" t="n">
        <f aca="false">IF(OR(OR(AG195="Not counted",AG195="Excluded",AG195="Delivered"),P195&lt;&gt;"Student accommodation"),0,AJ195)</f>
        <v>0</v>
      </c>
      <c r="AN195" s="10" t="n">
        <f aca="false">IF(OR(AG195="Not counted",AG195="Excluded",AG195="Delivered"),0,N(S195))</f>
        <v>0</v>
      </c>
      <c r="AO195" s="2" t="s">
        <v>1021</v>
      </c>
      <c r="AP195" s="10"/>
      <c r="AQ195" s="10"/>
      <c r="AR195" s="10"/>
      <c r="AS195" s="10"/>
      <c r="AT195" s="10"/>
      <c r="AU195" s="10"/>
      <c r="AV195" s="10" t="n">
        <f aca="false">N(AP195)+N(AQ195)+N(AR195)+N(AS195)+N(AT195)+N(AU195)</f>
        <v>0</v>
      </c>
      <c r="AW195" s="10"/>
      <c r="AX195" s="10"/>
      <c r="AY195" s="10"/>
      <c r="AZ195" s="2"/>
      <c r="BA195" s="2" t="s">
        <v>1022</v>
      </c>
      <c r="BB195" s="2" t="s">
        <v>1756</v>
      </c>
      <c r="BC195" s="2" t="s">
        <v>1023</v>
      </c>
      <c r="BD195" s="2" t="s">
        <v>1024</v>
      </c>
      <c r="BE195" s="2"/>
      <c r="BF195" s="2" t="s">
        <v>1025</v>
      </c>
      <c r="BG195" s="22" t="n">
        <v>45377</v>
      </c>
      <c r="BH195" s="22" t="n">
        <v>46509</v>
      </c>
      <c r="BI195" s="2"/>
      <c r="BJ195" s="22" t="n">
        <v>46509</v>
      </c>
      <c r="BK195" s="2"/>
      <c r="BL195" s="2" t="n">
        <v>0</v>
      </c>
      <c r="BM195" s="2"/>
      <c r="BN195" s="2" t="s">
        <v>1758</v>
      </c>
      <c r="BO195" s="23" t="s">
        <v>1759</v>
      </c>
      <c r="BP195" s="2" t="n">
        <f aca="false">IF(OR(K195="",BG195=""),"",ROUND(BG195-K195,0))</f>
        <v>0</v>
      </c>
      <c r="BQ195" s="2" t="str">
        <f aca="false">IF(OR(N(BK195)=0,Q195=""),"Not recorded",IF(BK195=Q195,"Match","Differs"))</f>
        <v>Not recorded</v>
      </c>
      <c r="BR195" s="2" t="str">
        <f aca="false">IF(N195="No","Excluded (non-residential)",IF(BF195="No reference","Unverified – no reference",IF(BF195="Not in council register","Unverified – not in register (Part 8 / other)",IF(OR(BF195="Refused",BF195="Refused on appeal",BF195="Withdrawn",BF195="Invalid",BF195="Quashed"),IF(OR(G195="Complete",G195="On Site",G195="Part Complete"),"Conflict – register not live but CIS says built","Conflict – not live in register"),IF(AND(G195="Plans Submitted",OR(BF195="Granted",BF195="Granted on appeal")),"Stage out of date – now granted",IF(AND(G195&lt;&gt;"Plans Submitted",OR(BF195="Pending",BF195="Under appeal")),"Check – register still pending",IF(N(BL195)&gt;Method!$B$7,"Check – location differs",IF(AND(BP195&lt;&gt;"",ABS(N(BP195))&gt;60),"Consistent – decision date differs","Consistent"))))))))</f>
        <v>Consistent</v>
      </c>
      <c r="BS195" s="2"/>
      <c r="BT195" s="2"/>
      <c r="BU195" s="2"/>
      <c r="BV195" s="2"/>
      <c r="BW195" s="2"/>
      <c r="BX195" s="2"/>
    </row>
    <row r="196" customFormat="false" ht="15" hidden="false" customHeight="false" outlineLevel="0" collapsed="false">
      <c r="A196" s="2" t="n">
        <v>1166187</v>
      </c>
      <c r="B196" s="2" t="s">
        <v>205</v>
      </c>
      <c r="C196" s="2" t="s">
        <v>1760</v>
      </c>
      <c r="D196" s="2" t="s">
        <v>206</v>
      </c>
      <c r="E196" s="2" t="s">
        <v>207</v>
      </c>
      <c r="F196" s="2" t="s">
        <v>144</v>
      </c>
      <c r="G196" s="2" t="s">
        <v>187</v>
      </c>
      <c r="H196" s="2" t="s">
        <v>1014</v>
      </c>
      <c r="I196" s="2"/>
      <c r="J196" s="22" t="n">
        <v>44326</v>
      </c>
      <c r="K196" s="22" t="n">
        <v>44424</v>
      </c>
      <c r="L196" s="22" t="n">
        <v>44330.4349183218</v>
      </c>
      <c r="M196" s="2" t="s">
        <v>1016</v>
      </c>
      <c r="N196" s="2" t="s">
        <v>121</v>
      </c>
      <c r="O196" s="2"/>
      <c r="P196" s="2" t="s">
        <v>1017</v>
      </c>
      <c r="Q196" s="10" t="n">
        <v>18</v>
      </c>
      <c r="R196" s="10"/>
      <c r="S196" s="10"/>
      <c r="T196" s="2" t="s">
        <v>125</v>
      </c>
      <c r="U196" s="2" t="s">
        <v>1761</v>
      </c>
      <c r="V196" s="2" t="s">
        <v>1762</v>
      </c>
      <c r="W196" s="2" t="s">
        <v>1030</v>
      </c>
      <c r="X196" s="7"/>
      <c r="Y196" s="2" t="str">
        <f aca="false">IF(X196&lt;&gt;"",X196,T196)</f>
        <v>Duplicate</v>
      </c>
      <c r="Z196" s="2" t="str">
        <f aca="false">IF(OR(Y196="Primary",Y196="Additional phase",Y196="Additional application on site",Y196="Replaces earlier",Y196="Extension of duration (parent not in CIS)"),"Yes","No")</f>
        <v>No</v>
      </c>
      <c r="AA196" s="2"/>
      <c r="AB196" s="2" t="n">
        <f aca="false">IF(L196="","",ROUND((Method!$B$4-L196)/30.44,0))</f>
        <v>65</v>
      </c>
      <c r="AC196" s="2" t="str">
        <f aca="false">IF(AB196="","No",IF(AB196&gt;Method!$B$5,"Yes","No"))</f>
        <v>Yes</v>
      </c>
      <c r="AD196" s="22" t="n">
        <f aca="false">IF(BJ196&lt;&gt;"",BJ196,IF(K196&lt;&gt;"",EDATE(K196,60),""))</f>
        <v>46250</v>
      </c>
      <c r="AE196" s="2" t="str">
        <f aca="false">IF(AND(AD196&lt;&gt;"",OR(G196="Permission Granted",G196="Commencement Expected",G196="Stalled or Suspended")),IF(AD196&lt;Method!$B$4,"Yes","No"),"No")</f>
        <v>Yes</v>
      </c>
      <c r="AF196" s="7"/>
      <c r="AG196" s="2" t="str">
        <f aca="false">IF(Z196="No","Not counted",IF(AF196="Lapsed or dead","Excluded",IF(AF196="Constrained","Constrained / uncertain",IF(AF196="Confirmed live",IF(G196="On Site","Committed",IF(G196="Part Complete","Committed",IF(G196="Contract Awarded","Committed Pre-Construction",IF(G196="Tender","Advanced Pre-Construction",IF(G196="Commencement Expected","Likely",IF(G196="Permission Granted","Potential",IF(G196="Stalled or Suspended","Constrained / uncertain",IF(G196="Complete","Delivered","Application Pipeline")))))))),IF(G196="Complete","Delivered",IF(AND(OR(G196="Permission Granted",G196="Commencement Expected"),OR(AC196="Yes",AE196="Yes")),"Constrained / uncertain",IF(G196="On Site","Committed",IF(G196="Part Complete","Committed",IF(G196="Contract Awarded","Committed Pre-Construction",IF(G196="Tender","Advanced Pre-Construction",IF(G196="Commencement Expected","Likely",IF(G196="Permission Granted","Potential",IF(G196="Stalled or Suspended","Constrained / uncertain",IF(G196="Complete","Delivered","Application Pipeline"))))))))))))))</f>
        <v>Not counted</v>
      </c>
      <c r="AH196" s="2" t="str">
        <f aca="false">IF(Z196="No","Relationship: "&amp;Y196,IF(AF196&lt;&gt;"","Analyst: "&amp;AF196,IF(G196="Complete","Complete",IF(AND(OR(G196="Permission Granted",G196="Commencement Expected"),AE196="Yes"),"Past expiry",IF(AND(OR(G196="Permission Granted",G196="Commencement Expected"),AC196="Yes"),"No CIS update in "&amp;AB196&amp;" months","As CIS")))))</f>
        <v>Relationship: Duplicate</v>
      </c>
      <c r="AI196" s="10" t="n">
        <f aca="false">IF(Z196="Yes",N(Q196),0)</f>
        <v>0</v>
      </c>
      <c r="AJ196" s="10" t="n">
        <f aca="false">IF(OR(Z196="No",G196="Complete"),0,MAX(N(Q196)-N(AA196),0))</f>
        <v>0</v>
      </c>
      <c r="AK196" s="10" t="n">
        <f aca="false">IF(Z196="No",0,IF(G196="Complete",N(Q196),MIN(N(AA196),N(Q196))))</f>
        <v>0</v>
      </c>
      <c r="AL196" s="10" t="n">
        <f aca="false">IF(OR(OR(AG196="Not counted",AG196="Excluded",AG196="Delivered"),P196="Student accommodation"),0,AJ196)</f>
        <v>0</v>
      </c>
      <c r="AM196" s="10" t="n">
        <f aca="false">IF(OR(OR(AG196="Not counted",AG196="Excluded",AG196="Delivered"),P196&lt;&gt;"Student accommodation"),0,AJ196)</f>
        <v>0</v>
      </c>
      <c r="AN196" s="10" t="n">
        <f aca="false">IF(OR(AG196="Not counted",AG196="Excluded",AG196="Delivered"),0,N(S196))</f>
        <v>0</v>
      </c>
      <c r="AO196" s="2" t="s">
        <v>1043</v>
      </c>
      <c r="AP196" s="10"/>
      <c r="AQ196" s="10"/>
      <c r="AR196" s="10"/>
      <c r="AS196" s="10"/>
      <c r="AT196" s="10"/>
      <c r="AU196" s="10"/>
      <c r="AV196" s="10" t="n">
        <f aca="false">N(AP196)+N(AQ196)+N(AR196)+N(AS196)+N(AT196)+N(AU196)</f>
        <v>0</v>
      </c>
      <c r="AW196" s="10"/>
      <c r="AX196" s="10"/>
      <c r="AY196" s="10"/>
      <c r="AZ196" s="2"/>
      <c r="BA196" s="2" t="s">
        <v>1095</v>
      </c>
      <c r="BB196" s="2"/>
      <c r="BC196" s="2"/>
      <c r="BD196" s="2"/>
      <c r="BE196" s="2"/>
      <c r="BF196" s="2" t="s">
        <v>1095</v>
      </c>
      <c r="BG196" s="22"/>
      <c r="BH196" s="22"/>
      <c r="BI196" s="2"/>
      <c r="BJ196" s="22"/>
      <c r="BK196" s="2"/>
      <c r="BL196" s="2"/>
      <c r="BM196" s="2"/>
      <c r="BN196" s="2"/>
      <c r="BO196" s="2"/>
      <c r="BP196" s="2" t="str">
        <f aca="false">IF(OR(K196="",BG196=""),"",ROUND(BG196-K196,0))</f>
        <v/>
      </c>
      <c r="BQ196" s="2" t="str">
        <f aca="false">IF(OR(N(BK196)=0,Q196=""),"Not recorded",IF(BK196=Q196,"Match","Differs"))</f>
        <v>Not recorded</v>
      </c>
      <c r="BR196" s="2" t="str">
        <f aca="false">IF(N196="No","Excluded (non-residential)",IF(BF196="No reference","Unverified – no reference",IF(BF196="Not in council register","Unverified – not in register (Part 8 / other)",IF(OR(BF196="Refused",BF196="Refused on appeal",BF196="Withdrawn",BF196="Invalid",BF196="Quashed"),IF(OR(G196="Complete",G196="On Site",G196="Part Complete"),"Conflict – register not live but CIS says built","Conflict – not live in register"),IF(AND(G196="Plans Submitted",OR(BF196="Granted",BF196="Granted on appeal")),"Stage out of date – now granted",IF(AND(G196&lt;&gt;"Plans Submitted",OR(BF196="Pending",BF196="Under appeal")),"Check – register still pending",IF(N(BL196)&gt;Method!$B$7,"Check – location differs",IF(AND(BP196&lt;&gt;"",ABS(N(BP196))&gt;60),"Consistent – decision date differs","Consistent"))))))))</f>
        <v>Unverified – not in register (Part 8 / other)</v>
      </c>
      <c r="BS196" s="2"/>
      <c r="BT196" s="2"/>
      <c r="BU196" s="2"/>
      <c r="BV196" s="2"/>
      <c r="BW196" s="2"/>
      <c r="BX196" s="2"/>
    </row>
    <row r="197" customFormat="false" ht="15" hidden="false" customHeight="false" outlineLevel="0" collapsed="false">
      <c r="A197" s="2" t="n">
        <v>1203836</v>
      </c>
      <c r="B197" s="2" t="s">
        <v>205</v>
      </c>
      <c r="C197" s="2" t="s">
        <v>1761</v>
      </c>
      <c r="D197" s="2" t="s">
        <v>1763</v>
      </c>
      <c r="E197" s="2" t="s">
        <v>1764</v>
      </c>
      <c r="F197" s="2" t="s">
        <v>144</v>
      </c>
      <c r="G197" s="2" t="s">
        <v>208</v>
      </c>
      <c r="H197" s="2" t="s">
        <v>1014</v>
      </c>
      <c r="I197" s="2" t="s">
        <v>198</v>
      </c>
      <c r="J197" s="22" t="n">
        <v>44536</v>
      </c>
      <c r="K197" s="22" t="n">
        <v>44617</v>
      </c>
      <c r="L197" s="22" t="n">
        <v>46272.32593125</v>
      </c>
      <c r="M197" s="2" t="s">
        <v>1016</v>
      </c>
      <c r="N197" s="2" t="s">
        <v>121</v>
      </c>
      <c r="O197" s="2"/>
      <c r="P197" s="2" t="s">
        <v>1017</v>
      </c>
      <c r="Q197" s="10" t="n">
        <v>18</v>
      </c>
      <c r="R197" s="10" t="n">
        <v>11</v>
      </c>
      <c r="S197" s="10"/>
      <c r="T197" s="2" t="s">
        <v>30</v>
      </c>
      <c r="U197" s="2"/>
      <c r="V197" s="2" t="s">
        <v>1080</v>
      </c>
      <c r="W197" s="2" t="s">
        <v>1020</v>
      </c>
      <c r="X197" s="7"/>
      <c r="Y197" s="2" t="str">
        <f aca="false">IF(X197&lt;&gt;"",X197,T197)</f>
        <v>Additional application on site</v>
      </c>
      <c r="Z197" s="2" t="str">
        <f aca="false">IF(OR(Y197="Primary",Y197="Additional phase",Y197="Additional application on site",Y197="Replaces earlier",Y197="Extension of duration (parent not in CIS)"),"Yes","No")</f>
        <v>Yes</v>
      </c>
      <c r="AA197" s="2" t="n">
        <v>11</v>
      </c>
      <c r="AB197" s="2" t="n">
        <f aca="false">IF(L197="","",ROUND((Method!$B$4-L197)/30.44,0))</f>
        <v>1</v>
      </c>
      <c r="AC197" s="2" t="str">
        <f aca="false">IF(AB197="","No",IF(AB197&gt;Method!$B$5,"Yes","No"))</f>
        <v>No</v>
      </c>
      <c r="AD197" s="22" t="n">
        <f aca="false">IF(BJ197&lt;&gt;"",BJ197,IF(K197&lt;&gt;"",EDATE(K197,60),""))</f>
        <v>46443</v>
      </c>
      <c r="AE197" s="2" t="str">
        <f aca="false">IF(AND(AD197&lt;&gt;"",OR(G197="Permission Granted",G197="Commencement Expected",G197="Stalled or Suspended")),IF(AD197&lt;Method!$B$4,"Yes","No"),"No")</f>
        <v>No</v>
      </c>
      <c r="AF197" s="7"/>
      <c r="AG197" s="2" t="str">
        <f aca="false">IF(Z197="No","Not counted",IF(AF197="Lapsed or dead","Excluded",IF(AF197="Constrained","Constrained / uncertain",IF(AF197="Confirmed live",IF(G197="On Site","Committed",IF(G197="Part Complete","Committed",IF(G197="Contract Awarded","Committed Pre-Construction",IF(G197="Tender","Advanced Pre-Construction",IF(G197="Commencement Expected","Likely",IF(G197="Permission Granted","Potential",IF(G197="Stalled or Suspended","Constrained / uncertain",IF(G197="Complete","Delivered","Application Pipeline")))))))),IF(G197="Complete","Delivered",IF(AND(OR(G197="Permission Granted",G197="Commencement Expected"),OR(AC197="Yes",AE197="Yes")),"Constrained / uncertain",IF(G197="On Site","Committed",IF(G197="Part Complete","Committed",IF(G197="Contract Awarded","Committed Pre-Construction",IF(G197="Tender","Advanced Pre-Construction",IF(G197="Commencement Expected","Likely",IF(G197="Permission Granted","Potential",IF(G197="Stalled or Suspended","Constrained / uncertain",IF(G197="Complete","Delivered","Application Pipeline"))))))))))))))</f>
        <v>Committed</v>
      </c>
      <c r="AH197" s="2" t="str">
        <f aca="false">IF(Z197="No","Relationship: "&amp;Y197,IF(AF197&lt;&gt;"","Analyst: "&amp;AF197,IF(G197="Complete","Complete",IF(AND(OR(G197="Permission Granted",G197="Commencement Expected"),AE197="Yes"),"Past expiry",IF(AND(OR(G197="Permission Granted",G197="Commencement Expected"),AC197="Yes"),"No CIS update in "&amp;AB197&amp;" months","As CIS")))))</f>
        <v>As CIS</v>
      </c>
      <c r="AI197" s="10" t="n">
        <f aca="false">IF(Z197="Yes",N(Q197),0)</f>
        <v>18</v>
      </c>
      <c r="AJ197" s="10" t="n">
        <f aca="false">IF(OR(Z197="No",G197="Complete"),0,MAX(N(Q197)-N(AA197),0))</f>
        <v>7</v>
      </c>
      <c r="AK197" s="10" t="n">
        <f aca="false">IF(Z197="No",0,IF(G197="Complete",N(Q197),MIN(N(AA197),N(Q197))))</f>
        <v>11</v>
      </c>
      <c r="AL197" s="10" t="n">
        <f aca="false">IF(OR(OR(AG197="Not counted",AG197="Excluded",AG197="Delivered"),P197="Student accommodation"),0,AJ197)</f>
        <v>7</v>
      </c>
      <c r="AM197" s="10" t="n">
        <f aca="false">IF(OR(OR(AG197="Not counted",AG197="Excluded",AG197="Delivered"),P197&lt;&gt;"Student accommodation"),0,AJ197)</f>
        <v>0</v>
      </c>
      <c r="AN197" s="10" t="n">
        <f aca="false">IF(OR(AG197="Not counted",AG197="Excluded",AG197="Delivered"),0,N(S197))</f>
        <v>0</v>
      </c>
      <c r="AO197" s="2" t="s">
        <v>1031</v>
      </c>
      <c r="AP197" s="10"/>
      <c r="AQ197" s="10" t="n">
        <v>7</v>
      </c>
      <c r="AR197" s="10" t="n">
        <v>8</v>
      </c>
      <c r="AS197" s="10" t="n">
        <v>2</v>
      </c>
      <c r="AT197" s="10" t="n">
        <v>1</v>
      </c>
      <c r="AU197" s="10"/>
      <c r="AV197" s="10" t="n">
        <f aca="false">N(AP197)+N(AQ197)+N(AR197)+N(AS197)+N(AT197)+N(AU197)</f>
        <v>18</v>
      </c>
      <c r="AW197" s="10"/>
      <c r="AX197" s="10"/>
      <c r="AY197" s="10" t="n">
        <v>18</v>
      </c>
      <c r="AZ197" s="2"/>
      <c r="BA197" s="2" t="s">
        <v>1022</v>
      </c>
      <c r="BB197" s="2" t="s">
        <v>1761</v>
      </c>
      <c r="BC197" s="2" t="s">
        <v>1046</v>
      </c>
      <c r="BD197" s="2" t="s">
        <v>1024</v>
      </c>
      <c r="BE197" s="2"/>
      <c r="BF197" s="2" t="s">
        <v>1025</v>
      </c>
      <c r="BG197" s="22" t="n">
        <v>44617</v>
      </c>
      <c r="BH197" s="22"/>
      <c r="BI197" s="2"/>
      <c r="BJ197" s="22"/>
      <c r="BK197" s="2" t="n">
        <v>18</v>
      </c>
      <c r="BL197" s="2" t="n">
        <v>0</v>
      </c>
      <c r="BM197" s="2"/>
      <c r="BN197" s="2" t="s">
        <v>1765</v>
      </c>
      <c r="BO197" s="23" t="s">
        <v>1766</v>
      </c>
      <c r="BP197" s="2" t="n">
        <f aca="false">IF(OR(K197="",BG197=""),"",ROUND(BG197-K197,0))</f>
        <v>0</v>
      </c>
      <c r="BQ197" s="2" t="str">
        <f aca="false">IF(OR(N(BK197)=0,Q197=""),"Not recorded",IF(BK197=Q197,"Match","Differs"))</f>
        <v>Match</v>
      </c>
      <c r="BR197" s="2" t="str">
        <f aca="false">IF(N197="No","Excluded (non-residential)",IF(BF197="No reference","Unverified – no reference",IF(BF197="Not in council register","Unverified – not in register (Part 8 / other)",IF(OR(BF197="Refused",BF197="Refused on appeal",BF197="Withdrawn",BF197="Invalid",BF197="Quashed"),IF(OR(G197="Complete",G197="On Site",G197="Part Complete"),"Conflict – register not live but CIS says built","Conflict – not live in register"),IF(AND(G197="Plans Submitted",OR(BF197="Granted",BF197="Granted on appeal")),"Stage out of date – now granted",IF(AND(G197&lt;&gt;"Plans Submitted",OR(BF197="Pending",BF197="Under appeal")),"Check – register still pending",IF(N(BL197)&gt;Method!$B$7,"Check – location differs",IF(AND(BP197&lt;&gt;"",ABS(N(BP197))&gt;60),"Consistent – decision date differs","Consistent"))))))))</f>
        <v>Consistent</v>
      </c>
      <c r="BS197" s="2"/>
      <c r="BT197" s="2"/>
      <c r="BU197" s="2"/>
      <c r="BV197" s="2"/>
      <c r="BW197" s="2"/>
      <c r="BX197" s="2"/>
    </row>
    <row r="198" customFormat="false" ht="15" hidden="false" customHeight="false" outlineLevel="0" collapsed="false">
      <c r="A198" s="2" t="n">
        <v>1172151</v>
      </c>
      <c r="B198" s="2" t="s">
        <v>345</v>
      </c>
      <c r="C198" s="2" t="s">
        <v>1767</v>
      </c>
      <c r="D198" s="2" t="s">
        <v>346</v>
      </c>
      <c r="E198" s="2" t="s">
        <v>347</v>
      </c>
      <c r="F198" s="2" t="s">
        <v>144</v>
      </c>
      <c r="G198" s="2" t="s">
        <v>251</v>
      </c>
      <c r="H198" s="2" t="s">
        <v>1014</v>
      </c>
      <c r="I198" s="2" t="s">
        <v>1015</v>
      </c>
      <c r="J198" s="22" t="n">
        <v>44348</v>
      </c>
      <c r="K198" s="22" t="n">
        <v>44391</v>
      </c>
      <c r="L198" s="22" t="n">
        <v>45273.6599329514</v>
      </c>
      <c r="M198" s="2" t="s">
        <v>1016</v>
      </c>
      <c r="N198" s="2" t="s">
        <v>121</v>
      </c>
      <c r="O198" s="2"/>
      <c r="P198" s="2" t="s">
        <v>1017</v>
      </c>
      <c r="Q198" s="10" t="n">
        <v>65</v>
      </c>
      <c r="R198" s="10" t="n">
        <v>4</v>
      </c>
      <c r="S198" s="10"/>
      <c r="T198" s="2" t="s">
        <v>122</v>
      </c>
      <c r="U198" s="2" t="s">
        <v>1768</v>
      </c>
      <c r="V198" s="2" t="s">
        <v>1019</v>
      </c>
      <c r="W198" s="2" t="s">
        <v>1020</v>
      </c>
      <c r="X198" s="7"/>
      <c r="Y198" s="2" t="str">
        <f aca="false">IF(X198&lt;&gt;"",X198,T198)</f>
        <v>Extension of duration (parent not in CIS)</v>
      </c>
      <c r="Z198" s="2" t="str">
        <f aca="false">IF(OR(Y198="Primary",Y198="Additional phase",Y198="Additional application on site",Y198="Replaces earlier",Y198="Extension of duration (parent not in CIS)"),"Yes","No")</f>
        <v>Yes</v>
      </c>
      <c r="AA198" s="2"/>
      <c r="AB198" s="2" t="n">
        <f aca="false">IF(L198="","",ROUND((Method!$B$4-L198)/30.44,0))</f>
        <v>34</v>
      </c>
      <c r="AC198" s="2" t="str">
        <f aca="false">IF(AB198="","No",IF(AB198&gt;Method!$B$5,"Yes","No"))</f>
        <v>Yes</v>
      </c>
      <c r="AD198" s="22" t="n">
        <f aca="false">IF(BJ198&lt;&gt;"",BJ198,IF(K198&lt;&gt;"",EDATE(K198,60),""))</f>
        <v>46345</v>
      </c>
      <c r="AE198" s="2" t="str">
        <f aca="false">IF(AND(AD198&lt;&gt;"",OR(G198="Permission Granted",G198="Commencement Expected",G198="Stalled or Suspended")),IF(AD198&lt;Method!$B$4,"Yes","No"),"No")</f>
        <v>No</v>
      </c>
      <c r="AF198" s="7"/>
      <c r="AG198" s="2" t="str">
        <f aca="false">IF(Z198="No","Not counted",IF(AF198="Lapsed or dead","Excluded",IF(AF198="Constrained","Constrained / uncertain",IF(AF198="Confirmed live",IF(G198="On Site","Committed",IF(G198="Part Complete","Committed",IF(G198="Contract Awarded","Committed Pre-Construction",IF(G198="Tender","Advanced Pre-Construction",IF(G198="Commencement Expected","Likely",IF(G198="Permission Granted","Potential",IF(G198="Stalled or Suspended","Constrained / uncertain",IF(G198="Complete","Delivered","Application Pipeline")))))))),IF(G198="Complete","Delivered",IF(AND(OR(G198="Permission Granted",G198="Commencement Expected"),OR(AC198="Yes",AE198="Yes")),"Constrained / uncertain",IF(G198="On Site","Committed",IF(G198="Part Complete","Committed",IF(G198="Contract Awarded","Committed Pre-Construction",IF(G198="Tender","Advanced Pre-Construction",IF(G198="Commencement Expected","Likely",IF(G198="Permission Granted","Potential",IF(G198="Stalled or Suspended","Constrained / uncertain",IF(G198="Complete","Delivered","Application Pipeline"))))))))))))))</f>
        <v>Delivered</v>
      </c>
      <c r="AH198" s="2" t="str">
        <f aca="false">IF(Z198="No","Relationship: "&amp;Y198,IF(AF198&lt;&gt;"","Analyst: "&amp;AF198,IF(G198="Complete","Complete",IF(AND(OR(G198="Permission Granted",G198="Commencement Expected"),AE198="Yes"),"Past expiry",IF(AND(OR(G198="Permission Granted",G198="Commencement Expected"),AC198="Yes"),"No CIS update in "&amp;AB198&amp;" months","As CIS")))))</f>
        <v>Complete</v>
      </c>
      <c r="AI198" s="10" t="n">
        <f aca="false">IF(Z198="Yes",N(Q198),0)</f>
        <v>65</v>
      </c>
      <c r="AJ198" s="10" t="n">
        <f aca="false">IF(OR(Z198="No",G198="Complete"),0,MAX(N(Q198)-N(AA198),0))</f>
        <v>0</v>
      </c>
      <c r="AK198" s="10" t="n">
        <f aca="false">IF(Z198="No",0,IF(G198="Complete",N(Q198),MIN(N(AA198),N(Q198))))</f>
        <v>65</v>
      </c>
      <c r="AL198" s="10" t="n">
        <f aca="false">IF(OR(OR(AG198="Not counted",AG198="Excluded",AG198="Delivered"),P198="Student accommodation"),0,AJ198)</f>
        <v>0</v>
      </c>
      <c r="AM198" s="10" t="n">
        <f aca="false">IF(OR(OR(AG198="Not counted",AG198="Excluded",AG198="Delivered"),P198&lt;&gt;"Student accommodation"),0,AJ198)</f>
        <v>0</v>
      </c>
      <c r="AN198" s="10" t="n">
        <f aca="false">IF(OR(AG198="Not counted",AG198="Excluded",AG198="Delivered"),0,N(S198))</f>
        <v>0</v>
      </c>
      <c r="AO198" s="2" t="s">
        <v>1157</v>
      </c>
      <c r="AP198" s="10"/>
      <c r="AQ198" s="10" t="n">
        <v>21</v>
      </c>
      <c r="AR198" s="10" t="n">
        <v>44</v>
      </c>
      <c r="AS198" s="10"/>
      <c r="AT198" s="10"/>
      <c r="AU198" s="10"/>
      <c r="AV198" s="10" t="n">
        <f aca="false">N(AP198)+N(AQ198)+N(AR198)+N(AS198)+N(AT198)+N(AU198)</f>
        <v>65</v>
      </c>
      <c r="AW198" s="10" t="n">
        <v>4</v>
      </c>
      <c r="AX198" s="10" t="n">
        <v>61</v>
      </c>
      <c r="AY198" s="10"/>
      <c r="AZ198" s="2"/>
      <c r="BA198" s="2" t="s">
        <v>1022</v>
      </c>
      <c r="BB198" s="2" t="s">
        <v>1767</v>
      </c>
      <c r="BC198" s="2" t="s">
        <v>1023</v>
      </c>
      <c r="BD198" s="2" t="s">
        <v>1024</v>
      </c>
      <c r="BE198" s="2"/>
      <c r="BF198" s="2" t="s">
        <v>1025</v>
      </c>
      <c r="BG198" s="22" t="n">
        <v>44391</v>
      </c>
      <c r="BH198" s="22" t="n">
        <v>46345</v>
      </c>
      <c r="BI198" s="2"/>
      <c r="BJ198" s="22" t="n">
        <v>46345</v>
      </c>
      <c r="BK198" s="2"/>
      <c r="BL198" s="2" t="n">
        <v>0</v>
      </c>
      <c r="BM198" s="2"/>
      <c r="BN198" s="2" t="s">
        <v>1769</v>
      </c>
      <c r="BO198" s="23" t="s">
        <v>1770</v>
      </c>
      <c r="BP198" s="2" t="n">
        <f aca="false">IF(OR(K198="",BG198=""),"",ROUND(BG198-K198,0))</f>
        <v>0</v>
      </c>
      <c r="BQ198" s="2" t="str">
        <f aca="false">IF(OR(N(BK198)=0,Q198=""),"Not recorded",IF(BK198=Q198,"Match","Differs"))</f>
        <v>Not recorded</v>
      </c>
      <c r="BR198" s="2" t="str">
        <f aca="false">IF(N198="No","Excluded (non-residential)",IF(BF198="No reference","Unverified – no reference",IF(BF198="Not in council register","Unverified – not in register (Part 8 / other)",IF(OR(BF198="Refused",BF198="Refused on appeal",BF198="Withdrawn",BF198="Invalid",BF198="Quashed"),IF(OR(G198="Complete",G198="On Site",G198="Part Complete"),"Conflict – register not live but CIS says built","Conflict – not live in register"),IF(AND(G198="Plans Submitted",OR(BF198="Granted",BF198="Granted on appeal")),"Stage out of date – now granted",IF(AND(G198&lt;&gt;"Plans Submitted",OR(BF198="Pending",BF198="Under appeal")),"Check – register still pending",IF(N(BL198)&gt;Method!$B$7,"Check – location differs",IF(AND(BP198&lt;&gt;"",ABS(N(BP198))&gt;60),"Consistent – decision date differs","Consistent"))))))))</f>
        <v>Consistent</v>
      </c>
      <c r="BS198" s="2"/>
      <c r="BT198" s="2"/>
      <c r="BU198" s="2"/>
      <c r="BV198" s="2"/>
      <c r="BW198" s="2"/>
      <c r="BX198" s="2"/>
    </row>
    <row r="199" customFormat="false" ht="15" hidden="false" customHeight="false" outlineLevel="0" collapsed="false">
      <c r="A199" s="2" t="n">
        <v>1319462</v>
      </c>
      <c r="B199" s="2" t="s">
        <v>345</v>
      </c>
      <c r="C199" s="2" t="s">
        <v>1771</v>
      </c>
      <c r="D199" s="2" t="s">
        <v>1772</v>
      </c>
      <c r="E199" s="2" t="s">
        <v>1773</v>
      </c>
      <c r="F199" s="2" t="s">
        <v>144</v>
      </c>
      <c r="G199" s="2" t="s">
        <v>198</v>
      </c>
      <c r="H199" s="2" t="s">
        <v>1014</v>
      </c>
      <c r="I199" s="2" t="s">
        <v>198</v>
      </c>
      <c r="J199" s="22" t="n">
        <v>45247</v>
      </c>
      <c r="K199" s="22" t="n">
        <v>45527</v>
      </c>
      <c r="L199" s="22" t="n">
        <v>46007.4277620718</v>
      </c>
      <c r="M199" s="2" t="s">
        <v>1016</v>
      </c>
      <c r="N199" s="2" t="s">
        <v>121</v>
      </c>
      <c r="O199" s="2"/>
      <c r="P199" s="2" t="s">
        <v>1017</v>
      </c>
      <c r="Q199" s="10" t="n">
        <v>167</v>
      </c>
      <c r="R199" s="10" t="n">
        <v>4</v>
      </c>
      <c r="S199" s="10"/>
      <c r="T199" s="2" t="s">
        <v>28</v>
      </c>
      <c r="U199" s="2" t="s">
        <v>1767</v>
      </c>
      <c r="V199" s="2" t="s">
        <v>1774</v>
      </c>
      <c r="W199" s="2" t="s">
        <v>1498</v>
      </c>
      <c r="X199" s="7"/>
      <c r="Y199" s="2" t="str">
        <f aca="false">IF(X199&lt;&gt;"",X199,T199)</f>
        <v>Additional phase</v>
      </c>
      <c r="Z199" s="2" t="str">
        <f aca="false">IF(OR(Y199="Primary",Y199="Additional phase",Y199="Additional application on site",Y199="Replaces earlier",Y199="Extension of duration (parent not in CIS)"),"Yes","No")</f>
        <v>Yes</v>
      </c>
      <c r="AA199" s="2"/>
      <c r="AB199" s="2" t="n">
        <f aca="false">IF(L199="","",ROUND((Method!$B$4-L199)/30.44,0))</f>
        <v>9</v>
      </c>
      <c r="AC199" s="2" t="str">
        <f aca="false">IF(AB199="","No",IF(AB199&gt;Method!$B$5,"Yes","No"))</f>
        <v>No</v>
      </c>
      <c r="AD199" s="22" t="n">
        <f aca="false">IF(BJ199&lt;&gt;"",BJ199,IF(K199&lt;&gt;"",EDATE(K199,60),""))</f>
        <v>47352</v>
      </c>
      <c r="AE199" s="2" t="str">
        <f aca="false">IF(AND(AD199&lt;&gt;"",OR(G199="Permission Granted",G199="Commencement Expected",G199="Stalled or Suspended")),IF(AD199&lt;Method!$B$4,"Yes","No"),"No")</f>
        <v>No</v>
      </c>
      <c r="AF199" s="7"/>
      <c r="AG199" s="2" t="str">
        <f aca="false">IF(Z199="No","Not counted",IF(AF199="Lapsed or dead","Excluded",IF(AF199="Constrained","Constrained / uncertain",IF(AF199="Confirmed live",IF(G199="On Site","Committed",IF(G199="Part Complete","Committed",IF(G199="Contract Awarded","Committed Pre-Construction",IF(G199="Tender","Advanced Pre-Construction",IF(G199="Commencement Expected","Likely",IF(G199="Permission Granted","Potential",IF(G199="Stalled or Suspended","Constrained / uncertain",IF(G199="Complete","Delivered","Application Pipeline")))))))),IF(G199="Complete","Delivered",IF(AND(OR(G199="Permission Granted",G199="Commencement Expected"),OR(AC199="Yes",AE199="Yes")),"Constrained / uncertain",IF(G199="On Site","Committed",IF(G199="Part Complete","Committed",IF(G199="Contract Awarded","Committed Pre-Construction",IF(G199="Tender","Advanced Pre-Construction",IF(G199="Commencement Expected","Likely",IF(G199="Permission Granted","Potential",IF(G199="Stalled or Suspended","Constrained / uncertain",IF(G199="Complete","Delivered","Application Pipeline"))))))))))))))</f>
        <v>Committed</v>
      </c>
      <c r="AH199" s="2" t="str">
        <f aca="false">IF(Z199="No","Relationship: "&amp;Y199,IF(AF199&lt;&gt;"","Analyst: "&amp;AF199,IF(G199="Complete","Complete",IF(AND(OR(G199="Permission Granted",G199="Commencement Expected"),AE199="Yes"),"Past expiry",IF(AND(OR(G199="Permission Granted",G199="Commencement Expected"),AC199="Yes"),"No CIS update in "&amp;AB199&amp;" months","As CIS")))))</f>
        <v>As CIS</v>
      </c>
      <c r="AI199" s="10" t="n">
        <f aca="false">IF(Z199="Yes",N(Q199),0)</f>
        <v>167</v>
      </c>
      <c r="AJ199" s="10" t="n">
        <f aca="false">IF(OR(Z199="No",G199="Complete"),0,MAX(N(Q199)-N(AA199),0))</f>
        <v>167</v>
      </c>
      <c r="AK199" s="10" t="n">
        <f aca="false">IF(Z199="No",0,IF(G199="Complete",N(Q199),MIN(N(AA199),N(Q199))))</f>
        <v>0</v>
      </c>
      <c r="AL199" s="10" t="n">
        <f aca="false">IF(OR(OR(AG199="Not counted",AG199="Excluded",AG199="Delivered"),P199="Student accommodation"),0,AJ199)</f>
        <v>167</v>
      </c>
      <c r="AM199" s="10" t="n">
        <f aca="false">IF(OR(OR(AG199="Not counted",AG199="Excluded",AG199="Delivered"),P199&lt;&gt;"Student accommodation"),0,AJ199)</f>
        <v>0</v>
      </c>
      <c r="AN199" s="10" t="n">
        <f aca="false">IF(OR(AG199="Not counted",AG199="Excluded",AG199="Delivered"),0,N(S199))</f>
        <v>0</v>
      </c>
      <c r="AO199" s="2" t="s">
        <v>1157</v>
      </c>
      <c r="AP199" s="10"/>
      <c r="AQ199" s="10" t="n">
        <v>82</v>
      </c>
      <c r="AR199" s="10" t="n">
        <v>83</v>
      </c>
      <c r="AS199" s="10" t="n">
        <v>2</v>
      </c>
      <c r="AT199" s="10"/>
      <c r="AU199" s="10"/>
      <c r="AV199" s="10" t="n">
        <f aca="false">N(AP199)+N(AQ199)+N(AR199)+N(AS199)+N(AT199)+N(AU199)</f>
        <v>167</v>
      </c>
      <c r="AW199" s="10"/>
      <c r="AX199" s="10" t="n">
        <v>167</v>
      </c>
      <c r="AY199" s="10"/>
      <c r="AZ199" s="2"/>
      <c r="BA199" s="2" t="s">
        <v>1022</v>
      </c>
      <c r="BB199" s="2" t="s">
        <v>1771</v>
      </c>
      <c r="BC199" s="2" t="s">
        <v>1023</v>
      </c>
      <c r="BD199" s="2" t="s">
        <v>1024</v>
      </c>
      <c r="BE199" s="2" t="s">
        <v>1024</v>
      </c>
      <c r="BF199" s="2" t="s">
        <v>1059</v>
      </c>
      <c r="BG199" s="22" t="n">
        <v>45401</v>
      </c>
      <c r="BH199" s="22" t="n">
        <v>47352</v>
      </c>
      <c r="BI199" s="2"/>
      <c r="BJ199" s="22" t="n">
        <v>47352</v>
      </c>
      <c r="BK199" s="2"/>
      <c r="BL199" s="2" t="n">
        <v>0</v>
      </c>
      <c r="BM199" s="2"/>
      <c r="BN199" s="2" t="s">
        <v>1775</v>
      </c>
      <c r="BO199" s="23" t="s">
        <v>1776</v>
      </c>
      <c r="BP199" s="2" t="n">
        <f aca="false">IF(OR(K199="",BG199=""),"",ROUND(BG199-K199,0))</f>
        <v>-126</v>
      </c>
      <c r="BQ199" s="2" t="str">
        <f aca="false">IF(OR(N(BK199)=0,Q199=""),"Not recorded",IF(BK199=Q199,"Match","Differs"))</f>
        <v>Not recorded</v>
      </c>
      <c r="BR199" s="2" t="str">
        <f aca="false">IF(N199="No","Excluded (non-residential)",IF(BF199="No reference","Unverified – no reference",IF(BF199="Not in council register","Unverified – not in register (Part 8 / other)",IF(OR(BF199="Refused",BF199="Refused on appeal",BF199="Withdrawn",BF199="Invalid",BF199="Quashed"),IF(OR(G199="Complete",G199="On Site",G199="Part Complete"),"Conflict – register not live but CIS says built","Conflict – not live in register"),IF(AND(G199="Plans Submitted",OR(BF199="Granted",BF199="Granted on appeal")),"Stage out of date – now granted",IF(AND(G199&lt;&gt;"Plans Submitted",OR(BF199="Pending",BF199="Under appeal")),"Check – register still pending",IF(N(BL199)&gt;Method!$B$7,"Check – location differs",IF(AND(BP199&lt;&gt;"",ABS(N(BP199))&gt;60),"Consistent – decision date differs","Consistent"))))))))</f>
        <v>Consistent – decision date differs</v>
      </c>
      <c r="BS199" s="2"/>
      <c r="BT199" s="2"/>
      <c r="BU199" s="2"/>
      <c r="BV199" s="2"/>
      <c r="BW199" s="2"/>
      <c r="BX199" s="2"/>
    </row>
    <row r="200" customFormat="false" ht="15" hidden="false" customHeight="false" outlineLevel="0" collapsed="false">
      <c r="A200" s="2" t="n">
        <v>1173364</v>
      </c>
      <c r="B200" s="2" t="s">
        <v>466</v>
      </c>
      <c r="C200" s="2" t="s">
        <v>1777</v>
      </c>
      <c r="D200" s="2" t="s">
        <v>467</v>
      </c>
      <c r="E200" s="2" t="s">
        <v>468</v>
      </c>
      <c r="F200" s="2" t="s">
        <v>144</v>
      </c>
      <c r="G200" s="2" t="s">
        <v>187</v>
      </c>
      <c r="H200" s="2" t="s">
        <v>1014</v>
      </c>
      <c r="I200" s="2"/>
      <c r="J200" s="22" t="n">
        <v>44361</v>
      </c>
      <c r="K200" s="22" t="n">
        <v>44572</v>
      </c>
      <c r="L200" s="22" t="n">
        <v>44574.6485856481</v>
      </c>
      <c r="M200" s="2" t="s">
        <v>1016</v>
      </c>
      <c r="N200" s="2" t="s">
        <v>121</v>
      </c>
      <c r="O200" s="2"/>
      <c r="P200" s="2" t="s">
        <v>1017</v>
      </c>
      <c r="Q200" s="10" t="n">
        <v>14</v>
      </c>
      <c r="R200" s="10" t="n">
        <v>14</v>
      </c>
      <c r="S200" s="10"/>
      <c r="T200" s="2" t="s">
        <v>120</v>
      </c>
      <c r="U200" s="2"/>
      <c r="V200" s="2" t="s">
        <v>1029</v>
      </c>
      <c r="W200" s="2" t="s">
        <v>1030</v>
      </c>
      <c r="X200" s="7"/>
      <c r="Y200" s="2" t="str">
        <f aca="false">IF(X200&lt;&gt;"",X200,T200)</f>
        <v>Primary</v>
      </c>
      <c r="Z200" s="2" t="str">
        <f aca="false">IF(OR(Y200="Primary",Y200="Additional phase",Y200="Additional application on site",Y200="Replaces earlier",Y200="Extension of duration (parent not in CIS)"),"Yes","No")</f>
        <v>Yes</v>
      </c>
      <c r="AA200" s="2"/>
      <c r="AB200" s="2" t="n">
        <f aca="false">IF(L200="","",ROUND((Method!$B$4-L200)/30.44,0))</f>
        <v>56</v>
      </c>
      <c r="AC200" s="2" t="str">
        <f aca="false">IF(AB200="","No",IF(AB200&gt;Method!$B$5,"Yes","No"))</f>
        <v>Yes</v>
      </c>
      <c r="AD200" s="22" t="n">
        <f aca="false">IF(BJ200&lt;&gt;"",BJ200,IF(K200&lt;&gt;"",EDATE(K200,60),""))</f>
        <v>46434</v>
      </c>
      <c r="AE200" s="2" t="str">
        <f aca="false">IF(AND(AD200&lt;&gt;"",OR(G200="Permission Granted",G200="Commencement Expected",G200="Stalled or Suspended")),IF(AD200&lt;Method!$B$4,"Yes","No"),"No")</f>
        <v>No</v>
      </c>
      <c r="AF200" s="7"/>
      <c r="AG200" s="2" t="str">
        <f aca="false">IF(Z200="No","Not counted",IF(AF200="Lapsed or dead","Excluded",IF(AF200="Constrained","Constrained / uncertain",IF(AF200="Confirmed live",IF(G200="On Site","Committed",IF(G200="Part Complete","Committed",IF(G200="Contract Awarded","Committed Pre-Construction",IF(G200="Tender","Advanced Pre-Construction",IF(G200="Commencement Expected","Likely",IF(G200="Permission Granted","Potential",IF(G200="Stalled or Suspended","Constrained / uncertain",IF(G200="Complete","Delivered","Application Pipeline")))))))),IF(G200="Complete","Delivered",IF(AND(OR(G200="Permission Granted",G200="Commencement Expected"),OR(AC200="Yes",AE200="Yes")),"Constrained / uncertain",IF(G200="On Site","Committed",IF(G200="Part Complete","Committed",IF(G200="Contract Awarded","Committed Pre-Construction",IF(G200="Tender","Advanced Pre-Construction",IF(G200="Commencement Expected","Likely",IF(G200="Permission Granted","Potential",IF(G200="Stalled or Suspended","Constrained / uncertain",IF(G200="Complete","Delivered","Application Pipeline"))))))))))))))</f>
        <v>Constrained / uncertain</v>
      </c>
      <c r="AH200" s="2" t="str">
        <f aca="false">IF(Z200="No","Relationship: "&amp;Y200,IF(AF200&lt;&gt;"","Analyst: "&amp;AF200,IF(G200="Complete","Complete",IF(AND(OR(G200="Permission Granted",G200="Commencement Expected"),AE200="Yes"),"Past expiry",IF(AND(OR(G200="Permission Granted",G200="Commencement Expected"),AC200="Yes"),"No CIS update in "&amp;AB200&amp;" months","As CIS")))))</f>
        <v>No CIS update in 56 months</v>
      </c>
      <c r="AI200" s="10" t="n">
        <f aca="false">IF(Z200="Yes",N(Q200),0)</f>
        <v>14</v>
      </c>
      <c r="AJ200" s="10" t="n">
        <f aca="false">IF(OR(Z200="No",G200="Complete"),0,MAX(N(Q200)-N(AA200),0))</f>
        <v>14</v>
      </c>
      <c r="AK200" s="10" t="n">
        <f aca="false">IF(Z200="No",0,IF(G200="Complete",N(Q200),MIN(N(AA200),N(Q200))))</f>
        <v>0</v>
      </c>
      <c r="AL200" s="10" t="n">
        <f aca="false">IF(OR(OR(AG200="Not counted",AG200="Excluded",AG200="Delivered"),P200="Student accommodation"),0,AJ200)</f>
        <v>14</v>
      </c>
      <c r="AM200" s="10" t="n">
        <f aca="false">IF(OR(OR(AG200="Not counted",AG200="Excluded",AG200="Delivered"),P200&lt;&gt;"Student accommodation"),0,AJ200)</f>
        <v>0</v>
      </c>
      <c r="AN200" s="10" t="n">
        <f aca="false">IF(OR(AG200="Not counted",AG200="Excluded",AG200="Delivered"),0,N(S200))</f>
        <v>0</v>
      </c>
      <c r="AO200" s="2" t="s">
        <v>1157</v>
      </c>
      <c r="AP200" s="10"/>
      <c r="AQ200" s="10" t="n">
        <v>5</v>
      </c>
      <c r="AR200" s="10" t="n">
        <v>8</v>
      </c>
      <c r="AS200" s="10" t="n">
        <v>1</v>
      </c>
      <c r="AT200" s="10"/>
      <c r="AU200" s="10"/>
      <c r="AV200" s="10" t="n">
        <f aca="false">N(AP200)+N(AQ200)+N(AR200)+N(AS200)+N(AT200)+N(AU200)</f>
        <v>14</v>
      </c>
      <c r="AW200" s="10"/>
      <c r="AX200" s="10" t="n">
        <v>14</v>
      </c>
      <c r="AY200" s="10"/>
      <c r="AZ200" s="2"/>
      <c r="BA200" s="2" t="s">
        <v>1022</v>
      </c>
      <c r="BB200" s="2" t="s">
        <v>1777</v>
      </c>
      <c r="BC200" s="2" t="s">
        <v>1023</v>
      </c>
      <c r="BD200" s="2" t="s">
        <v>1024</v>
      </c>
      <c r="BE200" s="2"/>
      <c r="BF200" s="2" t="s">
        <v>1025</v>
      </c>
      <c r="BG200" s="22" t="n">
        <v>44572</v>
      </c>
      <c r="BH200" s="22" t="n">
        <v>46434</v>
      </c>
      <c r="BI200" s="2"/>
      <c r="BJ200" s="22" t="n">
        <v>46434</v>
      </c>
      <c r="BK200" s="2"/>
      <c r="BL200" s="2" t="n">
        <v>0</v>
      </c>
      <c r="BM200" s="2"/>
      <c r="BN200" s="2" t="s">
        <v>1778</v>
      </c>
      <c r="BO200" s="23" t="s">
        <v>1779</v>
      </c>
      <c r="BP200" s="2" t="n">
        <f aca="false">IF(OR(K200="",BG200=""),"",ROUND(BG200-K200,0))</f>
        <v>0</v>
      </c>
      <c r="BQ200" s="2" t="str">
        <f aca="false">IF(OR(N(BK200)=0,Q200=""),"Not recorded",IF(BK200=Q200,"Match","Differs"))</f>
        <v>Not recorded</v>
      </c>
      <c r="BR200" s="2" t="str">
        <f aca="false">IF(N200="No","Excluded (non-residential)",IF(BF200="No reference","Unverified – no reference",IF(BF200="Not in council register","Unverified – not in register (Part 8 / other)",IF(OR(BF200="Refused",BF200="Refused on appeal",BF200="Withdrawn",BF200="Invalid",BF200="Quashed"),IF(OR(G200="Complete",G200="On Site",G200="Part Complete"),"Conflict – register not live but CIS says built","Conflict – not live in register"),IF(AND(G200="Plans Submitted",OR(BF200="Granted",BF200="Granted on appeal")),"Stage out of date – now granted",IF(AND(G200&lt;&gt;"Plans Submitted",OR(BF200="Pending",BF200="Under appeal")),"Check – register still pending",IF(N(BL200)&gt;Method!$B$7,"Check – location differs",IF(AND(BP200&lt;&gt;"",ABS(N(BP200))&gt;60),"Consistent – decision date differs","Consistent"))))))))</f>
        <v>Consistent</v>
      </c>
      <c r="BS200" s="2"/>
      <c r="BT200" s="2"/>
      <c r="BU200" s="2"/>
      <c r="BV200" s="2"/>
      <c r="BW200" s="2"/>
      <c r="BX200" s="2"/>
    </row>
    <row r="201" customFormat="false" ht="15" hidden="false" customHeight="false" outlineLevel="0" collapsed="false">
      <c r="A201" s="2" t="n">
        <v>1314456</v>
      </c>
      <c r="B201" s="2" t="s">
        <v>466</v>
      </c>
      <c r="C201" s="2" t="s">
        <v>1780</v>
      </c>
      <c r="D201" s="2" t="s">
        <v>1781</v>
      </c>
      <c r="E201" s="2" t="s">
        <v>1782</v>
      </c>
      <c r="F201" s="2" t="s">
        <v>144</v>
      </c>
      <c r="G201" s="2" t="s">
        <v>187</v>
      </c>
      <c r="H201" s="2" t="s">
        <v>1014</v>
      </c>
      <c r="I201" s="2"/>
      <c r="J201" s="22" t="n">
        <v>45217</v>
      </c>
      <c r="K201" s="22" t="n">
        <v>45456</v>
      </c>
      <c r="L201" s="22" t="n">
        <v>45461.4429717245</v>
      </c>
      <c r="M201" s="2" t="s">
        <v>1016</v>
      </c>
      <c r="N201" s="2" t="s">
        <v>121</v>
      </c>
      <c r="O201" s="2"/>
      <c r="P201" s="2" t="s">
        <v>1017</v>
      </c>
      <c r="Q201" s="10" t="n">
        <v>8</v>
      </c>
      <c r="R201" s="10"/>
      <c r="S201" s="10"/>
      <c r="T201" s="2" t="s">
        <v>30</v>
      </c>
      <c r="U201" s="2"/>
      <c r="V201" s="2" t="s">
        <v>1080</v>
      </c>
      <c r="W201" s="2" t="s">
        <v>1020</v>
      </c>
      <c r="X201" s="7"/>
      <c r="Y201" s="2" t="str">
        <f aca="false">IF(X201&lt;&gt;"",X201,T201)</f>
        <v>Additional application on site</v>
      </c>
      <c r="Z201" s="2" t="str">
        <f aca="false">IF(OR(Y201="Primary",Y201="Additional phase",Y201="Additional application on site",Y201="Replaces earlier",Y201="Extension of duration (parent not in CIS)"),"Yes","No")</f>
        <v>Yes</v>
      </c>
      <c r="AA201" s="2"/>
      <c r="AB201" s="2" t="n">
        <f aca="false">IF(L201="","",ROUND((Method!$B$4-L201)/30.44,0))</f>
        <v>27</v>
      </c>
      <c r="AC201" s="2" t="str">
        <f aca="false">IF(AB201="","No",IF(AB201&gt;Method!$B$5,"Yes","No"))</f>
        <v>Yes</v>
      </c>
      <c r="AD201" s="22" t="n">
        <f aca="false">IF(BJ201&lt;&gt;"",BJ201,IF(K201&lt;&gt;"",EDATE(K201,60),""))</f>
        <v>47315</v>
      </c>
      <c r="AE201" s="2" t="str">
        <f aca="false">IF(AND(AD201&lt;&gt;"",OR(G201="Permission Granted",G201="Commencement Expected",G201="Stalled or Suspended")),IF(AD201&lt;Method!$B$4,"Yes","No"),"No")</f>
        <v>No</v>
      </c>
      <c r="AF201" s="7"/>
      <c r="AG201" s="2" t="str">
        <f aca="false">IF(Z201="No","Not counted",IF(AF201="Lapsed or dead","Excluded",IF(AF201="Constrained","Constrained / uncertain",IF(AF201="Confirmed live",IF(G201="On Site","Committed",IF(G201="Part Complete","Committed",IF(G201="Contract Awarded","Committed Pre-Construction",IF(G201="Tender","Advanced Pre-Construction",IF(G201="Commencement Expected","Likely",IF(G201="Permission Granted","Potential",IF(G201="Stalled or Suspended","Constrained / uncertain",IF(G201="Complete","Delivered","Application Pipeline")))))))),IF(G201="Complete","Delivered",IF(AND(OR(G201="Permission Granted",G201="Commencement Expected"),OR(AC201="Yes",AE201="Yes")),"Constrained / uncertain",IF(G201="On Site","Committed",IF(G201="Part Complete","Committed",IF(G201="Contract Awarded","Committed Pre-Construction",IF(G201="Tender","Advanced Pre-Construction",IF(G201="Commencement Expected","Likely",IF(G201="Permission Granted","Potential",IF(G201="Stalled or Suspended","Constrained / uncertain",IF(G201="Complete","Delivered","Application Pipeline"))))))))))))))</f>
        <v>Constrained / uncertain</v>
      </c>
      <c r="AH201" s="2" t="str">
        <f aca="false">IF(Z201="No","Relationship: "&amp;Y201,IF(AF201&lt;&gt;"","Analyst: "&amp;AF201,IF(G201="Complete","Complete",IF(AND(OR(G201="Permission Granted",G201="Commencement Expected"),AE201="Yes"),"Past expiry",IF(AND(OR(G201="Permission Granted",G201="Commencement Expected"),AC201="Yes"),"No CIS update in "&amp;AB201&amp;" months","As CIS")))))</f>
        <v>No CIS update in 27 months</v>
      </c>
      <c r="AI201" s="10" t="n">
        <f aca="false">IF(Z201="Yes",N(Q201),0)</f>
        <v>8</v>
      </c>
      <c r="AJ201" s="10" t="n">
        <f aca="false">IF(OR(Z201="No",G201="Complete"),0,MAX(N(Q201)-N(AA201),0))</f>
        <v>8</v>
      </c>
      <c r="AK201" s="10" t="n">
        <f aca="false">IF(Z201="No",0,IF(G201="Complete",N(Q201),MIN(N(AA201),N(Q201))))</f>
        <v>0</v>
      </c>
      <c r="AL201" s="10" t="n">
        <f aca="false">IF(OR(OR(AG201="Not counted",AG201="Excluded",AG201="Delivered"),P201="Student accommodation"),0,AJ201)</f>
        <v>8</v>
      </c>
      <c r="AM201" s="10" t="n">
        <f aca="false">IF(OR(OR(AG201="Not counted",AG201="Excluded",AG201="Delivered"),P201&lt;&gt;"Student accommodation"),0,AJ201)</f>
        <v>0</v>
      </c>
      <c r="AN201" s="10" t="n">
        <f aca="false">IF(OR(AG201="Not counted",AG201="Excluded",AG201="Delivered"),0,N(S201))</f>
        <v>0</v>
      </c>
      <c r="AO201" s="2" t="s">
        <v>1021</v>
      </c>
      <c r="AP201" s="10"/>
      <c r="AQ201" s="10"/>
      <c r="AR201" s="10"/>
      <c r="AS201" s="10"/>
      <c r="AT201" s="10"/>
      <c r="AU201" s="10"/>
      <c r="AV201" s="10" t="n">
        <f aca="false">N(AP201)+N(AQ201)+N(AR201)+N(AS201)+N(AT201)+N(AU201)</f>
        <v>0</v>
      </c>
      <c r="AW201" s="10"/>
      <c r="AX201" s="10"/>
      <c r="AY201" s="10"/>
      <c r="AZ201" s="2"/>
      <c r="BA201" s="2" t="s">
        <v>1022</v>
      </c>
      <c r="BB201" s="2" t="s">
        <v>1780</v>
      </c>
      <c r="BC201" s="2" t="s">
        <v>1023</v>
      </c>
      <c r="BD201" s="2" t="s">
        <v>1024</v>
      </c>
      <c r="BE201" s="2"/>
      <c r="BF201" s="2" t="s">
        <v>1025</v>
      </c>
      <c r="BG201" s="22" t="n">
        <v>45456</v>
      </c>
      <c r="BH201" s="22" t="n">
        <v>47315</v>
      </c>
      <c r="BI201" s="2"/>
      <c r="BJ201" s="22" t="n">
        <v>47315</v>
      </c>
      <c r="BK201" s="2"/>
      <c r="BL201" s="2" t="n">
        <v>0</v>
      </c>
      <c r="BM201" s="2"/>
      <c r="BN201" s="2" t="s">
        <v>1783</v>
      </c>
      <c r="BO201" s="23" t="s">
        <v>1784</v>
      </c>
      <c r="BP201" s="2" t="n">
        <f aca="false">IF(OR(K201="",BG201=""),"",ROUND(BG201-K201,0))</f>
        <v>0</v>
      </c>
      <c r="BQ201" s="2" t="str">
        <f aca="false">IF(OR(N(BK201)=0,Q201=""),"Not recorded",IF(BK201=Q201,"Match","Differs"))</f>
        <v>Not recorded</v>
      </c>
      <c r="BR201" s="2" t="str">
        <f aca="false">IF(N201="No","Excluded (non-residential)",IF(BF201="No reference","Unverified – no reference",IF(BF201="Not in council register","Unverified – not in register (Part 8 / other)",IF(OR(BF201="Refused",BF201="Refused on appeal",BF201="Withdrawn",BF201="Invalid",BF201="Quashed"),IF(OR(G201="Complete",G201="On Site",G201="Part Complete"),"Conflict – register not live but CIS says built","Conflict – not live in register"),IF(AND(G201="Plans Submitted",OR(BF201="Granted",BF201="Granted on appeal")),"Stage out of date – now granted",IF(AND(G201&lt;&gt;"Plans Submitted",OR(BF201="Pending",BF201="Under appeal")),"Check – register still pending",IF(N(BL201)&gt;Method!$B$7,"Check – location differs",IF(AND(BP201&lt;&gt;"",ABS(N(BP201))&gt;60),"Consistent – decision date differs","Consistent"))))))))</f>
        <v>Consistent</v>
      </c>
      <c r="BS201" s="2"/>
      <c r="BT201" s="2"/>
      <c r="BU201" s="2"/>
      <c r="BV201" s="2"/>
      <c r="BW201" s="2"/>
      <c r="BX201" s="2"/>
    </row>
    <row r="202" customFormat="false" ht="15" hidden="false" customHeight="false" outlineLevel="0" collapsed="false">
      <c r="A202" s="2" t="n">
        <v>1201033</v>
      </c>
      <c r="B202" s="2" t="s">
        <v>303</v>
      </c>
      <c r="C202" s="2" t="s">
        <v>1785</v>
      </c>
      <c r="D202" s="2" t="s">
        <v>304</v>
      </c>
      <c r="E202" s="2" t="s">
        <v>305</v>
      </c>
      <c r="F202" s="2" t="s">
        <v>144</v>
      </c>
      <c r="G202" s="2" t="s">
        <v>187</v>
      </c>
      <c r="H202" s="2" t="s">
        <v>1014</v>
      </c>
      <c r="I202" s="2"/>
      <c r="J202" s="22" t="n">
        <v>44518</v>
      </c>
      <c r="K202" s="22" t="n">
        <v>44670</v>
      </c>
      <c r="L202" s="22" t="n">
        <v>44672.5064946759</v>
      </c>
      <c r="M202" s="2" t="s">
        <v>1016</v>
      </c>
      <c r="N202" s="2" t="s">
        <v>121</v>
      </c>
      <c r="O202" s="2"/>
      <c r="P202" s="2" t="s">
        <v>1017</v>
      </c>
      <c r="Q202" s="10" t="n">
        <v>37</v>
      </c>
      <c r="R202" s="10" t="n">
        <v>34</v>
      </c>
      <c r="S202" s="10"/>
      <c r="T202" s="2" t="s">
        <v>120</v>
      </c>
      <c r="U202" s="2"/>
      <c r="V202" s="2" t="s">
        <v>1029</v>
      </c>
      <c r="W202" s="2" t="s">
        <v>1030</v>
      </c>
      <c r="X202" s="7"/>
      <c r="Y202" s="2" t="str">
        <f aca="false">IF(X202&lt;&gt;"",X202,T202)</f>
        <v>Primary</v>
      </c>
      <c r="Z202" s="2" t="str">
        <f aca="false">IF(OR(Y202="Primary",Y202="Additional phase",Y202="Additional application on site",Y202="Replaces earlier",Y202="Extension of duration (parent not in CIS)"),"Yes","No")</f>
        <v>Yes</v>
      </c>
      <c r="AA202" s="2"/>
      <c r="AB202" s="2" t="n">
        <f aca="false">IF(L202="","",ROUND((Method!$B$4-L202)/30.44,0))</f>
        <v>53</v>
      </c>
      <c r="AC202" s="2" t="str">
        <f aca="false">IF(AB202="","No",IF(AB202&gt;Method!$B$5,"Yes","No"))</f>
        <v>Yes</v>
      </c>
      <c r="AD202" s="22" t="n">
        <f aca="false">IF(BJ202&lt;&gt;"",BJ202,IF(K202&lt;&gt;"",EDATE(K202,60),""))</f>
        <v>46531</v>
      </c>
      <c r="AE202" s="2" t="str">
        <f aca="false">IF(AND(AD202&lt;&gt;"",OR(G202="Permission Granted",G202="Commencement Expected",G202="Stalled or Suspended")),IF(AD202&lt;Method!$B$4,"Yes","No"),"No")</f>
        <v>No</v>
      </c>
      <c r="AF202" s="7"/>
      <c r="AG202" s="2" t="str">
        <f aca="false">IF(Z202="No","Not counted",IF(AF202="Lapsed or dead","Excluded",IF(AF202="Constrained","Constrained / uncertain",IF(AF202="Confirmed live",IF(G202="On Site","Committed",IF(G202="Part Complete","Committed",IF(G202="Contract Awarded","Committed Pre-Construction",IF(G202="Tender","Advanced Pre-Construction",IF(G202="Commencement Expected","Likely",IF(G202="Permission Granted","Potential",IF(G202="Stalled or Suspended","Constrained / uncertain",IF(G202="Complete","Delivered","Application Pipeline")))))))),IF(G202="Complete","Delivered",IF(AND(OR(G202="Permission Granted",G202="Commencement Expected"),OR(AC202="Yes",AE202="Yes")),"Constrained / uncertain",IF(G202="On Site","Committed",IF(G202="Part Complete","Committed",IF(G202="Contract Awarded","Committed Pre-Construction",IF(G202="Tender","Advanced Pre-Construction",IF(G202="Commencement Expected","Likely",IF(G202="Permission Granted","Potential",IF(G202="Stalled or Suspended","Constrained / uncertain",IF(G202="Complete","Delivered","Application Pipeline"))))))))))))))</f>
        <v>Constrained / uncertain</v>
      </c>
      <c r="AH202" s="2" t="str">
        <f aca="false">IF(Z202="No","Relationship: "&amp;Y202,IF(AF202&lt;&gt;"","Analyst: "&amp;AF202,IF(G202="Complete","Complete",IF(AND(OR(G202="Permission Granted",G202="Commencement Expected"),AE202="Yes"),"Past expiry",IF(AND(OR(G202="Permission Granted",G202="Commencement Expected"),AC202="Yes"),"No CIS update in "&amp;AB202&amp;" months","As CIS")))))</f>
        <v>No CIS update in 53 months</v>
      </c>
      <c r="AI202" s="10" t="n">
        <f aca="false">IF(Z202="Yes",N(Q202),0)</f>
        <v>37</v>
      </c>
      <c r="AJ202" s="10" t="n">
        <f aca="false">IF(OR(Z202="No",G202="Complete"),0,MAX(N(Q202)-N(AA202),0))</f>
        <v>37</v>
      </c>
      <c r="AK202" s="10" t="n">
        <f aca="false">IF(Z202="No",0,IF(G202="Complete",N(Q202),MIN(N(AA202),N(Q202))))</f>
        <v>0</v>
      </c>
      <c r="AL202" s="10" t="n">
        <f aca="false">IF(OR(OR(AG202="Not counted",AG202="Excluded",AG202="Delivered"),P202="Student accommodation"),0,AJ202)</f>
        <v>37</v>
      </c>
      <c r="AM202" s="10" t="n">
        <f aca="false">IF(OR(OR(AG202="Not counted",AG202="Excluded",AG202="Delivered"),P202&lt;&gt;"Student accommodation"),0,AJ202)</f>
        <v>0</v>
      </c>
      <c r="AN202" s="10" t="n">
        <f aca="false">IF(OR(AG202="Not counted",AG202="Excluded",AG202="Delivered"),0,N(S202))</f>
        <v>0</v>
      </c>
      <c r="AO202" s="2" t="s">
        <v>1157</v>
      </c>
      <c r="AP202" s="10"/>
      <c r="AQ202" s="10" t="n">
        <v>34</v>
      </c>
      <c r="AR202" s="10" t="n">
        <v>3</v>
      </c>
      <c r="AS202" s="10"/>
      <c r="AT202" s="10"/>
      <c r="AU202" s="10"/>
      <c r="AV202" s="10" t="n">
        <f aca="false">N(AP202)+N(AQ202)+N(AR202)+N(AS202)+N(AT202)+N(AU202)</f>
        <v>37</v>
      </c>
      <c r="AW202" s="10"/>
      <c r="AX202" s="10" t="n">
        <v>37</v>
      </c>
      <c r="AY202" s="10"/>
      <c r="AZ202" s="2"/>
      <c r="BA202" s="2" t="s">
        <v>1022</v>
      </c>
      <c r="BB202" s="2" t="s">
        <v>1785</v>
      </c>
      <c r="BC202" s="2" t="s">
        <v>1023</v>
      </c>
      <c r="BD202" s="2" t="s">
        <v>1024</v>
      </c>
      <c r="BE202" s="2"/>
      <c r="BF202" s="2" t="s">
        <v>1025</v>
      </c>
      <c r="BG202" s="22" t="n">
        <v>44670</v>
      </c>
      <c r="BH202" s="22" t="n">
        <v>46531</v>
      </c>
      <c r="BI202" s="2"/>
      <c r="BJ202" s="22" t="n">
        <v>46531</v>
      </c>
      <c r="BK202" s="2" t="n">
        <v>1</v>
      </c>
      <c r="BL202" s="2" t="n">
        <v>0</v>
      </c>
      <c r="BM202" s="2"/>
      <c r="BN202" s="2" t="s">
        <v>1786</v>
      </c>
      <c r="BO202" s="23" t="s">
        <v>1787</v>
      </c>
      <c r="BP202" s="2" t="n">
        <f aca="false">IF(OR(K202="",BG202=""),"",ROUND(BG202-K202,0))</f>
        <v>0</v>
      </c>
      <c r="BQ202" s="2" t="str">
        <f aca="false">IF(OR(N(BK202)=0,Q202=""),"Not recorded",IF(BK202=Q202,"Match","Differs"))</f>
        <v>Differs</v>
      </c>
      <c r="BR202" s="2" t="str">
        <f aca="false">IF(N202="No","Excluded (non-residential)",IF(BF202="No reference","Unverified – no reference",IF(BF202="Not in council register","Unverified – not in register (Part 8 / other)",IF(OR(BF202="Refused",BF202="Refused on appeal",BF202="Withdrawn",BF202="Invalid",BF202="Quashed"),IF(OR(G202="Complete",G202="On Site",G202="Part Complete"),"Conflict – register not live but CIS says built","Conflict – not live in register"),IF(AND(G202="Plans Submitted",OR(BF202="Granted",BF202="Granted on appeal")),"Stage out of date – now granted",IF(AND(G202&lt;&gt;"Plans Submitted",OR(BF202="Pending",BF202="Under appeal")),"Check – register still pending",IF(N(BL202)&gt;Method!$B$7,"Check – location differs",IF(AND(BP202&lt;&gt;"",ABS(N(BP202))&gt;60),"Consistent – decision date differs","Consistent"))))))))</f>
        <v>Consistent</v>
      </c>
      <c r="BS202" s="2"/>
      <c r="BT202" s="2"/>
      <c r="BU202" s="2"/>
      <c r="BV202" s="2"/>
      <c r="BW202" s="2"/>
      <c r="BX202" s="2"/>
    </row>
    <row r="203" customFormat="false" ht="15" hidden="false" customHeight="false" outlineLevel="0" collapsed="false">
      <c r="A203" s="2" t="n">
        <v>1408496</v>
      </c>
      <c r="B203" s="2" t="s">
        <v>303</v>
      </c>
      <c r="C203" s="2" t="s">
        <v>1788</v>
      </c>
      <c r="D203" s="2" t="s">
        <v>1789</v>
      </c>
      <c r="E203" s="2" t="s">
        <v>1790</v>
      </c>
      <c r="F203" s="2" t="s">
        <v>144</v>
      </c>
      <c r="G203" s="2" t="s">
        <v>187</v>
      </c>
      <c r="H203" s="2" t="s">
        <v>1014</v>
      </c>
      <c r="I203" s="2"/>
      <c r="J203" s="22" t="n">
        <v>45818</v>
      </c>
      <c r="K203" s="22" t="n">
        <v>46114</v>
      </c>
      <c r="L203" s="22" t="n">
        <v>46121.315244132</v>
      </c>
      <c r="M203" s="2" t="s">
        <v>1016</v>
      </c>
      <c r="N203" s="2" t="s">
        <v>121</v>
      </c>
      <c r="O203" s="2"/>
      <c r="P203" s="2" t="s">
        <v>1017</v>
      </c>
      <c r="Q203" s="10" t="n">
        <v>37</v>
      </c>
      <c r="R203" s="10" t="n">
        <v>37</v>
      </c>
      <c r="S203" s="10"/>
      <c r="T203" s="2" t="s">
        <v>30</v>
      </c>
      <c r="U203" s="2"/>
      <c r="V203" s="2" t="s">
        <v>1080</v>
      </c>
      <c r="W203" s="2" t="s">
        <v>1020</v>
      </c>
      <c r="X203" s="7"/>
      <c r="Y203" s="2" t="str">
        <f aca="false">IF(X203&lt;&gt;"",X203,T203)</f>
        <v>Additional application on site</v>
      </c>
      <c r="Z203" s="2" t="str">
        <f aca="false">IF(OR(Y203="Primary",Y203="Additional phase",Y203="Additional application on site",Y203="Replaces earlier",Y203="Extension of duration (parent not in CIS)"),"Yes","No")</f>
        <v>Yes</v>
      </c>
      <c r="AA203" s="2"/>
      <c r="AB203" s="2" t="n">
        <f aca="false">IF(L203="","",ROUND((Method!$B$4-L203)/30.44,0))</f>
        <v>6</v>
      </c>
      <c r="AC203" s="2" t="str">
        <f aca="false">IF(AB203="","No",IF(AB203&gt;Method!$B$5,"Yes","No"))</f>
        <v>No</v>
      </c>
      <c r="AD203" s="22" t="n">
        <f aca="false">IF(BJ203&lt;&gt;"",BJ203,IF(K203&lt;&gt;"",EDATE(K203,60),""))</f>
        <v>47729</v>
      </c>
      <c r="AE203" s="2" t="str">
        <f aca="false">IF(AND(AD203&lt;&gt;"",OR(G203="Permission Granted",G203="Commencement Expected",G203="Stalled or Suspended")),IF(AD203&lt;Method!$B$4,"Yes","No"),"No")</f>
        <v>No</v>
      </c>
      <c r="AF203" s="7"/>
      <c r="AG203" s="2" t="str">
        <f aca="false">IF(Z203="No","Not counted",IF(AF203="Lapsed or dead","Excluded",IF(AF203="Constrained","Constrained / uncertain",IF(AF203="Confirmed live",IF(G203="On Site","Committed",IF(G203="Part Complete","Committed",IF(G203="Contract Awarded","Committed Pre-Construction",IF(G203="Tender","Advanced Pre-Construction",IF(G203="Commencement Expected","Likely",IF(G203="Permission Granted","Potential",IF(G203="Stalled or Suspended","Constrained / uncertain",IF(G203="Complete","Delivered","Application Pipeline")))))))),IF(G203="Complete","Delivered",IF(AND(OR(G203="Permission Granted",G203="Commencement Expected"),OR(AC203="Yes",AE203="Yes")),"Constrained / uncertain",IF(G203="On Site","Committed",IF(G203="Part Complete","Committed",IF(G203="Contract Awarded","Committed Pre-Construction",IF(G203="Tender","Advanced Pre-Construction",IF(G203="Commencement Expected","Likely",IF(G203="Permission Granted","Potential",IF(G203="Stalled or Suspended","Constrained / uncertain",IF(G203="Complete","Delivered","Application Pipeline"))))))))))))))</f>
        <v>Potential</v>
      </c>
      <c r="AH203" s="2" t="str">
        <f aca="false">IF(Z203="No","Relationship: "&amp;Y203,IF(AF203&lt;&gt;"","Analyst: "&amp;AF203,IF(G203="Complete","Complete",IF(AND(OR(G203="Permission Granted",G203="Commencement Expected"),AE203="Yes"),"Past expiry",IF(AND(OR(G203="Permission Granted",G203="Commencement Expected"),AC203="Yes"),"No CIS update in "&amp;AB203&amp;" months","As CIS")))))</f>
        <v>As CIS</v>
      </c>
      <c r="AI203" s="10" t="n">
        <f aca="false">IF(Z203="Yes",N(Q203),0)</f>
        <v>37</v>
      </c>
      <c r="AJ203" s="10" t="n">
        <f aca="false">IF(OR(Z203="No",G203="Complete"),0,MAX(N(Q203)-N(AA203),0))</f>
        <v>37</v>
      </c>
      <c r="AK203" s="10" t="n">
        <f aca="false">IF(Z203="No",0,IF(G203="Complete",N(Q203),MIN(N(AA203),N(Q203))))</f>
        <v>0</v>
      </c>
      <c r="AL203" s="10" t="n">
        <f aca="false">IF(OR(OR(AG203="Not counted",AG203="Excluded",AG203="Delivered"),P203="Student accommodation"),0,AJ203)</f>
        <v>37</v>
      </c>
      <c r="AM203" s="10" t="n">
        <f aca="false">IF(OR(OR(AG203="Not counted",AG203="Excluded",AG203="Delivered"),P203&lt;&gt;"Student accommodation"),0,AJ203)</f>
        <v>0</v>
      </c>
      <c r="AN203" s="10" t="n">
        <f aca="false">IF(OR(AG203="Not counted",AG203="Excluded",AG203="Delivered"),0,N(S203))</f>
        <v>0</v>
      </c>
      <c r="AO203" s="2" t="s">
        <v>1157</v>
      </c>
      <c r="AP203" s="10"/>
      <c r="AQ203" s="10" t="n">
        <v>26</v>
      </c>
      <c r="AR203" s="10" t="n">
        <v>11</v>
      </c>
      <c r="AS203" s="10"/>
      <c r="AT203" s="10"/>
      <c r="AU203" s="10"/>
      <c r="AV203" s="10" t="n">
        <f aca="false">N(AP203)+N(AQ203)+N(AR203)+N(AS203)+N(AT203)+N(AU203)</f>
        <v>37</v>
      </c>
      <c r="AW203" s="10"/>
      <c r="AX203" s="10" t="n">
        <v>37</v>
      </c>
      <c r="AY203" s="10"/>
      <c r="AZ203" s="2"/>
      <c r="BA203" s="2" t="s">
        <v>1022</v>
      </c>
      <c r="BB203" s="2" t="s">
        <v>1788</v>
      </c>
      <c r="BC203" s="2" t="s">
        <v>1023</v>
      </c>
      <c r="BD203" s="2" t="s">
        <v>1024</v>
      </c>
      <c r="BE203" s="2"/>
      <c r="BF203" s="2" t="s">
        <v>1025</v>
      </c>
      <c r="BG203" s="22" t="n">
        <v>45870</v>
      </c>
      <c r="BH203" s="22" t="n">
        <v>47729</v>
      </c>
      <c r="BI203" s="2"/>
      <c r="BJ203" s="22" t="n">
        <v>47729</v>
      </c>
      <c r="BK203" s="2"/>
      <c r="BL203" s="2" t="n">
        <v>0</v>
      </c>
      <c r="BM203" s="2"/>
      <c r="BN203" s="2" t="s">
        <v>1791</v>
      </c>
      <c r="BO203" s="23" t="s">
        <v>1792</v>
      </c>
      <c r="BP203" s="2" t="n">
        <f aca="false">IF(OR(K203="",BG203=""),"",ROUND(BG203-K203,0))</f>
        <v>-244</v>
      </c>
      <c r="BQ203" s="2" t="str">
        <f aca="false">IF(OR(N(BK203)=0,Q203=""),"Not recorded",IF(BK203=Q203,"Match","Differs"))</f>
        <v>Not recorded</v>
      </c>
      <c r="BR203" s="2" t="str">
        <f aca="false">IF(N203="No","Excluded (non-residential)",IF(BF203="No reference","Unverified – no reference",IF(BF203="Not in council register","Unverified – not in register (Part 8 / other)",IF(OR(BF203="Refused",BF203="Refused on appeal",BF203="Withdrawn",BF203="Invalid",BF203="Quashed"),IF(OR(G203="Complete",G203="On Site",G203="Part Complete"),"Conflict – register not live but CIS says built","Conflict – not live in register"),IF(AND(G203="Plans Submitted",OR(BF203="Granted",BF203="Granted on appeal")),"Stage out of date – now granted",IF(AND(G203&lt;&gt;"Plans Submitted",OR(BF203="Pending",BF203="Under appeal")),"Check – register still pending",IF(N(BL203)&gt;Method!$B$7,"Check – location differs",IF(AND(BP203&lt;&gt;"",ABS(N(BP203))&gt;60),"Consistent – decision date differs","Consistent"))))))))</f>
        <v>Consistent – decision date differs</v>
      </c>
      <c r="BS203" s="2"/>
      <c r="BT203" s="2"/>
      <c r="BU203" s="2"/>
      <c r="BV203" s="2"/>
      <c r="BW203" s="2"/>
      <c r="BX203" s="2"/>
    </row>
    <row r="204" customFormat="false" ht="15" hidden="false" customHeight="false" outlineLevel="0" collapsed="false">
      <c r="A204" s="2" t="n">
        <v>1207014</v>
      </c>
      <c r="B204" s="2" t="s">
        <v>387</v>
      </c>
      <c r="C204" s="2" t="s">
        <v>1793</v>
      </c>
      <c r="D204" s="2" t="s">
        <v>388</v>
      </c>
      <c r="E204" s="2" t="s">
        <v>389</v>
      </c>
      <c r="F204" s="2" t="s">
        <v>144</v>
      </c>
      <c r="G204" s="2" t="s">
        <v>187</v>
      </c>
      <c r="H204" s="2" t="s">
        <v>1014</v>
      </c>
      <c r="I204" s="2"/>
      <c r="J204" s="22" t="n">
        <v>44552</v>
      </c>
      <c r="K204" s="22" t="n">
        <v>44937</v>
      </c>
      <c r="L204" s="22" t="n">
        <v>45425.223790162</v>
      </c>
      <c r="M204" s="2" t="s">
        <v>1016</v>
      </c>
      <c r="N204" s="2" t="s">
        <v>121</v>
      </c>
      <c r="O204" s="2"/>
      <c r="P204" s="2" t="s">
        <v>1017</v>
      </c>
      <c r="Q204" s="10" t="n">
        <v>99</v>
      </c>
      <c r="R204" s="10" t="n">
        <v>99</v>
      </c>
      <c r="S204" s="10"/>
      <c r="T204" s="2" t="s">
        <v>120</v>
      </c>
      <c r="U204" s="2"/>
      <c r="V204" s="2" t="s">
        <v>1029</v>
      </c>
      <c r="W204" s="2" t="s">
        <v>1030</v>
      </c>
      <c r="X204" s="7"/>
      <c r="Y204" s="2" t="str">
        <f aca="false">IF(X204&lt;&gt;"",X204,T204)</f>
        <v>Primary</v>
      </c>
      <c r="Z204" s="2" t="str">
        <f aca="false">IF(OR(Y204="Primary",Y204="Additional phase",Y204="Additional application on site",Y204="Replaces earlier",Y204="Extension of duration (parent not in CIS)"),"Yes","No")</f>
        <v>Yes</v>
      </c>
      <c r="AA204" s="2"/>
      <c r="AB204" s="2" t="n">
        <f aca="false">IF(L204="","",ROUND((Method!$B$4-L204)/30.44,0))</f>
        <v>29</v>
      </c>
      <c r="AC204" s="2" t="str">
        <f aca="false">IF(AB204="","No",IF(AB204&gt;Method!$B$5,"Yes","No"))</f>
        <v>Yes</v>
      </c>
      <c r="AD204" s="22" t="n">
        <f aca="false">IF(BJ204&lt;&gt;"",BJ204,IF(K204&lt;&gt;"",EDATE(K204,60),""))</f>
        <v>47215</v>
      </c>
      <c r="AE204" s="2" t="str">
        <f aca="false">IF(AND(AD204&lt;&gt;"",OR(G204="Permission Granted",G204="Commencement Expected",G204="Stalled or Suspended")),IF(AD204&lt;Method!$B$4,"Yes","No"),"No")</f>
        <v>No</v>
      </c>
      <c r="AF204" s="7"/>
      <c r="AG204" s="2" t="str">
        <f aca="false">IF(Z204="No","Not counted",IF(AF204="Lapsed or dead","Excluded",IF(AF204="Constrained","Constrained / uncertain",IF(AF204="Confirmed live",IF(G204="On Site","Committed",IF(G204="Part Complete","Committed",IF(G204="Contract Awarded","Committed Pre-Construction",IF(G204="Tender","Advanced Pre-Construction",IF(G204="Commencement Expected","Likely",IF(G204="Permission Granted","Potential",IF(G204="Stalled or Suspended","Constrained / uncertain",IF(G204="Complete","Delivered","Application Pipeline")))))))),IF(G204="Complete","Delivered",IF(AND(OR(G204="Permission Granted",G204="Commencement Expected"),OR(AC204="Yes",AE204="Yes")),"Constrained / uncertain",IF(G204="On Site","Committed",IF(G204="Part Complete","Committed",IF(G204="Contract Awarded","Committed Pre-Construction",IF(G204="Tender","Advanced Pre-Construction",IF(G204="Commencement Expected","Likely",IF(G204="Permission Granted","Potential",IF(G204="Stalled or Suspended","Constrained / uncertain",IF(G204="Complete","Delivered","Application Pipeline"))))))))))))))</f>
        <v>Constrained / uncertain</v>
      </c>
      <c r="AH204" s="2" t="str">
        <f aca="false">IF(Z204="No","Relationship: "&amp;Y204,IF(AF204&lt;&gt;"","Analyst: "&amp;AF204,IF(G204="Complete","Complete",IF(AND(OR(G204="Permission Granted",G204="Commencement Expected"),AE204="Yes"),"Past expiry",IF(AND(OR(G204="Permission Granted",G204="Commencement Expected"),AC204="Yes"),"No CIS update in "&amp;AB204&amp;" months","As CIS")))))</f>
        <v>No CIS update in 29 months</v>
      </c>
      <c r="AI204" s="10" t="n">
        <f aca="false">IF(Z204="Yes",N(Q204),0)</f>
        <v>99</v>
      </c>
      <c r="AJ204" s="10" t="n">
        <f aca="false">IF(OR(Z204="No",G204="Complete"),0,MAX(N(Q204)-N(AA204),0))</f>
        <v>99</v>
      </c>
      <c r="AK204" s="10" t="n">
        <f aca="false">IF(Z204="No",0,IF(G204="Complete",N(Q204),MIN(N(AA204),N(Q204))))</f>
        <v>0</v>
      </c>
      <c r="AL204" s="10" t="n">
        <f aca="false">IF(OR(OR(AG204="Not counted",AG204="Excluded",AG204="Delivered"),P204="Student accommodation"),0,AJ204)</f>
        <v>99</v>
      </c>
      <c r="AM204" s="10" t="n">
        <f aca="false">IF(OR(OR(AG204="Not counted",AG204="Excluded",AG204="Delivered"),P204&lt;&gt;"Student accommodation"),0,AJ204)</f>
        <v>0</v>
      </c>
      <c r="AN204" s="10" t="n">
        <f aca="false">IF(OR(AG204="Not counted",AG204="Excluded",AG204="Delivered"),0,N(S204))</f>
        <v>0</v>
      </c>
      <c r="AO204" s="2" t="s">
        <v>1157</v>
      </c>
      <c r="AP204" s="10"/>
      <c r="AQ204" s="10" t="n">
        <v>6</v>
      </c>
      <c r="AR204" s="10" t="n">
        <v>19</v>
      </c>
      <c r="AS204" s="10" t="n">
        <v>46</v>
      </c>
      <c r="AT204" s="10" t="n">
        <v>28</v>
      </c>
      <c r="AU204" s="10"/>
      <c r="AV204" s="10" t="n">
        <f aca="false">N(AP204)+N(AQ204)+N(AR204)+N(AS204)+N(AT204)+N(AU204)</f>
        <v>99</v>
      </c>
      <c r="AW204" s="10" t="n">
        <v>87</v>
      </c>
      <c r="AX204" s="10" t="n">
        <v>12</v>
      </c>
      <c r="AY204" s="10"/>
      <c r="AZ204" s="2"/>
      <c r="BA204" s="2" t="s">
        <v>1022</v>
      </c>
      <c r="BB204" s="2" t="s">
        <v>1793</v>
      </c>
      <c r="BC204" s="2" t="s">
        <v>1023</v>
      </c>
      <c r="BD204" s="2" t="s">
        <v>1024</v>
      </c>
      <c r="BE204" s="2" t="s">
        <v>1024</v>
      </c>
      <c r="BF204" s="2" t="s">
        <v>1059</v>
      </c>
      <c r="BG204" s="22" t="n">
        <v>44937</v>
      </c>
      <c r="BH204" s="22" t="n">
        <v>47215</v>
      </c>
      <c r="BI204" s="2"/>
      <c r="BJ204" s="22" t="n">
        <v>47215</v>
      </c>
      <c r="BK204" s="2" t="n">
        <v>87</v>
      </c>
      <c r="BL204" s="2" t="n">
        <v>0</v>
      </c>
      <c r="BM204" s="2"/>
      <c r="BN204" s="2" t="s">
        <v>1794</v>
      </c>
      <c r="BO204" s="23" t="s">
        <v>1795</v>
      </c>
      <c r="BP204" s="2" t="n">
        <f aca="false">IF(OR(K204="",BG204=""),"",ROUND(BG204-K204,0))</f>
        <v>0</v>
      </c>
      <c r="BQ204" s="2" t="str">
        <f aca="false">IF(OR(N(BK204)=0,Q204=""),"Not recorded",IF(BK204=Q204,"Match","Differs"))</f>
        <v>Differs</v>
      </c>
      <c r="BR204" s="2" t="str">
        <f aca="false">IF(N204="No","Excluded (non-residential)",IF(BF204="No reference","Unverified – no reference",IF(BF204="Not in council register","Unverified – not in register (Part 8 / other)",IF(OR(BF204="Refused",BF204="Refused on appeal",BF204="Withdrawn",BF204="Invalid",BF204="Quashed"),IF(OR(G204="Complete",G204="On Site",G204="Part Complete"),"Conflict – register not live but CIS says built","Conflict – not live in register"),IF(AND(G204="Plans Submitted",OR(BF204="Granted",BF204="Granted on appeal")),"Stage out of date – now granted",IF(AND(G204&lt;&gt;"Plans Submitted",OR(BF204="Pending",BF204="Under appeal")),"Check – register still pending",IF(N(BL204)&gt;Method!$B$7,"Check – location differs",IF(AND(BP204&lt;&gt;"",ABS(N(BP204))&gt;60),"Consistent – decision date differs","Consistent"))))))))</f>
        <v>Consistent</v>
      </c>
      <c r="BS204" s="2"/>
      <c r="BT204" s="2"/>
      <c r="BU204" s="2"/>
      <c r="BV204" s="2"/>
      <c r="BW204" s="2"/>
      <c r="BX204" s="2"/>
    </row>
    <row r="205" customFormat="false" ht="15" hidden="false" customHeight="false" outlineLevel="0" collapsed="false">
      <c r="A205" s="2" t="n">
        <v>1245941</v>
      </c>
      <c r="B205" s="2" t="s">
        <v>387</v>
      </c>
      <c r="C205" s="2" t="s">
        <v>1796</v>
      </c>
      <c r="D205" s="2" t="s">
        <v>1797</v>
      </c>
      <c r="E205" s="2" t="s">
        <v>1798</v>
      </c>
      <c r="F205" s="2" t="s">
        <v>144</v>
      </c>
      <c r="G205" s="2" t="s">
        <v>187</v>
      </c>
      <c r="H205" s="2" t="s">
        <v>1014</v>
      </c>
      <c r="I205" s="2"/>
      <c r="J205" s="22" t="n">
        <v>44792</v>
      </c>
      <c r="K205" s="22" t="n">
        <v>45167</v>
      </c>
      <c r="L205" s="22" t="n">
        <v>45169.451518831</v>
      </c>
      <c r="M205" s="2" t="s">
        <v>1016</v>
      </c>
      <c r="N205" s="2" t="s">
        <v>121</v>
      </c>
      <c r="O205" s="2"/>
      <c r="P205" s="2" t="s">
        <v>1017</v>
      </c>
      <c r="Q205" s="10" t="n">
        <v>12</v>
      </c>
      <c r="R205" s="10" t="n">
        <v>12</v>
      </c>
      <c r="S205" s="10"/>
      <c r="T205" s="2" t="s">
        <v>30</v>
      </c>
      <c r="U205" s="2"/>
      <c r="V205" s="2" t="s">
        <v>1080</v>
      </c>
      <c r="W205" s="2" t="s">
        <v>1020</v>
      </c>
      <c r="X205" s="7"/>
      <c r="Y205" s="2" t="str">
        <f aca="false">IF(X205&lt;&gt;"",X205,T205)</f>
        <v>Additional application on site</v>
      </c>
      <c r="Z205" s="2" t="str">
        <f aca="false">IF(OR(Y205="Primary",Y205="Additional phase",Y205="Additional application on site",Y205="Replaces earlier",Y205="Extension of duration (parent not in CIS)"),"Yes","No")</f>
        <v>Yes</v>
      </c>
      <c r="AA205" s="2"/>
      <c r="AB205" s="2" t="n">
        <f aca="false">IF(L205="","",ROUND((Method!$B$4-L205)/30.44,0))</f>
        <v>37</v>
      </c>
      <c r="AC205" s="2" t="str">
        <f aca="false">IF(AB205="","No",IF(AB205&gt;Method!$B$5,"Yes","No"))</f>
        <v>Yes</v>
      </c>
      <c r="AD205" s="22" t="n">
        <f aca="false">IF(BJ205&lt;&gt;"",BJ205,IF(K205&lt;&gt;"",EDATE(K205,60),""))</f>
        <v>47028</v>
      </c>
      <c r="AE205" s="2" t="str">
        <f aca="false">IF(AND(AD205&lt;&gt;"",OR(G205="Permission Granted",G205="Commencement Expected",G205="Stalled or Suspended")),IF(AD205&lt;Method!$B$4,"Yes","No"),"No")</f>
        <v>No</v>
      </c>
      <c r="AF205" s="7"/>
      <c r="AG205" s="2" t="str">
        <f aca="false">IF(Z205="No","Not counted",IF(AF205="Lapsed or dead","Excluded",IF(AF205="Constrained","Constrained / uncertain",IF(AF205="Confirmed live",IF(G205="On Site","Committed",IF(G205="Part Complete","Committed",IF(G205="Contract Awarded","Committed Pre-Construction",IF(G205="Tender","Advanced Pre-Construction",IF(G205="Commencement Expected","Likely",IF(G205="Permission Granted","Potential",IF(G205="Stalled or Suspended","Constrained / uncertain",IF(G205="Complete","Delivered","Application Pipeline")))))))),IF(G205="Complete","Delivered",IF(AND(OR(G205="Permission Granted",G205="Commencement Expected"),OR(AC205="Yes",AE205="Yes")),"Constrained / uncertain",IF(G205="On Site","Committed",IF(G205="Part Complete","Committed",IF(G205="Contract Awarded","Committed Pre-Construction",IF(G205="Tender","Advanced Pre-Construction",IF(G205="Commencement Expected","Likely",IF(G205="Permission Granted","Potential",IF(G205="Stalled or Suspended","Constrained / uncertain",IF(G205="Complete","Delivered","Application Pipeline"))))))))))))))</f>
        <v>Constrained / uncertain</v>
      </c>
      <c r="AH205" s="2" t="str">
        <f aca="false">IF(Z205="No","Relationship: "&amp;Y205,IF(AF205&lt;&gt;"","Analyst: "&amp;AF205,IF(G205="Complete","Complete",IF(AND(OR(G205="Permission Granted",G205="Commencement Expected"),AE205="Yes"),"Past expiry",IF(AND(OR(G205="Permission Granted",G205="Commencement Expected"),AC205="Yes"),"No CIS update in "&amp;AB205&amp;" months","As CIS")))))</f>
        <v>No CIS update in 37 months</v>
      </c>
      <c r="AI205" s="10" t="n">
        <f aca="false">IF(Z205="Yes",N(Q205),0)</f>
        <v>12</v>
      </c>
      <c r="AJ205" s="10" t="n">
        <f aca="false">IF(OR(Z205="No",G205="Complete"),0,MAX(N(Q205)-N(AA205),0))</f>
        <v>12</v>
      </c>
      <c r="AK205" s="10" t="n">
        <f aca="false">IF(Z205="No",0,IF(G205="Complete",N(Q205),MIN(N(AA205),N(Q205))))</f>
        <v>0</v>
      </c>
      <c r="AL205" s="10" t="n">
        <f aca="false">IF(OR(OR(AG205="Not counted",AG205="Excluded",AG205="Delivered"),P205="Student accommodation"),0,AJ205)</f>
        <v>12</v>
      </c>
      <c r="AM205" s="10" t="n">
        <f aca="false">IF(OR(OR(AG205="Not counted",AG205="Excluded",AG205="Delivered"),P205&lt;&gt;"Student accommodation"),0,AJ205)</f>
        <v>0</v>
      </c>
      <c r="AN205" s="10" t="n">
        <f aca="false">IF(OR(AG205="Not counted",AG205="Excluded",AG205="Delivered"),0,N(S205))</f>
        <v>0</v>
      </c>
      <c r="AO205" s="2" t="s">
        <v>1157</v>
      </c>
      <c r="AP205" s="10"/>
      <c r="AQ205" s="10"/>
      <c r="AR205" s="10" t="n">
        <v>4</v>
      </c>
      <c r="AS205" s="10" t="n">
        <v>6</v>
      </c>
      <c r="AT205" s="10" t="n">
        <v>2</v>
      </c>
      <c r="AU205" s="10"/>
      <c r="AV205" s="10" t="n">
        <f aca="false">N(AP205)+N(AQ205)+N(AR205)+N(AS205)+N(AT205)+N(AU205)</f>
        <v>12</v>
      </c>
      <c r="AW205" s="10" t="n">
        <v>12</v>
      </c>
      <c r="AX205" s="10"/>
      <c r="AY205" s="10"/>
      <c r="AZ205" s="2"/>
      <c r="BA205" s="2" t="s">
        <v>1022</v>
      </c>
      <c r="BB205" s="2" t="s">
        <v>1796</v>
      </c>
      <c r="BC205" s="2" t="s">
        <v>1023</v>
      </c>
      <c r="BD205" s="2" t="s">
        <v>1024</v>
      </c>
      <c r="BE205" s="2"/>
      <c r="BF205" s="2" t="s">
        <v>1025</v>
      </c>
      <c r="BG205" s="22" t="n">
        <v>45167</v>
      </c>
      <c r="BH205" s="22" t="n">
        <v>47028</v>
      </c>
      <c r="BI205" s="2"/>
      <c r="BJ205" s="22" t="n">
        <v>47028</v>
      </c>
      <c r="BK205" s="2" t="n">
        <v>12</v>
      </c>
      <c r="BL205" s="2" t="n">
        <v>0</v>
      </c>
      <c r="BM205" s="2"/>
      <c r="BN205" s="2" t="s">
        <v>1799</v>
      </c>
      <c r="BO205" s="23" t="s">
        <v>1800</v>
      </c>
      <c r="BP205" s="2" t="n">
        <f aca="false">IF(OR(K205="",BG205=""),"",ROUND(BG205-K205,0))</f>
        <v>0</v>
      </c>
      <c r="BQ205" s="2" t="str">
        <f aca="false">IF(OR(N(BK205)=0,Q205=""),"Not recorded",IF(BK205=Q205,"Match","Differs"))</f>
        <v>Match</v>
      </c>
      <c r="BR205" s="2" t="str">
        <f aca="false">IF(N205="No","Excluded (non-residential)",IF(BF205="No reference","Unverified – no reference",IF(BF205="Not in council register","Unverified – not in register (Part 8 / other)",IF(OR(BF205="Refused",BF205="Refused on appeal",BF205="Withdrawn",BF205="Invalid",BF205="Quashed"),IF(OR(G205="Complete",G205="On Site",G205="Part Complete"),"Conflict – register not live but CIS says built","Conflict – not live in register"),IF(AND(G205="Plans Submitted",OR(BF205="Granted",BF205="Granted on appeal")),"Stage out of date – now granted",IF(AND(G205&lt;&gt;"Plans Submitted",OR(BF205="Pending",BF205="Under appeal")),"Check – register still pending",IF(N(BL205)&gt;Method!$B$7,"Check – location differs",IF(AND(BP205&lt;&gt;"",ABS(N(BP205))&gt;60),"Consistent – decision date differs","Consistent"))))))))</f>
        <v>Consistent</v>
      </c>
      <c r="BS205" s="2"/>
      <c r="BT205" s="2"/>
      <c r="BU205" s="2"/>
      <c r="BV205" s="2"/>
      <c r="BW205" s="2"/>
      <c r="BX205" s="2"/>
    </row>
    <row r="206" customFormat="false" ht="15" hidden="false" customHeight="false" outlineLevel="0" collapsed="false">
      <c r="A206" s="2" t="n">
        <v>1248019</v>
      </c>
      <c r="B206" s="2" t="s">
        <v>387</v>
      </c>
      <c r="C206" s="2" t="s">
        <v>1801</v>
      </c>
      <c r="D206" s="2" t="s">
        <v>1802</v>
      </c>
      <c r="E206" s="2" t="s">
        <v>1803</v>
      </c>
      <c r="F206" s="2" t="s">
        <v>144</v>
      </c>
      <c r="G206" s="2" t="s">
        <v>187</v>
      </c>
      <c r="H206" s="2" t="s">
        <v>1014</v>
      </c>
      <c r="I206" s="2"/>
      <c r="J206" s="22" t="n">
        <v>44809</v>
      </c>
      <c r="K206" s="22" t="n">
        <v>45105</v>
      </c>
      <c r="L206" s="22" t="n">
        <v>45624.4321619213</v>
      </c>
      <c r="M206" s="2" t="s">
        <v>1016</v>
      </c>
      <c r="N206" s="2" t="s">
        <v>121</v>
      </c>
      <c r="O206" s="2"/>
      <c r="P206" s="2" t="s">
        <v>1017</v>
      </c>
      <c r="Q206" s="10" t="n">
        <v>98</v>
      </c>
      <c r="R206" s="10" t="n">
        <v>98</v>
      </c>
      <c r="S206" s="10"/>
      <c r="T206" s="2" t="s">
        <v>30</v>
      </c>
      <c r="U206" s="2"/>
      <c r="V206" s="2" t="s">
        <v>1080</v>
      </c>
      <c r="W206" s="2" t="s">
        <v>1020</v>
      </c>
      <c r="X206" s="7"/>
      <c r="Y206" s="2" t="str">
        <f aca="false">IF(X206&lt;&gt;"",X206,T206)</f>
        <v>Additional application on site</v>
      </c>
      <c r="Z206" s="2" t="str">
        <f aca="false">IF(OR(Y206="Primary",Y206="Additional phase",Y206="Additional application on site",Y206="Replaces earlier",Y206="Extension of duration (parent not in CIS)"),"Yes","No")</f>
        <v>Yes</v>
      </c>
      <c r="AA206" s="2"/>
      <c r="AB206" s="2" t="n">
        <f aca="false">IF(L206="","",ROUND((Method!$B$4-L206)/30.44,0))</f>
        <v>22</v>
      </c>
      <c r="AC206" s="2" t="str">
        <f aca="false">IF(AB206="","No",IF(AB206&gt;Method!$B$5,"Yes","No"))</f>
        <v>No</v>
      </c>
      <c r="AD206" s="22" t="n">
        <f aca="false">IF(BJ206&lt;&gt;"",BJ206,IF(K206&lt;&gt;"",EDATE(K206,60),""))</f>
        <v>47442</v>
      </c>
      <c r="AE206" s="2" t="str">
        <f aca="false">IF(AND(AD206&lt;&gt;"",OR(G206="Permission Granted",G206="Commencement Expected",G206="Stalled or Suspended")),IF(AD206&lt;Method!$B$4,"Yes","No"),"No")</f>
        <v>No</v>
      </c>
      <c r="AF206" s="7"/>
      <c r="AG206" s="2" t="str">
        <f aca="false">IF(Z206="No","Not counted",IF(AF206="Lapsed or dead","Excluded",IF(AF206="Constrained","Constrained / uncertain",IF(AF206="Confirmed live",IF(G206="On Site","Committed",IF(G206="Part Complete","Committed",IF(G206="Contract Awarded","Committed Pre-Construction",IF(G206="Tender","Advanced Pre-Construction",IF(G206="Commencement Expected","Likely",IF(G206="Permission Granted","Potential",IF(G206="Stalled or Suspended","Constrained / uncertain",IF(G206="Complete","Delivered","Application Pipeline")))))))),IF(G206="Complete","Delivered",IF(AND(OR(G206="Permission Granted",G206="Commencement Expected"),OR(AC206="Yes",AE206="Yes")),"Constrained / uncertain",IF(G206="On Site","Committed",IF(G206="Part Complete","Committed",IF(G206="Contract Awarded","Committed Pre-Construction",IF(G206="Tender","Advanced Pre-Construction",IF(G206="Commencement Expected","Likely",IF(G206="Permission Granted","Potential",IF(G206="Stalled or Suspended","Constrained / uncertain",IF(G206="Complete","Delivered","Application Pipeline"))))))))))))))</f>
        <v>Potential</v>
      </c>
      <c r="AH206" s="2" t="str">
        <f aca="false">IF(Z206="No","Relationship: "&amp;Y206,IF(AF206&lt;&gt;"","Analyst: "&amp;AF206,IF(G206="Complete","Complete",IF(AND(OR(G206="Permission Granted",G206="Commencement Expected"),AE206="Yes"),"Past expiry",IF(AND(OR(G206="Permission Granted",G206="Commencement Expected"),AC206="Yes"),"No CIS update in "&amp;AB206&amp;" months","As CIS")))))</f>
        <v>As CIS</v>
      </c>
      <c r="AI206" s="10" t="n">
        <f aca="false">IF(Z206="Yes",N(Q206),0)</f>
        <v>98</v>
      </c>
      <c r="AJ206" s="10" t="n">
        <f aca="false">IF(OR(Z206="No",G206="Complete"),0,MAX(N(Q206)-N(AA206),0))</f>
        <v>98</v>
      </c>
      <c r="AK206" s="10" t="n">
        <f aca="false">IF(Z206="No",0,IF(G206="Complete",N(Q206),MIN(N(AA206),N(Q206))))</f>
        <v>0</v>
      </c>
      <c r="AL206" s="10" t="n">
        <f aca="false">IF(OR(OR(AG206="Not counted",AG206="Excluded",AG206="Delivered"),P206="Student accommodation"),0,AJ206)</f>
        <v>98</v>
      </c>
      <c r="AM206" s="10" t="n">
        <f aca="false">IF(OR(OR(AG206="Not counted",AG206="Excluded",AG206="Delivered"),P206&lt;&gt;"Student accommodation"),0,AJ206)</f>
        <v>0</v>
      </c>
      <c r="AN206" s="10" t="n">
        <f aca="false">IF(OR(AG206="Not counted",AG206="Excluded",AG206="Delivered"),0,N(S206))</f>
        <v>0</v>
      </c>
      <c r="AO206" s="2" t="s">
        <v>1157</v>
      </c>
      <c r="AP206" s="10"/>
      <c r="AQ206" s="10"/>
      <c r="AR206" s="10" t="n">
        <v>10</v>
      </c>
      <c r="AS206" s="10" t="n">
        <v>44</v>
      </c>
      <c r="AT206" s="10" t="n">
        <v>44</v>
      </c>
      <c r="AU206" s="10"/>
      <c r="AV206" s="10" t="n">
        <f aca="false">N(AP206)+N(AQ206)+N(AR206)+N(AS206)+N(AT206)+N(AU206)</f>
        <v>98</v>
      </c>
      <c r="AW206" s="10" t="n">
        <v>98</v>
      </c>
      <c r="AX206" s="10"/>
      <c r="AY206" s="10"/>
      <c r="AZ206" s="2"/>
      <c r="BA206" s="2" t="s">
        <v>1022</v>
      </c>
      <c r="BB206" s="2" t="s">
        <v>1801</v>
      </c>
      <c r="BC206" s="2" t="s">
        <v>1023</v>
      </c>
      <c r="BD206" s="2" t="s">
        <v>1024</v>
      </c>
      <c r="BE206" s="2" t="s">
        <v>1024</v>
      </c>
      <c r="BF206" s="2" t="s">
        <v>1059</v>
      </c>
      <c r="BG206" s="22" t="n">
        <v>45105</v>
      </c>
      <c r="BH206" s="22" t="n">
        <v>47442</v>
      </c>
      <c r="BI206" s="2"/>
      <c r="BJ206" s="22" t="n">
        <v>47442</v>
      </c>
      <c r="BK206" s="2" t="n">
        <v>98</v>
      </c>
      <c r="BL206" s="2" t="n">
        <v>0</v>
      </c>
      <c r="BM206" s="2"/>
      <c r="BN206" s="2" t="s">
        <v>1804</v>
      </c>
      <c r="BO206" s="23" t="s">
        <v>1805</v>
      </c>
      <c r="BP206" s="2" t="n">
        <f aca="false">IF(OR(K206="",BG206=""),"",ROUND(BG206-K206,0))</f>
        <v>0</v>
      </c>
      <c r="BQ206" s="2" t="str">
        <f aca="false">IF(OR(N(BK206)=0,Q206=""),"Not recorded",IF(BK206=Q206,"Match","Differs"))</f>
        <v>Match</v>
      </c>
      <c r="BR206" s="2" t="str">
        <f aca="false">IF(N206="No","Excluded (non-residential)",IF(BF206="No reference","Unverified – no reference",IF(BF206="Not in council register","Unverified – not in register (Part 8 / other)",IF(OR(BF206="Refused",BF206="Refused on appeal",BF206="Withdrawn",BF206="Invalid",BF206="Quashed"),IF(OR(G206="Complete",G206="On Site",G206="Part Complete"),"Conflict – register not live but CIS says built","Conflict – not live in register"),IF(AND(G206="Plans Submitted",OR(BF206="Granted",BF206="Granted on appeal")),"Stage out of date – now granted",IF(AND(G206&lt;&gt;"Plans Submitted",OR(BF206="Pending",BF206="Under appeal")),"Check – register still pending",IF(N(BL206)&gt;Method!$B$7,"Check – location differs",IF(AND(BP206&lt;&gt;"",ABS(N(BP206))&gt;60),"Consistent – decision date differs","Consistent"))))))))</f>
        <v>Consistent</v>
      </c>
      <c r="BS206" s="2"/>
      <c r="BT206" s="2"/>
      <c r="BU206" s="2"/>
      <c r="BV206" s="2"/>
      <c r="BW206" s="2"/>
      <c r="BX206" s="2"/>
    </row>
    <row r="207" customFormat="false" ht="15" hidden="false" customHeight="false" outlineLevel="0" collapsed="false">
      <c r="A207" s="2" t="n">
        <v>1254544</v>
      </c>
      <c r="B207" s="2" t="s">
        <v>387</v>
      </c>
      <c r="C207" s="2" t="s">
        <v>1806</v>
      </c>
      <c r="D207" s="2" t="s">
        <v>1807</v>
      </c>
      <c r="E207" s="2" t="s">
        <v>1798</v>
      </c>
      <c r="F207" s="2" t="s">
        <v>144</v>
      </c>
      <c r="G207" s="2" t="s">
        <v>187</v>
      </c>
      <c r="H207" s="2" t="s">
        <v>1014</v>
      </c>
      <c r="I207" s="2"/>
      <c r="J207" s="22" t="n">
        <v>44851</v>
      </c>
      <c r="K207" s="22" t="n">
        <v>45210</v>
      </c>
      <c r="L207" s="22" t="n">
        <v>45589.4015884607</v>
      </c>
      <c r="M207" s="2" t="s">
        <v>1016</v>
      </c>
      <c r="N207" s="2" t="s">
        <v>121</v>
      </c>
      <c r="O207" s="2"/>
      <c r="P207" s="2" t="s">
        <v>1017</v>
      </c>
      <c r="Q207" s="10" t="n">
        <v>54</v>
      </c>
      <c r="R207" s="10" t="n">
        <v>54</v>
      </c>
      <c r="S207" s="10"/>
      <c r="T207" s="2" t="s">
        <v>30</v>
      </c>
      <c r="U207" s="2"/>
      <c r="V207" s="2" t="s">
        <v>1080</v>
      </c>
      <c r="W207" s="2" t="s">
        <v>1020</v>
      </c>
      <c r="X207" s="7"/>
      <c r="Y207" s="2" t="str">
        <f aca="false">IF(X207&lt;&gt;"",X207,T207)</f>
        <v>Additional application on site</v>
      </c>
      <c r="Z207" s="2" t="str">
        <f aca="false">IF(OR(Y207="Primary",Y207="Additional phase",Y207="Additional application on site",Y207="Replaces earlier",Y207="Extension of duration (parent not in CIS)"),"Yes","No")</f>
        <v>Yes</v>
      </c>
      <c r="AA207" s="2"/>
      <c r="AB207" s="2" t="n">
        <f aca="false">IF(L207="","",ROUND((Method!$B$4-L207)/30.44,0))</f>
        <v>23</v>
      </c>
      <c r="AC207" s="2" t="str">
        <f aca="false">IF(AB207="","No",IF(AB207&gt;Method!$B$5,"Yes","No"))</f>
        <v>No</v>
      </c>
      <c r="AD207" s="22" t="n">
        <f aca="false">IF(BJ207&lt;&gt;"",BJ207,IF(K207&lt;&gt;"",EDATE(K207,60),""))</f>
        <v>47408</v>
      </c>
      <c r="AE207" s="2" t="str">
        <f aca="false">IF(AND(AD207&lt;&gt;"",OR(G207="Permission Granted",G207="Commencement Expected",G207="Stalled or Suspended")),IF(AD207&lt;Method!$B$4,"Yes","No"),"No")</f>
        <v>No</v>
      </c>
      <c r="AF207" s="7"/>
      <c r="AG207" s="2" t="str">
        <f aca="false">IF(Z207="No","Not counted",IF(AF207="Lapsed or dead","Excluded",IF(AF207="Constrained","Constrained / uncertain",IF(AF207="Confirmed live",IF(G207="On Site","Committed",IF(G207="Part Complete","Committed",IF(G207="Contract Awarded","Committed Pre-Construction",IF(G207="Tender","Advanced Pre-Construction",IF(G207="Commencement Expected","Likely",IF(G207="Permission Granted","Potential",IF(G207="Stalled or Suspended","Constrained / uncertain",IF(G207="Complete","Delivered","Application Pipeline")))))))),IF(G207="Complete","Delivered",IF(AND(OR(G207="Permission Granted",G207="Commencement Expected"),OR(AC207="Yes",AE207="Yes")),"Constrained / uncertain",IF(G207="On Site","Committed",IF(G207="Part Complete","Committed",IF(G207="Contract Awarded","Committed Pre-Construction",IF(G207="Tender","Advanced Pre-Construction",IF(G207="Commencement Expected","Likely",IF(G207="Permission Granted","Potential",IF(G207="Stalled or Suspended","Constrained / uncertain",IF(G207="Complete","Delivered","Application Pipeline"))))))))))))))</f>
        <v>Potential</v>
      </c>
      <c r="AH207" s="2" t="str">
        <f aca="false">IF(Z207="No","Relationship: "&amp;Y207,IF(AF207&lt;&gt;"","Analyst: "&amp;AF207,IF(G207="Complete","Complete",IF(AND(OR(G207="Permission Granted",G207="Commencement Expected"),AE207="Yes"),"Past expiry",IF(AND(OR(G207="Permission Granted",G207="Commencement Expected"),AC207="Yes"),"No CIS update in "&amp;AB207&amp;" months","As CIS")))))</f>
        <v>As CIS</v>
      </c>
      <c r="AI207" s="10" t="n">
        <f aca="false">IF(Z207="Yes",N(Q207),0)</f>
        <v>54</v>
      </c>
      <c r="AJ207" s="10" t="n">
        <f aca="false">IF(OR(Z207="No",G207="Complete"),0,MAX(N(Q207)-N(AA207),0))</f>
        <v>54</v>
      </c>
      <c r="AK207" s="10" t="n">
        <f aca="false">IF(Z207="No",0,IF(G207="Complete",N(Q207),MIN(N(AA207),N(Q207))))</f>
        <v>0</v>
      </c>
      <c r="AL207" s="10" t="n">
        <f aca="false">IF(OR(OR(AG207="Not counted",AG207="Excluded",AG207="Delivered"),P207="Student accommodation"),0,AJ207)</f>
        <v>54</v>
      </c>
      <c r="AM207" s="10" t="n">
        <f aca="false">IF(OR(OR(AG207="Not counted",AG207="Excluded",AG207="Delivered"),P207&lt;&gt;"Student accommodation"),0,AJ207)</f>
        <v>0</v>
      </c>
      <c r="AN207" s="10" t="n">
        <f aca="false">IF(OR(AG207="Not counted",AG207="Excluded",AG207="Delivered"),0,N(S207))</f>
        <v>0</v>
      </c>
      <c r="AO207" s="2" t="s">
        <v>1157</v>
      </c>
      <c r="AP207" s="10"/>
      <c r="AQ207" s="10"/>
      <c r="AR207" s="10" t="n">
        <v>8</v>
      </c>
      <c r="AS207" s="10" t="n">
        <v>14</v>
      </c>
      <c r="AT207" s="10" t="n">
        <v>2</v>
      </c>
      <c r="AU207" s="10" t="n">
        <v>30</v>
      </c>
      <c r="AV207" s="10" t="n">
        <f aca="false">N(AP207)+N(AQ207)+N(AR207)+N(AS207)+N(AT207)+N(AU207)</f>
        <v>54</v>
      </c>
      <c r="AW207" s="10" t="n">
        <v>54</v>
      </c>
      <c r="AX207" s="10"/>
      <c r="AY207" s="10"/>
      <c r="AZ207" s="2"/>
      <c r="BA207" s="2" t="s">
        <v>1022</v>
      </c>
      <c r="BB207" s="2" t="s">
        <v>1806</v>
      </c>
      <c r="BC207" s="2" t="s">
        <v>1023</v>
      </c>
      <c r="BD207" s="2" t="s">
        <v>1024</v>
      </c>
      <c r="BE207" s="2" t="s">
        <v>1024</v>
      </c>
      <c r="BF207" s="2" t="s">
        <v>1059</v>
      </c>
      <c r="BG207" s="22" t="n">
        <v>45210</v>
      </c>
      <c r="BH207" s="22" t="n">
        <v>47408</v>
      </c>
      <c r="BI207" s="2"/>
      <c r="BJ207" s="22" t="n">
        <v>47408</v>
      </c>
      <c r="BK207" s="2" t="n">
        <v>54</v>
      </c>
      <c r="BL207" s="2" t="n">
        <v>0</v>
      </c>
      <c r="BM207" s="2"/>
      <c r="BN207" s="2" t="s">
        <v>1808</v>
      </c>
      <c r="BO207" s="23" t="s">
        <v>1809</v>
      </c>
      <c r="BP207" s="2" t="n">
        <f aca="false">IF(OR(K207="",BG207=""),"",ROUND(BG207-K207,0))</f>
        <v>0</v>
      </c>
      <c r="BQ207" s="2" t="str">
        <f aca="false">IF(OR(N(BK207)=0,Q207=""),"Not recorded",IF(BK207=Q207,"Match","Differs"))</f>
        <v>Match</v>
      </c>
      <c r="BR207" s="2" t="str">
        <f aca="false">IF(N207="No","Excluded (non-residential)",IF(BF207="No reference","Unverified – no reference",IF(BF207="Not in council register","Unverified – not in register (Part 8 / other)",IF(OR(BF207="Refused",BF207="Refused on appeal",BF207="Withdrawn",BF207="Invalid",BF207="Quashed"),IF(OR(G207="Complete",G207="On Site",G207="Part Complete"),"Conflict – register not live but CIS says built","Conflict – not live in register"),IF(AND(G207="Plans Submitted",OR(BF207="Granted",BF207="Granted on appeal")),"Stage out of date – now granted",IF(AND(G207&lt;&gt;"Plans Submitted",OR(BF207="Pending",BF207="Under appeal")),"Check – register still pending",IF(N(BL207)&gt;Method!$B$7,"Check – location differs",IF(AND(BP207&lt;&gt;"",ABS(N(BP207))&gt;60),"Consistent – decision date differs","Consistent"))))))))</f>
        <v>Consistent</v>
      </c>
      <c r="BS207" s="2"/>
      <c r="BT207" s="2"/>
      <c r="BU207" s="2"/>
      <c r="BV207" s="2"/>
      <c r="BW207" s="2"/>
      <c r="BX207" s="2"/>
    </row>
    <row r="208" customFormat="false" ht="15" hidden="false" customHeight="false" outlineLevel="0" collapsed="false">
      <c r="A208" s="2" t="n">
        <v>1327848</v>
      </c>
      <c r="B208" s="2" t="s">
        <v>387</v>
      </c>
      <c r="C208" s="2" t="s">
        <v>1810</v>
      </c>
      <c r="D208" s="2" t="s">
        <v>1811</v>
      </c>
      <c r="E208" s="2" t="s">
        <v>1812</v>
      </c>
      <c r="F208" s="2" t="s">
        <v>144</v>
      </c>
      <c r="G208" s="2" t="s">
        <v>198</v>
      </c>
      <c r="H208" s="2" t="s">
        <v>1014</v>
      </c>
      <c r="I208" s="2" t="s">
        <v>198</v>
      </c>
      <c r="J208" s="22" t="n">
        <v>45309</v>
      </c>
      <c r="K208" s="22" t="n">
        <v>45491</v>
      </c>
      <c r="L208" s="22" t="n">
        <v>45891.3321927083</v>
      </c>
      <c r="M208" s="2" t="s">
        <v>1016</v>
      </c>
      <c r="N208" s="2" t="s">
        <v>121</v>
      </c>
      <c r="O208" s="2"/>
      <c r="P208" s="2" t="s">
        <v>1017</v>
      </c>
      <c r="Q208" s="10" t="n">
        <v>99</v>
      </c>
      <c r="R208" s="10" t="n">
        <v>99</v>
      </c>
      <c r="S208" s="10"/>
      <c r="T208" s="2" t="s">
        <v>30</v>
      </c>
      <c r="U208" s="2"/>
      <c r="V208" s="2" t="s">
        <v>1080</v>
      </c>
      <c r="W208" s="2" t="s">
        <v>1020</v>
      </c>
      <c r="X208" s="7"/>
      <c r="Y208" s="2" t="str">
        <f aca="false">IF(X208&lt;&gt;"",X208,T208)</f>
        <v>Additional application on site</v>
      </c>
      <c r="Z208" s="2" t="str">
        <f aca="false">IF(OR(Y208="Primary",Y208="Additional phase",Y208="Additional application on site",Y208="Replaces earlier",Y208="Extension of duration (parent not in CIS)"),"Yes","No")</f>
        <v>Yes</v>
      </c>
      <c r="AA208" s="2"/>
      <c r="AB208" s="2" t="n">
        <f aca="false">IF(L208="","",ROUND((Method!$B$4-L208)/30.44,0))</f>
        <v>13</v>
      </c>
      <c r="AC208" s="2" t="str">
        <f aca="false">IF(AB208="","No",IF(AB208&gt;Method!$B$5,"Yes","No"))</f>
        <v>No</v>
      </c>
      <c r="AD208" s="22" t="n">
        <f aca="false">IF(BJ208&lt;&gt;"",BJ208,IF(K208&lt;&gt;"",EDATE(K208,60),""))</f>
        <v>47349</v>
      </c>
      <c r="AE208" s="2" t="str">
        <f aca="false">IF(AND(AD208&lt;&gt;"",OR(G208="Permission Granted",G208="Commencement Expected",G208="Stalled or Suspended")),IF(AD208&lt;Method!$B$4,"Yes","No"),"No")</f>
        <v>No</v>
      </c>
      <c r="AF208" s="7"/>
      <c r="AG208" s="2" t="str">
        <f aca="false">IF(Z208="No","Not counted",IF(AF208="Lapsed or dead","Excluded",IF(AF208="Constrained","Constrained / uncertain",IF(AF208="Confirmed live",IF(G208="On Site","Committed",IF(G208="Part Complete","Committed",IF(G208="Contract Awarded","Committed Pre-Construction",IF(G208="Tender","Advanced Pre-Construction",IF(G208="Commencement Expected","Likely",IF(G208="Permission Granted","Potential",IF(G208="Stalled or Suspended","Constrained / uncertain",IF(G208="Complete","Delivered","Application Pipeline")))))))),IF(G208="Complete","Delivered",IF(AND(OR(G208="Permission Granted",G208="Commencement Expected"),OR(AC208="Yes",AE208="Yes")),"Constrained / uncertain",IF(G208="On Site","Committed",IF(G208="Part Complete","Committed",IF(G208="Contract Awarded","Committed Pre-Construction",IF(G208="Tender","Advanced Pre-Construction",IF(G208="Commencement Expected","Likely",IF(G208="Permission Granted","Potential",IF(G208="Stalled or Suspended","Constrained / uncertain",IF(G208="Complete","Delivered","Application Pipeline"))))))))))))))</f>
        <v>Committed</v>
      </c>
      <c r="AH208" s="2" t="str">
        <f aca="false">IF(Z208="No","Relationship: "&amp;Y208,IF(AF208&lt;&gt;"","Analyst: "&amp;AF208,IF(G208="Complete","Complete",IF(AND(OR(G208="Permission Granted",G208="Commencement Expected"),AE208="Yes"),"Past expiry",IF(AND(OR(G208="Permission Granted",G208="Commencement Expected"),AC208="Yes"),"No CIS update in "&amp;AB208&amp;" months","As CIS")))))</f>
        <v>As CIS</v>
      </c>
      <c r="AI208" s="10" t="n">
        <f aca="false">IF(Z208="Yes",N(Q208),0)</f>
        <v>99</v>
      </c>
      <c r="AJ208" s="10" t="n">
        <f aca="false">IF(OR(Z208="No",G208="Complete"),0,MAX(N(Q208)-N(AA208),0))</f>
        <v>99</v>
      </c>
      <c r="AK208" s="10" t="n">
        <f aca="false">IF(Z208="No",0,IF(G208="Complete",N(Q208),MIN(N(AA208),N(Q208))))</f>
        <v>0</v>
      </c>
      <c r="AL208" s="10" t="n">
        <f aca="false">IF(OR(OR(AG208="Not counted",AG208="Excluded",AG208="Delivered"),P208="Student accommodation"),0,AJ208)</f>
        <v>99</v>
      </c>
      <c r="AM208" s="10" t="n">
        <f aca="false">IF(OR(OR(AG208="Not counted",AG208="Excluded",AG208="Delivered"),P208&lt;&gt;"Student accommodation"),0,AJ208)</f>
        <v>0</v>
      </c>
      <c r="AN208" s="10" t="n">
        <f aca="false">IF(OR(AG208="Not counted",AG208="Excluded",AG208="Delivered"),0,N(S208))</f>
        <v>0</v>
      </c>
      <c r="AO208" s="2" t="s">
        <v>1157</v>
      </c>
      <c r="AP208" s="10"/>
      <c r="AQ208" s="10" t="n">
        <v>8</v>
      </c>
      <c r="AR208" s="10" t="n">
        <v>8</v>
      </c>
      <c r="AS208" s="10" t="n">
        <v>43</v>
      </c>
      <c r="AT208" s="10" t="n">
        <v>40</v>
      </c>
      <c r="AU208" s="10"/>
      <c r="AV208" s="10" t="n">
        <f aca="false">N(AP208)+N(AQ208)+N(AR208)+N(AS208)+N(AT208)+N(AU208)</f>
        <v>99</v>
      </c>
      <c r="AW208" s="10" t="n">
        <v>83</v>
      </c>
      <c r="AX208" s="10" t="n">
        <v>16</v>
      </c>
      <c r="AY208" s="10"/>
      <c r="AZ208" s="2"/>
      <c r="BA208" s="2" t="s">
        <v>1022</v>
      </c>
      <c r="BB208" s="2" t="s">
        <v>1810</v>
      </c>
      <c r="BC208" s="2" t="s">
        <v>1023</v>
      </c>
      <c r="BD208" s="2" t="s">
        <v>1024</v>
      </c>
      <c r="BE208" s="2"/>
      <c r="BF208" s="2" t="s">
        <v>1025</v>
      </c>
      <c r="BG208" s="22" t="n">
        <v>45491</v>
      </c>
      <c r="BH208" s="22" t="n">
        <v>47349</v>
      </c>
      <c r="BI208" s="2"/>
      <c r="BJ208" s="22" t="n">
        <v>47349</v>
      </c>
      <c r="BK208" s="2" t="n">
        <v>99</v>
      </c>
      <c r="BL208" s="2" t="n">
        <v>0</v>
      </c>
      <c r="BM208" s="2"/>
      <c r="BN208" s="2" t="s">
        <v>1813</v>
      </c>
      <c r="BO208" s="23" t="s">
        <v>1814</v>
      </c>
      <c r="BP208" s="2" t="n">
        <f aca="false">IF(OR(K208="",BG208=""),"",ROUND(BG208-K208,0))</f>
        <v>0</v>
      </c>
      <c r="BQ208" s="2" t="str">
        <f aca="false">IF(OR(N(BK208)=0,Q208=""),"Not recorded",IF(BK208=Q208,"Match","Differs"))</f>
        <v>Match</v>
      </c>
      <c r="BR208" s="2" t="str">
        <f aca="false">IF(N208="No","Excluded (non-residential)",IF(BF208="No reference","Unverified – no reference",IF(BF208="Not in council register","Unverified – not in register (Part 8 / other)",IF(OR(BF208="Refused",BF208="Refused on appeal",BF208="Withdrawn",BF208="Invalid",BF208="Quashed"),IF(OR(G208="Complete",G208="On Site",G208="Part Complete"),"Conflict – register not live but CIS says built","Conflict – not live in register"),IF(AND(G208="Plans Submitted",OR(BF208="Granted",BF208="Granted on appeal")),"Stage out of date – now granted",IF(AND(G208&lt;&gt;"Plans Submitted",OR(BF208="Pending",BF208="Under appeal")),"Check – register still pending",IF(N(BL208)&gt;Method!$B$7,"Check – location differs",IF(AND(BP208&lt;&gt;"",ABS(N(BP208))&gt;60),"Consistent – decision date differs","Consistent"))))))))</f>
        <v>Consistent</v>
      </c>
      <c r="BS208" s="2"/>
      <c r="BT208" s="2"/>
      <c r="BU208" s="2"/>
      <c r="BV208" s="2"/>
      <c r="BW208" s="2"/>
      <c r="BX208" s="2"/>
    </row>
    <row r="209" customFormat="false" ht="15" hidden="false" customHeight="false" outlineLevel="0" collapsed="false">
      <c r="A209" s="2" t="n">
        <v>1223168</v>
      </c>
      <c r="B209" s="2" t="s">
        <v>360</v>
      </c>
      <c r="C209" s="2" t="s">
        <v>1815</v>
      </c>
      <c r="D209" s="2" t="s">
        <v>361</v>
      </c>
      <c r="E209" s="2" t="s">
        <v>362</v>
      </c>
      <c r="F209" s="2" t="s">
        <v>144</v>
      </c>
      <c r="G209" s="2" t="s">
        <v>187</v>
      </c>
      <c r="H209" s="2" t="s">
        <v>1014</v>
      </c>
      <c r="I209" s="2"/>
      <c r="J209" s="22" t="n">
        <v>44652</v>
      </c>
      <c r="K209" s="22" t="n">
        <v>44902</v>
      </c>
      <c r="L209" s="22" t="n">
        <v>44939.5113776273</v>
      </c>
      <c r="M209" s="2" t="s">
        <v>1016</v>
      </c>
      <c r="N209" s="2" t="s">
        <v>121</v>
      </c>
      <c r="O209" s="2"/>
      <c r="P209" s="2" t="s">
        <v>1017</v>
      </c>
      <c r="Q209" s="10" t="n">
        <v>24</v>
      </c>
      <c r="R209" s="10" t="n">
        <v>21</v>
      </c>
      <c r="S209" s="10"/>
      <c r="T209" s="2" t="s">
        <v>32</v>
      </c>
      <c r="U209" s="2"/>
      <c r="V209" s="2" t="s">
        <v>1447</v>
      </c>
      <c r="W209" s="2" t="s">
        <v>1030</v>
      </c>
      <c r="X209" s="7"/>
      <c r="Y209" s="2" t="str">
        <f aca="false">IF(X209&lt;&gt;"",X209,T209)</f>
        <v>Not live</v>
      </c>
      <c r="Z209" s="2" t="str">
        <f aca="false">IF(OR(Y209="Primary",Y209="Additional phase",Y209="Additional application on site",Y209="Replaces earlier",Y209="Extension of duration (parent not in CIS)"),"Yes","No")</f>
        <v>No</v>
      </c>
      <c r="AA209" s="2"/>
      <c r="AB209" s="2" t="n">
        <f aca="false">IF(L209="","",ROUND((Method!$B$4-L209)/30.44,0))</f>
        <v>44</v>
      </c>
      <c r="AC209" s="2" t="str">
        <f aca="false">IF(AB209="","No",IF(AB209&gt;Method!$B$5,"Yes","No"))</f>
        <v>Yes</v>
      </c>
      <c r="AD209" s="22" t="n">
        <f aca="false">IF(BJ209&lt;&gt;"",BJ209,IF(K209&lt;&gt;"",EDATE(K209,60),""))</f>
        <v>46728</v>
      </c>
      <c r="AE209" s="2" t="str">
        <f aca="false">IF(AND(AD209&lt;&gt;"",OR(G209="Permission Granted",G209="Commencement Expected",G209="Stalled or Suspended")),IF(AD209&lt;Method!$B$4,"Yes","No"),"No")</f>
        <v>No</v>
      </c>
      <c r="AF209" s="7"/>
      <c r="AG209" s="2" t="str">
        <f aca="false">IF(Z209="No","Not counted",IF(AF209="Lapsed or dead","Excluded",IF(AF209="Constrained","Constrained / uncertain",IF(AF209="Confirmed live",IF(G209="On Site","Committed",IF(G209="Part Complete","Committed",IF(G209="Contract Awarded","Committed Pre-Construction",IF(G209="Tender","Advanced Pre-Construction",IF(G209="Commencement Expected","Likely",IF(G209="Permission Granted","Potential",IF(G209="Stalled or Suspended","Constrained / uncertain",IF(G209="Complete","Delivered","Application Pipeline")))))))),IF(G209="Complete","Delivered",IF(AND(OR(G209="Permission Granted",G209="Commencement Expected"),OR(AC209="Yes",AE209="Yes")),"Constrained / uncertain",IF(G209="On Site","Committed",IF(G209="Part Complete","Committed",IF(G209="Contract Awarded","Committed Pre-Construction",IF(G209="Tender","Advanced Pre-Construction",IF(G209="Commencement Expected","Likely",IF(G209="Permission Granted","Potential",IF(G209="Stalled or Suspended","Constrained / uncertain",IF(G209="Complete","Delivered","Application Pipeline"))))))))))))))</f>
        <v>Not counted</v>
      </c>
      <c r="AH209" s="2" t="str">
        <f aca="false">IF(Z209="No","Relationship: "&amp;Y209,IF(AF209&lt;&gt;"","Analyst: "&amp;AF209,IF(G209="Complete","Complete",IF(AND(OR(G209="Permission Granted",G209="Commencement Expected"),AE209="Yes"),"Past expiry",IF(AND(OR(G209="Permission Granted",G209="Commencement Expected"),AC209="Yes"),"No CIS update in "&amp;AB209&amp;" months","As CIS")))))</f>
        <v>Relationship: Not live</v>
      </c>
      <c r="AI209" s="10" t="n">
        <f aca="false">IF(Z209="Yes",N(Q209),0)</f>
        <v>0</v>
      </c>
      <c r="AJ209" s="10" t="n">
        <f aca="false">IF(OR(Z209="No",G209="Complete"),0,MAX(N(Q209)-N(AA209),0))</f>
        <v>0</v>
      </c>
      <c r="AK209" s="10" t="n">
        <f aca="false">IF(Z209="No",0,IF(G209="Complete",N(Q209),MIN(N(AA209),N(Q209))))</f>
        <v>0</v>
      </c>
      <c r="AL209" s="10" t="n">
        <f aca="false">IF(OR(OR(AG209="Not counted",AG209="Excluded",AG209="Delivered"),P209="Student accommodation"),0,AJ209)</f>
        <v>0</v>
      </c>
      <c r="AM209" s="10" t="n">
        <f aca="false">IF(OR(OR(AG209="Not counted",AG209="Excluded",AG209="Delivered"),P209&lt;&gt;"Student accommodation"),0,AJ209)</f>
        <v>0</v>
      </c>
      <c r="AN209" s="10" t="n">
        <f aca="false">IF(OR(AG209="Not counted",AG209="Excluded",AG209="Delivered"),0,N(S209))</f>
        <v>0</v>
      </c>
      <c r="AO209" s="2" t="s">
        <v>1157</v>
      </c>
      <c r="AP209" s="10"/>
      <c r="AQ209" s="10" t="n">
        <v>10</v>
      </c>
      <c r="AR209" s="10" t="n">
        <v>14</v>
      </c>
      <c r="AS209" s="10"/>
      <c r="AT209" s="10"/>
      <c r="AU209" s="10"/>
      <c r="AV209" s="10" t="n">
        <f aca="false">N(AP209)+N(AQ209)+N(AR209)+N(AS209)+N(AT209)+N(AU209)</f>
        <v>24</v>
      </c>
      <c r="AW209" s="10"/>
      <c r="AX209" s="10" t="n">
        <v>24</v>
      </c>
      <c r="AY209" s="10"/>
      <c r="AZ209" s="2"/>
      <c r="BA209" s="2" t="s">
        <v>1022</v>
      </c>
      <c r="BB209" s="2" t="s">
        <v>1815</v>
      </c>
      <c r="BC209" s="2" t="s">
        <v>1582</v>
      </c>
      <c r="BD209" s="2" t="s">
        <v>1033</v>
      </c>
      <c r="BE209" s="2"/>
      <c r="BF209" s="2" t="s">
        <v>1449</v>
      </c>
      <c r="BG209" s="22"/>
      <c r="BH209" s="22"/>
      <c r="BI209" s="2"/>
      <c r="BJ209" s="22"/>
      <c r="BK209" s="2"/>
      <c r="BL209" s="2" t="n">
        <v>0</v>
      </c>
      <c r="BM209" s="2" t="s">
        <v>1816</v>
      </c>
      <c r="BN209" s="2" t="s">
        <v>1817</v>
      </c>
      <c r="BO209" s="23" t="s">
        <v>1818</v>
      </c>
      <c r="BP209" s="2" t="str">
        <f aca="false">IF(OR(K209="",BG209=""),"",ROUND(BG209-K209,0))</f>
        <v/>
      </c>
      <c r="BQ209" s="2" t="str">
        <f aca="false">IF(OR(N(BK209)=0,Q209=""),"Not recorded",IF(BK209=Q209,"Match","Differs"))</f>
        <v>Not recorded</v>
      </c>
      <c r="BR209" s="2" t="str">
        <f aca="false">IF(N209="No","Excluded (non-residential)",IF(BF209="No reference","Unverified – no reference",IF(BF209="Not in council register","Unverified – not in register (Part 8 / other)",IF(OR(BF209="Refused",BF209="Refused on appeal",BF209="Withdrawn",BF209="Invalid",BF209="Quashed"),IF(OR(G209="Complete",G209="On Site",G209="Part Complete"),"Conflict – register not live but CIS says built","Conflict – not live in register"),IF(AND(G209="Plans Submitted",OR(BF209="Granted",BF209="Granted on appeal")),"Stage out of date – now granted",IF(AND(G209&lt;&gt;"Plans Submitted",OR(BF209="Pending",BF209="Under appeal")),"Check – register still pending",IF(N(BL209)&gt;Method!$B$7,"Check – location differs",IF(AND(BP209&lt;&gt;"",ABS(N(BP209))&gt;60),"Consistent – decision date differs","Consistent"))))))))</f>
        <v>Conflict – not live in register</v>
      </c>
      <c r="BS209" s="2"/>
      <c r="BT209" s="2"/>
      <c r="BU209" s="2"/>
      <c r="BV209" s="2"/>
      <c r="BW209" s="2"/>
      <c r="BX209" s="2"/>
    </row>
    <row r="210" customFormat="false" ht="15" hidden="false" customHeight="false" outlineLevel="0" collapsed="false">
      <c r="A210" s="2" t="n">
        <v>1270045</v>
      </c>
      <c r="B210" s="2" t="s">
        <v>360</v>
      </c>
      <c r="C210" s="2" t="s">
        <v>1819</v>
      </c>
      <c r="D210" s="2" t="s">
        <v>1820</v>
      </c>
      <c r="E210" s="2" t="s">
        <v>1821</v>
      </c>
      <c r="F210" s="2" t="s">
        <v>144</v>
      </c>
      <c r="G210" s="2" t="s">
        <v>198</v>
      </c>
      <c r="H210" s="2" t="s">
        <v>1014</v>
      </c>
      <c r="I210" s="2" t="s">
        <v>198</v>
      </c>
      <c r="J210" s="22" t="n">
        <v>44952</v>
      </c>
      <c r="K210" s="22" t="n">
        <v>45007</v>
      </c>
      <c r="L210" s="22" t="n">
        <v>45960.3877429051</v>
      </c>
      <c r="M210" s="2" t="s">
        <v>1016</v>
      </c>
      <c r="N210" s="2" t="s">
        <v>121</v>
      </c>
      <c r="O210" s="2"/>
      <c r="P210" s="2" t="s">
        <v>1017</v>
      </c>
      <c r="Q210" s="10" t="n">
        <v>21</v>
      </c>
      <c r="R210" s="10" t="n">
        <v>21</v>
      </c>
      <c r="S210" s="10"/>
      <c r="T210" s="2" t="s">
        <v>120</v>
      </c>
      <c r="U210" s="2"/>
      <c r="V210" s="2" t="s">
        <v>1029</v>
      </c>
      <c r="W210" s="2" t="s">
        <v>1030</v>
      </c>
      <c r="X210" s="7"/>
      <c r="Y210" s="2" t="str">
        <f aca="false">IF(X210&lt;&gt;"",X210,T210)</f>
        <v>Primary</v>
      </c>
      <c r="Z210" s="2" t="str">
        <f aca="false">IF(OR(Y210="Primary",Y210="Additional phase",Y210="Additional application on site",Y210="Replaces earlier",Y210="Extension of duration (parent not in CIS)"),"Yes","No")</f>
        <v>Yes</v>
      </c>
      <c r="AA210" s="2"/>
      <c r="AB210" s="2" t="n">
        <f aca="false">IF(L210="","",ROUND((Method!$B$4-L210)/30.44,0))</f>
        <v>11</v>
      </c>
      <c r="AC210" s="2" t="str">
        <f aca="false">IF(AB210="","No",IF(AB210&gt;Method!$B$5,"Yes","No"))</f>
        <v>No</v>
      </c>
      <c r="AD210" s="22" t="n">
        <f aca="false">IF(BJ210&lt;&gt;"",BJ210,IF(K210&lt;&gt;"",EDATE(K210,60),""))</f>
        <v>47357</v>
      </c>
      <c r="AE210" s="2" t="str">
        <f aca="false">IF(AND(AD210&lt;&gt;"",OR(G210="Permission Granted",G210="Commencement Expected",G210="Stalled or Suspended")),IF(AD210&lt;Method!$B$4,"Yes","No"),"No")</f>
        <v>No</v>
      </c>
      <c r="AF210" s="7"/>
      <c r="AG210" s="2" t="str">
        <f aca="false">IF(Z210="No","Not counted",IF(AF210="Lapsed or dead","Excluded",IF(AF210="Constrained","Constrained / uncertain",IF(AF210="Confirmed live",IF(G210="On Site","Committed",IF(G210="Part Complete","Committed",IF(G210="Contract Awarded","Committed Pre-Construction",IF(G210="Tender","Advanced Pre-Construction",IF(G210="Commencement Expected","Likely",IF(G210="Permission Granted","Potential",IF(G210="Stalled or Suspended","Constrained / uncertain",IF(G210="Complete","Delivered","Application Pipeline")))))))),IF(G210="Complete","Delivered",IF(AND(OR(G210="Permission Granted",G210="Commencement Expected"),OR(AC210="Yes",AE210="Yes")),"Constrained / uncertain",IF(G210="On Site","Committed",IF(G210="Part Complete","Committed",IF(G210="Contract Awarded","Committed Pre-Construction",IF(G210="Tender","Advanced Pre-Construction",IF(G210="Commencement Expected","Likely",IF(G210="Permission Granted","Potential",IF(G210="Stalled or Suspended","Constrained / uncertain",IF(G210="Complete","Delivered","Application Pipeline"))))))))))))))</f>
        <v>Committed</v>
      </c>
      <c r="AH210" s="2" t="str">
        <f aca="false">IF(Z210="No","Relationship: "&amp;Y210,IF(AF210&lt;&gt;"","Analyst: "&amp;AF210,IF(G210="Complete","Complete",IF(AND(OR(G210="Permission Granted",G210="Commencement Expected"),AE210="Yes"),"Past expiry",IF(AND(OR(G210="Permission Granted",G210="Commencement Expected"),AC210="Yes"),"No CIS update in "&amp;AB210&amp;" months","As CIS")))))</f>
        <v>As CIS</v>
      </c>
      <c r="AI210" s="10" t="n">
        <f aca="false">IF(Z210="Yes",N(Q210),0)</f>
        <v>21</v>
      </c>
      <c r="AJ210" s="10" t="n">
        <f aca="false">IF(OR(Z210="No",G210="Complete"),0,MAX(N(Q210)-N(AA210),0))</f>
        <v>21</v>
      </c>
      <c r="AK210" s="10" t="n">
        <f aca="false">IF(Z210="No",0,IF(G210="Complete",N(Q210),MIN(N(AA210),N(Q210))))</f>
        <v>0</v>
      </c>
      <c r="AL210" s="10" t="n">
        <f aca="false">IF(OR(OR(AG210="Not counted",AG210="Excluded",AG210="Delivered"),P210="Student accommodation"),0,AJ210)</f>
        <v>21</v>
      </c>
      <c r="AM210" s="10" t="n">
        <f aca="false">IF(OR(OR(AG210="Not counted",AG210="Excluded",AG210="Delivered"),P210&lt;&gt;"Student accommodation"),0,AJ210)</f>
        <v>0</v>
      </c>
      <c r="AN210" s="10" t="n">
        <f aca="false">IF(OR(AG210="Not counted",AG210="Excluded",AG210="Delivered"),0,N(S210))</f>
        <v>0</v>
      </c>
      <c r="AO210" s="2" t="s">
        <v>1157</v>
      </c>
      <c r="AP210" s="10"/>
      <c r="AQ210" s="10" t="n">
        <v>8</v>
      </c>
      <c r="AR210" s="10" t="n">
        <v>13</v>
      </c>
      <c r="AS210" s="10"/>
      <c r="AT210" s="10"/>
      <c r="AU210" s="10"/>
      <c r="AV210" s="10" t="n">
        <f aca="false">N(AP210)+N(AQ210)+N(AR210)+N(AS210)+N(AT210)+N(AU210)</f>
        <v>21</v>
      </c>
      <c r="AW210" s="10"/>
      <c r="AX210" s="10" t="n">
        <v>21</v>
      </c>
      <c r="AY210" s="10"/>
      <c r="AZ210" s="2"/>
      <c r="BA210" s="2" t="s">
        <v>1022</v>
      </c>
      <c r="BB210" s="2" t="s">
        <v>1819</v>
      </c>
      <c r="BC210" s="2" t="s">
        <v>1023</v>
      </c>
      <c r="BD210" s="2" t="s">
        <v>1024</v>
      </c>
      <c r="BE210" s="2" t="s">
        <v>1024</v>
      </c>
      <c r="BF210" s="2" t="s">
        <v>1059</v>
      </c>
      <c r="BG210" s="22" t="n">
        <v>45007</v>
      </c>
      <c r="BH210" s="22" t="n">
        <v>47357</v>
      </c>
      <c r="BI210" s="2"/>
      <c r="BJ210" s="22" t="n">
        <v>47357</v>
      </c>
      <c r="BK210" s="2" t="n">
        <v>21</v>
      </c>
      <c r="BL210" s="2" t="n">
        <v>0</v>
      </c>
      <c r="BM210" s="2"/>
      <c r="BN210" s="2" t="s">
        <v>1822</v>
      </c>
      <c r="BO210" s="23" t="s">
        <v>1823</v>
      </c>
      <c r="BP210" s="2" t="n">
        <f aca="false">IF(OR(K210="",BG210=""),"",ROUND(BG210-K210,0))</f>
        <v>0</v>
      </c>
      <c r="BQ210" s="2" t="str">
        <f aca="false">IF(OR(N(BK210)=0,Q210=""),"Not recorded",IF(BK210=Q210,"Match","Differs"))</f>
        <v>Match</v>
      </c>
      <c r="BR210" s="2" t="str">
        <f aca="false">IF(N210="No","Excluded (non-residential)",IF(BF210="No reference","Unverified – no reference",IF(BF210="Not in council register","Unverified – not in register (Part 8 / other)",IF(OR(BF210="Refused",BF210="Refused on appeal",BF210="Withdrawn",BF210="Invalid",BF210="Quashed"),IF(OR(G210="Complete",G210="On Site",G210="Part Complete"),"Conflict – register not live but CIS says built","Conflict – not live in register"),IF(AND(G210="Plans Submitted",OR(BF210="Granted",BF210="Granted on appeal")),"Stage out of date – now granted",IF(AND(G210&lt;&gt;"Plans Submitted",OR(BF210="Pending",BF210="Under appeal")),"Check – register still pending",IF(N(BL210)&gt;Method!$B$7,"Check – location differs",IF(AND(BP210&lt;&gt;"",ABS(N(BP210))&gt;60),"Consistent – decision date differs","Consistent"))))))))</f>
        <v>Consistent</v>
      </c>
      <c r="BS210" s="2" t="n">
        <v>1695</v>
      </c>
      <c r="BT210" s="2" t="s">
        <v>1183</v>
      </c>
      <c r="BU210" s="2" t="s">
        <v>1824</v>
      </c>
      <c r="BV210" s="2" t="s">
        <v>198</v>
      </c>
      <c r="BW210" s="2" t="s">
        <v>1092</v>
      </c>
      <c r="BX210" s="2" t="s">
        <v>1185</v>
      </c>
    </row>
    <row r="211" customFormat="false" ht="15" hidden="false" customHeight="false" outlineLevel="0" collapsed="false">
      <c r="A211" s="2" t="n">
        <v>1245933</v>
      </c>
      <c r="B211" s="2" t="s">
        <v>447</v>
      </c>
      <c r="C211" s="2" t="s">
        <v>1825</v>
      </c>
      <c r="D211" s="2" t="s">
        <v>448</v>
      </c>
      <c r="E211" s="2" t="s">
        <v>449</v>
      </c>
      <c r="F211" s="2" t="s">
        <v>144</v>
      </c>
      <c r="G211" s="2" t="s">
        <v>198</v>
      </c>
      <c r="H211" s="2" t="s">
        <v>1014</v>
      </c>
      <c r="I211" s="2" t="s">
        <v>198</v>
      </c>
      <c r="J211" s="22" t="n">
        <v>44792</v>
      </c>
      <c r="K211" s="22"/>
      <c r="L211" s="22" t="n">
        <v>45561.4277653935</v>
      </c>
      <c r="M211" s="2" t="s">
        <v>1016</v>
      </c>
      <c r="N211" s="2" t="s">
        <v>121</v>
      </c>
      <c r="O211" s="2"/>
      <c r="P211" s="2" t="s">
        <v>1017</v>
      </c>
      <c r="Q211" s="10" t="n">
        <v>36</v>
      </c>
      <c r="R211" s="10" t="n">
        <v>36</v>
      </c>
      <c r="S211" s="10"/>
      <c r="T211" s="2" t="s">
        <v>30</v>
      </c>
      <c r="U211" s="2"/>
      <c r="V211" s="2" t="s">
        <v>1080</v>
      </c>
      <c r="W211" s="2" t="s">
        <v>1020</v>
      </c>
      <c r="X211" s="7"/>
      <c r="Y211" s="2" t="str">
        <f aca="false">IF(X211&lt;&gt;"",X211,T211)</f>
        <v>Additional application on site</v>
      </c>
      <c r="Z211" s="2" t="str">
        <f aca="false">IF(OR(Y211="Primary",Y211="Additional phase",Y211="Additional application on site",Y211="Replaces earlier",Y211="Extension of duration (parent not in CIS)"),"Yes","No")</f>
        <v>Yes</v>
      </c>
      <c r="AA211" s="2"/>
      <c r="AB211" s="2" t="n">
        <f aca="false">IF(L211="","",ROUND((Method!$B$4-L211)/30.44,0))</f>
        <v>24</v>
      </c>
      <c r="AC211" s="2" t="str">
        <f aca="false">IF(AB211="","No",IF(AB211&gt;Method!$B$5,"Yes","No"))</f>
        <v>No</v>
      </c>
      <c r="AD211" s="22" t="str">
        <f aca="false">IF(BJ211&lt;&gt;"",BJ211,IF(K211&lt;&gt;"",EDATE(K211,60),""))</f>
        <v/>
      </c>
      <c r="AE211" s="2" t="str">
        <f aca="false">IF(AND(AD211&lt;&gt;"",OR(G211="Permission Granted",G211="Commencement Expected",G211="Stalled or Suspended")),IF(AD211&lt;Method!$B$4,"Yes","No"),"No")</f>
        <v>No</v>
      </c>
      <c r="AF211" s="7"/>
      <c r="AG211" s="2" t="str">
        <f aca="false">IF(Z211="No","Not counted",IF(AF211="Lapsed or dead","Excluded",IF(AF211="Constrained","Constrained / uncertain",IF(AF211="Confirmed live",IF(G211="On Site","Committed",IF(G211="Part Complete","Committed",IF(G211="Contract Awarded","Committed Pre-Construction",IF(G211="Tender","Advanced Pre-Construction",IF(G211="Commencement Expected","Likely",IF(G211="Permission Granted","Potential",IF(G211="Stalled or Suspended","Constrained / uncertain",IF(G211="Complete","Delivered","Application Pipeline")))))))),IF(G211="Complete","Delivered",IF(AND(OR(G211="Permission Granted",G211="Commencement Expected"),OR(AC211="Yes",AE211="Yes")),"Constrained / uncertain",IF(G211="On Site","Committed",IF(G211="Part Complete","Committed",IF(G211="Contract Awarded","Committed Pre-Construction",IF(G211="Tender","Advanced Pre-Construction",IF(G211="Commencement Expected","Likely",IF(G211="Permission Granted","Potential",IF(G211="Stalled or Suspended","Constrained / uncertain",IF(G211="Complete","Delivered","Application Pipeline"))))))))))))))</f>
        <v>Committed</v>
      </c>
      <c r="AH211" s="2" t="str">
        <f aca="false">IF(Z211="No","Relationship: "&amp;Y211,IF(AF211&lt;&gt;"","Analyst: "&amp;AF211,IF(G211="Complete","Complete",IF(AND(OR(G211="Permission Granted",G211="Commencement Expected"),AE211="Yes"),"Past expiry",IF(AND(OR(G211="Permission Granted",G211="Commencement Expected"),AC211="Yes"),"No CIS update in "&amp;AB211&amp;" months","As CIS")))))</f>
        <v>As CIS</v>
      </c>
      <c r="AI211" s="10" t="n">
        <f aca="false">IF(Z211="Yes",N(Q211),0)</f>
        <v>36</v>
      </c>
      <c r="AJ211" s="10" t="n">
        <f aca="false">IF(OR(Z211="No",G211="Complete"),0,MAX(N(Q211)-N(AA211),0))</f>
        <v>36</v>
      </c>
      <c r="AK211" s="10" t="n">
        <f aca="false">IF(Z211="No",0,IF(G211="Complete",N(Q211),MIN(N(AA211),N(Q211))))</f>
        <v>0</v>
      </c>
      <c r="AL211" s="10" t="n">
        <f aca="false">IF(OR(OR(AG211="Not counted",AG211="Excluded",AG211="Delivered"),P211="Student accommodation"),0,AJ211)</f>
        <v>36</v>
      </c>
      <c r="AM211" s="10" t="n">
        <f aca="false">IF(OR(OR(AG211="Not counted",AG211="Excluded",AG211="Delivered"),P211&lt;&gt;"Student accommodation"),0,AJ211)</f>
        <v>0</v>
      </c>
      <c r="AN211" s="10" t="n">
        <f aca="false">IF(OR(AG211="Not counted",AG211="Excluded",AG211="Delivered"),0,N(S211))</f>
        <v>0</v>
      </c>
      <c r="AO211" s="2" t="s">
        <v>1157</v>
      </c>
      <c r="AP211" s="10"/>
      <c r="AQ211" s="10" t="n">
        <v>11</v>
      </c>
      <c r="AR211" s="10" t="n">
        <v>25</v>
      </c>
      <c r="AS211" s="10"/>
      <c r="AT211" s="10"/>
      <c r="AU211" s="10"/>
      <c r="AV211" s="10" t="n">
        <f aca="false">N(AP211)+N(AQ211)+N(AR211)+N(AS211)+N(AT211)+N(AU211)</f>
        <v>36</v>
      </c>
      <c r="AW211" s="10"/>
      <c r="AX211" s="10" t="n">
        <v>36</v>
      </c>
      <c r="AY211" s="10"/>
      <c r="AZ211" s="2"/>
      <c r="BA211" s="2" t="s">
        <v>1022</v>
      </c>
      <c r="BB211" s="2" t="s">
        <v>1825</v>
      </c>
      <c r="BC211" s="2" t="s">
        <v>1046</v>
      </c>
      <c r="BD211" s="2" t="s">
        <v>1024</v>
      </c>
      <c r="BE211" s="2"/>
      <c r="BF211" s="2" t="s">
        <v>1025</v>
      </c>
      <c r="BG211" s="22" t="n">
        <v>44886</v>
      </c>
      <c r="BH211" s="22"/>
      <c r="BI211" s="2"/>
      <c r="BJ211" s="22"/>
      <c r="BK211" s="2"/>
      <c r="BL211" s="2" t="n">
        <v>0</v>
      </c>
      <c r="BM211" s="2"/>
      <c r="BN211" s="2" t="s">
        <v>1826</v>
      </c>
      <c r="BO211" s="23" t="s">
        <v>1827</v>
      </c>
      <c r="BP211" s="2" t="str">
        <f aca="false">IF(OR(K211="",BG211=""),"",ROUND(BG211-K211,0))</f>
        <v/>
      </c>
      <c r="BQ211" s="2" t="str">
        <f aca="false">IF(OR(N(BK211)=0,Q211=""),"Not recorded",IF(BK211=Q211,"Match","Differs"))</f>
        <v>Not recorded</v>
      </c>
      <c r="BR211" s="2" t="str">
        <f aca="false">IF(N211="No","Excluded (non-residential)",IF(BF211="No reference","Unverified – no reference",IF(BF211="Not in council register","Unverified – not in register (Part 8 / other)",IF(OR(BF211="Refused",BF211="Refused on appeal",BF211="Withdrawn",BF211="Invalid",BF211="Quashed"),IF(OR(G211="Complete",G211="On Site",G211="Part Complete"),"Conflict – register not live but CIS says built","Conflict – not live in register"),IF(AND(G211="Plans Submitted",OR(BF211="Granted",BF211="Granted on appeal")),"Stage out of date – now granted",IF(AND(G211&lt;&gt;"Plans Submitted",OR(BF211="Pending",BF211="Under appeal")),"Check – register still pending",IF(N(BL211)&gt;Method!$B$7,"Check – location differs",IF(AND(BP211&lt;&gt;"",ABS(N(BP211))&gt;60),"Consistent – decision date differs","Consistent"))))))))</f>
        <v>Consistent</v>
      </c>
      <c r="BS211" s="2"/>
      <c r="BT211" s="2"/>
      <c r="BU211" s="2"/>
      <c r="BV211" s="2"/>
      <c r="BW211" s="2"/>
      <c r="BX211" s="2"/>
    </row>
    <row r="212" customFormat="false" ht="15" hidden="false" customHeight="false" outlineLevel="0" collapsed="false">
      <c r="A212" s="2" t="n">
        <v>1246291</v>
      </c>
      <c r="B212" s="2" t="s">
        <v>447</v>
      </c>
      <c r="C212" s="2" t="s">
        <v>1828</v>
      </c>
      <c r="D212" s="2" t="s">
        <v>1829</v>
      </c>
      <c r="E212" s="2" t="s">
        <v>1830</v>
      </c>
      <c r="F212" s="2" t="s">
        <v>144</v>
      </c>
      <c r="G212" s="2" t="s">
        <v>453</v>
      </c>
      <c r="H212" s="2" t="s">
        <v>1014</v>
      </c>
      <c r="I212" s="2"/>
      <c r="J212" s="22" t="n">
        <v>44792</v>
      </c>
      <c r="K212" s="22" t="n">
        <v>44895</v>
      </c>
      <c r="L212" s="22" t="n">
        <v>45240.666859919</v>
      </c>
      <c r="M212" s="2" t="s">
        <v>1016</v>
      </c>
      <c r="N212" s="2" t="s">
        <v>121</v>
      </c>
      <c r="O212" s="2"/>
      <c r="P212" s="2" t="s">
        <v>1017</v>
      </c>
      <c r="Q212" s="10" t="n">
        <v>36</v>
      </c>
      <c r="R212" s="10"/>
      <c r="S212" s="10"/>
      <c r="T212" s="2" t="s">
        <v>125</v>
      </c>
      <c r="U212" s="2" t="s">
        <v>1825</v>
      </c>
      <c r="V212" s="2" t="s">
        <v>1831</v>
      </c>
      <c r="W212" s="2" t="s">
        <v>1030</v>
      </c>
      <c r="X212" s="7"/>
      <c r="Y212" s="2" t="str">
        <f aca="false">IF(X212&lt;&gt;"",X212,T212)</f>
        <v>Duplicate</v>
      </c>
      <c r="Z212" s="2" t="str">
        <f aca="false">IF(OR(Y212="Primary",Y212="Additional phase",Y212="Additional application on site",Y212="Replaces earlier",Y212="Extension of duration (parent not in CIS)"),"Yes","No")</f>
        <v>No</v>
      </c>
      <c r="AA212" s="2"/>
      <c r="AB212" s="2" t="n">
        <f aca="false">IF(L212="","",ROUND((Method!$B$4-L212)/30.44,0))</f>
        <v>35</v>
      </c>
      <c r="AC212" s="2" t="str">
        <f aca="false">IF(AB212="","No",IF(AB212&gt;Method!$B$5,"Yes","No"))</f>
        <v>Yes</v>
      </c>
      <c r="AD212" s="22" t="n">
        <f aca="false">IF(BJ212&lt;&gt;"",BJ212,IF(K212&lt;&gt;"",EDATE(K212,60),""))</f>
        <v>46721</v>
      </c>
      <c r="AE212" s="2" t="str">
        <f aca="false">IF(AND(AD212&lt;&gt;"",OR(G212="Permission Granted",G212="Commencement Expected",G212="Stalled or Suspended")),IF(AD212&lt;Method!$B$4,"Yes","No"),"No")</f>
        <v>No</v>
      </c>
      <c r="AF212" s="7"/>
      <c r="AG212" s="2" t="str">
        <f aca="false">IF(Z212="No","Not counted",IF(AF212="Lapsed or dead","Excluded",IF(AF212="Constrained","Constrained / uncertain",IF(AF212="Confirmed live",IF(G212="On Site","Committed",IF(G212="Part Complete","Committed",IF(G212="Contract Awarded","Committed Pre-Construction",IF(G212="Tender","Advanced Pre-Construction",IF(G212="Commencement Expected","Likely",IF(G212="Permission Granted","Potential",IF(G212="Stalled or Suspended","Constrained / uncertain",IF(G212="Complete","Delivered","Application Pipeline")))))))),IF(G212="Complete","Delivered",IF(AND(OR(G212="Permission Granted",G212="Commencement Expected"),OR(AC212="Yes",AE212="Yes")),"Constrained / uncertain",IF(G212="On Site","Committed",IF(G212="Part Complete","Committed",IF(G212="Contract Awarded","Committed Pre-Construction",IF(G212="Tender","Advanced Pre-Construction",IF(G212="Commencement Expected","Likely",IF(G212="Permission Granted","Potential",IF(G212="Stalled or Suspended","Constrained / uncertain",IF(G212="Complete","Delivered","Application Pipeline"))))))))))))))</f>
        <v>Not counted</v>
      </c>
      <c r="AH212" s="2" t="str">
        <f aca="false">IF(Z212="No","Relationship: "&amp;Y212,IF(AF212&lt;&gt;"","Analyst: "&amp;AF212,IF(G212="Complete","Complete",IF(AND(OR(G212="Permission Granted",G212="Commencement Expected"),AE212="Yes"),"Past expiry",IF(AND(OR(G212="Permission Granted",G212="Commencement Expected"),AC212="Yes"),"No CIS update in "&amp;AB212&amp;" months","As CIS")))))</f>
        <v>Relationship: Duplicate</v>
      </c>
      <c r="AI212" s="10" t="n">
        <f aca="false">IF(Z212="Yes",N(Q212),0)</f>
        <v>0</v>
      </c>
      <c r="AJ212" s="10" t="n">
        <f aca="false">IF(OR(Z212="No",G212="Complete"),0,MAX(N(Q212)-N(AA212),0))</f>
        <v>0</v>
      </c>
      <c r="AK212" s="10" t="n">
        <f aca="false">IF(Z212="No",0,IF(G212="Complete",N(Q212),MIN(N(AA212),N(Q212))))</f>
        <v>0</v>
      </c>
      <c r="AL212" s="10" t="n">
        <f aca="false">IF(OR(OR(AG212="Not counted",AG212="Excluded",AG212="Delivered"),P212="Student accommodation"),0,AJ212)</f>
        <v>0</v>
      </c>
      <c r="AM212" s="10" t="n">
        <f aca="false">IF(OR(OR(AG212="Not counted",AG212="Excluded",AG212="Delivered"),P212&lt;&gt;"Student accommodation"),0,AJ212)</f>
        <v>0</v>
      </c>
      <c r="AN212" s="10" t="n">
        <f aca="false">IF(OR(AG212="Not counted",AG212="Excluded",AG212="Delivered"),0,N(S212))</f>
        <v>0</v>
      </c>
      <c r="AO212" s="2" t="s">
        <v>1157</v>
      </c>
      <c r="AP212" s="10"/>
      <c r="AQ212" s="10" t="n">
        <v>11</v>
      </c>
      <c r="AR212" s="10" t="n">
        <v>25</v>
      </c>
      <c r="AS212" s="10"/>
      <c r="AT212" s="10"/>
      <c r="AU212" s="10"/>
      <c r="AV212" s="10" t="n">
        <f aca="false">N(AP212)+N(AQ212)+N(AR212)+N(AS212)+N(AT212)+N(AU212)</f>
        <v>36</v>
      </c>
      <c r="AW212" s="10"/>
      <c r="AX212" s="10" t="n">
        <v>36</v>
      </c>
      <c r="AY212" s="10"/>
      <c r="AZ212" s="2"/>
      <c r="BA212" s="2" t="s">
        <v>1095</v>
      </c>
      <c r="BB212" s="2"/>
      <c r="BC212" s="2"/>
      <c r="BD212" s="2"/>
      <c r="BE212" s="2"/>
      <c r="BF212" s="2" t="s">
        <v>1095</v>
      </c>
      <c r="BG212" s="22"/>
      <c r="BH212" s="22"/>
      <c r="BI212" s="2"/>
      <c r="BJ212" s="22"/>
      <c r="BK212" s="2"/>
      <c r="BL212" s="2"/>
      <c r="BM212" s="2"/>
      <c r="BN212" s="2"/>
      <c r="BO212" s="2"/>
      <c r="BP212" s="2" t="str">
        <f aca="false">IF(OR(K212="",BG212=""),"",ROUND(BG212-K212,0))</f>
        <v/>
      </c>
      <c r="BQ212" s="2" t="str">
        <f aca="false">IF(OR(N(BK212)=0,Q212=""),"Not recorded",IF(BK212=Q212,"Match","Differs"))</f>
        <v>Not recorded</v>
      </c>
      <c r="BR212" s="2" t="str">
        <f aca="false">IF(N212="No","Excluded (non-residential)",IF(BF212="No reference","Unverified – no reference",IF(BF212="Not in council register","Unverified – not in register (Part 8 / other)",IF(OR(BF212="Refused",BF212="Refused on appeal",BF212="Withdrawn",BF212="Invalid",BF212="Quashed"),IF(OR(G212="Complete",G212="On Site",G212="Part Complete"),"Conflict – register not live but CIS says built","Conflict – not live in register"),IF(AND(G212="Plans Submitted",OR(BF212="Granted",BF212="Granted on appeal")),"Stage out of date – now granted",IF(AND(G212&lt;&gt;"Plans Submitted",OR(BF212="Pending",BF212="Under appeal")),"Check – register still pending",IF(N(BL212)&gt;Method!$B$7,"Check – location differs",IF(AND(BP212&lt;&gt;"",ABS(N(BP212))&gt;60),"Consistent – decision date differs","Consistent"))))))))</f>
        <v>Unverified – not in register (Part 8 / other)</v>
      </c>
      <c r="BS212" s="2"/>
      <c r="BT212" s="2"/>
      <c r="BU212" s="2"/>
      <c r="BV212" s="2"/>
      <c r="BW212" s="2"/>
      <c r="BX212" s="2"/>
    </row>
    <row r="213" customFormat="false" ht="15" hidden="false" customHeight="false" outlineLevel="0" collapsed="false">
      <c r="A213" s="2" t="n">
        <v>1263448</v>
      </c>
      <c r="B213" s="2" t="s">
        <v>236</v>
      </c>
      <c r="C213" s="2" t="s">
        <v>1832</v>
      </c>
      <c r="D213" s="2" t="s">
        <v>237</v>
      </c>
      <c r="E213" s="2" t="s">
        <v>238</v>
      </c>
      <c r="F213" s="2" t="s">
        <v>136</v>
      </c>
      <c r="G213" s="2" t="s">
        <v>251</v>
      </c>
      <c r="H213" s="2" t="s">
        <v>1014</v>
      </c>
      <c r="I213" s="2" t="s">
        <v>1015</v>
      </c>
      <c r="J213" s="22" t="n">
        <v>44910</v>
      </c>
      <c r="K213" s="22" t="n">
        <v>45083</v>
      </c>
      <c r="L213" s="22" t="n">
        <v>46244.2612679745</v>
      </c>
      <c r="M213" s="2" t="s">
        <v>1016</v>
      </c>
      <c r="N213" s="2" t="s">
        <v>121</v>
      </c>
      <c r="O213" s="2"/>
      <c r="P213" s="2" t="s">
        <v>1017</v>
      </c>
      <c r="Q213" s="10" t="n">
        <v>17</v>
      </c>
      <c r="R213" s="10" t="n">
        <v>17</v>
      </c>
      <c r="S213" s="10"/>
      <c r="T213" s="2" t="s">
        <v>120</v>
      </c>
      <c r="U213" s="2"/>
      <c r="V213" s="2" t="s">
        <v>1029</v>
      </c>
      <c r="W213" s="2" t="s">
        <v>1030</v>
      </c>
      <c r="X213" s="7"/>
      <c r="Y213" s="2" t="str">
        <f aca="false">IF(X213&lt;&gt;"",X213,T213)</f>
        <v>Primary</v>
      </c>
      <c r="Z213" s="2" t="str">
        <f aca="false">IF(OR(Y213="Primary",Y213="Additional phase",Y213="Additional application on site",Y213="Replaces earlier",Y213="Extension of duration (parent not in CIS)"),"Yes","No")</f>
        <v>Yes</v>
      </c>
      <c r="AA213" s="2"/>
      <c r="AB213" s="2" t="n">
        <f aca="false">IF(L213="","",ROUND((Method!$B$4-L213)/30.44,0))</f>
        <v>2</v>
      </c>
      <c r="AC213" s="2" t="str">
        <f aca="false">IF(AB213="","No",IF(AB213&gt;Method!$B$5,"Yes","No"))</f>
        <v>No</v>
      </c>
      <c r="AD213" s="22" t="n">
        <f aca="false">IF(BJ213&lt;&gt;"",BJ213,IF(K213&lt;&gt;"",EDATE(K213,60),""))</f>
        <v>46944</v>
      </c>
      <c r="AE213" s="2" t="str">
        <f aca="false">IF(AND(AD213&lt;&gt;"",OR(G213="Permission Granted",G213="Commencement Expected",G213="Stalled or Suspended")),IF(AD213&lt;Method!$B$4,"Yes","No"),"No")</f>
        <v>No</v>
      </c>
      <c r="AF213" s="7"/>
      <c r="AG213" s="2" t="str">
        <f aca="false">IF(Z213="No","Not counted",IF(AF213="Lapsed or dead","Excluded",IF(AF213="Constrained","Constrained / uncertain",IF(AF213="Confirmed live",IF(G213="On Site","Committed",IF(G213="Part Complete","Committed",IF(G213="Contract Awarded","Committed Pre-Construction",IF(G213="Tender","Advanced Pre-Construction",IF(G213="Commencement Expected","Likely",IF(G213="Permission Granted","Potential",IF(G213="Stalled or Suspended","Constrained / uncertain",IF(G213="Complete","Delivered","Application Pipeline")))))))),IF(G213="Complete","Delivered",IF(AND(OR(G213="Permission Granted",G213="Commencement Expected"),OR(AC213="Yes",AE213="Yes")),"Constrained / uncertain",IF(G213="On Site","Committed",IF(G213="Part Complete","Committed",IF(G213="Contract Awarded","Committed Pre-Construction",IF(G213="Tender","Advanced Pre-Construction",IF(G213="Commencement Expected","Likely",IF(G213="Permission Granted","Potential",IF(G213="Stalled or Suspended","Constrained / uncertain",IF(G213="Complete","Delivered","Application Pipeline"))))))))))))))</f>
        <v>Delivered</v>
      </c>
      <c r="AH213" s="2" t="str">
        <f aca="false">IF(Z213="No","Relationship: "&amp;Y213,IF(AF213&lt;&gt;"","Analyst: "&amp;AF213,IF(G213="Complete","Complete",IF(AND(OR(G213="Permission Granted",G213="Commencement Expected"),AE213="Yes"),"Past expiry",IF(AND(OR(G213="Permission Granted",G213="Commencement Expected"),AC213="Yes"),"No CIS update in "&amp;AB213&amp;" months","As CIS")))))</f>
        <v>Complete</v>
      </c>
      <c r="AI213" s="10" t="n">
        <f aca="false">IF(Z213="Yes",N(Q213),0)</f>
        <v>17</v>
      </c>
      <c r="AJ213" s="10" t="n">
        <f aca="false">IF(OR(Z213="No",G213="Complete"),0,MAX(N(Q213)-N(AA213),0))</f>
        <v>0</v>
      </c>
      <c r="AK213" s="10" t="n">
        <f aca="false">IF(Z213="No",0,IF(G213="Complete",N(Q213),MIN(N(AA213),N(Q213))))</f>
        <v>17</v>
      </c>
      <c r="AL213" s="10" t="n">
        <f aca="false">IF(OR(OR(AG213="Not counted",AG213="Excluded",AG213="Delivered"),P213="Student accommodation"),0,AJ213)</f>
        <v>0</v>
      </c>
      <c r="AM213" s="10" t="n">
        <f aca="false">IF(OR(OR(AG213="Not counted",AG213="Excluded",AG213="Delivered"),P213&lt;&gt;"Student accommodation"),0,AJ213)</f>
        <v>0</v>
      </c>
      <c r="AN213" s="10" t="n">
        <f aca="false">IF(OR(AG213="Not counted",AG213="Excluded",AG213="Delivered"),0,N(S213))</f>
        <v>0</v>
      </c>
      <c r="AO213" s="2" t="s">
        <v>1031</v>
      </c>
      <c r="AP213" s="10"/>
      <c r="AQ213" s="10"/>
      <c r="AR213" s="10" t="n">
        <v>5</v>
      </c>
      <c r="AS213" s="10" t="n">
        <v>10</v>
      </c>
      <c r="AT213" s="10" t="n">
        <v>2</v>
      </c>
      <c r="AU213" s="10"/>
      <c r="AV213" s="10" t="n">
        <f aca="false">N(AP213)+N(AQ213)+N(AR213)+N(AS213)+N(AT213)+N(AU213)</f>
        <v>17</v>
      </c>
      <c r="AW213" s="10" t="n">
        <v>17</v>
      </c>
      <c r="AX213" s="10"/>
      <c r="AY213" s="10"/>
      <c r="AZ213" s="2"/>
      <c r="BA213" s="2" t="s">
        <v>1022</v>
      </c>
      <c r="BB213" s="2" t="s">
        <v>1832</v>
      </c>
      <c r="BC213" s="2" t="s">
        <v>1023</v>
      </c>
      <c r="BD213" s="2" t="s">
        <v>1024</v>
      </c>
      <c r="BE213" s="2"/>
      <c r="BF213" s="2" t="s">
        <v>1025</v>
      </c>
      <c r="BG213" s="22" t="n">
        <v>45083</v>
      </c>
      <c r="BH213" s="22" t="n">
        <v>46944</v>
      </c>
      <c r="BI213" s="2"/>
      <c r="BJ213" s="22" t="n">
        <v>46944</v>
      </c>
      <c r="BK213" s="2" t="n">
        <v>17</v>
      </c>
      <c r="BL213" s="2" t="n">
        <v>0</v>
      </c>
      <c r="BM213" s="2"/>
      <c r="BN213" s="2" t="s">
        <v>1833</v>
      </c>
      <c r="BO213" s="23" t="s">
        <v>1834</v>
      </c>
      <c r="BP213" s="2" t="n">
        <f aca="false">IF(OR(K213="",BG213=""),"",ROUND(BG213-K213,0))</f>
        <v>0</v>
      </c>
      <c r="BQ213" s="2" t="str">
        <f aca="false">IF(OR(N(BK213)=0,Q213=""),"Not recorded",IF(BK213=Q213,"Match","Differs"))</f>
        <v>Match</v>
      </c>
      <c r="BR213" s="2" t="str">
        <f aca="false">IF(N213="No","Excluded (non-residential)",IF(BF213="No reference","Unverified – no reference",IF(BF213="Not in council register","Unverified – not in register (Part 8 / other)",IF(OR(BF213="Refused",BF213="Refused on appeal",BF213="Withdrawn",BF213="Invalid",BF213="Quashed"),IF(OR(G213="Complete",G213="On Site",G213="Part Complete"),"Conflict – register not live but CIS says built","Conflict – not live in register"),IF(AND(G213="Plans Submitted",OR(BF213="Granted",BF213="Granted on appeal")),"Stage out of date – now granted",IF(AND(G213&lt;&gt;"Plans Submitted",OR(BF213="Pending",BF213="Under appeal")),"Check – register still pending",IF(N(BL213)&gt;Method!$B$7,"Check – location differs",IF(AND(BP213&lt;&gt;"",ABS(N(BP213))&gt;60),"Consistent – decision date differs","Consistent"))))))))</f>
        <v>Consistent</v>
      </c>
      <c r="BS213" s="2" t="n">
        <v>1714</v>
      </c>
      <c r="BT213" s="2" t="s">
        <v>1835</v>
      </c>
      <c r="BU213" s="2" t="s">
        <v>1836</v>
      </c>
      <c r="BV213" s="2" t="s">
        <v>198</v>
      </c>
      <c r="BW213" s="2" t="s">
        <v>1837</v>
      </c>
      <c r="BX213" s="2" t="s">
        <v>1093</v>
      </c>
    </row>
    <row r="214" customFormat="false" ht="15" hidden="false" customHeight="false" outlineLevel="0" collapsed="false">
      <c r="A214" s="2" t="n">
        <v>1264284</v>
      </c>
      <c r="B214" s="2" t="s">
        <v>236</v>
      </c>
      <c r="C214" s="2" t="s">
        <v>1838</v>
      </c>
      <c r="D214" s="2" t="s">
        <v>1839</v>
      </c>
      <c r="E214" s="2" t="s">
        <v>1840</v>
      </c>
      <c r="F214" s="2" t="s">
        <v>136</v>
      </c>
      <c r="G214" s="2" t="s">
        <v>187</v>
      </c>
      <c r="H214" s="2" t="s">
        <v>1014</v>
      </c>
      <c r="I214" s="2"/>
      <c r="J214" s="22" t="n">
        <v>44917</v>
      </c>
      <c r="K214" s="22" t="n">
        <v>45183</v>
      </c>
      <c r="L214" s="22" t="n">
        <v>45188.3559210648</v>
      </c>
      <c r="M214" s="2" t="s">
        <v>1016</v>
      </c>
      <c r="N214" s="2" t="s">
        <v>121</v>
      </c>
      <c r="O214" s="2"/>
      <c r="P214" s="2" t="s">
        <v>1017</v>
      </c>
      <c r="Q214" s="10" t="n">
        <v>8</v>
      </c>
      <c r="R214" s="10" t="n">
        <v>6</v>
      </c>
      <c r="S214" s="10"/>
      <c r="T214" s="2" t="s">
        <v>123</v>
      </c>
      <c r="U214" s="2" t="s">
        <v>1841</v>
      </c>
      <c r="V214" s="2" t="s">
        <v>1842</v>
      </c>
      <c r="W214" s="2" t="s">
        <v>1020</v>
      </c>
      <c r="X214" s="7"/>
      <c r="Y214" s="2" t="str">
        <f aca="false">IF(X214&lt;&gt;"",X214,T214)</f>
        <v>Superseded</v>
      </c>
      <c r="Z214" s="2" t="str">
        <f aca="false">IF(OR(Y214="Primary",Y214="Additional phase",Y214="Additional application on site",Y214="Replaces earlier",Y214="Extension of duration (parent not in CIS)"),"Yes","No")</f>
        <v>No</v>
      </c>
      <c r="AA214" s="2"/>
      <c r="AB214" s="2" t="n">
        <f aca="false">IF(L214="","",ROUND((Method!$B$4-L214)/30.44,0))</f>
        <v>36</v>
      </c>
      <c r="AC214" s="2" t="str">
        <f aca="false">IF(AB214="","No",IF(AB214&gt;Method!$B$5,"Yes","No"))</f>
        <v>Yes</v>
      </c>
      <c r="AD214" s="22" t="n">
        <f aca="false">IF(BJ214&lt;&gt;"",BJ214,IF(K214&lt;&gt;"",EDATE(K214,60),""))</f>
        <v>47042</v>
      </c>
      <c r="AE214" s="2" t="str">
        <f aca="false">IF(AND(AD214&lt;&gt;"",OR(G214="Permission Granted",G214="Commencement Expected",G214="Stalled or Suspended")),IF(AD214&lt;Method!$B$4,"Yes","No"),"No")</f>
        <v>No</v>
      </c>
      <c r="AF214" s="7"/>
      <c r="AG214" s="2" t="str">
        <f aca="false">IF(Z214="No","Not counted",IF(AF214="Lapsed or dead","Excluded",IF(AF214="Constrained","Constrained / uncertain",IF(AF214="Confirmed live",IF(G214="On Site","Committed",IF(G214="Part Complete","Committed",IF(G214="Contract Awarded","Committed Pre-Construction",IF(G214="Tender","Advanced Pre-Construction",IF(G214="Commencement Expected","Likely",IF(G214="Permission Granted","Potential",IF(G214="Stalled or Suspended","Constrained / uncertain",IF(G214="Complete","Delivered","Application Pipeline")))))))),IF(G214="Complete","Delivered",IF(AND(OR(G214="Permission Granted",G214="Commencement Expected"),OR(AC214="Yes",AE214="Yes")),"Constrained / uncertain",IF(G214="On Site","Committed",IF(G214="Part Complete","Committed",IF(G214="Contract Awarded","Committed Pre-Construction",IF(G214="Tender","Advanced Pre-Construction",IF(G214="Commencement Expected","Likely",IF(G214="Permission Granted","Potential",IF(G214="Stalled or Suspended","Constrained / uncertain",IF(G214="Complete","Delivered","Application Pipeline"))))))))))))))</f>
        <v>Not counted</v>
      </c>
      <c r="AH214" s="2" t="str">
        <f aca="false">IF(Z214="No","Relationship: "&amp;Y214,IF(AF214&lt;&gt;"","Analyst: "&amp;AF214,IF(G214="Complete","Complete",IF(AND(OR(G214="Permission Granted",G214="Commencement Expected"),AE214="Yes"),"Past expiry",IF(AND(OR(G214="Permission Granted",G214="Commencement Expected"),AC214="Yes"),"No CIS update in "&amp;AB214&amp;" months","As CIS")))))</f>
        <v>Relationship: Superseded</v>
      </c>
      <c r="AI214" s="10" t="n">
        <f aca="false">IF(Z214="Yes",N(Q214),0)</f>
        <v>0</v>
      </c>
      <c r="AJ214" s="10" t="n">
        <f aca="false">IF(OR(Z214="No",G214="Complete"),0,MAX(N(Q214)-N(AA214),0))</f>
        <v>0</v>
      </c>
      <c r="AK214" s="10" t="n">
        <f aca="false">IF(Z214="No",0,IF(G214="Complete",N(Q214),MIN(N(AA214),N(Q214))))</f>
        <v>0</v>
      </c>
      <c r="AL214" s="10" t="n">
        <f aca="false">IF(OR(OR(AG214="Not counted",AG214="Excluded",AG214="Delivered"),P214="Student accommodation"),0,AJ214)</f>
        <v>0</v>
      </c>
      <c r="AM214" s="10" t="n">
        <f aca="false">IF(OR(OR(AG214="Not counted",AG214="Excluded",AG214="Delivered"),P214&lt;&gt;"Student accommodation"),0,AJ214)</f>
        <v>0</v>
      </c>
      <c r="AN214" s="10" t="n">
        <f aca="false">IF(OR(AG214="Not counted",AG214="Excluded",AG214="Delivered"),0,N(S214))</f>
        <v>0</v>
      </c>
      <c r="AO214" s="2" t="s">
        <v>1021</v>
      </c>
      <c r="AP214" s="10"/>
      <c r="AQ214" s="10"/>
      <c r="AR214" s="10"/>
      <c r="AS214" s="10"/>
      <c r="AT214" s="10"/>
      <c r="AU214" s="10"/>
      <c r="AV214" s="10" t="n">
        <f aca="false">N(AP214)+N(AQ214)+N(AR214)+N(AS214)+N(AT214)+N(AU214)</f>
        <v>0</v>
      </c>
      <c r="AW214" s="10"/>
      <c r="AX214" s="10"/>
      <c r="AY214" s="10"/>
      <c r="AZ214" s="2"/>
      <c r="BA214" s="2" t="s">
        <v>1022</v>
      </c>
      <c r="BB214" s="2" t="s">
        <v>1838</v>
      </c>
      <c r="BC214" s="2" t="s">
        <v>1023</v>
      </c>
      <c r="BD214" s="2" t="s">
        <v>1024</v>
      </c>
      <c r="BE214" s="2"/>
      <c r="BF214" s="2" t="s">
        <v>1025</v>
      </c>
      <c r="BG214" s="22" t="n">
        <v>45183</v>
      </c>
      <c r="BH214" s="22" t="n">
        <v>47042</v>
      </c>
      <c r="BI214" s="2"/>
      <c r="BJ214" s="22" t="n">
        <v>47042</v>
      </c>
      <c r="BK214" s="2" t="n">
        <v>6</v>
      </c>
      <c r="BL214" s="2" t="n">
        <v>0</v>
      </c>
      <c r="BM214" s="2"/>
      <c r="BN214" s="2" t="s">
        <v>1843</v>
      </c>
      <c r="BO214" s="23" t="s">
        <v>1844</v>
      </c>
      <c r="BP214" s="2" t="n">
        <f aca="false">IF(OR(K214="",BG214=""),"",ROUND(BG214-K214,0))</f>
        <v>0</v>
      </c>
      <c r="BQ214" s="2" t="str">
        <f aca="false">IF(OR(N(BK214)=0,Q214=""),"Not recorded",IF(BK214=Q214,"Match","Differs"))</f>
        <v>Differs</v>
      </c>
      <c r="BR214" s="2" t="str">
        <f aca="false">IF(N214="No","Excluded (non-residential)",IF(BF214="No reference","Unverified – no reference",IF(BF214="Not in council register","Unverified – not in register (Part 8 / other)",IF(OR(BF214="Refused",BF214="Refused on appeal",BF214="Withdrawn",BF214="Invalid",BF214="Quashed"),IF(OR(G214="Complete",G214="On Site",G214="Part Complete"),"Conflict – register not live but CIS says built","Conflict – not live in register"),IF(AND(G214="Plans Submitted",OR(BF214="Granted",BF214="Granted on appeal")),"Stage out of date – now granted",IF(AND(G214&lt;&gt;"Plans Submitted",OR(BF214="Pending",BF214="Under appeal")),"Check – register still pending",IF(N(BL214)&gt;Method!$B$7,"Check – location differs",IF(AND(BP214&lt;&gt;"",ABS(N(BP214))&gt;60),"Consistent – decision date differs","Consistent"))))))))</f>
        <v>Consistent</v>
      </c>
      <c r="BS214" s="2"/>
      <c r="BT214" s="2"/>
      <c r="BU214" s="2"/>
      <c r="BV214" s="2"/>
      <c r="BW214" s="2"/>
      <c r="BX214" s="2"/>
    </row>
    <row r="215" customFormat="false" ht="15" hidden="false" customHeight="false" outlineLevel="0" collapsed="false">
      <c r="A215" s="2" t="n">
        <v>1375398</v>
      </c>
      <c r="B215" s="2" t="s">
        <v>236</v>
      </c>
      <c r="C215" s="2" t="s">
        <v>1841</v>
      </c>
      <c r="D215" s="2" t="s">
        <v>1845</v>
      </c>
      <c r="E215" s="2" t="s">
        <v>1840</v>
      </c>
      <c r="F215" s="2" t="s">
        <v>136</v>
      </c>
      <c r="G215" s="2" t="s">
        <v>187</v>
      </c>
      <c r="H215" s="2" t="s">
        <v>1014</v>
      </c>
      <c r="I215" s="2"/>
      <c r="J215" s="22" t="n">
        <v>45603</v>
      </c>
      <c r="K215" s="22" t="n">
        <v>45834</v>
      </c>
      <c r="L215" s="22" t="n">
        <v>45845.3652574421</v>
      </c>
      <c r="M215" s="2" t="s">
        <v>1016</v>
      </c>
      <c r="N215" s="2" t="s">
        <v>121</v>
      </c>
      <c r="O215" s="2"/>
      <c r="P215" s="2" t="s">
        <v>1017</v>
      </c>
      <c r="Q215" s="10" t="n">
        <v>7</v>
      </c>
      <c r="R215" s="10" t="n">
        <v>6</v>
      </c>
      <c r="S215" s="10"/>
      <c r="T215" s="2" t="s">
        <v>24</v>
      </c>
      <c r="U215" s="2" t="s">
        <v>1838</v>
      </c>
      <c r="V215" s="2" t="s">
        <v>1846</v>
      </c>
      <c r="W215" s="2" t="s">
        <v>1498</v>
      </c>
      <c r="X215" s="7"/>
      <c r="Y215" s="2" t="str">
        <f aca="false">IF(X215&lt;&gt;"",X215,T215)</f>
        <v>Replaces earlier</v>
      </c>
      <c r="Z215" s="2" t="str">
        <f aca="false">IF(OR(Y215="Primary",Y215="Additional phase",Y215="Additional application on site",Y215="Replaces earlier",Y215="Extension of duration (parent not in CIS)"),"Yes","No")</f>
        <v>Yes</v>
      </c>
      <c r="AA215" s="2"/>
      <c r="AB215" s="2" t="n">
        <f aca="false">IF(L215="","",ROUND((Method!$B$4-L215)/30.44,0))</f>
        <v>15</v>
      </c>
      <c r="AC215" s="2" t="str">
        <f aca="false">IF(AB215="","No",IF(AB215&gt;Method!$B$5,"Yes","No"))</f>
        <v>No</v>
      </c>
      <c r="AD215" s="22" t="n">
        <f aca="false">IF(BJ215&lt;&gt;"",BJ215,IF(K215&lt;&gt;"",EDATE(K215,60),""))</f>
        <v>47042</v>
      </c>
      <c r="AE215" s="2" t="str">
        <f aca="false">IF(AND(AD215&lt;&gt;"",OR(G215="Permission Granted",G215="Commencement Expected",G215="Stalled or Suspended")),IF(AD215&lt;Method!$B$4,"Yes","No"),"No")</f>
        <v>No</v>
      </c>
      <c r="AF215" s="7"/>
      <c r="AG215" s="2" t="str">
        <f aca="false">IF(Z215="No","Not counted",IF(AF215="Lapsed or dead","Excluded",IF(AF215="Constrained","Constrained / uncertain",IF(AF215="Confirmed live",IF(G215="On Site","Committed",IF(G215="Part Complete","Committed",IF(G215="Contract Awarded","Committed Pre-Construction",IF(G215="Tender","Advanced Pre-Construction",IF(G215="Commencement Expected","Likely",IF(G215="Permission Granted","Potential",IF(G215="Stalled or Suspended","Constrained / uncertain",IF(G215="Complete","Delivered","Application Pipeline")))))))),IF(G215="Complete","Delivered",IF(AND(OR(G215="Permission Granted",G215="Commencement Expected"),OR(AC215="Yes",AE215="Yes")),"Constrained / uncertain",IF(G215="On Site","Committed",IF(G215="Part Complete","Committed",IF(G215="Contract Awarded","Committed Pre-Construction",IF(G215="Tender","Advanced Pre-Construction",IF(G215="Commencement Expected","Likely",IF(G215="Permission Granted","Potential",IF(G215="Stalled or Suspended","Constrained / uncertain",IF(G215="Complete","Delivered","Application Pipeline"))))))))))))))</f>
        <v>Potential</v>
      </c>
      <c r="AH215" s="2" t="str">
        <f aca="false">IF(Z215="No","Relationship: "&amp;Y215,IF(AF215&lt;&gt;"","Analyst: "&amp;AF215,IF(G215="Complete","Complete",IF(AND(OR(G215="Permission Granted",G215="Commencement Expected"),AE215="Yes"),"Past expiry",IF(AND(OR(G215="Permission Granted",G215="Commencement Expected"),AC215="Yes"),"No CIS update in "&amp;AB215&amp;" months","As CIS")))))</f>
        <v>As CIS</v>
      </c>
      <c r="AI215" s="10" t="n">
        <f aca="false">IF(Z215="Yes",N(Q215),0)</f>
        <v>7</v>
      </c>
      <c r="AJ215" s="10" t="n">
        <f aca="false">IF(OR(Z215="No",G215="Complete"),0,MAX(N(Q215)-N(AA215),0))</f>
        <v>7</v>
      </c>
      <c r="AK215" s="10" t="n">
        <f aca="false">IF(Z215="No",0,IF(G215="Complete",N(Q215),MIN(N(AA215),N(Q215))))</f>
        <v>0</v>
      </c>
      <c r="AL215" s="10" t="n">
        <f aca="false">IF(OR(OR(AG215="Not counted",AG215="Excluded",AG215="Delivered"),P215="Student accommodation"),0,AJ215)</f>
        <v>7</v>
      </c>
      <c r="AM215" s="10" t="n">
        <f aca="false">IF(OR(OR(AG215="Not counted",AG215="Excluded",AG215="Delivered"),P215&lt;&gt;"Student accommodation"),0,AJ215)</f>
        <v>0</v>
      </c>
      <c r="AN215" s="10" t="n">
        <f aca="false">IF(OR(AG215="Not counted",AG215="Excluded",AG215="Delivered"),0,N(S215))</f>
        <v>0</v>
      </c>
      <c r="AO215" s="2" t="s">
        <v>1021</v>
      </c>
      <c r="AP215" s="10"/>
      <c r="AQ215" s="10"/>
      <c r="AR215" s="10"/>
      <c r="AS215" s="10"/>
      <c r="AT215" s="10"/>
      <c r="AU215" s="10"/>
      <c r="AV215" s="10" t="n">
        <f aca="false">N(AP215)+N(AQ215)+N(AR215)+N(AS215)+N(AT215)+N(AU215)</f>
        <v>0</v>
      </c>
      <c r="AW215" s="10"/>
      <c r="AX215" s="10"/>
      <c r="AY215" s="10"/>
      <c r="AZ215" s="2"/>
      <c r="BA215" s="2" t="s">
        <v>1022</v>
      </c>
      <c r="BB215" s="2" t="s">
        <v>1841</v>
      </c>
      <c r="BC215" s="2" t="s">
        <v>1023</v>
      </c>
      <c r="BD215" s="2" t="s">
        <v>1024</v>
      </c>
      <c r="BE215" s="2"/>
      <c r="BF215" s="2" t="s">
        <v>1025</v>
      </c>
      <c r="BG215" s="22" t="n">
        <v>45834</v>
      </c>
      <c r="BH215" s="22" t="n">
        <v>47042</v>
      </c>
      <c r="BI215" s="2"/>
      <c r="BJ215" s="22" t="n">
        <v>47042</v>
      </c>
      <c r="BK215" s="2" t="n">
        <v>7</v>
      </c>
      <c r="BL215" s="2" t="n">
        <v>0</v>
      </c>
      <c r="BM215" s="2"/>
      <c r="BN215" s="2" t="s">
        <v>1847</v>
      </c>
      <c r="BO215" s="23" t="s">
        <v>1848</v>
      </c>
      <c r="BP215" s="2" t="n">
        <f aca="false">IF(OR(K215="",BG215=""),"",ROUND(BG215-K215,0))</f>
        <v>0</v>
      </c>
      <c r="BQ215" s="2" t="str">
        <f aca="false">IF(OR(N(BK215)=0,Q215=""),"Not recorded",IF(BK215=Q215,"Match","Differs"))</f>
        <v>Match</v>
      </c>
      <c r="BR215" s="2" t="str">
        <f aca="false">IF(N215="No","Excluded (non-residential)",IF(BF215="No reference","Unverified – no reference",IF(BF215="Not in council register","Unverified – not in register (Part 8 / other)",IF(OR(BF215="Refused",BF215="Refused on appeal",BF215="Withdrawn",BF215="Invalid",BF215="Quashed"),IF(OR(G215="Complete",G215="On Site",G215="Part Complete"),"Conflict – register not live but CIS says built","Conflict – not live in register"),IF(AND(G215="Plans Submitted",OR(BF215="Granted",BF215="Granted on appeal")),"Stage out of date – now granted",IF(AND(G215&lt;&gt;"Plans Submitted",OR(BF215="Pending",BF215="Under appeal")),"Check – register still pending",IF(N(BL215)&gt;Method!$B$7,"Check – location differs",IF(AND(BP215&lt;&gt;"",ABS(N(BP215))&gt;60),"Consistent – decision date differs","Consistent"))))))))</f>
        <v>Consistent</v>
      </c>
      <c r="BS215" s="2"/>
      <c r="BT215" s="2"/>
      <c r="BU215" s="2"/>
      <c r="BV215" s="2"/>
      <c r="BW215" s="2"/>
      <c r="BX215" s="2"/>
    </row>
    <row r="216" customFormat="false" ht="15" hidden="false" customHeight="false" outlineLevel="0" collapsed="false">
      <c r="A216" s="2" t="n">
        <v>1263713</v>
      </c>
      <c r="B216" s="2" t="s">
        <v>529</v>
      </c>
      <c r="C216" s="2" t="s">
        <v>1849</v>
      </c>
      <c r="D216" s="2" t="s">
        <v>530</v>
      </c>
      <c r="E216" s="2" t="s">
        <v>531</v>
      </c>
      <c r="F216" s="2" t="s">
        <v>144</v>
      </c>
      <c r="G216" s="2" t="s">
        <v>187</v>
      </c>
      <c r="H216" s="2" t="s">
        <v>1014</v>
      </c>
      <c r="I216" s="2"/>
      <c r="J216" s="22" t="n">
        <v>44914</v>
      </c>
      <c r="K216" s="22" t="n">
        <v>45149</v>
      </c>
      <c r="L216" s="22" t="n">
        <v>45153.4147362616</v>
      </c>
      <c r="M216" s="2" t="s">
        <v>1016</v>
      </c>
      <c r="N216" s="2" t="s">
        <v>121</v>
      </c>
      <c r="O216" s="2"/>
      <c r="P216" s="2" t="s">
        <v>1017</v>
      </c>
      <c r="Q216" s="10" t="n">
        <v>24</v>
      </c>
      <c r="R216" s="10" t="n">
        <v>24</v>
      </c>
      <c r="S216" s="10"/>
      <c r="T216" s="2" t="s">
        <v>120</v>
      </c>
      <c r="U216" s="2"/>
      <c r="V216" s="2" t="s">
        <v>1029</v>
      </c>
      <c r="W216" s="2" t="s">
        <v>1030</v>
      </c>
      <c r="X216" s="7"/>
      <c r="Y216" s="2" t="str">
        <f aca="false">IF(X216&lt;&gt;"",X216,T216)</f>
        <v>Primary</v>
      </c>
      <c r="Z216" s="2" t="str">
        <f aca="false">IF(OR(Y216="Primary",Y216="Additional phase",Y216="Additional application on site",Y216="Replaces earlier",Y216="Extension of duration (parent not in CIS)"),"Yes","No")</f>
        <v>Yes</v>
      </c>
      <c r="AA216" s="2"/>
      <c r="AB216" s="2" t="n">
        <f aca="false">IF(L216="","",ROUND((Method!$B$4-L216)/30.44,0))</f>
        <v>37</v>
      </c>
      <c r="AC216" s="2" t="str">
        <f aca="false">IF(AB216="","No",IF(AB216&gt;Method!$B$5,"Yes","No"))</f>
        <v>Yes</v>
      </c>
      <c r="AD216" s="22" t="n">
        <f aca="false">IF(BJ216&lt;&gt;"",BJ216,IF(K216&lt;&gt;"",EDATE(K216,60),""))</f>
        <v>47008</v>
      </c>
      <c r="AE216" s="2" t="str">
        <f aca="false">IF(AND(AD216&lt;&gt;"",OR(G216="Permission Granted",G216="Commencement Expected",G216="Stalled or Suspended")),IF(AD216&lt;Method!$B$4,"Yes","No"),"No")</f>
        <v>No</v>
      </c>
      <c r="AF216" s="7"/>
      <c r="AG216" s="2" t="str">
        <f aca="false">IF(Z216="No","Not counted",IF(AF216="Lapsed or dead","Excluded",IF(AF216="Constrained","Constrained / uncertain",IF(AF216="Confirmed live",IF(G216="On Site","Committed",IF(G216="Part Complete","Committed",IF(G216="Contract Awarded","Committed Pre-Construction",IF(G216="Tender","Advanced Pre-Construction",IF(G216="Commencement Expected","Likely",IF(G216="Permission Granted","Potential",IF(G216="Stalled or Suspended","Constrained / uncertain",IF(G216="Complete","Delivered","Application Pipeline")))))))),IF(G216="Complete","Delivered",IF(AND(OR(G216="Permission Granted",G216="Commencement Expected"),OR(AC216="Yes",AE216="Yes")),"Constrained / uncertain",IF(G216="On Site","Committed",IF(G216="Part Complete","Committed",IF(G216="Contract Awarded","Committed Pre-Construction",IF(G216="Tender","Advanced Pre-Construction",IF(G216="Commencement Expected","Likely",IF(G216="Permission Granted","Potential",IF(G216="Stalled or Suspended","Constrained / uncertain",IF(G216="Complete","Delivered","Application Pipeline"))))))))))))))</f>
        <v>Constrained / uncertain</v>
      </c>
      <c r="AH216" s="2" t="str">
        <f aca="false">IF(Z216="No","Relationship: "&amp;Y216,IF(AF216&lt;&gt;"","Analyst: "&amp;AF216,IF(G216="Complete","Complete",IF(AND(OR(G216="Permission Granted",G216="Commencement Expected"),AE216="Yes"),"Past expiry",IF(AND(OR(G216="Permission Granted",G216="Commencement Expected"),AC216="Yes"),"No CIS update in "&amp;AB216&amp;" months","As CIS")))))</f>
        <v>No CIS update in 37 months</v>
      </c>
      <c r="AI216" s="10" t="n">
        <f aca="false">IF(Z216="Yes",N(Q216),0)</f>
        <v>24</v>
      </c>
      <c r="AJ216" s="10" t="n">
        <f aca="false">IF(OR(Z216="No",G216="Complete"),0,MAX(N(Q216)-N(AA216),0))</f>
        <v>24</v>
      </c>
      <c r="AK216" s="10" t="n">
        <f aca="false">IF(Z216="No",0,IF(G216="Complete",N(Q216),MIN(N(AA216),N(Q216))))</f>
        <v>0</v>
      </c>
      <c r="AL216" s="10" t="n">
        <f aca="false">IF(OR(OR(AG216="Not counted",AG216="Excluded",AG216="Delivered"),P216="Student accommodation"),0,AJ216)</f>
        <v>24</v>
      </c>
      <c r="AM216" s="10" t="n">
        <f aca="false">IF(OR(OR(AG216="Not counted",AG216="Excluded",AG216="Delivered"),P216&lt;&gt;"Student accommodation"),0,AJ216)</f>
        <v>0</v>
      </c>
      <c r="AN216" s="10" t="n">
        <f aca="false">IF(OR(AG216="Not counted",AG216="Excluded",AG216="Delivered"),0,N(S216))</f>
        <v>0</v>
      </c>
      <c r="AO216" s="2" t="s">
        <v>1157</v>
      </c>
      <c r="AP216" s="10"/>
      <c r="AQ216" s="10" t="n">
        <v>11</v>
      </c>
      <c r="AR216" s="10" t="n">
        <v>12</v>
      </c>
      <c r="AS216" s="10" t="n">
        <v>1</v>
      </c>
      <c r="AT216" s="10"/>
      <c r="AU216" s="10"/>
      <c r="AV216" s="10" t="n">
        <f aca="false">N(AP216)+N(AQ216)+N(AR216)+N(AS216)+N(AT216)+N(AU216)</f>
        <v>24</v>
      </c>
      <c r="AW216" s="10"/>
      <c r="AX216" s="10" t="n">
        <v>24</v>
      </c>
      <c r="AY216" s="10"/>
      <c r="AZ216" s="2"/>
      <c r="BA216" s="2" t="s">
        <v>1022</v>
      </c>
      <c r="BB216" s="2" t="s">
        <v>1849</v>
      </c>
      <c r="BC216" s="2" t="s">
        <v>1023</v>
      </c>
      <c r="BD216" s="2" t="s">
        <v>1024</v>
      </c>
      <c r="BE216" s="2"/>
      <c r="BF216" s="2" t="s">
        <v>1025</v>
      </c>
      <c r="BG216" s="22" t="n">
        <v>45149</v>
      </c>
      <c r="BH216" s="22" t="n">
        <v>47008</v>
      </c>
      <c r="BI216" s="2"/>
      <c r="BJ216" s="22" t="n">
        <v>47008</v>
      </c>
      <c r="BK216" s="2"/>
      <c r="BL216" s="2" t="n">
        <v>0</v>
      </c>
      <c r="BM216" s="2"/>
      <c r="BN216" s="2" t="s">
        <v>1850</v>
      </c>
      <c r="BO216" s="23" t="s">
        <v>1851</v>
      </c>
      <c r="BP216" s="2" t="n">
        <f aca="false">IF(OR(K216="",BG216=""),"",ROUND(BG216-K216,0))</f>
        <v>0</v>
      </c>
      <c r="BQ216" s="2" t="str">
        <f aca="false">IF(OR(N(BK216)=0,Q216=""),"Not recorded",IF(BK216=Q216,"Match","Differs"))</f>
        <v>Not recorded</v>
      </c>
      <c r="BR216" s="2" t="str">
        <f aca="false">IF(N216="No","Excluded (non-residential)",IF(BF216="No reference","Unverified – no reference",IF(BF216="Not in council register","Unverified – not in register (Part 8 / other)",IF(OR(BF216="Refused",BF216="Refused on appeal",BF216="Withdrawn",BF216="Invalid",BF216="Quashed"),IF(OR(G216="Complete",G216="On Site",G216="Part Complete"),"Conflict – register not live but CIS says built","Conflict – not live in register"),IF(AND(G216="Plans Submitted",OR(BF216="Granted",BF216="Granted on appeal")),"Stage out of date – now granted",IF(AND(G216&lt;&gt;"Plans Submitted",OR(BF216="Pending",BF216="Under appeal")),"Check – register still pending",IF(N(BL216)&gt;Method!$B$7,"Check – location differs",IF(AND(BP216&lt;&gt;"",ABS(N(BP216))&gt;60),"Consistent – decision date differs","Consistent"))))))))</f>
        <v>Consistent</v>
      </c>
      <c r="BS216" s="2"/>
      <c r="BT216" s="2"/>
      <c r="BU216" s="2"/>
      <c r="BV216" s="2"/>
      <c r="BW216" s="2"/>
      <c r="BX216" s="2"/>
    </row>
    <row r="217" customFormat="false" ht="15" hidden="false" customHeight="false" outlineLevel="0" collapsed="false">
      <c r="A217" s="2" t="n">
        <v>1264155</v>
      </c>
      <c r="B217" s="2" t="s">
        <v>529</v>
      </c>
      <c r="C217" s="2" t="s">
        <v>1852</v>
      </c>
      <c r="D217" s="2" t="s">
        <v>1853</v>
      </c>
      <c r="E217" s="2" t="s">
        <v>1854</v>
      </c>
      <c r="F217" s="2" t="s">
        <v>144</v>
      </c>
      <c r="G217" s="2" t="s">
        <v>187</v>
      </c>
      <c r="H217" s="2" t="s">
        <v>1014</v>
      </c>
      <c r="I217" s="2"/>
      <c r="J217" s="22" t="n">
        <v>44917</v>
      </c>
      <c r="K217" s="22" t="n">
        <v>44659</v>
      </c>
      <c r="L217" s="22" t="n">
        <v>44917.5037965278</v>
      </c>
      <c r="M217" s="2" t="s">
        <v>1016</v>
      </c>
      <c r="N217" s="2" t="s">
        <v>121</v>
      </c>
      <c r="O217" s="2"/>
      <c r="P217" s="2" t="s">
        <v>1017</v>
      </c>
      <c r="Q217" s="10" t="n">
        <v>8</v>
      </c>
      <c r="R217" s="10"/>
      <c r="S217" s="10"/>
      <c r="T217" s="2" t="s">
        <v>30</v>
      </c>
      <c r="U217" s="2"/>
      <c r="V217" s="2" t="s">
        <v>1080</v>
      </c>
      <c r="W217" s="2" t="s">
        <v>1020</v>
      </c>
      <c r="X217" s="7"/>
      <c r="Y217" s="2" t="str">
        <f aca="false">IF(X217&lt;&gt;"",X217,T217)</f>
        <v>Additional application on site</v>
      </c>
      <c r="Z217" s="2" t="str">
        <f aca="false">IF(OR(Y217="Primary",Y217="Additional phase",Y217="Additional application on site",Y217="Replaces earlier",Y217="Extension of duration (parent not in CIS)"),"Yes","No")</f>
        <v>Yes</v>
      </c>
      <c r="AA217" s="2"/>
      <c r="AB217" s="2" t="n">
        <f aca="false">IF(L217="","",ROUND((Method!$B$4-L217)/30.44,0))</f>
        <v>45</v>
      </c>
      <c r="AC217" s="2" t="str">
        <f aca="false">IF(AB217="","No",IF(AB217&gt;Method!$B$5,"Yes","No"))</f>
        <v>Yes</v>
      </c>
      <c r="AD217" s="22" t="n">
        <f aca="false">IF(BJ217&lt;&gt;"",BJ217,IF(K217&lt;&gt;"",EDATE(K217,60),""))</f>
        <v>46485</v>
      </c>
      <c r="AE217" s="2" t="str">
        <f aca="false">IF(AND(AD217&lt;&gt;"",OR(G217="Permission Granted",G217="Commencement Expected",G217="Stalled or Suspended")),IF(AD217&lt;Method!$B$4,"Yes","No"),"No")</f>
        <v>No</v>
      </c>
      <c r="AF217" s="7"/>
      <c r="AG217" s="2" t="str">
        <f aca="false">IF(Z217="No","Not counted",IF(AF217="Lapsed or dead","Excluded",IF(AF217="Constrained","Constrained / uncertain",IF(AF217="Confirmed live",IF(G217="On Site","Committed",IF(G217="Part Complete","Committed",IF(G217="Contract Awarded","Committed Pre-Construction",IF(G217="Tender","Advanced Pre-Construction",IF(G217="Commencement Expected","Likely",IF(G217="Permission Granted","Potential",IF(G217="Stalled or Suspended","Constrained / uncertain",IF(G217="Complete","Delivered","Application Pipeline")))))))),IF(G217="Complete","Delivered",IF(AND(OR(G217="Permission Granted",G217="Commencement Expected"),OR(AC217="Yes",AE217="Yes")),"Constrained / uncertain",IF(G217="On Site","Committed",IF(G217="Part Complete","Committed",IF(G217="Contract Awarded","Committed Pre-Construction",IF(G217="Tender","Advanced Pre-Construction",IF(G217="Commencement Expected","Likely",IF(G217="Permission Granted","Potential",IF(G217="Stalled or Suspended","Constrained / uncertain",IF(G217="Complete","Delivered","Application Pipeline"))))))))))))))</f>
        <v>Constrained / uncertain</v>
      </c>
      <c r="AH217" s="2" t="str">
        <f aca="false">IF(Z217="No","Relationship: "&amp;Y217,IF(AF217&lt;&gt;"","Analyst: "&amp;AF217,IF(G217="Complete","Complete",IF(AND(OR(G217="Permission Granted",G217="Commencement Expected"),AE217="Yes"),"Past expiry",IF(AND(OR(G217="Permission Granted",G217="Commencement Expected"),AC217="Yes"),"No CIS update in "&amp;AB217&amp;" months","As CIS")))))</f>
        <v>No CIS update in 45 months</v>
      </c>
      <c r="AI217" s="10" t="n">
        <f aca="false">IF(Z217="Yes",N(Q217),0)</f>
        <v>8</v>
      </c>
      <c r="AJ217" s="10" t="n">
        <f aca="false">IF(OR(Z217="No",G217="Complete"),0,MAX(N(Q217)-N(AA217),0))</f>
        <v>8</v>
      </c>
      <c r="AK217" s="10" t="n">
        <f aca="false">IF(Z217="No",0,IF(G217="Complete",N(Q217),MIN(N(AA217),N(Q217))))</f>
        <v>0</v>
      </c>
      <c r="AL217" s="10" t="n">
        <f aca="false">IF(OR(OR(AG217="Not counted",AG217="Excluded",AG217="Delivered"),P217="Student accommodation"),0,AJ217)</f>
        <v>8</v>
      </c>
      <c r="AM217" s="10" t="n">
        <f aca="false">IF(OR(OR(AG217="Not counted",AG217="Excluded",AG217="Delivered"),P217&lt;&gt;"Student accommodation"),0,AJ217)</f>
        <v>0</v>
      </c>
      <c r="AN217" s="10" t="n">
        <f aca="false">IF(OR(AG217="Not counted",AG217="Excluded",AG217="Delivered"),0,N(S217))</f>
        <v>0</v>
      </c>
      <c r="AO217" s="2" t="s">
        <v>1043</v>
      </c>
      <c r="AP217" s="10"/>
      <c r="AQ217" s="10"/>
      <c r="AR217" s="10"/>
      <c r="AS217" s="10"/>
      <c r="AT217" s="10"/>
      <c r="AU217" s="10"/>
      <c r="AV217" s="10" t="n">
        <f aca="false">N(AP217)+N(AQ217)+N(AR217)+N(AS217)+N(AT217)+N(AU217)</f>
        <v>0</v>
      </c>
      <c r="AW217" s="10"/>
      <c r="AX217" s="10"/>
      <c r="AY217" s="10"/>
      <c r="AZ217" s="2"/>
      <c r="BA217" s="2" t="s">
        <v>1095</v>
      </c>
      <c r="BB217" s="2"/>
      <c r="BC217" s="2"/>
      <c r="BD217" s="2"/>
      <c r="BE217" s="2"/>
      <c r="BF217" s="2" t="s">
        <v>1095</v>
      </c>
      <c r="BG217" s="22"/>
      <c r="BH217" s="22"/>
      <c r="BI217" s="2"/>
      <c r="BJ217" s="22"/>
      <c r="BK217" s="2"/>
      <c r="BL217" s="2"/>
      <c r="BM217" s="2"/>
      <c r="BN217" s="2"/>
      <c r="BO217" s="2"/>
      <c r="BP217" s="2" t="str">
        <f aca="false">IF(OR(K217="",BG217=""),"",ROUND(BG217-K217,0))</f>
        <v/>
      </c>
      <c r="BQ217" s="2" t="str">
        <f aca="false">IF(OR(N(BK217)=0,Q217=""),"Not recorded",IF(BK217=Q217,"Match","Differs"))</f>
        <v>Not recorded</v>
      </c>
      <c r="BR217" s="2" t="str">
        <f aca="false">IF(N217="No","Excluded (non-residential)",IF(BF217="No reference","Unverified – no reference",IF(BF217="Not in council register","Unverified – not in register (Part 8 / other)",IF(OR(BF217="Refused",BF217="Refused on appeal",BF217="Withdrawn",BF217="Invalid",BF217="Quashed"),IF(OR(G217="Complete",G217="On Site",G217="Part Complete"),"Conflict – register not live but CIS says built","Conflict – not live in register"),IF(AND(G217="Plans Submitted",OR(BF217="Granted",BF217="Granted on appeal")),"Stage out of date – now granted",IF(AND(G217&lt;&gt;"Plans Submitted",OR(BF217="Pending",BF217="Under appeal")),"Check – register still pending",IF(N(BL217)&gt;Method!$B$7,"Check – location differs",IF(AND(BP217&lt;&gt;"",ABS(N(BP217))&gt;60),"Consistent – decision date differs","Consistent"))))))))</f>
        <v>Unverified – not in register (Part 8 / other)</v>
      </c>
      <c r="BS217" s="2"/>
      <c r="BT217" s="2"/>
      <c r="BU217" s="2"/>
      <c r="BV217" s="2"/>
      <c r="BW217" s="2"/>
      <c r="BX217" s="2"/>
    </row>
    <row r="218" customFormat="false" ht="15" hidden="false" customHeight="false" outlineLevel="0" collapsed="false">
      <c r="A218" s="2" t="n">
        <v>1265040</v>
      </c>
      <c r="B218" s="2" t="s">
        <v>327</v>
      </c>
      <c r="C218" s="2" t="s">
        <v>1855</v>
      </c>
      <c r="D218" s="2" t="s">
        <v>328</v>
      </c>
      <c r="E218" s="2" t="s">
        <v>329</v>
      </c>
      <c r="F218" s="2" t="s">
        <v>144</v>
      </c>
      <c r="G218" s="2" t="s">
        <v>198</v>
      </c>
      <c r="H218" s="2" t="s">
        <v>1014</v>
      </c>
      <c r="I218" s="2" t="s">
        <v>198</v>
      </c>
      <c r="J218" s="22" t="n">
        <v>44915</v>
      </c>
      <c r="K218" s="22" t="n">
        <v>45012</v>
      </c>
      <c r="L218" s="22" t="n">
        <v>46063.3658415857</v>
      </c>
      <c r="M218" s="2" t="s">
        <v>1016</v>
      </c>
      <c r="N218" s="2" t="s">
        <v>121</v>
      </c>
      <c r="O218" s="2"/>
      <c r="P218" s="2" t="s">
        <v>1017</v>
      </c>
      <c r="Q218" s="10" t="n">
        <v>13</v>
      </c>
      <c r="R218" s="10"/>
      <c r="S218" s="10"/>
      <c r="T218" s="2" t="s">
        <v>120</v>
      </c>
      <c r="U218" s="2"/>
      <c r="V218" s="2" t="s">
        <v>1029</v>
      </c>
      <c r="W218" s="2" t="s">
        <v>1030</v>
      </c>
      <c r="X218" s="7"/>
      <c r="Y218" s="2" t="str">
        <f aca="false">IF(X218&lt;&gt;"",X218,T218)</f>
        <v>Primary</v>
      </c>
      <c r="Z218" s="2" t="str">
        <f aca="false">IF(OR(Y218="Primary",Y218="Additional phase",Y218="Additional application on site",Y218="Replaces earlier",Y218="Extension of duration (parent not in CIS)"),"Yes","No")</f>
        <v>Yes</v>
      </c>
      <c r="AA218" s="2"/>
      <c r="AB218" s="2" t="n">
        <f aca="false">IF(L218="","",ROUND((Method!$B$4-L218)/30.44,0))</f>
        <v>8</v>
      </c>
      <c r="AC218" s="2" t="str">
        <f aca="false">IF(AB218="","No",IF(AB218&gt;Method!$B$5,"Yes","No"))</f>
        <v>No</v>
      </c>
      <c r="AD218" s="22" t="n">
        <f aca="false">IF(BJ218&lt;&gt;"",BJ218,IF(K218&lt;&gt;"",EDATE(K218,60),""))</f>
        <v>46839</v>
      </c>
      <c r="AE218" s="2" t="str">
        <f aca="false">IF(AND(AD218&lt;&gt;"",OR(G218="Permission Granted",G218="Commencement Expected",G218="Stalled or Suspended")),IF(AD218&lt;Method!$B$4,"Yes","No"),"No")</f>
        <v>No</v>
      </c>
      <c r="AF218" s="7"/>
      <c r="AG218" s="2" t="str">
        <f aca="false">IF(Z218="No","Not counted",IF(AF218="Lapsed or dead","Excluded",IF(AF218="Constrained","Constrained / uncertain",IF(AF218="Confirmed live",IF(G218="On Site","Committed",IF(G218="Part Complete","Committed",IF(G218="Contract Awarded","Committed Pre-Construction",IF(G218="Tender","Advanced Pre-Construction",IF(G218="Commencement Expected","Likely",IF(G218="Permission Granted","Potential",IF(G218="Stalled or Suspended","Constrained / uncertain",IF(G218="Complete","Delivered","Application Pipeline")))))))),IF(G218="Complete","Delivered",IF(AND(OR(G218="Permission Granted",G218="Commencement Expected"),OR(AC218="Yes",AE218="Yes")),"Constrained / uncertain",IF(G218="On Site","Committed",IF(G218="Part Complete","Committed",IF(G218="Contract Awarded","Committed Pre-Construction",IF(G218="Tender","Advanced Pre-Construction",IF(G218="Commencement Expected","Likely",IF(G218="Permission Granted","Potential",IF(G218="Stalled or Suspended","Constrained / uncertain",IF(G218="Complete","Delivered","Application Pipeline"))))))))))))))</f>
        <v>Committed</v>
      </c>
      <c r="AH218" s="2" t="str">
        <f aca="false">IF(Z218="No","Relationship: "&amp;Y218,IF(AF218&lt;&gt;"","Analyst: "&amp;AF218,IF(G218="Complete","Complete",IF(AND(OR(G218="Permission Granted",G218="Commencement Expected"),AE218="Yes"),"Past expiry",IF(AND(OR(G218="Permission Granted",G218="Commencement Expected"),AC218="Yes"),"No CIS update in "&amp;AB218&amp;" months","As CIS")))))</f>
        <v>As CIS</v>
      </c>
      <c r="AI218" s="10" t="n">
        <f aca="false">IF(Z218="Yes",N(Q218),0)</f>
        <v>13</v>
      </c>
      <c r="AJ218" s="10" t="n">
        <f aca="false">IF(OR(Z218="No",G218="Complete"),0,MAX(N(Q218)-N(AA218),0))</f>
        <v>13</v>
      </c>
      <c r="AK218" s="10" t="n">
        <f aca="false">IF(Z218="No",0,IF(G218="Complete",N(Q218),MIN(N(AA218),N(Q218))))</f>
        <v>0</v>
      </c>
      <c r="AL218" s="10" t="n">
        <f aca="false">IF(OR(OR(AG218="Not counted",AG218="Excluded",AG218="Delivered"),P218="Student accommodation"),0,AJ218)</f>
        <v>13</v>
      </c>
      <c r="AM218" s="10" t="n">
        <f aca="false">IF(OR(OR(AG218="Not counted",AG218="Excluded",AG218="Delivered"),P218&lt;&gt;"Student accommodation"),0,AJ218)</f>
        <v>0</v>
      </c>
      <c r="AN218" s="10" t="n">
        <f aca="false">IF(OR(AG218="Not counted",AG218="Excluded",AG218="Delivered"),0,N(S218))</f>
        <v>0</v>
      </c>
      <c r="AO218" s="2" t="s">
        <v>1157</v>
      </c>
      <c r="AP218" s="10"/>
      <c r="AQ218" s="10" t="n">
        <v>5</v>
      </c>
      <c r="AR218" s="10" t="n">
        <v>8</v>
      </c>
      <c r="AS218" s="10"/>
      <c r="AT218" s="10"/>
      <c r="AU218" s="10"/>
      <c r="AV218" s="10" t="n">
        <f aca="false">N(AP218)+N(AQ218)+N(AR218)+N(AS218)+N(AT218)+N(AU218)</f>
        <v>13</v>
      </c>
      <c r="AW218" s="10"/>
      <c r="AX218" s="10" t="n">
        <v>13</v>
      </c>
      <c r="AY218" s="10"/>
      <c r="AZ218" s="2"/>
      <c r="BA218" s="2" t="s">
        <v>1022</v>
      </c>
      <c r="BB218" s="2" t="s">
        <v>1855</v>
      </c>
      <c r="BC218" s="2" t="s">
        <v>1046</v>
      </c>
      <c r="BD218" s="2" t="s">
        <v>1856</v>
      </c>
      <c r="BE218" s="2"/>
      <c r="BF218" s="2" t="s">
        <v>1025</v>
      </c>
      <c r="BG218" s="22" t="n">
        <v>45005</v>
      </c>
      <c r="BH218" s="22"/>
      <c r="BI218" s="2"/>
      <c r="BJ218" s="22"/>
      <c r="BK218" s="2"/>
      <c r="BL218" s="2" t="n">
        <v>0</v>
      </c>
      <c r="BM218" s="2"/>
      <c r="BN218" s="2" t="s">
        <v>1857</v>
      </c>
      <c r="BO218" s="23" t="s">
        <v>1858</v>
      </c>
      <c r="BP218" s="2" t="n">
        <f aca="false">IF(OR(K218="",BG218=""),"",ROUND(BG218-K218,0))</f>
        <v>-7</v>
      </c>
      <c r="BQ218" s="2" t="str">
        <f aca="false">IF(OR(N(BK218)=0,Q218=""),"Not recorded",IF(BK218=Q218,"Match","Differs"))</f>
        <v>Not recorded</v>
      </c>
      <c r="BR218" s="2" t="str">
        <f aca="false">IF(N218="No","Excluded (non-residential)",IF(BF218="No reference","Unverified – no reference",IF(BF218="Not in council register","Unverified – not in register (Part 8 / other)",IF(OR(BF218="Refused",BF218="Refused on appeal",BF218="Withdrawn",BF218="Invalid",BF218="Quashed"),IF(OR(G218="Complete",G218="On Site",G218="Part Complete"),"Conflict – register not live but CIS says built","Conflict – not live in register"),IF(AND(G218="Plans Submitted",OR(BF218="Granted",BF218="Granted on appeal")),"Stage out of date – now granted",IF(AND(G218&lt;&gt;"Plans Submitted",OR(BF218="Pending",BF218="Under appeal")),"Check – register still pending",IF(N(BL218)&gt;Method!$B$7,"Check – location differs",IF(AND(BP218&lt;&gt;"",ABS(N(BP218))&gt;60),"Consistent – decision date differs","Consistent"))))))))</f>
        <v>Consistent</v>
      </c>
      <c r="BS218" s="2"/>
      <c r="BT218" s="2"/>
      <c r="BU218" s="2"/>
      <c r="BV218" s="2"/>
      <c r="BW218" s="2"/>
      <c r="BX218" s="2"/>
    </row>
    <row r="219" customFormat="false" ht="15" hidden="false" customHeight="false" outlineLevel="0" collapsed="false">
      <c r="A219" s="2" t="n">
        <v>1264154</v>
      </c>
      <c r="B219" s="2" t="s">
        <v>327</v>
      </c>
      <c r="C219" s="2" t="s">
        <v>1859</v>
      </c>
      <c r="D219" s="2" t="s">
        <v>1860</v>
      </c>
      <c r="E219" s="2" t="s">
        <v>329</v>
      </c>
      <c r="F219" s="2" t="s">
        <v>144</v>
      </c>
      <c r="G219" s="2" t="s">
        <v>187</v>
      </c>
      <c r="H219" s="2" t="s">
        <v>1014</v>
      </c>
      <c r="I219" s="2"/>
      <c r="J219" s="22" t="n">
        <v>44917</v>
      </c>
      <c r="K219" s="22" t="n">
        <v>45012</v>
      </c>
      <c r="L219" s="22" t="n">
        <v>45013.4954469097</v>
      </c>
      <c r="M219" s="2" t="s">
        <v>1016</v>
      </c>
      <c r="N219" s="2" t="s">
        <v>121</v>
      </c>
      <c r="O219" s="2"/>
      <c r="P219" s="2" t="s">
        <v>1017</v>
      </c>
      <c r="Q219" s="10" t="n">
        <v>13</v>
      </c>
      <c r="R219" s="10"/>
      <c r="S219" s="10"/>
      <c r="T219" s="2" t="s">
        <v>125</v>
      </c>
      <c r="U219" s="2" t="s">
        <v>1855</v>
      </c>
      <c r="V219" s="2" t="s">
        <v>1861</v>
      </c>
      <c r="W219" s="2" t="s">
        <v>1030</v>
      </c>
      <c r="X219" s="7"/>
      <c r="Y219" s="2" t="str">
        <f aca="false">IF(X219&lt;&gt;"",X219,T219)</f>
        <v>Duplicate</v>
      </c>
      <c r="Z219" s="2" t="str">
        <f aca="false">IF(OR(Y219="Primary",Y219="Additional phase",Y219="Additional application on site",Y219="Replaces earlier",Y219="Extension of duration (parent not in CIS)"),"Yes","No")</f>
        <v>No</v>
      </c>
      <c r="AA219" s="2"/>
      <c r="AB219" s="2" t="n">
        <f aca="false">IF(L219="","",ROUND((Method!$B$4-L219)/30.44,0))</f>
        <v>42</v>
      </c>
      <c r="AC219" s="2" t="str">
        <f aca="false">IF(AB219="","No",IF(AB219&gt;Method!$B$5,"Yes","No"))</f>
        <v>Yes</v>
      </c>
      <c r="AD219" s="22" t="n">
        <f aca="false">IF(BJ219&lt;&gt;"",BJ219,IF(K219&lt;&gt;"",EDATE(K219,60),""))</f>
        <v>46839</v>
      </c>
      <c r="AE219" s="2" t="str">
        <f aca="false">IF(AND(AD219&lt;&gt;"",OR(G219="Permission Granted",G219="Commencement Expected",G219="Stalled or Suspended")),IF(AD219&lt;Method!$B$4,"Yes","No"),"No")</f>
        <v>No</v>
      </c>
      <c r="AF219" s="7"/>
      <c r="AG219" s="2" t="str">
        <f aca="false">IF(Z219="No","Not counted",IF(AF219="Lapsed or dead","Excluded",IF(AF219="Constrained","Constrained / uncertain",IF(AF219="Confirmed live",IF(G219="On Site","Committed",IF(G219="Part Complete","Committed",IF(G219="Contract Awarded","Committed Pre-Construction",IF(G219="Tender","Advanced Pre-Construction",IF(G219="Commencement Expected","Likely",IF(G219="Permission Granted","Potential",IF(G219="Stalled or Suspended","Constrained / uncertain",IF(G219="Complete","Delivered","Application Pipeline")))))))),IF(G219="Complete","Delivered",IF(AND(OR(G219="Permission Granted",G219="Commencement Expected"),OR(AC219="Yes",AE219="Yes")),"Constrained / uncertain",IF(G219="On Site","Committed",IF(G219="Part Complete","Committed",IF(G219="Contract Awarded","Committed Pre-Construction",IF(G219="Tender","Advanced Pre-Construction",IF(G219="Commencement Expected","Likely",IF(G219="Permission Granted","Potential",IF(G219="Stalled or Suspended","Constrained / uncertain",IF(G219="Complete","Delivered","Application Pipeline"))))))))))))))</f>
        <v>Not counted</v>
      </c>
      <c r="AH219" s="2" t="str">
        <f aca="false">IF(Z219="No","Relationship: "&amp;Y219,IF(AF219&lt;&gt;"","Analyst: "&amp;AF219,IF(G219="Complete","Complete",IF(AND(OR(G219="Permission Granted",G219="Commencement Expected"),AE219="Yes"),"Past expiry",IF(AND(OR(G219="Permission Granted",G219="Commencement Expected"),AC219="Yes"),"No CIS update in "&amp;AB219&amp;" months","As CIS")))))</f>
        <v>Relationship: Duplicate</v>
      </c>
      <c r="AI219" s="10" t="n">
        <f aca="false">IF(Z219="Yes",N(Q219),0)</f>
        <v>0</v>
      </c>
      <c r="AJ219" s="10" t="n">
        <f aca="false">IF(OR(Z219="No",G219="Complete"),0,MAX(N(Q219)-N(AA219),0))</f>
        <v>0</v>
      </c>
      <c r="AK219" s="10" t="n">
        <f aca="false">IF(Z219="No",0,IF(G219="Complete",N(Q219),MIN(N(AA219),N(Q219))))</f>
        <v>0</v>
      </c>
      <c r="AL219" s="10" t="n">
        <f aca="false">IF(OR(OR(AG219="Not counted",AG219="Excluded",AG219="Delivered"),P219="Student accommodation"),0,AJ219)</f>
        <v>0</v>
      </c>
      <c r="AM219" s="10" t="n">
        <f aca="false">IF(OR(OR(AG219="Not counted",AG219="Excluded",AG219="Delivered"),P219&lt;&gt;"Student accommodation"),0,AJ219)</f>
        <v>0</v>
      </c>
      <c r="AN219" s="10" t="n">
        <f aca="false">IF(OR(AG219="Not counted",AG219="Excluded",AG219="Delivered"),0,N(S219))</f>
        <v>0</v>
      </c>
      <c r="AO219" s="2" t="s">
        <v>1157</v>
      </c>
      <c r="AP219" s="10"/>
      <c r="AQ219" s="10" t="n">
        <v>5</v>
      </c>
      <c r="AR219" s="10" t="n">
        <v>8</v>
      </c>
      <c r="AS219" s="10"/>
      <c r="AT219" s="10"/>
      <c r="AU219" s="10"/>
      <c r="AV219" s="10" t="n">
        <f aca="false">N(AP219)+N(AQ219)+N(AR219)+N(AS219)+N(AT219)+N(AU219)</f>
        <v>13</v>
      </c>
      <c r="AW219" s="10"/>
      <c r="AX219" s="10" t="n">
        <v>13</v>
      </c>
      <c r="AY219" s="10"/>
      <c r="AZ219" s="2"/>
      <c r="BA219" s="2" t="s">
        <v>1095</v>
      </c>
      <c r="BB219" s="2"/>
      <c r="BC219" s="2"/>
      <c r="BD219" s="2"/>
      <c r="BE219" s="2"/>
      <c r="BF219" s="2" t="s">
        <v>1095</v>
      </c>
      <c r="BG219" s="22"/>
      <c r="BH219" s="22"/>
      <c r="BI219" s="2"/>
      <c r="BJ219" s="22"/>
      <c r="BK219" s="2"/>
      <c r="BL219" s="2"/>
      <c r="BM219" s="2"/>
      <c r="BN219" s="2"/>
      <c r="BO219" s="2"/>
      <c r="BP219" s="2" t="str">
        <f aca="false">IF(OR(K219="",BG219=""),"",ROUND(BG219-K219,0))</f>
        <v/>
      </c>
      <c r="BQ219" s="2" t="str">
        <f aca="false">IF(OR(N(BK219)=0,Q219=""),"Not recorded",IF(BK219=Q219,"Match","Differs"))</f>
        <v>Not recorded</v>
      </c>
      <c r="BR219" s="2" t="str">
        <f aca="false">IF(N219="No","Excluded (non-residential)",IF(BF219="No reference","Unverified – no reference",IF(BF219="Not in council register","Unverified – not in register (Part 8 / other)",IF(OR(BF219="Refused",BF219="Refused on appeal",BF219="Withdrawn",BF219="Invalid",BF219="Quashed"),IF(OR(G219="Complete",G219="On Site",G219="Part Complete"),"Conflict – register not live but CIS says built","Conflict – not live in register"),IF(AND(G219="Plans Submitted",OR(BF219="Granted",BF219="Granted on appeal")),"Stage out of date – now granted",IF(AND(G219&lt;&gt;"Plans Submitted",OR(BF219="Pending",BF219="Under appeal")),"Check – register still pending",IF(N(BL219)&gt;Method!$B$7,"Check – location differs",IF(AND(BP219&lt;&gt;"",ABS(N(BP219))&gt;60),"Consistent – decision date differs","Consistent"))))))))</f>
        <v>Unverified – not in register (Part 8 / other)</v>
      </c>
      <c r="BS219" s="2"/>
      <c r="BT219" s="2"/>
      <c r="BU219" s="2"/>
      <c r="BV219" s="2"/>
      <c r="BW219" s="2"/>
      <c r="BX219" s="2"/>
    </row>
    <row r="220" customFormat="false" ht="15" hidden="false" customHeight="false" outlineLevel="0" collapsed="false">
      <c r="A220" s="2" t="n">
        <v>1409292</v>
      </c>
      <c r="B220" s="2" t="s">
        <v>327</v>
      </c>
      <c r="C220" s="2" t="s">
        <v>1862</v>
      </c>
      <c r="D220" s="2" t="s">
        <v>1863</v>
      </c>
      <c r="E220" s="2" t="s">
        <v>1864</v>
      </c>
      <c r="F220" s="2" t="s">
        <v>144</v>
      </c>
      <c r="G220" s="2" t="s">
        <v>187</v>
      </c>
      <c r="H220" s="2" t="s">
        <v>1014</v>
      </c>
      <c r="I220" s="2"/>
      <c r="J220" s="22" t="n">
        <v>45830</v>
      </c>
      <c r="K220" s="22" t="n">
        <v>46030</v>
      </c>
      <c r="L220" s="22" t="n">
        <v>46086.3701175116</v>
      </c>
      <c r="M220" s="2" t="s">
        <v>1016</v>
      </c>
      <c r="N220" s="2" t="s">
        <v>121</v>
      </c>
      <c r="O220" s="2"/>
      <c r="P220" s="2" t="s">
        <v>1017</v>
      </c>
      <c r="Q220" s="10" t="n">
        <v>6</v>
      </c>
      <c r="R220" s="10"/>
      <c r="S220" s="10"/>
      <c r="T220" s="2" t="s">
        <v>30</v>
      </c>
      <c r="U220" s="2"/>
      <c r="V220" s="2" t="s">
        <v>1080</v>
      </c>
      <c r="W220" s="2" t="s">
        <v>1020</v>
      </c>
      <c r="X220" s="7"/>
      <c r="Y220" s="2" t="str">
        <f aca="false">IF(X220&lt;&gt;"",X220,T220)</f>
        <v>Additional application on site</v>
      </c>
      <c r="Z220" s="2" t="str">
        <f aca="false">IF(OR(Y220="Primary",Y220="Additional phase",Y220="Additional application on site",Y220="Replaces earlier",Y220="Extension of duration (parent not in CIS)"),"Yes","No")</f>
        <v>Yes</v>
      </c>
      <c r="AA220" s="2"/>
      <c r="AB220" s="2" t="n">
        <f aca="false">IF(L220="","",ROUND((Method!$B$4-L220)/30.44,0))</f>
        <v>7</v>
      </c>
      <c r="AC220" s="2" t="str">
        <f aca="false">IF(AB220="","No",IF(AB220&gt;Method!$B$5,"Yes","No"))</f>
        <v>No</v>
      </c>
      <c r="AD220" s="22" t="n">
        <f aca="false">IF(BJ220&lt;&gt;"",BJ220,IF(K220&lt;&gt;"",EDATE(K220,60),""))</f>
        <v>47889</v>
      </c>
      <c r="AE220" s="2" t="str">
        <f aca="false">IF(AND(AD220&lt;&gt;"",OR(G220="Permission Granted",G220="Commencement Expected",G220="Stalled or Suspended")),IF(AD220&lt;Method!$B$4,"Yes","No"),"No")</f>
        <v>No</v>
      </c>
      <c r="AF220" s="7"/>
      <c r="AG220" s="2" t="str">
        <f aca="false">IF(Z220="No","Not counted",IF(AF220="Lapsed or dead","Excluded",IF(AF220="Constrained","Constrained / uncertain",IF(AF220="Confirmed live",IF(G220="On Site","Committed",IF(G220="Part Complete","Committed",IF(G220="Contract Awarded","Committed Pre-Construction",IF(G220="Tender","Advanced Pre-Construction",IF(G220="Commencement Expected","Likely",IF(G220="Permission Granted","Potential",IF(G220="Stalled or Suspended","Constrained / uncertain",IF(G220="Complete","Delivered","Application Pipeline")))))))),IF(G220="Complete","Delivered",IF(AND(OR(G220="Permission Granted",G220="Commencement Expected"),OR(AC220="Yes",AE220="Yes")),"Constrained / uncertain",IF(G220="On Site","Committed",IF(G220="Part Complete","Committed",IF(G220="Contract Awarded","Committed Pre-Construction",IF(G220="Tender","Advanced Pre-Construction",IF(G220="Commencement Expected","Likely",IF(G220="Permission Granted","Potential",IF(G220="Stalled or Suspended","Constrained / uncertain",IF(G220="Complete","Delivered","Application Pipeline"))))))))))))))</f>
        <v>Potential</v>
      </c>
      <c r="AH220" s="2" t="str">
        <f aca="false">IF(Z220="No","Relationship: "&amp;Y220,IF(AF220&lt;&gt;"","Analyst: "&amp;AF220,IF(G220="Complete","Complete",IF(AND(OR(G220="Permission Granted",G220="Commencement Expected"),AE220="Yes"),"Past expiry",IF(AND(OR(G220="Permission Granted",G220="Commencement Expected"),AC220="Yes"),"No CIS update in "&amp;AB220&amp;" months","As CIS")))))</f>
        <v>As CIS</v>
      </c>
      <c r="AI220" s="10" t="n">
        <f aca="false">IF(Z220="Yes",N(Q220),0)</f>
        <v>6</v>
      </c>
      <c r="AJ220" s="10" t="n">
        <f aca="false">IF(OR(Z220="No",G220="Complete"),0,MAX(N(Q220)-N(AA220),0))</f>
        <v>6</v>
      </c>
      <c r="AK220" s="10" t="n">
        <f aca="false">IF(Z220="No",0,IF(G220="Complete",N(Q220),MIN(N(AA220),N(Q220))))</f>
        <v>0</v>
      </c>
      <c r="AL220" s="10" t="n">
        <f aca="false">IF(OR(OR(AG220="Not counted",AG220="Excluded",AG220="Delivered"),P220="Student accommodation"),0,AJ220)</f>
        <v>6</v>
      </c>
      <c r="AM220" s="10" t="n">
        <f aca="false">IF(OR(OR(AG220="Not counted",AG220="Excluded",AG220="Delivered"),P220&lt;&gt;"Student accommodation"),0,AJ220)</f>
        <v>0</v>
      </c>
      <c r="AN220" s="10" t="n">
        <f aca="false">IF(OR(AG220="Not counted",AG220="Excluded",AG220="Delivered"),0,N(S220))</f>
        <v>0</v>
      </c>
      <c r="AO220" s="2" t="s">
        <v>1031</v>
      </c>
      <c r="AP220" s="10"/>
      <c r="AQ220" s="10" t="n">
        <v>6</v>
      </c>
      <c r="AR220" s="10"/>
      <c r="AS220" s="10"/>
      <c r="AT220" s="10"/>
      <c r="AU220" s="10"/>
      <c r="AV220" s="10" t="n">
        <f aca="false">N(AP220)+N(AQ220)+N(AR220)+N(AS220)+N(AT220)+N(AU220)</f>
        <v>6</v>
      </c>
      <c r="AW220" s="10"/>
      <c r="AX220" s="10" t="n">
        <v>6</v>
      </c>
      <c r="AY220" s="10"/>
      <c r="AZ220" s="2"/>
      <c r="BA220" s="2" t="s">
        <v>1022</v>
      </c>
      <c r="BB220" s="2" t="s">
        <v>1862</v>
      </c>
      <c r="BC220" s="2" t="s">
        <v>1023</v>
      </c>
      <c r="BD220" s="2" t="s">
        <v>1024</v>
      </c>
      <c r="BE220" s="2"/>
      <c r="BF220" s="2" t="s">
        <v>1025</v>
      </c>
      <c r="BG220" s="22" t="n">
        <v>46030</v>
      </c>
      <c r="BH220" s="22" t="n">
        <v>47889</v>
      </c>
      <c r="BI220" s="2"/>
      <c r="BJ220" s="22" t="n">
        <v>47889</v>
      </c>
      <c r="BK220" s="2"/>
      <c r="BL220" s="2" t="n">
        <v>0</v>
      </c>
      <c r="BM220" s="2"/>
      <c r="BN220" s="2" t="s">
        <v>1865</v>
      </c>
      <c r="BO220" s="23" t="s">
        <v>1866</v>
      </c>
      <c r="BP220" s="2" t="n">
        <f aca="false">IF(OR(K220="",BG220=""),"",ROUND(BG220-K220,0))</f>
        <v>0</v>
      </c>
      <c r="BQ220" s="2" t="str">
        <f aca="false">IF(OR(N(BK220)=0,Q220=""),"Not recorded",IF(BK220=Q220,"Match","Differs"))</f>
        <v>Not recorded</v>
      </c>
      <c r="BR220" s="2" t="str">
        <f aca="false">IF(N220="No","Excluded (non-residential)",IF(BF220="No reference","Unverified – no reference",IF(BF220="Not in council register","Unverified – not in register (Part 8 / other)",IF(OR(BF220="Refused",BF220="Refused on appeal",BF220="Withdrawn",BF220="Invalid",BF220="Quashed"),IF(OR(G220="Complete",G220="On Site",G220="Part Complete"),"Conflict – register not live but CIS says built","Conflict – not live in register"),IF(AND(G220="Plans Submitted",OR(BF220="Granted",BF220="Granted on appeal")),"Stage out of date – now granted",IF(AND(G220&lt;&gt;"Plans Submitted",OR(BF220="Pending",BF220="Under appeal")),"Check – register still pending",IF(N(BL220)&gt;Method!$B$7,"Check – location differs",IF(AND(BP220&lt;&gt;"",ABS(N(BP220))&gt;60),"Consistent – decision date differs","Consistent"))))))))</f>
        <v>Consistent</v>
      </c>
      <c r="BS220" s="2"/>
      <c r="BT220" s="2"/>
      <c r="BU220" s="2"/>
      <c r="BV220" s="2"/>
      <c r="BW220" s="2"/>
      <c r="BX220" s="2"/>
    </row>
    <row r="221" customFormat="false" ht="15" hidden="false" customHeight="false" outlineLevel="0" collapsed="false">
      <c r="A221" s="2" t="n">
        <v>1302251</v>
      </c>
      <c r="B221" s="2" t="s">
        <v>357</v>
      </c>
      <c r="C221" s="2" t="s">
        <v>1867</v>
      </c>
      <c r="D221" s="2" t="s">
        <v>358</v>
      </c>
      <c r="E221" s="2" t="s">
        <v>359</v>
      </c>
      <c r="F221" s="2" t="s">
        <v>144</v>
      </c>
      <c r="G221" s="2" t="s">
        <v>251</v>
      </c>
      <c r="H221" s="2" t="s">
        <v>1014</v>
      </c>
      <c r="I221" s="2" t="s">
        <v>1015</v>
      </c>
      <c r="J221" s="22" t="n">
        <v>45138</v>
      </c>
      <c r="K221" s="22" t="n">
        <v>45188</v>
      </c>
      <c r="L221" s="22" t="n">
        <v>45960.6440700579</v>
      </c>
      <c r="M221" s="2" t="s">
        <v>1016</v>
      </c>
      <c r="N221" s="2" t="s">
        <v>121</v>
      </c>
      <c r="O221" s="2"/>
      <c r="P221" s="2" t="s">
        <v>1017</v>
      </c>
      <c r="Q221" s="10" t="n">
        <v>4</v>
      </c>
      <c r="R221" s="10"/>
      <c r="S221" s="10"/>
      <c r="T221" s="2" t="s">
        <v>120</v>
      </c>
      <c r="U221" s="2"/>
      <c r="V221" s="2" t="s">
        <v>1029</v>
      </c>
      <c r="W221" s="2" t="s">
        <v>1030</v>
      </c>
      <c r="X221" s="7"/>
      <c r="Y221" s="2" t="str">
        <f aca="false">IF(X221&lt;&gt;"",X221,T221)</f>
        <v>Primary</v>
      </c>
      <c r="Z221" s="2" t="str">
        <f aca="false">IF(OR(Y221="Primary",Y221="Additional phase",Y221="Additional application on site",Y221="Replaces earlier",Y221="Extension of duration (parent not in CIS)"),"Yes","No")</f>
        <v>Yes</v>
      </c>
      <c r="AA221" s="2"/>
      <c r="AB221" s="2" t="n">
        <f aca="false">IF(L221="","",ROUND((Method!$B$4-L221)/30.44,0))</f>
        <v>11</v>
      </c>
      <c r="AC221" s="2" t="str">
        <f aca="false">IF(AB221="","No",IF(AB221&gt;Method!$B$5,"Yes","No"))</f>
        <v>No</v>
      </c>
      <c r="AD221" s="22" t="n">
        <f aca="false">IF(BJ221&lt;&gt;"",BJ221,IF(K221&lt;&gt;"",EDATE(K221,60),""))</f>
        <v>47049</v>
      </c>
      <c r="AE221" s="2" t="str">
        <f aca="false">IF(AND(AD221&lt;&gt;"",OR(G221="Permission Granted",G221="Commencement Expected",G221="Stalled or Suspended")),IF(AD221&lt;Method!$B$4,"Yes","No"),"No")</f>
        <v>No</v>
      </c>
      <c r="AF221" s="7"/>
      <c r="AG221" s="2" t="str">
        <f aca="false">IF(Z221="No","Not counted",IF(AF221="Lapsed or dead","Excluded",IF(AF221="Constrained","Constrained / uncertain",IF(AF221="Confirmed live",IF(G221="On Site","Committed",IF(G221="Part Complete","Committed",IF(G221="Contract Awarded","Committed Pre-Construction",IF(G221="Tender","Advanced Pre-Construction",IF(G221="Commencement Expected","Likely",IF(G221="Permission Granted","Potential",IF(G221="Stalled or Suspended","Constrained / uncertain",IF(G221="Complete","Delivered","Application Pipeline")))))))),IF(G221="Complete","Delivered",IF(AND(OR(G221="Permission Granted",G221="Commencement Expected"),OR(AC221="Yes",AE221="Yes")),"Constrained / uncertain",IF(G221="On Site","Committed",IF(G221="Part Complete","Committed",IF(G221="Contract Awarded","Committed Pre-Construction",IF(G221="Tender","Advanced Pre-Construction",IF(G221="Commencement Expected","Likely",IF(G221="Permission Granted","Potential",IF(G221="Stalled or Suspended","Constrained / uncertain",IF(G221="Complete","Delivered","Application Pipeline"))))))))))))))</f>
        <v>Delivered</v>
      </c>
      <c r="AH221" s="2" t="str">
        <f aca="false">IF(Z221="No","Relationship: "&amp;Y221,IF(AF221&lt;&gt;"","Analyst: "&amp;AF221,IF(G221="Complete","Complete",IF(AND(OR(G221="Permission Granted",G221="Commencement Expected"),AE221="Yes"),"Past expiry",IF(AND(OR(G221="Permission Granted",G221="Commencement Expected"),AC221="Yes"),"No CIS update in "&amp;AB221&amp;" months","As CIS")))))</f>
        <v>Complete</v>
      </c>
      <c r="AI221" s="10" t="n">
        <f aca="false">IF(Z221="Yes",N(Q221),0)</f>
        <v>4</v>
      </c>
      <c r="AJ221" s="10" t="n">
        <f aca="false">IF(OR(Z221="No",G221="Complete"),0,MAX(N(Q221)-N(AA221),0))</f>
        <v>0</v>
      </c>
      <c r="AK221" s="10" t="n">
        <f aca="false">IF(Z221="No",0,IF(G221="Complete",N(Q221),MIN(N(AA221),N(Q221))))</f>
        <v>4</v>
      </c>
      <c r="AL221" s="10" t="n">
        <f aca="false">IF(OR(OR(AG221="Not counted",AG221="Excluded",AG221="Delivered"),P221="Student accommodation"),0,AJ221)</f>
        <v>0</v>
      </c>
      <c r="AM221" s="10" t="n">
        <f aca="false">IF(OR(OR(AG221="Not counted",AG221="Excluded",AG221="Delivered"),P221&lt;&gt;"Student accommodation"),0,AJ221)</f>
        <v>0</v>
      </c>
      <c r="AN221" s="10" t="n">
        <f aca="false">IF(OR(AG221="Not counted",AG221="Excluded",AG221="Delivered"),0,N(S221))</f>
        <v>0</v>
      </c>
      <c r="AO221" s="2" t="s">
        <v>1021</v>
      </c>
      <c r="AP221" s="10"/>
      <c r="AQ221" s="10"/>
      <c r="AR221" s="10"/>
      <c r="AS221" s="10"/>
      <c r="AT221" s="10"/>
      <c r="AU221" s="10"/>
      <c r="AV221" s="10" t="n">
        <f aca="false">N(AP221)+N(AQ221)+N(AR221)+N(AS221)+N(AT221)+N(AU221)</f>
        <v>0</v>
      </c>
      <c r="AW221" s="10"/>
      <c r="AX221" s="10"/>
      <c r="AY221" s="10"/>
      <c r="AZ221" s="2"/>
      <c r="BA221" s="2" t="s">
        <v>1022</v>
      </c>
      <c r="BB221" s="2" t="s">
        <v>1867</v>
      </c>
      <c r="BC221" s="2" t="s">
        <v>1023</v>
      </c>
      <c r="BD221" s="2" t="s">
        <v>1024</v>
      </c>
      <c r="BE221" s="2"/>
      <c r="BF221" s="2" t="s">
        <v>1025</v>
      </c>
      <c r="BG221" s="22" t="n">
        <v>45188</v>
      </c>
      <c r="BH221" s="22" t="n">
        <v>47049</v>
      </c>
      <c r="BI221" s="2"/>
      <c r="BJ221" s="22" t="n">
        <v>47049</v>
      </c>
      <c r="BK221" s="2" t="n">
        <v>2</v>
      </c>
      <c r="BL221" s="2" t="n">
        <v>0</v>
      </c>
      <c r="BM221" s="2"/>
      <c r="BN221" s="2" t="s">
        <v>1868</v>
      </c>
      <c r="BO221" s="23" t="s">
        <v>1869</v>
      </c>
      <c r="BP221" s="2" t="n">
        <f aca="false">IF(OR(K221="",BG221=""),"",ROUND(BG221-K221,0))</f>
        <v>0</v>
      </c>
      <c r="BQ221" s="2" t="str">
        <f aca="false">IF(OR(N(BK221)=0,Q221=""),"Not recorded",IF(BK221=Q221,"Match","Differs"))</f>
        <v>Differs</v>
      </c>
      <c r="BR221" s="2" t="str">
        <f aca="false">IF(N221="No","Excluded (non-residential)",IF(BF221="No reference","Unverified – no reference",IF(BF221="Not in council register","Unverified – not in register (Part 8 / other)",IF(OR(BF221="Refused",BF221="Refused on appeal",BF221="Withdrawn",BF221="Invalid",BF221="Quashed"),IF(OR(G221="Complete",G221="On Site",G221="Part Complete"),"Conflict – register not live but CIS says built","Conflict – not live in register"),IF(AND(G221="Plans Submitted",OR(BF221="Granted",BF221="Granted on appeal")),"Stage out of date – now granted",IF(AND(G221&lt;&gt;"Plans Submitted",OR(BF221="Pending",BF221="Under appeal")),"Check – register still pending",IF(N(BL221)&gt;Method!$B$7,"Check – location differs",IF(AND(BP221&lt;&gt;"",ABS(N(BP221))&gt;60),"Consistent – decision date differs","Consistent"))))))))</f>
        <v>Consistent</v>
      </c>
      <c r="BS221" s="2"/>
      <c r="BT221" s="2"/>
      <c r="BU221" s="2"/>
      <c r="BV221" s="2"/>
      <c r="BW221" s="2"/>
      <c r="BX221" s="2"/>
    </row>
    <row r="222" customFormat="false" ht="15" hidden="false" customHeight="false" outlineLevel="0" collapsed="false">
      <c r="A222" s="2" t="n">
        <v>1316698</v>
      </c>
      <c r="B222" s="2" t="s">
        <v>357</v>
      </c>
      <c r="C222" s="2" t="s">
        <v>1870</v>
      </c>
      <c r="D222" s="2" t="s">
        <v>1871</v>
      </c>
      <c r="E222" s="2" t="s">
        <v>359</v>
      </c>
      <c r="F222" s="2" t="s">
        <v>144</v>
      </c>
      <c r="G222" s="2" t="s">
        <v>198</v>
      </c>
      <c r="H222" s="2" t="s">
        <v>1014</v>
      </c>
      <c r="I222" s="2" t="s">
        <v>198</v>
      </c>
      <c r="J222" s="22" t="n">
        <v>45232</v>
      </c>
      <c r="K222" s="22" t="n">
        <v>45596</v>
      </c>
      <c r="L222" s="22" t="n">
        <v>45855.4623172454</v>
      </c>
      <c r="M222" s="2" t="s">
        <v>1016</v>
      </c>
      <c r="N222" s="2" t="s">
        <v>121</v>
      </c>
      <c r="O222" s="2"/>
      <c r="P222" s="2" t="s">
        <v>1017</v>
      </c>
      <c r="Q222" s="10" t="n">
        <v>6</v>
      </c>
      <c r="R222" s="10"/>
      <c r="S222" s="10"/>
      <c r="T222" s="2" t="s">
        <v>28</v>
      </c>
      <c r="U222" s="2" t="s">
        <v>1867</v>
      </c>
      <c r="V222" s="2" t="s">
        <v>1872</v>
      </c>
      <c r="W222" s="2" t="s">
        <v>1498</v>
      </c>
      <c r="X222" s="7"/>
      <c r="Y222" s="2" t="str">
        <f aca="false">IF(X222&lt;&gt;"",X222,T222)</f>
        <v>Additional phase</v>
      </c>
      <c r="Z222" s="2" t="str">
        <f aca="false">IF(OR(Y222="Primary",Y222="Additional phase",Y222="Additional application on site",Y222="Replaces earlier",Y222="Extension of duration (parent not in CIS)"),"Yes","No")</f>
        <v>Yes</v>
      </c>
      <c r="AA222" s="2"/>
      <c r="AB222" s="2" t="n">
        <f aca="false">IF(L222="","",ROUND((Method!$B$4-L222)/30.44,0))</f>
        <v>14</v>
      </c>
      <c r="AC222" s="2" t="str">
        <f aca="false">IF(AB222="","No",IF(AB222&gt;Method!$B$5,"Yes","No"))</f>
        <v>No</v>
      </c>
      <c r="AD222" s="22" t="n">
        <f aca="false">IF(BJ222&lt;&gt;"",BJ222,IF(K222&lt;&gt;"",EDATE(K222,60),""))</f>
        <v>47421</v>
      </c>
      <c r="AE222" s="2" t="str">
        <f aca="false">IF(AND(AD222&lt;&gt;"",OR(G222="Permission Granted",G222="Commencement Expected",G222="Stalled or Suspended")),IF(AD222&lt;Method!$B$4,"Yes","No"),"No")</f>
        <v>No</v>
      </c>
      <c r="AF222" s="7"/>
      <c r="AG222" s="2" t="str">
        <f aca="false">IF(Z222="No","Not counted",IF(AF222="Lapsed or dead","Excluded",IF(AF222="Constrained","Constrained / uncertain",IF(AF222="Confirmed live",IF(G222="On Site","Committed",IF(G222="Part Complete","Committed",IF(G222="Contract Awarded","Committed Pre-Construction",IF(G222="Tender","Advanced Pre-Construction",IF(G222="Commencement Expected","Likely",IF(G222="Permission Granted","Potential",IF(G222="Stalled or Suspended","Constrained / uncertain",IF(G222="Complete","Delivered","Application Pipeline")))))))),IF(G222="Complete","Delivered",IF(AND(OR(G222="Permission Granted",G222="Commencement Expected"),OR(AC222="Yes",AE222="Yes")),"Constrained / uncertain",IF(G222="On Site","Committed",IF(G222="Part Complete","Committed",IF(G222="Contract Awarded","Committed Pre-Construction",IF(G222="Tender","Advanced Pre-Construction",IF(G222="Commencement Expected","Likely",IF(G222="Permission Granted","Potential",IF(G222="Stalled or Suspended","Constrained / uncertain",IF(G222="Complete","Delivered","Application Pipeline"))))))))))))))</f>
        <v>Committed</v>
      </c>
      <c r="AH222" s="2" t="str">
        <f aca="false">IF(Z222="No","Relationship: "&amp;Y222,IF(AF222&lt;&gt;"","Analyst: "&amp;AF222,IF(G222="Complete","Complete",IF(AND(OR(G222="Permission Granted",G222="Commencement Expected"),AE222="Yes"),"Past expiry",IF(AND(OR(G222="Permission Granted",G222="Commencement Expected"),AC222="Yes"),"No CIS update in "&amp;AB222&amp;" months","As CIS")))))</f>
        <v>As CIS</v>
      </c>
      <c r="AI222" s="10" t="n">
        <f aca="false">IF(Z222="Yes",N(Q222),0)</f>
        <v>6</v>
      </c>
      <c r="AJ222" s="10" t="n">
        <f aca="false">IF(OR(Z222="No",G222="Complete"),0,MAX(N(Q222)-N(AA222),0))</f>
        <v>6</v>
      </c>
      <c r="AK222" s="10" t="n">
        <f aca="false">IF(Z222="No",0,IF(G222="Complete",N(Q222),MIN(N(AA222),N(Q222))))</f>
        <v>0</v>
      </c>
      <c r="AL222" s="10" t="n">
        <f aca="false">IF(OR(OR(AG222="Not counted",AG222="Excluded",AG222="Delivered"),P222="Student accommodation"),0,AJ222)</f>
        <v>6</v>
      </c>
      <c r="AM222" s="10" t="n">
        <f aca="false">IF(OR(OR(AG222="Not counted",AG222="Excluded",AG222="Delivered"),P222&lt;&gt;"Student accommodation"),0,AJ222)</f>
        <v>0</v>
      </c>
      <c r="AN222" s="10" t="n">
        <f aca="false">IF(OR(AG222="Not counted",AG222="Excluded",AG222="Delivered"),0,N(S222))</f>
        <v>0</v>
      </c>
      <c r="AO222" s="2" t="s">
        <v>1031</v>
      </c>
      <c r="AP222" s="10"/>
      <c r="AQ222" s="10"/>
      <c r="AR222" s="10" t="n">
        <v>6</v>
      </c>
      <c r="AS222" s="10"/>
      <c r="AT222" s="10"/>
      <c r="AU222" s="10"/>
      <c r="AV222" s="10" t="n">
        <f aca="false">N(AP222)+N(AQ222)+N(AR222)+N(AS222)+N(AT222)+N(AU222)</f>
        <v>6</v>
      </c>
      <c r="AW222" s="10" t="n">
        <v>6</v>
      </c>
      <c r="AX222" s="10"/>
      <c r="AY222" s="10"/>
      <c r="AZ222" s="2"/>
      <c r="BA222" s="2" t="s">
        <v>1022</v>
      </c>
      <c r="BB222" s="2" t="s">
        <v>1870</v>
      </c>
      <c r="BC222" s="2" t="s">
        <v>1023</v>
      </c>
      <c r="BD222" s="2" t="s">
        <v>1024</v>
      </c>
      <c r="BE222" s="2"/>
      <c r="BF222" s="2" t="s">
        <v>1025</v>
      </c>
      <c r="BG222" s="22" t="n">
        <v>45560</v>
      </c>
      <c r="BH222" s="22" t="n">
        <v>47421</v>
      </c>
      <c r="BI222" s="2"/>
      <c r="BJ222" s="22" t="n">
        <v>47421</v>
      </c>
      <c r="BK222" s="2" t="n">
        <v>6</v>
      </c>
      <c r="BL222" s="2" t="n">
        <v>0</v>
      </c>
      <c r="BM222" s="2"/>
      <c r="BN222" s="2" t="s">
        <v>1873</v>
      </c>
      <c r="BO222" s="23" t="s">
        <v>1874</v>
      </c>
      <c r="BP222" s="2" t="n">
        <f aca="false">IF(OR(K222="",BG222=""),"",ROUND(BG222-K222,0))</f>
        <v>-36</v>
      </c>
      <c r="BQ222" s="2" t="str">
        <f aca="false">IF(OR(N(BK222)=0,Q222=""),"Not recorded",IF(BK222=Q222,"Match","Differs"))</f>
        <v>Match</v>
      </c>
      <c r="BR222" s="2" t="str">
        <f aca="false">IF(N222="No","Excluded (non-residential)",IF(BF222="No reference","Unverified – no reference",IF(BF222="Not in council register","Unverified – not in register (Part 8 / other)",IF(OR(BF222="Refused",BF222="Refused on appeal",BF222="Withdrawn",BF222="Invalid",BF222="Quashed"),IF(OR(G222="Complete",G222="On Site",G222="Part Complete"),"Conflict – register not live but CIS says built","Conflict – not live in register"),IF(AND(G222="Plans Submitted",OR(BF222="Granted",BF222="Granted on appeal")),"Stage out of date – now granted",IF(AND(G222&lt;&gt;"Plans Submitted",OR(BF222="Pending",BF222="Under appeal")),"Check – register still pending",IF(N(BL222)&gt;Method!$B$7,"Check – location differs",IF(AND(BP222&lt;&gt;"",ABS(N(BP222))&gt;60),"Consistent – decision date differs","Consistent"))))))))</f>
        <v>Consistent</v>
      </c>
      <c r="BS222" s="2"/>
      <c r="BT222" s="2"/>
      <c r="BU222" s="2"/>
      <c r="BV222" s="2"/>
      <c r="BW222" s="2"/>
      <c r="BX222" s="2"/>
    </row>
    <row r="223" customFormat="false" ht="15" hidden="false" customHeight="false" outlineLevel="0" collapsed="false">
      <c r="A223" s="2" t="n">
        <v>1326040</v>
      </c>
      <c r="B223" s="2" t="s">
        <v>381</v>
      </c>
      <c r="C223" s="2" t="s">
        <v>1875</v>
      </c>
      <c r="D223" s="2" t="s">
        <v>382</v>
      </c>
      <c r="E223" s="2" t="s">
        <v>383</v>
      </c>
      <c r="F223" s="2" t="s">
        <v>144</v>
      </c>
      <c r="G223" s="2" t="s">
        <v>198</v>
      </c>
      <c r="H223" s="2" t="s">
        <v>1014</v>
      </c>
      <c r="I223" s="2" t="s">
        <v>198</v>
      </c>
      <c r="J223" s="22" t="n">
        <v>45293</v>
      </c>
      <c r="K223" s="22" t="n">
        <v>45345</v>
      </c>
      <c r="L223" s="22" t="n">
        <v>45903.2971201389</v>
      </c>
      <c r="M223" s="2" t="s">
        <v>1016</v>
      </c>
      <c r="N223" s="2" t="s">
        <v>121</v>
      </c>
      <c r="O223" s="2"/>
      <c r="P223" s="2" t="s">
        <v>1017</v>
      </c>
      <c r="Q223" s="10" t="n">
        <v>3</v>
      </c>
      <c r="R223" s="10"/>
      <c r="S223" s="10"/>
      <c r="T223" s="2" t="s">
        <v>120</v>
      </c>
      <c r="U223" s="2"/>
      <c r="V223" s="2" t="s">
        <v>1029</v>
      </c>
      <c r="W223" s="2" t="s">
        <v>1030</v>
      </c>
      <c r="X223" s="7"/>
      <c r="Y223" s="2" t="str">
        <f aca="false">IF(X223&lt;&gt;"",X223,T223)</f>
        <v>Primary</v>
      </c>
      <c r="Z223" s="2" t="str">
        <f aca="false">IF(OR(Y223="Primary",Y223="Additional phase",Y223="Additional application on site",Y223="Replaces earlier",Y223="Extension of duration (parent not in CIS)"),"Yes","No")</f>
        <v>Yes</v>
      </c>
      <c r="AA223" s="2"/>
      <c r="AB223" s="2" t="n">
        <f aca="false">IF(L223="","",ROUND((Method!$B$4-L223)/30.44,0))</f>
        <v>13</v>
      </c>
      <c r="AC223" s="2" t="str">
        <f aca="false">IF(AB223="","No",IF(AB223&gt;Method!$B$5,"Yes","No"))</f>
        <v>No</v>
      </c>
      <c r="AD223" s="22" t="n">
        <f aca="false">IF(BJ223&lt;&gt;"",BJ223,IF(K223&lt;&gt;"",EDATE(K223,60),""))</f>
        <v>47203</v>
      </c>
      <c r="AE223" s="2" t="str">
        <f aca="false">IF(AND(AD223&lt;&gt;"",OR(G223="Permission Granted",G223="Commencement Expected",G223="Stalled or Suspended")),IF(AD223&lt;Method!$B$4,"Yes","No"),"No")</f>
        <v>No</v>
      </c>
      <c r="AF223" s="7"/>
      <c r="AG223" s="2" t="str">
        <f aca="false">IF(Z223="No","Not counted",IF(AF223="Lapsed or dead","Excluded",IF(AF223="Constrained","Constrained / uncertain",IF(AF223="Confirmed live",IF(G223="On Site","Committed",IF(G223="Part Complete","Committed",IF(G223="Contract Awarded","Committed Pre-Construction",IF(G223="Tender","Advanced Pre-Construction",IF(G223="Commencement Expected","Likely",IF(G223="Permission Granted","Potential",IF(G223="Stalled or Suspended","Constrained / uncertain",IF(G223="Complete","Delivered","Application Pipeline")))))))),IF(G223="Complete","Delivered",IF(AND(OR(G223="Permission Granted",G223="Commencement Expected"),OR(AC223="Yes",AE223="Yes")),"Constrained / uncertain",IF(G223="On Site","Committed",IF(G223="Part Complete","Committed",IF(G223="Contract Awarded","Committed Pre-Construction",IF(G223="Tender","Advanced Pre-Construction",IF(G223="Commencement Expected","Likely",IF(G223="Permission Granted","Potential",IF(G223="Stalled or Suspended","Constrained / uncertain",IF(G223="Complete","Delivered","Application Pipeline"))))))))))))))</f>
        <v>Committed</v>
      </c>
      <c r="AH223" s="2" t="str">
        <f aca="false">IF(Z223="No","Relationship: "&amp;Y223,IF(AF223&lt;&gt;"","Analyst: "&amp;AF223,IF(G223="Complete","Complete",IF(AND(OR(G223="Permission Granted",G223="Commencement Expected"),AE223="Yes"),"Past expiry",IF(AND(OR(G223="Permission Granted",G223="Commencement Expected"),AC223="Yes"),"No CIS update in "&amp;AB223&amp;" months","As CIS")))))</f>
        <v>As CIS</v>
      </c>
      <c r="AI223" s="10" t="n">
        <f aca="false">IF(Z223="Yes",N(Q223),0)</f>
        <v>3</v>
      </c>
      <c r="AJ223" s="10" t="n">
        <f aca="false">IF(OR(Z223="No",G223="Complete"),0,MAX(N(Q223)-N(AA223),0))</f>
        <v>3</v>
      </c>
      <c r="AK223" s="10" t="n">
        <f aca="false">IF(Z223="No",0,IF(G223="Complete",N(Q223),MIN(N(AA223),N(Q223))))</f>
        <v>0</v>
      </c>
      <c r="AL223" s="10" t="n">
        <f aca="false">IF(OR(OR(AG223="Not counted",AG223="Excluded",AG223="Delivered"),P223="Student accommodation"),0,AJ223)</f>
        <v>3</v>
      </c>
      <c r="AM223" s="10" t="n">
        <f aca="false">IF(OR(OR(AG223="Not counted",AG223="Excluded",AG223="Delivered"),P223&lt;&gt;"Student accommodation"),0,AJ223)</f>
        <v>0</v>
      </c>
      <c r="AN223" s="10" t="n">
        <f aca="false">IF(OR(AG223="Not counted",AG223="Excluded",AG223="Delivered"),0,N(S223))</f>
        <v>0</v>
      </c>
      <c r="AO223" s="2" t="s">
        <v>1021</v>
      </c>
      <c r="AP223" s="10"/>
      <c r="AQ223" s="10"/>
      <c r="AR223" s="10"/>
      <c r="AS223" s="10"/>
      <c r="AT223" s="10"/>
      <c r="AU223" s="10"/>
      <c r="AV223" s="10" t="n">
        <f aca="false">N(AP223)+N(AQ223)+N(AR223)+N(AS223)+N(AT223)+N(AU223)</f>
        <v>0</v>
      </c>
      <c r="AW223" s="10"/>
      <c r="AX223" s="10"/>
      <c r="AY223" s="10"/>
      <c r="AZ223" s="2"/>
      <c r="BA223" s="2" t="s">
        <v>1022</v>
      </c>
      <c r="BB223" s="2" t="s">
        <v>1875</v>
      </c>
      <c r="BC223" s="2" t="s">
        <v>1023</v>
      </c>
      <c r="BD223" s="2" t="s">
        <v>1024</v>
      </c>
      <c r="BE223" s="2"/>
      <c r="BF223" s="2" t="s">
        <v>1025</v>
      </c>
      <c r="BG223" s="22" t="n">
        <v>45345</v>
      </c>
      <c r="BH223" s="22" t="n">
        <v>47203</v>
      </c>
      <c r="BI223" s="2"/>
      <c r="BJ223" s="22" t="n">
        <v>47203</v>
      </c>
      <c r="BK223" s="2"/>
      <c r="BL223" s="2" t="n">
        <v>0</v>
      </c>
      <c r="BM223" s="2"/>
      <c r="BN223" s="2" t="s">
        <v>1876</v>
      </c>
      <c r="BO223" s="23" t="s">
        <v>1877</v>
      </c>
      <c r="BP223" s="2" t="n">
        <f aca="false">IF(OR(K223="",BG223=""),"",ROUND(BG223-K223,0))</f>
        <v>0</v>
      </c>
      <c r="BQ223" s="2" t="str">
        <f aca="false">IF(OR(N(BK223)=0,Q223=""),"Not recorded",IF(BK223=Q223,"Match","Differs"))</f>
        <v>Not recorded</v>
      </c>
      <c r="BR223" s="2" t="str">
        <f aca="false">IF(N223="No","Excluded (non-residential)",IF(BF223="No reference","Unverified – no reference",IF(BF223="Not in council register","Unverified – not in register (Part 8 / other)",IF(OR(BF223="Refused",BF223="Refused on appeal",BF223="Withdrawn",BF223="Invalid",BF223="Quashed"),IF(OR(G223="Complete",G223="On Site",G223="Part Complete"),"Conflict – register not live but CIS says built","Conflict – not live in register"),IF(AND(G223="Plans Submitted",OR(BF223="Granted",BF223="Granted on appeal")),"Stage out of date – now granted",IF(AND(G223&lt;&gt;"Plans Submitted",OR(BF223="Pending",BF223="Under appeal")),"Check – register still pending",IF(N(BL223)&gt;Method!$B$7,"Check – location differs",IF(AND(BP223&lt;&gt;"",ABS(N(BP223))&gt;60),"Consistent – decision date differs","Consistent"))))))))</f>
        <v>Consistent</v>
      </c>
      <c r="BS223" s="2"/>
      <c r="BT223" s="2"/>
      <c r="BU223" s="2"/>
      <c r="BV223" s="2"/>
      <c r="BW223" s="2"/>
      <c r="BX223" s="2"/>
    </row>
    <row r="224" customFormat="false" ht="15" hidden="false" customHeight="false" outlineLevel="0" collapsed="false">
      <c r="A224" s="2" t="n">
        <v>1327311</v>
      </c>
      <c r="B224" s="2" t="s">
        <v>381</v>
      </c>
      <c r="C224" s="2" t="s">
        <v>1878</v>
      </c>
      <c r="D224" s="2" t="s">
        <v>1879</v>
      </c>
      <c r="E224" s="2" t="s">
        <v>1880</v>
      </c>
      <c r="F224" s="2" t="s">
        <v>144</v>
      </c>
      <c r="G224" s="2" t="s">
        <v>198</v>
      </c>
      <c r="H224" s="2" t="s">
        <v>1014</v>
      </c>
      <c r="I224" s="2" t="s">
        <v>198</v>
      </c>
      <c r="J224" s="22" t="n">
        <v>45303</v>
      </c>
      <c r="K224" s="22" t="n">
        <v>45352</v>
      </c>
      <c r="L224" s="22" t="n">
        <v>45790.3528075232</v>
      </c>
      <c r="M224" s="2" t="s">
        <v>1016</v>
      </c>
      <c r="N224" s="2" t="s">
        <v>121</v>
      </c>
      <c r="O224" s="2"/>
      <c r="P224" s="2" t="s">
        <v>1017</v>
      </c>
      <c r="Q224" s="10" t="n">
        <v>8</v>
      </c>
      <c r="R224" s="10"/>
      <c r="S224" s="10"/>
      <c r="T224" s="2" t="s">
        <v>30</v>
      </c>
      <c r="U224" s="2"/>
      <c r="V224" s="2" t="s">
        <v>1080</v>
      </c>
      <c r="W224" s="2" t="s">
        <v>1020</v>
      </c>
      <c r="X224" s="7"/>
      <c r="Y224" s="2" t="str">
        <f aca="false">IF(X224&lt;&gt;"",X224,T224)</f>
        <v>Additional application on site</v>
      </c>
      <c r="Z224" s="2" t="str">
        <f aca="false">IF(OR(Y224="Primary",Y224="Additional phase",Y224="Additional application on site",Y224="Replaces earlier",Y224="Extension of duration (parent not in CIS)"),"Yes","No")</f>
        <v>Yes</v>
      </c>
      <c r="AA224" s="2"/>
      <c r="AB224" s="2" t="n">
        <f aca="false">IF(L224="","",ROUND((Method!$B$4-L224)/30.44,0))</f>
        <v>17</v>
      </c>
      <c r="AC224" s="2" t="str">
        <f aca="false">IF(AB224="","No",IF(AB224&gt;Method!$B$5,"Yes","No"))</f>
        <v>No</v>
      </c>
      <c r="AD224" s="22" t="n">
        <f aca="false">IF(BJ224&lt;&gt;"",BJ224,IF(K224&lt;&gt;"",EDATE(K224,60),""))</f>
        <v>47211</v>
      </c>
      <c r="AE224" s="2" t="str">
        <f aca="false">IF(AND(AD224&lt;&gt;"",OR(G224="Permission Granted",G224="Commencement Expected",G224="Stalled or Suspended")),IF(AD224&lt;Method!$B$4,"Yes","No"),"No")</f>
        <v>No</v>
      </c>
      <c r="AF224" s="7"/>
      <c r="AG224" s="2" t="str">
        <f aca="false">IF(Z224="No","Not counted",IF(AF224="Lapsed or dead","Excluded",IF(AF224="Constrained","Constrained / uncertain",IF(AF224="Confirmed live",IF(G224="On Site","Committed",IF(G224="Part Complete","Committed",IF(G224="Contract Awarded","Committed Pre-Construction",IF(G224="Tender","Advanced Pre-Construction",IF(G224="Commencement Expected","Likely",IF(G224="Permission Granted","Potential",IF(G224="Stalled or Suspended","Constrained / uncertain",IF(G224="Complete","Delivered","Application Pipeline")))))))),IF(G224="Complete","Delivered",IF(AND(OR(G224="Permission Granted",G224="Commencement Expected"),OR(AC224="Yes",AE224="Yes")),"Constrained / uncertain",IF(G224="On Site","Committed",IF(G224="Part Complete","Committed",IF(G224="Contract Awarded","Committed Pre-Construction",IF(G224="Tender","Advanced Pre-Construction",IF(G224="Commencement Expected","Likely",IF(G224="Permission Granted","Potential",IF(G224="Stalled or Suspended","Constrained / uncertain",IF(G224="Complete","Delivered","Application Pipeline"))))))))))))))</f>
        <v>Committed</v>
      </c>
      <c r="AH224" s="2" t="str">
        <f aca="false">IF(Z224="No","Relationship: "&amp;Y224,IF(AF224&lt;&gt;"","Analyst: "&amp;AF224,IF(G224="Complete","Complete",IF(AND(OR(G224="Permission Granted",G224="Commencement Expected"),AE224="Yes"),"Past expiry",IF(AND(OR(G224="Permission Granted",G224="Commencement Expected"),AC224="Yes"),"No CIS update in "&amp;AB224&amp;" months","As CIS")))))</f>
        <v>As CIS</v>
      </c>
      <c r="AI224" s="10" t="n">
        <f aca="false">IF(Z224="Yes",N(Q224),0)</f>
        <v>8</v>
      </c>
      <c r="AJ224" s="10" t="n">
        <f aca="false">IF(OR(Z224="No",G224="Complete"),0,MAX(N(Q224)-N(AA224),0))</f>
        <v>8</v>
      </c>
      <c r="AK224" s="10" t="n">
        <f aca="false">IF(Z224="No",0,IF(G224="Complete",N(Q224),MIN(N(AA224),N(Q224))))</f>
        <v>0</v>
      </c>
      <c r="AL224" s="10" t="n">
        <f aca="false">IF(OR(OR(AG224="Not counted",AG224="Excluded",AG224="Delivered"),P224="Student accommodation"),0,AJ224)</f>
        <v>8</v>
      </c>
      <c r="AM224" s="10" t="n">
        <f aca="false">IF(OR(OR(AG224="Not counted",AG224="Excluded",AG224="Delivered"),P224&lt;&gt;"Student accommodation"),0,AJ224)</f>
        <v>0</v>
      </c>
      <c r="AN224" s="10" t="n">
        <f aca="false">IF(OR(AG224="Not counted",AG224="Excluded",AG224="Delivered"),0,N(S224))</f>
        <v>0</v>
      </c>
      <c r="AO224" s="2" t="s">
        <v>1031</v>
      </c>
      <c r="AP224" s="10"/>
      <c r="AQ224" s="10" t="n">
        <v>7</v>
      </c>
      <c r="AR224" s="10" t="n">
        <v>1</v>
      </c>
      <c r="AS224" s="10"/>
      <c r="AT224" s="10"/>
      <c r="AU224" s="10"/>
      <c r="AV224" s="10" t="n">
        <f aca="false">N(AP224)+N(AQ224)+N(AR224)+N(AS224)+N(AT224)+N(AU224)</f>
        <v>8</v>
      </c>
      <c r="AW224" s="10"/>
      <c r="AX224" s="10" t="n">
        <v>8</v>
      </c>
      <c r="AY224" s="10"/>
      <c r="AZ224" s="2"/>
      <c r="BA224" s="2" t="s">
        <v>1022</v>
      </c>
      <c r="BB224" s="2" t="s">
        <v>1878</v>
      </c>
      <c r="BC224" s="2" t="s">
        <v>1023</v>
      </c>
      <c r="BD224" s="2" t="s">
        <v>1024</v>
      </c>
      <c r="BE224" s="2"/>
      <c r="BF224" s="2" t="s">
        <v>1025</v>
      </c>
      <c r="BG224" s="22" t="n">
        <v>45352</v>
      </c>
      <c r="BH224" s="22" t="n">
        <v>47211</v>
      </c>
      <c r="BI224" s="2"/>
      <c r="BJ224" s="22" t="n">
        <v>47211</v>
      </c>
      <c r="BK224" s="2"/>
      <c r="BL224" s="2" t="n">
        <v>0</v>
      </c>
      <c r="BM224" s="2"/>
      <c r="BN224" s="2" t="s">
        <v>1881</v>
      </c>
      <c r="BO224" s="23" t="s">
        <v>1882</v>
      </c>
      <c r="BP224" s="2" t="n">
        <f aca="false">IF(OR(K224="",BG224=""),"",ROUND(BG224-K224,0))</f>
        <v>0</v>
      </c>
      <c r="BQ224" s="2" t="str">
        <f aca="false">IF(OR(N(BK224)=0,Q224=""),"Not recorded",IF(BK224=Q224,"Match","Differs"))</f>
        <v>Not recorded</v>
      </c>
      <c r="BR224" s="2" t="str">
        <f aca="false">IF(N224="No","Excluded (non-residential)",IF(BF224="No reference","Unverified – no reference",IF(BF224="Not in council register","Unverified – not in register (Part 8 / other)",IF(OR(BF224="Refused",BF224="Refused on appeal",BF224="Withdrawn",BF224="Invalid",BF224="Quashed"),IF(OR(G224="Complete",G224="On Site",G224="Part Complete"),"Conflict – register not live but CIS says built","Conflict – not live in register"),IF(AND(G224="Plans Submitted",OR(BF224="Granted",BF224="Granted on appeal")),"Stage out of date – now granted",IF(AND(G224&lt;&gt;"Plans Submitted",OR(BF224="Pending",BF224="Under appeal")),"Check – register still pending",IF(N(BL224)&gt;Method!$B$7,"Check – location differs",IF(AND(BP224&lt;&gt;"",ABS(N(BP224))&gt;60),"Consistent – decision date differs","Consistent"))))))))</f>
        <v>Consistent</v>
      </c>
      <c r="BS224" s="2"/>
      <c r="BT224" s="2"/>
      <c r="BU224" s="2"/>
      <c r="BV224" s="2"/>
      <c r="BW224" s="2"/>
      <c r="BX224" s="2"/>
    </row>
    <row r="225" customFormat="false" ht="15" hidden="false" customHeight="false" outlineLevel="0" collapsed="false">
      <c r="A225" s="2" t="n">
        <v>1375631</v>
      </c>
      <c r="B225" s="2" t="s">
        <v>288</v>
      </c>
      <c r="C225" s="2" t="s">
        <v>1883</v>
      </c>
      <c r="D225" s="2" t="s">
        <v>289</v>
      </c>
      <c r="E225" s="2" t="s">
        <v>290</v>
      </c>
      <c r="F225" s="2" t="s">
        <v>139</v>
      </c>
      <c r="G225" s="2" t="s">
        <v>187</v>
      </c>
      <c r="H225" s="2" t="s">
        <v>1014</v>
      </c>
      <c r="I225" s="2"/>
      <c r="J225" s="22" t="n">
        <v>45573</v>
      </c>
      <c r="K225" s="22" t="n">
        <v>45628</v>
      </c>
      <c r="L225" s="22" t="n">
        <v>45608.2790172107</v>
      </c>
      <c r="M225" s="2" t="s">
        <v>1016</v>
      </c>
      <c r="N225" s="2" t="s">
        <v>121</v>
      </c>
      <c r="O225" s="2"/>
      <c r="P225" s="2" t="s">
        <v>1017</v>
      </c>
      <c r="Q225" s="10" t="n">
        <v>20</v>
      </c>
      <c r="R225" s="10"/>
      <c r="S225" s="10"/>
      <c r="T225" s="2" t="s">
        <v>123</v>
      </c>
      <c r="U225" s="2" t="s">
        <v>1884</v>
      </c>
      <c r="V225" s="2" t="s">
        <v>1885</v>
      </c>
      <c r="W225" s="2" t="s">
        <v>1030</v>
      </c>
      <c r="X225" s="7"/>
      <c r="Y225" s="2" t="str">
        <f aca="false">IF(X225&lt;&gt;"",X225,T225)</f>
        <v>Superseded</v>
      </c>
      <c r="Z225" s="2" t="str">
        <f aca="false">IF(OR(Y225="Primary",Y225="Additional phase",Y225="Additional application on site",Y225="Replaces earlier",Y225="Extension of duration (parent not in CIS)"),"Yes","No")</f>
        <v>No</v>
      </c>
      <c r="AA225" s="2"/>
      <c r="AB225" s="2" t="n">
        <f aca="false">IF(L225="","",ROUND((Method!$B$4-L225)/30.44,0))</f>
        <v>23</v>
      </c>
      <c r="AC225" s="2" t="str">
        <f aca="false">IF(AB225="","No",IF(AB225&gt;Method!$B$5,"Yes","No"))</f>
        <v>No</v>
      </c>
      <c r="AD225" s="22" t="n">
        <f aca="false">IF(BJ225&lt;&gt;"",BJ225,IF(K225&lt;&gt;"",EDATE(K225,60),""))</f>
        <v>47454</v>
      </c>
      <c r="AE225" s="2" t="str">
        <f aca="false">IF(AND(AD225&lt;&gt;"",OR(G225="Permission Granted",G225="Commencement Expected",G225="Stalled or Suspended")),IF(AD225&lt;Method!$B$4,"Yes","No"),"No")</f>
        <v>No</v>
      </c>
      <c r="AF225" s="7"/>
      <c r="AG225" s="2" t="str">
        <f aca="false">IF(Z225="No","Not counted",IF(AF225="Lapsed or dead","Excluded",IF(AF225="Constrained","Constrained / uncertain",IF(AF225="Confirmed live",IF(G225="On Site","Committed",IF(G225="Part Complete","Committed",IF(G225="Contract Awarded","Committed Pre-Construction",IF(G225="Tender","Advanced Pre-Construction",IF(G225="Commencement Expected","Likely",IF(G225="Permission Granted","Potential",IF(G225="Stalled or Suspended","Constrained / uncertain",IF(G225="Complete","Delivered","Application Pipeline")))))))),IF(G225="Complete","Delivered",IF(AND(OR(G225="Permission Granted",G225="Commencement Expected"),OR(AC225="Yes",AE225="Yes")),"Constrained / uncertain",IF(G225="On Site","Committed",IF(G225="Part Complete","Committed",IF(G225="Contract Awarded","Committed Pre-Construction",IF(G225="Tender","Advanced Pre-Construction",IF(G225="Commencement Expected","Likely",IF(G225="Permission Granted","Potential",IF(G225="Stalled or Suspended","Constrained / uncertain",IF(G225="Complete","Delivered","Application Pipeline"))))))))))))))</f>
        <v>Not counted</v>
      </c>
      <c r="AH225" s="2" t="str">
        <f aca="false">IF(Z225="No","Relationship: "&amp;Y225,IF(AF225&lt;&gt;"","Analyst: "&amp;AF225,IF(G225="Complete","Complete",IF(AND(OR(G225="Permission Granted",G225="Commencement Expected"),AE225="Yes"),"Past expiry",IF(AND(OR(G225="Permission Granted",G225="Commencement Expected"),AC225="Yes"),"No CIS update in "&amp;AB225&amp;" months","As CIS")))))</f>
        <v>Relationship: Superseded</v>
      </c>
      <c r="AI225" s="10" t="n">
        <f aca="false">IF(Z225="Yes",N(Q225),0)</f>
        <v>0</v>
      </c>
      <c r="AJ225" s="10" t="n">
        <f aca="false">IF(OR(Z225="No",G225="Complete"),0,MAX(N(Q225)-N(AA225),0))</f>
        <v>0</v>
      </c>
      <c r="AK225" s="10" t="n">
        <f aca="false">IF(Z225="No",0,IF(G225="Complete",N(Q225),MIN(N(AA225),N(Q225))))</f>
        <v>0</v>
      </c>
      <c r="AL225" s="10" t="n">
        <f aca="false">IF(OR(OR(AG225="Not counted",AG225="Excluded",AG225="Delivered"),P225="Student accommodation"),0,AJ225)</f>
        <v>0</v>
      </c>
      <c r="AM225" s="10" t="n">
        <f aca="false">IF(OR(OR(AG225="Not counted",AG225="Excluded",AG225="Delivered"),P225&lt;&gt;"Student accommodation"),0,AJ225)</f>
        <v>0</v>
      </c>
      <c r="AN225" s="10" t="n">
        <f aca="false">IF(OR(AG225="Not counted",AG225="Excluded",AG225="Delivered"),0,N(S225))</f>
        <v>0</v>
      </c>
      <c r="AO225" s="2" t="s">
        <v>1157</v>
      </c>
      <c r="AP225" s="10"/>
      <c r="AQ225" s="10" t="n">
        <v>1</v>
      </c>
      <c r="AR225" s="10" t="n">
        <v>17</v>
      </c>
      <c r="AS225" s="10"/>
      <c r="AT225" s="10"/>
      <c r="AU225" s="10" t="n">
        <v>2</v>
      </c>
      <c r="AV225" s="10" t="n">
        <f aca="false">N(AP225)+N(AQ225)+N(AR225)+N(AS225)+N(AT225)+N(AU225)</f>
        <v>20</v>
      </c>
      <c r="AW225" s="10" t="n">
        <v>20</v>
      </c>
      <c r="AX225" s="10"/>
      <c r="AY225" s="10"/>
      <c r="AZ225" s="2"/>
      <c r="BA225" s="2" t="s">
        <v>1095</v>
      </c>
      <c r="BB225" s="2"/>
      <c r="BC225" s="2"/>
      <c r="BD225" s="2"/>
      <c r="BE225" s="2"/>
      <c r="BF225" s="2" t="s">
        <v>1095</v>
      </c>
      <c r="BG225" s="22"/>
      <c r="BH225" s="22"/>
      <c r="BI225" s="2"/>
      <c r="BJ225" s="22"/>
      <c r="BK225" s="2"/>
      <c r="BL225" s="2"/>
      <c r="BM225" s="2"/>
      <c r="BN225" s="2"/>
      <c r="BO225" s="2"/>
      <c r="BP225" s="2" t="str">
        <f aca="false">IF(OR(K225="",BG225=""),"",ROUND(BG225-K225,0))</f>
        <v/>
      </c>
      <c r="BQ225" s="2" t="str">
        <f aca="false">IF(OR(N(BK225)=0,Q225=""),"Not recorded",IF(BK225=Q225,"Match","Differs"))</f>
        <v>Not recorded</v>
      </c>
      <c r="BR225" s="2" t="str">
        <f aca="false">IF(N225="No","Excluded (non-residential)",IF(BF225="No reference","Unverified – no reference",IF(BF225="Not in council register","Unverified – not in register (Part 8 / other)",IF(OR(BF225="Refused",BF225="Refused on appeal",BF225="Withdrawn",BF225="Invalid",BF225="Quashed"),IF(OR(G225="Complete",G225="On Site",G225="Part Complete"),"Conflict – register not live but CIS says built","Conflict – not live in register"),IF(AND(G225="Plans Submitted",OR(BF225="Granted",BF225="Granted on appeal")),"Stage out of date – now granted",IF(AND(G225&lt;&gt;"Plans Submitted",OR(BF225="Pending",BF225="Under appeal")),"Check – register still pending",IF(N(BL225)&gt;Method!$B$7,"Check – location differs",IF(AND(BP225&lt;&gt;"",ABS(N(BP225))&gt;60),"Consistent – decision date differs","Consistent"))))))))</f>
        <v>Unverified – not in register (Part 8 / other)</v>
      </c>
      <c r="BS225" s="2"/>
      <c r="BT225" s="2"/>
      <c r="BU225" s="2"/>
      <c r="BV225" s="2"/>
      <c r="BW225" s="2"/>
      <c r="BX225" s="2"/>
    </row>
    <row r="226" customFormat="false" ht="15" hidden="false" customHeight="false" outlineLevel="0" collapsed="false">
      <c r="A226" s="2" t="n">
        <v>1371977</v>
      </c>
      <c r="B226" s="2" t="s">
        <v>288</v>
      </c>
      <c r="C226" s="2" t="s">
        <v>1884</v>
      </c>
      <c r="D226" s="2" t="s">
        <v>1886</v>
      </c>
      <c r="E226" s="2" t="s">
        <v>290</v>
      </c>
      <c r="F226" s="2" t="s">
        <v>139</v>
      </c>
      <c r="G226" s="2" t="s">
        <v>187</v>
      </c>
      <c r="H226" s="2" t="s">
        <v>1014</v>
      </c>
      <c r="I226" s="2"/>
      <c r="J226" s="22" t="n">
        <v>45579</v>
      </c>
      <c r="K226" s="22" t="n">
        <v>45677</v>
      </c>
      <c r="L226" s="22" t="n">
        <v>45693.580934456</v>
      </c>
      <c r="M226" s="2" t="s">
        <v>1016</v>
      </c>
      <c r="N226" s="2" t="s">
        <v>121</v>
      </c>
      <c r="O226" s="2"/>
      <c r="P226" s="2" t="s">
        <v>1017</v>
      </c>
      <c r="Q226" s="10" t="n">
        <v>20</v>
      </c>
      <c r="R226" s="10"/>
      <c r="S226" s="10"/>
      <c r="T226" s="2" t="s">
        <v>24</v>
      </c>
      <c r="U226" s="2" t="s">
        <v>1883</v>
      </c>
      <c r="V226" s="2" t="s">
        <v>1887</v>
      </c>
      <c r="W226" s="2" t="s">
        <v>1498</v>
      </c>
      <c r="X226" s="7"/>
      <c r="Y226" s="2" t="str">
        <f aca="false">IF(X226&lt;&gt;"",X226,T226)</f>
        <v>Replaces earlier</v>
      </c>
      <c r="Z226" s="2" t="str">
        <f aca="false">IF(OR(Y226="Primary",Y226="Additional phase",Y226="Additional application on site",Y226="Replaces earlier",Y226="Extension of duration (parent not in CIS)"),"Yes","No")</f>
        <v>Yes</v>
      </c>
      <c r="AA226" s="2"/>
      <c r="AB226" s="2" t="n">
        <f aca="false">IF(L226="","",ROUND((Method!$B$4-L226)/30.44,0))</f>
        <v>20</v>
      </c>
      <c r="AC226" s="2" t="str">
        <f aca="false">IF(AB226="","No",IF(AB226&gt;Method!$B$5,"Yes","No"))</f>
        <v>No</v>
      </c>
      <c r="AD226" s="22" t="n">
        <f aca="false">IF(BJ226&lt;&gt;"",BJ226,IF(K226&lt;&gt;"",EDATE(K226,60),""))</f>
        <v>47503</v>
      </c>
      <c r="AE226" s="2" t="str">
        <f aca="false">IF(AND(AD226&lt;&gt;"",OR(G226="Permission Granted",G226="Commencement Expected",G226="Stalled or Suspended")),IF(AD226&lt;Method!$B$4,"Yes","No"),"No")</f>
        <v>No</v>
      </c>
      <c r="AF226" s="7"/>
      <c r="AG226" s="2" t="str">
        <f aca="false">IF(Z226="No","Not counted",IF(AF226="Lapsed or dead","Excluded",IF(AF226="Constrained","Constrained / uncertain",IF(AF226="Confirmed live",IF(G226="On Site","Committed",IF(G226="Part Complete","Committed",IF(G226="Contract Awarded","Committed Pre-Construction",IF(G226="Tender","Advanced Pre-Construction",IF(G226="Commencement Expected","Likely",IF(G226="Permission Granted","Potential",IF(G226="Stalled or Suspended","Constrained / uncertain",IF(G226="Complete","Delivered","Application Pipeline")))))))),IF(G226="Complete","Delivered",IF(AND(OR(G226="Permission Granted",G226="Commencement Expected"),OR(AC226="Yes",AE226="Yes")),"Constrained / uncertain",IF(G226="On Site","Committed",IF(G226="Part Complete","Committed",IF(G226="Contract Awarded","Committed Pre-Construction",IF(G226="Tender","Advanced Pre-Construction",IF(G226="Commencement Expected","Likely",IF(G226="Permission Granted","Potential",IF(G226="Stalled or Suspended","Constrained / uncertain",IF(G226="Complete","Delivered","Application Pipeline"))))))))))))))</f>
        <v>Potential</v>
      </c>
      <c r="AH226" s="2" t="str">
        <f aca="false">IF(Z226="No","Relationship: "&amp;Y226,IF(AF226&lt;&gt;"","Analyst: "&amp;AF226,IF(G226="Complete","Complete",IF(AND(OR(G226="Permission Granted",G226="Commencement Expected"),AE226="Yes"),"Past expiry",IF(AND(OR(G226="Permission Granted",G226="Commencement Expected"),AC226="Yes"),"No CIS update in "&amp;AB226&amp;" months","As CIS")))))</f>
        <v>As CIS</v>
      </c>
      <c r="AI226" s="10" t="n">
        <f aca="false">IF(Z226="Yes",N(Q226),0)</f>
        <v>20</v>
      </c>
      <c r="AJ226" s="10" t="n">
        <f aca="false">IF(OR(Z226="No",G226="Complete"),0,MAX(N(Q226)-N(AA226),0))</f>
        <v>20</v>
      </c>
      <c r="AK226" s="10" t="n">
        <f aca="false">IF(Z226="No",0,IF(G226="Complete",N(Q226),MIN(N(AA226),N(Q226))))</f>
        <v>0</v>
      </c>
      <c r="AL226" s="10" t="n">
        <f aca="false">IF(OR(OR(AG226="Not counted",AG226="Excluded",AG226="Delivered"),P226="Student accommodation"),0,AJ226)</f>
        <v>20</v>
      </c>
      <c r="AM226" s="10" t="n">
        <f aca="false">IF(OR(OR(AG226="Not counted",AG226="Excluded",AG226="Delivered"),P226&lt;&gt;"Student accommodation"),0,AJ226)</f>
        <v>0</v>
      </c>
      <c r="AN226" s="10" t="n">
        <f aca="false">IF(OR(AG226="Not counted",AG226="Excluded",AG226="Delivered"),0,N(S226))</f>
        <v>0</v>
      </c>
      <c r="AO226" s="2" t="s">
        <v>1157</v>
      </c>
      <c r="AP226" s="10"/>
      <c r="AQ226" s="10" t="n">
        <v>1</v>
      </c>
      <c r="AR226" s="10" t="n">
        <v>17</v>
      </c>
      <c r="AS226" s="10"/>
      <c r="AT226" s="10"/>
      <c r="AU226" s="10" t="n">
        <v>2</v>
      </c>
      <c r="AV226" s="10" t="n">
        <f aca="false">N(AP226)+N(AQ226)+N(AR226)+N(AS226)+N(AT226)+N(AU226)</f>
        <v>20</v>
      </c>
      <c r="AW226" s="10"/>
      <c r="AX226" s="10" t="n">
        <v>20</v>
      </c>
      <c r="AY226" s="10"/>
      <c r="AZ226" s="2"/>
      <c r="BA226" s="2" t="s">
        <v>1095</v>
      </c>
      <c r="BB226" s="2"/>
      <c r="BC226" s="2"/>
      <c r="BD226" s="2"/>
      <c r="BE226" s="2"/>
      <c r="BF226" s="2" t="s">
        <v>1095</v>
      </c>
      <c r="BG226" s="22"/>
      <c r="BH226" s="22"/>
      <c r="BI226" s="2"/>
      <c r="BJ226" s="22"/>
      <c r="BK226" s="2"/>
      <c r="BL226" s="2"/>
      <c r="BM226" s="2"/>
      <c r="BN226" s="2"/>
      <c r="BO226" s="2"/>
      <c r="BP226" s="2" t="str">
        <f aca="false">IF(OR(K226="",BG226=""),"",ROUND(BG226-K226,0))</f>
        <v/>
      </c>
      <c r="BQ226" s="2" t="str">
        <f aca="false">IF(OR(N(BK226)=0,Q226=""),"Not recorded",IF(BK226=Q226,"Match","Differs"))</f>
        <v>Not recorded</v>
      </c>
      <c r="BR226" s="2" t="str">
        <f aca="false">IF(N226="No","Excluded (non-residential)",IF(BF226="No reference","Unverified – no reference",IF(BF226="Not in council register","Unverified – not in register (Part 8 / other)",IF(OR(BF226="Refused",BF226="Refused on appeal",BF226="Withdrawn",BF226="Invalid",BF226="Quashed"),IF(OR(G226="Complete",G226="On Site",G226="Part Complete"),"Conflict – register not live but CIS says built","Conflict – not live in register"),IF(AND(G226="Plans Submitted",OR(BF226="Granted",BF226="Granted on appeal")),"Stage out of date – now granted",IF(AND(G226&lt;&gt;"Plans Submitted",OR(BF226="Pending",BF226="Under appeal")),"Check – register still pending",IF(N(BL226)&gt;Method!$B$7,"Check – location differs",IF(AND(BP226&lt;&gt;"",ABS(N(BP226))&gt;60),"Consistent – decision date differs","Consistent"))))))))</f>
        <v>Unverified – not in register (Part 8 / other)</v>
      </c>
      <c r="BS226" s="2"/>
      <c r="BT226" s="2"/>
      <c r="BU226" s="2"/>
      <c r="BV226" s="2"/>
      <c r="BW226" s="2"/>
      <c r="BX226" s="2"/>
    </row>
    <row r="227" customFormat="false" ht="15" hidden="false" customHeight="false" outlineLevel="0" collapsed="false">
      <c r="A227" s="2" t="n">
        <v>1403973</v>
      </c>
      <c r="B227" s="2" t="s">
        <v>288</v>
      </c>
      <c r="C227" s="2" t="s">
        <v>1888</v>
      </c>
      <c r="D227" s="2" t="s">
        <v>1889</v>
      </c>
      <c r="E227" s="2" t="s">
        <v>290</v>
      </c>
      <c r="F227" s="2" t="s">
        <v>139</v>
      </c>
      <c r="G227" s="2" t="s">
        <v>187</v>
      </c>
      <c r="H227" s="2" t="s">
        <v>1014</v>
      </c>
      <c r="I227" s="2"/>
      <c r="J227" s="22" t="n">
        <v>45786</v>
      </c>
      <c r="K227" s="22" t="n">
        <v>45996</v>
      </c>
      <c r="L227" s="22" t="n">
        <v>46135.5851678588</v>
      </c>
      <c r="M227" s="2" t="s">
        <v>1016</v>
      </c>
      <c r="N227" s="2" t="s">
        <v>121</v>
      </c>
      <c r="O227" s="2"/>
      <c r="P227" s="2" t="s">
        <v>1017</v>
      </c>
      <c r="Q227" s="10" t="n">
        <v>24</v>
      </c>
      <c r="R227" s="10" t="n">
        <v>24</v>
      </c>
      <c r="S227" s="10"/>
      <c r="T227" s="2" t="s">
        <v>30</v>
      </c>
      <c r="U227" s="2"/>
      <c r="V227" s="2" t="s">
        <v>1080</v>
      </c>
      <c r="W227" s="2" t="s">
        <v>1020</v>
      </c>
      <c r="X227" s="7"/>
      <c r="Y227" s="2" t="str">
        <f aca="false">IF(X227&lt;&gt;"",X227,T227)</f>
        <v>Additional application on site</v>
      </c>
      <c r="Z227" s="2" t="str">
        <f aca="false">IF(OR(Y227="Primary",Y227="Additional phase",Y227="Additional application on site",Y227="Replaces earlier",Y227="Extension of duration (parent not in CIS)"),"Yes","No")</f>
        <v>Yes</v>
      </c>
      <c r="AA227" s="2"/>
      <c r="AB227" s="2" t="n">
        <f aca="false">IF(L227="","",ROUND((Method!$B$4-L227)/30.44,0))</f>
        <v>5</v>
      </c>
      <c r="AC227" s="2" t="str">
        <f aca="false">IF(AB227="","No",IF(AB227&gt;Method!$B$5,"Yes","No"))</f>
        <v>No</v>
      </c>
      <c r="AD227" s="22" t="n">
        <f aca="false">IF(BJ227&lt;&gt;"",BJ227,IF(K227&lt;&gt;"",EDATE(K227,60),""))</f>
        <v>47951</v>
      </c>
      <c r="AE227" s="2" t="str">
        <f aca="false">IF(AND(AD227&lt;&gt;"",OR(G227="Permission Granted",G227="Commencement Expected",G227="Stalled or Suspended")),IF(AD227&lt;Method!$B$4,"Yes","No"),"No")</f>
        <v>No</v>
      </c>
      <c r="AF227" s="7"/>
      <c r="AG227" s="2" t="str">
        <f aca="false">IF(Z227="No","Not counted",IF(AF227="Lapsed or dead","Excluded",IF(AF227="Constrained","Constrained / uncertain",IF(AF227="Confirmed live",IF(G227="On Site","Committed",IF(G227="Part Complete","Committed",IF(G227="Contract Awarded","Committed Pre-Construction",IF(G227="Tender","Advanced Pre-Construction",IF(G227="Commencement Expected","Likely",IF(G227="Permission Granted","Potential",IF(G227="Stalled or Suspended","Constrained / uncertain",IF(G227="Complete","Delivered","Application Pipeline")))))))),IF(G227="Complete","Delivered",IF(AND(OR(G227="Permission Granted",G227="Commencement Expected"),OR(AC227="Yes",AE227="Yes")),"Constrained / uncertain",IF(G227="On Site","Committed",IF(G227="Part Complete","Committed",IF(G227="Contract Awarded","Committed Pre-Construction",IF(G227="Tender","Advanced Pre-Construction",IF(G227="Commencement Expected","Likely",IF(G227="Permission Granted","Potential",IF(G227="Stalled or Suspended","Constrained / uncertain",IF(G227="Complete","Delivered","Application Pipeline"))))))))))))))</f>
        <v>Potential</v>
      </c>
      <c r="AH227" s="2" t="str">
        <f aca="false">IF(Z227="No","Relationship: "&amp;Y227,IF(AF227&lt;&gt;"","Analyst: "&amp;AF227,IF(G227="Complete","Complete",IF(AND(OR(G227="Permission Granted",G227="Commencement Expected"),AE227="Yes"),"Past expiry",IF(AND(OR(G227="Permission Granted",G227="Commencement Expected"),AC227="Yes"),"No CIS update in "&amp;AB227&amp;" months","As CIS")))))</f>
        <v>As CIS</v>
      </c>
      <c r="AI227" s="10" t="n">
        <f aca="false">IF(Z227="Yes",N(Q227),0)</f>
        <v>24</v>
      </c>
      <c r="AJ227" s="10" t="n">
        <f aca="false">IF(OR(Z227="No",G227="Complete"),0,MAX(N(Q227)-N(AA227),0))</f>
        <v>24</v>
      </c>
      <c r="AK227" s="10" t="n">
        <f aca="false">IF(Z227="No",0,IF(G227="Complete",N(Q227),MIN(N(AA227),N(Q227))))</f>
        <v>0</v>
      </c>
      <c r="AL227" s="10" t="n">
        <f aca="false">IF(OR(OR(AG227="Not counted",AG227="Excluded",AG227="Delivered"),P227="Student accommodation"),0,AJ227)</f>
        <v>24</v>
      </c>
      <c r="AM227" s="10" t="n">
        <f aca="false">IF(OR(OR(AG227="Not counted",AG227="Excluded",AG227="Delivered"),P227&lt;&gt;"Student accommodation"),0,AJ227)</f>
        <v>0</v>
      </c>
      <c r="AN227" s="10" t="n">
        <f aca="false">IF(OR(AG227="Not counted",AG227="Excluded",AG227="Delivered"),0,N(S227))</f>
        <v>0</v>
      </c>
      <c r="AO227" s="2" t="s">
        <v>1157</v>
      </c>
      <c r="AP227" s="10"/>
      <c r="AQ227" s="10" t="n">
        <v>8</v>
      </c>
      <c r="AR227" s="10" t="n">
        <v>12</v>
      </c>
      <c r="AS227" s="10" t="n">
        <v>4</v>
      </c>
      <c r="AT227" s="10"/>
      <c r="AU227" s="10"/>
      <c r="AV227" s="10" t="n">
        <f aca="false">N(AP227)+N(AQ227)+N(AR227)+N(AS227)+N(AT227)+N(AU227)</f>
        <v>24</v>
      </c>
      <c r="AW227" s="10"/>
      <c r="AX227" s="10" t="n">
        <v>24</v>
      </c>
      <c r="AY227" s="10"/>
      <c r="AZ227" s="2"/>
      <c r="BA227" s="2" t="s">
        <v>1022</v>
      </c>
      <c r="BB227" s="2" t="s">
        <v>1888</v>
      </c>
      <c r="BC227" s="2" t="s">
        <v>1023</v>
      </c>
      <c r="BD227" s="2" t="s">
        <v>1024</v>
      </c>
      <c r="BE227" s="2" t="s">
        <v>1024</v>
      </c>
      <c r="BF227" s="2" t="s">
        <v>1059</v>
      </c>
      <c r="BG227" s="22" t="n">
        <v>45996</v>
      </c>
      <c r="BH227" s="22" t="n">
        <v>47951</v>
      </c>
      <c r="BI227" s="2"/>
      <c r="BJ227" s="22" t="n">
        <v>47951</v>
      </c>
      <c r="BK227" s="2"/>
      <c r="BL227" s="2" t="n">
        <v>0</v>
      </c>
      <c r="BM227" s="2"/>
      <c r="BN227" s="2" t="s">
        <v>1890</v>
      </c>
      <c r="BO227" s="23" t="s">
        <v>1891</v>
      </c>
      <c r="BP227" s="2" t="n">
        <f aca="false">IF(OR(K227="",BG227=""),"",ROUND(BG227-K227,0))</f>
        <v>0</v>
      </c>
      <c r="BQ227" s="2" t="str">
        <f aca="false">IF(OR(N(BK227)=0,Q227=""),"Not recorded",IF(BK227=Q227,"Match","Differs"))</f>
        <v>Not recorded</v>
      </c>
      <c r="BR227" s="2" t="str">
        <f aca="false">IF(N227="No","Excluded (non-residential)",IF(BF227="No reference","Unverified – no reference",IF(BF227="Not in council register","Unverified – not in register (Part 8 / other)",IF(OR(BF227="Refused",BF227="Refused on appeal",BF227="Withdrawn",BF227="Invalid",BF227="Quashed"),IF(OR(G227="Complete",G227="On Site",G227="Part Complete"),"Conflict – register not live but CIS says built","Conflict – not live in register"),IF(AND(G227="Plans Submitted",OR(BF227="Granted",BF227="Granted on appeal")),"Stage out of date – now granted",IF(AND(G227&lt;&gt;"Plans Submitted",OR(BF227="Pending",BF227="Under appeal")),"Check – register still pending",IF(N(BL227)&gt;Method!$B$7,"Check – location differs",IF(AND(BP227&lt;&gt;"",ABS(N(BP227))&gt;60),"Consistent – decision date differs","Consistent"))))))))</f>
        <v>Consistent</v>
      </c>
      <c r="BS227" s="2"/>
      <c r="BT227" s="2"/>
      <c r="BU227" s="2"/>
      <c r="BV227" s="2"/>
      <c r="BW227" s="2"/>
      <c r="BX227" s="2"/>
    </row>
    <row r="228" customFormat="false" ht="15" hidden="false" customHeight="false" outlineLevel="0" collapsed="false">
      <c r="A228" s="2" t="n">
        <v>1033981</v>
      </c>
      <c r="B228" s="2" t="s">
        <v>656</v>
      </c>
      <c r="C228" s="2" t="s">
        <v>1892</v>
      </c>
      <c r="D228" s="2" t="s">
        <v>657</v>
      </c>
      <c r="E228" s="2" t="s">
        <v>658</v>
      </c>
      <c r="F228" s="2" t="s">
        <v>137</v>
      </c>
      <c r="G228" s="2" t="s">
        <v>651</v>
      </c>
      <c r="H228" s="2" t="s">
        <v>1014</v>
      </c>
      <c r="I228" s="2" t="s">
        <v>651</v>
      </c>
      <c r="J228" s="22" t="n">
        <v>43524</v>
      </c>
      <c r="K228" s="22" t="n">
        <v>43601</v>
      </c>
      <c r="L228" s="22" t="n">
        <v>43524.3987383912</v>
      </c>
      <c r="M228" s="2" t="s">
        <v>1893</v>
      </c>
      <c r="N228" s="2" t="s">
        <v>121</v>
      </c>
      <c r="O228" s="2"/>
      <c r="P228" s="2" t="s">
        <v>1017</v>
      </c>
      <c r="Q228" s="10" t="n">
        <v>4</v>
      </c>
      <c r="R228" s="10"/>
      <c r="S228" s="10"/>
      <c r="T228" s="2" t="s">
        <v>120</v>
      </c>
      <c r="U228" s="2"/>
      <c r="V228" s="2" t="s">
        <v>1029</v>
      </c>
      <c r="W228" s="2" t="s">
        <v>1030</v>
      </c>
      <c r="X228" s="7"/>
      <c r="Y228" s="2" t="str">
        <f aca="false">IF(X228&lt;&gt;"",X228,T228)</f>
        <v>Primary</v>
      </c>
      <c r="Z228" s="2" t="str">
        <f aca="false">IF(OR(Y228="Primary",Y228="Additional phase",Y228="Additional application on site",Y228="Replaces earlier",Y228="Extension of duration (parent not in CIS)"),"Yes","No")</f>
        <v>Yes</v>
      </c>
      <c r="AA228" s="2"/>
      <c r="AB228" s="2" t="n">
        <f aca="false">IF(L228="","",ROUND((Method!$B$4-L228)/30.44,0))</f>
        <v>91</v>
      </c>
      <c r="AC228" s="2" t="str">
        <f aca="false">IF(AB228="","No",IF(AB228&gt;Method!$B$5,"Yes","No"))</f>
        <v>Yes</v>
      </c>
      <c r="AD228" s="22" t="n">
        <f aca="false">IF(BJ228&lt;&gt;"",BJ228,IF(K228&lt;&gt;"",EDATE(K228,60),""))</f>
        <v>45428</v>
      </c>
      <c r="AE228" s="2" t="str">
        <f aca="false">IF(AND(AD228&lt;&gt;"",OR(G228="Permission Granted",G228="Commencement Expected",G228="Stalled or Suspended")),IF(AD228&lt;Method!$B$4,"Yes","No"),"No")</f>
        <v>No</v>
      </c>
      <c r="AF228" s="7"/>
      <c r="AG228" s="2" t="str">
        <f aca="false">IF(Z228="No","Not counted",IF(AF228="Lapsed or dead","Excluded",IF(AF228="Constrained","Constrained / uncertain",IF(AF228="Confirmed live",IF(G228="On Site","Committed",IF(G228="Part Complete","Committed",IF(G228="Contract Awarded","Committed Pre-Construction",IF(G228="Tender","Advanced Pre-Construction",IF(G228="Commencement Expected","Likely",IF(G228="Permission Granted","Potential",IF(G228="Stalled or Suspended","Constrained / uncertain",IF(G228="Complete","Delivered","Application Pipeline")))))))),IF(G228="Complete","Delivered",IF(AND(OR(G228="Permission Granted",G228="Commencement Expected"),OR(AC228="Yes",AE228="Yes")),"Constrained / uncertain",IF(G228="On Site","Committed",IF(G228="Part Complete","Committed",IF(G228="Contract Awarded","Committed Pre-Construction",IF(G228="Tender","Advanced Pre-Construction",IF(G228="Commencement Expected","Likely",IF(G228="Permission Granted","Potential",IF(G228="Stalled or Suspended","Constrained / uncertain",IF(G228="Complete","Delivered","Application Pipeline"))))))))))))))</f>
        <v>Advanced Pre-Construction</v>
      </c>
      <c r="AH228" s="2" t="str">
        <f aca="false">IF(Z228="No","Relationship: "&amp;Y228,IF(AF228&lt;&gt;"","Analyst: "&amp;AF228,IF(G228="Complete","Complete",IF(AND(OR(G228="Permission Granted",G228="Commencement Expected"),AE228="Yes"),"Past expiry",IF(AND(OR(G228="Permission Granted",G228="Commencement Expected"),AC228="Yes"),"No CIS update in "&amp;AB228&amp;" months","As CIS")))))</f>
        <v>As CIS</v>
      </c>
      <c r="AI228" s="10" t="n">
        <f aca="false">IF(Z228="Yes",N(Q228),0)</f>
        <v>4</v>
      </c>
      <c r="AJ228" s="10" t="n">
        <f aca="false">IF(OR(Z228="No",G228="Complete"),0,MAX(N(Q228)-N(AA228),0))</f>
        <v>4</v>
      </c>
      <c r="AK228" s="10" t="n">
        <f aca="false">IF(Z228="No",0,IF(G228="Complete",N(Q228),MIN(N(AA228),N(Q228))))</f>
        <v>0</v>
      </c>
      <c r="AL228" s="10" t="n">
        <f aca="false">IF(OR(OR(AG228="Not counted",AG228="Excluded",AG228="Delivered"),P228="Student accommodation"),0,AJ228)</f>
        <v>4</v>
      </c>
      <c r="AM228" s="10" t="n">
        <f aca="false">IF(OR(OR(AG228="Not counted",AG228="Excluded",AG228="Delivered"),P228&lt;&gt;"Student accommodation"),0,AJ228)</f>
        <v>0</v>
      </c>
      <c r="AN228" s="10" t="n">
        <f aca="false">IF(OR(AG228="Not counted",AG228="Excluded",AG228="Delivered"),0,N(S228))</f>
        <v>0</v>
      </c>
      <c r="AO228" s="2" t="s">
        <v>1043</v>
      </c>
      <c r="AP228" s="10"/>
      <c r="AQ228" s="10"/>
      <c r="AR228" s="10"/>
      <c r="AS228" s="10"/>
      <c r="AT228" s="10"/>
      <c r="AU228" s="10"/>
      <c r="AV228" s="10" t="n">
        <f aca="false">N(AP228)+N(AQ228)+N(AR228)+N(AS228)+N(AT228)+N(AU228)</f>
        <v>0</v>
      </c>
      <c r="AW228" s="10"/>
      <c r="AX228" s="10"/>
      <c r="AY228" s="10"/>
      <c r="AZ228" s="2"/>
      <c r="BA228" s="2" t="s">
        <v>1095</v>
      </c>
      <c r="BB228" s="2"/>
      <c r="BC228" s="2"/>
      <c r="BD228" s="2"/>
      <c r="BE228" s="2"/>
      <c r="BF228" s="2" t="s">
        <v>1095</v>
      </c>
      <c r="BG228" s="22"/>
      <c r="BH228" s="22"/>
      <c r="BI228" s="2"/>
      <c r="BJ228" s="22"/>
      <c r="BK228" s="2"/>
      <c r="BL228" s="2"/>
      <c r="BM228" s="2"/>
      <c r="BN228" s="2"/>
      <c r="BO228" s="2"/>
      <c r="BP228" s="2" t="str">
        <f aca="false">IF(OR(K228="",BG228=""),"",ROUND(BG228-K228,0))</f>
        <v/>
      </c>
      <c r="BQ228" s="2" t="str">
        <f aca="false">IF(OR(N(BK228)=0,Q228=""),"Not recorded",IF(BK228=Q228,"Match","Differs"))</f>
        <v>Not recorded</v>
      </c>
      <c r="BR228" s="2" t="str">
        <f aca="false">IF(N228="No","Excluded (non-residential)",IF(BF228="No reference","Unverified – no reference",IF(BF228="Not in council register","Unverified – not in register (Part 8 / other)",IF(OR(BF228="Refused",BF228="Refused on appeal",BF228="Withdrawn",BF228="Invalid",BF228="Quashed"),IF(OR(G228="Complete",G228="On Site",G228="Part Complete"),"Conflict – register not live but CIS says built","Conflict – not live in register"),IF(AND(G228="Plans Submitted",OR(BF228="Granted",BF228="Granted on appeal")),"Stage out of date – now granted",IF(AND(G228&lt;&gt;"Plans Submitted",OR(BF228="Pending",BF228="Under appeal")),"Check – register still pending",IF(N(BL228)&gt;Method!$B$7,"Check – location differs",IF(AND(BP228&lt;&gt;"",ABS(N(BP228))&gt;60),"Consistent – decision date differs","Consistent"))))))))</f>
        <v>Unverified – not in register (Part 8 / other)</v>
      </c>
      <c r="BS228" s="2"/>
      <c r="BT228" s="2"/>
      <c r="BU228" s="2"/>
      <c r="BV228" s="2"/>
      <c r="BW228" s="2"/>
      <c r="BX228" s="2"/>
    </row>
    <row r="229" customFormat="false" ht="15" hidden="false" customHeight="false" outlineLevel="0" collapsed="false">
      <c r="A229" s="2" t="n">
        <v>1034286</v>
      </c>
      <c r="B229" s="2" t="s">
        <v>653</v>
      </c>
      <c r="C229" s="2" t="s">
        <v>1894</v>
      </c>
      <c r="D229" s="2" t="s">
        <v>654</v>
      </c>
      <c r="E229" s="2" t="s">
        <v>655</v>
      </c>
      <c r="F229" s="2" t="s">
        <v>144</v>
      </c>
      <c r="G229" s="2" t="s">
        <v>651</v>
      </c>
      <c r="H229" s="2" t="s">
        <v>1014</v>
      </c>
      <c r="I229" s="2" t="s">
        <v>651</v>
      </c>
      <c r="J229" s="22" t="n">
        <v>43516</v>
      </c>
      <c r="K229" s="22" t="n">
        <v>43685</v>
      </c>
      <c r="L229" s="22" t="n">
        <v>45251.3958996528</v>
      </c>
      <c r="M229" s="2" t="s">
        <v>1893</v>
      </c>
      <c r="N229" s="2" t="s">
        <v>121</v>
      </c>
      <c r="O229" s="2"/>
      <c r="P229" s="2" t="s">
        <v>1017</v>
      </c>
      <c r="Q229" s="10" t="n">
        <v>21</v>
      </c>
      <c r="R229" s="10"/>
      <c r="S229" s="10"/>
      <c r="T229" s="2" t="s">
        <v>120</v>
      </c>
      <c r="U229" s="2"/>
      <c r="V229" s="2" t="s">
        <v>1029</v>
      </c>
      <c r="W229" s="2" t="s">
        <v>1030</v>
      </c>
      <c r="X229" s="7"/>
      <c r="Y229" s="2" t="str">
        <f aca="false">IF(X229&lt;&gt;"",X229,T229)</f>
        <v>Primary</v>
      </c>
      <c r="Z229" s="2" t="str">
        <f aca="false">IF(OR(Y229="Primary",Y229="Additional phase",Y229="Additional application on site",Y229="Replaces earlier",Y229="Extension of duration (parent not in CIS)"),"Yes","No")</f>
        <v>Yes</v>
      </c>
      <c r="AA229" s="2"/>
      <c r="AB229" s="2" t="n">
        <f aca="false">IF(L229="","",ROUND((Method!$B$4-L229)/30.44,0))</f>
        <v>34</v>
      </c>
      <c r="AC229" s="2" t="str">
        <f aca="false">IF(AB229="","No",IF(AB229&gt;Method!$B$5,"Yes","No"))</f>
        <v>Yes</v>
      </c>
      <c r="AD229" s="22" t="n">
        <f aca="false">IF(BJ229&lt;&gt;"",BJ229,IF(K229&lt;&gt;"",EDATE(K229,60),""))</f>
        <v>45545</v>
      </c>
      <c r="AE229" s="2" t="str">
        <f aca="false">IF(AND(AD229&lt;&gt;"",OR(G229="Permission Granted",G229="Commencement Expected",G229="Stalled or Suspended")),IF(AD229&lt;Method!$B$4,"Yes","No"),"No")</f>
        <v>No</v>
      </c>
      <c r="AF229" s="7"/>
      <c r="AG229" s="2" t="str">
        <f aca="false">IF(Z229="No","Not counted",IF(AF229="Lapsed or dead","Excluded",IF(AF229="Constrained","Constrained / uncertain",IF(AF229="Confirmed live",IF(G229="On Site","Committed",IF(G229="Part Complete","Committed",IF(G229="Contract Awarded","Committed Pre-Construction",IF(G229="Tender","Advanced Pre-Construction",IF(G229="Commencement Expected","Likely",IF(G229="Permission Granted","Potential",IF(G229="Stalled or Suspended","Constrained / uncertain",IF(G229="Complete","Delivered","Application Pipeline")))))))),IF(G229="Complete","Delivered",IF(AND(OR(G229="Permission Granted",G229="Commencement Expected"),OR(AC229="Yes",AE229="Yes")),"Constrained / uncertain",IF(G229="On Site","Committed",IF(G229="Part Complete","Committed",IF(G229="Contract Awarded","Committed Pre-Construction",IF(G229="Tender","Advanced Pre-Construction",IF(G229="Commencement Expected","Likely",IF(G229="Permission Granted","Potential",IF(G229="Stalled or Suspended","Constrained / uncertain",IF(G229="Complete","Delivered","Application Pipeline"))))))))))))))</f>
        <v>Advanced Pre-Construction</v>
      </c>
      <c r="AH229" s="2" t="str">
        <f aca="false">IF(Z229="No","Relationship: "&amp;Y229,IF(AF229&lt;&gt;"","Analyst: "&amp;AF229,IF(G229="Complete","Complete",IF(AND(OR(G229="Permission Granted",G229="Commencement Expected"),AE229="Yes"),"Past expiry",IF(AND(OR(G229="Permission Granted",G229="Commencement Expected"),AC229="Yes"),"No CIS update in "&amp;AB229&amp;" months","As CIS")))))</f>
        <v>As CIS</v>
      </c>
      <c r="AI229" s="10" t="n">
        <f aca="false">IF(Z229="Yes",N(Q229),0)</f>
        <v>21</v>
      </c>
      <c r="AJ229" s="10" t="n">
        <f aca="false">IF(OR(Z229="No",G229="Complete"),0,MAX(N(Q229)-N(AA229),0))</f>
        <v>21</v>
      </c>
      <c r="AK229" s="10" t="n">
        <f aca="false">IF(Z229="No",0,IF(G229="Complete",N(Q229),MIN(N(AA229),N(Q229))))</f>
        <v>0</v>
      </c>
      <c r="AL229" s="10" t="n">
        <f aca="false">IF(OR(OR(AG229="Not counted",AG229="Excluded",AG229="Delivered"),P229="Student accommodation"),0,AJ229)</f>
        <v>21</v>
      </c>
      <c r="AM229" s="10" t="n">
        <f aca="false">IF(OR(OR(AG229="Not counted",AG229="Excluded",AG229="Delivered"),P229&lt;&gt;"Student accommodation"),0,AJ229)</f>
        <v>0</v>
      </c>
      <c r="AN229" s="10" t="n">
        <f aca="false">IF(OR(AG229="Not counted",AG229="Excluded",AG229="Delivered"),0,N(S229))</f>
        <v>0</v>
      </c>
      <c r="AO229" s="2" t="s">
        <v>1021</v>
      </c>
      <c r="AP229" s="10"/>
      <c r="AQ229" s="10"/>
      <c r="AR229" s="10"/>
      <c r="AS229" s="10"/>
      <c r="AT229" s="10"/>
      <c r="AU229" s="10"/>
      <c r="AV229" s="10" t="n">
        <f aca="false">N(AP229)+N(AQ229)+N(AR229)+N(AS229)+N(AT229)+N(AU229)</f>
        <v>0</v>
      </c>
      <c r="AW229" s="10"/>
      <c r="AX229" s="10"/>
      <c r="AY229" s="10"/>
      <c r="AZ229" s="2"/>
      <c r="BA229" s="2" t="s">
        <v>1022</v>
      </c>
      <c r="BB229" s="2" t="s">
        <v>1894</v>
      </c>
      <c r="BC229" s="2" t="s">
        <v>1023</v>
      </c>
      <c r="BD229" s="2" t="s">
        <v>1024</v>
      </c>
      <c r="BE229" s="2"/>
      <c r="BF229" s="2" t="s">
        <v>1025</v>
      </c>
      <c r="BG229" s="22" t="n">
        <v>43685</v>
      </c>
      <c r="BH229" s="22" t="n">
        <v>45545</v>
      </c>
      <c r="BI229" s="2"/>
      <c r="BJ229" s="22" t="n">
        <v>45545</v>
      </c>
      <c r="BK229" s="2"/>
      <c r="BL229" s="2" t="n">
        <v>0</v>
      </c>
      <c r="BM229" s="2"/>
      <c r="BN229" s="2" t="s">
        <v>1895</v>
      </c>
      <c r="BO229" s="23" t="s">
        <v>1896</v>
      </c>
      <c r="BP229" s="2" t="n">
        <f aca="false">IF(OR(K229="",BG229=""),"",ROUND(BG229-K229,0))</f>
        <v>0</v>
      </c>
      <c r="BQ229" s="2" t="str">
        <f aca="false">IF(OR(N(BK229)=0,Q229=""),"Not recorded",IF(BK229=Q229,"Match","Differs"))</f>
        <v>Not recorded</v>
      </c>
      <c r="BR229" s="2" t="str">
        <f aca="false">IF(N229="No","Excluded (non-residential)",IF(BF229="No reference","Unverified – no reference",IF(BF229="Not in council register","Unverified – not in register (Part 8 / other)",IF(OR(BF229="Refused",BF229="Refused on appeal",BF229="Withdrawn",BF229="Invalid",BF229="Quashed"),IF(OR(G229="Complete",G229="On Site",G229="Part Complete"),"Conflict – register not live but CIS says built","Conflict – not live in register"),IF(AND(G229="Plans Submitted",OR(BF229="Granted",BF229="Granted on appeal")),"Stage out of date – now granted",IF(AND(G229&lt;&gt;"Plans Submitted",OR(BF229="Pending",BF229="Under appeal")),"Check – register still pending",IF(N(BL229)&gt;Method!$B$7,"Check – location differs",IF(AND(BP229&lt;&gt;"",ABS(N(BP229))&gt;60),"Consistent – decision date differs","Consistent"))))))))</f>
        <v>Consistent</v>
      </c>
      <c r="BS229" s="2" t="n">
        <v>1937</v>
      </c>
      <c r="BT229" s="2" t="s">
        <v>1090</v>
      </c>
      <c r="BU229" s="2" t="s">
        <v>1897</v>
      </c>
      <c r="BV229" s="2" t="s">
        <v>1898</v>
      </c>
      <c r="BW229" s="2" t="s">
        <v>1899</v>
      </c>
      <c r="BX229" s="2" t="s">
        <v>1093</v>
      </c>
    </row>
    <row r="230" customFormat="false" ht="15" hidden="false" customHeight="false" outlineLevel="0" collapsed="false">
      <c r="A230" s="2" t="n">
        <v>1040199</v>
      </c>
      <c r="B230" s="2" t="s">
        <v>659</v>
      </c>
      <c r="C230" s="2" t="s">
        <v>1900</v>
      </c>
      <c r="D230" s="2" t="s">
        <v>660</v>
      </c>
      <c r="E230" s="2" t="s">
        <v>661</v>
      </c>
      <c r="F230" s="2" t="s">
        <v>139</v>
      </c>
      <c r="G230" s="2" t="s">
        <v>651</v>
      </c>
      <c r="H230" s="2" t="s">
        <v>1014</v>
      </c>
      <c r="I230" s="2" t="s">
        <v>651</v>
      </c>
      <c r="J230" s="22" t="n">
        <v>43553</v>
      </c>
      <c r="K230" s="22" t="n">
        <v>43602</v>
      </c>
      <c r="L230" s="22" t="n">
        <v>43738.4086684375</v>
      </c>
      <c r="M230" s="2" t="s">
        <v>1893</v>
      </c>
      <c r="N230" s="2" t="s">
        <v>121</v>
      </c>
      <c r="O230" s="2"/>
      <c r="P230" s="2" t="s">
        <v>1017</v>
      </c>
      <c r="Q230" s="10" t="n">
        <v>12</v>
      </c>
      <c r="R230" s="10" t="n">
        <v>7</v>
      </c>
      <c r="S230" s="10"/>
      <c r="T230" s="2" t="s">
        <v>120</v>
      </c>
      <c r="U230" s="2"/>
      <c r="V230" s="2" t="s">
        <v>1029</v>
      </c>
      <c r="W230" s="2" t="s">
        <v>1030</v>
      </c>
      <c r="X230" s="7"/>
      <c r="Y230" s="2" t="str">
        <f aca="false">IF(X230&lt;&gt;"",X230,T230)</f>
        <v>Primary</v>
      </c>
      <c r="Z230" s="2" t="str">
        <f aca="false">IF(OR(Y230="Primary",Y230="Additional phase",Y230="Additional application on site",Y230="Replaces earlier",Y230="Extension of duration (parent not in CIS)"),"Yes","No")</f>
        <v>Yes</v>
      </c>
      <c r="AA230" s="2"/>
      <c r="AB230" s="2" t="n">
        <f aca="false">IF(L230="","",ROUND((Method!$B$4-L230)/30.44,0))</f>
        <v>84</v>
      </c>
      <c r="AC230" s="2" t="str">
        <f aca="false">IF(AB230="","No",IF(AB230&gt;Method!$B$5,"Yes","No"))</f>
        <v>Yes</v>
      </c>
      <c r="AD230" s="22" t="n">
        <f aca="false">IF(BJ230&lt;&gt;"",BJ230,IF(K230&lt;&gt;"",EDATE(K230,60),""))</f>
        <v>45461</v>
      </c>
      <c r="AE230" s="2" t="str">
        <f aca="false">IF(AND(AD230&lt;&gt;"",OR(G230="Permission Granted",G230="Commencement Expected",G230="Stalled or Suspended")),IF(AD230&lt;Method!$B$4,"Yes","No"),"No")</f>
        <v>No</v>
      </c>
      <c r="AF230" s="7"/>
      <c r="AG230" s="2" t="str">
        <f aca="false">IF(Z230="No","Not counted",IF(AF230="Lapsed or dead","Excluded",IF(AF230="Constrained","Constrained / uncertain",IF(AF230="Confirmed live",IF(G230="On Site","Committed",IF(G230="Part Complete","Committed",IF(G230="Contract Awarded","Committed Pre-Construction",IF(G230="Tender","Advanced Pre-Construction",IF(G230="Commencement Expected","Likely",IF(G230="Permission Granted","Potential",IF(G230="Stalled or Suspended","Constrained / uncertain",IF(G230="Complete","Delivered","Application Pipeline")))))))),IF(G230="Complete","Delivered",IF(AND(OR(G230="Permission Granted",G230="Commencement Expected"),OR(AC230="Yes",AE230="Yes")),"Constrained / uncertain",IF(G230="On Site","Committed",IF(G230="Part Complete","Committed",IF(G230="Contract Awarded","Committed Pre-Construction",IF(G230="Tender","Advanced Pre-Construction",IF(G230="Commencement Expected","Likely",IF(G230="Permission Granted","Potential",IF(G230="Stalled or Suspended","Constrained / uncertain",IF(G230="Complete","Delivered","Application Pipeline"))))))))))))))</f>
        <v>Advanced Pre-Construction</v>
      </c>
      <c r="AH230" s="2" t="str">
        <f aca="false">IF(Z230="No","Relationship: "&amp;Y230,IF(AF230&lt;&gt;"","Analyst: "&amp;AF230,IF(G230="Complete","Complete",IF(AND(OR(G230="Permission Granted",G230="Commencement Expected"),AE230="Yes"),"Past expiry",IF(AND(OR(G230="Permission Granted",G230="Commencement Expected"),AC230="Yes"),"No CIS update in "&amp;AB230&amp;" months","As CIS")))))</f>
        <v>As CIS</v>
      </c>
      <c r="AI230" s="10" t="n">
        <f aca="false">IF(Z230="Yes",N(Q230),0)</f>
        <v>12</v>
      </c>
      <c r="AJ230" s="10" t="n">
        <f aca="false">IF(OR(Z230="No",G230="Complete"),0,MAX(N(Q230)-N(AA230),0))</f>
        <v>12</v>
      </c>
      <c r="AK230" s="10" t="n">
        <f aca="false">IF(Z230="No",0,IF(G230="Complete",N(Q230),MIN(N(AA230),N(Q230))))</f>
        <v>0</v>
      </c>
      <c r="AL230" s="10" t="n">
        <f aca="false">IF(OR(OR(AG230="Not counted",AG230="Excluded",AG230="Delivered"),P230="Student accommodation"),0,AJ230)</f>
        <v>12</v>
      </c>
      <c r="AM230" s="10" t="n">
        <f aca="false">IF(OR(OR(AG230="Not counted",AG230="Excluded",AG230="Delivered"),P230&lt;&gt;"Student accommodation"),0,AJ230)</f>
        <v>0</v>
      </c>
      <c r="AN230" s="10" t="n">
        <f aca="false">IF(OR(AG230="Not counted",AG230="Excluded",AG230="Delivered"),0,N(S230))</f>
        <v>0</v>
      </c>
      <c r="AO230" s="2" t="s">
        <v>1031</v>
      </c>
      <c r="AP230" s="10"/>
      <c r="AQ230" s="10" t="n">
        <v>5</v>
      </c>
      <c r="AR230" s="10" t="n">
        <v>2</v>
      </c>
      <c r="AS230" s="10"/>
      <c r="AT230" s="10"/>
      <c r="AU230" s="10"/>
      <c r="AV230" s="10" t="n">
        <f aca="false">N(AP230)+N(AQ230)+N(AR230)+N(AS230)+N(AT230)+N(AU230)</f>
        <v>7</v>
      </c>
      <c r="AW230" s="10"/>
      <c r="AX230" s="10"/>
      <c r="AY230" s="10" t="n">
        <v>7</v>
      </c>
      <c r="AZ230" s="2"/>
      <c r="BA230" s="2" t="s">
        <v>1022</v>
      </c>
      <c r="BB230" s="2" t="s">
        <v>1900</v>
      </c>
      <c r="BC230" s="2" t="s">
        <v>1023</v>
      </c>
      <c r="BD230" s="2" t="s">
        <v>1024</v>
      </c>
      <c r="BE230" s="2"/>
      <c r="BF230" s="2" t="s">
        <v>1025</v>
      </c>
      <c r="BG230" s="22" t="n">
        <v>43602</v>
      </c>
      <c r="BH230" s="22" t="n">
        <v>45461</v>
      </c>
      <c r="BI230" s="2"/>
      <c r="BJ230" s="22" t="n">
        <v>45461</v>
      </c>
      <c r="BK230" s="2"/>
      <c r="BL230" s="2" t="n">
        <v>0</v>
      </c>
      <c r="BM230" s="2"/>
      <c r="BN230" s="2" t="s">
        <v>1901</v>
      </c>
      <c r="BO230" s="23" t="s">
        <v>1902</v>
      </c>
      <c r="BP230" s="2" t="n">
        <f aca="false">IF(OR(K230="",BG230=""),"",ROUND(BG230-K230,0))</f>
        <v>0</v>
      </c>
      <c r="BQ230" s="2" t="str">
        <f aca="false">IF(OR(N(BK230)=0,Q230=""),"Not recorded",IF(BK230=Q230,"Match","Differs"))</f>
        <v>Not recorded</v>
      </c>
      <c r="BR230" s="2" t="str">
        <f aca="false">IF(N230="No","Excluded (non-residential)",IF(BF230="No reference","Unverified – no reference",IF(BF230="Not in council register","Unverified – not in register (Part 8 / other)",IF(OR(BF230="Refused",BF230="Refused on appeal",BF230="Withdrawn",BF230="Invalid",BF230="Quashed"),IF(OR(G230="Complete",G230="On Site",G230="Part Complete"),"Conflict – register not live but CIS says built","Conflict – not live in register"),IF(AND(G230="Plans Submitted",OR(BF230="Granted",BF230="Granted on appeal")),"Stage out of date – now granted",IF(AND(G230&lt;&gt;"Plans Submitted",OR(BF230="Pending",BF230="Under appeal")),"Check – register still pending",IF(N(BL230)&gt;Method!$B$7,"Check – location differs",IF(AND(BP230&lt;&gt;"",ABS(N(BP230))&gt;60),"Consistent – decision date differs","Consistent"))))))))</f>
        <v>Consistent</v>
      </c>
      <c r="BS230" s="2"/>
      <c r="BT230" s="2"/>
      <c r="BU230" s="2"/>
      <c r="BV230" s="2"/>
      <c r="BW230" s="2"/>
      <c r="BX230" s="2"/>
    </row>
    <row r="231" customFormat="false" ht="15" hidden="false" customHeight="false" outlineLevel="0" collapsed="false">
      <c r="A231" s="2" t="n">
        <v>1157017</v>
      </c>
      <c r="B231" s="2" t="s">
        <v>662</v>
      </c>
      <c r="C231" s="2" t="s">
        <v>1903</v>
      </c>
      <c r="D231" s="2" t="s">
        <v>663</v>
      </c>
      <c r="E231" s="2" t="s">
        <v>664</v>
      </c>
      <c r="F231" s="2" t="s">
        <v>140</v>
      </c>
      <c r="G231" s="2" t="s">
        <v>198</v>
      </c>
      <c r="H231" s="2" t="s">
        <v>1014</v>
      </c>
      <c r="I231" s="2" t="s">
        <v>198</v>
      </c>
      <c r="J231" s="22" t="n">
        <v>44280</v>
      </c>
      <c r="K231" s="22" t="n">
        <v>45099</v>
      </c>
      <c r="L231" s="22" t="n">
        <v>45855</v>
      </c>
      <c r="M231" s="2" t="s">
        <v>1904</v>
      </c>
      <c r="N231" s="2" t="s">
        <v>121</v>
      </c>
      <c r="O231" s="2"/>
      <c r="P231" s="2" t="s">
        <v>1017</v>
      </c>
      <c r="Q231" s="10" t="n">
        <v>12</v>
      </c>
      <c r="R231" s="10" t="n">
        <v>12</v>
      </c>
      <c r="S231" s="10"/>
      <c r="T231" s="2" t="s">
        <v>120</v>
      </c>
      <c r="U231" s="2"/>
      <c r="V231" s="2" t="s">
        <v>1029</v>
      </c>
      <c r="W231" s="2" t="s">
        <v>1030</v>
      </c>
      <c r="X231" s="7"/>
      <c r="Y231" s="2" t="str">
        <f aca="false">IF(X231&lt;&gt;"",X231,T231)</f>
        <v>Primary</v>
      </c>
      <c r="Z231" s="2" t="str">
        <f aca="false">IF(OR(Y231="Primary",Y231="Additional phase",Y231="Additional application on site",Y231="Replaces earlier",Y231="Extension of duration (parent not in CIS)"),"Yes","No")</f>
        <v>Yes</v>
      </c>
      <c r="AA231" s="2"/>
      <c r="AB231" s="2" t="n">
        <f aca="false">IF(L231="","",ROUND((Method!$B$4-L231)/30.44,0))</f>
        <v>14</v>
      </c>
      <c r="AC231" s="2" t="str">
        <f aca="false">IF(AB231="","No",IF(AB231&gt;Method!$B$5,"Yes","No"))</f>
        <v>No</v>
      </c>
      <c r="AD231" s="22" t="n">
        <f aca="false">IF(BJ231&lt;&gt;"",BJ231,IF(K231&lt;&gt;"",EDATE(K231,60),""))</f>
        <v>46925</v>
      </c>
      <c r="AE231" s="2" t="str">
        <f aca="false">IF(AND(AD231&lt;&gt;"",OR(G231="Permission Granted",G231="Commencement Expected",G231="Stalled or Suspended")),IF(AD231&lt;Method!$B$4,"Yes","No"),"No")</f>
        <v>No</v>
      </c>
      <c r="AF231" s="7"/>
      <c r="AG231" s="2" t="str">
        <f aca="false">IF(Z231="No","Not counted",IF(AF231="Lapsed or dead","Excluded",IF(AF231="Constrained","Constrained / uncertain",IF(AF231="Confirmed live",IF(G231="On Site","Committed",IF(G231="Part Complete","Committed",IF(G231="Contract Awarded","Committed Pre-Construction",IF(G231="Tender","Advanced Pre-Construction",IF(G231="Commencement Expected","Likely",IF(G231="Permission Granted","Potential",IF(G231="Stalled or Suspended","Constrained / uncertain",IF(G231="Complete","Delivered","Application Pipeline")))))))),IF(G231="Complete","Delivered",IF(AND(OR(G231="Permission Granted",G231="Commencement Expected"),OR(AC231="Yes",AE231="Yes")),"Constrained / uncertain",IF(G231="On Site","Committed",IF(G231="Part Complete","Committed",IF(G231="Contract Awarded","Committed Pre-Construction",IF(G231="Tender","Advanced Pre-Construction",IF(G231="Commencement Expected","Likely",IF(G231="Permission Granted","Potential",IF(G231="Stalled or Suspended","Constrained / uncertain",IF(G231="Complete","Delivered","Application Pipeline"))))))))))))))</f>
        <v>Committed</v>
      </c>
      <c r="AH231" s="2" t="str">
        <f aca="false">IF(Z231="No","Relationship: "&amp;Y231,IF(AF231&lt;&gt;"","Analyst: "&amp;AF231,IF(G231="Complete","Complete",IF(AND(OR(G231="Permission Granted",G231="Commencement Expected"),AE231="Yes"),"Past expiry",IF(AND(OR(G231="Permission Granted",G231="Commencement Expected"),AC231="Yes"),"No CIS update in "&amp;AB231&amp;" months","As CIS")))))</f>
        <v>As CIS</v>
      </c>
      <c r="AI231" s="10" t="n">
        <f aca="false">IF(Z231="Yes",N(Q231),0)</f>
        <v>12</v>
      </c>
      <c r="AJ231" s="10" t="n">
        <f aca="false">IF(OR(Z231="No",G231="Complete"),0,MAX(N(Q231)-N(AA231),0))</f>
        <v>12</v>
      </c>
      <c r="AK231" s="10" t="n">
        <f aca="false">IF(Z231="No",0,IF(G231="Complete",N(Q231),MIN(N(AA231),N(Q231))))</f>
        <v>0</v>
      </c>
      <c r="AL231" s="10" t="n">
        <f aca="false">IF(OR(OR(AG231="Not counted",AG231="Excluded",AG231="Delivered"),P231="Student accommodation"),0,AJ231)</f>
        <v>12</v>
      </c>
      <c r="AM231" s="10" t="n">
        <f aca="false">IF(OR(OR(AG231="Not counted",AG231="Excluded",AG231="Delivered"),P231&lt;&gt;"Student accommodation"),0,AJ231)</f>
        <v>0</v>
      </c>
      <c r="AN231" s="10" t="n">
        <f aca="false">IF(OR(AG231="Not counted",AG231="Excluded",AG231="Delivered"),0,N(S231))</f>
        <v>0</v>
      </c>
      <c r="AO231" s="2" t="s">
        <v>1157</v>
      </c>
      <c r="AP231" s="10"/>
      <c r="AQ231" s="10"/>
      <c r="AR231" s="10" t="n">
        <v>9</v>
      </c>
      <c r="AS231" s="10" t="n">
        <v>2</v>
      </c>
      <c r="AT231" s="10" t="n">
        <v>1</v>
      </c>
      <c r="AU231" s="10"/>
      <c r="AV231" s="10" t="n">
        <f aca="false">N(AP231)+N(AQ231)+N(AR231)+N(AS231)+N(AT231)+N(AU231)</f>
        <v>12</v>
      </c>
      <c r="AW231" s="10" t="n">
        <v>12</v>
      </c>
      <c r="AX231" s="10"/>
      <c r="AY231" s="10"/>
      <c r="AZ231" s="2"/>
      <c r="BA231" s="2" t="s">
        <v>1022</v>
      </c>
      <c r="BB231" s="2" t="s">
        <v>1903</v>
      </c>
      <c r="BC231" s="2" t="s">
        <v>1023</v>
      </c>
      <c r="BD231" s="2" t="s">
        <v>1071</v>
      </c>
      <c r="BE231" s="2" t="s">
        <v>1024</v>
      </c>
      <c r="BF231" s="2" t="s">
        <v>1059</v>
      </c>
      <c r="BG231" s="22" t="n">
        <v>44567</v>
      </c>
      <c r="BH231" s="22" t="n">
        <v>46925</v>
      </c>
      <c r="BI231" s="2"/>
      <c r="BJ231" s="22" t="n">
        <v>46925</v>
      </c>
      <c r="BK231" s="2" t="n">
        <v>12</v>
      </c>
      <c r="BL231" s="2" t="n">
        <v>0</v>
      </c>
      <c r="BM231" s="2"/>
      <c r="BN231" s="2" t="s">
        <v>1905</v>
      </c>
      <c r="BO231" s="23" t="s">
        <v>1906</v>
      </c>
      <c r="BP231" s="2" t="n">
        <f aca="false">IF(OR(K231="",BG231=""),"",ROUND(BG231-K231,0))</f>
        <v>-532</v>
      </c>
      <c r="BQ231" s="2" t="str">
        <f aca="false">IF(OR(N(BK231)=0,Q231=""),"Not recorded",IF(BK231=Q231,"Match","Differs"))</f>
        <v>Match</v>
      </c>
      <c r="BR231" s="2" t="str">
        <f aca="false">IF(N231="No","Excluded (non-residential)",IF(BF231="No reference","Unverified – no reference",IF(BF231="Not in council register","Unverified – not in register (Part 8 / other)",IF(OR(BF231="Refused",BF231="Refused on appeal",BF231="Withdrawn",BF231="Invalid",BF231="Quashed"),IF(OR(G231="Complete",G231="On Site",G231="Part Complete"),"Conflict – register not live but CIS says built","Conflict – not live in register"),IF(AND(G231="Plans Submitted",OR(BF231="Granted",BF231="Granted on appeal")),"Stage out of date – now granted",IF(AND(G231&lt;&gt;"Plans Submitted",OR(BF231="Pending",BF231="Under appeal")),"Check – register still pending",IF(N(BL231)&gt;Method!$B$7,"Check – location differs",IF(AND(BP231&lt;&gt;"",ABS(N(BP231))&gt;60),"Consistent – decision date differs","Consistent"))))))))</f>
        <v>Consistent – decision date differs</v>
      </c>
      <c r="BS231" s="2"/>
      <c r="BT231" s="2"/>
      <c r="BU231" s="2"/>
      <c r="BV231" s="2"/>
      <c r="BW231" s="2"/>
      <c r="BX231" s="2"/>
    </row>
    <row r="232" customFormat="false" ht="15" hidden="false" customHeight="false" outlineLevel="0" collapsed="false">
      <c r="A232" s="2" t="n">
        <v>1164424</v>
      </c>
      <c r="B232" s="2" t="s">
        <v>665</v>
      </c>
      <c r="C232" s="2" t="s">
        <v>1907</v>
      </c>
      <c r="D232" s="2" t="s">
        <v>666</v>
      </c>
      <c r="E232" s="2" t="s">
        <v>667</v>
      </c>
      <c r="F232" s="2" t="s">
        <v>139</v>
      </c>
      <c r="G232" s="2" t="s">
        <v>668</v>
      </c>
      <c r="H232" s="2" t="s">
        <v>1014</v>
      </c>
      <c r="I232" s="2" t="s">
        <v>668</v>
      </c>
      <c r="J232" s="22" t="n">
        <v>44316</v>
      </c>
      <c r="K232" s="22" t="n">
        <v>45789</v>
      </c>
      <c r="L232" s="22" t="n">
        <v>45800.3549672801</v>
      </c>
      <c r="M232" s="2" t="s">
        <v>1893</v>
      </c>
      <c r="N232" s="2" t="s">
        <v>121</v>
      </c>
      <c r="O232" s="2"/>
      <c r="P232" s="2" t="s">
        <v>1017</v>
      </c>
      <c r="Q232" s="10" t="n">
        <v>55</v>
      </c>
      <c r="R232" s="10" t="n">
        <v>55</v>
      </c>
      <c r="S232" s="10"/>
      <c r="T232" s="2" t="s">
        <v>120</v>
      </c>
      <c r="U232" s="2"/>
      <c r="V232" s="2" t="s">
        <v>1029</v>
      </c>
      <c r="W232" s="2" t="s">
        <v>1030</v>
      </c>
      <c r="X232" s="7"/>
      <c r="Y232" s="2" t="str">
        <f aca="false">IF(X232&lt;&gt;"",X232,T232)</f>
        <v>Primary</v>
      </c>
      <c r="Z232" s="2" t="str">
        <f aca="false">IF(OR(Y232="Primary",Y232="Additional phase",Y232="Additional application on site",Y232="Replaces earlier",Y232="Extension of duration (parent not in CIS)"),"Yes","No")</f>
        <v>Yes</v>
      </c>
      <c r="AA232" s="2"/>
      <c r="AB232" s="2" t="n">
        <f aca="false">IF(L232="","",ROUND((Method!$B$4-L232)/30.44,0))</f>
        <v>16</v>
      </c>
      <c r="AC232" s="2" t="str">
        <f aca="false">IF(AB232="","No",IF(AB232&gt;Method!$B$5,"Yes","No"))</f>
        <v>No</v>
      </c>
      <c r="AD232" s="22" t="n">
        <f aca="false">IF(BJ232&lt;&gt;"",BJ232,IF(K232&lt;&gt;"",EDATE(K232,60),""))</f>
        <v>47615</v>
      </c>
      <c r="AE232" s="2" t="str">
        <f aca="false">IF(AND(AD232&lt;&gt;"",OR(G232="Permission Granted",G232="Commencement Expected",G232="Stalled or Suspended")),IF(AD232&lt;Method!$B$4,"Yes","No"),"No")</f>
        <v>No</v>
      </c>
      <c r="AF232" s="7"/>
      <c r="AG232" s="2" t="str">
        <f aca="false">IF(Z232="No","Not counted",IF(AF232="Lapsed or dead","Excluded",IF(AF232="Constrained","Constrained / uncertain",IF(AF232="Confirmed live",IF(G232="On Site","Committed",IF(G232="Part Complete","Committed",IF(G232="Contract Awarded","Committed Pre-Construction",IF(G232="Tender","Advanced Pre-Construction",IF(G232="Commencement Expected","Likely",IF(G232="Permission Granted","Potential",IF(G232="Stalled or Suspended","Constrained / uncertain",IF(G232="Complete","Delivered","Application Pipeline")))))))),IF(G232="Complete","Delivered",IF(AND(OR(G232="Permission Granted",G232="Commencement Expected"),OR(AC232="Yes",AE232="Yes")),"Constrained / uncertain",IF(G232="On Site","Committed",IF(G232="Part Complete","Committed",IF(G232="Contract Awarded","Committed Pre-Construction",IF(G232="Tender","Advanced Pre-Construction",IF(G232="Commencement Expected","Likely",IF(G232="Permission Granted","Potential",IF(G232="Stalled or Suspended","Constrained / uncertain",IF(G232="Complete","Delivered","Application Pipeline"))))))))))))))</f>
        <v>Committed Pre-Construction</v>
      </c>
      <c r="AH232" s="2" t="str">
        <f aca="false">IF(Z232="No","Relationship: "&amp;Y232,IF(AF232&lt;&gt;"","Analyst: "&amp;AF232,IF(G232="Complete","Complete",IF(AND(OR(G232="Permission Granted",G232="Commencement Expected"),AE232="Yes"),"Past expiry",IF(AND(OR(G232="Permission Granted",G232="Commencement Expected"),AC232="Yes"),"No CIS update in "&amp;AB232&amp;" months","As CIS")))))</f>
        <v>As CIS</v>
      </c>
      <c r="AI232" s="10" t="n">
        <f aca="false">IF(Z232="Yes",N(Q232),0)</f>
        <v>55</v>
      </c>
      <c r="AJ232" s="10" t="n">
        <f aca="false">IF(OR(Z232="No",G232="Complete"),0,MAX(N(Q232)-N(AA232),0))</f>
        <v>55</v>
      </c>
      <c r="AK232" s="10" t="n">
        <f aca="false">IF(Z232="No",0,IF(G232="Complete",N(Q232),MIN(N(AA232),N(Q232))))</f>
        <v>0</v>
      </c>
      <c r="AL232" s="10" t="n">
        <f aca="false">IF(OR(OR(AG232="Not counted",AG232="Excluded",AG232="Delivered"),P232="Student accommodation"),0,AJ232)</f>
        <v>55</v>
      </c>
      <c r="AM232" s="10" t="n">
        <f aca="false">IF(OR(OR(AG232="Not counted",AG232="Excluded",AG232="Delivered"),P232&lt;&gt;"Student accommodation"),0,AJ232)</f>
        <v>0</v>
      </c>
      <c r="AN232" s="10" t="n">
        <f aca="false">IF(OR(AG232="Not counted",AG232="Excluded",AG232="Delivered"),0,N(S232))</f>
        <v>0</v>
      </c>
      <c r="AO232" s="2" t="s">
        <v>1157</v>
      </c>
      <c r="AP232" s="10"/>
      <c r="AQ232" s="10" t="n">
        <v>9</v>
      </c>
      <c r="AR232" s="10" t="n">
        <v>16</v>
      </c>
      <c r="AS232" s="10" t="n">
        <v>30</v>
      </c>
      <c r="AT232" s="10"/>
      <c r="AU232" s="10"/>
      <c r="AV232" s="10" t="n">
        <f aca="false">N(AP232)+N(AQ232)+N(AR232)+N(AS232)+N(AT232)+N(AU232)</f>
        <v>55</v>
      </c>
      <c r="AW232" s="10" t="n">
        <v>34</v>
      </c>
      <c r="AX232" s="10" t="n">
        <v>21</v>
      </c>
      <c r="AY232" s="10"/>
      <c r="AZ232" s="2"/>
      <c r="BA232" s="2" t="s">
        <v>1022</v>
      </c>
      <c r="BB232" s="2" t="s">
        <v>1907</v>
      </c>
      <c r="BC232" s="2" t="s">
        <v>1023</v>
      </c>
      <c r="BD232" s="2" t="s">
        <v>1071</v>
      </c>
      <c r="BE232" s="2" t="s">
        <v>1024</v>
      </c>
      <c r="BF232" s="2" t="s">
        <v>1059</v>
      </c>
      <c r="BG232" s="22" t="n">
        <v>44664</v>
      </c>
      <c r="BH232" s="22" t="n">
        <v>47615</v>
      </c>
      <c r="BI232" s="2"/>
      <c r="BJ232" s="22" t="n">
        <v>47615</v>
      </c>
      <c r="BK232" s="2" t="n">
        <v>54</v>
      </c>
      <c r="BL232" s="2" t="n">
        <v>0</v>
      </c>
      <c r="BM232" s="2"/>
      <c r="BN232" s="2" t="s">
        <v>1908</v>
      </c>
      <c r="BO232" s="23" t="s">
        <v>1909</v>
      </c>
      <c r="BP232" s="2" t="n">
        <f aca="false">IF(OR(K232="",BG232=""),"",ROUND(BG232-K232,0))</f>
        <v>-1125</v>
      </c>
      <c r="BQ232" s="2" t="str">
        <f aca="false">IF(OR(N(BK232)=0,Q232=""),"Not recorded",IF(BK232=Q232,"Match","Differs"))</f>
        <v>Differs</v>
      </c>
      <c r="BR232" s="2" t="str">
        <f aca="false">IF(N232="No","Excluded (non-residential)",IF(BF232="No reference","Unverified – no reference",IF(BF232="Not in council register","Unverified – not in register (Part 8 / other)",IF(OR(BF232="Refused",BF232="Refused on appeal",BF232="Withdrawn",BF232="Invalid",BF232="Quashed"),IF(OR(G232="Complete",G232="On Site",G232="Part Complete"),"Conflict – register not live but CIS says built","Conflict – not live in register"),IF(AND(G232="Plans Submitted",OR(BF232="Granted",BF232="Granted on appeal")),"Stage out of date – now granted",IF(AND(G232&lt;&gt;"Plans Submitted",OR(BF232="Pending",BF232="Under appeal")),"Check – register still pending",IF(N(BL232)&gt;Method!$B$7,"Check – location differs",IF(AND(BP232&lt;&gt;"",ABS(N(BP232))&gt;60),"Consistent – decision date differs","Consistent"))))))))</f>
        <v>Consistent – decision date differs</v>
      </c>
      <c r="BS232" s="2"/>
      <c r="BT232" s="2"/>
      <c r="BU232" s="2"/>
      <c r="BV232" s="2"/>
      <c r="BW232" s="2"/>
      <c r="BX232" s="2"/>
    </row>
    <row r="233" customFormat="false" ht="15" hidden="false" customHeight="false" outlineLevel="0" collapsed="false">
      <c r="A233" s="2" t="n">
        <v>1165485</v>
      </c>
      <c r="B233" s="2" t="s">
        <v>669</v>
      </c>
      <c r="C233" s="2" t="s">
        <v>1910</v>
      </c>
      <c r="D233" s="2" t="s">
        <v>670</v>
      </c>
      <c r="E233" s="2" t="s">
        <v>671</v>
      </c>
      <c r="F233" s="2" t="s">
        <v>131</v>
      </c>
      <c r="G233" s="2" t="s">
        <v>668</v>
      </c>
      <c r="H233" s="2" t="s">
        <v>1014</v>
      </c>
      <c r="I233" s="2" t="s">
        <v>668</v>
      </c>
      <c r="J233" s="22" t="n">
        <v>44321</v>
      </c>
      <c r="K233" s="22" t="n">
        <v>44623</v>
      </c>
      <c r="L233" s="22" t="n">
        <v>45217.478456713</v>
      </c>
      <c r="M233" s="2" t="s">
        <v>1893</v>
      </c>
      <c r="N233" s="2" t="s">
        <v>121</v>
      </c>
      <c r="O233" s="2"/>
      <c r="P233" s="2" t="s">
        <v>1017</v>
      </c>
      <c r="Q233" s="10" t="n">
        <v>68</v>
      </c>
      <c r="R233" s="10" t="n">
        <v>68</v>
      </c>
      <c r="S233" s="10"/>
      <c r="T233" s="2" t="s">
        <v>120</v>
      </c>
      <c r="U233" s="2"/>
      <c r="V233" s="2" t="s">
        <v>1029</v>
      </c>
      <c r="W233" s="2" t="s">
        <v>1030</v>
      </c>
      <c r="X233" s="7"/>
      <c r="Y233" s="2" t="str">
        <f aca="false">IF(X233&lt;&gt;"",X233,T233)</f>
        <v>Primary</v>
      </c>
      <c r="Z233" s="2" t="str">
        <f aca="false">IF(OR(Y233="Primary",Y233="Additional phase",Y233="Additional application on site",Y233="Replaces earlier",Y233="Extension of duration (parent not in CIS)"),"Yes","No")</f>
        <v>Yes</v>
      </c>
      <c r="AA233" s="2"/>
      <c r="AB233" s="2" t="n">
        <f aca="false">IF(L233="","",ROUND((Method!$B$4-L233)/30.44,0))</f>
        <v>35</v>
      </c>
      <c r="AC233" s="2" t="str">
        <f aca="false">IF(AB233="","No",IF(AB233&gt;Method!$B$5,"Yes","No"))</f>
        <v>Yes</v>
      </c>
      <c r="AD233" s="22" t="n">
        <f aca="false">IF(BJ233&lt;&gt;"",BJ233,IF(K233&lt;&gt;"",EDATE(K233,60),""))</f>
        <v>46635</v>
      </c>
      <c r="AE233" s="2" t="str">
        <f aca="false">IF(AND(AD233&lt;&gt;"",OR(G233="Permission Granted",G233="Commencement Expected",G233="Stalled or Suspended")),IF(AD233&lt;Method!$B$4,"Yes","No"),"No")</f>
        <v>No</v>
      </c>
      <c r="AF233" s="7"/>
      <c r="AG233" s="2" t="str">
        <f aca="false">IF(Z233="No","Not counted",IF(AF233="Lapsed or dead","Excluded",IF(AF233="Constrained","Constrained / uncertain",IF(AF233="Confirmed live",IF(G233="On Site","Committed",IF(G233="Part Complete","Committed",IF(G233="Contract Awarded","Committed Pre-Construction",IF(G233="Tender","Advanced Pre-Construction",IF(G233="Commencement Expected","Likely",IF(G233="Permission Granted","Potential",IF(G233="Stalled or Suspended","Constrained / uncertain",IF(G233="Complete","Delivered","Application Pipeline")))))))),IF(G233="Complete","Delivered",IF(AND(OR(G233="Permission Granted",G233="Commencement Expected"),OR(AC233="Yes",AE233="Yes")),"Constrained / uncertain",IF(G233="On Site","Committed",IF(G233="Part Complete","Committed",IF(G233="Contract Awarded","Committed Pre-Construction",IF(G233="Tender","Advanced Pre-Construction",IF(G233="Commencement Expected","Likely",IF(G233="Permission Granted","Potential",IF(G233="Stalled or Suspended","Constrained / uncertain",IF(G233="Complete","Delivered","Application Pipeline"))))))))))))))</f>
        <v>Committed Pre-Construction</v>
      </c>
      <c r="AH233" s="2" t="str">
        <f aca="false">IF(Z233="No","Relationship: "&amp;Y233,IF(AF233&lt;&gt;"","Analyst: "&amp;AF233,IF(G233="Complete","Complete",IF(AND(OR(G233="Permission Granted",G233="Commencement Expected"),AE233="Yes"),"Past expiry",IF(AND(OR(G233="Permission Granted",G233="Commencement Expected"),AC233="Yes"),"No CIS update in "&amp;AB233&amp;" months","As CIS")))))</f>
        <v>As CIS</v>
      </c>
      <c r="AI233" s="10" t="n">
        <f aca="false">IF(Z233="Yes",N(Q233),0)</f>
        <v>68</v>
      </c>
      <c r="AJ233" s="10" t="n">
        <f aca="false">IF(OR(Z233="No",G233="Complete"),0,MAX(N(Q233)-N(AA233),0))</f>
        <v>68</v>
      </c>
      <c r="AK233" s="10" t="n">
        <f aca="false">IF(Z233="No",0,IF(G233="Complete",N(Q233),MIN(N(AA233),N(Q233))))</f>
        <v>0</v>
      </c>
      <c r="AL233" s="10" t="n">
        <f aca="false">IF(OR(OR(AG233="Not counted",AG233="Excluded",AG233="Delivered"),P233="Student accommodation"),0,AJ233)</f>
        <v>68</v>
      </c>
      <c r="AM233" s="10" t="n">
        <f aca="false">IF(OR(OR(AG233="Not counted",AG233="Excluded",AG233="Delivered"),P233&lt;&gt;"Student accommodation"),0,AJ233)</f>
        <v>0</v>
      </c>
      <c r="AN233" s="10" t="n">
        <f aca="false">IF(OR(AG233="Not counted",AG233="Excluded",AG233="Delivered"),0,N(S233))</f>
        <v>0</v>
      </c>
      <c r="AO233" s="2" t="s">
        <v>1031</v>
      </c>
      <c r="AP233" s="10"/>
      <c r="AQ233" s="10" t="n">
        <v>12</v>
      </c>
      <c r="AR233" s="10" t="n">
        <v>23</v>
      </c>
      <c r="AS233" s="10" t="n">
        <v>25</v>
      </c>
      <c r="AT233" s="10" t="n">
        <v>8</v>
      </c>
      <c r="AU233" s="10"/>
      <c r="AV233" s="10" t="n">
        <f aca="false">N(AP233)+N(AQ233)+N(AR233)+N(AS233)+N(AT233)+N(AU233)</f>
        <v>68</v>
      </c>
      <c r="AW233" s="10"/>
      <c r="AX233" s="10"/>
      <c r="AY233" s="10" t="n">
        <v>68</v>
      </c>
      <c r="AZ233" s="2"/>
      <c r="BA233" s="2" t="s">
        <v>1022</v>
      </c>
      <c r="BB233" s="2" t="s">
        <v>1910</v>
      </c>
      <c r="BC233" s="2" t="s">
        <v>1023</v>
      </c>
      <c r="BD233" s="2" t="s">
        <v>1024</v>
      </c>
      <c r="BE233" s="2" t="s">
        <v>1024</v>
      </c>
      <c r="BF233" s="2" t="s">
        <v>1059</v>
      </c>
      <c r="BG233" s="22" t="n">
        <v>44623</v>
      </c>
      <c r="BH233" s="22" t="n">
        <v>46635</v>
      </c>
      <c r="BI233" s="2"/>
      <c r="BJ233" s="22" t="n">
        <v>46635</v>
      </c>
      <c r="BK233" s="2" t="n">
        <v>68</v>
      </c>
      <c r="BL233" s="2" t="n">
        <v>0</v>
      </c>
      <c r="BM233" s="2"/>
      <c r="BN233" s="2" t="s">
        <v>1911</v>
      </c>
      <c r="BO233" s="23" t="s">
        <v>1912</v>
      </c>
      <c r="BP233" s="2" t="n">
        <f aca="false">IF(OR(K233="",BG233=""),"",ROUND(BG233-K233,0))</f>
        <v>0</v>
      </c>
      <c r="BQ233" s="2" t="str">
        <f aca="false">IF(OR(N(BK233)=0,Q233=""),"Not recorded",IF(BK233=Q233,"Match","Differs"))</f>
        <v>Match</v>
      </c>
      <c r="BR233" s="2" t="str">
        <f aca="false">IF(N233="No","Excluded (non-residential)",IF(BF233="No reference","Unverified – no reference",IF(BF233="Not in council register","Unverified – not in register (Part 8 / other)",IF(OR(BF233="Refused",BF233="Refused on appeal",BF233="Withdrawn",BF233="Invalid",BF233="Quashed"),IF(OR(G233="Complete",G233="On Site",G233="Part Complete"),"Conflict – register not live but CIS says built","Conflict – not live in register"),IF(AND(G233="Plans Submitted",OR(BF233="Granted",BF233="Granted on appeal")),"Stage out of date – now granted",IF(AND(G233&lt;&gt;"Plans Submitted",OR(BF233="Pending",BF233="Under appeal")),"Check – register still pending",IF(N(BL233)&gt;Method!$B$7,"Check – location differs",IF(AND(BP233&lt;&gt;"",ABS(N(BP233))&gt;60),"Consistent – decision date differs","Consistent"))))))))</f>
        <v>Consistent</v>
      </c>
      <c r="BS233" s="2"/>
      <c r="BT233" s="2"/>
      <c r="BU233" s="2"/>
      <c r="BV233" s="2"/>
      <c r="BW233" s="2"/>
      <c r="BX233" s="2"/>
    </row>
    <row r="234" customFormat="false" ht="15" hidden="false" customHeight="false" outlineLevel="0" collapsed="false">
      <c r="A234" s="2" t="n">
        <v>1166991</v>
      </c>
      <c r="B234" s="2" t="s">
        <v>672</v>
      </c>
      <c r="C234" s="2" t="s">
        <v>1913</v>
      </c>
      <c r="D234" s="2" t="s">
        <v>673</v>
      </c>
      <c r="E234" s="2" t="s">
        <v>674</v>
      </c>
      <c r="F234" s="2" t="s">
        <v>144</v>
      </c>
      <c r="G234" s="2" t="s">
        <v>668</v>
      </c>
      <c r="H234" s="2" t="s">
        <v>1014</v>
      </c>
      <c r="I234" s="2" t="s">
        <v>668</v>
      </c>
      <c r="J234" s="22" t="n">
        <v>44328</v>
      </c>
      <c r="K234" s="22" t="n">
        <v>44659</v>
      </c>
      <c r="L234" s="22" t="n">
        <v>45461.5869479514</v>
      </c>
      <c r="M234" s="2" t="s">
        <v>1893</v>
      </c>
      <c r="N234" s="2" t="s">
        <v>121</v>
      </c>
      <c r="O234" s="2"/>
      <c r="P234" s="2" t="s">
        <v>1017</v>
      </c>
      <c r="Q234" s="10" t="n">
        <v>51</v>
      </c>
      <c r="R234" s="10" t="n">
        <v>51</v>
      </c>
      <c r="S234" s="10"/>
      <c r="T234" s="2" t="s">
        <v>120</v>
      </c>
      <c r="U234" s="2"/>
      <c r="V234" s="2" t="s">
        <v>1029</v>
      </c>
      <c r="W234" s="2" t="s">
        <v>1030</v>
      </c>
      <c r="X234" s="7"/>
      <c r="Y234" s="2" t="str">
        <f aca="false">IF(X234&lt;&gt;"",X234,T234)</f>
        <v>Primary</v>
      </c>
      <c r="Z234" s="2" t="str">
        <f aca="false">IF(OR(Y234="Primary",Y234="Additional phase",Y234="Additional application on site",Y234="Replaces earlier",Y234="Extension of duration (parent not in CIS)"),"Yes","No")</f>
        <v>Yes</v>
      </c>
      <c r="AA234" s="2"/>
      <c r="AB234" s="2" t="n">
        <f aca="false">IF(L234="","",ROUND((Method!$B$4-L234)/30.44,0))</f>
        <v>27</v>
      </c>
      <c r="AC234" s="2" t="str">
        <f aca="false">IF(AB234="","No",IF(AB234&gt;Method!$B$5,"Yes","No"))</f>
        <v>Yes</v>
      </c>
      <c r="AD234" s="22" t="n">
        <f aca="false">IF(BJ234&lt;&gt;"",BJ234,IF(K234&lt;&gt;"",EDATE(K234,60),""))</f>
        <v>46518</v>
      </c>
      <c r="AE234" s="2" t="str">
        <f aca="false">IF(AND(AD234&lt;&gt;"",OR(G234="Permission Granted",G234="Commencement Expected",G234="Stalled or Suspended")),IF(AD234&lt;Method!$B$4,"Yes","No"),"No")</f>
        <v>No</v>
      </c>
      <c r="AF234" s="7"/>
      <c r="AG234" s="2" t="str">
        <f aca="false">IF(Z234="No","Not counted",IF(AF234="Lapsed or dead","Excluded",IF(AF234="Constrained","Constrained / uncertain",IF(AF234="Confirmed live",IF(G234="On Site","Committed",IF(G234="Part Complete","Committed",IF(G234="Contract Awarded","Committed Pre-Construction",IF(G234="Tender","Advanced Pre-Construction",IF(G234="Commencement Expected","Likely",IF(G234="Permission Granted","Potential",IF(G234="Stalled or Suspended","Constrained / uncertain",IF(G234="Complete","Delivered","Application Pipeline")))))))),IF(G234="Complete","Delivered",IF(AND(OR(G234="Permission Granted",G234="Commencement Expected"),OR(AC234="Yes",AE234="Yes")),"Constrained / uncertain",IF(G234="On Site","Committed",IF(G234="Part Complete","Committed",IF(G234="Contract Awarded","Committed Pre-Construction",IF(G234="Tender","Advanced Pre-Construction",IF(G234="Commencement Expected","Likely",IF(G234="Permission Granted","Potential",IF(G234="Stalled or Suspended","Constrained / uncertain",IF(G234="Complete","Delivered","Application Pipeline"))))))))))))))</f>
        <v>Committed Pre-Construction</v>
      </c>
      <c r="AH234" s="2" t="str">
        <f aca="false">IF(Z234="No","Relationship: "&amp;Y234,IF(AF234&lt;&gt;"","Analyst: "&amp;AF234,IF(G234="Complete","Complete",IF(AND(OR(G234="Permission Granted",G234="Commencement Expected"),AE234="Yes"),"Past expiry",IF(AND(OR(G234="Permission Granted",G234="Commencement Expected"),AC234="Yes"),"No CIS update in "&amp;AB234&amp;" months","As CIS")))))</f>
        <v>As CIS</v>
      </c>
      <c r="AI234" s="10" t="n">
        <f aca="false">IF(Z234="Yes",N(Q234),0)</f>
        <v>51</v>
      </c>
      <c r="AJ234" s="10" t="n">
        <f aca="false">IF(OR(Z234="No",G234="Complete"),0,MAX(N(Q234)-N(AA234),0))</f>
        <v>51</v>
      </c>
      <c r="AK234" s="10" t="n">
        <f aca="false">IF(Z234="No",0,IF(G234="Complete",N(Q234),MIN(N(AA234),N(Q234))))</f>
        <v>0</v>
      </c>
      <c r="AL234" s="10" t="n">
        <f aca="false">IF(OR(OR(AG234="Not counted",AG234="Excluded",AG234="Delivered"),P234="Student accommodation"),0,AJ234)</f>
        <v>51</v>
      </c>
      <c r="AM234" s="10" t="n">
        <f aca="false">IF(OR(OR(AG234="Not counted",AG234="Excluded",AG234="Delivered"),P234&lt;&gt;"Student accommodation"),0,AJ234)</f>
        <v>0</v>
      </c>
      <c r="AN234" s="10" t="n">
        <f aca="false">IF(OR(AG234="Not counted",AG234="Excluded",AG234="Delivered"),0,N(S234))</f>
        <v>0</v>
      </c>
      <c r="AO234" s="2" t="s">
        <v>1021</v>
      </c>
      <c r="AP234" s="10"/>
      <c r="AQ234" s="10"/>
      <c r="AR234" s="10"/>
      <c r="AS234" s="10"/>
      <c r="AT234" s="10"/>
      <c r="AU234" s="10"/>
      <c r="AV234" s="10" t="n">
        <f aca="false">N(AP234)+N(AQ234)+N(AR234)+N(AS234)+N(AT234)+N(AU234)</f>
        <v>0</v>
      </c>
      <c r="AW234" s="10"/>
      <c r="AX234" s="10"/>
      <c r="AY234" s="10"/>
      <c r="AZ234" s="2"/>
      <c r="BA234" s="2" t="s">
        <v>1022</v>
      </c>
      <c r="BB234" s="2" t="s">
        <v>1913</v>
      </c>
      <c r="BC234" s="2" t="s">
        <v>1023</v>
      </c>
      <c r="BD234" s="2" t="s">
        <v>1024</v>
      </c>
      <c r="BE234" s="2"/>
      <c r="BF234" s="2" t="s">
        <v>1025</v>
      </c>
      <c r="BG234" s="22" t="n">
        <v>44659</v>
      </c>
      <c r="BH234" s="22" t="n">
        <v>46518</v>
      </c>
      <c r="BI234" s="2"/>
      <c r="BJ234" s="22" t="n">
        <v>46518</v>
      </c>
      <c r="BK234" s="2" t="n">
        <v>49</v>
      </c>
      <c r="BL234" s="2" t="n">
        <v>0</v>
      </c>
      <c r="BM234" s="2"/>
      <c r="BN234" s="2" t="s">
        <v>1914</v>
      </c>
      <c r="BO234" s="23" t="s">
        <v>1915</v>
      </c>
      <c r="BP234" s="2" t="n">
        <f aca="false">IF(OR(K234="",BG234=""),"",ROUND(BG234-K234,0))</f>
        <v>0</v>
      </c>
      <c r="BQ234" s="2" t="str">
        <f aca="false">IF(OR(N(BK234)=0,Q234=""),"Not recorded",IF(BK234=Q234,"Match","Differs"))</f>
        <v>Differs</v>
      </c>
      <c r="BR234" s="2" t="str">
        <f aca="false">IF(N234="No","Excluded (non-residential)",IF(BF234="No reference","Unverified – no reference",IF(BF234="Not in council register","Unverified – not in register (Part 8 / other)",IF(OR(BF234="Refused",BF234="Refused on appeal",BF234="Withdrawn",BF234="Invalid",BF234="Quashed"),IF(OR(G234="Complete",G234="On Site",G234="Part Complete"),"Conflict – register not live but CIS says built","Conflict – not live in register"),IF(AND(G234="Plans Submitted",OR(BF234="Granted",BF234="Granted on appeal")),"Stage out of date – now granted",IF(AND(G234&lt;&gt;"Plans Submitted",OR(BF234="Pending",BF234="Under appeal")),"Check – register still pending",IF(N(BL234)&gt;Method!$B$7,"Check – location differs",IF(AND(BP234&lt;&gt;"",ABS(N(BP234))&gt;60),"Consistent – decision date differs","Consistent"))))))))</f>
        <v>Consistent</v>
      </c>
      <c r="BS234" s="2"/>
      <c r="BT234" s="2"/>
      <c r="BU234" s="2"/>
      <c r="BV234" s="2"/>
      <c r="BW234" s="2"/>
      <c r="BX234" s="2"/>
    </row>
    <row r="235" customFormat="false" ht="15" hidden="false" customHeight="false" outlineLevel="0" collapsed="false">
      <c r="A235" s="2" t="n">
        <v>1212017</v>
      </c>
      <c r="B235" s="2" t="s">
        <v>675</v>
      </c>
      <c r="C235" s="2" t="s">
        <v>1916</v>
      </c>
      <c r="D235" s="2" t="s">
        <v>676</v>
      </c>
      <c r="E235" s="2" t="s">
        <v>677</v>
      </c>
      <c r="F235" s="2" t="s">
        <v>144</v>
      </c>
      <c r="G235" s="2" t="s">
        <v>668</v>
      </c>
      <c r="H235" s="2" t="s">
        <v>1014</v>
      </c>
      <c r="I235" s="2" t="s">
        <v>668</v>
      </c>
      <c r="J235" s="22" t="n">
        <v>44571</v>
      </c>
      <c r="K235" s="22" t="n">
        <v>44655</v>
      </c>
      <c r="L235" s="22" t="n">
        <v>45715.4570248032</v>
      </c>
      <c r="M235" s="2" t="s">
        <v>1893</v>
      </c>
      <c r="N235" s="2" t="s">
        <v>121</v>
      </c>
      <c r="O235" s="2"/>
      <c r="P235" s="2" t="s">
        <v>1017</v>
      </c>
      <c r="Q235" s="10" t="n">
        <v>9</v>
      </c>
      <c r="R235" s="10"/>
      <c r="S235" s="10"/>
      <c r="T235" s="2" t="s">
        <v>125</v>
      </c>
      <c r="U235" s="2" t="s">
        <v>1205</v>
      </c>
      <c r="V235" s="2" t="s">
        <v>1917</v>
      </c>
      <c r="W235" s="2" t="s">
        <v>1030</v>
      </c>
      <c r="X235" s="7"/>
      <c r="Y235" s="2" t="str">
        <f aca="false">IF(X235&lt;&gt;"",X235,T235)</f>
        <v>Duplicate</v>
      </c>
      <c r="Z235" s="2" t="str">
        <f aca="false">IF(OR(Y235="Primary",Y235="Additional phase",Y235="Additional application on site",Y235="Replaces earlier",Y235="Extension of duration (parent not in CIS)"),"Yes","No")</f>
        <v>No</v>
      </c>
      <c r="AA235" s="2"/>
      <c r="AB235" s="2" t="n">
        <f aca="false">IF(L235="","",ROUND((Method!$B$4-L235)/30.44,0))</f>
        <v>19</v>
      </c>
      <c r="AC235" s="2" t="str">
        <f aca="false">IF(AB235="","No",IF(AB235&gt;Method!$B$5,"Yes","No"))</f>
        <v>No</v>
      </c>
      <c r="AD235" s="22" t="n">
        <f aca="false">IF(BJ235&lt;&gt;"",BJ235,IF(K235&lt;&gt;"",EDATE(K235,60),""))</f>
        <v>46481</v>
      </c>
      <c r="AE235" s="2" t="str">
        <f aca="false">IF(AND(AD235&lt;&gt;"",OR(G235="Permission Granted",G235="Commencement Expected",G235="Stalled or Suspended")),IF(AD235&lt;Method!$B$4,"Yes","No"),"No")</f>
        <v>No</v>
      </c>
      <c r="AF235" s="7"/>
      <c r="AG235" s="2" t="str">
        <f aca="false">IF(Z235="No","Not counted",IF(AF235="Lapsed or dead","Excluded",IF(AF235="Constrained","Constrained / uncertain",IF(AF235="Confirmed live",IF(G235="On Site","Committed",IF(G235="Part Complete","Committed",IF(G235="Contract Awarded","Committed Pre-Construction",IF(G235="Tender","Advanced Pre-Construction",IF(G235="Commencement Expected","Likely",IF(G235="Permission Granted","Potential",IF(G235="Stalled or Suspended","Constrained / uncertain",IF(G235="Complete","Delivered","Application Pipeline")))))))),IF(G235="Complete","Delivered",IF(AND(OR(G235="Permission Granted",G235="Commencement Expected"),OR(AC235="Yes",AE235="Yes")),"Constrained / uncertain",IF(G235="On Site","Committed",IF(G235="Part Complete","Committed",IF(G235="Contract Awarded","Committed Pre-Construction",IF(G235="Tender","Advanced Pre-Construction",IF(G235="Commencement Expected","Likely",IF(G235="Permission Granted","Potential",IF(G235="Stalled or Suspended","Constrained / uncertain",IF(G235="Complete","Delivered","Application Pipeline"))))))))))))))</f>
        <v>Not counted</v>
      </c>
      <c r="AH235" s="2" t="str">
        <f aca="false">IF(Z235="No","Relationship: "&amp;Y235,IF(AF235&lt;&gt;"","Analyst: "&amp;AF235,IF(G235="Complete","Complete",IF(AND(OR(G235="Permission Granted",G235="Commencement Expected"),AE235="Yes"),"Past expiry",IF(AND(OR(G235="Permission Granted",G235="Commencement Expected"),AC235="Yes"),"No CIS update in "&amp;AB235&amp;" months","As CIS")))))</f>
        <v>Relationship: Duplicate</v>
      </c>
      <c r="AI235" s="10" t="n">
        <f aca="false">IF(Z235="Yes",N(Q235),0)</f>
        <v>0</v>
      </c>
      <c r="AJ235" s="10" t="n">
        <f aca="false">IF(OR(Z235="No",G235="Complete"),0,MAX(N(Q235)-N(AA235),0))</f>
        <v>0</v>
      </c>
      <c r="AK235" s="10" t="n">
        <f aca="false">IF(Z235="No",0,IF(G235="Complete",N(Q235),MIN(N(AA235),N(Q235))))</f>
        <v>0</v>
      </c>
      <c r="AL235" s="10" t="n">
        <f aca="false">IF(OR(OR(AG235="Not counted",AG235="Excluded",AG235="Delivered"),P235="Student accommodation"),0,AJ235)</f>
        <v>0</v>
      </c>
      <c r="AM235" s="10" t="n">
        <f aca="false">IF(OR(OR(AG235="Not counted",AG235="Excluded",AG235="Delivered"),P235&lt;&gt;"Student accommodation"),0,AJ235)</f>
        <v>0</v>
      </c>
      <c r="AN235" s="10" t="n">
        <f aca="false">IF(OR(AG235="Not counted",AG235="Excluded",AG235="Delivered"),0,N(S235))</f>
        <v>0</v>
      </c>
      <c r="AO235" s="2" t="s">
        <v>1043</v>
      </c>
      <c r="AP235" s="10"/>
      <c r="AQ235" s="10"/>
      <c r="AR235" s="10"/>
      <c r="AS235" s="10"/>
      <c r="AT235" s="10"/>
      <c r="AU235" s="10"/>
      <c r="AV235" s="10" t="n">
        <f aca="false">N(AP235)+N(AQ235)+N(AR235)+N(AS235)+N(AT235)+N(AU235)</f>
        <v>0</v>
      </c>
      <c r="AW235" s="10"/>
      <c r="AX235" s="10"/>
      <c r="AY235" s="10"/>
      <c r="AZ235" s="2"/>
      <c r="BA235" s="2" t="s">
        <v>1095</v>
      </c>
      <c r="BB235" s="2"/>
      <c r="BC235" s="2"/>
      <c r="BD235" s="2"/>
      <c r="BE235" s="2"/>
      <c r="BF235" s="2" t="s">
        <v>1095</v>
      </c>
      <c r="BG235" s="22"/>
      <c r="BH235" s="22"/>
      <c r="BI235" s="2"/>
      <c r="BJ235" s="22"/>
      <c r="BK235" s="2"/>
      <c r="BL235" s="2"/>
      <c r="BM235" s="2"/>
      <c r="BN235" s="2"/>
      <c r="BO235" s="2"/>
      <c r="BP235" s="2" t="str">
        <f aca="false">IF(OR(K235="",BG235=""),"",ROUND(BG235-K235,0))</f>
        <v/>
      </c>
      <c r="BQ235" s="2" t="str">
        <f aca="false">IF(OR(N(BK235)=0,Q235=""),"Not recorded",IF(BK235=Q235,"Match","Differs"))</f>
        <v>Not recorded</v>
      </c>
      <c r="BR235" s="2" t="str">
        <f aca="false">IF(N235="No","Excluded (non-residential)",IF(BF235="No reference","Unverified – no reference",IF(BF235="Not in council register","Unverified – not in register (Part 8 / other)",IF(OR(BF235="Refused",BF235="Refused on appeal",BF235="Withdrawn",BF235="Invalid",BF235="Quashed"),IF(OR(G235="Complete",G235="On Site",G235="Part Complete"),"Conflict – register not live but CIS says built","Conflict – not live in register"),IF(AND(G235="Plans Submitted",OR(BF235="Granted",BF235="Granted on appeal")),"Stage out of date – now granted",IF(AND(G235&lt;&gt;"Plans Submitted",OR(BF235="Pending",BF235="Under appeal")),"Check – register still pending",IF(N(BL235)&gt;Method!$B$7,"Check – location differs",IF(AND(BP235&lt;&gt;"",ABS(N(BP235))&gt;60),"Consistent – decision date differs","Consistent"))))))))</f>
        <v>Unverified – not in register (Part 8 / other)</v>
      </c>
      <c r="BS235" s="2" t="n">
        <v>1828</v>
      </c>
      <c r="BT235" s="2" t="s">
        <v>1049</v>
      </c>
      <c r="BU235" s="2" t="s">
        <v>1050</v>
      </c>
      <c r="BV235" s="2" t="s">
        <v>1178</v>
      </c>
      <c r="BW235" s="2" t="s">
        <v>1837</v>
      </c>
      <c r="BX235" s="2" t="s">
        <v>1052</v>
      </c>
    </row>
    <row r="236" customFormat="false" ht="15" hidden="false" customHeight="false" outlineLevel="0" collapsed="false">
      <c r="A236" s="2" t="n">
        <v>1227182</v>
      </c>
      <c r="B236" s="2" t="s">
        <v>679</v>
      </c>
      <c r="C236" s="2" t="s">
        <v>1918</v>
      </c>
      <c r="D236" s="2" t="s">
        <v>680</v>
      </c>
      <c r="E236" s="2" t="s">
        <v>681</v>
      </c>
      <c r="F236" s="2" t="s">
        <v>140</v>
      </c>
      <c r="G236" s="2" t="s">
        <v>187</v>
      </c>
      <c r="H236" s="2" t="s">
        <v>1014</v>
      </c>
      <c r="I236" s="2"/>
      <c r="J236" s="22" t="n">
        <v>44678</v>
      </c>
      <c r="K236" s="22" t="n">
        <v>44733</v>
      </c>
      <c r="L236" s="22" t="n">
        <v>45316</v>
      </c>
      <c r="M236" s="2" t="s">
        <v>1904</v>
      </c>
      <c r="N236" s="2" t="s">
        <v>121</v>
      </c>
      <c r="O236" s="2"/>
      <c r="P236" s="2" t="s">
        <v>1017</v>
      </c>
      <c r="Q236" s="10" t="n">
        <v>21</v>
      </c>
      <c r="R236" s="10" t="n">
        <v>21</v>
      </c>
      <c r="S236" s="10"/>
      <c r="T236" s="2" t="s">
        <v>120</v>
      </c>
      <c r="U236" s="2"/>
      <c r="V236" s="2" t="s">
        <v>1029</v>
      </c>
      <c r="W236" s="2" t="s">
        <v>1030</v>
      </c>
      <c r="X236" s="7"/>
      <c r="Y236" s="2" t="str">
        <f aca="false">IF(X236&lt;&gt;"",X236,T236)</f>
        <v>Primary</v>
      </c>
      <c r="Z236" s="2" t="str">
        <f aca="false">IF(OR(Y236="Primary",Y236="Additional phase",Y236="Additional application on site",Y236="Replaces earlier",Y236="Extension of duration (parent not in CIS)"),"Yes","No")</f>
        <v>Yes</v>
      </c>
      <c r="AA236" s="2"/>
      <c r="AB236" s="2" t="n">
        <f aca="false">IF(L236="","",ROUND((Method!$B$4-L236)/30.44,0))</f>
        <v>32</v>
      </c>
      <c r="AC236" s="2" t="str">
        <f aca="false">IF(AB236="","No",IF(AB236&gt;Method!$B$5,"Yes","No"))</f>
        <v>Yes</v>
      </c>
      <c r="AD236" s="22" t="n">
        <f aca="false">IF(BJ236&lt;&gt;"",BJ236,IF(K236&lt;&gt;"",EDATE(K236,60),""))</f>
        <v>47139</v>
      </c>
      <c r="AE236" s="2" t="str">
        <f aca="false">IF(AND(AD236&lt;&gt;"",OR(G236="Permission Granted",G236="Commencement Expected",G236="Stalled or Suspended")),IF(AD236&lt;Method!$B$4,"Yes","No"),"No")</f>
        <v>No</v>
      </c>
      <c r="AF236" s="7"/>
      <c r="AG236" s="2" t="str">
        <f aca="false">IF(Z236="No","Not counted",IF(AF236="Lapsed or dead","Excluded",IF(AF236="Constrained","Constrained / uncertain",IF(AF236="Confirmed live",IF(G236="On Site","Committed",IF(G236="Part Complete","Committed",IF(G236="Contract Awarded","Committed Pre-Construction",IF(G236="Tender","Advanced Pre-Construction",IF(G236="Commencement Expected","Likely",IF(G236="Permission Granted","Potential",IF(G236="Stalled or Suspended","Constrained / uncertain",IF(G236="Complete","Delivered","Application Pipeline")))))))),IF(G236="Complete","Delivered",IF(AND(OR(G236="Permission Granted",G236="Commencement Expected"),OR(AC236="Yes",AE236="Yes")),"Constrained / uncertain",IF(G236="On Site","Committed",IF(G236="Part Complete","Committed",IF(G236="Contract Awarded","Committed Pre-Construction",IF(G236="Tender","Advanced Pre-Construction",IF(G236="Commencement Expected","Likely",IF(G236="Permission Granted","Potential",IF(G236="Stalled or Suspended","Constrained / uncertain",IF(G236="Complete","Delivered","Application Pipeline"))))))))))))))</f>
        <v>Constrained / uncertain</v>
      </c>
      <c r="AH236" s="2" t="str">
        <f aca="false">IF(Z236="No","Relationship: "&amp;Y236,IF(AF236&lt;&gt;"","Analyst: "&amp;AF236,IF(G236="Complete","Complete",IF(AND(OR(G236="Permission Granted",G236="Commencement Expected"),AE236="Yes"),"Past expiry",IF(AND(OR(G236="Permission Granted",G236="Commencement Expected"),AC236="Yes"),"No CIS update in "&amp;AB236&amp;" months","As CIS")))))</f>
        <v>No CIS update in 32 months</v>
      </c>
      <c r="AI236" s="10" t="n">
        <f aca="false">IF(Z236="Yes",N(Q236),0)</f>
        <v>21</v>
      </c>
      <c r="AJ236" s="10" t="n">
        <f aca="false">IF(OR(Z236="No",G236="Complete"),0,MAX(N(Q236)-N(AA236),0))</f>
        <v>21</v>
      </c>
      <c r="AK236" s="10" t="n">
        <f aca="false">IF(Z236="No",0,IF(G236="Complete",N(Q236),MIN(N(AA236),N(Q236))))</f>
        <v>0</v>
      </c>
      <c r="AL236" s="10" t="n">
        <f aca="false">IF(OR(OR(AG236="Not counted",AG236="Excluded",AG236="Delivered"),P236="Student accommodation"),0,AJ236)</f>
        <v>21</v>
      </c>
      <c r="AM236" s="10" t="n">
        <f aca="false">IF(OR(OR(AG236="Not counted",AG236="Excluded",AG236="Delivered"),P236&lt;&gt;"Student accommodation"),0,AJ236)</f>
        <v>0</v>
      </c>
      <c r="AN236" s="10" t="n">
        <f aca="false">IF(OR(AG236="Not counted",AG236="Excluded",AG236="Delivered"),0,N(S236))</f>
        <v>0</v>
      </c>
      <c r="AO236" s="2" t="s">
        <v>1157</v>
      </c>
      <c r="AP236" s="10"/>
      <c r="AQ236" s="10"/>
      <c r="AR236" s="10"/>
      <c r="AS236" s="10" t="n">
        <v>7</v>
      </c>
      <c r="AT236" s="10" t="n">
        <v>14</v>
      </c>
      <c r="AU236" s="10"/>
      <c r="AV236" s="10" t="n">
        <f aca="false">N(AP236)+N(AQ236)+N(AR236)+N(AS236)+N(AT236)+N(AU236)</f>
        <v>21</v>
      </c>
      <c r="AW236" s="10" t="n">
        <v>21</v>
      </c>
      <c r="AX236" s="10"/>
      <c r="AY236" s="10"/>
      <c r="AZ236" s="2"/>
      <c r="BA236" s="2" t="s">
        <v>1022</v>
      </c>
      <c r="BB236" s="2" t="s">
        <v>1918</v>
      </c>
      <c r="BC236" s="2" t="s">
        <v>1023</v>
      </c>
      <c r="BD236" s="2" t="s">
        <v>1024</v>
      </c>
      <c r="BE236" s="2" t="s">
        <v>1024</v>
      </c>
      <c r="BF236" s="2" t="s">
        <v>1059</v>
      </c>
      <c r="BG236" s="22" t="n">
        <v>44733</v>
      </c>
      <c r="BH236" s="22" t="n">
        <v>47139</v>
      </c>
      <c r="BI236" s="2"/>
      <c r="BJ236" s="22" t="n">
        <v>47139</v>
      </c>
      <c r="BK236" s="2" t="n">
        <v>1</v>
      </c>
      <c r="BL236" s="2" t="n">
        <v>0</v>
      </c>
      <c r="BM236" s="2"/>
      <c r="BN236" s="2" t="s">
        <v>1919</v>
      </c>
      <c r="BO236" s="23" t="s">
        <v>1920</v>
      </c>
      <c r="BP236" s="2" t="n">
        <f aca="false">IF(OR(K236="",BG236=""),"",ROUND(BG236-K236,0))</f>
        <v>0</v>
      </c>
      <c r="BQ236" s="2" t="str">
        <f aca="false">IF(OR(N(BK236)=0,Q236=""),"Not recorded",IF(BK236=Q236,"Match","Differs"))</f>
        <v>Differs</v>
      </c>
      <c r="BR236" s="2" t="str">
        <f aca="false">IF(N236="No","Excluded (non-residential)",IF(BF236="No reference","Unverified – no reference",IF(BF236="Not in council register","Unverified – not in register (Part 8 / other)",IF(OR(BF236="Refused",BF236="Refused on appeal",BF236="Withdrawn",BF236="Invalid",BF236="Quashed"),IF(OR(G236="Complete",G236="On Site",G236="Part Complete"),"Conflict – register not live but CIS says built","Conflict – not live in register"),IF(AND(G236="Plans Submitted",OR(BF236="Granted",BF236="Granted on appeal")),"Stage out of date – now granted",IF(AND(G236&lt;&gt;"Plans Submitted",OR(BF236="Pending",BF236="Under appeal")),"Check – register still pending",IF(N(BL236)&gt;Method!$B$7,"Check – location differs",IF(AND(BP236&lt;&gt;"",ABS(N(BP236))&gt;60),"Consistent – decision date differs","Consistent"))))))))</f>
        <v>Consistent</v>
      </c>
      <c r="BS236" s="2"/>
      <c r="BT236" s="2"/>
      <c r="BU236" s="2"/>
      <c r="BV236" s="2"/>
      <c r="BW236" s="2"/>
      <c r="BX236" s="2"/>
    </row>
    <row r="237" customFormat="false" ht="15" hidden="false" customHeight="false" outlineLevel="0" collapsed="false">
      <c r="A237" s="2" t="n">
        <v>1241529</v>
      </c>
      <c r="B237" s="2" t="s">
        <v>682</v>
      </c>
      <c r="C237" s="2" t="s">
        <v>1921</v>
      </c>
      <c r="D237" s="2" t="s">
        <v>683</v>
      </c>
      <c r="E237" s="2" t="s">
        <v>684</v>
      </c>
      <c r="F237" s="2" t="s">
        <v>139</v>
      </c>
      <c r="G237" s="2" t="s">
        <v>668</v>
      </c>
      <c r="H237" s="2" t="s">
        <v>1014</v>
      </c>
      <c r="I237" s="2" t="s">
        <v>668</v>
      </c>
      <c r="J237" s="22" t="n">
        <v>44762</v>
      </c>
      <c r="K237" s="22" t="n">
        <v>45323</v>
      </c>
      <c r="L237" s="22" t="n">
        <v>46133.3082650463</v>
      </c>
      <c r="M237" s="2" t="s">
        <v>1893</v>
      </c>
      <c r="N237" s="2" t="s">
        <v>121</v>
      </c>
      <c r="O237" s="2"/>
      <c r="P237" s="2" t="s">
        <v>1017</v>
      </c>
      <c r="Q237" s="10" t="n">
        <v>20</v>
      </c>
      <c r="R237" s="10"/>
      <c r="S237" s="10"/>
      <c r="T237" s="2" t="s">
        <v>120</v>
      </c>
      <c r="U237" s="2"/>
      <c r="V237" s="2" t="s">
        <v>1029</v>
      </c>
      <c r="W237" s="2" t="s">
        <v>1030</v>
      </c>
      <c r="X237" s="7"/>
      <c r="Y237" s="2" t="str">
        <f aca="false">IF(X237&lt;&gt;"",X237,T237)</f>
        <v>Primary</v>
      </c>
      <c r="Z237" s="2" t="str">
        <f aca="false">IF(OR(Y237="Primary",Y237="Additional phase",Y237="Additional application on site",Y237="Replaces earlier",Y237="Extension of duration (parent not in CIS)"),"Yes","No")</f>
        <v>Yes</v>
      </c>
      <c r="AA237" s="2"/>
      <c r="AB237" s="2" t="n">
        <f aca="false">IF(L237="","",ROUND((Method!$B$4-L237)/30.44,0))</f>
        <v>5</v>
      </c>
      <c r="AC237" s="2" t="str">
        <f aca="false">IF(AB237="","No",IF(AB237&gt;Method!$B$5,"Yes","No"))</f>
        <v>No</v>
      </c>
      <c r="AD237" s="22" t="n">
        <f aca="false">IF(BJ237&lt;&gt;"",BJ237,IF(K237&lt;&gt;"",EDATE(K237,60),""))</f>
        <v>47149</v>
      </c>
      <c r="AE237" s="2" t="str">
        <f aca="false">IF(AND(AD237&lt;&gt;"",OR(G237="Permission Granted",G237="Commencement Expected",G237="Stalled or Suspended")),IF(AD237&lt;Method!$B$4,"Yes","No"),"No")</f>
        <v>No</v>
      </c>
      <c r="AF237" s="7"/>
      <c r="AG237" s="2" t="str">
        <f aca="false">IF(Z237="No","Not counted",IF(AF237="Lapsed or dead","Excluded",IF(AF237="Constrained","Constrained / uncertain",IF(AF237="Confirmed live",IF(G237="On Site","Committed",IF(G237="Part Complete","Committed",IF(G237="Contract Awarded","Committed Pre-Construction",IF(G237="Tender","Advanced Pre-Construction",IF(G237="Commencement Expected","Likely",IF(G237="Permission Granted","Potential",IF(G237="Stalled or Suspended","Constrained / uncertain",IF(G237="Complete","Delivered","Application Pipeline")))))))),IF(G237="Complete","Delivered",IF(AND(OR(G237="Permission Granted",G237="Commencement Expected"),OR(AC237="Yes",AE237="Yes")),"Constrained / uncertain",IF(G237="On Site","Committed",IF(G237="Part Complete","Committed",IF(G237="Contract Awarded","Committed Pre-Construction",IF(G237="Tender","Advanced Pre-Construction",IF(G237="Commencement Expected","Likely",IF(G237="Permission Granted","Potential",IF(G237="Stalled or Suspended","Constrained / uncertain",IF(G237="Complete","Delivered","Application Pipeline"))))))))))))))</f>
        <v>Committed Pre-Construction</v>
      </c>
      <c r="AH237" s="2" t="str">
        <f aca="false">IF(Z237="No","Relationship: "&amp;Y237,IF(AF237&lt;&gt;"","Analyst: "&amp;AF237,IF(G237="Complete","Complete",IF(AND(OR(G237="Permission Granted",G237="Commencement Expected"),AE237="Yes"),"Past expiry",IF(AND(OR(G237="Permission Granted",G237="Commencement Expected"),AC237="Yes"),"No CIS update in "&amp;AB237&amp;" months","As CIS")))))</f>
        <v>As CIS</v>
      </c>
      <c r="AI237" s="10" t="n">
        <f aca="false">IF(Z237="Yes",N(Q237),0)</f>
        <v>20</v>
      </c>
      <c r="AJ237" s="10" t="n">
        <f aca="false">IF(OR(Z237="No",G237="Complete"),0,MAX(N(Q237)-N(AA237),0))</f>
        <v>20</v>
      </c>
      <c r="AK237" s="10" t="n">
        <f aca="false">IF(Z237="No",0,IF(G237="Complete",N(Q237),MIN(N(AA237),N(Q237))))</f>
        <v>0</v>
      </c>
      <c r="AL237" s="10" t="n">
        <f aca="false">IF(OR(OR(AG237="Not counted",AG237="Excluded",AG237="Delivered"),P237="Student accommodation"),0,AJ237)</f>
        <v>20</v>
      </c>
      <c r="AM237" s="10" t="n">
        <f aca="false">IF(OR(OR(AG237="Not counted",AG237="Excluded",AG237="Delivered"),P237&lt;&gt;"Student accommodation"),0,AJ237)</f>
        <v>0</v>
      </c>
      <c r="AN237" s="10" t="n">
        <f aca="false">IF(OR(AG237="Not counted",AG237="Excluded",AG237="Delivered"),0,N(S237))</f>
        <v>0</v>
      </c>
      <c r="AO237" s="2" t="s">
        <v>1157</v>
      </c>
      <c r="AP237" s="10"/>
      <c r="AQ237" s="10" t="n">
        <v>10</v>
      </c>
      <c r="AR237" s="10" t="n">
        <v>10</v>
      </c>
      <c r="AS237" s="10"/>
      <c r="AT237" s="10"/>
      <c r="AU237" s="10"/>
      <c r="AV237" s="10" t="n">
        <f aca="false">N(AP237)+N(AQ237)+N(AR237)+N(AS237)+N(AT237)+N(AU237)</f>
        <v>20</v>
      </c>
      <c r="AW237" s="10"/>
      <c r="AX237" s="10" t="n">
        <v>20</v>
      </c>
      <c r="AY237" s="10"/>
      <c r="AZ237" s="2"/>
      <c r="BA237" s="2" t="s">
        <v>1022</v>
      </c>
      <c r="BB237" s="2" t="s">
        <v>1921</v>
      </c>
      <c r="BC237" s="2" t="s">
        <v>1023</v>
      </c>
      <c r="BD237" s="2" t="s">
        <v>1024</v>
      </c>
      <c r="BE237" s="2" t="s">
        <v>1024</v>
      </c>
      <c r="BF237" s="2" t="s">
        <v>1059</v>
      </c>
      <c r="BG237" s="22" t="n">
        <v>44817</v>
      </c>
      <c r="BH237" s="22" t="n">
        <v>47149</v>
      </c>
      <c r="BI237" s="2"/>
      <c r="BJ237" s="22" t="n">
        <v>47149</v>
      </c>
      <c r="BK237" s="2"/>
      <c r="BL237" s="2" t="n">
        <v>0</v>
      </c>
      <c r="BM237" s="2"/>
      <c r="BN237" s="2" t="s">
        <v>1922</v>
      </c>
      <c r="BO237" s="23" t="s">
        <v>1923</v>
      </c>
      <c r="BP237" s="2" t="n">
        <f aca="false">IF(OR(K237="",BG237=""),"",ROUND(BG237-K237,0))</f>
        <v>-506</v>
      </c>
      <c r="BQ237" s="2" t="str">
        <f aca="false">IF(OR(N(BK237)=0,Q237=""),"Not recorded",IF(BK237=Q237,"Match","Differs"))</f>
        <v>Not recorded</v>
      </c>
      <c r="BR237" s="2" t="str">
        <f aca="false">IF(N237="No","Excluded (non-residential)",IF(BF237="No reference","Unverified – no reference",IF(BF237="Not in council register","Unverified – not in register (Part 8 / other)",IF(OR(BF237="Refused",BF237="Refused on appeal",BF237="Withdrawn",BF237="Invalid",BF237="Quashed"),IF(OR(G237="Complete",G237="On Site",G237="Part Complete"),"Conflict – register not live but CIS says built","Conflict – not live in register"),IF(AND(G237="Plans Submitted",OR(BF237="Granted",BF237="Granted on appeal")),"Stage out of date – now granted",IF(AND(G237&lt;&gt;"Plans Submitted",OR(BF237="Pending",BF237="Under appeal")),"Check – register still pending",IF(N(BL237)&gt;Method!$B$7,"Check – location differs",IF(AND(BP237&lt;&gt;"",ABS(N(BP237))&gt;60),"Consistent – decision date differs","Consistent"))))))))</f>
        <v>Consistent – decision date differs</v>
      </c>
      <c r="BS237" s="2"/>
      <c r="BT237" s="2"/>
      <c r="BU237" s="2"/>
      <c r="BV237" s="2"/>
      <c r="BW237" s="2"/>
      <c r="BX237" s="2"/>
    </row>
    <row r="238" customFormat="false" ht="15" hidden="false" customHeight="false" outlineLevel="0" collapsed="false">
      <c r="A238" s="2" t="n">
        <v>1250272</v>
      </c>
      <c r="B238" s="2" t="s">
        <v>685</v>
      </c>
      <c r="C238" s="2" t="s">
        <v>1924</v>
      </c>
      <c r="D238" s="2" t="s">
        <v>686</v>
      </c>
      <c r="E238" s="2" t="s">
        <v>687</v>
      </c>
      <c r="F238" s="2" t="s">
        <v>139</v>
      </c>
      <c r="G238" s="2" t="s">
        <v>187</v>
      </c>
      <c r="H238" s="2" t="s">
        <v>1014</v>
      </c>
      <c r="I238" s="2"/>
      <c r="J238" s="22" t="n">
        <v>44819</v>
      </c>
      <c r="K238" s="22" t="n">
        <v>45085</v>
      </c>
      <c r="L238" s="22" t="n">
        <v>45090</v>
      </c>
      <c r="M238" s="2" t="s">
        <v>1904</v>
      </c>
      <c r="N238" s="2" t="s">
        <v>121</v>
      </c>
      <c r="O238" s="2"/>
      <c r="P238" s="2" t="s">
        <v>1017</v>
      </c>
      <c r="Q238" s="10" t="n">
        <v>29</v>
      </c>
      <c r="R238" s="10" t="n">
        <v>29</v>
      </c>
      <c r="S238" s="10"/>
      <c r="T238" s="2" t="s">
        <v>30</v>
      </c>
      <c r="U238" s="2"/>
      <c r="V238" s="2" t="s">
        <v>1080</v>
      </c>
      <c r="W238" s="2" t="s">
        <v>1020</v>
      </c>
      <c r="X238" s="7"/>
      <c r="Y238" s="2" t="str">
        <f aca="false">IF(X238&lt;&gt;"",X238,T238)</f>
        <v>Additional application on site</v>
      </c>
      <c r="Z238" s="2" t="str">
        <f aca="false">IF(OR(Y238="Primary",Y238="Additional phase",Y238="Additional application on site",Y238="Replaces earlier",Y238="Extension of duration (parent not in CIS)"),"Yes","No")</f>
        <v>Yes</v>
      </c>
      <c r="AA238" s="2"/>
      <c r="AB238" s="2" t="n">
        <f aca="false">IF(L238="","",ROUND((Method!$B$4-L238)/30.44,0))</f>
        <v>40</v>
      </c>
      <c r="AC238" s="2" t="str">
        <f aca="false">IF(AB238="","No",IF(AB238&gt;Method!$B$5,"Yes","No"))</f>
        <v>Yes</v>
      </c>
      <c r="AD238" s="22" t="n">
        <f aca="false">IF(BJ238&lt;&gt;"",BJ238,IF(K238&lt;&gt;"",EDATE(K238,60),""))</f>
        <v>46945</v>
      </c>
      <c r="AE238" s="2" t="str">
        <f aca="false">IF(AND(AD238&lt;&gt;"",OR(G238="Permission Granted",G238="Commencement Expected",G238="Stalled or Suspended")),IF(AD238&lt;Method!$B$4,"Yes","No"),"No")</f>
        <v>No</v>
      </c>
      <c r="AF238" s="7"/>
      <c r="AG238" s="2" t="str">
        <f aca="false">IF(Z238="No","Not counted",IF(AF238="Lapsed or dead","Excluded",IF(AF238="Constrained","Constrained / uncertain",IF(AF238="Confirmed live",IF(G238="On Site","Committed",IF(G238="Part Complete","Committed",IF(G238="Contract Awarded","Committed Pre-Construction",IF(G238="Tender","Advanced Pre-Construction",IF(G238="Commencement Expected","Likely",IF(G238="Permission Granted","Potential",IF(G238="Stalled or Suspended","Constrained / uncertain",IF(G238="Complete","Delivered","Application Pipeline")))))))),IF(G238="Complete","Delivered",IF(AND(OR(G238="Permission Granted",G238="Commencement Expected"),OR(AC238="Yes",AE238="Yes")),"Constrained / uncertain",IF(G238="On Site","Committed",IF(G238="Part Complete","Committed",IF(G238="Contract Awarded","Committed Pre-Construction",IF(G238="Tender","Advanced Pre-Construction",IF(G238="Commencement Expected","Likely",IF(G238="Permission Granted","Potential",IF(G238="Stalled or Suspended","Constrained / uncertain",IF(G238="Complete","Delivered","Application Pipeline"))))))))))))))</f>
        <v>Constrained / uncertain</v>
      </c>
      <c r="AH238" s="2" t="str">
        <f aca="false">IF(Z238="No","Relationship: "&amp;Y238,IF(AF238&lt;&gt;"","Analyst: "&amp;AF238,IF(G238="Complete","Complete",IF(AND(OR(G238="Permission Granted",G238="Commencement Expected"),AE238="Yes"),"Past expiry",IF(AND(OR(G238="Permission Granted",G238="Commencement Expected"),AC238="Yes"),"No CIS update in "&amp;AB238&amp;" months","As CIS")))))</f>
        <v>No CIS update in 40 months</v>
      </c>
      <c r="AI238" s="10" t="n">
        <f aca="false">IF(Z238="Yes",N(Q238),0)</f>
        <v>29</v>
      </c>
      <c r="AJ238" s="10" t="n">
        <f aca="false">IF(OR(Z238="No",G238="Complete"),0,MAX(N(Q238)-N(AA238),0))</f>
        <v>29</v>
      </c>
      <c r="AK238" s="10" t="n">
        <f aca="false">IF(Z238="No",0,IF(G238="Complete",N(Q238),MIN(N(AA238),N(Q238))))</f>
        <v>0</v>
      </c>
      <c r="AL238" s="10" t="n">
        <f aca="false">IF(OR(OR(AG238="Not counted",AG238="Excluded",AG238="Delivered"),P238="Student accommodation"),0,AJ238)</f>
        <v>29</v>
      </c>
      <c r="AM238" s="10" t="n">
        <f aca="false">IF(OR(OR(AG238="Not counted",AG238="Excluded",AG238="Delivered"),P238&lt;&gt;"Student accommodation"),0,AJ238)</f>
        <v>0</v>
      </c>
      <c r="AN238" s="10" t="n">
        <f aca="false">IF(OR(AG238="Not counted",AG238="Excluded",AG238="Delivered"),0,N(S238))</f>
        <v>0</v>
      </c>
      <c r="AO238" s="2" t="s">
        <v>1157</v>
      </c>
      <c r="AP238" s="10"/>
      <c r="AQ238" s="10" t="n">
        <v>1</v>
      </c>
      <c r="AR238" s="10" t="n">
        <v>24</v>
      </c>
      <c r="AS238" s="10" t="n">
        <v>4</v>
      </c>
      <c r="AT238" s="10"/>
      <c r="AU238" s="10"/>
      <c r="AV238" s="10" t="n">
        <f aca="false">N(AP238)+N(AQ238)+N(AR238)+N(AS238)+N(AT238)+N(AU238)</f>
        <v>29</v>
      </c>
      <c r="AW238" s="10"/>
      <c r="AX238" s="10" t="n">
        <v>29</v>
      </c>
      <c r="AY238" s="10"/>
      <c r="AZ238" s="2"/>
      <c r="BA238" s="2" t="s">
        <v>1022</v>
      </c>
      <c r="BB238" s="2" t="s">
        <v>1924</v>
      </c>
      <c r="BC238" s="2" t="s">
        <v>1023</v>
      </c>
      <c r="BD238" s="2" t="s">
        <v>1024</v>
      </c>
      <c r="BE238" s="2"/>
      <c r="BF238" s="2" t="s">
        <v>1025</v>
      </c>
      <c r="BG238" s="22" t="n">
        <v>45085</v>
      </c>
      <c r="BH238" s="22" t="n">
        <v>46945</v>
      </c>
      <c r="BI238" s="2"/>
      <c r="BJ238" s="22" t="n">
        <v>46945</v>
      </c>
      <c r="BK238" s="2" t="n">
        <v>29</v>
      </c>
      <c r="BL238" s="2" t="n">
        <v>0</v>
      </c>
      <c r="BM238" s="2"/>
      <c r="BN238" s="2" t="s">
        <v>1925</v>
      </c>
      <c r="BO238" s="23" t="s">
        <v>1926</v>
      </c>
      <c r="BP238" s="2" t="n">
        <f aca="false">IF(OR(K238="",BG238=""),"",ROUND(BG238-K238,0))</f>
        <v>0</v>
      </c>
      <c r="BQ238" s="2" t="str">
        <f aca="false">IF(OR(N(BK238)=0,Q238=""),"Not recorded",IF(BK238=Q238,"Match","Differs"))</f>
        <v>Match</v>
      </c>
      <c r="BR238" s="2" t="str">
        <f aca="false">IF(N238="No","Excluded (non-residential)",IF(BF238="No reference","Unverified – no reference",IF(BF238="Not in council register","Unverified – not in register (Part 8 / other)",IF(OR(BF238="Refused",BF238="Refused on appeal",BF238="Withdrawn",BF238="Invalid",BF238="Quashed"),IF(OR(G238="Complete",G238="On Site",G238="Part Complete"),"Conflict – register not live but CIS says built","Conflict – not live in register"),IF(AND(G238="Plans Submitted",OR(BF238="Granted",BF238="Granted on appeal")),"Stage out of date – now granted",IF(AND(G238&lt;&gt;"Plans Submitted",OR(BF238="Pending",BF238="Under appeal")),"Check – register still pending",IF(N(BL238)&gt;Method!$B$7,"Check – location differs",IF(AND(BP238&lt;&gt;"",ABS(N(BP238))&gt;60),"Consistent – decision date differs","Consistent"))))))))</f>
        <v>Consistent</v>
      </c>
      <c r="BS238" s="2"/>
      <c r="BT238" s="2"/>
      <c r="BU238" s="2"/>
      <c r="BV238" s="2"/>
      <c r="BW238" s="2"/>
      <c r="BX238" s="2"/>
    </row>
    <row r="239" customFormat="false" ht="15" hidden="false" customHeight="false" outlineLevel="0" collapsed="false">
      <c r="A239" s="2" t="n">
        <v>1254537</v>
      </c>
      <c r="B239" s="2" t="s">
        <v>689</v>
      </c>
      <c r="C239" s="2" t="s">
        <v>1927</v>
      </c>
      <c r="D239" s="2" t="s">
        <v>690</v>
      </c>
      <c r="E239" s="2" t="s">
        <v>691</v>
      </c>
      <c r="F239" s="2" t="s">
        <v>139</v>
      </c>
      <c r="G239" s="2" t="s">
        <v>187</v>
      </c>
      <c r="H239" s="2" t="s">
        <v>1014</v>
      </c>
      <c r="I239" s="2"/>
      <c r="J239" s="22" t="n">
        <v>44848</v>
      </c>
      <c r="K239" s="22" t="n">
        <v>45057</v>
      </c>
      <c r="L239" s="22" t="n">
        <v>45062</v>
      </c>
      <c r="M239" s="2" t="s">
        <v>1904</v>
      </c>
      <c r="N239" s="2" t="s">
        <v>121</v>
      </c>
      <c r="O239" s="2"/>
      <c r="P239" s="2" t="s">
        <v>1017</v>
      </c>
      <c r="Q239" s="10" t="n">
        <v>30</v>
      </c>
      <c r="R239" s="10" t="n">
        <v>25</v>
      </c>
      <c r="S239" s="10"/>
      <c r="T239" s="2" t="s">
        <v>120</v>
      </c>
      <c r="U239" s="2"/>
      <c r="V239" s="2" t="s">
        <v>1029</v>
      </c>
      <c r="W239" s="2" t="s">
        <v>1030</v>
      </c>
      <c r="X239" s="7"/>
      <c r="Y239" s="2" t="str">
        <f aca="false">IF(X239&lt;&gt;"",X239,T239)</f>
        <v>Primary</v>
      </c>
      <c r="Z239" s="2" t="str">
        <f aca="false">IF(OR(Y239="Primary",Y239="Additional phase",Y239="Additional application on site",Y239="Replaces earlier",Y239="Extension of duration (parent not in CIS)"),"Yes","No")</f>
        <v>Yes</v>
      </c>
      <c r="AA239" s="2"/>
      <c r="AB239" s="2" t="n">
        <f aca="false">IF(L239="","",ROUND((Method!$B$4-L239)/30.44,0))</f>
        <v>40</v>
      </c>
      <c r="AC239" s="2" t="str">
        <f aca="false">IF(AB239="","No",IF(AB239&gt;Method!$B$5,"Yes","No"))</f>
        <v>Yes</v>
      </c>
      <c r="AD239" s="22" t="n">
        <f aca="false">IF(BJ239&lt;&gt;"",BJ239,IF(K239&lt;&gt;"",EDATE(K239,60),""))</f>
        <v>46917</v>
      </c>
      <c r="AE239" s="2" t="str">
        <f aca="false">IF(AND(AD239&lt;&gt;"",OR(G239="Permission Granted",G239="Commencement Expected",G239="Stalled or Suspended")),IF(AD239&lt;Method!$B$4,"Yes","No"),"No")</f>
        <v>No</v>
      </c>
      <c r="AF239" s="7"/>
      <c r="AG239" s="2" t="str">
        <f aca="false">IF(Z239="No","Not counted",IF(AF239="Lapsed or dead","Excluded",IF(AF239="Constrained","Constrained / uncertain",IF(AF239="Confirmed live",IF(G239="On Site","Committed",IF(G239="Part Complete","Committed",IF(G239="Contract Awarded","Committed Pre-Construction",IF(G239="Tender","Advanced Pre-Construction",IF(G239="Commencement Expected","Likely",IF(G239="Permission Granted","Potential",IF(G239="Stalled or Suspended","Constrained / uncertain",IF(G239="Complete","Delivered","Application Pipeline")))))))),IF(G239="Complete","Delivered",IF(AND(OR(G239="Permission Granted",G239="Commencement Expected"),OR(AC239="Yes",AE239="Yes")),"Constrained / uncertain",IF(G239="On Site","Committed",IF(G239="Part Complete","Committed",IF(G239="Contract Awarded","Committed Pre-Construction",IF(G239="Tender","Advanced Pre-Construction",IF(G239="Commencement Expected","Likely",IF(G239="Permission Granted","Potential",IF(G239="Stalled or Suspended","Constrained / uncertain",IF(G239="Complete","Delivered","Application Pipeline"))))))))))))))</f>
        <v>Constrained / uncertain</v>
      </c>
      <c r="AH239" s="2" t="str">
        <f aca="false">IF(Z239="No","Relationship: "&amp;Y239,IF(AF239&lt;&gt;"","Analyst: "&amp;AF239,IF(G239="Complete","Complete",IF(AND(OR(G239="Permission Granted",G239="Commencement Expected"),AE239="Yes"),"Past expiry",IF(AND(OR(G239="Permission Granted",G239="Commencement Expected"),AC239="Yes"),"No CIS update in "&amp;AB239&amp;" months","As CIS")))))</f>
        <v>No CIS update in 40 months</v>
      </c>
      <c r="AI239" s="10" t="n">
        <f aca="false">IF(Z239="Yes",N(Q239),0)</f>
        <v>30</v>
      </c>
      <c r="AJ239" s="10" t="n">
        <f aca="false">IF(OR(Z239="No",G239="Complete"),0,MAX(N(Q239)-N(AA239),0))</f>
        <v>30</v>
      </c>
      <c r="AK239" s="10" t="n">
        <f aca="false">IF(Z239="No",0,IF(G239="Complete",N(Q239),MIN(N(AA239),N(Q239))))</f>
        <v>0</v>
      </c>
      <c r="AL239" s="10" t="n">
        <f aca="false">IF(OR(OR(AG239="Not counted",AG239="Excluded",AG239="Delivered"),P239="Student accommodation"),0,AJ239)</f>
        <v>30</v>
      </c>
      <c r="AM239" s="10" t="n">
        <f aca="false">IF(OR(OR(AG239="Not counted",AG239="Excluded",AG239="Delivered"),P239&lt;&gt;"Student accommodation"),0,AJ239)</f>
        <v>0</v>
      </c>
      <c r="AN239" s="10" t="n">
        <f aca="false">IF(OR(AG239="Not counted",AG239="Excluded",AG239="Delivered"),0,N(S239))</f>
        <v>0</v>
      </c>
      <c r="AO239" s="2" t="s">
        <v>1157</v>
      </c>
      <c r="AP239" s="10"/>
      <c r="AQ239" s="10" t="n">
        <v>20</v>
      </c>
      <c r="AR239" s="10" t="n">
        <v>10</v>
      </c>
      <c r="AS239" s="10"/>
      <c r="AT239" s="10"/>
      <c r="AU239" s="10"/>
      <c r="AV239" s="10" t="n">
        <f aca="false">N(AP239)+N(AQ239)+N(AR239)+N(AS239)+N(AT239)+N(AU239)</f>
        <v>30</v>
      </c>
      <c r="AW239" s="10"/>
      <c r="AX239" s="10" t="n">
        <v>30</v>
      </c>
      <c r="AY239" s="10"/>
      <c r="AZ239" s="2"/>
      <c r="BA239" s="2" t="s">
        <v>1022</v>
      </c>
      <c r="BB239" s="2" t="s">
        <v>1927</v>
      </c>
      <c r="BC239" s="2" t="s">
        <v>1023</v>
      </c>
      <c r="BD239" s="2" t="s">
        <v>1024</v>
      </c>
      <c r="BE239" s="2"/>
      <c r="BF239" s="2" t="s">
        <v>1025</v>
      </c>
      <c r="BG239" s="22" t="n">
        <v>45057</v>
      </c>
      <c r="BH239" s="22" t="n">
        <v>46917</v>
      </c>
      <c r="BI239" s="2"/>
      <c r="BJ239" s="22" t="n">
        <v>46917</v>
      </c>
      <c r="BK239" s="2"/>
      <c r="BL239" s="2" t="n">
        <v>0</v>
      </c>
      <c r="BM239" s="2"/>
      <c r="BN239" s="2" t="s">
        <v>1928</v>
      </c>
      <c r="BO239" s="23" t="s">
        <v>1929</v>
      </c>
      <c r="BP239" s="2" t="n">
        <f aca="false">IF(OR(K239="",BG239=""),"",ROUND(BG239-K239,0))</f>
        <v>0</v>
      </c>
      <c r="BQ239" s="2" t="str">
        <f aca="false">IF(OR(N(BK239)=0,Q239=""),"Not recorded",IF(BK239=Q239,"Match","Differs"))</f>
        <v>Not recorded</v>
      </c>
      <c r="BR239" s="2" t="str">
        <f aca="false">IF(N239="No","Excluded (non-residential)",IF(BF239="No reference","Unverified – no reference",IF(BF239="Not in council register","Unverified – not in register (Part 8 / other)",IF(OR(BF239="Refused",BF239="Refused on appeal",BF239="Withdrawn",BF239="Invalid",BF239="Quashed"),IF(OR(G239="Complete",G239="On Site",G239="Part Complete"),"Conflict – register not live but CIS says built","Conflict – not live in register"),IF(AND(G239="Plans Submitted",OR(BF239="Granted",BF239="Granted on appeal")),"Stage out of date – now granted",IF(AND(G239&lt;&gt;"Plans Submitted",OR(BF239="Pending",BF239="Under appeal")),"Check – register still pending",IF(N(BL239)&gt;Method!$B$7,"Check – location differs",IF(AND(BP239&lt;&gt;"",ABS(N(BP239))&gt;60),"Consistent – decision date differs","Consistent"))))))))</f>
        <v>Consistent</v>
      </c>
      <c r="BS239" s="2"/>
      <c r="BT239" s="2"/>
      <c r="BU239" s="2"/>
      <c r="BV239" s="2"/>
      <c r="BW239" s="2"/>
      <c r="BX239" s="2"/>
    </row>
    <row r="240" customFormat="false" ht="15" hidden="false" customHeight="false" outlineLevel="0" collapsed="false">
      <c r="A240" s="2" t="n">
        <v>1277663</v>
      </c>
      <c r="B240" s="2" t="s">
        <v>692</v>
      </c>
      <c r="C240" s="2" t="s">
        <v>1930</v>
      </c>
      <c r="D240" s="2" t="s">
        <v>693</v>
      </c>
      <c r="E240" s="2" t="s">
        <v>211</v>
      </c>
      <c r="F240" s="2" t="s">
        <v>142</v>
      </c>
      <c r="G240" s="2" t="s">
        <v>668</v>
      </c>
      <c r="H240" s="2" t="s">
        <v>1014</v>
      </c>
      <c r="I240" s="2" t="s">
        <v>668</v>
      </c>
      <c r="J240" s="22" t="n">
        <v>44998</v>
      </c>
      <c r="K240" s="22" t="n">
        <v>45210</v>
      </c>
      <c r="L240" s="22" t="n">
        <v>45831.3737283218</v>
      </c>
      <c r="M240" s="2" t="s">
        <v>1893</v>
      </c>
      <c r="N240" s="2" t="s">
        <v>121</v>
      </c>
      <c r="O240" s="2"/>
      <c r="P240" s="2" t="s">
        <v>1017</v>
      </c>
      <c r="Q240" s="10" t="n">
        <v>41</v>
      </c>
      <c r="R240" s="10" t="n">
        <v>41</v>
      </c>
      <c r="S240" s="10"/>
      <c r="T240" s="2" t="s">
        <v>30</v>
      </c>
      <c r="U240" s="2"/>
      <c r="V240" s="2" t="s">
        <v>1080</v>
      </c>
      <c r="W240" s="2" t="s">
        <v>1020</v>
      </c>
      <c r="X240" s="7"/>
      <c r="Y240" s="2" t="str">
        <f aca="false">IF(X240&lt;&gt;"",X240,T240)</f>
        <v>Additional application on site</v>
      </c>
      <c r="Z240" s="2" t="str">
        <f aca="false">IF(OR(Y240="Primary",Y240="Additional phase",Y240="Additional application on site",Y240="Replaces earlier",Y240="Extension of duration (parent not in CIS)"),"Yes","No")</f>
        <v>Yes</v>
      </c>
      <c r="AA240" s="2"/>
      <c r="AB240" s="2" t="n">
        <f aca="false">IF(L240="","",ROUND((Method!$B$4-L240)/30.44,0))</f>
        <v>15</v>
      </c>
      <c r="AC240" s="2" t="str">
        <f aca="false">IF(AB240="","No",IF(AB240&gt;Method!$B$5,"Yes","No"))</f>
        <v>No</v>
      </c>
      <c r="AD240" s="22" t="n">
        <f aca="false">IF(BJ240&lt;&gt;"",BJ240,IF(K240&lt;&gt;"",EDATE(K240,60),""))</f>
        <v>47071</v>
      </c>
      <c r="AE240" s="2" t="str">
        <f aca="false">IF(AND(AD240&lt;&gt;"",OR(G240="Permission Granted",G240="Commencement Expected",G240="Stalled or Suspended")),IF(AD240&lt;Method!$B$4,"Yes","No"),"No")</f>
        <v>No</v>
      </c>
      <c r="AF240" s="7"/>
      <c r="AG240" s="2" t="str">
        <f aca="false">IF(Z240="No","Not counted",IF(AF240="Lapsed or dead","Excluded",IF(AF240="Constrained","Constrained / uncertain",IF(AF240="Confirmed live",IF(G240="On Site","Committed",IF(G240="Part Complete","Committed",IF(G240="Contract Awarded","Committed Pre-Construction",IF(G240="Tender","Advanced Pre-Construction",IF(G240="Commencement Expected","Likely",IF(G240="Permission Granted","Potential",IF(G240="Stalled or Suspended","Constrained / uncertain",IF(G240="Complete","Delivered","Application Pipeline")))))))),IF(G240="Complete","Delivered",IF(AND(OR(G240="Permission Granted",G240="Commencement Expected"),OR(AC240="Yes",AE240="Yes")),"Constrained / uncertain",IF(G240="On Site","Committed",IF(G240="Part Complete","Committed",IF(G240="Contract Awarded","Committed Pre-Construction",IF(G240="Tender","Advanced Pre-Construction",IF(G240="Commencement Expected","Likely",IF(G240="Permission Granted","Potential",IF(G240="Stalled or Suspended","Constrained / uncertain",IF(G240="Complete","Delivered","Application Pipeline"))))))))))))))</f>
        <v>Committed Pre-Construction</v>
      </c>
      <c r="AH240" s="2" t="str">
        <f aca="false">IF(Z240="No","Relationship: "&amp;Y240,IF(AF240&lt;&gt;"","Analyst: "&amp;AF240,IF(G240="Complete","Complete",IF(AND(OR(G240="Permission Granted",G240="Commencement Expected"),AE240="Yes"),"Past expiry",IF(AND(OR(G240="Permission Granted",G240="Commencement Expected"),AC240="Yes"),"No CIS update in "&amp;AB240&amp;" months","As CIS")))))</f>
        <v>As CIS</v>
      </c>
      <c r="AI240" s="10" t="n">
        <f aca="false">IF(Z240="Yes",N(Q240),0)</f>
        <v>41</v>
      </c>
      <c r="AJ240" s="10" t="n">
        <f aca="false">IF(OR(Z240="No",G240="Complete"),0,MAX(N(Q240)-N(AA240),0))</f>
        <v>41</v>
      </c>
      <c r="AK240" s="10" t="n">
        <f aca="false">IF(Z240="No",0,IF(G240="Complete",N(Q240),MIN(N(AA240),N(Q240))))</f>
        <v>0</v>
      </c>
      <c r="AL240" s="10" t="n">
        <f aca="false">IF(OR(OR(AG240="Not counted",AG240="Excluded",AG240="Delivered"),P240="Student accommodation"),0,AJ240)</f>
        <v>41</v>
      </c>
      <c r="AM240" s="10" t="n">
        <f aca="false">IF(OR(OR(AG240="Not counted",AG240="Excluded",AG240="Delivered"),P240&lt;&gt;"Student accommodation"),0,AJ240)</f>
        <v>0</v>
      </c>
      <c r="AN240" s="10" t="n">
        <f aca="false">IF(OR(AG240="Not counted",AG240="Excluded",AG240="Delivered"),0,N(S240))</f>
        <v>0</v>
      </c>
      <c r="AO240" s="2" t="s">
        <v>1232</v>
      </c>
      <c r="AP240" s="10"/>
      <c r="AQ240" s="10"/>
      <c r="AR240" s="10"/>
      <c r="AS240" s="10" t="n">
        <v>41</v>
      </c>
      <c r="AT240" s="10"/>
      <c r="AU240" s="10"/>
      <c r="AV240" s="10" t="n">
        <f aca="false">N(AP240)+N(AQ240)+N(AR240)+N(AS240)+N(AT240)+N(AU240)</f>
        <v>41</v>
      </c>
      <c r="AW240" s="10" t="n">
        <v>41</v>
      </c>
      <c r="AX240" s="10"/>
      <c r="AY240" s="10"/>
      <c r="AZ240" s="2" t="s">
        <v>1931</v>
      </c>
      <c r="BA240" s="2" t="s">
        <v>1022</v>
      </c>
      <c r="BB240" s="2" t="s">
        <v>1930</v>
      </c>
      <c r="BC240" s="2" t="s">
        <v>1023</v>
      </c>
      <c r="BD240" s="2" t="s">
        <v>1024</v>
      </c>
      <c r="BE240" s="2"/>
      <c r="BF240" s="2" t="s">
        <v>1025</v>
      </c>
      <c r="BG240" s="22" t="n">
        <v>45210</v>
      </c>
      <c r="BH240" s="22" t="n">
        <v>47071</v>
      </c>
      <c r="BI240" s="2"/>
      <c r="BJ240" s="22" t="n">
        <v>47071</v>
      </c>
      <c r="BK240" s="2" t="n">
        <v>41</v>
      </c>
      <c r="BL240" s="2" t="n">
        <v>0</v>
      </c>
      <c r="BM240" s="2"/>
      <c r="BN240" s="2" t="s">
        <v>1932</v>
      </c>
      <c r="BO240" s="23" t="s">
        <v>1933</v>
      </c>
      <c r="BP240" s="2" t="n">
        <f aca="false">IF(OR(K240="",BG240=""),"",ROUND(BG240-K240,0))</f>
        <v>0</v>
      </c>
      <c r="BQ240" s="2" t="str">
        <f aca="false">IF(OR(N(BK240)=0,Q240=""),"Not recorded",IF(BK240=Q240,"Match","Differs"))</f>
        <v>Match</v>
      </c>
      <c r="BR240" s="2" t="str">
        <f aca="false">IF(N240="No","Excluded (non-residential)",IF(BF240="No reference","Unverified – no reference",IF(BF240="Not in council register","Unverified – not in register (Part 8 / other)",IF(OR(BF240="Refused",BF240="Refused on appeal",BF240="Withdrawn",BF240="Invalid",BF240="Quashed"),IF(OR(G240="Complete",G240="On Site",G240="Part Complete"),"Conflict – register not live but CIS says built","Conflict – not live in register"),IF(AND(G240="Plans Submitted",OR(BF240="Granted",BF240="Granted on appeal")),"Stage out of date – now granted",IF(AND(G240&lt;&gt;"Plans Submitted",OR(BF240="Pending",BF240="Under appeal")),"Check – register still pending",IF(N(BL240)&gt;Method!$B$7,"Check – location differs",IF(AND(BP240&lt;&gt;"",ABS(N(BP240))&gt;60),"Consistent – decision date differs","Consistent"))))))))</f>
        <v>Consistent</v>
      </c>
      <c r="BS240" s="2"/>
      <c r="BT240" s="2"/>
      <c r="BU240" s="2"/>
      <c r="BV240" s="2"/>
      <c r="BW240" s="2"/>
      <c r="BX240" s="2"/>
    </row>
    <row r="241" customFormat="false" ht="15" hidden="false" customHeight="false" outlineLevel="0" collapsed="false">
      <c r="A241" s="2" t="n">
        <v>1278374</v>
      </c>
      <c r="B241" s="2" t="s">
        <v>695</v>
      </c>
      <c r="C241" s="2" t="s">
        <v>1934</v>
      </c>
      <c r="D241" s="2" t="s">
        <v>696</v>
      </c>
      <c r="E241" s="2" t="s">
        <v>697</v>
      </c>
      <c r="F241" s="2" t="s">
        <v>139</v>
      </c>
      <c r="G241" s="2" t="s">
        <v>198</v>
      </c>
      <c r="H241" s="2" t="s">
        <v>1014</v>
      </c>
      <c r="I241" s="2" t="s">
        <v>198</v>
      </c>
      <c r="J241" s="22" t="n">
        <v>45001</v>
      </c>
      <c r="K241" s="22" t="n">
        <v>45127</v>
      </c>
      <c r="L241" s="22" t="n">
        <v>46001</v>
      </c>
      <c r="M241" s="2" t="s">
        <v>1904</v>
      </c>
      <c r="N241" s="2" t="s">
        <v>121</v>
      </c>
      <c r="O241" s="2"/>
      <c r="P241" s="2" t="s">
        <v>1017</v>
      </c>
      <c r="Q241" s="10" t="n">
        <v>24</v>
      </c>
      <c r="R241" s="10"/>
      <c r="S241" s="10"/>
      <c r="T241" s="2" t="s">
        <v>120</v>
      </c>
      <c r="U241" s="2"/>
      <c r="V241" s="2" t="s">
        <v>1029</v>
      </c>
      <c r="W241" s="2" t="s">
        <v>1030</v>
      </c>
      <c r="X241" s="7"/>
      <c r="Y241" s="2" t="str">
        <f aca="false">IF(X241&lt;&gt;"",X241,T241)</f>
        <v>Primary</v>
      </c>
      <c r="Z241" s="2" t="str">
        <f aca="false">IF(OR(Y241="Primary",Y241="Additional phase",Y241="Additional application on site",Y241="Replaces earlier",Y241="Extension of duration (parent not in CIS)"),"Yes","No")</f>
        <v>Yes</v>
      </c>
      <c r="AA241" s="2"/>
      <c r="AB241" s="2" t="n">
        <f aca="false">IF(L241="","",ROUND((Method!$B$4-L241)/30.44,0))</f>
        <v>10</v>
      </c>
      <c r="AC241" s="2" t="str">
        <f aca="false">IF(AB241="","No",IF(AB241&gt;Method!$B$5,"Yes","No"))</f>
        <v>No</v>
      </c>
      <c r="AD241" s="22" t="n">
        <f aca="false">IF(BJ241&lt;&gt;"",BJ241,IF(K241&lt;&gt;"",EDATE(K241,60),""))</f>
        <v>46986</v>
      </c>
      <c r="AE241" s="2" t="str">
        <f aca="false">IF(AND(AD241&lt;&gt;"",OR(G241="Permission Granted",G241="Commencement Expected",G241="Stalled or Suspended")),IF(AD241&lt;Method!$B$4,"Yes","No"),"No")</f>
        <v>No</v>
      </c>
      <c r="AF241" s="7"/>
      <c r="AG241" s="2" t="str">
        <f aca="false">IF(Z241="No","Not counted",IF(AF241="Lapsed or dead","Excluded",IF(AF241="Constrained","Constrained / uncertain",IF(AF241="Confirmed live",IF(G241="On Site","Committed",IF(G241="Part Complete","Committed",IF(G241="Contract Awarded","Committed Pre-Construction",IF(G241="Tender","Advanced Pre-Construction",IF(G241="Commencement Expected","Likely",IF(G241="Permission Granted","Potential",IF(G241="Stalled or Suspended","Constrained / uncertain",IF(G241="Complete","Delivered","Application Pipeline")))))))),IF(G241="Complete","Delivered",IF(AND(OR(G241="Permission Granted",G241="Commencement Expected"),OR(AC241="Yes",AE241="Yes")),"Constrained / uncertain",IF(G241="On Site","Committed",IF(G241="Part Complete","Committed",IF(G241="Contract Awarded","Committed Pre-Construction",IF(G241="Tender","Advanced Pre-Construction",IF(G241="Commencement Expected","Likely",IF(G241="Permission Granted","Potential",IF(G241="Stalled or Suspended","Constrained / uncertain",IF(G241="Complete","Delivered","Application Pipeline"))))))))))))))</f>
        <v>Committed</v>
      </c>
      <c r="AH241" s="2" t="str">
        <f aca="false">IF(Z241="No","Relationship: "&amp;Y241,IF(AF241&lt;&gt;"","Analyst: "&amp;AF241,IF(G241="Complete","Complete",IF(AND(OR(G241="Permission Granted",G241="Commencement Expected"),AE241="Yes"),"Past expiry",IF(AND(OR(G241="Permission Granted",G241="Commencement Expected"),AC241="Yes"),"No CIS update in "&amp;AB241&amp;" months","As CIS")))))</f>
        <v>As CIS</v>
      </c>
      <c r="AI241" s="10" t="n">
        <f aca="false">IF(Z241="Yes",N(Q241),0)</f>
        <v>24</v>
      </c>
      <c r="AJ241" s="10" t="n">
        <f aca="false">IF(OR(Z241="No",G241="Complete"),0,MAX(N(Q241)-N(AA241),0))</f>
        <v>24</v>
      </c>
      <c r="AK241" s="10" t="n">
        <f aca="false">IF(Z241="No",0,IF(G241="Complete",N(Q241),MIN(N(AA241),N(Q241))))</f>
        <v>0</v>
      </c>
      <c r="AL241" s="10" t="n">
        <f aca="false">IF(OR(OR(AG241="Not counted",AG241="Excluded",AG241="Delivered"),P241="Student accommodation"),0,AJ241)</f>
        <v>24</v>
      </c>
      <c r="AM241" s="10" t="n">
        <f aca="false">IF(OR(OR(AG241="Not counted",AG241="Excluded",AG241="Delivered"),P241&lt;&gt;"Student accommodation"),0,AJ241)</f>
        <v>0</v>
      </c>
      <c r="AN241" s="10" t="n">
        <f aca="false">IF(OR(AG241="Not counted",AG241="Excluded",AG241="Delivered"),0,N(S241))</f>
        <v>0</v>
      </c>
      <c r="AO241" s="2" t="s">
        <v>1157</v>
      </c>
      <c r="AP241" s="10"/>
      <c r="AQ241" s="10" t="n">
        <v>13</v>
      </c>
      <c r="AR241" s="10" t="n">
        <v>11</v>
      </c>
      <c r="AS241" s="10"/>
      <c r="AT241" s="10"/>
      <c r="AU241" s="10"/>
      <c r="AV241" s="10" t="n">
        <f aca="false">N(AP241)+N(AQ241)+N(AR241)+N(AS241)+N(AT241)+N(AU241)</f>
        <v>24</v>
      </c>
      <c r="AW241" s="10"/>
      <c r="AX241" s="10" t="n">
        <v>24</v>
      </c>
      <c r="AY241" s="10"/>
      <c r="AZ241" s="2"/>
      <c r="BA241" s="2" t="s">
        <v>1022</v>
      </c>
      <c r="BB241" s="2" t="s">
        <v>1934</v>
      </c>
      <c r="BC241" s="2" t="s">
        <v>1023</v>
      </c>
      <c r="BD241" s="2" t="s">
        <v>1024</v>
      </c>
      <c r="BE241" s="2"/>
      <c r="BF241" s="2" t="s">
        <v>1025</v>
      </c>
      <c r="BG241" s="22" t="n">
        <v>45127</v>
      </c>
      <c r="BH241" s="22" t="n">
        <v>46986</v>
      </c>
      <c r="BI241" s="2"/>
      <c r="BJ241" s="22" t="n">
        <v>46986</v>
      </c>
      <c r="BK241" s="2"/>
      <c r="BL241" s="2" t="n">
        <v>0</v>
      </c>
      <c r="BM241" s="2"/>
      <c r="BN241" s="2" t="s">
        <v>1935</v>
      </c>
      <c r="BO241" s="23" t="s">
        <v>1936</v>
      </c>
      <c r="BP241" s="2" t="n">
        <f aca="false">IF(OR(K241="",BG241=""),"",ROUND(BG241-K241,0))</f>
        <v>0</v>
      </c>
      <c r="BQ241" s="2" t="str">
        <f aca="false">IF(OR(N(BK241)=0,Q241=""),"Not recorded",IF(BK241=Q241,"Match","Differs"))</f>
        <v>Not recorded</v>
      </c>
      <c r="BR241" s="2" t="str">
        <f aca="false">IF(N241="No","Excluded (non-residential)",IF(BF241="No reference","Unverified – no reference",IF(BF241="Not in council register","Unverified – not in register (Part 8 / other)",IF(OR(BF241="Refused",BF241="Refused on appeal",BF241="Withdrawn",BF241="Invalid",BF241="Quashed"),IF(OR(G241="Complete",G241="On Site",G241="Part Complete"),"Conflict – register not live but CIS says built","Conflict – not live in register"),IF(AND(G241="Plans Submitted",OR(BF241="Granted",BF241="Granted on appeal")),"Stage out of date – now granted",IF(AND(G241&lt;&gt;"Plans Submitted",OR(BF241="Pending",BF241="Under appeal")),"Check – register still pending",IF(N(BL241)&gt;Method!$B$7,"Check – location differs",IF(AND(BP241&lt;&gt;"",ABS(N(BP241))&gt;60),"Consistent – decision date differs","Consistent"))))))))</f>
        <v>Consistent</v>
      </c>
      <c r="BS241" s="2"/>
      <c r="BT241" s="2"/>
      <c r="BU241" s="2"/>
      <c r="BV241" s="2"/>
      <c r="BW241" s="2"/>
      <c r="BX241" s="2"/>
    </row>
    <row r="242" customFormat="false" ht="15" hidden="false" customHeight="false" outlineLevel="0" collapsed="false">
      <c r="A242" s="2" t="n">
        <v>1302008</v>
      </c>
      <c r="B242" s="2" t="s">
        <v>698</v>
      </c>
      <c r="C242" s="2" t="s">
        <v>1937</v>
      </c>
      <c r="D242" s="2" t="s">
        <v>699</v>
      </c>
      <c r="E242" s="2" t="s">
        <v>425</v>
      </c>
      <c r="F242" s="2" t="s">
        <v>138</v>
      </c>
      <c r="G242" s="2" t="s">
        <v>700</v>
      </c>
      <c r="H242" s="2" t="s">
        <v>700</v>
      </c>
      <c r="I242" s="2"/>
      <c r="J242" s="22" t="n">
        <v>45135</v>
      </c>
      <c r="K242" s="22"/>
      <c r="L242" s="22" t="n">
        <v>45139.3341538542</v>
      </c>
      <c r="M242" s="2" t="s">
        <v>1893</v>
      </c>
      <c r="N242" s="2" t="s">
        <v>121</v>
      </c>
      <c r="O242" s="2"/>
      <c r="P242" s="2" t="s">
        <v>1017</v>
      </c>
      <c r="Q242" s="10" t="n">
        <v>15</v>
      </c>
      <c r="R242" s="10" t="n">
        <v>15</v>
      </c>
      <c r="S242" s="10"/>
      <c r="T242" s="2" t="s">
        <v>32</v>
      </c>
      <c r="U242" s="2"/>
      <c r="V242" s="2" t="s">
        <v>1447</v>
      </c>
      <c r="W242" s="2" t="s">
        <v>1030</v>
      </c>
      <c r="X242" s="7"/>
      <c r="Y242" s="2" t="str">
        <f aca="false">IF(X242&lt;&gt;"",X242,T242)</f>
        <v>Not live</v>
      </c>
      <c r="Z242" s="2" t="str">
        <f aca="false">IF(OR(Y242="Primary",Y242="Additional phase",Y242="Additional application on site",Y242="Replaces earlier",Y242="Extension of duration (parent not in CIS)"),"Yes","No")</f>
        <v>No</v>
      </c>
      <c r="AA242" s="2"/>
      <c r="AB242" s="2" t="n">
        <f aca="false">IF(L242="","",ROUND((Method!$B$4-L242)/30.44,0))</f>
        <v>38</v>
      </c>
      <c r="AC242" s="2" t="str">
        <f aca="false">IF(AB242="","No",IF(AB242&gt;Method!$B$5,"Yes","No"))</f>
        <v>Yes</v>
      </c>
      <c r="AD242" s="22" t="str">
        <f aca="false">IF(BJ242&lt;&gt;"",BJ242,IF(K242&lt;&gt;"",EDATE(K242,60),""))</f>
        <v/>
      </c>
      <c r="AE242" s="2" t="str">
        <f aca="false">IF(AND(AD242&lt;&gt;"",OR(G242="Permission Granted",G242="Commencement Expected",G242="Stalled or Suspended")),IF(AD242&lt;Method!$B$4,"Yes","No"),"No")</f>
        <v>No</v>
      </c>
      <c r="AF242" s="7"/>
      <c r="AG242" s="2" t="str">
        <f aca="false">IF(Z242="No","Not counted",IF(AF242="Lapsed or dead","Excluded",IF(AF242="Constrained","Constrained / uncertain",IF(AF242="Confirmed live",IF(G242="On Site","Committed",IF(G242="Part Complete","Committed",IF(G242="Contract Awarded","Committed Pre-Construction",IF(G242="Tender","Advanced Pre-Construction",IF(G242="Commencement Expected","Likely",IF(G242="Permission Granted","Potential",IF(G242="Stalled or Suspended","Constrained / uncertain",IF(G242="Complete","Delivered","Application Pipeline")))))))),IF(G242="Complete","Delivered",IF(AND(OR(G242="Permission Granted",G242="Commencement Expected"),OR(AC242="Yes",AE242="Yes")),"Constrained / uncertain",IF(G242="On Site","Committed",IF(G242="Part Complete","Committed",IF(G242="Contract Awarded","Committed Pre-Construction",IF(G242="Tender","Advanced Pre-Construction",IF(G242="Commencement Expected","Likely",IF(G242="Permission Granted","Potential",IF(G242="Stalled or Suspended","Constrained / uncertain",IF(G242="Complete","Delivered","Application Pipeline"))))))))))))))</f>
        <v>Not counted</v>
      </c>
      <c r="AH242" s="2" t="str">
        <f aca="false">IF(Z242="No","Relationship: "&amp;Y242,IF(AF242&lt;&gt;"","Analyst: "&amp;AF242,IF(G242="Complete","Complete",IF(AND(OR(G242="Permission Granted",G242="Commencement Expected"),AE242="Yes"),"Past expiry",IF(AND(OR(G242="Permission Granted",G242="Commencement Expected"),AC242="Yes"),"No CIS update in "&amp;AB242&amp;" months","As CIS")))))</f>
        <v>Relationship: Not live</v>
      </c>
      <c r="AI242" s="10" t="n">
        <f aca="false">IF(Z242="Yes",N(Q242),0)</f>
        <v>0</v>
      </c>
      <c r="AJ242" s="10" t="n">
        <f aca="false">IF(OR(Z242="No",G242="Complete"),0,MAX(N(Q242)-N(AA242),0))</f>
        <v>0</v>
      </c>
      <c r="AK242" s="10" t="n">
        <f aca="false">IF(Z242="No",0,IF(G242="Complete",N(Q242),MIN(N(AA242),N(Q242))))</f>
        <v>0</v>
      </c>
      <c r="AL242" s="10" t="n">
        <f aca="false">IF(OR(OR(AG242="Not counted",AG242="Excluded",AG242="Delivered"),P242="Student accommodation"),0,AJ242)</f>
        <v>0</v>
      </c>
      <c r="AM242" s="10" t="n">
        <f aca="false">IF(OR(OR(AG242="Not counted",AG242="Excluded",AG242="Delivered"),P242&lt;&gt;"Student accommodation"),0,AJ242)</f>
        <v>0</v>
      </c>
      <c r="AN242" s="10" t="n">
        <f aca="false">IF(OR(AG242="Not counted",AG242="Excluded",AG242="Delivered"),0,N(S242))</f>
        <v>0</v>
      </c>
      <c r="AO242" s="2" t="s">
        <v>1157</v>
      </c>
      <c r="AP242" s="10"/>
      <c r="AQ242" s="10"/>
      <c r="AR242" s="10"/>
      <c r="AS242" s="10"/>
      <c r="AT242" s="10" t="n">
        <v>14</v>
      </c>
      <c r="AU242" s="10"/>
      <c r="AV242" s="10" t="n">
        <f aca="false">N(AP242)+N(AQ242)+N(AR242)+N(AS242)+N(AT242)+N(AU242)</f>
        <v>14</v>
      </c>
      <c r="AW242" s="10" t="n">
        <v>15</v>
      </c>
      <c r="AX242" s="10"/>
      <c r="AY242" s="10"/>
      <c r="AZ242" s="2"/>
      <c r="BA242" s="2" t="s">
        <v>1022</v>
      </c>
      <c r="BB242" s="2" t="s">
        <v>1937</v>
      </c>
      <c r="BC242" s="2" t="s">
        <v>1448</v>
      </c>
      <c r="BD242" s="2" t="s">
        <v>1033</v>
      </c>
      <c r="BE242" s="2"/>
      <c r="BF242" s="2" t="s">
        <v>1449</v>
      </c>
      <c r="BG242" s="22"/>
      <c r="BH242" s="22"/>
      <c r="BI242" s="2"/>
      <c r="BJ242" s="22"/>
      <c r="BK242" s="2" t="n">
        <v>15</v>
      </c>
      <c r="BL242" s="2" t="n">
        <v>0</v>
      </c>
      <c r="BM242" s="2" t="s">
        <v>1938</v>
      </c>
      <c r="BN242" s="2" t="s">
        <v>1939</v>
      </c>
      <c r="BO242" s="23" t="s">
        <v>1940</v>
      </c>
      <c r="BP242" s="2" t="str">
        <f aca="false">IF(OR(K242="",BG242=""),"",ROUND(BG242-K242,0))</f>
        <v/>
      </c>
      <c r="BQ242" s="2" t="str">
        <f aca="false">IF(OR(N(BK242)=0,Q242=""),"Not recorded",IF(BK242=Q242,"Match","Differs"))</f>
        <v>Match</v>
      </c>
      <c r="BR242" s="2" t="str">
        <f aca="false">IF(N242="No","Excluded (non-residential)",IF(BF242="No reference","Unverified – no reference",IF(BF242="Not in council register","Unverified – not in register (Part 8 / other)",IF(OR(BF242="Refused",BF242="Refused on appeal",BF242="Withdrawn",BF242="Invalid",BF242="Quashed"),IF(OR(G242="Complete",G242="On Site",G242="Part Complete"),"Conflict – register not live but CIS says built","Conflict – not live in register"),IF(AND(G242="Plans Submitted",OR(BF242="Granted",BF242="Granted on appeal")),"Stage out of date – now granted",IF(AND(G242&lt;&gt;"Plans Submitted",OR(BF242="Pending",BF242="Under appeal")),"Check – register still pending",IF(N(BL242)&gt;Method!$B$7,"Check – location differs",IF(AND(BP242&lt;&gt;"",ABS(N(BP242))&gt;60),"Consistent – decision date differs","Consistent"))))))))</f>
        <v>Conflict – not live in register</v>
      </c>
      <c r="BS242" s="2"/>
      <c r="BT242" s="2"/>
      <c r="BU242" s="2"/>
      <c r="BV242" s="2"/>
      <c r="BW242" s="2"/>
      <c r="BX242" s="2"/>
    </row>
    <row r="243" customFormat="false" ht="15" hidden="false" customHeight="false" outlineLevel="0" collapsed="false">
      <c r="A243" s="2" t="n">
        <v>1310780</v>
      </c>
      <c r="B243" s="2" t="s">
        <v>702</v>
      </c>
      <c r="C243" s="2" t="s">
        <v>1941</v>
      </c>
      <c r="D243" s="2" t="s">
        <v>703</v>
      </c>
      <c r="E243" s="2" t="s">
        <v>704</v>
      </c>
      <c r="F243" s="2" t="s">
        <v>139</v>
      </c>
      <c r="G243" s="2" t="s">
        <v>651</v>
      </c>
      <c r="H243" s="2" t="s">
        <v>1014</v>
      </c>
      <c r="I243" s="2" t="s">
        <v>651</v>
      </c>
      <c r="J243" s="22" t="n">
        <v>45194</v>
      </c>
      <c r="K243" s="22" t="n">
        <v>45761</v>
      </c>
      <c r="L243" s="22" t="n">
        <v>46227.4262467245</v>
      </c>
      <c r="M243" s="2" t="s">
        <v>1893</v>
      </c>
      <c r="N243" s="2" t="s">
        <v>121</v>
      </c>
      <c r="O243" s="2"/>
      <c r="P243" s="2" t="s">
        <v>1017</v>
      </c>
      <c r="Q243" s="10" t="n">
        <v>104</v>
      </c>
      <c r="R243" s="10" t="n">
        <v>84</v>
      </c>
      <c r="S243" s="10"/>
      <c r="T243" s="2" t="s">
        <v>120</v>
      </c>
      <c r="U243" s="2"/>
      <c r="V243" s="2" t="s">
        <v>1029</v>
      </c>
      <c r="W243" s="2" t="s">
        <v>1030</v>
      </c>
      <c r="X243" s="7"/>
      <c r="Y243" s="2" t="str">
        <f aca="false">IF(X243&lt;&gt;"",X243,T243)</f>
        <v>Primary</v>
      </c>
      <c r="Z243" s="2" t="str">
        <f aca="false">IF(OR(Y243="Primary",Y243="Additional phase",Y243="Additional application on site",Y243="Replaces earlier",Y243="Extension of duration (parent not in CIS)"),"Yes","No")</f>
        <v>Yes</v>
      </c>
      <c r="AA243" s="2"/>
      <c r="AB243" s="2" t="n">
        <f aca="false">IF(L243="","",ROUND((Method!$B$4-L243)/30.44,0))</f>
        <v>2</v>
      </c>
      <c r="AC243" s="2" t="str">
        <f aca="false">IF(AB243="","No",IF(AB243&gt;Method!$B$5,"Yes","No"))</f>
        <v>No</v>
      </c>
      <c r="AD243" s="22" t="n">
        <f aca="false">IF(BJ243&lt;&gt;"",BJ243,IF(K243&lt;&gt;"",EDATE(K243,60),""))</f>
        <v>47586</v>
      </c>
      <c r="AE243" s="2" t="str">
        <f aca="false">IF(AND(AD243&lt;&gt;"",OR(G243="Permission Granted",G243="Commencement Expected",G243="Stalled or Suspended")),IF(AD243&lt;Method!$B$4,"Yes","No"),"No")</f>
        <v>No</v>
      </c>
      <c r="AF243" s="7"/>
      <c r="AG243" s="2" t="str">
        <f aca="false">IF(Z243="No","Not counted",IF(AF243="Lapsed or dead","Excluded",IF(AF243="Constrained","Constrained / uncertain",IF(AF243="Confirmed live",IF(G243="On Site","Committed",IF(G243="Part Complete","Committed",IF(G243="Contract Awarded","Committed Pre-Construction",IF(G243="Tender","Advanced Pre-Construction",IF(G243="Commencement Expected","Likely",IF(G243="Permission Granted","Potential",IF(G243="Stalled or Suspended","Constrained / uncertain",IF(G243="Complete","Delivered","Application Pipeline")))))))),IF(G243="Complete","Delivered",IF(AND(OR(G243="Permission Granted",G243="Commencement Expected"),OR(AC243="Yes",AE243="Yes")),"Constrained / uncertain",IF(G243="On Site","Committed",IF(G243="Part Complete","Committed",IF(G243="Contract Awarded","Committed Pre-Construction",IF(G243="Tender","Advanced Pre-Construction",IF(G243="Commencement Expected","Likely",IF(G243="Permission Granted","Potential",IF(G243="Stalled or Suspended","Constrained / uncertain",IF(G243="Complete","Delivered","Application Pipeline"))))))))))))))</f>
        <v>Advanced Pre-Construction</v>
      </c>
      <c r="AH243" s="2" t="str">
        <f aca="false">IF(Z243="No","Relationship: "&amp;Y243,IF(AF243&lt;&gt;"","Analyst: "&amp;AF243,IF(G243="Complete","Complete",IF(AND(OR(G243="Permission Granted",G243="Commencement Expected"),AE243="Yes"),"Past expiry",IF(AND(OR(G243="Permission Granted",G243="Commencement Expected"),AC243="Yes"),"No CIS update in "&amp;AB243&amp;" months","As CIS")))))</f>
        <v>As CIS</v>
      </c>
      <c r="AI243" s="10" t="n">
        <f aca="false">IF(Z243="Yes",N(Q243),0)</f>
        <v>104</v>
      </c>
      <c r="AJ243" s="10" t="n">
        <f aca="false">IF(OR(Z243="No",G243="Complete"),0,MAX(N(Q243)-N(AA243),0))</f>
        <v>104</v>
      </c>
      <c r="AK243" s="10" t="n">
        <f aca="false">IF(Z243="No",0,IF(G243="Complete",N(Q243),MIN(N(AA243),N(Q243))))</f>
        <v>0</v>
      </c>
      <c r="AL243" s="10" t="n">
        <f aca="false">IF(OR(OR(AG243="Not counted",AG243="Excluded",AG243="Delivered"),P243="Student accommodation"),0,AJ243)</f>
        <v>104</v>
      </c>
      <c r="AM243" s="10" t="n">
        <f aca="false">IF(OR(OR(AG243="Not counted",AG243="Excluded",AG243="Delivered"),P243&lt;&gt;"Student accommodation"),0,AJ243)</f>
        <v>0</v>
      </c>
      <c r="AN243" s="10" t="n">
        <f aca="false">IF(OR(AG243="Not counted",AG243="Excluded",AG243="Delivered"),0,N(S243))</f>
        <v>0</v>
      </c>
      <c r="AO243" s="2" t="s">
        <v>1157</v>
      </c>
      <c r="AP243" s="10"/>
      <c r="AQ243" s="10" t="n">
        <v>51</v>
      </c>
      <c r="AR243" s="10" t="n">
        <v>49</v>
      </c>
      <c r="AS243" s="10" t="n">
        <v>4</v>
      </c>
      <c r="AT243" s="10"/>
      <c r="AU243" s="10"/>
      <c r="AV243" s="10" t="n">
        <f aca="false">N(AP243)+N(AQ243)+N(AR243)+N(AS243)+N(AT243)+N(AU243)</f>
        <v>104</v>
      </c>
      <c r="AW243" s="10"/>
      <c r="AX243" s="10" t="n">
        <v>104</v>
      </c>
      <c r="AY243" s="10"/>
      <c r="AZ243" s="2"/>
      <c r="BA243" s="2" t="s">
        <v>1022</v>
      </c>
      <c r="BB243" s="2" t="s">
        <v>1941</v>
      </c>
      <c r="BC243" s="2" t="s">
        <v>1023</v>
      </c>
      <c r="BD243" s="2" t="s">
        <v>1024</v>
      </c>
      <c r="BE243" s="2" t="s">
        <v>1024</v>
      </c>
      <c r="BF243" s="2" t="s">
        <v>1059</v>
      </c>
      <c r="BG243" s="22" t="n">
        <v>45482</v>
      </c>
      <c r="BH243" s="22" t="n">
        <v>47586</v>
      </c>
      <c r="BI243" s="2"/>
      <c r="BJ243" s="22" t="n">
        <v>47586</v>
      </c>
      <c r="BK243" s="2"/>
      <c r="BL243" s="2" t="n">
        <v>0</v>
      </c>
      <c r="BM243" s="2"/>
      <c r="BN243" s="2" t="s">
        <v>1942</v>
      </c>
      <c r="BO243" s="23" t="s">
        <v>1943</v>
      </c>
      <c r="BP243" s="2" t="n">
        <f aca="false">IF(OR(K243="",BG243=""),"",ROUND(BG243-K243,0))</f>
        <v>-279</v>
      </c>
      <c r="BQ243" s="2" t="str">
        <f aca="false">IF(OR(N(BK243)=0,Q243=""),"Not recorded",IF(BK243=Q243,"Match","Differs"))</f>
        <v>Not recorded</v>
      </c>
      <c r="BR243" s="2" t="str">
        <f aca="false">IF(N243="No","Excluded (non-residential)",IF(BF243="No reference","Unverified – no reference",IF(BF243="Not in council register","Unverified – not in register (Part 8 / other)",IF(OR(BF243="Refused",BF243="Refused on appeal",BF243="Withdrawn",BF243="Invalid",BF243="Quashed"),IF(OR(G243="Complete",G243="On Site",G243="Part Complete"),"Conflict – register not live but CIS says built","Conflict – not live in register"),IF(AND(G243="Plans Submitted",OR(BF243="Granted",BF243="Granted on appeal")),"Stage out of date – now granted",IF(AND(G243&lt;&gt;"Plans Submitted",OR(BF243="Pending",BF243="Under appeal")),"Check – register still pending",IF(N(BL243)&gt;Method!$B$7,"Check – location differs",IF(AND(BP243&lt;&gt;"",ABS(N(BP243))&gt;60),"Consistent – decision date differs","Consistent"))))))))</f>
        <v>Consistent – decision date differs</v>
      </c>
      <c r="BS243" s="2"/>
      <c r="BT243" s="2"/>
      <c r="BU243" s="2"/>
      <c r="BV243" s="2"/>
      <c r="BW243" s="2"/>
      <c r="BX243" s="2"/>
    </row>
    <row r="244" customFormat="false" ht="15" hidden="false" customHeight="false" outlineLevel="0" collapsed="false">
      <c r="A244" s="2" t="n">
        <v>1315592</v>
      </c>
      <c r="B244" s="2" t="s">
        <v>705</v>
      </c>
      <c r="C244" s="2" t="s">
        <v>1944</v>
      </c>
      <c r="D244" s="2" t="s">
        <v>706</v>
      </c>
      <c r="E244" s="2" t="s">
        <v>197</v>
      </c>
      <c r="F244" s="2" t="s">
        <v>142</v>
      </c>
      <c r="G244" s="2" t="s">
        <v>700</v>
      </c>
      <c r="H244" s="2" t="s">
        <v>700</v>
      </c>
      <c r="I244" s="2"/>
      <c r="J244" s="22" t="n">
        <v>45224</v>
      </c>
      <c r="K244" s="22"/>
      <c r="L244" s="22" t="n">
        <v>45226.2384248032</v>
      </c>
      <c r="M244" s="2" t="s">
        <v>1893</v>
      </c>
      <c r="N244" s="2" t="s">
        <v>121</v>
      </c>
      <c r="O244" s="2"/>
      <c r="P244" s="2" t="s">
        <v>1017</v>
      </c>
      <c r="Q244" s="10" t="n">
        <v>61</v>
      </c>
      <c r="R244" s="10" t="n">
        <v>61</v>
      </c>
      <c r="S244" s="10"/>
      <c r="T244" s="2" t="s">
        <v>32</v>
      </c>
      <c r="U244" s="2"/>
      <c r="V244" s="2" t="s">
        <v>1447</v>
      </c>
      <c r="W244" s="2" t="s">
        <v>1030</v>
      </c>
      <c r="X244" s="7"/>
      <c r="Y244" s="2" t="str">
        <f aca="false">IF(X244&lt;&gt;"",X244,T244)</f>
        <v>Not live</v>
      </c>
      <c r="Z244" s="2" t="str">
        <f aca="false">IF(OR(Y244="Primary",Y244="Additional phase",Y244="Additional application on site",Y244="Replaces earlier",Y244="Extension of duration (parent not in CIS)"),"Yes","No")</f>
        <v>No</v>
      </c>
      <c r="AA244" s="2"/>
      <c r="AB244" s="2" t="n">
        <f aca="false">IF(L244="","",ROUND((Method!$B$4-L244)/30.44,0))</f>
        <v>35</v>
      </c>
      <c r="AC244" s="2" t="str">
        <f aca="false">IF(AB244="","No",IF(AB244&gt;Method!$B$5,"Yes","No"))</f>
        <v>Yes</v>
      </c>
      <c r="AD244" s="22" t="str">
        <f aca="false">IF(BJ244&lt;&gt;"",BJ244,IF(K244&lt;&gt;"",EDATE(K244,60),""))</f>
        <v/>
      </c>
      <c r="AE244" s="2" t="str">
        <f aca="false">IF(AND(AD244&lt;&gt;"",OR(G244="Permission Granted",G244="Commencement Expected",G244="Stalled or Suspended")),IF(AD244&lt;Method!$B$4,"Yes","No"),"No")</f>
        <v>No</v>
      </c>
      <c r="AF244" s="7"/>
      <c r="AG244" s="2" t="str">
        <f aca="false">IF(Z244="No","Not counted",IF(AF244="Lapsed or dead","Excluded",IF(AF244="Constrained","Constrained / uncertain",IF(AF244="Confirmed live",IF(G244="On Site","Committed",IF(G244="Part Complete","Committed",IF(G244="Contract Awarded","Committed Pre-Construction",IF(G244="Tender","Advanced Pre-Construction",IF(G244="Commencement Expected","Likely",IF(G244="Permission Granted","Potential",IF(G244="Stalled or Suspended","Constrained / uncertain",IF(G244="Complete","Delivered","Application Pipeline")))))))),IF(G244="Complete","Delivered",IF(AND(OR(G244="Permission Granted",G244="Commencement Expected"),OR(AC244="Yes",AE244="Yes")),"Constrained / uncertain",IF(G244="On Site","Committed",IF(G244="Part Complete","Committed",IF(G244="Contract Awarded","Committed Pre-Construction",IF(G244="Tender","Advanced Pre-Construction",IF(G244="Commencement Expected","Likely",IF(G244="Permission Granted","Potential",IF(G244="Stalled or Suspended","Constrained / uncertain",IF(G244="Complete","Delivered","Application Pipeline"))))))))))))))</f>
        <v>Not counted</v>
      </c>
      <c r="AH244" s="2" t="str">
        <f aca="false">IF(Z244="No","Relationship: "&amp;Y244,IF(AF244&lt;&gt;"","Analyst: "&amp;AF244,IF(G244="Complete","Complete",IF(AND(OR(G244="Permission Granted",G244="Commencement Expected"),AE244="Yes"),"Past expiry",IF(AND(OR(G244="Permission Granted",G244="Commencement Expected"),AC244="Yes"),"No CIS update in "&amp;AB244&amp;" months","As CIS")))))</f>
        <v>Relationship: Not live</v>
      </c>
      <c r="AI244" s="10" t="n">
        <f aca="false">IF(Z244="Yes",N(Q244),0)</f>
        <v>0</v>
      </c>
      <c r="AJ244" s="10" t="n">
        <f aca="false">IF(OR(Z244="No",G244="Complete"),0,MAX(N(Q244)-N(AA244),0))</f>
        <v>0</v>
      </c>
      <c r="AK244" s="10" t="n">
        <f aca="false">IF(Z244="No",0,IF(G244="Complete",N(Q244),MIN(N(AA244),N(Q244))))</f>
        <v>0</v>
      </c>
      <c r="AL244" s="10" t="n">
        <f aca="false">IF(OR(OR(AG244="Not counted",AG244="Excluded",AG244="Delivered"),P244="Student accommodation"),0,AJ244)</f>
        <v>0</v>
      </c>
      <c r="AM244" s="10" t="n">
        <f aca="false">IF(OR(OR(AG244="Not counted",AG244="Excluded",AG244="Delivered"),P244&lt;&gt;"Student accommodation"),0,AJ244)</f>
        <v>0</v>
      </c>
      <c r="AN244" s="10" t="n">
        <f aca="false">IF(OR(AG244="Not counted",AG244="Excluded",AG244="Delivered"),0,N(S244))</f>
        <v>0</v>
      </c>
      <c r="AO244" s="2" t="s">
        <v>1021</v>
      </c>
      <c r="AP244" s="10"/>
      <c r="AQ244" s="10"/>
      <c r="AR244" s="10"/>
      <c r="AS244" s="10"/>
      <c r="AT244" s="10"/>
      <c r="AU244" s="10"/>
      <c r="AV244" s="10" t="n">
        <f aca="false">N(AP244)+N(AQ244)+N(AR244)+N(AS244)+N(AT244)+N(AU244)</f>
        <v>0</v>
      </c>
      <c r="AW244" s="10"/>
      <c r="AX244" s="10"/>
      <c r="AY244" s="10"/>
      <c r="AZ244" s="2"/>
      <c r="BA244" s="2" t="s">
        <v>1022</v>
      </c>
      <c r="BB244" s="2" t="s">
        <v>1944</v>
      </c>
      <c r="BC244" s="2" t="s">
        <v>1582</v>
      </c>
      <c r="BD244" s="2" t="s">
        <v>1033</v>
      </c>
      <c r="BE244" s="2"/>
      <c r="BF244" s="2" t="s">
        <v>1449</v>
      </c>
      <c r="BG244" s="22"/>
      <c r="BH244" s="22"/>
      <c r="BI244" s="2"/>
      <c r="BJ244" s="22"/>
      <c r="BK244" s="2" t="n">
        <v>61</v>
      </c>
      <c r="BL244" s="2" t="n">
        <v>0</v>
      </c>
      <c r="BM244" s="2" t="s">
        <v>1945</v>
      </c>
      <c r="BN244" s="2" t="s">
        <v>1946</v>
      </c>
      <c r="BO244" s="23" t="s">
        <v>1947</v>
      </c>
      <c r="BP244" s="2" t="str">
        <f aca="false">IF(OR(K244="",BG244=""),"",ROUND(BG244-K244,0))</f>
        <v/>
      </c>
      <c r="BQ244" s="2" t="str">
        <f aca="false">IF(OR(N(BK244)=0,Q244=""),"Not recorded",IF(BK244=Q244,"Match","Differs"))</f>
        <v>Match</v>
      </c>
      <c r="BR244" s="2" t="str">
        <f aca="false">IF(N244="No","Excluded (non-residential)",IF(BF244="No reference","Unverified – no reference",IF(BF244="Not in council register","Unverified – not in register (Part 8 / other)",IF(OR(BF244="Refused",BF244="Refused on appeal",BF244="Withdrawn",BF244="Invalid",BF244="Quashed"),IF(OR(G244="Complete",G244="On Site",G244="Part Complete"),"Conflict – register not live but CIS says built","Conflict – not live in register"),IF(AND(G244="Plans Submitted",OR(BF244="Granted",BF244="Granted on appeal")),"Stage out of date – now granted",IF(AND(G244&lt;&gt;"Plans Submitted",OR(BF244="Pending",BF244="Under appeal")),"Check – register still pending",IF(N(BL244)&gt;Method!$B$7,"Check – location differs",IF(AND(BP244&lt;&gt;"",ABS(N(BP244))&gt;60),"Consistent – decision date differs","Consistent"))))))))</f>
        <v>Conflict – not live in register</v>
      </c>
      <c r="BS244" s="2"/>
      <c r="BT244" s="2"/>
      <c r="BU244" s="2"/>
      <c r="BV244" s="2"/>
      <c r="BW244" s="2"/>
      <c r="BX244" s="2"/>
    </row>
    <row r="245" customFormat="false" ht="15" hidden="false" customHeight="false" outlineLevel="0" collapsed="false">
      <c r="A245" s="2" t="n">
        <v>1316160</v>
      </c>
      <c r="B245" s="2" t="s">
        <v>708</v>
      </c>
      <c r="C245" s="2" t="s">
        <v>1948</v>
      </c>
      <c r="D245" s="2" t="s">
        <v>709</v>
      </c>
      <c r="E245" s="2" t="s">
        <v>710</v>
      </c>
      <c r="F245" s="2" t="s">
        <v>144</v>
      </c>
      <c r="G245" s="2" t="s">
        <v>651</v>
      </c>
      <c r="H245" s="2" t="s">
        <v>1014</v>
      </c>
      <c r="I245" s="2" t="s">
        <v>651</v>
      </c>
      <c r="J245" s="22" t="n">
        <v>45226</v>
      </c>
      <c r="K245" s="22" t="n">
        <v>45335</v>
      </c>
      <c r="L245" s="22" t="n">
        <v>45912.3574854514</v>
      </c>
      <c r="M245" s="2" t="s">
        <v>1893</v>
      </c>
      <c r="N245" s="2" t="s">
        <v>121</v>
      </c>
      <c r="O245" s="2"/>
      <c r="P245" s="2" t="s">
        <v>1017</v>
      </c>
      <c r="Q245" s="10" t="n">
        <v>4</v>
      </c>
      <c r="R245" s="10"/>
      <c r="S245" s="10"/>
      <c r="T245" s="2" t="s">
        <v>120</v>
      </c>
      <c r="U245" s="2"/>
      <c r="V245" s="2" t="s">
        <v>1029</v>
      </c>
      <c r="W245" s="2" t="s">
        <v>1030</v>
      </c>
      <c r="X245" s="7"/>
      <c r="Y245" s="2" t="str">
        <f aca="false">IF(X245&lt;&gt;"",X245,T245)</f>
        <v>Primary</v>
      </c>
      <c r="Z245" s="2" t="str">
        <f aca="false">IF(OR(Y245="Primary",Y245="Additional phase",Y245="Additional application on site",Y245="Replaces earlier",Y245="Extension of duration (parent not in CIS)"),"Yes","No")</f>
        <v>Yes</v>
      </c>
      <c r="AA245" s="2"/>
      <c r="AB245" s="2" t="n">
        <f aca="false">IF(L245="","",ROUND((Method!$B$4-L245)/30.44,0))</f>
        <v>13</v>
      </c>
      <c r="AC245" s="2" t="str">
        <f aca="false">IF(AB245="","No",IF(AB245&gt;Method!$B$5,"Yes","No"))</f>
        <v>No</v>
      </c>
      <c r="AD245" s="22" t="n">
        <f aca="false">IF(BJ245&lt;&gt;"",BJ245,IF(K245&lt;&gt;"",EDATE(K245,60),""))</f>
        <v>47162</v>
      </c>
      <c r="AE245" s="2" t="str">
        <f aca="false">IF(AND(AD245&lt;&gt;"",OR(G245="Permission Granted",G245="Commencement Expected",G245="Stalled or Suspended")),IF(AD245&lt;Method!$B$4,"Yes","No"),"No")</f>
        <v>No</v>
      </c>
      <c r="AF245" s="7"/>
      <c r="AG245" s="2" t="str">
        <f aca="false">IF(Z245="No","Not counted",IF(AF245="Lapsed or dead","Excluded",IF(AF245="Constrained","Constrained / uncertain",IF(AF245="Confirmed live",IF(G245="On Site","Committed",IF(G245="Part Complete","Committed",IF(G245="Contract Awarded","Committed Pre-Construction",IF(G245="Tender","Advanced Pre-Construction",IF(G245="Commencement Expected","Likely",IF(G245="Permission Granted","Potential",IF(G245="Stalled or Suspended","Constrained / uncertain",IF(G245="Complete","Delivered","Application Pipeline")))))))),IF(G245="Complete","Delivered",IF(AND(OR(G245="Permission Granted",G245="Commencement Expected"),OR(AC245="Yes",AE245="Yes")),"Constrained / uncertain",IF(G245="On Site","Committed",IF(G245="Part Complete","Committed",IF(G245="Contract Awarded","Committed Pre-Construction",IF(G245="Tender","Advanced Pre-Construction",IF(G245="Commencement Expected","Likely",IF(G245="Permission Granted","Potential",IF(G245="Stalled or Suspended","Constrained / uncertain",IF(G245="Complete","Delivered","Application Pipeline"))))))))))))))</f>
        <v>Advanced Pre-Construction</v>
      </c>
      <c r="AH245" s="2" t="str">
        <f aca="false">IF(Z245="No","Relationship: "&amp;Y245,IF(AF245&lt;&gt;"","Analyst: "&amp;AF245,IF(G245="Complete","Complete",IF(AND(OR(G245="Permission Granted",G245="Commencement Expected"),AE245="Yes"),"Past expiry",IF(AND(OR(G245="Permission Granted",G245="Commencement Expected"),AC245="Yes"),"No CIS update in "&amp;AB245&amp;" months","As CIS")))))</f>
        <v>As CIS</v>
      </c>
      <c r="AI245" s="10" t="n">
        <f aca="false">IF(Z245="Yes",N(Q245),0)</f>
        <v>4</v>
      </c>
      <c r="AJ245" s="10" t="n">
        <f aca="false">IF(OR(Z245="No",G245="Complete"),0,MAX(N(Q245)-N(AA245),0))</f>
        <v>4</v>
      </c>
      <c r="AK245" s="10" t="n">
        <f aca="false">IF(Z245="No",0,IF(G245="Complete",N(Q245),MIN(N(AA245),N(Q245))))</f>
        <v>0</v>
      </c>
      <c r="AL245" s="10" t="n">
        <f aca="false">IF(OR(OR(AG245="Not counted",AG245="Excluded",AG245="Delivered"),P245="Student accommodation"),0,AJ245)</f>
        <v>4</v>
      </c>
      <c r="AM245" s="10" t="n">
        <f aca="false">IF(OR(OR(AG245="Not counted",AG245="Excluded",AG245="Delivered"),P245&lt;&gt;"Student accommodation"),0,AJ245)</f>
        <v>0</v>
      </c>
      <c r="AN245" s="10" t="n">
        <f aca="false">IF(OR(AG245="Not counted",AG245="Excluded",AG245="Delivered"),0,N(S245))</f>
        <v>0</v>
      </c>
      <c r="AO245" s="2" t="s">
        <v>1043</v>
      </c>
      <c r="AP245" s="10"/>
      <c r="AQ245" s="10"/>
      <c r="AR245" s="10"/>
      <c r="AS245" s="10"/>
      <c r="AT245" s="10"/>
      <c r="AU245" s="10"/>
      <c r="AV245" s="10" t="n">
        <f aca="false">N(AP245)+N(AQ245)+N(AR245)+N(AS245)+N(AT245)+N(AU245)</f>
        <v>0</v>
      </c>
      <c r="AW245" s="10"/>
      <c r="AX245" s="10"/>
      <c r="AY245" s="10"/>
      <c r="AZ245" s="2"/>
      <c r="BA245" s="2" t="s">
        <v>1095</v>
      </c>
      <c r="BB245" s="2"/>
      <c r="BC245" s="2"/>
      <c r="BD245" s="2"/>
      <c r="BE245" s="2"/>
      <c r="BF245" s="2" t="s">
        <v>1095</v>
      </c>
      <c r="BG245" s="22"/>
      <c r="BH245" s="22"/>
      <c r="BI245" s="2"/>
      <c r="BJ245" s="22"/>
      <c r="BK245" s="2"/>
      <c r="BL245" s="2"/>
      <c r="BM245" s="2"/>
      <c r="BN245" s="2"/>
      <c r="BO245" s="2"/>
      <c r="BP245" s="2" t="str">
        <f aca="false">IF(OR(K245="",BG245=""),"",ROUND(BG245-K245,0))</f>
        <v/>
      </c>
      <c r="BQ245" s="2" t="str">
        <f aca="false">IF(OR(N(BK245)=0,Q245=""),"Not recorded",IF(BK245=Q245,"Match","Differs"))</f>
        <v>Not recorded</v>
      </c>
      <c r="BR245" s="2" t="str">
        <f aca="false">IF(N245="No","Excluded (non-residential)",IF(BF245="No reference","Unverified – no reference",IF(BF245="Not in council register","Unverified – not in register (Part 8 / other)",IF(OR(BF245="Refused",BF245="Refused on appeal",BF245="Withdrawn",BF245="Invalid",BF245="Quashed"),IF(OR(G245="Complete",G245="On Site",G245="Part Complete"),"Conflict – register not live but CIS says built","Conflict – not live in register"),IF(AND(G245="Plans Submitted",OR(BF245="Granted",BF245="Granted on appeal")),"Stage out of date – now granted",IF(AND(G245&lt;&gt;"Plans Submitted",OR(BF245="Pending",BF245="Under appeal")),"Check – register still pending",IF(N(BL245)&gt;Method!$B$7,"Check – location differs",IF(AND(BP245&lt;&gt;"",ABS(N(BP245))&gt;60),"Consistent – decision date differs","Consistent"))))))))</f>
        <v>Unverified – not in register (Part 8 / other)</v>
      </c>
      <c r="BS245" s="2"/>
      <c r="BT245" s="2"/>
      <c r="BU245" s="2"/>
      <c r="BV245" s="2"/>
      <c r="BW245" s="2"/>
      <c r="BX245" s="2"/>
    </row>
    <row r="246" customFormat="false" ht="15" hidden="false" customHeight="false" outlineLevel="0" collapsed="false">
      <c r="A246" s="2" t="n">
        <v>1319159</v>
      </c>
      <c r="B246" s="2" t="s">
        <v>711</v>
      </c>
      <c r="C246" s="2" t="s">
        <v>1949</v>
      </c>
      <c r="D246" s="2" t="s">
        <v>712</v>
      </c>
      <c r="E246" s="2" t="s">
        <v>713</v>
      </c>
      <c r="F246" s="2" t="s">
        <v>139</v>
      </c>
      <c r="G246" s="2" t="s">
        <v>198</v>
      </c>
      <c r="H246" s="2" t="s">
        <v>1014</v>
      </c>
      <c r="I246" s="2" t="s">
        <v>198</v>
      </c>
      <c r="J246" s="22" t="n">
        <v>45247</v>
      </c>
      <c r="K246" s="22" t="n">
        <v>45435</v>
      </c>
      <c r="L246" s="22" t="n">
        <v>45649</v>
      </c>
      <c r="M246" s="2" t="s">
        <v>1904</v>
      </c>
      <c r="N246" s="2" t="s">
        <v>121</v>
      </c>
      <c r="O246" s="2"/>
      <c r="P246" s="2" t="s">
        <v>1017</v>
      </c>
      <c r="Q246" s="10" t="n">
        <v>122</v>
      </c>
      <c r="R246" s="10" t="n">
        <v>65</v>
      </c>
      <c r="S246" s="10"/>
      <c r="T246" s="2" t="s">
        <v>120</v>
      </c>
      <c r="U246" s="2"/>
      <c r="V246" s="2" t="s">
        <v>1029</v>
      </c>
      <c r="W246" s="2" t="s">
        <v>1030</v>
      </c>
      <c r="X246" s="7"/>
      <c r="Y246" s="2" t="str">
        <f aca="false">IF(X246&lt;&gt;"",X246,T246)</f>
        <v>Primary</v>
      </c>
      <c r="Z246" s="2" t="str">
        <f aca="false">IF(OR(Y246="Primary",Y246="Additional phase",Y246="Additional application on site",Y246="Replaces earlier",Y246="Extension of duration (parent not in CIS)"),"Yes","No")</f>
        <v>Yes</v>
      </c>
      <c r="AA246" s="2"/>
      <c r="AB246" s="2" t="n">
        <f aca="false">IF(L246="","",ROUND((Method!$B$4-L246)/30.44,0))</f>
        <v>21</v>
      </c>
      <c r="AC246" s="2" t="str">
        <f aca="false">IF(AB246="","No",IF(AB246&gt;Method!$B$5,"Yes","No"))</f>
        <v>No</v>
      </c>
      <c r="AD246" s="22" t="n">
        <f aca="false">IF(BJ246&lt;&gt;"",BJ246,IF(K246&lt;&gt;"",EDATE(K246,60),""))</f>
        <v>47260</v>
      </c>
      <c r="AE246" s="2" t="str">
        <f aca="false">IF(AND(AD246&lt;&gt;"",OR(G246="Permission Granted",G246="Commencement Expected",G246="Stalled or Suspended")),IF(AD246&lt;Method!$B$4,"Yes","No"),"No")</f>
        <v>No</v>
      </c>
      <c r="AF246" s="7"/>
      <c r="AG246" s="2" t="str">
        <f aca="false">IF(Z246="No","Not counted",IF(AF246="Lapsed or dead","Excluded",IF(AF246="Constrained","Constrained / uncertain",IF(AF246="Confirmed live",IF(G246="On Site","Committed",IF(G246="Part Complete","Committed",IF(G246="Contract Awarded","Committed Pre-Construction",IF(G246="Tender","Advanced Pre-Construction",IF(G246="Commencement Expected","Likely",IF(G246="Permission Granted","Potential",IF(G246="Stalled or Suspended","Constrained / uncertain",IF(G246="Complete","Delivered","Application Pipeline")))))))),IF(G246="Complete","Delivered",IF(AND(OR(G246="Permission Granted",G246="Commencement Expected"),OR(AC246="Yes",AE246="Yes")),"Constrained / uncertain",IF(G246="On Site","Committed",IF(G246="Part Complete","Committed",IF(G246="Contract Awarded","Committed Pre-Construction",IF(G246="Tender","Advanced Pre-Construction",IF(G246="Commencement Expected","Likely",IF(G246="Permission Granted","Potential",IF(G246="Stalled or Suspended","Constrained / uncertain",IF(G246="Complete","Delivered","Application Pipeline"))))))))))))))</f>
        <v>Committed</v>
      </c>
      <c r="AH246" s="2" t="str">
        <f aca="false">IF(Z246="No","Relationship: "&amp;Y246,IF(AF246&lt;&gt;"","Analyst: "&amp;AF246,IF(G246="Complete","Complete",IF(AND(OR(G246="Permission Granted",G246="Commencement Expected"),AE246="Yes"),"Past expiry",IF(AND(OR(G246="Permission Granted",G246="Commencement Expected"),AC246="Yes"),"No CIS update in "&amp;AB246&amp;" months","As CIS")))))</f>
        <v>As CIS</v>
      </c>
      <c r="AI246" s="10" t="n">
        <f aca="false">IF(Z246="Yes",N(Q246),0)</f>
        <v>122</v>
      </c>
      <c r="AJ246" s="10" t="n">
        <f aca="false">IF(OR(Z246="No",G246="Complete"),0,MAX(N(Q246)-N(AA246),0))</f>
        <v>122</v>
      </c>
      <c r="AK246" s="10" t="n">
        <f aca="false">IF(Z246="No",0,IF(G246="Complete",N(Q246),MIN(N(AA246),N(Q246))))</f>
        <v>0</v>
      </c>
      <c r="AL246" s="10" t="n">
        <f aca="false">IF(OR(OR(AG246="Not counted",AG246="Excluded",AG246="Delivered"),P246="Student accommodation"),0,AJ246)</f>
        <v>122</v>
      </c>
      <c r="AM246" s="10" t="n">
        <f aca="false">IF(OR(OR(AG246="Not counted",AG246="Excluded",AG246="Delivered"),P246&lt;&gt;"Student accommodation"),0,AJ246)</f>
        <v>0</v>
      </c>
      <c r="AN246" s="10" t="n">
        <f aca="false">IF(OR(AG246="Not counted",AG246="Excluded",AG246="Delivered"),0,N(S246))</f>
        <v>0</v>
      </c>
      <c r="AO246" s="2" t="s">
        <v>1157</v>
      </c>
      <c r="AP246" s="10"/>
      <c r="AQ246" s="10" t="n">
        <v>29</v>
      </c>
      <c r="AR246" s="10" t="n">
        <v>26</v>
      </c>
      <c r="AS246" s="10" t="n">
        <v>61</v>
      </c>
      <c r="AT246" s="10" t="n">
        <v>6</v>
      </c>
      <c r="AU246" s="10"/>
      <c r="AV246" s="10" t="n">
        <f aca="false">N(AP246)+N(AQ246)+N(AR246)+N(AS246)+N(AT246)+N(AU246)</f>
        <v>122</v>
      </c>
      <c r="AW246" s="10" t="n">
        <v>65</v>
      </c>
      <c r="AX246" s="10" t="n">
        <v>57</v>
      </c>
      <c r="AY246" s="10"/>
      <c r="AZ246" s="2"/>
      <c r="BA246" s="2" t="s">
        <v>1022</v>
      </c>
      <c r="BB246" s="2" t="s">
        <v>1949</v>
      </c>
      <c r="BC246" s="2" t="s">
        <v>1023</v>
      </c>
      <c r="BD246" s="2" t="s">
        <v>1024</v>
      </c>
      <c r="BE246" s="2" t="s">
        <v>1024</v>
      </c>
      <c r="BF246" s="2" t="s">
        <v>1059</v>
      </c>
      <c r="BG246" s="22" t="n">
        <v>45310</v>
      </c>
      <c r="BH246" s="22" t="n">
        <v>47260</v>
      </c>
      <c r="BI246" s="2"/>
      <c r="BJ246" s="22" t="n">
        <v>47260</v>
      </c>
      <c r="BK246" s="2" t="n">
        <v>122</v>
      </c>
      <c r="BL246" s="2" t="n">
        <v>0</v>
      </c>
      <c r="BM246" s="2"/>
      <c r="BN246" s="2" t="s">
        <v>1950</v>
      </c>
      <c r="BO246" s="23" t="s">
        <v>1951</v>
      </c>
      <c r="BP246" s="2" t="n">
        <f aca="false">IF(OR(K246="",BG246=""),"",ROUND(BG246-K246,0))</f>
        <v>-125</v>
      </c>
      <c r="BQ246" s="2" t="str">
        <f aca="false">IF(OR(N(BK246)=0,Q246=""),"Not recorded",IF(BK246=Q246,"Match","Differs"))</f>
        <v>Match</v>
      </c>
      <c r="BR246" s="2" t="str">
        <f aca="false">IF(N246="No","Excluded (non-residential)",IF(BF246="No reference","Unverified – no reference",IF(BF246="Not in council register","Unverified – not in register (Part 8 / other)",IF(OR(BF246="Refused",BF246="Refused on appeal",BF246="Withdrawn",BF246="Invalid",BF246="Quashed"),IF(OR(G246="Complete",G246="On Site",G246="Part Complete"),"Conflict – register not live but CIS says built","Conflict – not live in register"),IF(AND(G246="Plans Submitted",OR(BF246="Granted",BF246="Granted on appeal")),"Stage out of date – now granted",IF(AND(G246&lt;&gt;"Plans Submitted",OR(BF246="Pending",BF246="Under appeal")),"Check – register still pending",IF(N(BL246)&gt;Method!$B$7,"Check – location differs",IF(AND(BP246&lt;&gt;"",ABS(N(BP246))&gt;60),"Consistent – decision date differs","Consistent"))))))))</f>
        <v>Consistent – decision date differs</v>
      </c>
      <c r="BS246" s="2"/>
      <c r="BT246" s="2"/>
      <c r="BU246" s="2"/>
      <c r="BV246" s="2"/>
      <c r="BW246" s="2"/>
      <c r="BX246" s="2"/>
    </row>
    <row r="247" customFormat="false" ht="15" hidden="false" customHeight="false" outlineLevel="0" collapsed="false">
      <c r="A247" s="2" t="n">
        <v>1327665</v>
      </c>
      <c r="B247" s="2" t="s">
        <v>714</v>
      </c>
      <c r="C247" s="2" t="s">
        <v>1952</v>
      </c>
      <c r="D247" s="2" t="s">
        <v>715</v>
      </c>
      <c r="E247" s="2" t="s">
        <v>716</v>
      </c>
      <c r="F247" s="2" t="s">
        <v>144</v>
      </c>
      <c r="G247" s="2" t="s">
        <v>651</v>
      </c>
      <c r="H247" s="2" t="s">
        <v>1014</v>
      </c>
      <c r="I247" s="2" t="s">
        <v>651</v>
      </c>
      <c r="J247" s="22" t="n">
        <v>45308</v>
      </c>
      <c r="K247" s="22" t="n">
        <v>45503</v>
      </c>
      <c r="L247" s="22" t="n">
        <v>46136.4837268866</v>
      </c>
      <c r="M247" s="2" t="s">
        <v>1893</v>
      </c>
      <c r="N247" s="2" t="s">
        <v>121</v>
      </c>
      <c r="O247" s="2"/>
      <c r="P247" s="2" t="s">
        <v>1017</v>
      </c>
      <c r="Q247" s="10" t="n">
        <v>10</v>
      </c>
      <c r="R247" s="10" t="n">
        <v>5</v>
      </c>
      <c r="S247" s="10"/>
      <c r="T247" s="2" t="s">
        <v>120</v>
      </c>
      <c r="U247" s="2"/>
      <c r="V247" s="2" t="s">
        <v>1029</v>
      </c>
      <c r="W247" s="2" t="s">
        <v>1030</v>
      </c>
      <c r="X247" s="7"/>
      <c r="Y247" s="2" t="str">
        <f aca="false">IF(X247&lt;&gt;"",X247,T247)</f>
        <v>Primary</v>
      </c>
      <c r="Z247" s="2" t="str">
        <f aca="false">IF(OR(Y247="Primary",Y247="Additional phase",Y247="Additional application on site",Y247="Replaces earlier",Y247="Extension of duration (parent not in CIS)"),"Yes","No")</f>
        <v>Yes</v>
      </c>
      <c r="AA247" s="2"/>
      <c r="AB247" s="2" t="n">
        <f aca="false">IF(L247="","",ROUND((Method!$B$4-L247)/30.44,0))</f>
        <v>5</v>
      </c>
      <c r="AC247" s="2" t="str">
        <f aca="false">IF(AB247="","No",IF(AB247&gt;Method!$B$5,"Yes","No"))</f>
        <v>No</v>
      </c>
      <c r="AD247" s="22" t="n">
        <f aca="false">IF(BJ247&lt;&gt;"",BJ247,IF(K247&lt;&gt;"",EDATE(K247,60),""))</f>
        <v>47362</v>
      </c>
      <c r="AE247" s="2" t="str">
        <f aca="false">IF(AND(AD247&lt;&gt;"",OR(G247="Permission Granted",G247="Commencement Expected",G247="Stalled or Suspended")),IF(AD247&lt;Method!$B$4,"Yes","No"),"No")</f>
        <v>No</v>
      </c>
      <c r="AF247" s="7"/>
      <c r="AG247" s="2" t="str">
        <f aca="false">IF(Z247="No","Not counted",IF(AF247="Lapsed or dead","Excluded",IF(AF247="Constrained","Constrained / uncertain",IF(AF247="Confirmed live",IF(G247="On Site","Committed",IF(G247="Part Complete","Committed",IF(G247="Contract Awarded","Committed Pre-Construction",IF(G247="Tender","Advanced Pre-Construction",IF(G247="Commencement Expected","Likely",IF(G247="Permission Granted","Potential",IF(G247="Stalled or Suspended","Constrained / uncertain",IF(G247="Complete","Delivered","Application Pipeline")))))))),IF(G247="Complete","Delivered",IF(AND(OR(G247="Permission Granted",G247="Commencement Expected"),OR(AC247="Yes",AE247="Yes")),"Constrained / uncertain",IF(G247="On Site","Committed",IF(G247="Part Complete","Committed",IF(G247="Contract Awarded","Committed Pre-Construction",IF(G247="Tender","Advanced Pre-Construction",IF(G247="Commencement Expected","Likely",IF(G247="Permission Granted","Potential",IF(G247="Stalled or Suspended","Constrained / uncertain",IF(G247="Complete","Delivered","Application Pipeline"))))))))))))))</f>
        <v>Advanced Pre-Construction</v>
      </c>
      <c r="AH247" s="2" t="str">
        <f aca="false">IF(Z247="No","Relationship: "&amp;Y247,IF(AF247&lt;&gt;"","Analyst: "&amp;AF247,IF(G247="Complete","Complete",IF(AND(OR(G247="Permission Granted",G247="Commencement Expected"),AE247="Yes"),"Past expiry",IF(AND(OR(G247="Permission Granted",G247="Commencement Expected"),AC247="Yes"),"No CIS update in "&amp;AB247&amp;" months","As CIS")))))</f>
        <v>As CIS</v>
      </c>
      <c r="AI247" s="10" t="n">
        <f aca="false">IF(Z247="Yes",N(Q247),0)</f>
        <v>10</v>
      </c>
      <c r="AJ247" s="10" t="n">
        <f aca="false">IF(OR(Z247="No",G247="Complete"),0,MAX(N(Q247)-N(AA247),0))</f>
        <v>10</v>
      </c>
      <c r="AK247" s="10" t="n">
        <f aca="false">IF(Z247="No",0,IF(G247="Complete",N(Q247),MIN(N(AA247),N(Q247))))</f>
        <v>0</v>
      </c>
      <c r="AL247" s="10" t="n">
        <f aca="false">IF(OR(OR(AG247="Not counted",AG247="Excluded",AG247="Delivered"),P247="Student accommodation"),0,AJ247)</f>
        <v>10</v>
      </c>
      <c r="AM247" s="10" t="n">
        <f aca="false">IF(OR(OR(AG247="Not counted",AG247="Excluded",AG247="Delivered"),P247&lt;&gt;"Student accommodation"),0,AJ247)</f>
        <v>0</v>
      </c>
      <c r="AN247" s="10" t="n">
        <f aca="false">IF(OR(AG247="Not counted",AG247="Excluded",AG247="Delivered"),0,N(S247))</f>
        <v>0</v>
      </c>
      <c r="AO247" s="2" t="s">
        <v>1021</v>
      </c>
      <c r="AP247" s="10"/>
      <c r="AQ247" s="10"/>
      <c r="AR247" s="10"/>
      <c r="AS247" s="10"/>
      <c r="AT247" s="10"/>
      <c r="AU247" s="10"/>
      <c r="AV247" s="10" t="n">
        <f aca="false">N(AP247)+N(AQ247)+N(AR247)+N(AS247)+N(AT247)+N(AU247)</f>
        <v>0</v>
      </c>
      <c r="AW247" s="10"/>
      <c r="AX247" s="10"/>
      <c r="AY247" s="10"/>
      <c r="AZ247" s="2"/>
      <c r="BA247" s="2" t="s">
        <v>1022</v>
      </c>
      <c r="BB247" s="2" t="s">
        <v>1952</v>
      </c>
      <c r="BC247" s="2" t="s">
        <v>1023</v>
      </c>
      <c r="BD247" s="2" t="s">
        <v>1024</v>
      </c>
      <c r="BE247" s="2"/>
      <c r="BF247" s="2" t="s">
        <v>1025</v>
      </c>
      <c r="BG247" s="22" t="n">
        <v>45503</v>
      </c>
      <c r="BH247" s="22" t="n">
        <v>47362</v>
      </c>
      <c r="BI247" s="2"/>
      <c r="BJ247" s="22" t="n">
        <v>47362</v>
      </c>
      <c r="BK247" s="2" t="n">
        <v>10</v>
      </c>
      <c r="BL247" s="2" t="n">
        <v>0</v>
      </c>
      <c r="BM247" s="2"/>
      <c r="BN247" s="2" t="s">
        <v>1953</v>
      </c>
      <c r="BO247" s="23" t="s">
        <v>1954</v>
      </c>
      <c r="BP247" s="2" t="n">
        <f aca="false">IF(OR(K247="",BG247=""),"",ROUND(BG247-K247,0))</f>
        <v>0</v>
      </c>
      <c r="BQ247" s="2" t="str">
        <f aca="false">IF(OR(N(BK247)=0,Q247=""),"Not recorded",IF(BK247=Q247,"Match","Differs"))</f>
        <v>Match</v>
      </c>
      <c r="BR247" s="2" t="str">
        <f aca="false">IF(N247="No","Excluded (non-residential)",IF(BF247="No reference","Unverified – no reference",IF(BF247="Not in council register","Unverified – not in register (Part 8 / other)",IF(OR(BF247="Refused",BF247="Refused on appeal",BF247="Withdrawn",BF247="Invalid",BF247="Quashed"),IF(OR(G247="Complete",G247="On Site",G247="Part Complete"),"Conflict – register not live but CIS says built","Conflict – not live in register"),IF(AND(G247="Plans Submitted",OR(BF247="Granted",BF247="Granted on appeal")),"Stage out of date – now granted",IF(AND(G247&lt;&gt;"Plans Submitted",OR(BF247="Pending",BF247="Under appeal")),"Check – register still pending",IF(N(BL247)&gt;Method!$B$7,"Check – location differs",IF(AND(BP247&lt;&gt;"",ABS(N(BP247))&gt;60),"Consistent – decision date differs","Consistent"))))))))</f>
        <v>Consistent</v>
      </c>
      <c r="BS247" s="2" t="n">
        <v>1939</v>
      </c>
      <c r="BT247" s="2" t="s">
        <v>1090</v>
      </c>
      <c r="BU247" s="2" t="s">
        <v>1955</v>
      </c>
      <c r="BV247" s="2" t="s">
        <v>1898</v>
      </c>
      <c r="BW247" s="2" t="s">
        <v>1092</v>
      </c>
      <c r="BX247" s="2" t="s">
        <v>1093</v>
      </c>
    </row>
    <row r="248" customFormat="false" ht="15" hidden="false" customHeight="false" outlineLevel="0" collapsed="false">
      <c r="A248" s="2" t="n">
        <v>1328561</v>
      </c>
      <c r="B248" s="2" t="s">
        <v>717</v>
      </c>
      <c r="C248" s="2" t="s">
        <v>1956</v>
      </c>
      <c r="D248" s="2" t="s">
        <v>718</v>
      </c>
      <c r="E248" s="2" t="s">
        <v>719</v>
      </c>
      <c r="F248" s="2" t="s">
        <v>144</v>
      </c>
      <c r="G248" s="2" t="s">
        <v>651</v>
      </c>
      <c r="H248" s="2" t="s">
        <v>1014</v>
      </c>
      <c r="I248" s="2" t="s">
        <v>651</v>
      </c>
      <c r="J248" s="22" t="n">
        <v>45315</v>
      </c>
      <c r="K248" s="22" t="n">
        <v>45489</v>
      </c>
      <c r="L248" s="22" t="n">
        <v>46111.3219848727</v>
      </c>
      <c r="M248" s="2" t="s">
        <v>1893</v>
      </c>
      <c r="N248" s="2" t="s">
        <v>121</v>
      </c>
      <c r="O248" s="2"/>
      <c r="P248" s="2" t="s">
        <v>1017</v>
      </c>
      <c r="Q248" s="10" t="n">
        <v>7</v>
      </c>
      <c r="R248" s="10"/>
      <c r="S248" s="10"/>
      <c r="T248" s="2" t="s">
        <v>30</v>
      </c>
      <c r="U248" s="2"/>
      <c r="V248" s="2" t="s">
        <v>1080</v>
      </c>
      <c r="W248" s="2" t="s">
        <v>1020</v>
      </c>
      <c r="X248" s="7"/>
      <c r="Y248" s="2" t="str">
        <f aca="false">IF(X248&lt;&gt;"",X248,T248)</f>
        <v>Additional application on site</v>
      </c>
      <c r="Z248" s="2" t="str">
        <f aca="false">IF(OR(Y248="Primary",Y248="Additional phase",Y248="Additional application on site",Y248="Replaces earlier",Y248="Extension of duration (parent not in CIS)"),"Yes","No")</f>
        <v>Yes</v>
      </c>
      <c r="AA248" s="2"/>
      <c r="AB248" s="2" t="n">
        <f aca="false">IF(L248="","",ROUND((Method!$B$4-L248)/30.44,0))</f>
        <v>6</v>
      </c>
      <c r="AC248" s="2" t="str">
        <f aca="false">IF(AB248="","No",IF(AB248&gt;Method!$B$5,"Yes","No"))</f>
        <v>No</v>
      </c>
      <c r="AD248" s="22" t="n">
        <f aca="false">IF(BJ248&lt;&gt;"",BJ248,IF(K248&lt;&gt;"",EDATE(K248,60),""))</f>
        <v>47345</v>
      </c>
      <c r="AE248" s="2" t="str">
        <f aca="false">IF(AND(AD248&lt;&gt;"",OR(G248="Permission Granted",G248="Commencement Expected",G248="Stalled or Suspended")),IF(AD248&lt;Method!$B$4,"Yes","No"),"No")</f>
        <v>No</v>
      </c>
      <c r="AF248" s="7"/>
      <c r="AG248" s="2" t="str">
        <f aca="false">IF(Z248="No","Not counted",IF(AF248="Lapsed or dead","Excluded",IF(AF248="Constrained","Constrained / uncertain",IF(AF248="Confirmed live",IF(G248="On Site","Committed",IF(G248="Part Complete","Committed",IF(G248="Contract Awarded","Committed Pre-Construction",IF(G248="Tender","Advanced Pre-Construction",IF(G248="Commencement Expected","Likely",IF(G248="Permission Granted","Potential",IF(G248="Stalled or Suspended","Constrained / uncertain",IF(G248="Complete","Delivered","Application Pipeline")))))))),IF(G248="Complete","Delivered",IF(AND(OR(G248="Permission Granted",G248="Commencement Expected"),OR(AC248="Yes",AE248="Yes")),"Constrained / uncertain",IF(G248="On Site","Committed",IF(G248="Part Complete","Committed",IF(G248="Contract Awarded","Committed Pre-Construction",IF(G248="Tender","Advanced Pre-Construction",IF(G248="Commencement Expected","Likely",IF(G248="Permission Granted","Potential",IF(G248="Stalled or Suspended","Constrained / uncertain",IF(G248="Complete","Delivered","Application Pipeline"))))))))))))))</f>
        <v>Advanced Pre-Construction</v>
      </c>
      <c r="AH248" s="2" t="str">
        <f aca="false">IF(Z248="No","Relationship: "&amp;Y248,IF(AF248&lt;&gt;"","Analyst: "&amp;AF248,IF(G248="Complete","Complete",IF(AND(OR(G248="Permission Granted",G248="Commencement Expected"),AE248="Yes"),"Past expiry",IF(AND(OR(G248="Permission Granted",G248="Commencement Expected"),AC248="Yes"),"No CIS update in "&amp;AB248&amp;" months","As CIS")))))</f>
        <v>As CIS</v>
      </c>
      <c r="AI248" s="10" t="n">
        <f aca="false">IF(Z248="Yes",N(Q248),0)</f>
        <v>7</v>
      </c>
      <c r="AJ248" s="10" t="n">
        <f aca="false">IF(OR(Z248="No",G248="Complete"),0,MAX(N(Q248)-N(AA248),0))</f>
        <v>7</v>
      </c>
      <c r="AK248" s="10" t="n">
        <f aca="false">IF(Z248="No",0,IF(G248="Complete",N(Q248),MIN(N(AA248),N(Q248))))</f>
        <v>0</v>
      </c>
      <c r="AL248" s="10" t="n">
        <f aca="false">IF(OR(OR(AG248="Not counted",AG248="Excluded",AG248="Delivered"),P248="Student accommodation"),0,AJ248)</f>
        <v>7</v>
      </c>
      <c r="AM248" s="10" t="n">
        <f aca="false">IF(OR(OR(AG248="Not counted",AG248="Excluded",AG248="Delivered"),P248&lt;&gt;"Student accommodation"),0,AJ248)</f>
        <v>0</v>
      </c>
      <c r="AN248" s="10" t="n">
        <f aca="false">IF(OR(AG248="Not counted",AG248="Excluded",AG248="Delivered"),0,N(S248))</f>
        <v>0</v>
      </c>
      <c r="AO248" s="2" t="s">
        <v>1031</v>
      </c>
      <c r="AP248" s="10"/>
      <c r="AQ248" s="10" t="n">
        <v>3</v>
      </c>
      <c r="AR248" s="10" t="n">
        <v>4</v>
      </c>
      <c r="AS248" s="10"/>
      <c r="AT248" s="10"/>
      <c r="AU248" s="10"/>
      <c r="AV248" s="10" t="n">
        <f aca="false">N(AP248)+N(AQ248)+N(AR248)+N(AS248)+N(AT248)+N(AU248)</f>
        <v>7</v>
      </c>
      <c r="AW248" s="10" t="n">
        <v>7</v>
      </c>
      <c r="AX248" s="10"/>
      <c r="AY248" s="10"/>
      <c r="AZ248" s="2"/>
      <c r="BA248" s="2" t="s">
        <v>1022</v>
      </c>
      <c r="BB248" s="2" t="s">
        <v>1956</v>
      </c>
      <c r="BC248" s="2" t="s">
        <v>1023</v>
      </c>
      <c r="BD248" s="2" t="s">
        <v>1024</v>
      </c>
      <c r="BE248" s="2"/>
      <c r="BF248" s="2" t="s">
        <v>1025</v>
      </c>
      <c r="BG248" s="22" t="n">
        <v>45489</v>
      </c>
      <c r="BH248" s="22" t="n">
        <v>47345</v>
      </c>
      <c r="BI248" s="2"/>
      <c r="BJ248" s="22" t="n">
        <v>47345</v>
      </c>
      <c r="BK248" s="2" t="n">
        <v>7</v>
      </c>
      <c r="BL248" s="2" t="n">
        <v>0</v>
      </c>
      <c r="BM248" s="2"/>
      <c r="BN248" s="2" t="s">
        <v>1957</v>
      </c>
      <c r="BO248" s="23" t="s">
        <v>1958</v>
      </c>
      <c r="BP248" s="2" t="n">
        <f aca="false">IF(OR(K248="",BG248=""),"",ROUND(BG248-K248,0))</f>
        <v>0</v>
      </c>
      <c r="BQ248" s="2" t="str">
        <f aca="false">IF(OR(N(BK248)=0,Q248=""),"Not recorded",IF(BK248=Q248,"Match","Differs"))</f>
        <v>Match</v>
      </c>
      <c r="BR248" s="2" t="str">
        <f aca="false">IF(N248="No","Excluded (non-residential)",IF(BF248="No reference","Unverified – no reference",IF(BF248="Not in council register","Unverified – not in register (Part 8 / other)",IF(OR(BF248="Refused",BF248="Refused on appeal",BF248="Withdrawn",BF248="Invalid",BF248="Quashed"),IF(OR(G248="Complete",G248="On Site",G248="Part Complete"),"Conflict – register not live but CIS says built","Conflict – not live in register"),IF(AND(G248="Plans Submitted",OR(BF248="Granted",BF248="Granted on appeal")),"Stage out of date – now granted",IF(AND(G248&lt;&gt;"Plans Submitted",OR(BF248="Pending",BF248="Under appeal")),"Check – register still pending",IF(N(BL248)&gt;Method!$B$7,"Check – location differs",IF(AND(BP248&lt;&gt;"",ABS(N(BP248))&gt;60),"Consistent – decision date differs","Consistent"))))))))</f>
        <v>Consistent</v>
      </c>
      <c r="BS248" s="2"/>
      <c r="BT248" s="2"/>
      <c r="BU248" s="2"/>
      <c r="BV248" s="2"/>
      <c r="BW248" s="2"/>
      <c r="BX248" s="2"/>
    </row>
    <row r="249" customFormat="false" ht="15" hidden="false" customHeight="false" outlineLevel="0" collapsed="false">
      <c r="A249" s="2" t="n">
        <v>1350169</v>
      </c>
      <c r="B249" s="2" t="s">
        <v>721</v>
      </c>
      <c r="C249" s="2" t="s">
        <v>1959</v>
      </c>
      <c r="D249" s="2" t="s">
        <v>722</v>
      </c>
      <c r="E249" s="2" t="s">
        <v>197</v>
      </c>
      <c r="F249" s="2" t="s">
        <v>142</v>
      </c>
      <c r="G249" s="2" t="s">
        <v>700</v>
      </c>
      <c r="H249" s="2" t="s">
        <v>700</v>
      </c>
      <c r="I249" s="2"/>
      <c r="J249" s="22" t="n">
        <v>45448</v>
      </c>
      <c r="K249" s="22"/>
      <c r="L249" s="22" t="n">
        <v>45450.3030759607</v>
      </c>
      <c r="M249" s="2" t="s">
        <v>1893</v>
      </c>
      <c r="N249" s="2" t="s">
        <v>121</v>
      </c>
      <c r="O249" s="2"/>
      <c r="P249" s="2" t="s">
        <v>1017</v>
      </c>
      <c r="Q249" s="10" t="n">
        <v>6</v>
      </c>
      <c r="R249" s="10"/>
      <c r="S249" s="10"/>
      <c r="T249" s="2" t="s">
        <v>32</v>
      </c>
      <c r="U249" s="2"/>
      <c r="V249" s="2" t="s">
        <v>1447</v>
      </c>
      <c r="W249" s="2" t="s">
        <v>1030</v>
      </c>
      <c r="X249" s="7"/>
      <c r="Y249" s="2" t="str">
        <f aca="false">IF(X249&lt;&gt;"",X249,T249)</f>
        <v>Not live</v>
      </c>
      <c r="Z249" s="2" t="str">
        <f aca="false">IF(OR(Y249="Primary",Y249="Additional phase",Y249="Additional application on site",Y249="Replaces earlier",Y249="Extension of duration (parent not in CIS)"),"Yes","No")</f>
        <v>No</v>
      </c>
      <c r="AA249" s="2"/>
      <c r="AB249" s="2" t="n">
        <f aca="false">IF(L249="","",ROUND((Method!$B$4-L249)/30.44,0))</f>
        <v>28</v>
      </c>
      <c r="AC249" s="2" t="str">
        <f aca="false">IF(AB249="","No",IF(AB249&gt;Method!$B$5,"Yes","No"))</f>
        <v>Yes</v>
      </c>
      <c r="AD249" s="22" t="str">
        <f aca="false">IF(BJ249&lt;&gt;"",BJ249,IF(K249&lt;&gt;"",EDATE(K249,60),""))</f>
        <v/>
      </c>
      <c r="AE249" s="2" t="str">
        <f aca="false">IF(AND(AD249&lt;&gt;"",OR(G249="Permission Granted",G249="Commencement Expected",G249="Stalled or Suspended")),IF(AD249&lt;Method!$B$4,"Yes","No"),"No")</f>
        <v>No</v>
      </c>
      <c r="AF249" s="7"/>
      <c r="AG249" s="2" t="str">
        <f aca="false">IF(Z249="No","Not counted",IF(AF249="Lapsed or dead","Excluded",IF(AF249="Constrained","Constrained / uncertain",IF(AF249="Confirmed live",IF(G249="On Site","Committed",IF(G249="Part Complete","Committed",IF(G249="Contract Awarded","Committed Pre-Construction",IF(G249="Tender","Advanced Pre-Construction",IF(G249="Commencement Expected","Likely",IF(G249="Permission Granted","Potential",IF(G249="Stalled or Suspended","Constrained / uncertain",IF(G249="Complete","Delivered","Application Pipeline")))))))),IF(G249="Complete","Delivered",IF(AND(OR(G249="Permission Granted",G249="Commencement Expected"),OR(AC249="Yes",AE249="Yes")),"Constrained / uncertain",IF(G249="On Site","Committed",IF(G249="Part Complete","Committed",IF(G249="Contract Awarded","Committed Pre-Construction",IF(G249="Tender","Advanced Pre-Construction",IF(G249="Commencement Expected","Likely",IF(G249="Permission Granted","Potential",IF(G249="Stalled or Suspended","Constrained / uncertain",IF(G249="Complete","Delivered","Application Pipeline"))))))))))))))</f>
        <v>Not counted</v>
      </c>
      <c r="AH249" s="2" t="str">
        <f aca="false">IF(Z249="No","Relationship: "&amp;Y249,IF(AF249&lt;&gt;"","Analyst: "&amp;AF249,IF(G249="Complete","Complete",IF(AND(OR(G249="Permission Granted",G249="Commencement Expected"),AE249="Yes"),"Past expiry",IF(AND(OR(G249="Permission Granted",G249="Commencement Expected"),AC249="Yes"),"No CIS update in "&amp;AB249&amp;" months","As CIS")))))</f>
        <v>Relationship: Not live</v>
      </c>
      <c r="AI249" s="10" t="n">
        <f aca="false">IF(Z249="Yes",N(Q249),0)</f>
        <v>0</v>
      </c>
      <c r="AJ249" s="10" t="n">
        <f aca="false">IF(OR(Z249="No",G249="Complete"),0,MAX(N(Q249)-N(AA249),0))</f>
        <v>0</v>
      </c>
      <c r="AK249" s="10" t="n">
        <f aca="false">IF(Z249="No",0,IF(G249="Complete",N(Q249),MIN(N(AA249),N(Q249))))</f>
        <v>0</v>
      </c>
      <c r="AL249" s="10" t="n">
        <f aca="false">IF(OR(OR(AG249="Not counted",AG249="Excluded",AG249="Delivered"),P249="Student accommodation"),0,AJ249)</f>
        <v>0</v>
      </c>
      <c r="AM249" s="10" t="n">
        <f aca="false">IF(OR(OR(AG249="Not counted",AG249="Excluded",AG249="Delivered"),P249&lt;&gt;"Student accommodation"),0,AJ249)</f>
        <v>0</v>
      </c>
      <c r="AN249" s="10" t="n">
        <f aca="false">IF(OR(AG249="Not counted",AG249="Excluded",AG249="Delivered"),0,N(S249))</f>
        <v>0</v>
      </c>
      <c r="AO249" s="2" t="s">
        <v>1021</v>
      </c>
      <c r="AP249" s="10"/>
      <c r="AQ249" s="10"/>
      <c r="AR249" s="10"/>
      <c r="AS249" s="10"/>
      <c r="AT249" s="10"/>
      <c r="AU249" s="10"/>
      <c r="AV249" s="10" t="n">
        <f aca="false">N(AP249)+N(AQ249)+N(AR249)+N(AS249)+N(AT249)+N(AU249)</f>
        <v>0</v>
      </c>
      <c r="AW249" s="10"/>
      <c r="AX249" s="10"/>
      <c r="AY249" s="10"/>
      <c r="AZ249" s="2"/>
      <c r="BA249" s="2" t="s">
        <v>1022</v>
      </c>
      <c r="BB249" s="2" t="s">
        <v>1959</v>
      </c>
      <c r="BC249" s="2" t="s">
        <v>1582</v>
      </c>
      <c r="BD249" s="2" t="s">
        <v>1033</v>
      </c>
      <c r="BE249" s="2"/>
      <c r="BF249" s="2" t="s">
        <v>1449</v>
      </c>
      <c r="BG249" s="22"/>
      <c r="BH249" s="22"/>
      <c r="BI249" s="2"/>
      <c r="BJ249" s="22"/>
      <c r="BK249" s="2" t="n">
        <v>6</v>
      </c>
      <c r="BL249" s="2" t="n">
        <v>0</v>
      </c>
      <c r="BM249" s="2" t="s">
        <v>1945</v>
      </c>
      <c r="BN249" s="2" t="s">
        <v>1960</v>
      </c>
      <c r="BO249" s="23" t="s">
        <v>1961</v>
      </c>
      <c r="BP249" s="2" t="str">
        <f aca="false">IF(OR(K249="",BG249=""),"",ROUND(BG249-K249,0))</f>
        <v/>
      </c>
      <c r="BQ249" s="2" t="str">
        <f aca="false">IF(OR(N(BK249)=0,Q249=""),"Not recorded",IF(BK249=Q249,"Match","Differs"))</f>
        <v>Match</v>
      </c>
      <c r="BR249" s="2" t="str">
        <f aca="false">IF(N249="No","Excluded (non-residential)",IF(BF249="No reference","Unverified – no reference",IF(BF249="Not in council register","Unverified – not in register (Part 8 / other)",IF(OR(BF249="Refused",BF249="Refused on appeal",BF249="Withdrawn",BF249="Invalid",BF249="Quashed"),IF(OR(G249="Complete",G249="On Site",G249="Part Complete"),"Conflict – register not live but CIS says built","Conflict – not live in register"),IF(AND(G249="Plans Submitted",OR(BF249="Granted",BF249="Granted on appeal")),"Stage out of date – now granted",IF(AND(G249&lt;&gt;"Plans Submitted",OR(BF249="Pending",BF249="Under appeal")),"Check – register still pending",IF(N(BL249)&gt;Method!$B$7,"Check – location differs",IF(AND(BP249&lt;&gt;"",ABS(N(BP249))&gt;60),"Consistent – decision date differs","Consistent"))))))))</f>
        <v>Conflict – not live in register</v>
      </c>
      <c r="BS249" s="2"/>
      <c r="BT249" s="2"/>
      <c r="BU249" s="2"/>
      <c r="BV249" s="2"/>
      <c r="BW249" s="2"/>
      <c r="BX249" s="2"/>
    </row>
    <row r="250" customFormat="false" ht="15" hidden="false" customHeight="false" outlineLevel="0" collapsed="false">
      <c r="A250" s="2" t="n">
        <v>1353358</v>
      </c>
      <c r="B250" s="2" t="s">
        <v>724</v>
      </c>
      <c r="C250" s="2" t="s">
        <v>1962</v>
      </c>
      <c r="D250" s="2" t="s">
        <v>725</v>
      </c>
      <c r="E250" s="2" t="s">
        <v>726</v>
      </c>
      <c r="F250" s="2" t="s">
        <v>139</v>
      </c>
      <c r="G250" s="2" t="s">
        <v>187</v>
      </c>
      <c r="H250" s="2" t="s">
        <v>1014</v>
      </c>
      <c r="I250" s="2"/>
      <c r="J250" s="22" t="n">
        <v>45468</v>
      </c>
      <c r="K250" s="22" t="n">
        <v>45736</v>
      </c>
      <c r="L250" s="22" t="n">
        <v>45742</v>
      </c>
      <c r="M250" s="2" t="s">
        <v>1904</v>
      </c>
      <c r="N250" s="2" t="s">
        <v>121</v>
      </c>
      <c r="O250" s="2"/>
      <c r="P250" s="2" t="s">
        <v>1017</v>
      </c>
      <c r="Q250" s="10" t="n">
        <v>15</v>
      </c>
      <c r="R250" s="10" t="n">
        <v>15</v>
      </c>
      <c r="S250" s="10"/>
      <c r="T250" s="2" t="s">
        <v>120</v>
      </c>
      <c r="U250" s="2"/>
      <c r="V250" s="2" t="s">
        <v>1029</v>
      </c>
      <c r="W250" s="2" t="s">
        <v>1030</v>
      </c>
      <c r="X250" s="7"/>
      <c r="Y250" s="2" t="str">
        <f aca="false">IF(X250&lt;&gt;"",X250,T250)</f>
        <v>Primary</v>
      </c>
      <c r="Z250" s="2" t="str">
        <f aca="false">IF(OR(Y250="Primary",Y250="Additional phase",Y250="Additional application on site",Y250="Replaces earlier",Y250="Extension of duration (parent not in CIS)"),"Yes","No")</f>
        <v>Yes</v>
      </c>
      <c r="AA250" s="2"/>
      <c r="AB250" s="2" t="n">
        <f aca="false">IF(L250="","",ROUND((Method!$B$4-L250)/30.44,0))</f>
        <v>18</v>
      </c>
      <c r="AC250" s="2" t="str">
        <f aca="false">IF(AB250="","No",IF(AB250&gt;Method!$B$5,"Yes","No"))</f>
        <v>No</v>
      </c>
      <c r="AD250" s="22" t="n">
        <f aca="false">IF(BJ250&lt;&gt;"",BJ250,IF(K250&lt;&gt;"",EDATE(K250,60),""))</f>
        <v>47596</v>
      </c>
      <c r="AE250" s="2" t="str">
        <f aca="false">IF(AND(AD250&lt;&gt;"",OR(G250="Permission Granted",G250="Commencement Expected",G250="Stalled or Suspended")),IF(AD250&lt;Method!$B$4,"Yes","No"),"No")</f>
        <v>No</v>
      </c>
      <c r="AF250" s="7"/>
      <c r="AG250" s="2" t="str">
        <f aca="false">IF(Z250="No","Not counted",IF(AF250="Lapsed or dead","Excluded",IF(AF250="Constrained","Constrained / uncertain",IF(AF250="Confirmed live",IF(G250="On Site","Committed",IF(G250="Part Complete","Committed",IF(G250="Contract Awarded","Committed Pre-Construction",IF(G250="Tender","Advanced Pre-Construction",IF(G250="Commencement Expected","Likely",IF(G250="Permission Granted","Potential",IF(G250="Stalled or Suspended","Constrained / uncertain",IF(G250="Complete","Delivered","Application Pipeline")))))))),IF(G250="Complete","Delivered",IF(AND(OR(G250="Permission Granted",G250="Commencement Expected"),OR(AC250="Yes",AE250="Yes")),"Constrained / uncertain",IF(G250="On Site","Committed",IF(G250="Part Complete","Committed",IF(G250="Contract Awarded","Committed Pre-Construction",IF(G250="Tender","Advanced Pre-Construction",IF(G250="Commencement Expected","Likely",IF(G250="Permission Granted","Potential",IF(G250="Stalled or Suspended","Constrained / uncertain",IF(G250="Complete","Delivered","Application Pipeline"))))))))))))))</f>
        <v>Potential</v>
      </c>
      <c r="AH250" s="2" t="str">
        <f aca="false">IF(Z250="No","Relationship: "&amp;Y250,IF(AF250&lt;&gt;"","Analyst: "&amp;AF250,IF(G250="Complete","Complete",IF(AND(OR(G250="Permission Granted",G250="Commencement Expected"),AE250="Yes"),"Past expiry",IF(AND(OR(G250="Permission Granted",G250="Commencement Expected"),AC250="Yes"),"No CIS update in "&amp;AB250&amp;" months","As CIS")))))</f>
        <v>As CIS</v>
      </c>
      <c r="AI250" s="10" t="n">
        <f aca="false">IF(Z250="Yes",N(Q250),0)</f>
        <v>15</v>
      </c>
      <c r="AJ250" s="10" t="n">
        <f aca="false">IF(OR(Z250="No",G250="Complete"),0,MAX(N(Q250)-N(AA250),0))</f>
        <v>15</v>
      </c>
      <c r="AK250" s="10" t="n">
        <f aca="false">IF(Z250="No",0,IF(G250="Complete",N(Q250),MIN(N(AA250),N(Q250))))</f>
        <v>0</v>
      </c>
      <c r="AL250" s="10" t="n">
        <f aca="false">IF(OR(OR(AG250="Not counted",AG250="Excluded",AG250="Delivered"),P250="Student accommodation"),0,AJ250)</f>
        <v>15</v>
      </c>
      <c r="AM250" s="10" t="n">
        <f aca="false">IF(OR(OR(AG250="Not counted",AG250="Excluded",AG250="Delivered"),P250&lt;&gt;"Student accommodation"),0,AJ250)</f>
        <v>0</v>
      </c>
      <c r="AN250" s="10" t="n">
        <f aca="false">IF(OR(AG250="Not counted",AG250="Excluded",AG250="Delivered"),0,N(S250))</f>
        <v>0</v>
      </c>
      <c r="AO250" s="2" t="s">
        <v>1157</v>
      </c>
      <c r="AP250" s="10"/>
      <c r="AQ250" s="10" t="n">
        <v>14</v>
      </c>
      <c r="AR250" s="10" t="n">
        <v>1</v>
      </c>
      <c r="AS250" s="10"/>
      <c r="AT250" s="10"/>
      <c r="AU250" s="10"/>
      <c r="AV250" s="10" t="n">
        <f aca="false">N(AP250)+N(AQ250)+N(AR250)+N(AS250)+N(AT250)+N(AU250)</f>
        <v>15</v>
      </c>
      <c r="AW250" s="10"/>
      <c r="AX250" s="10" t="n">
        <v>15</v>
      </c>
      <c r="AY250" s="10"/>
      <c r="AZ250" s="2"/>
      <c r="BA250" s="2" t="s">
        <v>1022</v>
      </c>
      <c r="BB250" s="2" t="s">
        <v>1962</v>
      </c>
      <c r="BC250" s="2" t="s">
        <v>1023</v>
      </c>
      <c r="BD250" s="2" t="s">
        <v>1024</v>
      </c>
      <c r="BE250" s="2"/>
      <c r="BF250" s="2" t="s">
        <v>1025</v>
      </c>
      <c r="BG250" s="22" t="n">
        <v>45736</v>
      </c>
      <c r="BH250" s="22" t="n">
        <v>47596</v>
      </c>
      <c r="BI250" s="2"/>
      <c r="BJ250" s="22" t="n">
        <v>47596</v>
      </c>
      <c r="BK250" s="2" t="n">
        <v>1</v>
      </c>
      <c r="BL250" s="2" t="n">
        <v>0</v>
      </c>
      <c r="BM250" s="2"/>
      <c r="BN250" s="2" t="s">
        <v>1963</v>
      </c>
      <c r="BO250" s="23" t="s">
        <v>1964</v>
      </c>
      <c r="BP250" s="2" t="n">
        <f aca="false">IF(OR(K250="",BG250=""),"",ROUND(BG250-K250,0))</f>
        <v>0</v>
      </c>
      <c r="BQ250" s="2" t="str">
        <f aca="false">IF(OR(N(BK250)=0,Q250=""),"Not recorded",IF(BK250=Q250,"Match","Differs"))</f>
        <v>Differs</v>
      </c>
      <c r="BR250" s="2" t="str">
        <f aca="false">IF(N250="No","Excluded (non-residential)",IF(BF250="No reference","Unverified – no reference",IF(BF250="Not in council register","Unverified – not in register (Part 8 / other)",IF(OR(BF250="Refused",BF250="Refused on appeal",BF250="Withdrawn",BF250="Invalid",BF250="Quashed"),IF(OR(G250="Complete",G250="On Site",G250="Part Complete"),"Conflict – register not live but CIS says built","Conflict – not live in register"),IF(AND(G250="Plans Submitted",OR(BF250="Granted",BF250="Granted on appeal")),"Stage out of date – now granted",IF(AND(G250&lt;&gt;"Plans Submitted",OR(BF250="Pending",BF250="Under appeal")),"Check – register still pending",IF(N(BL250)&gt;Method!$B$7,"Check – location differs",IF(AND(BP250&lt;&gt;"",ABS(N(BP250))&gt;60),"Consistent – decision date differs","Consistent"))))))))</f>
        <v>Consistent</v>
      </c>
      <c r="BS250" s="2"/>
      <c r="BT250" s="2"/>
      <c r="BU250" s="2"/>
      <c r="BV250" s="2"/>
      <c r="BW250" s="2"/>
      <c r="BX250" s="2"/>
    </row>
    <row r="251" customFormat="false" ht="15" hidden="false" customHeight="false" outlineLevel="0" collapsed="false">
      <c r="A251" s="2" t="n">
        <v>1360912</v>
      </c>
      <c r="B251" s="2" t="s">
        <v>830</v>
      </c>
      <c r="C251" s="2" t="s">
        <v>1965</v>
      </c>
      <c r="D251" s="2" t="s">
        <v>831</v>
      </c>
      <c r="E251" s="2" t="s">
        <v>832</v>
      </c>
      <c r="F251" s="2" t="s">
        <v>141</v>
      </c>
      <c r="G251" s="2" t="s">
        <v>700</v>
      </c>
      <c r="H251" s="2" t="s">
        <v>700</v>
      </c>
      <c r="I251" s="2"/>
      <c r="J251" s="22" t="n">
        <v>46164</v>
      </c>
      <c r="K251" s="22"/>
      <c r="L251" s="22" t="n">
        <v>46174.4164605671</v>
      </c>
      <c r="M251" s="2" t="s">
        <v>1893</v>
      </c>
      <c r="N251" s="2" t="s">
        <v>121</v>
      </c>
      <c r="O251" s="2"/>
      <c r="P251" s="2" t="s">
        <v>1017</v>
      </c>
      <c r="Q251" s="10" t="n">
        <v>30</v>
      </c>
      <c r="R251" s="10" t="n">
        <v>15</v>
      </c>
      <c r="S251" s="10"/>
      <c r="T251" s="2" t="s">
        <v>120</v>
      </c>
      <c r="U251" s="2"/>
      <c r="V251" s="2" t="s">
        <v>1029</v>
      </c>
      <c r="W251" s="2" t="s">
        <v>1030</v>
      </c>
      <c r="X251" s="7"/>
      <c r="Y251" s="2" t="str">
        <f aca="false">IF(X251&lt;&gt;"",X251,T251)</f>
        <v>Primary</v>
      </c>
      <c r="Z251" s="2" t="str">
        <f aca="false">IF(OR(Y251="Primary",Y251="Additional phase",Y251="Additional application on site",Y251="Replaces earlier",Y251="Extension of duration (parent not in CIS)"),"Yes","No")</f>
        <v>Yes</v>
      </c>
      <c r="AA251" s="2"/>
      <c r="AB251" s="2" t="n">
        <f aca="false">IF(L251="","",ROUND((Method!$B$4-L251)/30.44,0))</f>
        <v>4</v>
      </c>
      <c r="AC251" s="2" t="str">
        <f aca="false">IF(AB251="","No",IF(AB251&gt;Method!$B$5,"Yes","No"))</f>
        <v>No</v>
      </c>
      <c r="AD251" s="22" t="str">
        <f aca="false">IF(BJ251&lt;&gt;"",BJ251,IF(K251&lt;&gt;"",EDATE(K251,60),""))</f>
        <v/>
      </c>
      <c r="AE251" s="2" t="str">
        <f aca="false">IF(AND(AD251&lt;&gt;"",OR(G251="Permission Granted",G251="Commencement Expected",G251="Stalled or Suspended")),IF(AD251&lt;Method!$B$4,"Yes","No"),"No")</f>
        <v>No</v>
      </c>
      <c r="AF251" s="7"/>
      <c r="AG251" s="2" t="str">
        <f aca="false">IF(Z251="No","Not counted",IF(AF251="Lapsed or dead","Excluded",IF(AF251="Constrained","Constrained / uncertain",IF(AF251="Confirmed live",IF(G251="On Site","Committed",IF(G251="Part Complete","Committed",IF(G251="Contract Awarded","Committed Pre-Construction",IF(G251="Tender","Advanced Pre-Construction",IF(G251="Commencement Expected","Likely",IF(G251="Permission Granted","Potential",IF(G251="Stalled or Suspended","Constrained / uncertain",IF(G251="Complete","Delivered","Application Pipeline")))))))),IF(G251="Complete","Delivered",IF(AND(OR(G251="Permission Granted",G251="Commencement Expected"),OR(AC251="Yes",AE251="Yes")),"Constrained / uncertain",IF(G251="On Site","Committed",IF(G251="Part Complete","Committed",IF(G251="Contract Awarded","Committed Pre-Construction",IF(G251="Tender","Advanced Pre-Construction",IF(G251="Commencement Expected","Likely",IF(G251="Permission Granted","Potential",IF(G251="Stalled or Suspended","Constrained / uncertain",IF(G251="Complete","Delivered","Application Pipeline"))))))))))))))</f>
        <v>Application Pipeline</v>
      </c>
      <c r="AH251" s="2" t="str">
        <f aca="false">IF(Z251="No","Relationship: "&amp;Y251,IF(AF251&lt;&gt;"","Analyst: "&amp;AF251,IF(G251="Complete","Complete",IF(AND(OR(G251="Permission Granted",G251="Commencement Expected"),AE251="Yes"),"Past expiry",IF(AND(OR(G251="Permission Granted",G251="Commencement Expected"),AC251="Yes"),"No CIS update in "&amp;AB251&amp;" months","As CIS")))))</f>
        <v>As CIS</v>
      </c>
      <c r="AI251" s="10" t="n">
        <f aca="false">IF(Z251="Yes",N(Q251),0)</f>
        <v>30</v>
      </c>
      <c r="AJ251" s="10" t="n">
        <f aca="false">IF(OR(Z251="No",G251="Complete"),0,MAX(N(Q251)-N(AA251),0))</f>
        <v>30</v>
      </c>
      <c r="AK251" s="10" t="n">
        <f aca="false">IF(Z251="No",0,IF(G251="Complete",N(Q251),MIN(N(AA251),N(Q251))))</f>
        <v>0</v>
      </c>
      <c r="AL251" s="10" t="n">
        <f aca="false">IF(OR(OR(AG251="Not counted",AG251="Excluded",AG251="Delivered"),P251="Student accommodation"),0,AJ251)</f>
        <v>30</v>
      </c>
      <c r="AM251" s="10" t="n">
        <f aca="false">IF(OR(OR(AG251="Not counted",AG251="Excluded",AG251="Delivered"),P251&lt;&gt;"Student accommodation"),0,AJ251)</f>
        <v>0</v>
      </c>
      <c r="AN251" s="10" t="n">
        <f aca="false">IF(OR(AG251="Not counted",AG251="Excluded",AG251="Delivered"),0,N(S251))</f>
        <v>0</v>
      </c>
      <c r="AO251" s="2" t="s">
        <v>1031</v>
      </c>
      <c r="AP251" s="10"/>
      <c r="AQ251" s="10" t="n">
        <v>20</v>
      </c>
      <c r="AR251" s="10" t="n">
        <v>10</v>
      </c>
      <c r="AS251" s="10"/>
      <c r="AT251" s="10"/>
      <c r="AU251" s="10"/>
      <c r="AV251" s="10" t="n">
        <f aca="false">N(AP251)+N(AQ251)+N(AR251)+N(AS251)+N(AT251)+N(AU251)</f>
        <v>30</v>
      </c>
      <c r="AW251" s="10"/>
      <c r="AX251" s="10" t="n">
        <v>30</v>
      </c>
      <c r="AY251" s="10"/>
      <c r="AZ251" s="2"/>
      <c r="BA251" s="2" t="s">
        <v>1022</v>
      </c>
      <c r="BB251" s="2" t="s">
        <v>1965</v>
      </c>
      <c r="BC251" s="2" t="s">
        <v>1966</v>
      </c>
      <c r="BD251" s="2" t="s">
        <v>1033</v>
      </c>
      <c r="BE251" s="2"/>
      <c r="BF251" s="2" t="s">
        <v>1034</v>
      </c>
      <c r="BG251" s="22"/>
      <c r="BH251" s="22"/>
      <c r="BI251" s="2"/>
      <c r="BJ251" s="22"/>
      <c r="BK251" s="2"/>
      <c r="BL251" s="2" t="n">
        <v>0</v>
      </c>
      <c r="BM251" s="2"/>
      <c r="BN251" s="2" t="s">
        <v>1967</v>
      </c>
      <c r="BO251" s="23" t="s">
        <v>1968</v>
      </c>
      <c r="BP251" s="2" t="str">
        <f aca="false">IF(OR(K251="",BG251=""),"",ROUND(BG251-K251,0))</f>
        <v/>
      </c>
      <c r="BQ251" s="2" t="str">
        <f aca="false">IF(OR(N(BK251)=0,Q251=""),"Not recorded",IF(BK251=Q251,"Match","Differs"))</f>
        <v>Not recorded</v>
      </c>
      <c r="BR251" s="2" t="str">
        <f aca="false">IF(N251="No","Excluded (non-residential)",IF(BF251="No reference","Unverified – no reference",IF(BF251="Not in council register","Unverified – not in register (Part 8 / other)",IF(OR(BF251="Refused",BF251="Refused on appeal",BF251="Withdrawn",BF251="Invalid",BF251="Quashed"),IF(OR(G251="Complete",G251="On Site",G251="Part Complete"),"Conflict – register not live but CIS says built","Conflict – not live in register"),IF(AND(G251="Plans Submitted",OR(BF251="Granted",BF251="Granted on appeal")),"Stage out of date – now granted",IF(AND(G251&lt;&gt;"Plans Submitted",OR(BF251="Pending",BF251="Under appeal")),"Check – register still pending",IF(N(BL251)&gt;Method!$B$7,"Check – location differs",IF(AND(BP251&lt;&gt;"",ABS(N(BP251))&gt;60),"Consistent – decision date differs","Consistent"))))))))</f>
        <v>Consistent</v>
      </c>
      <c r="BS251" s="2"/>
      <c r="BT251" s="2"/>
      <c r="BU251" s="2"/>
      <c r="BV251" s="2"/>
      <c r="BW251" s="2"/>
      <c r="BX251" s="2"/>
    </row>
    <row r="252" customFormat="false" ht="15" hidden="false" customHeight="false" outlineLevel="0" collapsed="false">
      <c r="A252" s="2" t="n">
        <v>1363929</v>
      </c>
      <c r="B252" s="2" t="s">
        <v>728</v>
      </c>
      <c r="C252" s="2" t="s">
        <v>1969</v>
      </c>
      <c r="D252" s="2" t="s">
        <v>729</v>
      </c>
      <c r="E252" s="2" t="s">
        <v>730</v>
      </c>
      <c r="F252" s="2" t="s">
        <v>139</v>
      </c>
      <c r="G252" s="2" t="s">
        <v>187</v>
      </c>
      <c r="H252" s="2" t="s">
        <v>1014</v>
      </c>
      <c r="I252" s="2"/>
      <c r="J252" s="22" t="n">
        <v>45532</v>
      </c>
      <c r="K252" s="22" t="n">
        <v>45882</v>
      </c>
      <c r="L252" s="22" t="n">
        <v>45537</v>
      </c>
      <c r="M252" s="2" t="s">
        <v>1904</v>
      </c>
      <c r="N252" s="2" t="s">
        <v>121</v>
      </c>
      <c r="O252" s="2"/>
      <c r="P252" s="2" t="s">
        <v>1017</v>
      </c>
      <c r="Q252" s="10" t="n">
        <v>15</v>
      </c>
      <c r="R252" s="10" t="n">
        <v>15</v>
      </c>
      <c r="S252" s="10"/>
      <c r="T252" s="2" t="s">
        <v>120</v>
      </c>
      <c r="U252" s="2"/>
      <c r="V252" s="2" t="s">
        <v>1029</v>
      </c>
      <c r="W252" s="2" t="s">
        <v>1030</v>
      </c>
      <c r="X252" s="7"/>
      <c r="Y252" s="2" t="str">
        <f aca="false">IF(X252&lt;&gt;"",X252,T252)</f>
        <v>Primary</v>
      </c>
      <c r="Z252" s="2" t="str">
        <f aca="false">IF(OR(Y252="Primary",Y252="Additional phase",Y252="Additional application on site",Y252="Replaces earlier",Y252="Extension of duration (parent not in CIS)"),"Yes","No")</f>
        <v>Yes</v>
      </c>
      <c r="AA252" s="2"/>
      <c r="AB252" s="2" t="n">
        <f aca="false">IF(L252="","",ROUND((Method!$B$4-L252)/30.44,0))</f>
        <v>25</v>
      </c>
      <c r="AC252" s="2" t="str">
        <f aca="false">IF(AB252="","No",IF(AB252&gt;Method!$B$5,"Yes","No"))</f>
        <v>Yes</v>
      </c>
      <c r="AD252" s="22" t="n">
        <f aca="false">IF(BJ252&lt;&gt;"",BJ252,IF(K252&lt;&gt;"",EDATE(K252,60),""))</f>
        <v>47743</v>
      </c>
      <c r="AE252" s="2" t="str">
        <f aca="false">IF(AND(AD252&lt;&gt;"",OR(G252="Permission Granted",G252="Commencement Expected",G252="Stalled or Suspended")),IF(AD252&lt;Method!$B$4,"Yes","No"),"No")</f>
        <v>No</v>
      </c>
      <c r="AF252" s="7"/>
      <c r="AG252" s="2" t="str">
        <f aca="false">IF(Z252="No","Not counted",IF(AF252="Lapsed or dead","Excluded",IF(AF252="Constrained","Constrained / uncertain",IF(AF252="Confirmed live",IF(G252="On Site","Committed",IF(G252="Part Complete","Committed",IF(G252="Contract Awarded","Committed Pre-Construction",IF(G252="Tender","Advanced Pre-Construction",IF(G252="Commencement Expected","Likely",IF(G252="Permission Granted","Potential",IF(G252="Stalled or Suspended","Constrained / uncertain",IF(G252="Complete","Delivered","Application Pipeline")))))))),IF(G252="Complete","Delivered",IF(AND(OR(G252="Permission Granted",G252="Commencement Expected"),OR(AC252="Yes",AE252="Yes")),"Constrained / uncertain",IF(G252="On Site","Committed",IF(G252="Part Complete","Committed",IF(G252="Contract Awarded","Committed Pre-Construction",IF(G252="Tender","Advanced Pre-Construction",IF(G252="Commencement Expected","Likely",IF(G252="Permission Granted","Potential",IF(G252="Stalled or Suspended","Constrained / uncertain",IF(G252="Complete","Delivered","Application Pipeline"))))))))))))))</f>
        <v>Constrained / uncertain</v>
      </c>
      <c r="AH252" s="2" t="str">
        <f aca="false">IF(Z252="No","Relationship: "&amp;Y252,IF(AF252&lt;&gt;"","Analyst: "&amp;AF252,IF(G252="Complete","Complete",IF(AND(OR(G252="Permission Granted",G252="Commencement Expected"),AE252="Yes"),"Past expiry",IF(AND(OR(G252="Permission Granted",G252="Commencement Expected"),AC252="Yes"),"No CIS update in "&amp;AB252&amp;" months","As CIS")))))</f>
        <v>No CIS update in 25 months</v>
      </c>
      <c r="AI252" s="10" t="n">
        <f aca="false">IF(Z252="Yes",N(Q252),0)</f>
        <v>15</v>
      </c>
      <c r="AJ252" s="10" t="n">
        <f aca="false">IF(OR(Z252="No",G252="Complete"),0,MAX(N(Q252)-N(AA252),0))</f>
        <v>15</v>
      </c>
      <c r="AK252" s="10" t="n">
        <f aca="false">IF(Z252="No",0,IF(G252="Complete",N(Q252),MIN(N(AA252),N(Q252))))</f>
        <v>0</v>
      </c>
      <c r="AL252" s="10" t="n">
        <f aca="false">IF(OR(OR(AG252="Not counted",AG252="Excluded",AG252="Delivered"),P252="Student accommodation"),0,AJ252)</f>
        <v>15</v>
      </c>
      <c r="AM252" s="10" t="n">
        <f aca="false">IF(OR(OR(AG252="Not counted",AG252="Excluded",AG252="Delivered"),P252&lt;&gt;"Student accommodation"),0,AJ252)</f>
        <v>0</v>
      </c>
      <c r="AN252" s="10" t="n">
        <f aca="false">IF(OR(AG252="Not counted",AG252="Excluded",AG252="Delivered"),0,N(S252))</f>
        <v>0</v>
      </c>
      <c r="AO252" s="2" t="s">
        <v>1157</v>
      </c>
      <c r="AP252" s="10"/>
      <c r="AQ252" s="10" t="n">
        <v>4</v>
      </c>
      <c r="AR252" s="10" t="n">
        <v>1</v>
      </c>
      <c r="AS252" s="10" t="n">
        <v>10</v>
      </c>
      <c r="AT252" s="10"/>
      <c r="AU252" s="10"/>
      <c r="AV252" s="10" t="n">
        <f aca="false">N(AP252)+N(AQ252)+N(AR252)+N(AS252)+N(AT252)+N(AU252)</f>
        <v>15</v>
      </c>
      <c r="AW252" s="10" t="n">
        <v>15</v>
      </c>
      <c r="AX252" s="10"/>
      <c r="AY252" s="10"/>
      <c r="AZ252" s="2"/>
      <c r="BA252" s="2" t="s">
        <v>1022</v>
      </c>
      <c r="BB252" s="2" t="s">
        <v>1969</v>
      </c>
      <c r="BC252" s="2" t="s">
        <v>1023</v>
      </c>
      <c r="BD252" s="2" t="s">
        <v>1024</v>
      </c>
      <c r="BE252" s="2"/>
      <c r="BF252" s="2" t="s">
        <v>1025</v>
      </c>
      <c r="BG252" s="22" t="n">
        <v>45882</v>
      </c>
      <c r="BH252" s="22" t="n">
        <v>47743</v>
      </c>
      <c r="BI252" s="2"/>
      <c r="BJ252" s="22" t="n">
        <v>47743</v>
      </c>
      <c r="BK252" s="2" t="n">
        <v>14</v>
      </c>
      <c r="BL252" s="2" t="n">
        <v>0</v>
      </c>
      <c r="BM252" s="2"/>
      <c r="BN252" s="2" t="s">
        <v>1970</v>
      </c>
      <c r="BO252" s="23" t="s">
        <v>1971</v>
      </c>
      <c r="BP252" s="2" t="n">
        <f aca="false">IF(OR(K252="",BG252=""),"",ROUND(BG252-K252,0))</f>
        <v>0</v>
      </c>
      <c r="BQ252" s="2" t="str">
        <f aca="false">IF(OR(N(BK252)=0,Q252=""),"Not recorded",IF(BK252=Q252,"Match","Differs"))</f>
        <v>Differs</v>
      </c>
      <c r="BR252" s="2" t="str">
        <f aca="false">IF(N252="No","Excluded (non-residential)",IF(BF252="No reference","Unverified – no reference",IF(BF252="Not in council register","Unverified – not in register (Part 8 / other)",IF(OR(BF252="Refused",BF252="Refused on appeal",BF252="Withdrawn",BF252="Invalid",BF252="Quashed"),IF(OR(G252="Complete",G252="On Site",G252="Part Complete"),"Conflict – register not live but CIS says built","Conflict – not live in register"),IF(AND(G252="Plans Submitted",OR(BF252="Granted",BF252="Granted on appeal")),"Stage out of date – now granted",IF(AND(G252&lt;&gt;"Plans Submitted",OR(BF252="Pending",BF252="Under appeal")),"Check – register still pending",IF(N(BL252)&gt;Method!$B$7,"Check – location differs",IF(AND(BP252&lt;&gt;"",ABS(N(BP252))&gt;60),"Consistent – decision date differs","Consistent"))))))))</f>
        <v>Consistent</v>
      </c>
      <c r="BS252" s="2"/>
      <c r="BT252" s="2"/>
      <c r="BU252" s="2"/>
      <c r="BV252" s="2"/>
      <c r="BW252" s="2"/>
      <c r="BX252" s="2"/>
    </row>
    <row r="253" customFormat="false" ht="15" hidden="false" customHeight="false" outlineLevel="0" collapsed="false">
      <c r="A253" s="2" t="n">
        <v>1364960</v>
      </c>
      <c r="B253" s="2" t="s">
        <v>735</v>
      </c>
      <c r="C253" s="2" t="s">
        <v>1972</v>
      </c>
      <c r="D253" s="2" t="s">
        <v>736</v>
      </c>
      <c r="E253" s="2" t="s">
        <v>737</v>
      </c>
      <c r="F253" s="2" t="s">
        <v>139</v>
      </c>
      <c r="G253" s="2" t="s">
        <v>651</v>
      </c>
      <c r="H253" s="2" t="s">
        <v>1014</v>
      </c>
      <c r="I253" s="2" t="s">
        <v>651</v>
      </c>
      <c r="J253" s="22" t="n">
        <v>45533</v>
      </c>
      <c r="K253" s="22" t="n">
        <v>45630</v>
      </c>
      <c r="L253" s="22" t="n">
        <v>46111.3174919329</v>
      </c>
      <c r="M253" s="2" t="s">
        <v>1893</v>
      </c>
      <c r="N253" s="2" t="s">
        <v>121</v>
      </c>
      <c r="O253" s="2"/>
      <c r="P253" s="2" t="s">
        <v>1017</v>
      </c>
      <c r="Q253" s="10" t="n">
        <v>6</v>
      </c>
      <c r="R253" s="10"/>
      <c r="S253" s="10"/>
      <c r="T253" s="2" t="s">
        <v>125</v>
      </c>
      <c r="U253" s="2" t="s">
        <v>1973</v>
      </c>
      <c r="V253" s="2" t="s">
        <v>1974</v>
      </c>
      <c r="W253" s="2" t="s">
        <v>1030</v>
      </c>
      <c r="X253" s="7"/>
      <c r="Y253" s="2" t="str">
        <f aca="false">IF(X253&lt;&gt;"",X253,T253)</f>
        <v>Duplicate</v>
      </c>
      <c r="Z253" s="2" t="str">
        <f aca="false">IF(OR(Y253="Primary",Y253="Additional phase",Y253="Additional application on site",Y253="Replaces earlier",Y253="Extension of duration (parent not in CIS)"),"Yes","No")</f>
        <v>No</v>
      </c>
      <c r="AA253" s="2"/>
      <c r="AB253" s="2" t="n">
        <f aca="false">IF(L253="","",ROUND((Method!$B$4-L253)/30.44,0))</f>
        <v>6</v>
      </c>
      <c r="AC253" s="2" t="str">
        <f aca="false">IF(AB253="","No",IF(AB253&gt;Method!$B$5,"Yes","No"))</f>
        <v>No</v>
      </c>
      <c r="AD253" s="22" t="n">
        <f aca="false">IF(BJ253&lt;&gt;"",BJ253,IF(K253&lt;&gt;"",EDATE(K253,60),""))</f>
        <v>47456</v>
      </c>
      <c r="AE253" s="2" t="str">
        <f aca="false">IF(AND(AD253&lt;&gt;"",OR(G253="Permission Granted",G253="Commencement Expected",G253="Stalled or Suspended")),IF(AD253&lt;Method!$B$4,"Yes","No"),"No")</f>
        <v>No</v>
      </c>
      <c r="AF253" s="7"/>
      <c r="AG253" s="2" t="str">
        <f aca="false">IF(Z253="No","Not counted",IF(AF253="Lapsed or dead","Excluded",IF(AF253="Constrained","Constrained / uncertain",IF(AF253="Confirmed live",IF(G253="On Site","Committed",IF(G253="Part Complete","Committed",IF(G253="Contract Awarded","Committed Pre-Construction",IF(G253="Tender","Advanced Pre-Construction",IF(G253="Commencement Expected","Likely",IF(G253="Permission Granted","Potential",IF(G253="Stalled or Suspended","Constrained / uncertain",IF(G253="Complete","Delivered","Application Pipeline")))))))),IF(G253="Complete","Delivered",IF(AND(OR(G253="Permission Granted",G253="Commencement Expected"),OR(AC253="Yes",AE253="Yes")),"Constrained / uncertain",IF(G253="On Site","Committed",IF(G253="Part Complete","Committed",IF(G253="Contract Awarded","Committed Pre-Construction",IF(G253="Tender","Advanced Pre-Construction",IF(G253="Commencement Expected","Likely",IF(G253="Permission Granted","Potential",IF(G253="Stalled or Suspended","Constrained / uncertain",IF(G253="Complete","Delivered","Application Pipeline"))))))))))))))</f>
        <v>Not counted</v>
      </c>
      <c r="AH253" s="2" t="str">
        <f aca="false">IF(Z253="No","Relationship: "&amp;Y253,IF(AF253&lt;&gt;"","Analyst: "&amp;AF253,IF(G253="Complete","Complete",IF(AND(OR(G253="Permission Granted",G253="Commencement Expected"),AE253="Yes"),"Past expiry",IF(AND(OR(G253="Permission Granted",G253="Commencement Expected"),AC253="Yes"),"No CIS update in "&amp;AB253&amp;" months","As CIS")))))</f>
        <v>Relationship: Duplicate</v>
      </c>
      <c r="AI253" s="10" t="n">
        <f aca="false">IF(Z253="Yes",N(Q253),0)</f>
        <v>0</v>
      </c>
      <c r="AJ253" s="10" t="n">
        <f aca="false">IF(OR(Z253="No",G253="Complete"),0,MAX(N(Q253)-N(AA253),0))</f>
        <v>0</v>
      </c>
      <c r="AK253" s="10" t="n">
        <f aca="false">IF(Z253="No",0,IF(G253="Complete",N(Q253),MIN(N(AA253),N(Q253))))</f>
        <v>0</v>
      </c>
      <c r="AL253" s="10" t="n">
        <f aca="false">IF(OR(OR(AG253="Not counted",AG253="Excluded",AG253="Delivered"),P253="Student accommodation"),0,AJ253)</f>
        <v>0</v>
      </c>
      <c r="AM253" s="10" t="n">
        <f aca="false">IF(OR(OR(AG253="Not counted",AG253="Excluded",AG253="Delivered"),P253&lt;&gt;"Student accommodation"),0,AJ253)</f>
        <v>0</v>
      </c>
      <c r="AN253" s="10" t="n">
        <f aca="false">IF(OR(AG253="Not counted",AG253="Excluded",AG253="Delivered"),0,N(S253))</f>
        <v>0</v>
      </c>
      <c r="AO253" s="2" t="s">
        <v>1043</v>
      </c>
      <c r="AP253" s="10"/>
      <c r="AQ253" s="10"/>
      <c r="AR253" s="10"/>
      <c r="AS253" s="10"/>
      <c r="AT253" s="10"/>
      <c r="AU253" s="10"/>
      <c r="AV253" s="10" t="n">
        <f aca="false">N(AP253)+N(AQ253)+N(AR253)+N(AS253)+N(AT253)+N(AU253)</f>
        <v>0</v>
      </c>
      <c r="AW253" s="10"/>
      <c r="AX253" s="10"/>
      <c r="AY253" s="10"/>
      <c r="AZ253" s="2"/>
      <c r="BA253" s="2" t="s">
        <v>1095</v>
      </c>
      <c r="BB253" s="2"/>
      <c r="BC253" s="2"/>
      <c r="BD253" s="2"/>
      <c r="BE253" s="2"/>
      <c r="BF253" s="2" t="s">
        <v>1095</v>
      </c>
      <c r="BG253" s="22"/>
      <c r="BH253" s="22"/>
      <c r="BI253" s="2"/>
      <c r="BJ253" s="22"/>
      <c r="BK253" s="2"/>
      <c r="BL253" s="2"/>
      <c r="BM253" s="2"/>
      <c r="BN253" s="2"/>
      <c r="BO253" s="2"/>
      <c r="BP253" s="2" t="str">
        <f aca="false">IF(OR(K253="",BG253=""),"",ROUND(BG253-K253,0))</f>
        <v/>
      </c>
      <c r="BQ253" s="2" t="str">
        <f aca="false">IF(OR(N(BK253)=0,Q253=""),"Not recorded",IF(BK253=Q253,"Match","Differs"))</f>
        <v>Not recorded</v>
      </c>
      <c r="BR253" s="2" t="str">
        <f aca="false">IF(N253="No","Excluded (non-residential)",IF(BF253="No reference","Unverified – no reference",IF(BF253="Not in council register","Unverified – not in register (Part 8 / other)",IF(OR(BF253="Refused",BF253="Refused on appeal",BF253="Withdrawn",BF253="Invalid",BF253="Quashed"),IF(OR(G253="Complete",G253="On Site",G253="Part Complete"),"Conflict – register not live but CIS says built","Conflict – not live in register"),IF(AND(G253="Plans Submitted",OR(BF253="Granted",BF253="Granted on appeal")),"Stage out of date – now granted",IF(AND(G253&lt;&gt;"Plans Submitted",OR(BF253="Pending",BF253="Under appeal")),"Check – register still pending",IF(N(BL253)&gt;Method!$B$7,"Check – location differs",IF(AND(BP253&lt;&gt;"",ABS(N(BP253))&gt;60),"Consistent – decision date differs","Consistent"))))))))</f>
        <v>Unverified – not in register (Part 8 / other)</v>
      </c>
      <c r="BS253" s="2" t="n">
        <v>1832</v>
      </c>
      <c r="BT253" s="2" t="s">
        <v>1049</v>
      </c>
      <c r="BU253" s="2" t="s">
        <v>1050</v>
      </c>
      <c r="BV253" s="2" t="s">
        <v>1898</v>
      </c>
      <c r="BW253" s="2" t="s">
        <v>1092</v>
      </c>
      <c r="BX253" s="2" t="s">
        <v>1052</v>
      </c>
    </row>
    <row r="254" customFormat="false" ht="15" hidden="false" customHeight="false" outlineLevel="0" collapsed="false">
      <c r="A254" s="2" t="n">
        <v>1369195</v>
      </c>
      <c r="B254" s="2" t="s">
        <v>739</v>
      </c>
      <c r="C254" s="2" t="s">
        <v>1975</v>
      </c>
      <c r="D254" s="2" t="s">
        <v>740</v>
      </c>
      <c r="E254" s="2" t="s">
        <v>197</v>
      </c>
      <c r="F254" s="2" t="s">
        <v>142</v>
      </c>
      <c r="G254" s="2" t="s">
        <v>700</v>
      </c>
      <c r="H254" s="2" t="s">
        <v>700</v>
      </c>
      <c r="I254" s="2"/>
      <c r="J254" s="22" t="n">
        <v>45566</v>
      </c>
      <c r="K254" s="22"/>
      <c r="L254" s="22" t="n">
        <v>45568.2537456366</v>
      </c>
      <c r="M254" s="2" t="s">
        <v>1893</v>
      </c>
      <c r="N254" s="2" t="s">
        <v>121</v>
      </c>
      <c r="O254" s="2"/>
      <c r="P254" s="2" t="s">
        <v>1017</v>
      </c>
      <c r="Q254" s="10" t="n">
        <v>62</v>
      </c>
      <c r="R254" s="10" t="n">
        <v>62</v>
      </c>
      <c r="S254" s="10"/>
      <c r="T254" s="2" t="s">
        <v>32</v>
      </c>
      <c r="U254" s="2"/>
      <c r="V254" s="2" t="s">
        <v>1447</v>
      </c>
      <c r="W254" s="2" t="s">
        <v>1030</v>
      </c>
      <c r="X254" s="7"/>
      <c r="Y254" s="2" t="str">
        <f aca="false">IF(X254&lt;&gt;"",X254,T254)</f>
        <v>Not live</v>
      </c>
      <c r="Z254" s="2" t="str">
        <f aca="false">IF(OR(Y254="Primary",Y254="Additional phase",Y254="Additional application on site",Y254="Replaces earlier",Y254="Extension of duration (parent not in CIS)"),"Yes","No")</f>
        <v>No</v>
      </c>
      <c r="AA254" s="2"/>
      <c r="AB254" s="2" t="n">
        <f aca="false">IF(L254="","",ROUND((Method!$B$4-L254)/30.44,0))</f>
        <v>24</v>
      </c>
      <c r="AC254" s="2" t="str">
        <f aca="false">IF(AB254="","No",IF(AB254&gt;Method!$B$5,"Yes","No"))</f>
        <v>No</v>
      </c>
      <c r="AD254" s="22" t="str">
        <f aca="false">IF(BJ254&lt;&gt;"",BJ254,IF(K254&lt;&gt;"",EDATE(K254,60),""))</f>
        <v/>
      </c>
      <c r="AE254" s="2" t="str">
        <f aca="false">IF(AND(AD254&lt;&gt;"",OR(G254="Permission Granted",G254="Commencement Expected",G254="Stalled or Suspended")),IF(AD254&lt;Method!$B$4,"Yes","No"),"No")</f>
        <v>No</v>
      </c>
      <c r="AF254" s="7"/>
      <c r="AG254" s="2" t="str">
        <f aca="false">IF(Z254="No","Not counted",IF(AF254="Lapsed or dead","Excluded",IF(AF254="Constrained","Constrained / uncertain",IF(AF254="Confirmed live",IF(G254="On Site","Committed",IF(G254="Part Complete","Committed",IF(G254="Contract Awarded","Committed Pre-Construction",IF(G254="Tender","Advanced Pre-Construction",IF(G254="Commencement Expected","Likely",IF(G254="Permission Granted","Potential",IF(G254="Stalled or Suspended","Constrained / uncertain",IF(G254="Complete","Delivered","Application Pipeline")))))))),IF(G254="Complete","Delivered",IF(AND(OR(G254="Permission Granted",G254="Commencement Expected"),OR(AC254="Yes",AE254="Yes")),"Constrained / uncertain",IF(G254="On Site","Committed",IF(G254="Part Complete","Committed",IF(G254="Contract Awarded","Committed Pre-Construction",IF(G254="Tender","Advanced Pre-Construction",IF(G254="Commencement Expected","Likely",IF(G254="Permission Granted","Potential",IF(G254="Stalled or Suspended","Constrained / uncertain",IF(G254="Complete","Delivered","Application Pipeline"))))))))))))))</f>
        <v>Not counted</v>
      </c>
      <c r="AH254" s="2" t="str">
        <f aca="false">IF(Z254="No","Relationship: "&amp;Y254,IF(AF254&lt;&gt;"","Analyst: "&amp;AF254,IF(G254="Complete","Complete",IF(AND(OR(G254="Permission Granted",G254="Commencement Expected"),AE254="Yes"),"Past expiry",IF(AND(OR(G254="Permission Granted",G254="Commencement Expected"),AC254="Yes"),"No CIS update in "&amp;AB254&amp;" months","As CIS")))))</f>
        <v>Relationship: Not live</v>
      </c>
      <c r="AI254" s="10" t="n">
        <f aca="false">IF(Z254="Yes",N(Q254),0)</f>
        <v>0</v>
      </c>
      <c r="AJ254" s="10" t="n">
        <f aca="false">IF(OR(Z254="No",G254="Complete"),0,MAX(N(Q254)-N(AA254),0))</f>
        <v>0</v>
      </c>
      <c r="AK254" s="10" t="n">
        <f aca="false">IF(Z254="No",0,IF(G254="Complete",N(Q254),MIN(N(AA254),N(Q254))))</f>
        <v>0</v>
      </c>
      <c r="AL254" s="10" t="n">
        <f aca="false">IF(OR(OR(AG254="Not counted",AG254="Excluded",AG254="Delivered"),P254="Student accommodation"),0,AJ254)</f>
        <v>0</v>
      </c>
      <c r="AM254" s="10" t="n">
        <f aca="false">IF(OR(OR(AG254="Not counted",AG254="Excluded",AG254="Delivered"),P254&lt;&gt;"Student accommodation"),0,AJ254)</f>
        <v>0</v>
      </c>
      <c r="AN254" s="10" t="n">
        <f aca="false">IF(OR(AG254="Not counted",AG254="Excluded",AG254="Delivered"),0,N(S254))</f>
        <v>0</v>
      </c>
      <c r="AO254" s="2" t="s">
        <v>1021</v>
      </c>
      <c r="AP254" s="10"/>
      <c r="AQ254" s="10"/>
      <c r="AR254" s="10"/>
      <c r="AS254" s="10"/>
      <c r="AT254" s="10"/>
      <c r="AU254" s="10"/>
      <c r="AV254" s="10" t="n">
        <f aca="false">N(AP254)+N(AQ254)+N(AR254)+N(AS254)+N(AT254)+N(AU254)</f>
        <v>0</v>
      </c>
      <c r="AW254" s="10"/>
      <c r="AX254" s="10"/>
      <c r="AY254" s="10"/>
      <c r="AZ254" s="2"/>
      <c r="BA254" s="2" t="s">
        <v>1022</v>
      </c>
      <c r="BB254" s="2" t="s">
        <v>1975</v>
      </c>
      <c r="BC254" s="2" t="s">
        <v>1582</v>
      </c>
      <c r="BD254" s="2" t="s">
        <v>1033</v>
      </c>
      <c r="BE254" s="2"/>
      <c r="BF254" s="2" t="s">
        <v>1449</v>
      </c>
      <c r="BG254" s="22"/>
      <c r="BH254" s="22"/>
      <c r="BI254" s="2"/>
      <c r="BJ254" s="22"/>
      <c r="BK254" s="2" t="n">
        <v>62</v>
      </c>
      <c r="BL254" s="2" t="n">
        <v>0</v>
      </c>
      <c r="BM254" s="2" t="s">
        <v>1945</v>
      </c>
      <c r="BN254" s="2" t="s">
        <v>1976</v>
      </c>
      <c r="BO254" s="23" t="s">
        <v>1977</v>
      </c>
      <c r="BP254" s="2" t="str">
        <f aca="false">IF(OR(K254="",BG254=""),"",ROUND(BG254-K254,0))</f>
        <v/>
      </c>
      <c r="BQ254" s="2" t="str">
        <f aca="false">IF(OR(N(BK254)=0,Q254=""),"Not recorded",IF(BK254=Q254,"Match","Differs"))</f>
        <v>Match</v>
      </c>
      <c r="BR254" s="2" t="str">
        <f aca="false">IF(N254="No","Excluded (non-residential)",IF(BF254="No reference","Unverified – no reference",IF(BF254="Not in council register","Unverified – not in register (Part 8 / other)",IF(OR(BF254="Refused",BF254="Refused on appeal",BF254="Withdrawn",BF254="Invalid",BF254="Quashed"),IF(OR(G254="Complete",G254="On Site",G254="Part Complete"),"Conflict – register not live but CIS says built","Conflict – not live in register"),IF(AND(G254="Plans Submitted",OR(BF254="Granted",BF254="Granted on appeal")),"Stage out of date – now granted",IF(AND(G254&lt;&gt;"Plans Submitted",OR(BF254="Pending",BF254="Under appeal")),"Check – register still pending",IF(N(BL254)&gt;Method!$B$7,"Check – location differs",IF(AND(BP254&lt;&gt;"",ABS(N(BP254))&gt;60),"Consistent – decision date differs","Consistent"))))))))</f>
        <v>Conflict – not live in register</v>
      </c>
      <c r="BS254" s="2"/>
      <c r="BT254" s="2"/>
      <c r="BU254" s="2"/>
      <c r="BV254" s="2"/>
      <c r="BW254" s="2"/>
      <c r="BX254" s="2"/>
    </row>
    <row r="255" customFormat="false" ht="15" hidden="false" customHeight="false" outlineLevel="0" collapsed="false">
      <c r="A255" s="2" t="n">
        <v>1376045</v>
      </c>
      <c r="B255" s="2" t="s">
        <v>742</v>
      </c>
      <c r="C255" s="2" t="s">
        <v>1978</v>
      </c>
      <c r="D255" s="2" t="s">
        <v>743</v>
      </c>
      <c r="E255" s="2" t="s">
        <v>744</v>
      </c>
      <c r="F255" s="2" t="s">
        <v>139</v>
      </c>
      <c r="G255" s="2" t="s">
        <v>700</v>
      </c>
      <c r="H255" s="2" t="s">
        <v>700</v>
      </c>
      <c r="I255" s="2"/>
      <c r="J255" s="22" t="n">
        <v>45607</v>
      </c>
      <c r="K255" s="22"/>
      <c r="L255" s="22" t="n">
        <v>45609.6522127315</v>
      </c>
      <c r="M255" s="2" t="s">
        <v>1893</v>
      </c>
      <c r="N255" s="2" t="s">
        <v>121</v>
      </c>
      <c r="O255" s="2"/>
      <c r="P255" s="2" t="s">
        <v>1017</v>
      </c>
      <c r="Q255" s="10" t="n">
        <v>58</v>
      </c>
      <c r="R255" s="10" t="n">
        <v>58</v>
      </c>
      <c r="S255" s="10"/>
      <c r="T255" s="2" t="s">
        <v>32</v>
      </c>
      <c r="U255" s="2"/>
      <c r="V255" s="2" t="s">
        <v>1447</v>
      </c>
      <c r="W255" s="2" t="s">
        <v>1030</v>
      </c>
      <c r="X255" s="7"/>
      <c r="Y255" s="2" t="str">
        <f aca="false">IF(X255&lt;&gt;"",X255,T255)</f>
        <v>Not live</v>
      </c>
      <c r="Z255" s="2" t="str">
        <f aca="false">IF(OR(Y255="Primary",Y255="Additional phase",Y255="Additional application on site",Y255="Replaces earlier",Y255="Extension of duration (parent not in CIS)"),"Yes","No")</f>
        <v>No</v>
      </c>
      <c r="AA255" s="2"/>
      <c r="AB255" s="2" t="n">
        <f aca="false">IF(L255="","",ROUND((Method!$B$4-L255)/30.44,0))</f>
        <v>22</v>
      </c>
      <c r="AC255" s="2" t="str">
        <f aca="false">IF(AB255="","No",IF(AB255&gt;Method!$B$5,"Yes","No"))</f>
        <v>No</v>
      </c>
      <c r="AD255" s="22" t="str">
        <f aca="false">IF(BJ255&lt;&gt;"",BJ255,IF(K255&lt;&gt;"",EDATE(K255,60),""))</f>
        <v/>
      </c>
      <c r="AE255" s="2" t="str">
        <f aca="false">IF(AND(AD255&lt;&gt;"",OR(G255="Permission Granted",G255="Commencement Expected",G255="Stalled or Suspended")),IF(AD255&lt;Method!$B$4,"Yes","No"),"No")</f>
        <v>No</v>
      </c>
      <c r="AF255" s="7"/>
      <c r="AG255" s="2" t="str">
        <f aca="false">IF(Z255="No","Not counted",IF(AF255="Lapsed or dead","Excluded",IF(AF255="Constrained","Constrained / uncertain",IF(AF255="Confirmed live",IF(G255="On Site","Committed",IF(G255="Part Complete","Committed",IF(G255="Contract Awarded","Committed Pre-Construction",IF(G255="Tender","Advanced Pre-Construction",IF(G255="Commencement Expected","Likely",IF(G255="Permission Granted","Potential",IF(G255="Stalled or Suspended","Constrained / uncertain",IF(G255="Complete","Delivered","Application Pipeline")))))))),IF(G255="Complete","Delivered",IF(AND(OR(G255="Permission Granted",G255="Commencement Expected"),OR(AC255="Yes",AE255="Yes")),"Constrained / uncertain",IF(G255="On Site","Committed",IF(G255="Part Complete","Committed",IF(G255="Contract Awarded","Committed Pre-Construction",IF(G255="Tender","Advanced Pre-Construction",IF(G255="Commencement Expected","Likely",IF(G255="Permission Granted","Potential",IF(G255="Stalled or Suspended","Constrained / uncertain",IF(G255="Complete","Delivered","Application Pipeline"))))))))))))))</f>
        <v>Not counted</v>
      </c>
      <c r="AH255" s="2" t="str">
        <f aca="false">IF(Z255="No","Relationship: "&amp;Y255,IF(AF255&lt;&gt;"","Analyst: "&amp;AF255,IF(G255="Complete","Complete",IF(AND(OR(G255="Permission Granted",G255="Commencement Expected"),AE255="Yes"),"Past expiry",IF(AND(OR(G255="Permission Granted",G255="Commencement Expected"),AC255="Yes"),"No CIS update in "&amp;AB255&amp;" months","As CIS")))))</f>
        <v>Relationship: Not live</v>
      </c>
      <c r="AI255" s="10" t="n">
        <f aca="false">IF(Z255="Yes",N(Q255),0)</f>
        <v>0</v>
      </c>
      <c r="AJ255" s="10" t="n">
        <f aca="false">IF(OR(Z255="No",G255="Complete"),0,MAX(N(Q255)-N(AA255),0))</f>
        <v>0</v>
      </c>
      <c r="AK255" s="10" t="n">
        <f aca="false">IF(Z255="No",0,IF(G255="Complete",N(Q255),MIN(N(AA255),N(Q255))))</f>
        <v>0</v>
      </c>
      <c r="AL255" s="10" t="n">
        <f aca="false">IF(OR(OR(AG255="Not counted",AG255="Excluded",AG255="Delivered"),P255="Student accommodation"),0,AJ255)</f>
        <v>0</v>
      </c>
      <c r="AM255" s="10" t="n">
        <f aca="false">IF(OR(OR(AG255="Not counted",AG255="Excluded",AG255="Delivered"),P255&lt;&gt;"Student accommodation"),0,AJ255)</f>
        <v>0</v>
      </c>
      <c r="AN255" s="10" t="n">
        <f aca="false">IF(OR(AG255="Not counted",AG255="Excluded",AG255="Delivered"),0,N(S255))</f>
        <v>0</v>
      </c>
      <c r="AO255" s="2" t="s">
        <v>1157</v>
      </c>
      <c r="AP255" s="10"/>
      <c r="AQ255" s="10" t="n">
        <v>18</v>
      </c>
      <c r="AR255" s="10" t="n">
        <v>34</v>
      </c>
      <c r="AS255" s="10" t="n">
        <v>6</v>
      </c>
      <c r="AT255" s="10"/>
      <c r="AU255" s="10"/>
      <c r="AV255" s="10" t="n">
        <f aca="false">N(AP255)+N(AQ255)+N(AR255)+N(AS255)+N(AT255)+N(AU255)</f>
        <v>58</v>
      </c>
      <c r="AW255" s="10"/>
      <c r="AX255" s="10" t="n">
        <v>58</v>
      </c>
      <c r="AY255" s="10"/>
      <c r="AZ255" s="2"/>
      <c r="BA255" s="2" t="s">
        <v>1022</v>
      </c>
      <c r="BB255" s="2" t="s">
        <v>1978</v>
      </c>
      <c r="BC255" s="2" t="s">
        <v>1582</v>
      </c>
      <c r="BD255" s="2" t="s">
        <v>1033</v>
      </c>
      <c r="BE255" s="2"/>
      <c r="BF255" s="2" t="s">
        <v>1449</v>
      </c>
      <c r="BG255" s="22"/>
      <c r="BH255" s="22"/>
      <c r="BI255" s="2"/>
      <c r="BJ255" s="22"/>
      <c r="BK255" s="2"/>
      <c r="BL255" s="2" t="n">
        <v>0</v>
      </c>
      <c r="BM255" s="2"/>
      <c r="BN255" s="2" t="s">
        <v>1979</v>
      </c>
      <c r="BO255" s="23" t="s">
        <v>1980</v>
      </c>
      <c r="BP255" s="2" t="str">
        <f aca="false">IF(OR(K255="",BG255=""),"",ROUND(BG255-K255,0))</f>
        <v/>
      </c>
      <c r="BQ255" s="2" t="str">
        <f aca="false">IF(OR(N(BK255)=0,Q255=""),"Not recorded",IF(BK255=Q255,"Match","Differs"))</f>
        <v>Not recorded</v>
      </c>
      <c r="BR255" s="2" t="str">
        <f aca="false">IF(N255="No","Excluded (non-residential)",IF(BF255="No reference","Unverified – no reference",IF(BF255="Not in council register","Unverified – not in register (Part 8 / other)",IF(OR(BF255="Refused",BF255="Refused on appeal",BF255="Withdrawn",BF255="Invalid",BF255="Quashed"),IF(OR(G255="Complete",G255="On Site",G255="Part Complete"),"Conflict – register not live but CIS says built","Conflict – not live in register"),IF(AND(G255="Plans Submitted",OR(BF255="Granted",BF255="Granted on appeal")),"Stage out of date – now granted",IF(AND(G255&lt;&gt;"Plans Submitted",OR(BF255="Pending",BF255="Under appeal")),"Check – register still pending",IF(N(BL255)&gt;Method!$B$7,"Check – location differs",IF(AND(BP255&lt;&gt;"",ABS(N(BP255))&gt;60),"Consistent – decision date differs","Consistent"))))))))</f>
        <v>Conflict – not live in register</v>
      </c>
      <c r="BS255" s="2"/>
      <c r="BT255" s="2"/>
      <c r="BU255" s="2"/>
      <c r="BV255" s="2"/>
      <c r="BW255" s="2"/>
      <c r="BX255" s="2"/>
    </row>
    <row r="256" customFormat="false" ht="15" hidden="false" customHeight="false" outlineLevel="0" collapsed="false">
      <c r="A256" s="2" t="n">
        <v>1378081</v>
      </c>
      <c r="B256" s="2" t="s">
        <v>745</v>
      </c>
      <c r="C256" s="2" t="s">
        <v>1981</v>
      </c>
      <c r="D256" s="2" t="s">
        <v>746</v>
      </c>
      <c r="E256" s="2" t="s">
        <v>747</v>
      </c>
      <c r="F256" s="2" t="s">
        <v>139</v>
      </c>
      <c r="G256" s="2" t="s">
        <v>700</v>
      </c>
      <c r="H256" s="2" t="s">
        <v>700</v>
      </c>
      <c r="I256" s="2"/>
      <c r="J256" s="22" t="n">
        <v>45612</v>
      </c>
      <c r="K256" s="22"/>
      <c r="L256" s="22" t="n">
        <v>45621.447287963</v>
      </c>
      <c r="M256" s="2" t="s">
        <v>1893</v>
      </c>
      <c r="N256" s="2" t="s">
        <v>121</v>
      </c>
      <c r="O256" s="2"/>
      <c r="P256" s="2" t="s">
        <v>1017</v>
      </c>
      <c r="Q256" s="10" t="n">
        <v>4</v>
      </c>
      <c r="R256" s="10"/>
      <c r="S256" s="10"/>
      <c r="T256" s="2" t="s">
        <v>120</v>
      </c>
      <c r="U256" s="2"/>
      <c r="V256" s="2" t="s">
        <v>1029</v>
      </c>
      <c r="W256" s="2" t="s">
        <v>1030</v>
      </c>
      <c r="X256" s="7"/>
      <c r="Y256" s="2" t="str">
        <f aca="false">IF(X256&lt;&gt;"",X256,T256)</f>
        <v>Primary</v>
      </c>
      <c r="Z256" s="2" t="str">
        <f aca="false">IF(OR(Y256="Primary",Y256="Additional phase",Y256="Additional application on site",Y256="Replaces earlier",Y256="Extension of duration (parent not in CIS)"),"Yes","No")</f>
        <v>Yes</v>
      </c>
      <c r="AA256" s="2"/>
      <c r="AB256" s="2" t="n">
        <f aca="false">IF(L256="","",ROUND((Method!$B$4-L256)/30.44,0))</f>
        <v>22</v>
      </c>
      <c r="AC256" s="2" t="str">
        <f aca="false">IF(AB256="","No",IF(AB256&gt;Method!$B$5,"Yes","No"))</f>
        <v>No</v>
      </c>
      <c r="AD256" s="22" t="str">
        <f aca="false">IF(BJ256&lt;&gt;"",BJ256,IF(K256&lt;&gt;"",EDATE(K256,60),""))</f>
        <v/>
      </c>
      <c r="AE256" s="2" t="str">
        <f aca="false">IF(AND(AD256&lt;&gt;"",OR(G256="Permission Granted",G256="Commencement Expected",G256="Stalled or Suspended")),IF(AD256&lt;Method!$B$4,"Yes","No"),"No")</f>
        <v>No</v>
      </c>
      <c r="AF256" s="7"/>
      <c r="AG256" s="2" t="str">
        <f aca="false">IF(Z256="No","Not counted",IF(AF256="Lapsed or dead","Excluded",IF(AF256="Constrained","Constrained / uncertain",IF(AF256="Confirmed live",IF(G256="On Site","Committed",IF(G256="Part Complete","Committed",IF(G256="Contract Awarded","Committed Pre-Construction",IF(G256="Tender","Advanced Pre-Construction",IF(G256="Commencement Expected","Likely",IF(G256="Permission Granted","Potential",IF(G256="Stalled or Suspended","Constrained / uncertain",IF(G256="Complete","Delivered","Application Pipeline")))))))),IF(G256="Complete","Delivered",IF(AND(OR(G256="Permission Granted",G256="Commencement Expected"),OR(AC256="Yes",AE256="Yes")),"Constrained / uncertain",IF(G256="On Site","Committed",IF(G256="Part Complete","Committed",IF(G256="Contract Awarded","Committed Pre-Construction",IF(G256="Tender","Advanced Pre-Construction",IF(G256="Commencement Expected","Likely",IF(G256="Permission Granted","Potential",IF(G256="Stalled or Suspended","Constrained / uncertain",IF(G256="Complete","Delivered","Application Pipeline"))))))))))))))</f>
        <v>Application Pipeline</v>
      </c>
      <c r="AH256" s="2" t="str">
        <f aca="false">IF(Z256="No","Relationship: "&amp;Y256,IF(AF256&lt;&gt;"","Analyst: "&amp;AF256,IF(G256="Complete","Complete",IF(AND(OR(G256="Permission Granted",G256="Commencement Expected"),AE256="Yes"),"Past expiry",IF(AND(OR(G256="Permission Granted",G256="Commencement Expected"),AC256="Yes"),"No CIS update in "&amp;AB256&amp;" months","As CIS")))))</f>
        <v>As CIS</v>
      </c>
      <c r="AI256" s="10" t="n">
        <f aca="false">IF(Z256="Yes",N(Q256),0)</f>
        <v>4</v>
      </c>
      <c r="AJ256" s="10" t="n">
        <f aca="false">IF(OR(Z256="No",G256="Complete"),0,MAX(N(Q256)-N(AA256),0))</f>
        <v>4</v>
      </c>
      <c r="AK256" s="10" t="n">
        <f aca="false">IF(Z256="No",0,IF(G256="Complete",N(Q256),MIN(N(AA256),N(Q256))))</f>
        <v>0</v>
      </c>
      <c r="AL256" s="10" t="n">
        <f aca="false">IF(OR(OR(AG256="Not counted",AG256="Excluded",AG256="Delivered"),P256="Student accommodation"),0,AJ256)</f>
        <v>4</v>
      </c>
      <c r="AM256" s="10" t="n">
        <f aca="false">IF(OR(OR(AG256="Not counted",AG256="Excluded",AG256="Delivered"),P256&lt;&gt;"Student accommodation"),0,AJ256)</f>
        <v>0</v>
      </c>
      <c r="AN256" s="10" t="n">
        <f aca="false">IF(OR(AG256="Not counted",AG256="Excluded",AG256="Delivered"),0,N(S256))</f>
        <v>0</v>
      </c>
      <c r="AO256" s="2" t="s">
        <v>1043</v>
      </c>
      <c r="AP256" s="10"/>
      <c r="AQ256" s="10"/>
      <c r="AR256" s="10"/>
      <c r="AS256" s="10"/>
      <c r="AT256" s="10"/>
      <c r="AU256" s="10"/>
      <c r="AV256" s="10" t="n">
        <f aca="false">N(AP256)+N(AQ256)+N(AR256)+N(AS256)+N(AT256)+N(AU256)</f>
        <v>0</v>
      </c>
      <c r="AW256" s="10"/>
      <c r="AX256" s="10"/>
      <c r="AY256" s="10"/>
      <c r="AZ256" s="2"/>
      <c r="BA256" s="2" t="s">
        <v>1095</v>
      </c>
      <c r="BB256" s="2"/>
      <c r="BC256" s="2"/>
      <c r="BD256" s="2"/>
      <c r="BE256" s="2"/>
      <c r="BF256" s="2" t="s">
        <v>1095</v>
      </c>
      <c r="BG256" s="22"/>
      <c r="BH256" s="22"/>
      <c r="BI256" s="2"/>
      <c r="BJ256" s="22"/>
      <c r="BK256" s="2"/>
      <c r="BL256" s="2"/>
      <c r="BM256" s="2"/>
      <c r="BN256" s="2"/>
      <c r="BO256" s="2"/>
      <c r="BP256" s="2" t="str">
        <f aca="false">IF(OR(K256="",BG256=""),"",ROUND(BG256-K256,0))</f>
        <v/>
      </c>
      <c r="BQ256" s="2" t="str">
        <f aca="false">IF(OR(N(BK256)=0,Q256=""),"Not recorded",IF(BK256=Q256,"Match","Differs"))</f>
        <v>Not recorded</v>
      </c>
      <c r="BR256" s="2" t="str">
        <f aca="false">IF(N256="No","Excluded (non-residential)",IF(BF256="No reference","Unverified – no reference",IF(BF256="Not in council register","Unverified – not in register (Part 8 / other)",IF(OR(BF256="Refused",BF256="Refused on appeal",BF256="Withdrawn",BF256="Invalid",BF256="Quashed"),IF(OR(G256="Complete",G256="On Site",G256="Part Complete"),"Conflict – register not live but CIS says built","Conflict – not live in register"),IF(AND(G256="Plans Submitted",OR(BF256="Granted",BF256="Granted on appeal")),"Stage out of date – now granted",IF(AND(G256&lt;&gt;"Plans Submitted",OR(BF256="Pending",BF256="Under appeal")),"Check – register still pending",IF(N(BL256)&gt;Method!$B$7,"Check – location differs",IF(AND(BP256&lt;&gt;"",ABS(N(BP256))&gt;60),"Consistent – decision date differs","Consistent"))))))))</f>
        <v>Unverified – not in register (Part 8 / other)</v>
      </c>
      <c r="BS256" s="2"/>
      <c r="BT256" s="2"/>
      <c r="BU256" s="2"/>
      <c r="BV256" s="2"/>
      <c r="BW256" s="2"/>
      <c r="BX256" s="2"/>
    </row>
    <row r="257" customFormat="false" ht="15" hidden="false" customHeight="false" outlineLevel="0" collapsed="false">
      <c r="A257" s="2" t="n">
        <v>1378805</v>
      </c>
      <c r="B257" s="2" t="s">
        <v>749</v>
      </c>
      <c r="C257" s="2" t="s">
        <v>1982</v>
      </c>
      <c r="D257" s="2" t="s">
        <v>750</v>
      </c>
      <c r="E257" s="2" t="s">
        <v>751</v>
      </c>
      <c r="F257" s="2" t="s">
        <v>144</v>
      </c>
      <c r="G257" s="2" t="s">
        <v>700</v>
      </c>
      <c r="H257" s="2" t="s">
        <v>700</v>
      </c>
      <c r="I257" s="2"/>
      <c r="J257" s="22" t="n">
        <v>45618</v>
      </c>
      <c r="K257" s="22"/>
      <c r="L257" s="22" t="n">
        <v>45624.5169305903</v>
      </c>
      <c r="M257" s="2" t="s">
        <v>1893</v>
      </c>
      <c r="N257" s="2" t="s">
        <v>121</v>
      </c>
      <c r="O257" s="2"/>
      <c r="P257" s="2" t="s">
        <v>1017</v>
      </c>
      <c r="Q257" s="10" t="n">
        <v>4</v>
      </c>
      <c r="R257" s="10"/>
      <c r="S257" s="10"/>
      <c r="T257" s="2" t="s">
        <v>120</v>
      </c>
      <c r="U257" s="2"/>
      <c r="V257" s="2" t="s">
        <v>1029</v>
      </c>
      <c r="W257" s="2" t="s">
        <v>1030</v>
      </c>
      <c r="X257" s="7"/>
      <c r="Y257" s="2" t="str">
        <f aca="false">IF(X257&lt;&gt;"",X257,T257)</f>
        <v>Primary</v>
      </c>
      <c r="Z257" s="2" t="str">
        <f aca="false">IF(OR(Y257="Primary",Y257="Additional phase",Y257="Additional application on site",Y257="Replaces earlier",Y257="Extension of duration (parent not in CIS)"),"Yes","No")</f>
        <v>Yes</v>
      </c>
      <c r="AA257" s="2"/>
      <c r="AB257" s="2" t="n">
        <f aca="false">IF(L257="","",ROUND((Method!$B$4-L257)/30.44,0))</f>
        <v>22</v>
      </c>
      <c r="AC257" s="2" t="str">
        <f aca="false">IF(AB257="","No",IF(AB257&gt;Method!$B$5,"Yes","No"))</f>
        <v>No</v>
      </c>
      <c r="AD257" s="22" t="str">
        <f aca="false">IF(BJ257&lt;&gt;"",BJ257,IF(K257&lt;&gt;"",EDATE(K257,60),""))</f>
        <v/>
      </c>
      <c r="AE257" s="2" t="str">
        <f aca="false">IF(AND(AD257&lt;&gt;"",OR(G257="Permission Granted",G257="Commencement Expected",G257="Stalled or Suspended")),IF(AD257&lt;Method!$B$4,"Yes","No"),"No")</f>
        <v>No</v>
      </c>
      <c r="AF257" s="7"/>
      <c r="AG257" s="2" t="str">
        <f aca="false">IF(Z257="No","Not counted",IF(AF257="Lapsed or dead","Excluded",IF(AF257="Constrained","Constrained / uncertain",IF(AF257="Confirmed live",IF(G257="On Site","Committed",IF(G257="Part Complete","Committed",IF(G257="Contract Awarded","Committed Pre-Construction",IF(G257="Tender","Advanced Pre-Construction",IF(G257="Commencement Expected","Likely",IF(G257="Permission Granted","Potential",IF(G257="Stalled or Suspended","Constrained / uncertain",IF(G257="Complete","Delivered","Application Pipeline")))))))),IF(G257="Complete","Delivered",IF(AND(OR(G257="Permission Granted",G257="Commencement Expected"),OR(AC257="Yes",AE257="Yes")),"Constrained / uncertain",IF(G257="On Site","Committed",IF(G257="Part Complete","Committed",IF(G257="Contract Awarded","Committed Pre-Construction",IF(G257="Tender","Advanced Pre-Construction",IF(G257="Commencement Expected","Likely",IF(G257="Permission Granted","Potential",IF(G257="Stalled or Suspended","Constrained / uncertain",IF(G257="Complete","Delivered","Application Pipeline"))))))))))))))</f>
        <v>Application Pipeline</v>
      </c>
      <c r="AH257" s="2" t="str">
        <f aca="false">IF(Z257="No","Relationship: "&amp;Y257,IF(AF257&lt;&gt;"","Analyst: "&amp;AF257,IF(G257="Complete","Complete",IF(AND(OR(G257="Permission Granted",G257="Commencement Expected"),AE257="Yes"),"Past expiry",IF(AND(OR(G257="Permission Granted",G257="Commencement Expected"),AC257="Yes"),"No CIS update in "&amp;AB257&amp;" months","As CIS")))))</f>
        <v>As CIS</v>
      </c>
      <c r="AI257" s="10" t="n">
        <f aca="false">IF(Z257="Yes",N(Q257),0)</f>
        <v>4</v>
      </c>
      <c r="AJ257" s="10" t="n">
        <f aca="false">IF(OR(Z257="No",G257="Complete"),0,MAX(N(Q257)-N(AA257),0))</f>
        <v>4</v>
      </c>
      <c r="AK257" s="10" t="n">
        <f aca="false">IF(Z257="No",0,IF(G257="Complete",N(Q257),MIN(N(AA257),N(Q257))))</f>
        <v>0</v>
      </c>
      <c r="AL257" s="10" t="n">
        <f aca="false">IF(OR(OR(AG257="Not counted",AG257="Excluded",AG257="Delivered"),P257="Student accommodation"),0,AJ257)</f>
        <v>4</v>
      </c>
      <c r="AM257" s="10" t="n">
        <f aca="false">IF(OR(OR(AG257="Not counted",AG257="Excluded",AG257="Delivered"),P257&lt;&gt;"Student accommodation"),0,AJ257)</f>
        <v>0</v>
      </c>
      <c r="AN257" s="10" t="n">
        <f aca="false">IF(OR(AG257="Not counted",AG257="Excluded",AG257="Delivered"),0,N(S257))</f>
        <v>0</v>
      </c>
      <c r="AO257" s="2" t="s">
        <v>1043</v>
      </c>
      <c r="AP257" s="10"/>
      <c r="AQ257" s="10"/>
      <c r="AR257" s="10"/>
      <c r="AS257" s="10"/>
      <c r="AT257" s="10"/>
      <c r="AU257" s="10"/>
      <c r="AV257" s="10" t="n">
        <f aca="false">N(AP257)+N(AQ257)+N(AR257)+N(AS257)+N(AT257)+N(AU257)</f>
        <v>0</v>
      </c>
      <c r="AW257" s="10"/>
      <c r="AX257" s="10"/>
      <c r="AY257" s="10"/>
      <c r="AZ257" s="2"/>
      <c r="BA257" s="2" t="s">
        <v>1095</v>
      </c>
      <c r="BB257" s="2"/>
      <c r="BC257" s="2"/>
      <c r="BD257" s="2"/>
      <c r="BE257" s="2"/>
      <c r="BF257" s="2" t="s">
        <v>1095</v>
      </c>
      <c r="BG257" s="22"/>
      <c r="BH257" s="22"/>
      <c r="BI257" s="2"/>
      <c r="BJ257" s="22"/>
      <c r="BK257" s="2"/>
      <c r="BL257" s="2"/>
      <c r="BM257" s="2"/>
      <c r="BN257" s="2"/>
      <c r="BO257" s="2"/>
      <c r="BP257" s="2" t="str">
        <f aca="false">IF(OR(K257="",BG257=""),"",ROUND(BG257-K257,0))</f>
        <v/>
      </c>
      <c r="BQ257" s="2" t="str">
        <f aca="false">IF(OR(N(BK257)=0,Q257=""),"Not recorded",IF(BK257=Q257,"Match","Differs"))</f>
        <v>Not recorded</v>
      </c>
      <c r="BR257" s="2" t="str">
        <f aca="false">IF(N257="No","Excluded (non-residential)",IF(BF257="No reference","Unverified – no reference",IF(BF257="Not in council register","Unverified – not in register (Part 8 / other)",IF(OR(BF257="Refused",BF257="Refused on appeal",BF257="Withdrawn",BF257="Invalid",BF257="Quashed"),IF(OR(G257="Complete",G257="On Site",G257="Part Complete"),"Conflict – register not live but CIS says built","Conflict – not live in register"),IF(AND(G257="Plans Submitted",OR(BF257="Granted",BF257="Granted on appeal")),"Stage out of date – now granted",IF(AND(G257&lt;&gt;"Plans Submitted",OR(BF257="Pending",BF257="Under appeal")),"Check – register still pending",IF(N(BL257)&gt;Method!$B$7,"Check – location differs",IF(AND(BP257&lt;&gt;"",ABS(N(BP257))&gt;60),"Consistent – decision date differs","Consistent"))))))))</f>
        <v>Unverified – not in register (Part 8 / other)</v>
      </c>
      <c r="BS257" s="2"/>
      <c r="BT257" s="2"/>
      <c r="BU257" s="2"/>
      <c r="BV257" s="2"/>
      <c r="BW257" s="2"/>
      <c r="BX257" s="2"/>
    </row>
    <row r="258" customFormat="false" ht="15" hidden="false" customHeight="false" outlineLevel="0" collapsed="false">
      <c r="A258" s="2" t="n">
        <v>1391659</v>
      </c>
      <c r="B258" s="2" t="s">
        <v>752</v>
      </c>
      <c r="C258" s="2" t="s">
        <v>1983</v>
      </c>
      <c r="D258" s="2" t="s">
        <v>753</v>
      </c>
      <c r="E258" s="2" t="s">
        <v>754</v>
      </c>
      <c r="F258" s="2" t="s">
        <v>139</v>
      </c>
      <c r="G258" s="2" t="s">
        <v>668</v>
      </c>
      <c r="H258" s="2" t="s">
        <v>1014</v>
      </c>
      <c r="I258" s="2" t="s">
        <v>668</v>
      </c>
      <c r="J258" s="22" t="n">
        <v>45712</v>
      </c>
      <c r="K258" s="22" t="n">
        <v>45953</v>
      </c>
      <c r="L258" s="22" t="n">
        <v>46069</v>
      </c>
      <c r="M258" s="2" t="s">
        <v>1904</v>
      </c>
      <c r="N258" s="2" t="s">
        <v>121</v>
      </c>
      <c r="O258" s="2"/>
      <c r="P258" s="2" t="s">
        <v>1017</v>
      </c>
      <c r="Q258" s="10" t="n">
        <v>31</v>
      </c>
      <c r="R258" s="10" t="n">
        <v>31</v>
      </c>
      <c r="S258" s="10"/>
      <c r="T258" s="2" t="s">
        <v>120</v>
      </c>
      <c r="U258" s="2"/>
      <c r="V258" s="2" t="s">
        <v>1029</v>
      </c>
      <c r="W258" s="2" t="s">
        <v>1030</v>
      </c>
      <c r="X258" s="7"/>
      <c r="Y258" s="2" t="str">
        <f aca="false">IF(X258&lt;&gt;"",X258,T258)</f>
        <v>Primary</v>
      </c>
      <c r="Z258" s="2" t="str">
        <f aca="false">IF(OR(Y258="Primary",Y258="Additional phase",Y258="Additional application on site",Y258="Replaces earlier",Y258="Extension of duration (parent not in CIS)"),"Yes","No")</f>
        <v>Yes</v>
      </c>
      <c r="AA258" s="2"/>
      <c r="AB258" s="2" t="n">
        <f aca="false">IF(L258="","",ROUND((Method!$B$4-L258)/30.44,0))</f>
        <v>7</v>
      </c>
      <c r="AC258" s="2" t="str">
        <f aca="false">IF(AB258="","No",IF(AB258&gt;Method!$B$5,"Yes","No"))</f>
        <v>No</v>
      </c>
      <c r="AD258" s="22" t="n">
        <f aca="false">IF(BJ258&lt;&gt;"",BJ258,IF(K258&lt;&gt;"",EDATE(K258,60),""))</f>
        <v>47813</v>
      </c>
      <c r="AE258" s="2" t="str">
        <f aca="false">IF(AND(AD258&lt;&gt;"",OR(G258="Permission Granted",G258="Commencement Expected",G258="Stalled or Suspended")),IF(AD258&lt;Method!$B$4,"Yes","No"),"No")</f>
        <v>No</v>
      </c>
      <c r="AF258" s="7"/>
      <c r="AG258" s="2" t="str">
        <f aca="false">IF(Z258="No","Not counted",IF(AF258="Lapsed or dead","Excluded",IF(AF258="Constrained","Constrained / uncertain",IF(AF258="Confirmed live",IF(G258="On Site","Committed",IF(G258="Part Complete","Committed",IF(G258="Contract Awarded","Committed Pre-Construction",IF(G258="Tender","Advanced Pre-Construction",IF(G258="Commencement Expected","Likely",IF(G258="Permission Granted","Potential",IF(G258="Stalled or Suspended","Constrained / uncertain",IF(G258="Complete","Delivered","Application Pipeline")))))))),IF(G258="Complete","Delivered",IF(AND(OR(G258="Permission Granted",G258="Commencement Expected"),OR(AC258="Yes",AE258="Yes")),"Constrained / uncertain",IF(G258="On Site","Committed",IF(G258="Part Complete","Committed",IF(G258="Contract Awarded","Committed Pre-Construction",IF(G258="Tender","Advanced Pre-Construction",IF(G258="Commencement Expected","Likely",IF(G258="Permission Granted","Potential",IF(G258="Stalled or Suspended","Constrained / uncertain",IF(G258="Complete","Delivered","Application Pipeline"))))))))))))))</f>
        <v>Committed Pre-Construction</v>
      </c>
      <c r="AH258" s="2" t="str">
        <f aca="false">IF(Z258="No","Relationship: "&amp;Y258,IF(AF258&lt;&gt;"","Analyst: "&amp;AF258,IF(G258="Complete","Complete",IF(AND(OR(G258="Permission Granted",G258="Commencement Expected"),AE258="Yes"),"Past expiry",IF(AND(OR(G258="Permission Granted",G258="Commencement Expected"),AC258="Yes"),"No CIS update in "&amp;AB258&amp;" months","As CIS")))))</f>
        <v>As CIS</v>
      </c>
      <c r="AI258" s="10" t="n">
        <f aca="false">IF(Z258="Yes",N(Q258),0)</f>
        <v>31</v>
      </c>
      <c r="AJ258" s="10" t="n">
        <f aca="false">IF(OR(Z258="No",G258="Complete"),0,MAX(N(Q258)-N(AA258),0))</f>
        <v>31</v>
      </c>
      <c r="AK258" s="10" t="n">
        <f aca="false">IF(Z258="No",0,IF(G258="Complete",N(Q258),MIN(N(AA258),N(Q258))))</f>
        <v>0</v>
      </c>
      <c r="AL258" s="10" t="n">
        <f aca="false">IF(OR(OR(AG258="Not counted",AG258="Excluded",AG258="Delivered"),P258="Student accommodation"),0,AJ258)</f>
        <v>31</v>
      </c>
      <c r="AM258" s="10" t="n">
        <f aca="false">IF(OR(OR(AG258="Not counted",AG258="Excluded",AG258="Delivered"),P258&lt;&gt;"Student accommodation"),0,AJ258)</f>
        <v>0</v>
      </c>
      <c r="AN258" s="10" t="n">
        <f aca="false">IF(OR(AG258="Not counted",AG258="Excluded",AG258="Delivered"),0,N(S258))</f>
        <v>0</v>
      </c>
      <c r="AO258" s="2" t="s">
        <v>1157</v>
      </c>
      <c r="AP258" s="10"/>
      <c r="AQ258" s="10"/>
      <c r="AR258" s="10" t="n">
        <v>7</v>
      </c>
      <c r="AS258" s="10" t="n">
        <v>24</v>
      </c>
      <c r="AT258" s="10"/>
      <c r="AU258" s="10"/>
      <c r="AV258" s="10" t="n">
        <f aca="false">N(AP258)+N(AQ258)+N(AR258)+N(AS258)+N(AT258)+N(AU258)</f>
        <v>31</v>
      </c>
      <c r="AW258" s="10" t="n">
        <v>21</v>
      </c>
      <c r="AX258" s="10" t="n">
        <v>10</v>
      </c>
      <c r="AY258" s="10"/>
      <c r="AZ258" s="2"/>
      <c r="BA258" s="2" t="s">
        <v>1022</v>
      </c>
      <c r="BB258" s="2" t="s">
        <v>1983</v>
      </c>
      <c r="BC258" s="2" t="s">
        <v>1023</v>
      </c>
      <c r="BD258" s="2" t="s">
        <v>1024</v>
      </c>
      <c r="BE258" s="2"/>
      <c r="BF258" s="2" t="s">
        <v>1025</v>
      </c>
      <c r="BG258" s="22" t="n">
        <v>45953</v>
      </c>
      <c r="BH258" s="22" t="n">
        <v>47813</v>
      </c>
      <c r="BI258" s="2"/>
      <c r="BJ258" s="22" t="n">
        <v>47813</v>
      </c>
      <c r="BK258" s="2" t="n">
        <v>31</v>
      </c>
      <c r="BL258" s="2" t="n">
        <v>0</v>
      </c>
      <c r="BM258" s="2"/>
      <c r="BN258" s="2" t="s">
        <v>1984</v>
      </c>
      <c r="BO258" s="23" t="s">
        <v>1985</v>
      </c>
      <c r="BP258" s="2" t="n">
        <f aca="false">IF(OR(K258="",BG258=""),"",ROUND(BG258-K258,0))</f>
        <v>0</v>
      </c>
      <c r="BQ258" s="2" t="str">
        <f aca="false">IF(OR(N(BK258)=0,Q258=""),"Not recorded",IF(BK258=Q258,"Match","Differs"))</f>
        <v>Match</v>
      </c>
      <c r="BR258" s="2" t="str">
        <f aca="false">IF(N258="No","Excluded (non-residential)",IF(BF258="No reference","Unverified – no reference",IF(BF258="Not in council register","Unverified – not in register (Part 8 / other)",IF(OR(BF258="Refused",BF258="Refused on appeal",BF258="Withdrawn",BF258="Invalid",BF258="Quashed"),IF(OR(G258="Complete",G258="On Site",G258="Part Complete"),"Conflict – register not live but CIS says built","Conflict – not live in register"),IF(AND(G258="Plans Submitted",OR(BF258="Granted",BF258="Granted on appeal")),"Stage out of date – now granted",IF(AND(G258&lt;&gt;"Plans Submitted",OR(BF258="Pending",BF258="Under appeal")),"Check – register still pending",IF(N(BL258)&gt;Method!$B$7,"Check – location differs",IF(AND(BP258&lt;&gt;"",ABS(N(BP258))&gt;60),"Consistent – decision date differs","Consistent"))))))))</f>
        <v>Consistent</v>
      </c>
      <c r="BS258" s="2"/>
      <c r="BT258" s="2"/>
      <c r="BU258" s="2"/>
      <c r="BV258" s="2"/>
      <c r="BW258" s="2"/>
      <c r="BX258" s="2"/>
    </row>
    <row r="259" customFormat="false" ht="15" hidden="false" customHeight="false" outlineLevel="0" collapsed="false">
      <c r="A259" s="2" t="n">
        <v>1393371</v>
      </c>
      <c r="B259" s="2" t="s">
        <v>756</v>
      </c>
      <c r="C259" s="2" t="s">
        <v>1986</v>
      </c>
      <c r="D259" s="2" t="s">
        <v>757</v>
      </c>
      <c r="E259" s="2" t="s">
        <v>758</v>
      </c>
      <c r="F259" s="2" t="s">
        <v>139</v>
      </c>
      <c r="G259" s="2" t="s">
        <v>187</v>
      </c>
      <c r="H259" s="2" t="s">
        <v>1014</v>
      </c>
      <c r="I259" s="2"/>
      <c r="J259" s="22" t="n">
        <v>45721</v>
      </c>
      <c r="K259" s="22" t="n">
        <v>45847</v>
      </c>
      <c r="L259" s="22" t="n">
        <v>45868</v>
      </c>
      <c r="M259" s="2" t="s">
        <v>1904</v>
      </c>
      <c r="N259" s="2" t="s">
        <v>121</v>
      </c>
      <c r="O259" s="2"/>
      <c r="P259" s="2" t="s">
        <v>1017</v>
      </c>
      <c r="Q259" s="10" t="n">
        <v>30</v>
      </c>
      <c r="R259" s="10" t="n">
        <v>30</v>
      </c>
      <c r="S259" s="10"/>
      <c r="T259" s="2" t="s">
        <v>30</v>
      </c>
      <c r="U259" s="2"/>
      <c r="V259" s="2" t="s">
        <v>1080</v>
      </c>
      <c r="W259" s="2" t="s">
        <v>1020</v>
      </c>
      <c r="X259" s="7"/>
      <c r="Y259" s="2" t="str">
        <f aca="false">IF(X259&lt;&gt;"",X259,T259)</f>
        <v>Additional application on site</v>
      </c>
      <c r="Z259" s="2" t="str">
        <f aca="false">IF(OR(Y259="Primary",Y259="Additional phase",Y259="Additional application on site",Y259="Replaces earlier",Y259="Extension of duration (parent not in CIS)"),"Yes","No")</f>
        <v>Yes</v>
      </c>
      <c r="AA259" s="2"/>
      <c r="AB259" s="2" t="n">
        <f aca="false">IF(L259="","",ROUND((Method!$B$4-L259)/30.44,0))</f>
        <v>14</v>
      </c>
      <c r="AC259" s="2" t="str">
        <f aca="false">IF(AB259="","No",IF(AB259&gt;Method!$B$5,"Yes","No"))</f>
        <v>No</v>
      </c>
      <c r="AD259" s="22" t="n">
        <f aca="false">IF(BJ259&lt;&gt;"",BJ259,IF(K259&lt;&gt;"",EDATE(K259,60),""))</f>
        <v>47707</v>
      </c>
      <c r="AE259" s="2" t="str">
        <f aca="false">IF(AND(AD259&lt;&gt;"",OR(G259="Permission Granted",G259="Commencement Expected",G259="Stalled or Suspended")),IF(AD259&lt;Method!$B$4,"Yes","No"),"No")</f>
        <v>No</v>
      </c>
      <c r="AF259" s="7"/>
      <c r="AG259" s="2" t="str">
        <f aca="false">IF(Z259="No","Not counted",IF(AF259="Lapsed or dead","Excluded",IF(AF259="Constrained","Constrained / uncertain",IF(AF259="Confirmed live",IF(G259="On Site","Committed",IF(G259="Part Complete","Committed",IF(G259="Contract Awarded","Committed Pre-Construction",IF(G259="Tender","Advanced Pre-Construction",IF(G259="Commencement Expected","Likely",IF(G259="Permission Granted","Potential",IF(G259="Stalled or Suspended","Constrained / uncertain",IF(G259="Complete","Delivered","Application Pipeline")))))))),IF(G259="Complete","Delivered",IF(AND(OR(G259="Permission Granted",G259="Commencement Expected"),OR(AC259="Yes",AE259="Yes")),"Constrained / uncertain",IF(G259="On Site","Committed",IF(G259="Part Complete","Committed",IF(G259="Contract Awarded","Committed Pre-Construction",IF(G259="Tender","Advanced Pre-Construction",IF(G259="Commencement Expected","Likely",IF(G259="Permission Granted","Potential",IF(G259="Stalled or Suspended","Constrained / uncertain",IF(G259="Complete","Delivered","Application Pipeline"))))))))))))))</f>
        <v>Potential</v>
      </c>
      <c r="AH259" s="2" t="str">
        <f aca="false">IF(Z259="No","Relationship: "&amp;Y259,IF(AF259&lt;&gt;"","Analyst: "&amp;AF259,IF(G259="Complete","Complete",IF(AND(OR(G259="Permission Granted",G259="Commencement Expected"),AE259="Yes"),"Past expiry",IF(AND(OR(G259="Permission Granted",G259="Commencement Expected"),AC259="Yes"),"No CIS update in "&amp;AB259&amp;" months","As CIS")))))</f>
        <v>As CIS</v>
      </c>
      <c r="AI259" s="10" t="n">
        <f aca="false">IF(Z259="Yes",N(Q259),0)</f>
        <v>30</v>
      </c>
      <c r="AJ259" s="10" t="n">
        <f aca="false">IF(OR(Z259="No",G259="Complete"),0,MAX(N(Q259)-N(AA259),0))</f>
        <v>30</v>
      </c>
      <c r="AK259" s="10" t="n">
        <f aca="false">IF(Z259="No",0,IF(G259="Complete",N(Q259),MIN(N(AA259),N(Q259))))</f>
        <v>0</v>
      </c>
      <c r="AL259" s="10" t="n">
        <f aca="false">IF(OR(OR(AG259="Not counted",AG259="Excluded",AG259="Delivered"),P259="Student accommodation"),0,AJ259)</f>
        <v>30</v>
      </c>
      <c r="AM259" s="10" t="n">
        <f aca="false">IF(OR(OR(AG259="Not counted",AG259="Excluded",AG259="Delivered"),P259&lt;&gt;"Student accommodation"),0,AJ259)</f>
        <v>0</v>
      </c>
      <c r="AN259" s="10" t="n">
        <f aca="false">IF(OR(AG259="Not counted",AG259="Excluded",AG259="Delivered"),0,N(S259))</f>
        <v>0</v>
      </c>
      <c r="AO259" s="2" t="s">
        <v>1157</v>
      </c>
      <c r="AP259" s="10"/>
      <c r="AQ259" s="10" t="n">
        <v>22</v>
      </c>
      <c r="AR259" s="10" t="n">
        <v>8</v>
      </c>
      <c r="AS259" s="10"/>
      <c r="AT259" s="10"/>
      <c r="AU259" s="10"/>
      <c r="AV259" s="10" t="n">
        <f aca="false">N(AP259)+N(AQ259)+N(AR259)+N(AS259)+N(AT259)+N(AU259)</f>
        <v>30</v>
      </c>
      <c r="AW259" s="10"/>
      <c r="AX259" s="10" t="n">
        <v>30</v>
      </c>
      <c r="AY259" s="10"/>
      <c r="AZ259" s="2"/>
      <c r="BA259" s="2" t="s">
        <v>1022</v>
      </c>
      <c r="BB259" s="2" t="s">
        <v>1986</v>
      </c>
      <c r="BC259" s="2" t="s">
        <v>1023</v>
      </c>
      <c r="BD259" s="2" t="s">
        <v>1024</v>
      </c>
      <c r="BE259" s="2"/>
      <c r="BF259" s="2" t="s">
        <v>1025</v>
      </c>
      <c r="BG259" s="22" t="n">
        <v>45847</v>
      </c>
      <c r="BH259" s="22" t="n">
        <v>47707</v>
      </c>
      <c r="BI259" s="2"/>
      <c r="BJ259" s="22" t="n">
        <v>47707</v>
      </c>
      <c r="BK259" s="2"/>
      <c r="BL259" s="2" t="n">
        <v>0</v>
      </c>
      <c r="BM259" s="2"/>
      <c r="BN259" s="2" t="s">
        <v>1987</v>
      </c>
      <c r="BO259" s="23" t="s">
        <v>1988</v>
      </c>
      <c r="BP259" s="2" t="n">
        <f aca="false">IF(OR(K259="",BG259=""),"",ROUND(BG259-K259,0))</f>
        <v>0</v>
      </c>
      <c r="BQ259" s="2" t="str">
        <f aca="false">IF(OR(N(BK259)=0,Q259=""),"Not recorded",IF(BK259=Q259,"Match","Differs"))</f>
        <v>Not recorded</v>
      </c>
      <c r="BR259" s="2" t="str">
        <f aca="false">IF(N259="No","Excluded (non-residential)",IF(BF259="No reference","Unverified – no reference",IF(BF259="Not in council register","Unverified – not in register (Part 8 / other)",IF(OR(BF259="Refused",BF259="Refused on appeal",BF259="Withdrawn",BF259="Invalid",BF259="Quashed"),IF(OR(G259="Complete",G259="On Site",G259="Part Complete"),"Conflict – register not live but CIS says built","Conflict – not live in register"),IF(AND(G259="Plans Submitted",OR(BF259="Granted",BF259="Granted on appeal")),"Stage out of date – now granted",IF(AND(G259&lt;&gt;"Plans Submitted",OR(BF259="Pending",BF259="Under appeal")),"Check – register still pending",IF(N(BL259)&gt;Method!$B$7,"Check – location differs",IF(AND(BP259&lt;&gt;"",ABS(N(BP259))&gt;60),"Consistent – decision date differs","Consistent"))))))))</f>
        <v>Consistent</v>
      </c>
      <c r="BS259" s="2"/>
      <c r="BT259" s="2"/>
      <c r="BU259" s="2"/>
      <c r="BV259" s="2"/>
      <c r="BW259" s="2"/>
      <c r="BX259" s="2"/>
    </row>
    <row r="260" customFormat="false" ht="15" hidden="false" customHeight="false" outlineLevel="0" collapsed="false">
      <c r="A260" s="2" t="n">
        <v>1402230</v>
      </c>
      <c r="B260" s="2" t="s">
        <v>760</v>
      </c>
      <c r="C260" s="2" t="s">
        <v>1989</v>
      </c>
      <c r="D260" s="2" t="s">
        <v>761</v>
      </c>
      <c r="E260" s="2" t="s">
        <v>762</v>
      </c>
      <c r="F260" s="2" t="s">
        <v>139</v>
      </c>
      <c r="G260" s="2" t="s">
        <v>700</v>
      </c>
      <c r="H260" s="2" t="s">
        <v>700</v>
      </c>
      <c r="I260" s="2"/>
      <c r="J260" s="22" t="n">
        <v>45776</v>
      </c>
      <c r="K260" s="22"/>
      <c r="L260" s="22" t="n">
        <v>45778.2710558218</v>
      </c>
      <c r="M260" s="2" t="s">
        <v>1893</v>
      </c>
      <c r="N260" s="2" t="s">
        <v>121</v>
      </c>
      <c r="O260" s="2"/>
      <c r="P260" s="2" t="s">
        <v>1017</v>
      </c>
      <c r="Q260" s="10" t="n">
        <v>9</v>
      </c>
      <c r="R260" s="10" t="n">
        <v>9</v>
      </c>
      <c r="S260" s="10"/>
      <c r="T260" s="2" t="s">
        <v>32</v>
      </c>
      <c r="U260" s="2"/>
      <c r="V260" s="2" t="s">
        <v>1990</v>
      </c>
      <c r="W260" s="2" t="s">
        <v>1030</v>
      </c>
      <c r="X260" s="7"/>
      <c r="Y260" s="2" t="str">
        <f aca="false">IF(X260&lt;&gt;"",X260,T260)</f>
        <v>Not live</v>
      </c>
      <c r="Z260" s="2" t="str">
        <f aca="false">IF(OR(Y260="Primary",Y260="Additional phase",Y260="Additional application on site",Y260="Replaces earlier",Y260="Extension of duration (parent not in CIS)"),"Yes","No")</f>
        <v>No</v>
      </c>
      <c r="AA260" s="2"/>
      <c r="AB260" s="2" t="n">
        <f aca="false">IF(L260="","",ROUND((Method!$B$4-L260)/30.44,0))</f>
        <v>17</v>
      </c>
      <c r="AC260" s="2" t="str">
        <f aca="false">IF(AB260="","No",IF(AB260&gt;Method!$B$5,"Yes","No"))</f>
        <v>No</v>
      </c>
      <c r="AD260" s="22" t="str">
        <f aca="false">IF(BJ260&lt;&gt;"",BJ260,IF(K260&lt;&gt;"",EDATE(K260,60),""))</f>
        <v/>
      </c>
      <c r="AE260" s="2" t="str">
        <f aca="false">IF(AND(AD260&lt;&gt;"",OR(G260="Permission Granted",G260="Commencement Expected",G260="Stalled or Suspended")),IF(AD260&lt;Method!$B$4,"Yes","No"),"No")</f>
        <v>No</v>
      </c>
      <c r="AF260" s="7"/>
      <c r="AG260" s="2" t="str">
        <f aca="false">IF(Z260="No","Not counted",IF(AF260="Lapsed or dead","Excluded",IF(AF260="Constrained","Constrained / uncertain",IF(AF260="Confirmed live",IF(G260="On Site","Committed",IF(G260="Part Complete","Committed",IF(G260="Contract Awarded","Committed Pre-Construction",IF(G260="Tender","Advanced Pre-Construction",IF(G260="Commencement Expected","Likely",IF(G260="Permission Granted","Potential",IF(G260="Stalled or Suspended","Constrained / uncertain",IF(G260="Complete","Delivered","Application Pipeline")))))))),IF(G260="Complete","Delivered",IF(AND(OR(G260="Permission Granted",G260="Commencement Expected"),OR(AC260="Yes",AE260="Yes")),"Constrained / uncertain",IF(G260="On Site","Committed",IF(G260="Part Complete","Committed",IF(G260="Contract Awarded","Committed Pre-Construction",IF(G260="Tender","Advanced Pre-Construction",IF(G260="Commencement Expected","Likely",IF(G260="Permission Granted","Potential",IF(G260="Stalled or Suspended","Constrained / uncertain",IF(G260="Complete","Delivered","Application Pipeline"))))))))))))))</f>
        <v>Not counted</v>
      </c>
      <c r="AH260" s="2" t="str">
        <f aca="false">IF(Z260="No","Relationship: "&amp;Y260,IF(AF260&lt;&gt;"","Analyst: "&amp;AF260,IF(G260="Complete","Complete",IF(AND(OR(G260="Permission Granted",G260="Commencement Expected"),AE260="Yes"),"Past expiry",IF(AND(OR(G260="Permission Granted",G260="Commencement Expected"),AC260="Yes"),"No CIS update in "&amp;AB260&amp;" months","As CIS")))))</f>
        <v>Relationship: Not live</v>
      </c>
      <c r="AI260" s="10" t="n">
        <f aca="false">IF(Z260="Yes",N(Q260),0)</f>
        <v>0</v>
      </c>
      <c r="AJ260" s="10" t="n">
        <f aca="false">IF(OR(Z260="No",G260="Complete"),0,MAX(N(Q260)-N(AA260),0))</f>
        <v>0</v>
      </c>
      <c r="AK260" s="10" t="n">
        <f aca="false">IF(Z260="No",0,IF(G260="Complete",N(Q260),MIN(N(AA260),N(Q260))))</f>
        <v>0</v>
      </c>
      <c r="AL260" s="10" t="n">
        <f aca="false">IF(OR(OR(AG260="Not counted",AG260="Excluded",AG260="Delivered"),P260="Student accommodation"),0,AJ260)</f>
        <v>0</v>
      </c>
      <c r="AM260" s="10" t="n">
        <f aca="false">IF(OR(OR(AG260="Not counted",AG260="Excluded",AG260="Delivered"),P260&lt;&gt;"Student accommodation"),0,AJ260)</f>
        <v>0</v>
      </c>
      <c r="AN260" s="10" t="n">
        <f aca="false">IF(OR(AG260="Not counted",AG260="Excluded",AG260="Delivered"),0,N(S260))</f>
        <v>0</v>
      </c>
      <c r="AO260" s="2" t="s">
        <v>1021</v>
      </c>
      <c r="AP260" s="10"/>
      <c r="AQ260" s="10"/>
      <c r="AR260" s="10"/>
      <c r="AS260" s="10"/>
      <c r="AT260" s="10"/>
      <c r="AU260" s="10"/>
      <c r="AV260" s="10" t="n">
        <f aca="false">N(AP260)+N(AQ260)+N(AR260)+N(AS260)+N(AT260)+N(AU260)</f>
        <v>0</v>
      </c>
      <c r="AW260" s="10"/>
      <c r="AX260" s="10"/>
      <c r="AY260" s="10"/>
      <c r="AZ260" s="2"/>
      <c r="BA260" s="2" t="s">
        <v>1022</v>
      </c>
      <c r="BB260" s="2" t="s">
        <v>1989</v>
      </c>
      <c r="BC260" s="2" t="s">
        <v>1023</v>
      </c>
      <c r="BD260" s="2" t="s">
        <v>1071</v>
      </c>
      <c r="BE260" s="2"/>
      <c r="BF260" s="2" t="s">
        <v>1991</v>
      </c>
      <c r="BG260" s="22" t="n">
        <v>45828</v>
      </c>
      <c r="BH260" s="22"/>
      <c r="BI260" s="2"/>
      <c r="BJ260" s="22"/>
      <c r="BK260" s="2" t="n">
        <v>9</v>
      </c>
      <c r="BL260" s="2" t="n">
        <v>0</v>
      </c>
      <c r="BM260" s="2"/>
      <c r="BN260" s="24" t="s">
        <v>1992</v>
      </c>
      <c r="BO260" s="23" t="s">
        <v>1993</v>
      </c>
      <c r="BP260" s="2" t="str">
        <f aca="false">IF(OR(K260="",BG260=""),"",ROUND(BG260-K260,0))</f>
        <v/>
      </c>
      <c r="BQ260" s="2" t="str">
        <f aca="false">IF(OR(N(BK260)=0,Q260=""),"Not recorded",IF(BK260=Q260,"Match","Differs"))</f>
        <v>Match</v>
      </c>
      <c r="BR260" s="2" t="str">
        <f aca="false">IF(N260="No","Excluded (non-residential)",IF(BF260="No reference","Unverified – no reference",IF(BF260="Not in council register","Unverified – not in register (Part 8 / other)",IF(OR(BF260="Refused",BF260="Refused on appeal",BF260="Withdrawn",BF260="Invalid",BF260="Quashed"),IF(OR(G260="Complete",G260="On Site",G260="Part Complete"),"Conflict – register not live but CIS says built","Conflict – not live in register"),IF(AND(G260="Plans Submitted",OR(BF260="Granted",BF260="Granted on appeal")),"Stage out of date – now granted",IF(AND(G260&lt;&gt;"Plans Submitted",OR(BF260="Pending",BF260="Under appeal")),"Check – register still pending",IF(N(BL260)&gt;Method!$B$7,"Check – location differs",IF(AND(BP260&lt;&gt;"",ABS(N(BP260))&gt;60),"Consistent – decision date differs","Consistent"))))))))</f>
        <v>Conflict – not live in register</v>
      </c>
      <c r="BS260" s="2"/>
      <c r="BT260" s="2"/>
      <c r="BU260" s="2"/>
      <c r="BV260" s="2"/>
      <c r="BW260" s="2"/>
      <c r="BX260" s="2"/>
    </row>
    <row r="261" customFormat="false" ht="15" hidden="false" customHeight="false" outlineLevel="0" collapsed="false">
      <c r="A261" s="2" t="n">
        <v>1408292</v>
      </c>
      <c r="B261" s="2" t="s">
        <v>764</v>
      </c>
      <c r="C261" s="2" t="s">
        <v>1994</v>
      </c>
      <c r="D261" s="2" t="s">
        <v>765</v>
      </c>
      <c r="E261" s="2" t="s">
        <v>766</v>
      </c>
      <c r="F261" s="2" t="s">
        <v>139</v>
      </c>
      <c r="G261" s="2" t="s">
        <v>187</v>
      </c>
      <c r="H261" s="2" t="s">
        <v>1014</v>
      </c>
      <c r="I261" s="2"/>
      <c r="J261" s="22" t="n">
        <v>45815</v>
      </c>
      <c r="K261" s="22" t="n">
        <v>45937</v>
      </c>
      <c r="L261" s="22" t="n">
        <v>46034</v>
      </c>
      <c r="M261" s="2" t="s">
        <v>1904</v>
      </c>
      <c r="N261" s="2" t="s">
        <v>121</v>
      </c>
      <c r="O261" s="2"/>
      <c r="P261" s="2" t="s">
        <v>1017</v>
      </c>
      <c r="Q261" s="10" t="n">
        <v>48</v>
      </c>
      <c r="R261" s="10" t="n">
        <v>48</v>
      </c>
      <c r="S261" s="10"/>
      <c r="T261" s="2" t="s">
        <v>120</v>
      </c>
      <c r="U261" s="2"/>
      <c r="V261" s="2" t="s">
        <v>1029</v>
      </c>
      <c r="W261" s="2" t="s">
        <v>1030</v>
      </c>
      <c r="X261" s="7"/>
      <c r="Y261" s="2" t="str">
        <f aca="false">IF(X261&lt;&gt;"",X261,T261)</f>
        <v>Primary</v>
      </c>
      <c r="Z261" s="2" t="str">
        <f aca="false">IF(OR(Y261="Primary",Y261="Additional phase",Y261="Additional application on site",Y261="Replaces earlier",Y261="Extension of duration (parent not in CIS)"),"Yes","No")</f>
        <v>Yes</v>
      </c>
      <c r="AA261" s="2"/>
      <c r="AB261" s="2" t="n">
        <f aca="false">IF(L261="","",ROUND((Method!$B$4-L261)/30.44,0))</f>
        <v>9</v>
      </c>
      <c r="AC261" s="2" t="str">
        <f aca="false">IF(AB261="","No",IF(AB261&gt;Method!$B$5,"Yes","No"))</f>
        <v>No</v>
      </c>
      <c r="AD261" s="22" t="n">
        <f aca="false">IF(BJ261&lt;&gt;"",BJ261,IF(K261&lt;&gt;"",EDATE(K261,60),""))</f>
        <v>47796</v>
      </c>
      <c r="AE261" s="2" t="str">
        <f aca="false">IF(AND(AD261&lt;&gt;"",OR(G261="Permission Granted",G261="Commencement Expected",G261="Stalled or Suspended")),IF(AD261&lt;Method!$B$4,"Yes","No"),"No")</f>
        <v>No</v>
      </c>
      <c r="AF261" s="7"/>
      <c r="AG261" s="2" t="str">
        <f aca="false">IF(Z261="No","Not counted",IF(AF261="Lapsed or dead","Excluded",IF(AF261="Constrained","Constrained / uncertain",IF(AF261="Confirmed live",IF(G261="On Site","Committed",IF(G261="Part Complete","Committed",IF(G261="Contract Awarded","Committed Pre-Construction",IF(G261="Tender","Advanced Pre-Construction",IF(G261="Commencement Expected","Likely",IF(G261="Permission Granted","Potential",IF(G261="Stalled or Suspended","Constrained / uncertain",IF(G261="Complete","Delivered","Application Pipeline")))))))),IF(G261="Complete","Delivered",IF(AND(OR(G261="Permission Granted",G261="Commencement Expected"),OR(AC261="Yes",AE261="Yes")),"Constrained / uncertain",IF(G261="On Site","Committed",IF(G261="Part Complete","Committed",IF(G261="Contract Awarded","Committed Pre-Construction",IF(G261="Tender","Advanced Pre-Construction",IF(G261="Commencement Expected","Likely",IF(G261="Permission Granted","Potential",IF(G261="Stalled or Suspended","Constrained / uncertain",IF(G261="Complete","Delivered","Application Pipeline"))))))))))))))</f>
        <v>Potential</v>
      </c>
      <c r="AH261" s="2" t="str">
        <f aca="false">IF(Z261="No","Relationship: "&amp;Y261,IF(AF261&lt;&gt;"","Analyst: "&amp;AF261,IF(G261="Complete","Complete",IF(AND(OR(G261="Permission Granted",G261="Commencement Expected"),AE261="Yes"),"Past expiry",IF(AND(OR(G261="Permission Granted",G261="Commencement Expected"),AC261="Yes"),"No CIS update in "&amp;AB261&amp;" months","As CIS")))))</f>
        <v>As CIS</v>
      </c>
      <c r="AI261" s="10" t="n">
        <f aca="false">IF(Z261="Yes",N(Q261),0)</f>
        <v>48</v>
      </c>
      <c r="AJ261" s="10" t="n">
        <f aca="false">IF(OR(Z261="No",G261="Complete"),0,MAX(N(Q261)-N(AA261),0))</f>
        <v>48</v>
      </c>
      <c r="AK261" s="10" t="n">
        <f aca="false">IF(Z261="No",0,IF(G261="Complete",N(Q261),MIN(N(AA261),N(Q261))))</f>
        <v>0</v>
      </c>
      <c r="AL261" s="10" t="n">
        <f aca="false">IF(OR(OR(AG261="Not counted",AG261="Excluded",AG261="Delivered"),P261="Student accommodation"),0,AJ261)</f>
        <v>48</v>
      </c>
      <c r="AM261" s="10" t="n">
        <f aca="false">IF(OR(OR(AG261="Not counted",AG261="Excluded",AG261="Delivered"),P261&lt;&gt;"Student accommodation"),0,AJ261)</f>
        <v>0</v>
      </c>
      <c r="AN261" s="10" t="n">
        <f aca="false">IF(OR(AG261="Not counted",AG261="Excluded",AG261="Delivered"),0,N(S261))</f>
        <v>0</v>
      </c>
      <c r="AO261" s="2" t="s">
        <v>1157</v>
      </c>
      <c r="AP261" s="10"/>
      <c r="AQ261" s="10" t="n">
        <v>25</v>
      </c>
      <c r="AR261" s="10" t="n">
        <v>23</v>
      </c>
      <c r="AS261" s="10"/>
      <c r="AT261" s="10"/>
      <c r="AU261" s="10"/>
      <c r="AV261" s="10" t="n">
        <f aca="false">N(AP261)+N(AQ261)+N(AR261)+N(AS261)+N(AT261)+N(AU261)</f>
        <v>48</v>
      </c>
      <c r="AW261" s="10"/>
      <c r="AX261" s="10" t="n">
        <v>48</v>
      </c>
      <c r="AY261" s="10"/>
      <c r="AZ261" s="2"/>
      <c r="BA261" s="2" t="s">
        <v>1022</v>
      </c>
      <c r="BB261" s="2" t="s">
        <v>1994</v>
      </c>
      <c r="BC261" s="2" t="s">
        <v>1023</v>
      </c>
      <c r="BD261" s="2" t="s">
        <v>1024</v>
      </c>
      <c r="BE261" s="2"/>
      <c r="BF261" s="2" t="s">
        <v>1025</v>
      </c>
      <c r="BG261" s="22" t="n">
        <v>45937</v>
      </c>
      <c r="BH261" s="22" t="n">
        <v>47796</v>
      </c>
      <c r="BI261" s="2"/>
      <c r="BJ261" s="22" t="n">
        <v>47796</v>
      </c>
      <c r="BK261" s="2"/>
      <c r="BL261" s="2" t="n">
        <v>0</v>
      </c>
      <c r="BM261" s="2"/>
      <c r="BN261" s="2" t="s">
        <v>1995</v>
      </c>
      <c r="BO261" s="23" t="s">
        <v>1996</v>
      </c>
      <c r="BP261" s="2" t="n">
        <f aca="false">IF(OR(K261="",BG261=""),"",ROUND(BG261-K261,0))</f>
        <v>0</v>
      </c>
      <c r="BQ261" s="2" t="str">
        <f aca="false">IF(OR(N(BK261)=0,Q261=""),"Not recorded",IF(BK261=Q261,"Match","Differs"))</f>
        <v>Not recorded</v>
      </c>
      <c r="BR261" s="2" t="str">
        <f aca="false">IF(N261="No","Excluded (non-residential)",IF(BF261="No reference","Unverified – no reference",IF(BF261="Not in council register","Unverified – not in register (Part 8 / other)",IF(OR(BF261="Refused",BF261="Refused on appeal",BF261="Withdrawn",BF261="Invalid",BF261="Quashed"),IF(OR(G261="Complete",G261="On Site",G261="Part Complete"),"Conflict – register not live but CIS says built","Conflict – not live in register"),IF(AND(G261="Plans Submitted",OR(BF261="Granted",BF261="Granted on appeal")),"Stage out of date – now granted",IF(AND(G261&lt;&gt;"Plans Submitted",OR(BF261="Pending",BF261="Under appeal")),"Check – register still pending",IF(N(BL261)&gt;Method!$B$7,"Check – location differs",IF(AND(BP261&lt;&gt;"",ABS(N(BP261))&gt;60),"Consistent – decision date differs","Consistent"))))))))</f>
        <v>Consistent</v>
      </c>
      <c r="BS261" s="2"/>
      <c r="BT261" s="2"/>
      <c r="BU261" s="2"/>
      <c r="BV261" s="2"/>
      <c r="BW261" s="2"/>
      <c r="BX261" s="2"/>
    </row>
    <row r="262" customFormat="false" ht="15" hidden="false" customHeight="false" outlineLevel="0" collapsed="false">
      <c r="A262" s="2" t="n">
        <v>1412002</v>
      </c>
      <c r="B262" s="2" t="s">
        <v>771</v>
      </c>
      <c r="C262" s="2" t="s">
        <v>1997</v>
      </c>
      <c r="D262" s="2" t="s">
        <v>772</v>
      </c>
      <c r="E262" s="2" t="s">
        <v>773</v>
      </c>
      <c r="F262" s="2" t="s">
        <v>139</v>
      </c>
      <c r="G262" s="2" t="s">
        <v>651</v>
      </c>
      <c r="H262" s="2" t="s">
        <v>1014</v>
      </c>
      <c r="I262" s="2" t="s">
        <v>651</v>
      </c>
      <c r="J262" s="22" t="n">
        <v>45876</v>
      </c>
      <c r="K262" s="22" t="n">
        <v>46001</v>
      </c>
      <c r="L262" s="22" t="n">
        <v>46272.4251808218</v>
      </c>
      <c r="M262" s="2" t="s">
        <v>1893</v>
      </c>
      <c r="N262" s="2" t="s">
        <v>121</v>
      </c>
      <c r="O262" s="2"/>
      <c r="P262" s="2" t="s">
        <v>1017</v>
      </c>
      <c r="Q262" s="10" t="n">
        <v>285</v>
      </c>
      <c r="R262" s="10" t="n">
        <v>114</v>
      </c>
      <c r="S262" s="10"/>
      <c r="T262" s="2" t="s">
        <v>120</v>
      </c>
      <c r="U262" s="2"/>
      <c r="V262" s="2" t="s">
        <v>1029</v>
      </c>
      <c r="W262" s="2" t="s">
        <v>1030</v>
      </c>
      <c r="X262" s="7"/>
      <c r="Y262" s="2" t="str">
        <f aca="false">IF(X262&lt;&gt;"",X262,T262)</f>
        <v>Primary</v>
      </c>
      <c r="Z262" s="2" t="str">
        <f aca="false">IF(OR(Y262="Primary",Y262="Additional phase",Y262="Additional application on site",Y262="Replaces earlier",Y262="Extension of duration (parent not in CIS)"),"Yes","No")</f>
        <v>Yes</v>
      </c>
      <c r="AA262" s="2"/>
      <c r="AB262" s="2" t="n">
        <f aca="false">IF(L262="","",ROUND((Method!$B$4-L262)/30.44,0))</f>
        <v>1</v>
      </c>
      <c r="AC262" s="2" t="str">
        <f aca="false">IF(AB262="","No",IF(AB262&gt;Method!$B$5,"Yes","No"))</f>
        <v>No</v>
      </c>
      <c r="AD262" s="22" t="n">
        <f aca="false">IF(BJ262&lt;&gt;"",BJ262,IF(K262&lt;&gt;"",EDATE(K262,60),""))</f>
        <v>47889</v>
      </c>
      <c r="AE262" s="2" t="str">
        <f aca="false">IF(AND(AD262&lt;&gt;"",OR(G262="Permission Granted",G262="Commencement Expected",G262="Stalled or Suspended")),IF(AD262&lt;Method!$B$4,"Yes","No"),"No")</f>
        <v>No</v>
      </c>
      <c r="AF262" s="7"/>
      <c r="AG262" s="2" t="str">
        <f aca="false">IF(Z262="No","Not counted",IF(AF262="Lapsed or dead","Excluded",IF(AF262="Constrained","Constrained / uncertain",IF(AF262="Confirmed live",IF(G262="On Site","Committed",IF(G262="Part Complete","Committed",IF(G262="Contract Awarded","Committed Pre-Construction",IF(G262="Tender","Advanced Pre-Construction",IF(G262="Commencement Expected","Likely",IF(G262="Permission Granted","Potential",IF(G262="Stalled or Suspended","Constrained / uncertain",IF(G262="Complete","Delivered","Application Pipeline")))))))),IF(G262="Complete","Delivered",IF(AND(OR(G262="Permission Granted",G262="Commencement Expected"),OR(AC262="Yes",AE262="Yes")),"Constrained / uncertain",IF(G262="On Site","Committed",IF(G262="Part Complete","Committed",IF(G262="Contract Awarded","Committed Pre-Construction",IF(G262="Tender","Advanced Pre-Construction",IF(G262="Commencement Expected","Likely",IF(G262="Permission Granted","Potential",IF(G262="Stalled or Suspended","Constrained / uncertain",IF(G262="Complete","Delivered","Application Pipeline"))))))))))))))</f>
        <v>Advanced Pre-Construction</v>
      </c>
      <c r="AH262" s="2" t="str">
        <f aca="false">IF(Z262="No","Relationship: "&amp;Y262,IF(AF262&lt;&gt;"","Analyst: "&amp;AF262,IF(G262="Complete","Complete",IF(AND(OR(G262="Permission Granted",G262="Commencement Expected"),AE262="Yes"),"Past expiry",IF(AND(OR(G262="Permission Granted",G262="Commencement Expected"),AC262="Yes"),"No CIS update in "&amp;AB262&amp;" months","As CIS")))))</f>
        <v>As CIS</v>
      </c>
      <c r="AI262" s="10" t="n">
        <f aca="false">IF(Z262="Yes",N(Q262),0)</f>
        <v>285</v>
      </c>
      <c r="AJ262" s="10" t="n">
        <f aca="false">IF(OR(Z262="No",G262="Complete"),0,MAX(N(Q262)-N(AA262),0))</f>
        <v>285</v>
      </c>
      <c r="AK262" s="10" t="n">
        <f aca="false">IF(Z262="No",0,IF(G262="Complete",N(Q262),MIN(N(AA262),N(Q262))))</f>
        <v>0</v>
      </c>
      <c r="AL262" s="10" t="n">
        <f aca="false">IF(OR(OR(AG262="Not counted",AG262="Excluded",AG262="Delivered"),P262="Student accommodation"),0,AJ262)</f>
        <v>285</v>
      </c>
      <c r="AM262" s="10" t="n">
        <f aca="false">IF(OR(OR(AG262="Not counted",AG262="Excluded",AG262="Delivered"),P262&lt;&gt;"Student accommodation"),0,AJ262)</f>
        <v>0</v>
      </c>
      <c r="AN262" s="10" t="n">
        <f aca="false">IF(OR(AG262="Not counted",AG262="Excluded",AG262="Delivered"),0,N(S262))</f>
        <v>0</v>
      </c>
      <c r="AO262" s="2" t="s">
        <v>1157</v>
      </c>
      <c r="AP262" s="10"/>
      <c r="AQ262" s="10" t="n">
        <v>142</v>
      </c>
      <c r="AR262" s="10" t="n">
        <v>127</v>
      </c>
      <c r="AS262" s="10" t="n">
        <v>16</v>
      </c>
      <c r="AT262" s="10"/>
      <c r="AU262" s="10"/>
      <c r="AV262" s="10" t="n">
        <f aca="false">N(AP262)+N(AQ262)+N(AR262)+N(AS262)+N(AT262)+N(AU262)</f>
        <v>285</v>
      </c>
      <c r="AW262" s="10"/>
      <c r="AX262" s="10" t="n">
        <v>285</v>
      </c>
      <c r="AY262" s="10"/>
      <c r="AZ262" s="2"/>
      <c r="BA262" s="2" t="s">
        <v>1022</v>
      </c>
      <c r="BB262" s="2" t="s">
        <v>1997</v>
      </c>
      <c r="BC262" s="2" t="s">
        <v>1023</v>
      </c>
      <c r="BD262" s="2" t="s">
        <v>1024</v>
      </c>
      <c r="BE262" s="2"/>
      <c r="BF262" s="2" t="s">
        <v>1025</v>
      </c>
      <c r="BG262" s="22" t="n">
        <v>46001</v>
      </c>
      <c r="BH262" s="22" t="n">
        <v>47889</v>
      </c>
      <c r="BI262" s="2"/>
      <c r="BJ262" s="22" t="n">
        <v>47889</v>
      </c>
      <c r="BK262" s="2"/>
      <c r="BL262" s="2" t="n">
        <v>0</v>
      </c>
      <c r="BM262" s="2"/>
      <c r="BN262" s="2" t="s">
        <v>1998</v>
      </c>
      <c r="BO262" s="23" t="s">
        <v>1999</v>
      </c>
      <c r="BP262" s="2" t="n">
        <f aca="false">IF(OR(K262="",BG262=""),"",ROUND(BG262-K262,0))</f>
        <v>0</v>
      </c>
      <c r="BQ262" s="2" t="str">
        <f aca="false">IF(OR(N(BK262)=0,Q262=""),"Not recorded",IF(BK262=Q262,"Match","Differs"))</f>
        <v>Not recorded</v>
      </c>
      <c r="BR262" s="2" t="str">
        <f aca="false">IF(N262="No","Excluded (non-residential)",IF(BF262="No reference","Unverified – no reference",IF(BF262="Not in council register","Unverified – not in register (Part 8 / other)",IF(OR(BF262="Refused",BF262="Refused on appeal",BF262="Withdrawn",BF262="Invalid",BF262="Quashed"),IF(OR(G262="Complete",G262="On Site",G262="Part Complete"),"Conflict – register not live but CIS says built","Conflict – not live in register"),IF(AND(G262="Plans Submitted",OR(BF262="Granted",BF262="Granted on appeal")),"Stage out of date – now granted",IF(AND(G262&lt;&gt;"Plans Submitted",OR(BF262="Pending",BF262="Under appeal")),"Check – register still pending",IF(N(BL262)&gt;Method!$B$7,"Check – location differs",IF(AND(BP262&lt;&gt;"",ABS(N(BP262))&gt;60),"Consistent – decision date differs","Consistent"))))))))</f>
        <v>Consistent</v>
      </c>
      <c r="BS262" s="2"/>
      <c r="BT262" s="2"/>
      <c r="BU262" s="2"/>
      <c r="BV262" s="2"/>
      <c r="BW262" s="2"/>
      <c r="BX262" s="2"/>
    </row>
    <row r="263" customFormat="false" ht="15" hidden="false" customHeight="false" outlineLevel="0" collapsed="false">
      <c r="A263" s="2" t="n">
        <v>1412257</v>
      </c>
      <c r="B263" s="2" t="s">
        <v>775</v>
      </c>
      <c r="C263" s="2" t="s">
        <v>2000</v>
      </c>
      <c r="D263" s="2" t="s">
        <v>776</v>
      </c>
      <c r="E263" s="2" t="s">
        <v>777</v>
      </c>
      <c r="F263" s="2" t="s">
        <v>138</v>
      </c>
      <c r="G263" s="2" t="s">
        <v>668</v>
      </c>
      <c r="H263" s="2" t="s">
        <v>1014</v>
      </c>
      <c r="I263" s="2" t="s">
        <v>668</v>
      </c>
      <c r="J263" s="22" t="n">
        <v>45876</v>
      </c>
      <c r="K263" s="22" t="n">
        <v>46043</v>
      </c>
      <c r="L263" s="22" t="n">
        <v>46217.2677342245</v>
      </c>
      <c r="M263" s="2" t="s">
        <v>1893</v>
      </c>
      <c r="N263" s="2" t="s">
        <v>121</v>
      </c>
      <c r="O263" s="2"/>
      <c r="P263" s="2" t="s">
        <v>1017</v>
      </c>
      <c r="Q263" s="10" t="n">
        <v>10</v>
      </c>
      <c r="R263" s="10" t="n">
        <v>9</v>
      </c>
      <c r="S263" s="10"/>
      <c r="T263" s="2" t="s">
        <v>120</v>
      </c>
      <c r="U263" s="2"/>
      <c r="V263" s="2" t="s">
        <v>1029</v>
      </c>
      <c r="W263" s="2" t="s">
        <v>1030</v>
      </c>
      <c r="X263" s="7"/>
      <c r="Y263" s="2" t="str">
        <f aca="false">IF(X263&lt;&gt;"",X263,T263)</f>
        <v>Primary</v>
      </c>
      <c r="Z263" s="2" t="str">
        <f aca="false">IF(OR(Y263="Primary",Y263="Additional phase",Y263="Additional application on site",Y263="Replaces earlier",Y263="Extension of duration (parent not in CIS)"),"Yes","No")</f>
        <v>Yes</v>
      </c>
      <c r="AA263" s="2"/>
      <c r="AB263" s="2" t="n">
        <f aca="false">IF(L263="","",ROUND((Method!$B$4-L263)/30.44,0))</f>
        <v>3</v>
      </c>
      <c r="AC263" s="2" t="str">
        <f aca="false">IF(AB263="","No",IF(AB263&gt;Method!$B$5,"Yes","No"))</f>
        <v>No</v>
      </c>
      <c r="AD263" s="22" t="n">
        <f aca="false">IF(BJ263&lt;&gt;"",BJ263,IF(K263&lt;&gt;"",EDATE(K263,60),""))</f>
        <v>47902</v>
      </c>
      <c r="AE263" s="2" t="str">
        <f aca="false">IF(AND(AD263&lt;&gt;"",OR(G263="Permission Granted",G263="Commencement Expected",G263="Stalled or Suspended")),IF(AD263&lt;Method!$B$4,"Yes","No"),"No")</f>
        <v>No</v>
      </c>
      <c r="AF263" s="7"/>
      <c r="AG263" s="2" t="str">
        <f aca="false">IF(Z263="No","Not counted",IF(AF263="Lapsed or dead","Excluded",IF(AF263="Constrained","Constrained / uncertain",IF(AF263="Confirmed live",IF(G263="On Site","Committed",IF(G263="Part Complete","Committed",IF(G263="Contract Awarded","Committed Pre-Construction",IF(G263="Tender","Advanced Pre-Construction",IF(G263="Commencement Expected","Likely",IF(G263="Permission Granted","Potential",IF(G263="Stalled or Suspended","Constrained / uncertain",IF(G263="Complete","Delivered","Application Pipeline")))))))),IF(G263="Complete","Delivered",IF(AND(OR(G263="Permission Granted",G263="Commencement Expected"),OR(AC263="Yes",AE263="Yes")),"Constrained / uncertain",IF(G263="On Site","Committed",IF(G263="Part Complete","Committed",IF(G263="Contract Awarded","Committed Pre-Construction",IF(G263="Tender","Advanced Pre-Construction",IF(G263="Commencement Expected","Likely",IF(G263="Permission Granted","Potential",IF(G263="Stalled or Suspended","Constrained / uncertain",IF(G263="Complete","Delivered","Application Pipeline"))))))))))))))</f>
        <v>Committed Pre-Construction</v>
      </c>
      <c r="AH263" s="2" t="str">
        <f aca="false">IF(Z263="No","Relationship: "&amp;Y263,IF(AF263&lt;&gt;"","Analyst: "&amp;AF263,IF(G263="Complete","Complete",IF(AND(OR(G263="Permission Granted",G263="Commencement Expected"),AE263="Yes"),"Past expiry",IF(AND(OR(G263="Permission Granted",G263="Commencement Expected"),AC263="Yes"),"No CIS update in "&amp;AB263&amp;" months","As CIS")))))</f>
        <v>As CIS</v>
      </c>
      <c r="AI263" s="10" t="n">
        <f aca="false">IF(Z263="Yes",N(Q263),0)</f>
        <v>10</v>
      </c>
      <c r="AJ263" s="10" t="n">
        <f aca="false">IF(OR(Z263="No",G263="Complete"),0,MAX(N(Q263)-N(AA263),0))</f>
        <v>10</v>
      </c>
      <c r="AK263" s="10" t="n">
        <f aca="false">IF(Z263="No",0,IF(G263="Complete",N(Q263),MIN(N(AA263),N(Q263))))</f>
        <v>0</v>
      </c>
      <c r="AL263" s="10" t="n">
        <f aca="false">IF(OR(OR(AG263="Not counted",AG263="Excluded",AG263="Delivered"),P263="Student accommodation"),0,AJ263)</f>
        <v>10</v>
      </c>
      <c r="AM263" s="10" t="n">
        <f aca="false">IF(OR(OR(AG263="Not counted",AG263="Excluded",AG263="Delivered"),P263&lt;&gt;"Student accommodation"),0,AJ263)</f>
        <v>0</v>
      </c>
      <c r="AN263" s="10" t="n">
        <f aca="false">IF(OR(AG263="Not counted",AG263="Excluded",AG263="Delivered"),0,N(S263))</f>
        <v>0</v>
      </c>
      <c r="AO263" s="2" t="s">
        <v>1021</v>
      </c>
      <c r="AP263" s="10"/>
      <c r="AQ263" s="10"/>
      <c r="AR263" s="10"/>
      <c r="AS263" s="10"/>
      <c r="AT263" s="10"/>
      <c r="AU263" s="10"/>
      <c r="AV263" s="10" t="n">
        <f aca="false">N(AP263)+N(AQ263)+N(AR263)+N(AS263)+N(AT263)+N(AU263)</f>
        <v>0</v>
      </c>
      <c r="AW263" s="10"/>
      <c r="AX263" s="10"/>
      <c r="AY263" s="10"/>
      <c r="AZ263" s="2"/>
      <c r="BA263" s="2" t="s">
        <v>1022</v>
      </c>
      <c r="BB263" s="2" t="s">
        <v>2000</v>
      </c>
      <c r="BC263" s="2" t="s">
        <v>1023</v>
      </c>
      <c r="BD263" s="2" t="s">
        <v>1024</v>
      </c>
      <c r="BE263" s="2"/>
      <c r="BF263" s="2" t="s">
        <v>1025</v>
      </c>
      <c r="BG263" s="22" t="n">
        <v>46043</v>
      </c>
      <c r="BH263" s="22" t="n">
        <v>47902</v>
      </c>
      <c r="BI263" s="2"/>
      <c r="BJ263" s="22" t="n">
        <v>47902</v>
      </c>
      <c r="BK263" s="2" t="n">
        <v>10</v>
      </c>
      <c r="BL263" s="2" t="n">
        <v>0</v>
      </c>
      <c r="BM263" s="2"/>
      <c r="BN263" s="2" t="s">
        <v>2001</v>
      </c>
      <c r="BO263" s="23" t="s">
        <v>2002</v>
      </c>
      <c r="BP263" s="2" t="n">
        <f aca="false">IF(OR(K263="",BG263=""),"",ROUND(BG263-K263,0))</f>
        <v>0</v>
      </c>
      <c r="BQ263" s="2" t="str">
        <f aca="false">IF(OR(N(BK263)=0,Q263=""),"Not recorded",IF(BK263=Q263,"Match","Differs"))</f>
        <v>Match</v>
      </c>
      <c r="BR263" s="2" t="str">
        <f aca="false">IF(N263="No","Excluded (non-residential)",IF(BF263="No reference","Unverified – no reference",IF(BF263="Not in council register","Unverified – not in register (Part 8 / other)",IF(OR(BF263="Refused",BF263="Refused on appeal",BF263="Withdrawn",BF263="Invalid",BF263="Quashed"),IF(OR(G263="Complete",G263="On Site",G263="Part Complete"),"Conflict – register not live but CIS says built","Conflict – not live in register"),IF(AND(G263="Plans Submitted",OR(BF263="Granted",BF263="Granted on appeal")),"Stage out of date – now granted",IF(AND(G263&lt;&gt;"Plans Submitted",OR(BF263="Pending",BF263="Under appeal")),"Check – register still pending",IF(N(BL263)&gt;Method!$B$7,"Check – location differs",IF(AND(BP263&lt;&gt;"",ABS(N(BP263))&gt;60),"Consistent – decision date differs","Consistent"))))))))</f>
        <v>Consistent</v>
      </c>
      <c r="BS263" s="2"/>
      <c r="BT263" s="2"/>
      <c r="BU263" s="2"/>
      <c r="BV263" s="2"/>
      <c r="BW263" s="2"/>
      <c r="BX263" s="2"/>
    </row>
    <row r="264" customFormat="false" ht="15" hidden="false" customHeight="false" outlineLevel="0" collapsed="false">
      <c r="A264" s="2" t="n">
        <v>1412368</v>
      </c>
      <c r="B264" s="2" t="s">
        <v>768</v>
      </c>
      <c r="C264" s="2" t="s">
        <v>2003</v>
      </c>
      <c r="D264" s="2" t="s">
        <v>769</v>
      </c>
      <c r="E264" s="2" t="s">
        <v>770</v>
      </c>
      <c r="F264" s="2" t="s">
        <v>139</v>
      </c>
      <c r="G264" s="2" t="s">
        <v>651</v>
      </c>
      <c r="H264" s="2" t="s">
        <v>1014</v>
      </c>
      <c r="I264" s="2" t="s">
        <v>651</v>
      </c>
      <c r="J264" s="22" t="n">
        <v>45874</v>
      </c>
      <c r="K264" s="22" t="n">
        <v>46006</v>
      </c>
      <c r="L264" s="22" t="n">
        <v>46148.4278019329</v>
      </c>
      <c r="M264" s="2" t="s">
        <v>1893</v>
      </c>
      <c r="N264" s="2" t="s">
        <v>121</v>
      </c>
      <c r="O264" s="2"/>
      <c r="P264" s="2" t="s">
        <v>1017</v>
      </c>
      <c r="Q264" s="10" t="n">
        <v>5</v>
      </c>
      <c r="R264" s="10"/>
      <c r="S264" s="10"/>
      <c r="T264" s="2" t="s">
        <v>120</v>
      </c>
      <c r="U264" s="2"/>
      <c r="V264" s="2" t="s">
        <v>1029</v>
      </c>
      <c r="W264" s="2" t="s">
        <v>1030</v>
      </c>
      <c r="X264" s="7"/>
      <c r="Y264" s="2" t="str">
        <f aca="false">IF(X264&lt;&gt;"",X264,T264)</f>
        <v>Primary</v>
      </c>
      <c r="Z264" s="2" t="str">
        <f aca="false">IF(OR(Y264="Primary",Y264="Additional phase",Y264="Additional application on site",Y264="Replaces earlier",Y264="Extension of duration (parent not in CIS)"),"Yes","No")</f>
        <v>Yes</v>
      </c>
      <c r="AA264" s="2"/>
      <c r="AB264" s="2" t="n">
        <f aca="false">IF(L264="","",ROUND((Method!$B$4-L264)/30.44,0))</f>
        <v>5</v>
      </c>
      <c r="AC264" s="2" t="str">
        <f aca="false">IF(AB264="","No",IF(AB264&gt;Method!$B$5,"Yes","No"))</f>
        <v>No</v>
      </c>
      <c r="AD264" s="22" t="n">
        <f aca="false">IF(BJ264&lt;&gt;"",BJ264,IF(K264&lt;&gt;"",EDATE(K264,60),""))</f>
        <v>47832</v>
      </c>
      <c r="AE264" s="2" t="str">
        <f aca="false">IF(AND(AD264&lt;&gt;"",OR(G264="Permission Granted",G264="Commencement Expected",G264="Stalled or Suspended")),IF(AD264&lt;Method!$B$4,"Yes","No"),"No")</f>
        <v>No</v>
      </c>
      <c r="AF264" s="7"/>
      <c r="AG264" s="2" t="str">
        <f aca="false">IF(Z264="No","Not counted",IF(AF264="Lapsed or dead","Excluded",IF(AF264="Constrained","Constrained / uncertain",IF(AF264="Confirmed live",IF(G264="On Site","Committed",IF(G264="Part Complete","Committed",IF(G264="Contract Awarded","Committed Pre-Construction",IF(G264="Tender","Advanced Pre-Construction",IF(G264="Commencement Expected","Likely",IF(G264="Permission Granted","Potential",IF(G264="Stalled or Suspended","Constrained / uncertain",IF(G264="Complete","Delivered","Application Pipeline")))))))),IF(G264="Complete","Delivered",IF(AND(OR(G264="Permission Granted",G264="Commencement Expected"),OR(AC264="Yes",AE264="Yes")),"Constrained / uncertain",IF(G264="On Site","Committed",IF(G264="Part Complete","Committed",IF(G264="Contract Awarded","Committed Pre-Construction",IF(G264="Tender","Advanced Pre-Construction",IF(G264="Commencement Expected","Likely",IF(G264="Permission Granted","Potential",IF(G264="Stalled or Suspended","Constrained / uncertain",IF(G264="Complete","Delivered","Application Pipeline"))))))))))))))</f>
        <v>Advanced Pre-Construction</v>
      </c>
      <c r="AH264" s="2" t="str">
        <f aca="false">IF(Z264="No","Relationship: "&amp;Y264,IF(AF264&lt;&gt;"","Analyst: "&amp;AF264,IF(G264="Complete","Complete",IF(AND(OR(G264="Permission Granted",G264="Commencement Expected"),AE264="Yes"),"Past expiry",IF(AND(OR(G264="Permission Granted",G264="Commencement Expected"),AC264="Yes"),"No CIS update in "&amp;AB264&amp;" months","As CIS")))))</f>
        <v>As CIS</v>
      </c>
      <c r="AI264" s="10" t="n">
        <f aca="false">IF(Z264="Yes",N(Q264),0)</f>
        <v>5</v>
      </c>
      <c r="AJ264" s="10" t="n">
        <f aca="false">IF(OR(Z264="No",G264="Complete"),0,MAX(N(Q264)-N(AA264),0))</f>
        <v>5</v>
      </c>
      <c r="AK264" s="10" t="n">
        <f aca="false">IF(Z264="No",0,IF(G264="Complete",N(Q264),MIN(N(AA264),N(Q264))))</f>
        <v>0</v>
      </c>
      <c r="AL264" s="10" t="n">
        <f aca="false">IF(OR(OR(AG264="Not counted",AG264="Excluded",AG264="Delivered"),P264="Student accommodation"),0,AJ264)</f>
        <v>5</v>
      </c>
      <c r="AM264" s="10" t="n">
        <f aca="false">IF(OR(OR(AG264="Not counted",AG264="Excluded",AG264="Delivered"),P264&lt;&gt;"Student accommodation"),0,AJ264)</f>
        <v>0</v>
      </c>
      <c r="AN264" s="10" t="n">
        <f aca="false">IF(OR(AG264="Not counted",AG264="Excluded",AG264="Delivered"),0,N(S264))</f>
        <v>0</v>
      </c>
      <c r="AO264" s="2" t="s">
        <v>1043</v>
      </c>
      <c r="AP264" s="10"/>
      <c r="AQ264" s="10"/>
      <c r="AR264" s="10"/>
      <c r="AS264" s="10"/>
      <c r="AT264" s="10"/>
      <c r="AU264" s="10"/>
      <c r="AV264" s="10" t="n">
        <f aca="false">N(AP264)+N(AQ264)+N(AR264)+N(AS264)+N(AT264)+N(AU264)</f>
        <v>0</v>
      </c>
      <c r="AW264" s="10"/>
      <c r="AX264" s="10"/>
      <c r="AY264" s="10"/>
      <c r="AZ264" s="2"/>
      <c r="BA264" s="2" t="s">
        <v>1095</v>
      </c>
      <c r="BB264" s="2"/>
      <c r="BC264" s="2"/>
      <c r="BD264" s="2"/>
      <c r="BE264" s="2"/>
      <c r="BF264" s="2" t="s">
        <v>1095</v>
      </c>
      <c r="BG264" s="22"/>
      <c r="BH264" s="22"/>
      <c r="BI264" s="2"/>
      <c r="BJ264" s="22"/>
      <c r="BK264" s="2"/>
      <c r="BL264" s="2"/>
      <c r="BM264" s="2"/>
      <c r="BN264" s="2"/>
      <c r="BO264" s="2"/>
      <c r="BP264" s="2" t="str">
        <f aca="false">IF(OR(K264="",BG264=""),"",ROUND(BG264-K264,0))</f>
        <v/>
      </c>
      <c r="BQ264" s="2" t="str">
        <f aca="false">IF(OR(N(BK264)=0,Q264=""),"Not recorded",IF(BK264=Q264,"Match","Differs"))</f>
        <v>Not recorded</v>
      </c>
      <c r="BR264" s="2" t="str">
        <f aca="false">IF(N264="No","Excluded (non-residential)",IF(BF264="No reference","Unverified – no reference",IF(BF264="Not in council register","Unverified – not in register (Part 8 / other)",IF(OR(BF264="Refused",BF264="Refused on appeal",BF264="Withdrawn",BF264="Invalid",BF264="Quashed"),IF(OR(G264="Complete",G264="On Site",G264="Part Complete"),"Conflict – register not live but CIS says built","Conflict – not live in register"),IF(AND(G264="Plans Submitted",OR(BF264="Granted",BF264="Granted on appeal")),"Stage out of date – now granted",IF(AND(G264&lt;&gt;"Plans Submitted",OR(BF264="Pending",BF264="Under appeal")),"Check – register still pending",IF(N(BL264)&gt;Method!$B$7,"Check – location differs",IF(AND(BP264&lt;&gt;"",ABS(N(BP264))&gt;60),"Consistent – decision date differs","Consistent"))))))))</f>
        <v>Unverified – not in register (Part 8 / other)</v>
      </c>
      <c r="BS264" s="2" t="n">
        <v>1846</v>
      </c>
      <c r="BT264" s="2" t="s">
        <v>1049</v>
      </c>
      <c r="BU264" s="2"/>
      <c r="BV264" s="2" t="s">
        <v>2004</v>
      </c>
      <c r="BW264" s="2" t="s">
        <v>2005</v>
      </c>
      <c r="BX264" s="2" t="s">
        <v>1052</v>
      </c>
    </row>
    <row r="265" customFormat="false" ht="15" hidden="false" customHeight="false" outlineLevel="0" collapsed="false">
      <c r="A265" s="2" t="n">
        <v>1412942</v>
      </c>
      <c r="B265" s="2" t="s">
        <v>778</v>
      </c>
      <c r="C265" s="2" t="s">
        <v>2006</v>
      </c>
      <c r="D265" s="2" t="s">
        <v>779</v>
      </c>
      <c r="E265" s="2" t="s">
        <v>780</v>
      </c>
      <c r="F265" s="2" t="s">
        <v>139</v>
      </c>
      <c r="G265" s="2" t="s">
        <v>700</v>
      </c>
      <c r="H265" s="2" t="s">
        <v>700</v>
      </c>
      <c r="I265" s="2"/>
      <c r="J265" s="22" t="n">
        <v>45894</v>
      </c>
      <c r="K265" s="22"/>
      <c r="L265" s="22" t="n">
        <v>45903.480375</v>
      </c>
      <c r="M265" s="2" t="s">
        <v>1893</v>
      </c>
      <c r="N265" s="2" t="s">
        <v>121</v>
      </c>
      <c r="O265" s="2"/>
      <c r="P265" s="2" t="s">
        <v>1017</v>
      </c>
      <c r="Q265" s="10" t="n">
        <v>22</v>
      </c>
      <c r="R265" s="10"/>
      <c r="S265" s="10"/>
      <c r="T265" s="2" t="s">
        <v>120</v>
      </c>
      <c r="U265" s="2"/>
      <c r="V265" s="2" t="s">
        <v>1029</v>
      </c>
      <c r="W265" s="2" t="s">
        <v>1030</v>
      </c>
      <c r="X265" s="7"/>
      <c r="Y265" s="2" t="str">
        <f aca="false">IF(X265&lt;&gt;"",X265,T265)</f>
        <v>Primary</v>
      </c>
      <c r="Z265" s="2" t="str">
        <f aca="false">IF(OR(Y265="Primary",Y265="Additional phase",Y265="Additional application on site",Y265="Replaces earlier",Y265="Extension of duration (parent not in CIS)"),"Yes","No")</f>
        <v>Yes</v>
      </c>
      <c r="AA265" s="2"/>
      <c r="AB265" s="2" t="n">
        <f aca="false">IF(L265="","",ROUND((Method!$B$4-L265)/30.44,0))</f>
        <v>13</v>
      </c>
      <c r="AC265" s="2" t="str">
        <f aca="false">IF(AB265="","No",IF(AB265&gt;Method!$B$5,"Yes","No"))</f>
        <v>No</v>
      </c>
      <c r="AD265" s="22" t="str">
        <f aca="false">IF(BJ265&lt;&gt;"",BJ265,IF(K265&lt;&gt;"",EDATE(K265,60),""))</f>
        <v/>
      </c>
      <c r="AE265" s="2" t="str">
        <f aca="false">IF(AND(AD265&lt;&gt;"",OR(G265="Permission Granted",G265="Commencement Expected",G265="Stalled or Suspended")),IF(AD265&lt;Method!$B$4,"Yes","No"),"No")</f>
        <v>No</v>
      </c>
      <c r="AF265" s="7"/>
      <c r="AG265" s="2" t="str">
        <f aca="false">IF(Z265="No","Not counted",IF(AF265="Lapsed or dead","Excluded",IF(AF265="Constrained","Constrained / uncertain",IF(AF265="Confirmed live",IF(G265="On Site","Committed",IF(G265="Part Complete","Committed",IF(G265="Contract Awarded","Committed Pre-Construction",IF(G265="Tender","Advanced Pre-Construction",IF(G265="Commencement Expected","Likely",IF(G265="Permission Granted","Potential",IF(G265="Stalled or Suspended","Constrained / uncertain",IF(G265="Complete","Delivered","Application Pipeline")))))))),IF(G265="Complete","Delivered",IF(AND(OR(G265="Permission Granted",G265="Commencement Expected"),OR(AC265="Yes",AE265="Yes")),"Constrained / uncertain",IF(G265="On Site","Committed",IF(G265="Part Complete","Committed",IF(G265="Contract Awarded","Committed Pre-Construction",IF(G265="Tender","Advanced Pre-Construction",IF(G265="Commencement Expected","Likely",IF(G265="Permission Granted","Potential",IF(G265="Stalled or Suspended","Constrained / uncertain",IF(G265="Complete","Delivered","Application Pipeline"))))))))))))))</f>
        <v>Application Pipeline</v>
      </c>
      <c r="AH265" s="2" t="str">
        <f aca="false">IF(Z265="No","Relationship: "&amp;Y265,IF(AF265&lt;&gt;"","Analyst: "&amp;AF265,IF(G265="Complete","Complete",IF(AND(OR(G265="Permission Granted",G265="Commencement Expected"),AE265="Yes"),"Past expiry",IF(AND(OR(G265="Permission Granted",G265="Commencement Expected"),AC265="Yes"),"No CIS update in "&amp;AB265&amp;" months","As CIS")))))</f>
        <v>As CIS</v>
      </c>
      <c r="AI265" s="10" t="n">
        <f aca="false">IF(Z265="Yes",N(Q265),0)</f>
        <v>22</v>
      </c>
      <c r="AJ265" s="10" t="n">
        <f aca="false">IF(OR(Z265="No",G265="Complete"),0,MAX(N(Q265)-N(AA265),0))</f>
        <v>22</v>
      </c>
      <c r="AK265" s="10" t="n">
        <f aca="false">IF(Z265="No",0,IF(G265="Complete",N(Q265),MIN(N(AA265),N(Q265))))</f>
        <v>0</v>
      </c>
      <c r="AL265" s="10" t="n">
        <f aca="false">IF(OR(OR(AG265="Not counted",AG265="Excluded",AG265="Delivered"),P265="Student accommodation"),0,AJ265)</f>
        <v>22</v>
      </c>
      <c r="AM265" s="10" t="n">
        <f aca="false">IF(OR(OR(AG265="Not counted",AG265="Excluded",AG265="Delivered"),P265&lt;&gt;"Student accommodation"),0,AJ265)</f>
        <v>0</v>
      </c>
      <c r="AN265" s="10" t="n">
        <f aca="false">IF(OR(AG265="Not counted",AG265="Excluded",AG265="Delivered"),0,N(S265))</f>
        <v>0</v>
      </c>
      <c r="AO265" s="2" t="s">
        <v>1043</v>
      </c>
      <c r="AP265" s="10"/>
      <c r="AQ265" s="10"/>
      <c r="AR265" s="10"/>
      <c r="AS265" s="10"/>
      <c r="AT265" s="10"/>
      <c r="AU265" s="10"/>
      <c r="AV265" s="10" t="n">
        <f aca="false">N(AP265)+N(AQ265)+N(AR265)+N(AS265)+N(AT265)+N(AU265)</f>
        <v>0</v>
      </c>
      <c r="AW265" s="10"/>
      <c r="AX265" s="10"/>
      <c r="AY265" s="10"/>
      <c r="AZ265" s="2"/>
      <c r="BA265" s="2" t="s">
        <v>1095</v>
      </c>
      <c r="BB265" s="2"/>
      <c r="BC265" s="2"/>
      <c r="BD265" s="2"/>
      <c r="BE265" s="2"/>
      <c r="BF265" s="2" t="s">
        <v>1095</v>
      </c>
      <c r="BG265" s="22"/>
      <c r="BH265" s="22"/>
      <c r="BI265" s="2"/>
      <c r="BJ265" s="22"/>
      <c r="BK265" s="2"/>
      <c r="BL265" s="2"/>
      <c r="BM265" s="2"/>
      <c r="BN265" s="2"/>
      <c r="BO265" s="2"/>
      <c r="BP265" s="2" t="str">
        <f aca="false">IF(OR(K265="",BG265=""),"",ROUND(BG265-K265,0))</f>
        <v/>
      </c>
      <c r="BQ265" s="2" t="str">
        <f aca="false">IF(OR(N(BK265)=0,Q265=""),"Not recorded",IF(BK265=Q265,"Match","Differs"))</f>
        <v>Not recorded</v>
      </c>
      <c r="BR265" s="2" t="str">
        <f aca="false">IF(N265="No","Excluded (non-residential)",IF(BF265="No reference","Unverified – no reference",IF(BF265="Not in council register","Unverified – not in register (Part 8 / other)",IF(OR(BF265="Refused",BF265="Refused on appeal",BF265="Withdrawn",BF265="Invalid",BF265="Quashed"),IF(OR(G265="Complete",G265="On Site",G265="Part Complete"),"Conflict – register not live but CIS says built","Conflict – not live in register"),IF(AND(G265="Plans Submitted",OR(BF265="Granted",BF265="Granted on appeal")),"Stage out of date – now granted",IF(AND(G265&lt;&gt;"Plans Submitted",OR(BF265="Pending",BF265="Under appeal")),"Check – register still pending",IF(N(BL265)&gt;Method!$B$7,"Check – location differs",IF(AND(BP265&lt;&gt;"",ABS(N(BP265))&gt;60),"Consistent – decision date differs","Consistent"))))))))</f>
        <v>Unverified – not in register (Part 8 / other)</v>
      </c>
      <c r="BS265" s="2" t="n">
        <v>1844</v>
      </c>
      <c r="BT265" s="2" t="s">
        <v>1049</v>
      </c>
      <c r="BU265" s="2"/>
      <c r="BV265" s="2" t="s">
        <v>2004</v>
      </c>
      <c r="BW265" s="2" t="s">
        <v>2007</v>
      </c>
      <c r="BX265" s="2" t="s">
        <v>1052</v>
      </c>
    </row>
    <row r="266" customFormat="false" ht="15" hidden="false" customHeight="false" outlineLevel="0" collapsed="false">
      <c r="A266" s="2" t="n">
        <v>1414882</v>
      </c>
      <c r="B266" s="2" t="s">
        <v>781</v>
      </c>
      <c r="C266" s="2" t="s">
        <v>2008</v>
      </c>
      <c r="D266" s="2" t="s">
        <v>782</v>
      </c>
      <c r="E266" s="2" t="s">
        <v>783</v>
      </c>
      <c r="F266" s="2" t="s">
        <v>131</v>
      </c>
      <c r="G266" s="2" t="s">
        <v>651</v>
      </c>
      <c r="H266" s="2" t="s">
        <v>700</v>
      </c>
      <c r="I266" s="2" t="s">
        <v>651</v>
      </c>
      <c r="J266" s="22" t="n">
        <v>45936</v>
      </c>
      <c r="K266" s="22"/>
      <c r="L266" s="22" t="n">
        <v>46181.3513474884</v>
      </c>
      <c r="M266" s="2" t="s">
        <v>1893</v>
      </c>
      <c r="N266" s="2" t="s">
        <v>121</v>
      </c>
      <c r="O266" s="2"/>
      <c r="P266" s="2" t="s">
        <v>1017</v>
      </c>
      <c r="Q266" s="10" t="n">
        <v>12</v>
      </c>
      <c r="R266" s="10" t="n">
        <v>12</v>
      </c>
      <c r="S266" s="10"/>
      <c r="T266" s="2" t="s">
        <v>120</v>
      </c>
      <c r="U266" s="2"/>
      <c r="V266" s="2" t="s">
        <v>1029</v>
      </c>
      <c r="W266" s="2" t="s">
        <v>1030</v>
      </c>
      <c r="X266" s="7"/>
      <c r="Y266" s="2" t="str">
        <f aca="false">IF(X266&lt;&gt;"",X266,T266)</f>
        <v>Primary</v>
      </c>
      <c r="Z266" s="2" t="str">
        <f aca="false">IF(OR(Y266="Primary",Y266="Additional phase",Y266="Additional application on site",Y266="Replaces earlier",Y266="Extension of duration (parent not in CIS)"),"Yes","No")</f>
        <v>Yes</v>
      </c>
      <c r="AA266" s="2"/>
      <c r="AB266" s="2" t="n">
        <f aca="false">IF(L266="","",ROUND((Method!$B$4-L266)/30.44,0))</f>
        <v>4</v>
      </c>
      <c r="AC266" s="2" t="str">
        <f aca="false">IF(AB266="","No",IF(AB266&gt;Method!$B$5,"Yes","No"))</f>
        <v>No</v>
      </c>
      <c r="AD266" s="22" t="str">
        <f aca="false">IF(BJ266&lt;&gt;"",BJ266,IF(K266&lt;&gt;"",EDATE(K266,60),""))</f>
        <v/>
      </c>
      <c r="AE266" s="2" t="str">
        <f aca="false">IF(AND(AD266&lt;&gt;"",OR(G266="Permission Granted",G266="Commencement Expected",G266="Stalled or Suspended")),IF(AD266&lt;Method!$B$4,"Yes","No"),"No")</f>
        <v>No</v>
      </c>
      <c r="AF266" s="7"/>
      <c r="AG266" s="2" t="str">
        <f aca="false">IF(Z266="No","Not counted",IF(AF266="Lapsed or dead","Excluded",IF(AF266="Constrained","Constrained / uncertain",IF(AF266="Confirmed live",IF(G266="On Site","Committed",IF(G266="Part Complete","Committed",IF(G266="Contract Awarded","Committed Pre-Construction",IF(G266="Tender","Advanced Pre-Construction",IF(G266="Commencement Expected","Likely",IF(G266="Permission Granted","Potential",IF(G266="Stalled or Suspended","Constrained / uncertain",IF(G266="Complete","Delivered","Application Pipeline")))))))),IF(G266="Complete","Delivered",IF(AND(OR(G266="Permission Granted",G266="Commencement Expected"),OR(AC266="Yes",AE266="Yes")),"Constrained / uncertain",IF(G266="On Site","Committed",IF(G266="Part Complete","Committed",IF(G266="Contract Awarded","Committed Pre-Construction",IF(G266="Tender","Advanced Pre-Construction",IF(G266="Commencement Expected","Likely",IF(G266="Permission Granted","Potential",IF(G266="Stalled or Suspended","Constrained / uncertain",IF(G266="Complete","Delivered","Application Pipeline"))))))))))))))</f>
        <v>Advanced Pre-Construction</v>
      </c>
      <c r="AH266" s="2" t="str">
        <f aca="false">IF(Z266="No","Relationship: "&amp;Y266,IF(AF266&lt;&gt;"","Analyst: "&amp;AF266,IF(G266="Complete","Complete",IF(AND(OR(G266="Permission Granted",G266="Commencement Expected"),AE266="Yes"),"Past expiry",IF(AND(OR(G266="Permission Granted",G266="Commencement Expected"),AC266="Yes"),"No CIS update in "&amp;AB266&amp;" months","As CIS")))))</f>
        <v>As CIS</v>
      </c>
      <c r="AI266" s="10" t="n">
        <f aca="false">IF(Z266="Yes",N(Q266),0)</f>
        <v>12</v>
      </c>
      <c r="AJ266" s="10" t="n">
        <f aca="false">IF(OR(Z266="No",G266="Complete"),0,MAX(N(Q266)-N(AA266),0))</f>
        <v>12</v>
      </c>
      <c r="AK266" s="10" t="n">
        <f aca="false">IF(Z266="No",0,IF(G266="Complete",N(Q266),MIN(N(AA266),N(Q266))))</f>
        <v>0</v>
      </c>
      <c r="AL266" s="10" t="n">
        <f aca="false">IF(OR(OR(AG266="Not counted",AG266="Excluded",AG266="Delivered"),P266="Student accommodation"),0,AJ266)</f>
        <v>12</v>
      </c>
      <c r="AM266" s="10" t="n">
        <f aca="false">IF(OR(OR(AG266="Not counted",AG266="Excluded",AG266="Delivered"),P266&lt;&gt;"Student accommodation"),0,AJ266)</f>
        <v>0</v>
      </c>
      <c r="AN266" s="10" t="n">
        <f aca="false">IF(OR(AG266="Not counted",AG266="Excluded",AG266="Delivered"),0,N(S266))</f>
        <v>0</v>
      </c>
      <c r="AO266" s="2" t="s">
        <v>1031</v>
      </c>
      <c r="AP266" s="10"/>
      <c r="AQ266" s="10"/>
      <c r="AR266" s="10" t="n">
        <v>1</v>
      </c>
      <c r="AS266" s="10" t="n">
        <v>11</v>
      </c>
      <c r="AT266" s="10"/>
      <c r="AU266" s="10"/>
      <c r="AV266" s="10" t="n">
        <f aca="false">N(AP266)+N(AQ266)+N(AR266)+N(AS266)+N(AT266)+N(AU266)</f>
        <v>12</v>
      </c>
      <c r="AW266" s="10" t="n">
        <v>10</v>
      </c>
      <c r="AX266" s="10"/>
      <c r="AY266" s="10" t="n">
        <v>2</v>
      </c>
      <c r="AZ266" s="2"/>
      <c r="BA266" s="2" t="s">
        <v>1022</v>
      </c>
      <c r="BB266" s="2" t="s">
        <v>2008</v>
      </c>
      <c r="BC266" s="2" t="s">
        <v>1032</v>
      </c>
      <c r="BD266" s="2" t="s">
        <v>1033</v>
      </c>
      <c r="BE266" s="2"/>
      <c r="BF266" s="2" t="s">
        <v>1034</v>
      </c>
      <c r="BG266" s="22"/>
      <c r="BH266" s="22"/>
      <c r="BI266" s="2"/>
      <c r="BJ266" s="22"/>
      <c r="BK266" s="2"/>
      <c r="BL266" s="2" t="n">
        <v>0</v>
      </c>
      <c r="BM266" s="2"/>
      <c r="BN266" s="2" t="s">
        <v>2009</v>
      </c>
      <c r="BO266" s="23" t="s">
        <v>2010</v>
      </c>
      <c r="BP266" s="2" t="str">
        <f aca="false">IF(OR(K266="",BG266=""),"",ROUND(BG266-K266,0))</f>
        <v/>
      </c>
      <c r="BQ266" s="2" t="str">
        <f aca="false">IF(OR(N(BK266)=0,Q266=""),"Not recorded",IF(BK266=Q266,"Match","Differs"))</f>
        <v>Not recorded</v>
      </c>
      <c r="BR266" s="2" t="str">
        <f aca="false">IF(N266="No","Excluded (non-residential)",IF(BF266="No reference","Unverified – no reference",IF(BF266="Not in council register","Unverified – not in register (Part 8 / other)",IF(OR(BF266="Refused",BF266="Refused on appeal",BF266="Withdrawn",BF266="Invalid",BF266="Quashed"),IF(OR(G266="Complete",G266="On Site",G266="Part Complete"),"Conflict – register not live but CIS says built","Conflict – not live in register"),IF(AND(G266="Plans Submitted",OR(BF266="Granted",BF266="Granted on appeal")),"Stage out of date – now granted",IF(AND(G266&lt;&gt;"Plans Submitted",OR(BF266="Pending",BF266="Under appeal")),"Check – register still pending",IF(N(BL266)&gt;Method!$B$7,"Check – location differs",IF(AND(BP266&lt;&gt;"",ABS(N(BP266))&gt;60),"Consistent – decision date differs","Consistent"))))))))</f>
        <v>Check – register still pending</v>
      </c>
      <c r="BS266" s="2" t="n">
        <v>1694</v>
      </c>
      <c r="BT266" s="2" t="s">
        <v>1835</v>
      </c>
      <c r="BU266" s="2" t="s">
        <v>1836</v>
      </c>
      <c r="BV266" s="2" t="s">
        <v>1178</v>
      </c>
      <c r="BW266" s="2" t="s">
        <v>2005</v>
      </c>
      <c r="BX266" s="2" t="s">
        <v>1093</v>
      </c>
    </row>
    <row r="267" customFormat="false" ht="15" hidden="false" customHeight="false" outlineLevel="0" collapsed="false">
      <c r="A267" s="2" t="n">
        <v>1416952</v>
      </c>
      <c r="B267" s="2" t="s">
        <v>784</v>
      </c>
      <c r="C267" s="2" t="s">
        <v>2011</v>
      </c>
      <c r="D267" s="2" t="s">
        <v>785</v>
      </c>
      <c r="E267" s="2" t="s">
        <v>786</v>
      </c>
      <c r="F267" s="2" t="s">
        <v>139</v>
      </c>
      <c r="G267" s="2" t="s">
        <v>700</v>
      </c>
      <c r="H267" s="2" t="s">
        <v>700</v>
      </c>
      <c r="I267" s="2"/>
      <c r="J267" s="22" t="n">
        <v>45978</v>
      </c>
      <c r="K267" s="22"/>
      <c r="L267" s="22" t="n">
        <v>45982.4239971875</v>
      </c>
      <c r="M267" s="2" t="s">
        <v>1893</v>
      </c>
      <c r="N267" s="2" t="s">
        <v>121</v>
      </c>
      <c r="O267" s="2"/>
      <c r="P267" s="2" t="s">
        <v>41</v>
      </c>
      <c r="Q267" s="10" t="n">
        <v>10</v>
      </c>
      <c r="R267" s="10"/>
      <c r="S267" s="10"/>
      <c r="T267" s="2" t="s">
        <v>32</v>
      </c>
      <c r="U267" s="2"/>
      <c r="V267" s="2" t="s">
        <v>1447</v>
      </c>
      <c r="W267" s="2" t="s">
        <v>1030</v>
      </c>
      <c r="X267" s="7"/>
      <c r="Y267" s="2" t="str">
        <f aca="false">IF(X267&lt;&gt;"",X267,T267)</f>
        <v>Not live</v>
      </c>
      <c r="Z267" s="2" t="str">
        <f aca="false">IF(OR(Y267="Primary",Y267="Additional phase",Y267="Additional application on site",Y267="Replaces earlier",Y267="Extension of duration (parent not in CIS)"),"Yes","No")</f>
        <v>No</v>
      </c>
      <c r="AA267" s="2"/>
      <c r="AB267" s="2" t="n">
        <f aca="false">IF(L267="","",ROUND((Method!$B$4-L267)/30.44,0))</f>
        <v>10</v>
      </c>
      <c r="AC267" s="2" t="str">
        <f aca="false">IF(AB267="","No",IF(AB267&gt;Method!$B$5,"Yes","No"))</f>
        <v>No</v>
      </c>
      <c r="AD267" s="22" t="str">
        <f aca="false">IF(BJ267&lt;&gt;"",BJ267,IF(K267&lt;&gt;"",EDATE(K267,60),""))</f>
        <v/>
      </c>
      <c r="AE267" s="2" t="str">
        <f aca="false">IF(AND(AD267&lt;&gt;"",OR(G267="Permission Granted",G267="Commencement Expected",G267="Stalled or Suspended")),IF(AD267&lt;Method!$B$4,"Yes","No"),"No")</f>
        <v>No</v>
      </c>
      <c r="AF267" s="7"/>
      <c r="AG267" s="2" t="str">
        <f aca="false">IF(Z267="No","Not counted",IF(AF267="Lapsed or dead","Excluded",IF(AF267="Constrained","Constrained / uncertain",IF(AF267="Confirmed live",IF(G267="On Site","Committed",IF(G267="Part Complete","Committed",IF(G267="Contract Awarded","Committed Pre-Construction",IF(G267="Tender","Advanced Pre-Construction",IF(G267="Commencement Expected","Likely",IF(G267="Permission Granted","Potential",IF(G267="Stalled or Suspended","Constrained / uncertain",IF(G267="Complete","Delivered","Application Pipeline")))))))),IF(G267="Complete","Delivered",IF(AND(OR(G267="Permission Granted",G267="Commencement Expected"),OR(AC267="Yes",AE267="Yes")),"Constrained / uncertain",IF(G267="On Site","Committed",IF(G267="Part Complete","Committed",IF(G267="Contract Awarded","Committed Pre-Construction",IF(G267="Tender","Advanced Pre-Construction",IF(G267="Commencement Expected","Likely",IF(G267="Permission Granted","Potential",IF(G267="Stalled or Suspended","Constrained / uncertain",IF(G267="Complete","Delivered","Application Pipeline"))))))))))))))</f>
        <v>Not counted</v>
      </c>
      <c r="AH267" s="2" t="str">
        <f aca="false">IF(Z267="No","Relationship: "&amp;Y267,IF(AF267&lt;&gt;"","Analyst: "&amp;AF267,IF(G267="Complete","Complete",IF(AND(OR(G267="Permission Granted",G267="Commencement Expected"),AE267="Yes"),"Past expiry",IF(AND(OR(G267="Permission Granted",G267="Commencement Expected"),AC267="Yes"),"No CIS update in "&amp;AB267&amp;" months","As CIS")))))</f>
        <v>Relationship: Not live</v>
      </c>
      <c r="AI267" s="10" t="n">
        <f aca="false">IF(Z267="Yes",N(Q267),0)</f>
        <v>0</v>
      </c>
      <c r="AJ267" s="10" t="n">
        <f aca="false">IF(OR(Z267="No",G267="Complete"),0,MAX(N(Q267)-N(AA267),0))</f>
        <v>0</v>
      </c>
      <c r="AK267" s="10" t="n">
        <f aca="false">IF(Z267="No",0,IF(G267="Complete",N(Q267),MIN(N(AA267),N(Q267))))</f>
        <v>0</v>
      </c>
      <c r="AL267" s="10" t="n">
        <f aca="false">IF(OR(OR(AG267="Not counted",AG267="Excluded",AG267="Delivered"),P267="Student accommodation"),0,AJ267)</f>
        <v>0</v>
      </c>
      <c r="AM267" s="10" t="n">
        <f aca="false">IF(OR(OR(AG267="Not counted",AG267="Excluded",AG267="Delivered"),P267&lt;&gt;"Student accommodation"),0,AJ267)</f>
        <v>0</v>
      </c>
      <c r="AN267" s="10" t="n">
        <f aca="false">IF(OR(AG267="Not counted",AG267="Excluded",AG267="Delivered"),0,N(S267))</f>
        <v>0</v>
      </c>
      <c r="AO267" s="2" t="s">
        <v>1031</v>
      </c>
      <c r="AP267" s="10" t="n">
        <v>6</v>
      </c>
      <c r="AQ267" s="10" t="n">
        <v>4</v>
      </c>
      <c r="AR267" s="10"/>
      <c r="AS267" s="10"/>
      <c r="AT267" s="10"/>
      <c r="AU267" s="10"/>
      <c r="AV267" s="10" t="n">
        <f aca="false">N(AP267)+N(AQ267)+N(AR267)+N(AS267)+N(AT267)+N(AU267)</f>
        <v>10</v>
      </c>
      <c r="AW267" s="10"/>
      <c r="AX267" s="10" t="n">
        <v>10</v>
      </c>
      <c r="AY267" s="10"/>
      <c r="AZ267" s="2"/>
      <c r="BA267" s="2" t="s">
        <v>1022</v>
      </c>
      <c r="BB267" s="2" t="s">
        <v>2011</v>
      </c>
      <c r="BC267" s="2" t="s">
        <v>1582</v>
      </c>
      <c r="BD267" s="2" t="s">
        <v>1033</v>
      </c>
      <c r="BE267" s="2"/>
      <c r="BF267" s="2" t="s">
        <v>1449</v>
      </c>
      <c r="BG267" s="22"/>
      <c r="BH267" s="22"/>
      <c r="BI267" s="2"/>
      <c r="BJ267" s="22"/>
      <c r="BK267" s="2"/>
      <c r="BL267" s="2" t="n">
        <v>0</v>
      </c>
      <c r="BM267" s="2"/>
      <c r="BN267" s="24" t="s">
        <v>2012</v>
      </c>
      <c r="BO267" s="23" t="s">
        <v>2013</v>
      </c>
      <c r="BP267" s="2" t="str">
        <f aca="false">IF(OR(K267="",BG267=""),"",ROUND(BG267-K267,0))</f>
        <v/>
      </c>
      <c r="BQ267" s="2" t="str">
        <f aca="false">IF(OR(N(BK267)=0,Q267=""),"Not recorded",IF(BK267=Q267,"Match","Differs"))</f>
        <v>Not recorded</v>
      </c>
      <c r="BR267" s="2" t="str">
        <f aca="false">IF(N267="No","Excluded (non-residential)",IF(BF267="No reference","Unverified – no reference",IF(BF267="Not in council register","Unverified – not in register (Part 8 / other)",IF(OR(BF267="Refused",BF267="Refused on appeal",BF267="Withdrawn",BF267="Invalid",BF267="Quashed"),IF(OR(G267="Complete",G267="On Site",G267="Part Complete"),"Conflict – register not live but CIS says built","Conflict – not live in register"),IF(AND(G267="Plans Submitted",OR(BF267="Granted",BF267="Granted on appeal")),"Stage out of date – now granted",IF(AND(G267&lt;&gt;"Plans Submitted",OR(BF267="Pending",BF267="Under appeal")),"Check – register still pending",IF(N(BL267)&gt;Method!$B$7,"Check – location differs",IF(AND(BP267&lt;&gt;"",ABS(N(BP267))&gt;60),"Consistent – decision date differs","Consistent"))))))))</f>
        <v>Conflict – not live in register</v>
      </c>
      <c r="BS267" s="2"/>
      <c r="BT267" s="2"/>
      <c r="BU267" s="2"/>
      <c r="BV267" s="2"/>
      <c r="BW267" s="2"/>
      <c r="BX267" s="2"/>
    </row>
    <row r="268" customFormat="false" ht="15" hidden="false" customHeight="false" outlineLevel="0" collapsed="false">
      <c r="A268" s="2" t="n">
        <v>1417205</v>
      </c>
      <c r="B268" s="2" t="s">
        <v>848</v>
      </c>
      <c r="C268" s="2"/>
      <c r="D268" s="2" t="s">
        <v>849</v>
      </c>
      <c r="E268" s="2" t="s">
        <v>850</v>
      </c>
      <c r="F268" s="2" t="s">
        <v>139</v>
      </c>
      <c r="G268" s="2" t="s">
        <v>668</v>
      </c>
      <c r="H268" s="2" t="s">
        <v>2014</v>
      </c>
      <c r="I268" s="2" t="s">
        <v>668</v>
      </c>
      <c r="J268" s="22"/>
      <c r="K268" s="22"/>
      <c r="L268" s="22" t="n">
        <v>46213.41174375</v>
      </c>
      <c r="M268" s="2" t="s">
        <v>1893</v>
      </c>
      <c r="N268" s="2" t="s">
        <v>121</v>
      </c>
      <c r="O268" s="2"/>
      <c r="P268" s="2" t="s">
        <v>1017</v>
      </c>
      <c r="Q268" s="10" t="n">
        <v>0</v>
      </c>
      <c r="R268" s="10"/>
      <c r="S268" s="10"/>
      <c r="T268" s="2" t="s">
        <v>120</v>
      </c>
      <c r="U268" s="2"/>
      <c r="V268" s="2" t="s">
        <v>1029</v>
      </c>
      <c r="W268" s="2" t="s">
        <v>1030</v>
      </c>
      <c r="X268" s="7"/>
      <c r="Y268" s="2" t="str">
        <f aca="false">IF(X268&lt;&gt;"",X268,T268)</f>
        <v>Primary</v>
      </c>
      <c r="Z268" s="2" t="str">
        <f aca="false">IF(OR(Y268="Primary",Y268="Additional phase",Y268="Additional application on site",Y268="Replaces earlier",Y268="Extension of duration (parent not in CIS)"),"Yes","No")</f>
        <v>Yes</v>
      </c>
      <c r="AA268" s="2"/>
      <c r="AB268" s="2" t="n">
        <f aca="false">IF(L268="","",ROUND((Method!$B$4-L268)/30.44,0))</f>
        <v>3</v>
      </c>
      <c r="AC268" s="2" t="str">
        <f aca="false">IF(AB268="","No",IF(AB268&gt;Method!$B$5,"Yes","No"))</f>
        <v>No</v>
      </c>
      <c r="AD268" s="22" t="str">
        <f aca="false">IF(BJ268&lt;&gt;"",BJ268,IF(K268&lt;&gt;"",EDATE(K268,60),""))</f>
        <v/>
      </c>
      <c r="AE268" s="2" t="str">
        <f aca="false">IF(AND(AD268&lt;&gt;"",OR(G268="Permission Granted",G268="Commencement Expected",G268="Stalled or Suspended")),IF(AD268&lt;Method!$B$4,"Yes","No"),"No")</f>
        <v>No</v>
      </c>
      <c r="AF268" s="7"/>
      <c r="AG268" s="2" t="str">
        <f aca="false">IF(Z268="No","Not counted",IF(AF268="Lapsed or dead","Excluded",IF(AF268="Constrained","Constrained / uncertain",IF(AF268="Confirmed live",IF(G268="On Site","Committed",IF(G268="Part Complete","Committed",IF(G268="Contract Awarded","Committed Pre-Construction",IF(G268="Tender","Advanced Pre-Construction",IF(G268="Commencement Expected","Likely",IF(G268="Permission Granted","Potential",IF(G268="Stalled or Suspended","Constrained / uncertain",IF(G268="Complete","Delivered","Application Pipeline")))))))),IF(G268="Complete","Delivered",IF(AND(OR(G268="Permission Granted",G268="Commencement Expected"),OR(AC268="Yes",AE268="Yes")),"Constrained / uncertain",IF(G268="On Site","Committed",IF(G268="Part Complete","Committed",IF(G268="Contract Awarded","Committed Pre-Construction",IF(G268="Tender","Advanced Pre-Construction",IF(G268="Commencement Expected","Likely",IF(G268="Permission Granted","Potential",IF(G268="Stalled or Suspended","Constrained / uncertain",IF(G268="Complete","Delivered","Application Pipeline"))))))))))))))</f>
        <v>Committed Pre-Construction</v>
      </c>
      <c r="AH268" s="2" t="str">
        <f aca="false">IF(Z268="No","Relationship: "&amp;Y268,IF(AF268&lt;&gt;"","Analyst: "&amp;AF268,IF(G268="Complete","Complete",IF(AND(OR(G268="Permission Granted",G268="Commencement Expected"),AE268="Yes"),"Past expiry",IF(AND(OR(G268="Permission Granted",G268="Commencement Expected"),AC268="Yes"),"No CIS update in "&amp;AB268&amp;" months","As CIS")))))</f>
        <v>As CIS</v>
      </c>
      <c r="AI268" s="10" t="n">
        <f aca="false">IF(Z268="Yes",N(Q268),0)</f>
        <v>0</v>
      </c>
      <c r="AJ268" s="10" t="n">
        <f aca="false">IF(OR(Z268="No",G268="Complete"),0,MAX(N(Q268)-N(AA268),0))</f>
        <v>0</v>
      </c>
      <c r="AK268" s="10" t="n">
        <f aca="false">IF(Z268="No",0,IF(G268="Complete",N(Q268),MIN(N(AA268),N(Q268))))</f>
        <v>0</v>
      </c>
      <c r="AL268" s="10" t="n">
        <f aca="false">IF(OR(OR(AG268="Not counted",AG268="Excluded",AG268="Delivered"),P268="Student accommodation"),0,AJ268)</f>
        <v>0</v>
      </c>
      <c r="AM268" s="10" t="n">
        <f aca="false">IF(OR(OR(AG268="Not counted",AG268="Excluded",AG268="Delivered"),P268&lt;&gt;"Student accommodation"),0,AJ268)</f>
        <v>0</v>
      </c>
      <c r="AN268" s="10" t="n">
        <f aca="false">IF(OR(AG268="Not counted",AG268="Excluded",AG268="Delivered"),0,N(S268))</f>
        <v>0</v>
      </c>
      <c r="AO268" s="2" t="s">
        <v>1043</v>
      </c>
      <c r="AP268" s="10"/>
      <c r="AQ268" s="10"/>
      <c r="AR268" s="10"/>
      <c r="AS268" s="10"/>
      <c r="AT268" s="10"/>
      <c r="AU268" s="10"/>
      <c r="AV268" s="10" t="n">
        <f aca="false">N(AP268)+N(AQ268)+N(AR268)+N(AS268)+N(AT268)+N(AU268)</f>
        <v>0</v>
      </c>
      <c r="AW268" s="10"/>
      <c r="AX268" s="10"/>
      <c r="AY268" s="10"/>
      <c r="AZ268" s="2"/>
      <c r="BA268" s="2" t="s">
        <v>1044</v>
      </c>
      <c r="BB268" s="2"/>
      <c r="BC268" s="2"/>
      <c r="BD268" s="2"/>
      <c r="BE268" s="2"/>
      <c r="BF268" s="2" t="s">
        <v>1044</v>
      </c>
      <c r="BG268" s="22"/>
      <c r="BH268" s="22"/>
      <c r="BI268" s="2"/>
      <c r="BJ268" s="22"/>
      <c r="BK268" s="2"/>
      <c r="BL268" s="2"/>
      <c r="BM268" s="2"/>
      <c r="BN268" s="2"/>
      <c r="BO268" s="2"/>
      <c r="BP268" s="2" t="str">
        <f aca="false">IF(OR(K268="",BG268=""),"",ROUND(BG268-K268,0))</f>
        <v/>
      </c>
      <c r="BQ268" s="2" t="str">
        <f aca="false">IF(OR(N(BK268)=0,Q268=""),"Not recorded",IF(BK268=Q268,"Match","Differs"))</f>
        <v>Not recorded</v>
      </c>
      <c r="BR268" s="2" t="str">
        <f aca="false">IF(N268="No","Excluded (non-residential)",IF(BF268="No reference","Unverified – no reference",IF(BF268="Not in council register","Unverified – not in register (Part 8 / other)",IF(OR(BF268="Refused",BF268="Refused on appeal",BF268="Withdrawn",BF268="Invalid",BF268="Quashed"),IF(OR(G268="Complete",G268="On Site",G268="Part Complete"),"Conflict – register not live but CIS says built","Conflict – not live in register"),IF(AND(G268="Plans Submitted",OR(BF268="Granted",BF268="Granted on appeal")),"Stage out of date – now granted",IF(AND(G268&lt;&gt;"Plans Submitted",OR(BF268="Pending",BF268="Under appeal")),"Check – register still pending",IF(N(BL268)&gt;Method!$B$7,"Check – location differs",IF(AND(BP268&lt;&gt;"",ABS(N(BP268))&gt;60),"Consistent – decision date differs","Consistent"))))))))</f>
        <v>Unverified – no reference</v>
      </c>
      <c r="BS268" s="2"/>
      <c r="BT268" s="2"/>
      <c r="BU268" s="2"/>
      <c r="BV268" s="2"/>
      <c r="BW268" s="2"/>
      <c r="BX268" s="2"/>
    </row>
    <row r="269" customFormat="false" ht="15" hidden="false" customHeight="false" outlineLevel="0" collapsed="false">
      <c r="A269" s="2" t="n">
        <v>1417331</v>
      </c>
      <c r="B269" s="2" t="s">
        <v>787</v>
      </c>
      <c r="C269" s="2" t="s">
        <v>2015</v>
      </c>
      <c r="D269" s="2" t="s">
        <v>788</v>
      </c>
      <c r="E269" s="2" t="s">
        <v>789</v>
      </c>
      <c r="F269" s="2" t="s">
        <v>141</v>
      </c>
      <c r="G269" s="2" t="s">
        <v>668</v>
      </c>
      <c r="H269" s="2" t="s">
        <v>1014</v>
      </c>
      <c r="I269" s="2" t="s">
        <v>668</v>
      </c>
      <c r="J269" s="22" t="n">
        <v>45982</v>
      </c>
      <c r="K269" s="22" t="n">
        <v>46045</v>
      </c>
      <c r="L269" s="22" t="n">
        <v>46274.314983912</v>
      </c>
      <c r="M269" s="2" t="s">
        <v>1893</v>
      </c>
      <c r="N269" s="2" t="s">
        <v>121</v>
      </c>
      <c r="O269" s="2"/>
      <c r="P269" s="2" t="s">
        <v>1017</v>
      </c>
      <c r="Q269" s="10" t="n">
        <v>10</v>
      </c>
      <c r="R269" s="10"/>
      <c r="S269" s="10"/>
      <c r="T269" s="2" t="s">
        <v>120</v>
      </c>
      <c r="U269" s="2"/>
      <c r="V269" s="2" t="s">
        <v>1029</v>
      </c>
      <c r="W269" s="2" t="s">
        <v>1030</v>
      </c>
      <c r="X269" s="7"/>
      <c r="Y269" s="2" t="str">
        <f aca="false">IF(X269&lt;&gt;"",X269,T269)</f>
        <v>Primary</v>
      </c>
      <c r="Z269" s="2" t="str">
        <f aca="false">IF(OR(Y269="Primary",Y269="Additional phase",Y269="Additional application on site",Y269="Replaces earlier",Y269="Extension of duration (parent not in CIS)"),"Yes","No")</f>
        <v>Yes</v>
      </c>
      <c r="AA269" s="2"/>
      <c r="AB269" s="2" t="n">
        <f aca="false">IF(L269="","",ROUND((Method!$B$4-L269)/30.44,0))</f>
        <v>1</v>
      </c>
      <c r="AC269" s="2" t="str">
        <f aca="false">IF(AB269="","No",IF(AB269&gt;Method!$B$5,"Yes","No"))</f>
        <v>No</v>
      </c>
      <c r="AD269" s="22" t="n">
        <f aca="false">IF(BJ269&lt;&gt;"",BJ269,IF(K269&lt;&gt;"",EDATE(K269,60),""))</f>
        <v>47904</v>
      </c>
      <c r="AE269" s="2" t="str">
        <f aca="false">IF(AND(AD269&lt;&gt;"",OR(G269="Permission Granted",G269="Commencement Expected",G269="Stalled or Suspended")),IF(AD269&lt;Method!$B$4,"Yes","No"),"No")</f>
        <v>No</v>
      </c>
      <c r="AF269" s="7"/>
      <c r="AG269" s="2" t="str">
        <f aca="false">IF(Z269="No","Not counted",IF(AF269="Lapsed or dead","Excluded",IF(AF269="Constrained","Constrained / uncertain",IF(AF269="Confirmed live",IF(G269="On Site","Committed",IF(G269="Part Complete","Committed",IF(G269="Contract Awarded","Committed Pre-Construction",IF(G269="Tender","Advanced Pre-Construction",IF(G269="Commencement Expected","Likely",IF(G269="Permission Granted","Potential",IF(G269="Stalled or Suspended","Constrained / uncertain",IF(G269="Complete","Delivered","Application Pipeline")))))))),IF(G269="Complete","Delivered",IF(AND(OR(G269="Permission Granted",G269="Commencement Expected"),OR(AC269="Yes",AE269="Yes")),"Constrained / uncertain",IF(G269="On Site","Committed",IF(G269="Part Complete","Committed",IF(G269="Contract Awarded","Committed Pre-Construction",IF(G269="Tender","Advanced Pre-Construction",IF(G269="Commencement Expected","Likely",IF(G269="Permission Granted","Potential",IF(G269="Stalled or Suspended","Constrained / uncertain",IF(G269="Complete","Delivered","Application Pipeline"))))))))))))))</f>
        <v>Committed Pre-Construction</v>
      </c>
      <c r="AH269" s="2" t="str">
        <f aca="false">IF(Z269="No","Relationship: "&amp;Y269,IF(AF269&lt;&gt;"","Analyst: "&amp;AF269,IF(G269="Complete","Complete",IF(AND(OR(G269="Permission Granted",G269="Commencement Expected"),AE269="Yes"),"Past expiry",IF(AND(OR(G269="Permission Granted",G269="Commencement Expected"),AC269="Yes"),"No CIS update in "&amp;AB269&amp;" months","As CIS")))))</f>
        <v>As CIS</v>
      </c>
      <c r="AI269" s="10" t="n">
        <f aca="false">IF(Z269="Yes",N(Q269),0)</f>
        <v>10</v>
      </c>
      <c r="AJ269" s="10" t="n">
        <f aca="false">IF(OR(Z269="No",G269="Complete"),0,MAX(N(Q269)-N(AA269),0))</f>
        <v>10</v>
      </c>
      <c r="AK269" s="10" t="n">
        <f aca="false">IF(Z269="No",0,IF(G269="Complete",N(Q269),MIN(N(AA269),N(Q269))))</f>
        <v>0</v>
      </c>
      <c r="AL269" s="10" t="n">
        <f aca="false">IF(OR(OR(AG269="Not counted",AG269="Excluded",AG269="Delivered"),P269="Student accommodation"),0,AJ269)</f>
        <v>10</v>
      </c>
      <c r="AM269" s="10" t="n">
        <f aca="false">IF(OR(OR(AG269="Not counted",AG269="Excluded",AG269="Delivered"),P269&lt;&gt;"Student accommodation"),0,AJ269)</f>
        <v>0</v>
      </c>
      <c r="AN269" s="10" t="n">
        <f aca="false">IF(OR(AG269="Not counted",AG269="Excluded",AG269="Delivered"),0,N(S269))</f>
        <v>0</v>
      </c>
      <c r="AO269" s="2" t="s">
        <v>1031</v>
      </c>
      <c r="AP269" s="10"/>
      <c r="AQ269" s="10" t="n">
        <v>3</v>
      </c>
      <c r="AR269" s="10" t="n">
        <v>7</v>
      </c>
      <c r="AS269" s="10"/>
      <c r="AT269" s="10"/>
      <c r="AU269" s="10"/>
      <c r="AV269" s="10" t="n">
        <f aca="false">N(AP269)+N(AQ269)+N(AR269)+N(AS269)+N(AT269)+N(AU269)</f>
        <v>10</v>
      </c>
      <c r="AW269" s="10"/>
      <c r="AX269" s="10" t="n">
        <v>10</v>
      </c>
      <c r="AY269" s="10"/>
      <c r="AZ269" s="2"/>
      <c r="BA269" s="2" t="s">
        <v>1022</v>
      </c>
      <c r="BB269" s="2" t="s">
        <v>2015</v>
      </c>
      <c r="BC269" s="2" t="s">
        <v>1023</v>
      </c>
      <c r="BD269" s="2" t="s">
        <v>1024</v>
      </c>
      <c r="BE269" s="2"/>
      <c r="BF269" s="2" t="s">
        <v>1025</v>
      </c>
      <c r="BG269" s="22" t="n">
        <v>46045</v>
      </c>
      <c r="BH269" s="22" t="n">
        <v>47904</v>
      </c>
      <c r="BI269" s="2"/>
      <c r="BJ269" s="22" t="n">
        <v>47904</v>
      </c>
      <c r="BK269" s="2"/>
      <c r="BL269" s="2" t="n">
        <v>0</v>
      </c>
      <c r="BM269" s="2"/>
      <c r="BN269" s="2" t="s">
        <v>2016</v>
      </c>
      <c r="BO269" s="23" t="s">
        <v>2017</v>
      </c>
      <c r="BP269" s="2" t="n">
        <f aca="false">IF(OR(K269="",BG269=""),"",ROUND(BG269-K269,0))</f>
        <v>0</v>
      </c>
      <c r="BQ269" s="2" t="str">
        <f aca="false">IF(OR(N(BK269)=0,Q269=""),"Not recorded",IF(BK269=Q269,"Match","Differs"))</f>
        <v>Not recorded</v>
      </c>
      <c r="BR269" s="2" t="str">
        <f aca="false">IF(N269="No","Excluded (non-residential)",IF(BF269="No reference","Unverified – no reference",IF(BF269="Not in council register","Unverified – not in register (Part 8 / other)",IF(OR(BF269="Refused",BF269="Refused on appeal",BF269="Withdrawn",BF269="Invalid",BF269="Quashed"),IF(OR(G269="Complete",G269="On Site",G269="Part Complete"),"Conflict – register not live but CIS says built","Conflict – not live in register"),IF(AND(G269="Plans Submitted",OR(BF269="Granted",BF269="Granted on appeal")),"Stage out of date – now granted",IF(AND(G269&lt;&gt;"Plans Submitted",OR(BF269="Pending",BF269="Under appeal")),"Check – register still pending",IF(N(BL269)&gt;Method!$B$7,"Check – location differs",IF(AND(BP269&lt;&gt;"",ABS(N(BP269))&gt;60),"Consistent – decision date differs","Consistent"))))))))</f>
        <v>Consistent</v>
      </c>
      <c r="BS269" s="2"/>
      <c r="BT269" s="2"/>
      <c r="BU269" s="2"/>
      <c r="BV269" s="2"/>
      <c r="BW269" s="2"/>
      <c r="BX269" s="2"/>
    </row>
    <row r="270" customFormat="false" ht="15" hidden="false" customHeight="false" outlineLevel="0" collapsed="false">
      <c r="A270" s="2" t="n">
        <v>1419385</v>
      </c>
      <c r="B270" s="2" t="s">
        <v>790</v>
      </c>
      <c r="C270" s="2" t="s">
        <v>2018</v>
      </c>
      <c r="D270" s="2" t="s">
        <v>791</v>
      </c>
      <c r="E270" s="2" t="s">
        <v>792</v>
      </c>
      <c r="F270" s="2" t="s">
        <v>139</v>
      </c>
      <c r="G270" s="2" t="s">
        <v>700</v>
      </c>
      <c r="H270" s="2" t="s">
        <v>700</v>
      </c>
      <c r="I270" s="2"/>
      <c r="J270" s="22" t="n">
        <v>46004</v>
      </c>
      <c r="K270" s="22"/>
      <c r="L270" s="22" t="n">
        <v>46010.4126149653</v>
      </c>
      <c r="M270" s="2" t="s">
        <v>1893</v>
      </c>
      <c r="N270" s="2" t="s">
        <v>121</v>
      </c>
      <c r="O270" s="2"/>
      <c r="P270" s="2" t="s">
        <v>1017</v>
      </c>
      <c r="Q270" s="10" t="n">
        <v>30</v>
      </c>
      <c r="R270" s="10"/>
      <c r="S270" s="10"/>
      <c r="T270" s="2" t="s">
        <v>125</v>
      </c>
      <c r="U270" s="2" t="s">
        <v>2019</v>
      </c>
      <c r="V270" s="2" t="s">
        <v>2020</v>
      </c>
      <c r="W270" s="2" t="s">
        <v>1030</v>
      </c>
      <c r="X270" s="7"/>
      <c r="Y270" s="2" t="str">
        <f aca="false">IF(X270&lt;&gt;"",X270,T270)</f>
        <v>Duplicate</v>
      </c>
      <c r="Z270" s="2" t="str">
        <f aca="false">IF(OR(Y270="Primary",Y270="Additional phase",Y270="Additional application on site",Y270="Replaces earlier",Y270="Extension of duration (parent not in CIS)"),"Yes","No")</f>
        <v>No</v>
      </c>
      <c r="AA270" s="2"/>
      <c r="AB270" s="2" t="n">
        <f aca="false">IF(L270="","",ROUND((Method!$B$4-L270)/30.44,0))</f>
        <v>9</v>
      </c>
      <c r="AC270" s="2" t="str">
        <f aca="false">IF(AB270="","No",IF(AB270&gt;Method!$B$5,"Yes","No"))</f>
        <v>No</v>
      </c>
      <c r="AD270" s="22" t="str">
        <f aca="false">IF(BJ270&lt;&gt;"",BJ270,IF(K270&lt;&gt;"",EDATE(K270,60),""))</f>
        <v/>
      </c>
      <c r="AE270" s="2" t="str">
        <f aca="false">IF(AND(AD270&lt;&gt;"",OR(G270="Permission Granted",G270="Commencement Expected",G270="Stalled or Suspended")),IF(AD270&lt;Method!$B$4,"Yes","No"),"No")</f>
        <v>No</v>
      </c>
      <c r="AF270" s="7"/>
      <c r="AG270" s="2" t="str">
        <f aca="false">IF(Z270="No","Not counted",IF(AF270="Lapsed or dead","Excluded",IF(AF270="Constrained","Constrained / uncertain",IF(AF270="Confirmed live",IF(G270="On Site","Committed",IF(G270="Part Complete","Committed",IF(G270="Contract Awarded","Committed Pre-Construction",IF(G270="Tender","Advanced Pre-Construction",IF(G270="Commencement Expected","Likely",IF(G270="Permission Granted","Potential",IF(G270="Stalled or Suspended","Constrained / uncertain",IF(G270="Complete","Delivered","Application Pipeline")))))))),IF(G270="Complete","Delivered",IF(AND(OR(G270="Permission Granted",G270="Commencement Expected"),OR(AC270="Yes",AE270="Yes")),"Constrained / uncertain",IF(G270="On Site","Committed",IF(G270="Part Complete","Committed",IF(G270="Contract Awarded","Committed Pre-Construction",IF(G270="Tender","Advanced Pre-Construction",IF(G270="Commencement Expected","Likely",IF(G270="Permission Granted","Potential",IF(G270="Stalled or Suspended","Constrained / uncertain",IF(G270="Complete","Delivered","Application Pipeline"))))))))))))))</f>
        <v>Not counted</v>
      </c>
      <c r="AH270" s="2" t="str">
        <f aca="false">IF(Z270="No","Relationship: "&amp;Y270,IF(AF270&lt;&gt;"","Analyst: "&amp;AF270,IF(G270="Complete","Complete",IF(AND(OR(G270="Permission Granted",G270="Commencement Expected"),AE270="Yes"),"Past expiry",IF(AND(OR(G270="Permission Granted",G270="Commencement Expected"),AC270="Yes"),"No CIS update in "&amp;AB270&amp;" months","As CIS")))))</f>
        <v>Relationship: Duplicate</v>
      </c>
      <c r="AI270" s="10" t="n">
        <f aca="false">IF(Z270="Yes",N(Q270),0)</f>
        <v>0</v>
      </c>
      <c r="AJ270" s="10" t="n">
        <f aca="false">IF(OR(Z270="No",G270="Complete"),0,MAX(N(Q270)-N(AA270),0))</f>
        <v>0</v>
      </c>
      <c r="AK270" s="10" t="n">
        <f aca="false">IF(Z270="No",0,IF(G270="Complete",N(Q270),MIN(N(AA270),N(Q270))))</f>
        <v>0</v>
      </c>
      <c r="AL270" s="10" t="n">
        <f aca="false">IF(OR(OR(AG270="Not counted",AG270="Excluded",AG270="Delivered"),P270="Student accommodation"),0,AJ270)</f>
        <v>0</v>
      </c>
      <c r="AM270" s="10" t="n">
        <f aca="false">IF(OR(OR(AG270="Not counted",AG270="Excluded",AG270="Delivered"),P270&lt;&gt;"Student accommodation"),0,AJ270)</f>
        <v>0</v>
      </c>
      <c r="AN270" s="10" t="n">
        <f aca="false">IF(OR(AG270="Not counted",AG270="Excluded",AG270="Delivered"),0,N(S270))</f>
        <v>0</v>
      </c>
      <c r="AO270" s="2" t="s">
        <v>1157</v>
      </c>
      <c r="AP270" s="10"/>
      <c r="AQ270" s="10" t="n">
        <v>16</v>
      </c>
      <c r="AR270" s="10" t="n">
        <v>10</v>
      </c>
      <c r="AS270" s="10" t="n">
        <v>4</v>
      </c>
      <c r="AT270" s="10"/>
      <c r="AU270" s="10"/>
      <c r="AV270" s="10" t="n">
        <f aca="false">N(AP270)+N(AQ270)+N(AR270)+N(AS270)+N(AT270)+N(AU270)</f>
        <v>30</v>
      </c>
      <c r="AW270" s="10" t="n">
        <v>30</v>
      </c>
      <c r="AX270" s="10" t="n">
        <v>30</v>
      </c>
      <c r="AY270" s="10"/>
      <c r="AZ270" s="2"/>
      <c r="BA270" s="2" t="s">
        <v>1095</v>
      </c>
      <c r="BB270" s="2"/>
      <c r="BC270" s="2"/>
      <c r="BD270" s="2"/>
      <c r="BE270" s="2"/>
      <c r="BF270" s="2" t="s">
        <v>1095</v>
      </c>
      <c r="BG270" s="22"/>
      <c r="BH270" s="22"/>
      <c r="BI270" s="2"/>
      <c r="BJ270" s="22"/>
      <c r="BK270" s="2"/>
      <c r="BL270" s="2"/>
      <c r="BM270" s="2"/>
      <c r="BN270" s="2"/>
      <c r="BO270" s="2"/>
      <c r="BP270" s="2" t="str">
        <f aca="false">IF(OR(K270="",BG270=""),"",ROUND(BG270-K270,0))</f>
        <v/>
      </c>
      <c r="BQ270" s="2" t="str">
        <f aca="false">IF(OR(N(BK270)=0,Q270=""),"Not recorded",IF(BK270=Q270,"Match","Differs"))</f>
        <v>Not recorded</v>
      </c>
      <c r="BR270" s="2" t="str">
        <f aca="false">IF(N270="No","Excluded (non-residential)",IF(BF270="No reference","Unverified – no reference",IF(BF270="Not in council register","Unverified – not in register (Part 8 / other)",IF(OR(BF270="Refused",BF270="Refused on appeal",BF270="Withdrawn",BF270="Invalid",BF270="Quashed"),IF(OR(G270="Complete",G270="On Site",G270="Part Complete"),"Conflict – register not live but CIS says built","Conflict – not live in register"),IF(AND(G270="Plans Submitted",OR(BF270="Granted",BF270="Granted on appeal")),"Stage out of date – now granted",IF(AND(G270&lt;&gt;"Plans Submitted",OR(BF270="Pending",BF270="Under appeal")),"Check – register still pending",IF(N(BL270)&gt;Method!$B$7,"Check – location differs",IF(AND(BP270&lt;&gt;"",ABS(N(BP270))&gt;60),"Consistent – decision date differs","Consistent"))))))))</f>
        <v>Unverified – not in register (Part 8 / other)</v>
      </c>
      <c r="BS270" s="2"/>
      <c r="BT270" s="2"/>
      <c r="BU270" s="2"/>
      <c r="BV270" s="2"/>
      <c r="BW270" s="2"/>
      <c r="BX270" s="2"/>
    </row>
    <row r="271" customFormat="false" ht="15" hidden="false" customHeight="false" outlineLevel="0" collapsed="false">
      <c r="A271" s="2" t="n">
        <v>1419395</v>
      </c>
      <c r="B271" s="2" t="s">
        <v>798</v>
      </c>
      <c r="C271" s="2"/>
      <c r="D271" s="2" t="s">
        <v>799</v>
      </c>
      <c r="E271" s="2" t="s">
        <v>800</v>
      </c>
      <c r="F271" s="2" t="s">
        <v>138</v>
      </c>
      <c r="G271" s="2" t="s">
        <v>700</v>
      </c>
      <c r="H271" s="2" t="s">
        <v>700</v>
      </c>
      <c r="I271" s="2"/>
      <c r="J271" s="22" t="n">
        <v>46006</v>
      </c>
      <c r="K271" s="22"/>
      <c r="L271" s="22" t="n">
        <v>46010.3736341088</v>
      </c>
      <c r="M271" s="2" t="s">
        <v>1893</v>
      </c>
      <c r="N271" s="2" t="s">
        <v>121</v>
      </c>
      <c r="O271" s="2"/>
      <c r="P271" s="2" t="s">
        <v>1017</v>
      </c>
      <c r="Q271" s="10" t="n">
        <v>12</v>
      </c>
      <c r="R271" s="10"/>
      <c r="S271" s="10"/>
      <c r="T271" s="2" t="s">
        <v>120</v>
      </c>
      <c r="U271" s="2"/>
      <c r="V271" s="2" t="s">
        <v>1029</v>
      </c>
      <c r="W271" s="2" t="s">
        <v>1030</v>
      </c>
      <c r="X271" s="7"/>
      <c r="Y271" s="2" t="str">
        <f aca="false">IF(X271&lt;&gt;"",X271,T271)</f>
        <v>Primary</v>
      </c>
      <c r="Z271" s="2" t="str">
        <f aca="false">IF(OR(Y271="Primary",Y271="Additional phase",Y271="Additional application on site",Y271="Replaces earlier",Y271="Extension of duration (parent not in CIS)"),"Yes","No")</f>
        <v>Yes</v>
      </c>
      <c r="AA271" s="2"/>
      <c r="AB271" s="2" t="n">
        <f aca="false">IF(L271="","",ROUND((Method!$B$4-L271)/30.44,0))</f>
        <v>9</v>
      </c>
      <c r="AC271" s="2" t="str">
        <f aca="false">IF(AB271="","No",IF(AB271&gt;Method!$B$5,"Yes","No"))</f>
        <v>No</v>
      </c>
      <c r="AD271" s="22" t="str">
        <f aca="false">IF(BJ271&lt;&gt;"",BJ271,IF(K271&lt;&gt;"",EDATE(K271,60),""))</f>
        <v/>
      </c>
      <c r="AE271" s="2" t="str">
        <f aca="false">IF(AND(AD271&lt;&gt;"",OR(G271="Permission Granted",G271="Commencement Expected",G271="Stalled or Suspended")),IF(AD271&lt;Method!$B$4,"Yes","No"),"No")</f>
        <v>No</v>
      </c>
      <c r="AF271" s="7"/>
      <c r="AG271" s="2" t="str">
        <f aca="false">IF(Z271="No","Not counted",IF(AF271="Lapsed or dead","Excluded",IF(AF271="Constrained","Constrained / uncertain",IF(AF271="Confirmed live",IF(G271="On Site","Committed",IF(G271="Part Complete","Committed",IF(G271="Contract Awarded","Committed Pre-Construction",IF(G271="Tender","Advanced Pre-Construction",IF(G271="Commencement Expected","Likely",IF(G271="Permission Granted","Potential",IF(G271="Stalled or Suspended","Constrained / uncertain",IF(G271="Complete","Delivered","Application Pipeline")))))))),IF(G271="Complete","Delivered",IF(AND(OR(G271="Permission Granted",G271="Commencement Expected"),OR(AC271="Yes",AE271="Yes")),"Constrained / uncertain",IF(G271="On Site","Committed",IF(G271="Part Complete","Committed",IF(G271="Contract Awarded","Committed Pre-Construction",IF(G271="Tender","Advanced Pre-Construction",IF(G271="Commencement Expected","Likely",IF(G271="Permission Granted","Potential",IF(G271="Stalled or Suspended","Constrained / uncertain",IF(G271="Complete","Delivered","Application Pipeline"))))))))))))))</f>
        <v>Application Pipeline</v>
      </c>
      <c r="AH271" s="2" t="str">
        <f aca="false">IF(Z271="No","Relationship: "&amp;Y271,IF(AF271&lt;&gt;"","Analyst: "&amp;AF271,IF(G271="Complete","Complete",IF(AND(OR(G271="Permission Granted",G271="Commencement Expected"),AE271="Yes"),"Past expiry",IF(AND(OR(G271="Permission Granted",G271="Commencement Expected"),AC271="Yes"),"No CIS update in "&amp;AB271&amp;" months","As CIS")))))</f>
        <v>As CIS</v>
      </c>
      <c r="AI271" s="10" t="n">
        <f aca="false">IF(Z271="Yes",N(Q271),0)</f>
        <v>12</v>
      </c>
      <c r="AJ271" s="10" t="n">
        <f aca="false">IF(OR(Z271="No",G271="Complete"),0,MAX(N(Q271)-N(AA271),0))</f>
        <v>12</v>
      </c>
      <c r="AK271" s="10" t="n">
        <f aca="false">IF(Z271="No",0,IF(G271="Complete",N(Q271),MIN(N(AA271),N(Q271))))</f>
        <v>0</v>
      </c>
      <c r="AL271" s="10" t="n">
        <f aca="false">IF(OR(OR(AG271="Not counted",AG271="Excluded",AG271="Delivered"),P271="Student accommodation"),0,AJ271)</f>
        <v>12</v>
      </c>
      <c r="AM271" s="10" t="n">
        <f aca="false">IF(OR(OR(AG271="Not counted",AG271="Excluded",AG271="Delivered"),P271&lt;&gt;"Student accommodation"),0,AJ271)</f>
        <v>0</v>
      </c>
      <c r="AN271" s="10" t="n">
        <f aca="false">IF(OR(AG271="Not counted",AG271="Excluded",AG271="Delivered"),0,N(S271))</f>
        <v>0</v>
      </c>
      <c r="AO271" s="2" t="s">
        <v>1043</v>
      </c>
      <c r="AP271" s="10"/>
      <c r="AQ271" s="10"/>
      <c r="AR271" s="10"/>
      <c r="AS271" s="10"/>
      <c r="AT271" s="10"/>
      <c r="AU271" s="10"/>
      <c r="AV271" s="10" t="n">
        <f aca="false">N(AP271)+N(AQ271)+N(AR271)+N(AS271)+N(AT271)+N(AU271)</f>
        <v>0</v>
      </c>
      <c r="AW271" s="10"/>
      <c r="AX271" s="10"/>
      <c r="AY271" s="10"/>
      <c r="AZ271" s="2"/>
      <c r="BA271" s="2" t="s">
        <v>1044</v>
      </c>
      <c r="BB271" s="2"/>
      <c r="BC271" s="2"/>
      <c r="BD271" s="2"/>
      <c r="BE271" s="2"/>
      <c r="BF271" s="2" t="s">
        <v>1044</v>
      </c>
      <c r="BG271" s="22"/>
      <c r="BH271" s="22"/>
      <c r="BI271" s="2"/>
      <c r="BJ271" s="22"/>
      <c r="BK271" s="2"/>
      <c r="BL271" s="2"/>
      <c r="BM271" s="2"/>
      <c r="BN271" s="2"/>
      <c r="BO271" s="2"/>
      <c r="BP271" s="2" t="str">
        <f aca="false">IF(OR(K271="",BG271=""),"",ROUND(BG271-K271,0))</f>
        <v/>
      </c>
      <c r="BQ271" s="2" t="str">
        <f aca="false">IF(OR(N(BK271)=0,Q271=""),"Not recorded",IF(BK271=Q271,"Match","Differs"))</f>
        <v>Not recorded</v>
      </c>
      <c r="BR271" s="2" t="str">
        <f aca="false">IF(N271="No","Excluded (non-residential)",IF(BF271="No reference","Unverified – no reference",IF(BF271="Not in council register","Unverified – not in register (Part 8 / other)",IF(OR(BF271="Refused",BF271="Refused on appeal",BF271="Withdrawn",BF271="Invalid",BF271="Quashed"),IF(OR(G271="Complete",G271="On Site",G271="Part Complete"),"Conflict – register not live but CIS says built","Conflict – not live in register"),IF(AND(G271="Plans Submitted",OR(BF271="Granted",BF271="Granted on appeal")),"Stage out of date – now granted",IF(AND(G271&lt;&gt;"Plans Submitted",OR(BF271="Pending",BF271="Under appeal")),"Check – register still pending",IF(N(BL271)&gt;Method!$B$7,"Check – location differs",IF(AND(BP271&lt;&gt;"",ABS(N(BP271))&gt;60),"Consistent – decision date differs","Consistent"))))))))</f>
        <v>Unverified – no reference</v>
      </c>
      <c r="BS271" s="2" t="n">
        <v>1843</v>
      </c>
      <c r="BT271" s="2" t="s">
        <v>1049</v>
      </c>
      <c r="BU271" s="2"/>
      <c r="BV271" s="2" t="s">
        <v>2004</v>
      </c>
      <c r="BW271" s="2" t="s">
        <v>2007</v>
      </c>
      <c r="BX271" s="2" t="s">
        <v>1052</v>
      </c>
    </row>
    <row r="272" customFormat="false" ht="15" hidden="false" customHeight="false" outlineLevel="0" collapsed="false">
      <c r="A272" s="2" t="n">
        <v>1419614</v>
      </c>
      <c r="B272" s="2" t="s">
        <v>794</v>
      </c>
      <c r="C272" s="2" t="s">
        <v>2019</v>
      </c>
      <c r="D272" s="2" t="s">
        <v>795</v>
      </c>
      <c r="E272" s="2" t="s">
        <v>796</v>
      </c>
      <c r="F272" s="2" t="s">
        <v>139</v>
      </c>
      <c r="G272" s="2" t="s">
        <v>700</v>
      </c>
      <c r="H272" s="2" t="s">
        <v>700</v>
      </c>
      <c r="I272" s="2"/>
      <c r="J272" s="22" t="n">
        <v>46004</v>
      </c>
      <c r="K272" s="22"/>
      <c r="L272" s="22" t="n">
        <v>46014.3726890857</v>
      </c>
      <c r="M272" s="2" t="s">
        <v>1893</v>
      </c>
      <c r="N272" s="2" t="s">
        <v>121</v>
      </c>
      <c r="O272" s="2"/>
      <c r="P272" s="2" t="s">
        <v>1017</v>
      </c>
      <c r="Q272" s="10" t="n">
        <v>30</v>
      </c>
      <c r="R272" s="10"/>
      <c r="S272" s="10"/>
      <c r="T272" s="2" t="s">
        <v>30</v>
      </c>
      <c r="U272" s="2"/>
      <c r="V272" s="2" t="s">
        <v>1080</v>
      </c>
      <c r="W272" s="2" t="s">
        <v>1020</v>
      </c>
      <c r="X272" s="7"/>
      <c r="Y272" s="2" t="str">
        <f aca="false">IF(X272&lt;&gt;"",X272,T272)</f>
        <v>Additional application on site</v>
      </c>
      <c r="Z272" s="2" t="str">
        <f aca="false">IF(OR(Y272="Primary",Y272="Additional phase",Y272="Additional application on site",Y272="Replaces earlier",Y272="Extension of duration (parent not in CIS)"),"Yes","No")</f>
        <v>Yes</v>
      </c>
      <c r="AA272" s="2"/>
      <c r="AB272" s="2" t="n">
        <f aca="false">IF(L272="","",ROUND((Method!$B$4-L272)/30.44,0))</f>
        <v>9</v>
      </c>
      <c r="AC272" s="2" t="str">
        <f aca="false">IF(AB272="","No",IF(AB272&gt;Method!$B$5,"Yes","No"))</f>
        <v>No</v>
      </c>
      <c r="AD272" s="22" t="str">
        <f aca="false">IF(BJ272&lt;&gt;"",BJ272,IF(K272&lt;&gt;"",EDATE(K272,60),""))</f>
        <v/>
      </c>
      <c r="AE272" s="2" t="str">
        <f aca="false">IF(AND(AD272&lt;&gt;"",OR(G272="Permission Granted",G272="Commencement Expected",G272="Stalled or Suspended")),IF(AD272&lt;Method!$B$4,"Yes","No"),"No")</f>
        <v>No</v>
      </c>
      <c r="AF272" s="7"/>
      <c r="AG272" s="2" t="str">
        <f aca="false">IF(Z272="No","Not counted",IF(AF272="Lapsed or dead","Excluded",IF(AF272="Constrained","Constrained / uncertain",IF(AF272="Confirmed live",IF(G272="On Site","Committed",IF(G272="Part Complete","Committed",IF(G272="Contract Awarded","Committed Pre-Construction",IF(G272="Tender","Advanced Pre-Construction",IF(G272="Commencement Expected","Likely",IF(G272="Permission Granted","Potential",IF(G272="Stalled or Suspended","Constrained / uncertain",IF(G272="Complete","Delivered","Application Pipeline")))))))),IF(G272="Complete","Delivered",IF(AND(OR(G272="Permission Granted",G272="Commencement Expected"),OR(AC272="Yes",AE272="Yes")),"Constrained / uncertain",IF(G272="On Site","Committed",IF(G272="Part Complete","Committed",IF(G272="Contract Awarded","Committed Pre-Construction",IF(G272="Tender","Advanced Pre-Construction",IF(G272="Commencement Expected","Likely",IF(G272="Permission Granted","Potential",IF(G272="Stalled or Suspended","Constrained / uncertain",IF(G272="Complete","Delivered","Application Pipeline"))))))))))))))</f>
        <v>Application Pipeline</v>
      </c>
      <c r="AH272" s="2" t="str">
        <f aca="false">IF(Z272="No","Relationship: "&amp;Y272,IF(AF272&lt;&gt;"","Analyst: "&amp;AF272,IF(G272="Complete","Complete",IF(AND(OR(G272="Permission Granted",G272="Commencement Expected"),AE272="Yes"),"Past expiry",IF(AND(OR(G272="Permission Granted",G272="Commencement Expected"),AC272="Yes"),"No CIS update in "&amp;AB272&amp;" months","As CIS")))))</f>
        <v>As CIS</v>
      </c>
      <c r="AI272" s="10" t="n">
        <f aca="false">IF(Z272="Yes",N(Q272),0)</f>
        <v>30</v>
      </c>
      <c r="AJ272" s="10" t="n">
        <f aca="false">IF(OR(Z272="No",G272="Complete"),0,MAX(N(Q272)-N(AA272),0))</f>
        <v>30</v>
      </c>
      <c r="AK272" s="10" t="n">
        <f aca="false">IF(Z272="No",0,IF(G272="Complete",N(Q272),MIN(N(AA272),N(Q272))))</f>
        <v>0</v>
      </c>
      <c r="AL272" s="10" t="n">
        <f aca="false">IF(OR(OR(AG272="Not counted",AG272="Excluded",AG272="Delivered"),P272="Student accommodation"),0,AJ272)</f>
        <v>30</v>
      </c>
      <c r="AM272" s="10" t="n">
        <f aca="false">IF(OR(OR(AG272="Not counted",AG272="Excluded",AG272="Delivered"),P272&lt;&gt;"Student accommodation"),0,AJ272)</f>
        <v>0</v>
      </c>
      <c r="AN272" s="10" t="n">
        <f aca="false">IF(OR(AG272="Not counted",AG272="Excluded",AG272="Delivered"),0,N(S272))</f>
        <v>0</v>
      </c>
      <c r="AO272" s="2" t="s">
        <v>1157</v>
      </c>
      <c r="AP272" s="10"/>
      <c r="AQ272" s="10" t="n">
        <v>16</v>
      </c>
      <c r="AR272" s="10" t="n">
        <v>10</v>
      </c>
      <c r="AS272" s="10" t="n">
        <v>4</v>
      </c>
      <c r="AT272" s="10"/>
      <c r="AU272" s="10"/>
      <c r="AV272" s="10" t="n">
        <f aca="false">N(AP272)+N(AQ272)+N(AR272)+N(AS272)+N(AT272)+N(AU272)</f>
        <v>30</v>
      </c>
      <c r="AW272" s="10"/>
      <c r="AX272" s="10" t="n">
        <v>30</v>
      </c>
      <c r="AY272" s="10"/>
      <c r="AZ272" s="2"/>
      <c r="BA272" s="2" t="s">
        <v>1022</v>
      </c>
      <c r="BB272" s="2" t="s">
        <v>2019</v>
      </c>
      <c r="BC272" s="2" t="s">
        <v>1032</v>
      </c>
      <c r="BD272" s="2" t="s">
        <v>1033</v>
      </c>
      <c r="BE272" s="2"/>
      <c r="BF272" s="2" t="s">
        <v>1034</v>
      </c>
      <c r="BG272" s="22"/>
      <c r="BH272" s="22"/>
      <c r="BI272" s="2"/>
      <c r="BJ272" s="22"/>
      <c r="BK272" s="2"/>
      <c r="BL272" s="2" t="n">
        <v>0</v>
      </c>
      <c r="BM272" s="2"/>
      <c r="BN272" s="2" t="s">
        <v>2021</v>
      </c>
      <c r="BO272" s="23" t="s">
        <v>2022</v>
      </c>
      <c r="BP272" s="2" t="str">
        <f aca="false">IF(OR(K272="",BG272=""),"",ROUND(BG272-K272,0))</f>
        <v/>
      </c>
      <c r="BQ272" s="2" t="str">
        <f aca="false">IF(OR(N(BK272)=0,Q272=""),"Not recorded",IF(BK272=Q272,"Match","Differs"))</f>
        <v>Not recorded</v>
      </c>
      <c r="BR272" s="2" t="str">
        <f aca="false">IF(N272="No","Excluded (non-residential)",IF(BF272="No reference","Unverified – no reference",IF(BF272="Not in council register","Unverified – not in register (Part 8 / other)",IF(OR(BF272="Refused",BF272="Refused on appeal",BF272="Withdrawn",BF272="Invalid",BF272="Quashed"),IF(OR(G272="Complete",G272="On Site",G272="Part Complete"),"Conflict – register not live but CIS says built","Conflict – not live in register"),IF(AND(G272="Plans Submitted",OR(BF272="Granted",BF272="Granted on appeal")),"Stage out of date – now granted",IF(AND(G272&lt;&gt;"Plans Submitted",OR(BF272="Pending",BF272="Under appeal")),"Check – register still pending",IF(N(BL272)&gt;Method!$B$7,"Check – location differs",IF(AND(BP272&lt;&gt;"",ABS(N(BP272))&gt;60),"Consistent – decision date differs","Consistent"))))))))</f>
        <v>Consistent</v>
      </c>
      <c r="BS272" s="2" t="n">
        <v>1837</v>
      </c>
      <c r="BT272" s="2" t="s">
        <v>1049</v>
      </c>
      <c r="BU272" s="2"/>
      <c r="BV272" s="2" t="s">
        <v>2004</v>
      </c>
      <c r="BW272" s="2" t="s">
        <v>1179</v>
      </c>
      <c r="BX272" s="2" t="s">
        <v>1052</v>
      </c>
    </row>
    <row r="273" customFormat="false" ht="15" hidden="false" customHeight="false" outlineLevel="0" collapsed="false">
      <c r="A273" s="2" t="n">
        <v>1421134</v>
      </c>
      <c r="B273" s="2" t="s">
        <v>804</v>
      </c>
      <c r="C273" s="2" t="s">
        <v>2023</v>
      </c>
      <c r="D273" s="2" t="s">
        <v>805</v>
      </c>
      <c r="E273" s="2" t="s">
        <v>806</v>
      </c>
      <c r="F273" s="2" t="s">
        <v>141</v>
      </c>
      <c r="G273" s="2" t="s">
        <v>700</v>
      </c>
      <c r="H273" s="2" t="s">
        <v>700</v>
      </c>
      <c r="I273" s="2"/>
      <c r="J273" s="22" t="n">
        <v>46029</v>
      </c>
      <c r="K273" s="22"/>
      <c r="L273" s="22" t="n">
        <v>46036.3592945602</v>
      </c>
      <c r="M273" s="2" t="s">
        <v>1893</v>
      </c>
      <c r="N273" s="2" t="s">
        <v>121</v>
      </c>
      <c r="O273" s="2"/>
      <c r="P273" s="2" t="s">
        <v>1017</v>
      </c>
      <c r="Q273" s="10" t="n">
        <v>150</v>
      </c>
      <c r="R273" s="10" t="n">
        <v>150</v>
      </c>
      <c r="S273" s="10"/>
      <c r="T273" s="2" t="s">
        <v>32</v>
      </c>
      <c r="U273" s="2"/>
      <c r="V273" s="2" t="s">
        <v>1447</v>
      </c>
      <c r="W273" s="2" t="s">
        <v>1030</v>
      </c>
      <c r="X273" s="7"/>
      <c r="Y273" s="2" t="str">
        <f aca="false">IF(X273&lt;&gt;"",X273,T273)</f>
        <v>Not live</v>
      </c>
      <c r="Z273" s="2" t="str">
        <f aca="false">IF(OR(Y273="Primary",Y273="Additional phase",Y273="Additional application on site",Y273="Replaces earlier",Y273="Extension of duration (parent not in CIS)"),"Yes","No")</f>
        <v>No</v>
      </c>
      <c r="AA273" s="2"/>
      <c r="AB273" s="2" t="n">
        <f aca="false">IF(L273="","",ROUND((Method!$B$4-L273)/30.44,0))</f>
        <v>8</v>
      </c>
      <c r="AC273" s="2" t="str">
        <f aca="false">IF(AB273="","No",IF(AB273&gt;Method!$B$5,"Yes","No"))</f>
        <v>No</v>
      </c>
      <c r="AD273" s="22" t="str">
        <f aca="false">IF(BJ273&lt;&gt;"",BJ273,IF(K273&lt;&gt;"",EDATE(K273,60),""))</f>
        <v/>
      </c>
      <c r="AE273" s="2" t="str">
        <f aca="false">IF(AND(AD273&lt;&gt;"",OR(G273="Permission Granted",G273="Commencement Expected",G273="Stalled or Suspended")),IF(AD273&lt;Method!$B$4,"Yes","No"),"No")</f>
        <v>No</v>
      </c>
      <c r="AF273" s="7"/>
      <c r="AG273" s="2" t="str">
        <f aca="false">IF(Z273="No","Not counted",IF(AF273="Lapsed or dead","Excluded",IF(AF273="Constrained","Constrained / uncertain",IF(AF273="Confirmed live",IF(G273="On Site","Committed",IF(G273="Part Complete","Committed",IF(G273="Contract Awarded","Committed Pre-Construction",IF(G273="Tender","Advanced Pre-Construction",IF(G273="Commencement Expected","Likely",IF(G273="Permission Granted","Potential",IF(G273="Stalled or Suspended","Constrained / uncertain",IF(G273="Complete","Delivered","Application Pipeline")))))))),IF(G273="Complete","Delivered",IF(AND(OR(G273="Permission Granted",G273="Commencement Expected"),OR(AC273="Yes",AE273="Yes")),"Constrained / uncertain",IF(G273="On Site","Committed",IF(G273="Part Complete","Committed",IF(G273="Contract Awarded","Committed Pre-Construction",IF(G273="Tender","Advanced Pre-Construction",IF(G273="Commencement Expected","Likely",IF(G273="Permission Granted","Potential",IF(G273="Stalled or Suspended","Constrained / uncertain",IF(G273="Complete","Delivered","Application Pipeline"))))))))))))))</f>
        <v>Not counted</v>
      </c>
      <c r="AH273" s="2" t="str">
        <f aca="false">IF(Z273="No","Relationship: "&amp;Y273,IF(AF273&lt;&gt;"","Analyst: "&amp;AF273,IF(G273="Complete","Complete",IF(AND(OR(G273="Permission Granted",G273="Commencement Expected"),AE273="Yes"),"Past expiry",IF(AND(OR(G273="Permission Granted",G273="Commencement Expected"),AC273="Yes"),"No CIS update in "&amp;AB273&amp;" months","As CIS")))))</f>
        <v>Relationship: Not live</v>
      </c>
      <c r="AI273" s="10" t="n">
        <f aca="false">IF(Z273="Yes",N(Q273),0)</f>
        <v>0</v>
      </c>
      <c r="AJ273" s="10" t="n">
        <f aca="false">IF(OR(Z273="No",G273="Complete"),0,MAX(N(Q273)-N(AA273),0))</f>
        <v>0</v>
      </c>
      <c r="AK273" s="10" t="n">
        <f aca="false">IF(Z273="No",0,IF(G273="Complete",N(Q273),MIN(N(AA273),N(Q273))))</f>
        <v>0</v>
      </c>
      <c r="AL273" s="10" t="n">
        <f aca="false">IF(OR(OR(AG273="Not counted",AG273="Excluded",AG273="Delivered"),P273="Student accommodation"),0,AJ273)</f>
        <v>0</v>
      </c>
      <c r="AM273" s="10" t="n">
        <f aca="false">IF(OR(OR(AG273="Not counted",AG273="Excluded",AG273="Delivered"),P273&lt;&gt;"Student accommodation"),0,AJ273)</f>
        <v>0</v>
      </c>
      <c r="AN273" s="10" t="n">
        <f aca="false">IF(OR(AG273="Not counted",AG273="Excluded",AG273="Delivered"),0,N(S273))</f>
        <v>0</v>
      </c>
      <c r="AO273" s="2" t="s">
        <v>1031</v>
      </c>
      <c r="AP273" s="10"/>
      <c r="AQ273" s="10" t="n">
        <v>52</v>
      </c>
      <c r="AR273" s="10" t="n">
        <v>62</v>
      </c>
      <c r="AS273" s="10" t="n">
        <v>15</v>
      </c>
      <c r="AT273" s="10" t="n">
        <v>21</v>
      </c>
      <c r="AU273" s="10"/>
      <c r="AV273" s="10" t="n">
        <f aca="false">N(AP273)+N(AQ273)+N(AR273)+N(AS273)+N(AT273)+N(AU273)</f>
        <v>150</v>
      </c>
      <c r="AW273" s="10" t="n">
        <v>31</v>
      </c>
      <c r="AX273" s="10"/>
      <c r="AY273" s="10" t="n">
        <v>119</v>
      </c>
      <c r="AZ273" s="2"/>
      <c r="BA273" s="2" t="s">
        <v>1022</v>
      </c>
      <c r="BB273" s="2" t="s">
        <v>2023</v>
      </c>
      <c r="BC273" s="2" t="s">
        <v>1582</v>
      </c>
      <c r="BD273" s="2" t="s">
        <v>1033</v>
      </c>
      <c r="BE273" s="2"/>
      <c r="BF273" s="2" t="s">
        <v>1449</v>
      </c>
      <c r="BG273" s="22"/>
      <c r="BH273" s="22"/>
      <c r="BI273" s="2"/>
      <c r="BJ273" s="22"/>
      <c r="BK273" s="2"/>
      <c r="BL273" s="2" t="n">
        <v>0</v>
      </c>
      <c r="BM273" s="2"/>
      <c r="BN273" s="2" t="s">
        <v>2024</v>
      </c>
      <c r="BO273" s="23" t="s">
        <v>2025</v>
      </c>
      <c r="BP273" s="2" t="str">
        <f aca="false">IF(OR(K273="",BG273=""),"",ROUND(BG273-K273,0))</f>
        <v/>
      </c>
      <c r="BQ273" s="2" t="str">
        <f aca="false">IF(OR(N(BK273)=0,Q273=""),"Not recorded",IF(BK273=Q273,"Match","Differs"))</f>
        <v>Not recorded</v>
      </c>
      <c r="BR273" s="2" t="str">
        <f aca="false">IF(N273="No","Excluded (non-residential)",IF(BF273="No reference","Unverified – no reference",IF(BF273="Not in council register","Unverified – not in register (Part 8 / other)",IF(OR(BF273="Refused",BF273="Refused on appeal",BF273="Withdrawn",BF273="Invalid",BF273="Quashed"),IF(OR(G273="Complete",G273="On Site",G273="Part Complete"),"Conflict – register not live but CIS says built","Conflict – not live in register"),IF(AND(G273="Plans Submitted",OR(BF273="Granted",BF273="Granted on appeal")),"Stage out of date – now granted",IF(AND(G273&lt;&gt;"Plans Submitted",OR(BF273="Pending",BF273="Under appeal")),"Check – register still pending",IF(N(BL273)&gt;Method!$B$7,"Check – location differs",IF(AND(BP273&lt;&gt;"",ABS(N(BP273))&gt;60),"Consistent – decision date differs","Consistent"))))))))</f>
        <v>Conflict – not live in register</v>
      </c>
      <c r="BS273" s="2"/>
      <c r="BT273" s="2"/>
      <c r="BU273" s="2"/>
      <c r="BV273" s="2"/>
      <c r="BW273" s="2"/>
      <c r="BX273" s="2"/>
    </row>
    <row r="274" customFormat="false" ht="15" hidden="false" customHeight="false" outlineLevel="0" collapsed="false">
      <c r="A274" s="2" t="n">
        <v>1422145</v>
      </c>
      <c r="B274" s="2" t="s">
        <v>851</v>
      </c>
      <c r="C274" s="2"/>
      <c r="D274" s="2" t="s">
        <v>852</v>
      </c>
      <c r="E274" s="2" t="s">
        <v>853</v>
      </c>
      <c r="F274" s="2" t="s">
        <v>139</v>
      </c>
      <c r="G274" s="2" t="s">
        <v>668</v>
      </c>
      <c r="H274" s="2"/>
      <c r="I274" s="2" t="s">
        <v>668</v>
      </c>
      <c r="J274" s="22"/>
      <c r="K274" s="22"/>
      <c r="L274" s="22" t="n">
        <v>46203.387381794</v>
      </c>
      <c r="M274" s="2" t="s">
        <v>1893</v>
      </c>
      <c r="N274" s="2" t="s">
        <v>121</v>
      </c>
      <c r="O274" s="2"/>
      <c r="P274" s="2" t="s">
        <v>1017</v>
      </c>
      <c r="Q274" s="10" t="n">
        <v>23</v>
      </c>
      <c r="R274" s="10"/>
      <c r="S274" s="10"/>
      <c r="T274" s="2" t="s">
        <v>30</v>
      </c>
      <c r="U274" s="2"/>
      <c r="V274" s="2" t="s">
        <v>1080</v>
      </c>
      <c r="W274" s="2" t="s">
        <v>1020</v>
      </c>
      <c r="X274" s="7"/>
      <c r="Y274" s="2" t="str">
        <f aca="false">IF(X274&lt;&gt;"",X274,T274)</f>
        <v>Additional application on site</v>
      </c>
      <c r="Z274" s="2" t="str">
        <f aca="false">IF(OR(Y274="Primary",Y274="Additional phase",Y274="Additional application on site",Y274="Replaces earlier",Y274="Extension of duration (parent not in CIS)"),"Yes","No")</f>
        <v>Yes</v>
      </c>
      <c r="AA274" s="2"/>
      <c r="AB274" s="2" t="n">
        <f aca="false">IF(L274="","",ROUND((Method!$B$4-L274)/30.44,0))</f>
        <v>3</v>
      </c>
      <c r="AC274" s="2" t="str">
        <f aca="false">IF(AB274="","No",IF(AB274&gt;Method!$B$5,"Yes","No"))</f>
        <v>No</v>
      </c>
      <c r="AD274" s="22" t="str">
        <f aca="false">IF(BJ274&lt;&gt;"",BJ274,IF(K274&lt;&gt;"",EDATE(K274,60),""))</f>
        <v/>
      </c>
      <c r="AE274" s="2" t="str">
        <f aca="false">IF(AND(AD274&lt;&gt;"",OR(G274="Permission Granted",G274="Commencement Expected",G274="Stalled or Suspended")),IF(AD274&lt;Method!$B$4,"Yes","No"),"No")</f>
        <v>No</v>
      </c>
      <c r="AF274" s="7"/>
      <c r="AG274" s="2" t="str">
        <f aca="false">IF(Z274="No","Not counted",IF(AF274="Lapsed or dead","Excluded",IF(AF274="Constrained","Constrained / uncertain",IF(AF274="Confirmed live",IF(G274="On Site","Committed",IF(G274="Part Complete","Committed",IF(G274="Contract Awarded","Committed Pre-Construction",IF(G274="Tender","Advanced Pre-Construction",IF(G274="Commencement Expected","Likely",IF(G274="Permission Granted","Potential",IF(G274="Stalled or Suspended","Constrained / uncertain",IF(G274="Complete","Delivered","Application Pipeline")))))))),IF(G274="Complete","Delivered",IF(AND(OR(G274="Permission Granted",G274="Commencement Expected"),OR(AC274="Yes",AE274="Yes")),"Constrained / uncertain",IF(G274="On Site","Committed",IF(G274="Part Complete","Committed",IF(G274="Contract Awarded","Committed Pre-Construction",IF(G274="Tender","Advanced Pre-Construction",IF(G274="Commencement Expected","Likely",IF(G274="Permission Granted","Potential",IF(G274="Stalled or Suspended","Constrained / uncertain",IF(G274="Complete","Delivered","Application Pipeline"))))))))))))))</f>
        <v>Committed Pre-Construction</v>
      </c>
      <c r="AH274" s="2" t="str">
        <f aca="false">IF(Z274="No","Relationship: "&amp;Y274,IF(AF274&lt;&gt;"","Analyst: "&amp;AF274,IF(G274="Complete","Complete",IF(AND(OR(G274="Permission Granted",G274="Commencement Expected"),AE274="Yes"),"Past expiry",IF(AND(OR(G274="Permission Granted",G274="Commencement Expected"),AC274="Yes"),"No CIS update in "&amp;AB274&amp;" months","As CIS")))))</f>
        <v>As CIS</v>
      </c>
      <c r="AI274" s="10" t="n">
        <f aca="false">IF(Z274="Yes",N(Q274),0)</f>
        <v>23</v>
      </c>
      <c r="AJ274" s="10" t="n">
        <f aca="false">IF(OR(Z274="No",G274="Complete"),0,MAX(N(Q274)-N(AA274),0))</f>
        <v>23</v>
      </c>
      <c r="AK274" s="10" t="n">
        <f aca="false">IF(Z274="No",0,IF(G274="Complete",N(Q274),MIN(N(AA274),N(Q274))))</f>
        <v>0</v>
      </c>
      <c r="AL274" s="10" t="n">
        <f aca="false">IF(OR(OR(AG274="Not counted",AG274="Excluded",AG274="Delivered"),P274="Student accommodation"),0,AJ274)</f>
        <v>23</v>
      </c>
      <c r="AM274" s="10" t="n">
        <f aca="false">IF(OR(OR(AG274="Not counted",AG274="Excluded",AG274="Delivered"),P274&lt;&gt;"Student accommodation"),0,AJ274)</f>
        <v>0</v>
      </c>
      <c r="AN274" s="10" t="n">
        <f aca="false">IF(OR(AG274="Not counted",AG274="Excluded",AG274="Delivered"),0,N(S274))</f>
        <v>0</v>
      </c>
      <c r="AO274" s="2" t="s">
        <v>1043</v>
      </c>
      <c r="AP274" s="10"/>
      <c r="AQ274" s="10"/>
      <c r="AR274" s="10"/>
      <c r="AS274" s="10"/>
      <c r="AT274" s="10"/>
      <c r="AU274" s="10"/>
      <c r="AV274" s="10" t="n">
        <f aca="false">N(AP274)+N(AQ274)+N(AR274)+N(AS274)+N(AT274)+N(AU274)</f>
        <v>0</v>
      </c>
      <c r="AW274" s="10"/>
      <c r="AX274" s="10"/>
      <c r="AY274" s="10"/>
      <c r="AZ274" s="2"/>
      <c r="BA274" s="2" t="s">
        <v>1044</v>
      </c>
      <c r="BB274" s="2"/>
      <c r="BC274" s="2"/>
      <c r="BD274" s="2"/>
      <c r="BE274" s="2"/>
      <c r="BF274" s="2" t="s">
        <v>1044</v>
      </c>
      <c r="BG274" s="22"/>
      <c r="BH274" s="22"/>
      <c r="BI274" s="2"/>
      <c r="BJ274" s="22"/>
      <c r="BK274" s="2"/>
      <c r="BL274" s="2"/>
      <c r="BM274" s="2"/>
      <c r="BN274" s="2"/>
      <c r="BO274" s="2"/>
      <c r="BP274" s="2" t="str">
        <f aca="false">IF(OR(K274="",BG274=""),"",ROUND(BG274-K274,0))</f>
        <v/>
      </c>
      <c r="BQ274" s="2" t="str">
        <f aca="false">IF(OR(N(BK274)=0,Q274=""),"Not recorded",IF(BK274=Q274,"Match","Differs"))</f>
        <v>Not recorded</v>
      </c>
      <c r="BR274" s="2" t="str">
        <f aca="false">IF(N274="No","Excluded (non-residential)",IF(BF274="No reference","Unverified – no reference",IF(BF274="Not in council register","Unverified – not in register (Part 8 / other)",IF(OR(BF274="Refused",BF274="Refused on appeal",BF274="Withdrawn",BF274="Invalid",BF274="Quashed"),IF(OR(G274="Complete",G274="On Site",G274="Part Complete"),"Conflict – register not live but CIS says built","Conflict – not live in register"),IF(AND(G274="Plans Submitted",OR(BF274="Granted",BF274="Granted on appeal")),"Stage out of date – now granted",IF(AND(G274&lt;&gt;"Plans Submitted",OR(BF274="Pending",BF274="Under appeal")),"Check – register still pending",IF(N(BL274)&gt;Method!$B$7,"Check – location differs",IF(AND(BP274&lt;&gt;"",ABS(N(BP274))&gt;60),"Consistent – decision date differs","Consistent"))))))))</f>
        <v>Unverified – no reference</v>
      </c>
      <c r="BS274" s="2"/>
      <c r="BT274" s="2"/>
      <c r="BU274" s="2"/>
      <c r="BV274" s="2"/>
      <c r="BW274" s="2"/>
      <c r="BX274" s="2"/>
    </row>
    <row r="275" customFormat="false" ht="15" hidden="false" customHeight="false" outlineLevel="0" collapsed="false">
      <c r="A275" s="2" t="n">
        <v>1422361</v>
      </c>
      <c r="B275" s="2" t="s">
        <v>807</v>
      </c>
      <c r="C275" s="2" t="s">
        <v>2026</v>
      </c>
      <c r="D275" s="2" t="s">
        <v>808</v>
      </c>
      <c r="E275" s="2" t="s">
        <v>809</v>
      </c>
      <c r="F275" s="2" t="s">
        <v>144</v>
      </c>
      <c r="G275" s="2" t="s">
        <v>700</v>
      </c>
      <c r="H275" s="2" t="s">
        <v>700</v>
      </c>
      <c r="I275" s="2"/>
      <c r="J275" s="22" t="n">
        <v>46048</v>
      </c>
      <c r="K275" s="22"/>
      <c r="L275" s="22" t="n">
        <v>46052.4189570949</v>
      </c>
      <c r="M275" s="2" t="s">
        <v>1893</v>
      </c>
      <c r="N275" s="2" t="s">
        <v>121</v>
      </c>
      <c r="O275" s="2"/>
      <c r="P275" s="2" t="s">
        <v>1017</v>
      </c>
      <c r="Q275" s="10" t="n">
        <v>8</v>
      </c>
      <c r="R275" s="10"/>
      <c r="S275" s="10"/>
      <c r="T275" s="2" t="s">
        <v>120</v>
      </c>
      <c r="U275" s="2"/>
      <c r="V275" s="2" t="s">
        <v>1029</v>
      </c>
      <c r="W275" s="2" t="s">
        <v>1030</v>
      </c>
      <c r="X275" s="7"/>
      <c r="Y275" s="2" t="str">
        <f aca="false">IF(X275&lt;&gt;"",X275,T275)</f>
        <v>Primary</v>
      </c>
      <c r="Z275" s="2" t="str">
        <f aca="false">IF(OR(Y275="Primary",Y275="Additional phase",Y275="Additional application on site",Y275="Replaces earlier",Y275="Extension of duration (parent not in CIS)"),"Yes","No")</f>
        <v>Yes</v>
      </c>
      <c r="AA275" s="2"/>
      <c r="AB275" s="2" t="n">
        <f aca="false">IF(L275="","",ROUND((Method!$B$4-L275)/30.44,0))</f>
        <v>8</v>
      </c>
      <c r="AC275" s="2" t="str">
        <f aca="false">IF(AB275="","No",IF(AB275&gt;Method!$B$5,"Yes","No"))</f>
        <v>No</v>
      </c>
      <c r="AD275" s="22" t="str">
        <f aca="false">IF(BJ275&lt;&gt;"",BJ275,IF(K275&lt;&gt;"",EDATE(K275,60),""))</f>
        <v/>
      </c>
      <c r="AE275" s="2" t="str">
        <f aca="false">IF(AND(AD275&lt;&gt;"",OR(G275="Permission Granted",G275="Commencement Expected",G275="Stalled or Suspended")),IF(AD275&lt;Method!$B$4,"Yes","No"),"No")</f>
        <v>No</v>
      </c>
      <c r="AF275" s="7"/>
      <c r="AG275" s="2" t="str">
        <f aca="false">IF(Z275="No","Not counted",IF(AF275="Lapsed or dead","Excluded",IF(AF275="Constrained","Constrained / uncertain",IF(AF275="Confirmed live",IF(G275="On Site","Committed",IF(G275="Part Complete","Committed",IF(G275="Contract Awarded","Committed Pre-Construction",IF(G275="Tender","Advanced Pre-Construction",IF(G275="Commencement Expected","Likely",IF(G275="Permission Granted","Potential",IF(G275="Stalled or Suspended","Constrained / uncertain",IF(G275="Complete","Delivered","Application Pipeline")))))))),IF(G275="Complete","Delivered",IF(AND(OR(G275="Permission Granted",G275="Commencement Expected"),OR(AC275="Yes",AE275="Yes")),"Constrained / uncertain",IF(G275="On Site","Committed",IF(G275="Part Complete","Committed",IF(G275="Contract Awarded","Committed Pre-Construction",IF(G275="Tender","Advanced Pre-Construction",IF(G275="Commencement Expected","Likely",IF(G275="Permission Granted","Potential",IF(G275="Stalled or Suspended","Constrained / uncertain",IF(G275="Complete","Delivered","Application Pipeline"))))))))))))))</f>
        <v>Application Pipeline</v>
      </c>
      <c r="AH275" s="2" t="str">
        <f aca="false">IF(Z275="No","Relationship: "&amp;Y275,IF(AF275&lt;&gt;"","Analyst: "&amp;AF275,IF(G275="Complete","Complete",IF(AND(OR(G275="Permission Granted",G275="Commencement Expected"),AE275="Yes"),"Past expiry",IF(AND(OR(G275="Permission Granted",G275="Commencement Expected"),AC275="Yes"),"No CIS update in "&amp;AB275&amp;" months","As CIS")))))</f>
        <v>As CIS</v>
      </c>
      <c r="AI275" s="10" t="n">
        <f aca="false">IF(Z275="Yes",N(Q275),0)</f>
        <v>8</v>
      </c>
      <c r="AJ275" s="10" t="n">
        <f aca="false">IF(OR(Z275="No",G275="Complete"),0,MAX(N(Q275)-N(AA275),0))</f>
        <v>8</v>
      </c>
      <c r="AK275" s="10" t="n">
        <f aca="false">IF(Z275="No",0,IF(G275="Complete",N(Q275),MIN(N(AA275),N(Q275))))</f>
        <v>0</v>
      </c>
      <c r="AL275" s="10" t="n">
        <f aca="false">IF(OR(OR(AG275="Not counted",AG275="Excluded",AG275="Delivered"),P275="Student accommodation"),0,AJ275)</f>
        <v>8</v>
      </c>
      <c r="AM275" s="10" t="n">
        <f aca="false">IF(OR(OR(AG275="Not counted",AG275="Excluded",AG275="Delivered"),P275&lt;&gt;"Student accommodation"),0,AJ275)</f>
        <v>0</v>
      </c>
      <c r="AN275" s="10" t="n">
        <f aca="false">IF(OR(AG275="Not counted",AG275="Excluded",AG275="Delivered"),0,N(S275))</f>
        <v>0</v>
      </c>
      <c r="AO275" s="2" t="s">
        <v>1031</v>
      </c>
      <c r="AP275" s="10"/>
      <c r="AQ275" s="10" t="n">
        <v>1</v>
      </c>
      <c r="AR275" s="10" t="n">
        <v>4</v>
      </c>
      <c r="AS275" s="10" t="n">
        <v>3</v>
      </c>
      <c r="AT275" s="10"/>
      <c r="AU275" s="10"/>
      <c r="AV275" s="10" t="n">
        <f aca="false">N(AP275)+N(AQ275)+N(AR275)+N(AS275)+N(AT275)+N(AU275)</f>
        <v>8</v>
      </c>
      <c r="AW275" s="10" t="n">
        <v>7</v>
      </c>
      <c r="AX275" s="10" t="n">
        <v>1</v>
      </c>
      <c r="AY275" s="10"/>
      <c r="AZ275" s="2"/>
      <c r="BA275" s="2" t="s">
        <v>1022</v>
      </c>
      <c r="BB275" s="2" t="s">
        <v>2026</v>
      </c>
      <c r="BC275" s="2" t="s">
        <v>1032</v>
      </c>
      <c r="BD275" s="2" t="s">
        <v>1033</v>
      </c>
      <c r="BE275" s="2"/>
      <c r="BF275" s="2" t="s">
        <v>1034</v>
      </c>
      <c r="BG275" s="22"/>
      <c r="BH275" s="22"/>
      <c r="BI275" s="2"/>
      <c r="BJ275" s="22"/>
      <c r="BK275" s="2" t="n">
        <v>9</v>
      </c>
      <c r="BL275" s="2" t="n">
        <v>0</v>
      </c>
      <c r="BM275" s="2"/>
      <c r="BN275" s="2" t="s">
        <v>2027</v>
      </c>
      <c r="BO275" s="23" t="s">
        <v>2028</v>
      </c>
      <c r="BP275" s="2" t="str">
        <f aca="false">IF(OR(K275="",BG275=""),"",ROUND(BG275-K275,0))</f>
        <v/>
      </c>
      <c r="BQ275" s="2" t="str">
        <f aca="false">IF(OR(N(BK275)=0,Q275=""),"Not recorded",IF(BK275=Q275,"Match","Differs"))</f>
        <v>Differs</v>
      </c>
      <c r="BR275" s="2" t="str">
        <f aca="false">IF(N275="No","Excluded (non-residential)",IF(BF275="No reference","Unverified – no reference",IF(BF275="Not in council register","Unverified – not in register (Part 8 / other)",IF(OR(BF275="Refused",BF275="Refused on appeal",BF275="Withdrawn",BF275="Invalid",BF275="Quashed"),IF(OR(G275="Complete",G275="On Site",G275="Part Complete"),"Conflict – register not live but CIS says built","Conflict – not live in register"),IF(AND(G275="Plans Submitted",OR(BF275="Granted",BF275="Granted on appeal")),"Stage out of date – now granted",IF(AND(G275&lt;&gt;"Plans Submitted",OR(BF275="Pending",BF275="Under appeal")),"Check – register still pending",IF(N(BL275)&gt;Method!$B$7,"Check – location differs",IF(AND(BP275&lt;&gt;"",ABS(N(BP275))&gt;60),"Consistent – decision date differs","Consistent"))))))))</f>
        <v>Consistent</v>
      </c>
      <c r="BS275" s="2" t="n">
        <v>1940</v>
      </c>
      <c r="BT275" s="2" t="s">
        <v>1090</v>
      </c>
      <c r="BU275" s="2" t="s">
        <v>2029</v>
      </c>
      <c r="BV275" s="2" t="s">
        <v>2004</v>
      </c>
      <c r="BW275" s="2" t="s">
        <v>2030</v>
      </c>
      <c r="BX275" s="2" t="s">
        <v>1093</v>
      </c>
    </row>
    <row r="276" customFormat="false" ht="15" hidden="false" customHeight="false" outlineLevel="0" collapsed="false">
      <c r="A276" s="2" t="n">
        <v>1424651</v>
      </c>
      <c r="B276" s="2" t="s">
        <v>855</v>
      </c>
      <c r="C276" s="2"/>
      <c r="D276" s="2" t="s">
        <v>856</v>
      </c>
      <c r="E276" s="2" t="s">
        <v>857</v>
      </c>
      <c r="F276" s="2" t="s">
        <v>139</v>
      </c>
      <c r="G276" s="2" t="s">
        <v>651</v>
      </c>
      <c r="H276" s="2"/>
      <c r="I276" s="2" t="s">
        <v>651</v>
      </c>
      <c r="J276" s="22"/>
      <c r="K276" s="22"/>
      <c r="L276" s="22" t="n">
        <v>46079.3742551273</v>
      </c>
      <c r="M276" s="2" t="s">
        <v>1893</v>
      </c>
      <c r="N276" s="2" t="s">
        <v>121</v>
      </c>
      <c r="O276" s="2"/>
      <c r="P276" s="2" t="s">
        <v>1017</v>
      </c>
      <c r="Q276" s="10" t="n">
        <v>0</v>
      </c>
      <c r="R276" s="10"/>
      <c r="S276" s="10"/>
      <c r="T276" s="2" t="s">
        <v>120</v>
      </c>
      <c r="U276" s="2"/>
      <c r="V276" s="2" t="s">
        <v>1029</v>
      </c>
      <c r="W276" s="2" t="s">
        <v>1030</v>
      </c>
      <c r="X276" s="7"/>
      <c r="Y276" s="2" t="str">
        <f aca="false">IF(X276&lt;&gt;"",X276,T276)</f>
        <v>Primary</v>
      </c>
      <c r="Z276" s="2" t="str">
        <f aca="false">IF(OR(Y276="Primary",Y276="Additional phase",Y276="Additional application on site",Y276="Replaces earlier",Y276="Extension of duration (parent not in CIS)"),"Yes","No")</f>
        <v>Yes</v>
      </c>
      <c r="AA276" s="2"/>
      <c r="AB276" s="2" t="n">
        <f aca="false">IF(L276="","",ROUND((Method!$B$4-L276)/30.44,0))</f>
        <v>7</v>
      </c>
      <c r="AC276" s="2" t="str">
        <f aca="false">IF(AB276="","No",IF(AB276&gt;Method!$B$5,"Yes","No"))</f>
        <v>No</v>
      </c>
      <c r="AD276" s="22" t="str">
        <f aca="false">IF(BJ276&lt;&gt;"",BJ276,IF(K276&lt;&gt;"",EDATE(K276,60),""))</f>
        <v/>
      </c>
      <c r="AE276" s="2" t="str">
        <f aca="false">IF(AND(AD276&lt;&gt;"",OR(G276="Permission Granted",G276="Commencement Expected",G276="Stalled or Suspended")),IF(AD276&lt;Method!$B$4,"Yes","No"),"No")</f>
        <v>No</v>
      </c>
      <c r="AF276" s="7"/>
      <c r="AG276" s="2" t="str">
        <f aca="false">IF(Z276="No","Not counted",IF(AF276="Lapsed or dead","Excluded",IF(AF276="Constrained","Constrained / uncertain",IF(AF276="Confirmed live",IF(G276="On Site","Committed",IF(G276="Part Complete","Committed",IF(G276="Contract Awarded","Committed Pre-Construction",IF(G276="Tender","Advanced Pre-Construction",IF(G276="Commencement Expected","Likely",IF(G276="Permission Granted","Potential",IF(G276="Stalled or Suspended","Constrained / uncertain",IF(G276="Complete","Delivered","Application Pipeline")))))))),IF(G276="Complete","Delivered",IF(AND(OR(G276="Permission Granted",G276="Commencement Expected"),OR(AC276="Yes",AE276="Yes")),"Constrained / uncertain",IF(G276="On Site","Committed",IF(G276="Part Complete","Committed",IF(G276="Contract Awarded","Committed Pre-Construction",IF(G276="Tender","Advanced Pre-Construction",IF(G276="Commencement Expected","Likely",IF(G276="Permission Granted","Potential",IF(G276="Stalled or Suspended","Constrained / uncertain",IF(G276="Complete","Delivered","Application Pipeline"))))))))))))))</f>
        <v>Advanced Pre-Construction</v>
      </c>
      <c r="AH276" s="2" t="str">
        <f aca="false">IF(Z276="No","Relationship: "&amp;Y276,IF(AF276&lt;&gt;"","Analyst: "&amp;AF276,IF(G276="Complete","Complete",IF(AND(OR(G276="Permission Granted",G276="Commencement Expected"),AE276="Yes"),"Past expiry",IF(AND(OR(G276="Permission Granted",G276="Commencement Expected"),AC276="Yes"),"No CIS update in "&amp;AB276&amp;" months","As CIS")))))</f>
        <v>As CIS</v>
      </c>
      <c r="AI276" s="10" t="n">
        <f aca="false">IF(Z276="Yes",N(Q276),0)</f>
        <v>0</v>
      </c>
      <c r="AJ276" s="10" t="n">
        <f aca="false">IF(OR(Z276="No",G276="Complete"),0,MAX(N(Q276)-N(AA276),0))</f>
        <v>0</v>
      </c>
      <c r="AK276" s="10" t="n">
        <f aca="false">IF(Z276="No",0,IF(G276="Complete",N(Q276),MIN(N(AA276),N(Q276))))</f>
        <v>0</v>
      </c>
      <c r="AL276" s="10" t="n">
        <f aca="false">IF(OR(OR(AG276="Not counted",AG276="Excluded",AG276="Delivered"),P276="Student accommodation"),0,AJ276)</f>
        <v>0</v>
      </c>
      <c r="AM276" s="10" t="n">
        <f aca="false">IF(OR(OR(AG276="Not counted",AG276="Excluded",AG276="Delivered"),P276&lt;&gt;"Student accommodation"),0,AJ276)</f>
        <v>0</v>
      </c>
      <c r="AN276" s="10" t="n">
        <f aca="false">IF(OR(AG276="Not counted",AG276="Excluded",AG276="Delivered"),0,N(S276))</f>
        <v>0</v>
      </c>
      <c r="AO276" s="2" t="s">
        <v>1043</v>
      </c>
      <c r="AP276" s="10"/>
      <c r="AQ276" s="10"/>
      <c r="AR276" s="10"/>
      <c r="AS276" s="10"/>
      <c r="AT276" s="10"/>
      <c r="AU276" s="10"/>
      <c r="AV276" s="10" t="n">
        <f aca="false">N(AP276)+N(AQ276)+N(AR276)+N(AS276)+N(AT276)+N(AU276)</f>
        <v>0</v>
      </c>
      <c r="AW276" s="10"/>
      <c r="AX276" s="10"/>
      <c r="AY276" s="10"/>
      <c r="AZ276" s="2"/>
      <c r="BA276" s="2" t="s">
        <v>1044</v>
      </c>
      <c r="BB276" s="2"/>
      <c r="BC276" s="2"/>
      <c r="BD276" s="2"/>
      <c r="BE276" s="2"/>
      <c r="BF276" s="2" t="s">
        <v>1044</v>
      </c>
      <c r="BG276" s="22"/>
      <c r="BH276" s="22"/>
      <c r="BI276" s="2"/>
      <c r="BJ276" s="22"/>
      <c r="BK276" s="2"/>
      <c r="BL276" s="2"/>
      <c r="BM276" s="2"/>
      <c r="BN276" s="2"/>
      <c r="BO276" s="2"/>
      <c r="BP276" s="2" t="str">
        <f aca="false">IF(OR(K276="",BG276=""),"",ROUND(BG276-K276,0))</f>
        <v/>
      </c>
      <c r="BQ276" s="2" t="str">
        <f aca="false">IF(OR(N(BK276)=0,Q276=""),"Not recorded",IF(BK276=Q276,"Match","Differs"))</f>
        <v>Not recorded</v>
      </c>
      <c r="BR276" s="2" t="str">
        <f aca="false">IF(N276="No","Excluded (non-residential)",IF(BF276="No reference","Unverified – no reference",IF(BF276="Not in council register","Unverified – not in register (Part 8 / other)",IF(OR(BF276="Refused",BF276="Refused on appeal",BF276="Withdrawn",BF276="Invalid",BF276="Quashed"),IF(OR(G276="Complete",G276="On Site",G276="Part Complete"),"Conflict – register not live but CIS says built","Conflict – not live in register"),IF(AND(G276="Plans Submitted",OR(BF276="Granted",BF276="Granted on appeal")),"Stage out of date – now granted",IF(AND(G276&lt;&gt;"Plans Submitted",OR(BF276="Pending",BF276="Under appeal")),"Check – register still pending",IF(N(BL276)&gt;Method!$B$7,"Check – location differs",IF(AND(BP276&lt;&gt;"",ABS(N(BP276))&gt;60),"Consistent – decision date differs","Consistent"))))))))</f>
        <v>Unverified – no reference</v>
      </c>
      <c r="BS276" s="2"/>
      <c r="BT276" s="2"/>
      <c r="BU276" s="2"/>
      <c r="BV276" s="2"/>
      <c r="BW276" s="2"/>
      <c r="BX276" s="2"/>
    </row>
    <row r="277" customFormat="false" ht="15" hidden="false" customHeight="false" outlineLevel="0" collapsed="false">
      <c r="A277" s="2" t="n">
        <v>1424889</v>
      </c>
      <c r="B277" s="2" t="s">
        <v>810</v>
      </c>
      <c r="C277" s="2" t="s">
        <v>2031</v>
      </c>
      <c r="D277" s="2" t="s">
        <v>811</v>
      </c>
      <c r="E277" s="2" t="s">
        <v>812</v>
      </c>
      <c r="F277" s="2" t="s">
        <v>132</v>
      </c>
      <c r="G277" s="2" t="s">
        <v>700</v>
      </c>
      <c r="H277" s="2" t="s">
        <v>700</v>
      </c>
      <c r="I277" s="2"/>
      <c r="J277" s="22" t="n">
        <v>46078</v>
      </c>
      <c r="K277" s="22"/>
      <c r="L277" s="22" t="n">
        <v>46085.4441883912</v>
      </c>
      <c r="M277" s="2" t="s">
        <v>1893</v>
      </c>
      <c r="N277" s="2" t="s">
        <v>121</v>
      </c>
      <c r="O277" s="2"/>
      <c r="P277" s="2" t="s">
        <v>1017</v>
      </c>
      <c r="Q277" s="10" t="n">
        <v>70</v>
      </c>
      <c r="R277" s="10" t="n">
        <v>70</v>
      </c>
      <c r="S277" s="10"/>
      <c r="T277" s="2" t="s">
        <v>32</v>
      </c>
      <c r="U277" s="2"/>
      <c r="V277" s="2" t="s">
        <v>1447</v>
      </c>
      <c r="W277" s="2" t="s">
        <v>1030</v>
      </c>
      <c r="X277" s="7"/>
      <c r="Y277" s="2" t="str">
        <f aca="false">IF(X277&lt;&gt;"",X277,T277)</f>
        <v>Not live</v>
      </c>
      <c r="Z277" s="2" t="str">
        <f aca="false">IF(OR(Y277="Primary",Y277="Additional phase",Y277="Additional application on site",Y277="Replaces earlier",Y277="Extension of duration (parent not in CIS)"),"Yes","No")</f>
        <v>No</v>
      </c>
      <c r="AA277" s="2"/>
      <c r="AB277" s="2" t="n">
        <f aca="false">IF(L277="","",ROUND((Method!$B$4-L277)/30.44,0))</f>
        <v>7</v>
      </c>
      <c r="AC277" s="2" t="str">
        <f aca="false">IF(AB277="","No",IF(AB277&gt;Method!$B$5,"Yes","No"))</f>
        <v>No</v>
      </c>
      <c r="AD277" s="22" t="str">
        <f aca="false">IF(BJ277&lt;&gt;"",BJ277,IF(K277&lt;&gt;"",EDATE(K277,60),""))</f>
        <v/>
      </c>
      <c r="AE277" s="2" t="str">
        <f aca="false">IF(AND(AD277&lt;&gt;"",OR(G277="Permission Granted",G277="Commencement Expected",G277="Stalled or Suspended")),IF(AD277&lt;Method!$B$4,"Yes","No"),"No")</f>
        <v>No</v>
      </c>
      <c r="AF277" s="7"/>
      <c r="AG277" s="2" t="str">
        <f aca="false">IF(Z277="No","Not counted",IF(AF277="Lapsed or dead","Excluded",IF(AF277="Constrained","Constrained / uncertain",IF(AF277="Confirmed live",IF(G277="On Site","Committed",IF(G277="Part Complete","Committed",IF(G277="Contract Awarded","Committed Pre-Construction",IF(G277="Tender","Advanced Pre-Construction",IF(G277="Commencement Expected","Likely",IF(G277="Permission Granted","Potential",IF(G277="Stalled or Suspended","Constrained / uncertain",IF(G277="Complete","Delivered","Application Pipeline")))))))),IF(G277="Complete","Delivered",IF(AND(OR(G277="Permission Granted",G277="Commencement Expected"),OR(AC277="Yes",AE277="Yes")),"Constrained / uncertain",IF(G277="On Site","Committed",IF(G277="Part Complete","Committed",IF(G277="Contract Awarded","Committed Pre-Construction",IF(G277="Tender","Advanced Pre-Construction",IF(G277="Commencement Expected","Likely",IF(G277="Permission Granted","Potential",IF(G277="Stalled or Suspended","Constrained / uncertain",IF(G277="Complete","Delivered","Application Pipeline"))))))))))))))</f>
        <v>Not counted</v>
      </c>
      <c r="AH277" s="2" t="str">
        <f aca="false">IF(Z277="No","Relationship: "&amp;Y277,IF(AF277&lt;&gt;"","Analyst: "&amp;AF277,IF(G277="Complete","Complete",IF(AND(OR(G277="Permission Granted",G277="Commencement Expected"),AE277="Yes"),"Past expiry",IF(AND(OR(G277="Permission Granted",G277="Commencement Expected"),AC277="Yes"),"No CIS update in "&amp;AB277&amp;" months","As CIS")))))</f>
        <v>Relationship: Not live</v>
      </c>
      <c r="AI277" s="10" t="n">
        <f aca="false">IF(Z277="Yes",N(Q277),0)</f>
        <v>0</v>
      </c>
      <c r="AJ277" s="10" t="n">
        <f aca="false">IF(OR(Z277="No",G277="Complete"),0,MAX(N(Q277)-N(AA277),0))</f>
        <v>0</v>
      </c>
      <c r="AK277" s="10" t="n">
        <f aca="false">IF(Z277="No",0,IF(G277="Complete",N(Q277),MIN(N(AA277),N(Q277))))</f>
        <v>0</v>
      </c>
      <c r="AL277" s="10" t="n">
        <f aca="false">IF(OR(OR(AG277="Not counted",AG277="Excluded",AG277="Delivered"),P277="Student accommodation"),0,AJ277)</f>
        <v>0</v>
      </c>
      <c r="AM277" s="10" t="n">
        <f aca="false">IF(OR(OR(AG277="Not counted",AG277="Excluded",AG277="Delivered"),P277&lt;&gt;"Student accommodation"),0,AJ277)</f>
        <v>0</v>
      </c>
      <c r="AN277" s="10" t="n">
        <f aca="false">IF(OR(AG277="Not counted",AG277="Excluded",AG277="Delivered"),0,N(S277))</f>
        <v>0</v>
      </c>
      <c r="AO277" s="2" t="s">
        <v>1069</v>
      </c>
      <c r="AP277" s="10"/>
      <c r="AQ277" s="10"/>
      <c r="AR277" s="10"/>
      <c r="AS277" s="10"/>
      <c r="AT277" s="10"/>
      <c r="AU277" s="10"/>
      <c r="AV277" s="10" t="n">
        <f aca="false">N(AP277)+N(AQ277)+N(AR277)+N(AS277)+N(AT277)+N(AU277)</f>
        <v>0</v>
      </c>
      <c r="AW277" s="10"/>
      <c r="AX277" s="10"/>
      <c r="AY277" s="10"/>
      <c r="AZ277" s="2" t="s">
        <v>2032</v>
      </c>
      <c r="BA277" s="2" t="s">
        <v>1022</v>
      </c>
      <c r="BB277" s="2" t="s">
        <v>2031</v>
      </c>
      <c r="BC277" s="2" t="s">
        <v>1582</v>
      </c>
      <c r="BD277" s="2" t="s">
        <v>1033</v>
      </c>
      <c r="BE277" s="2"/>
      <c r="BF277" s="2" t="s">
        <v>1449</v>
      </c>
      <c r="BG277" s="22"/>
      <c r="BH277" s="22"/>
      <c r="BI277" s="2"/>
      <c r="BJ277" s="22"/>
      <c r="BK277" s="2" t="n">
        <v>70</v>
      </c>
      <c r="BL277" s="2" t="n">
        <v>0</v>
      </c>
      <c r="BM277" s="2" t="s">
        <v>2033</v>
      </c>
      <c r="BN277" s="2" t="s">
        <v>2034</v>
      </c>
      <c r="BO277" s="23" t="s">
        <v>2035</v>
      </c>
      <c r="BP277" s="2" t="str">
        <f aca="false">IF(OR(K277="",BG277=""),"",ROUND(BG277-K277,0))</f>
        <v/>
      </c>
      <c r="BQ277" s="2" t="str">
        <f aca="false">IF(OR(N(BK277)=0,Q277=""),"Not recorded",IF(BK277=Q277,"Match","Differs"))</f>
        <v>Match</v>
      </c>
      <c r="BR277" s="2" t="str">
        <f aca="false">IF(N277="No","Excluded (non-residential)",IF(BF277="No reference","Unverified – no reference",IF(BF277="Not in council register","Unverified – not in register (Part 8 / other)",IF(OR(BF277="Refused",BF277="Refused on appeal",BF277="Withdrawn",BF277="Invalid",BF277="Quashed"),IF(OR(G277="Complete",G277="On Site",G277="Part Complete"),"Conflict – register not live but CIS says built","Conflict – not live in register"),IF(AND(G277="Plans Submitted",OR(BF277="Granted",BF277="Granted on appeal")),"Stage out of date – now granted",IF(AND(G277&lt;&gt;"Plans Submitted",OR(BF277="Pending",BF277="Under appeal")),"Check – register still pending",IF(N(BL277)&gt;Method!$B$7,"Check – location differs",IF(AND(BP277&lt;&gt;"",ABS(N(BP277))&gt;60),"Consistent – decision date differs","Consistent"))))))))</f>
        <v>Conflict – not live in register</v>
      </c>
      <c r="BS277" s="2"/>
      <c r="BT277" s="2"/>
      <c r="BU277" s="2"/>
      <c r="BV277" s="2"/>
      <c r="BW277" s="2"/>
      <c r="BX277" s="2"/>
    </row>
    <row r="278" customFormat="false" ht="15" hidden="false" customHeight="false" outlineLevel="0" collapsed="false">
      <c r="A278" s="2" t="n">
        <v>1425841</v>
      </c>
      <c r="B278" s="2" t="s">
        <v>801</v>
      </c>
      <c r="C278" s="2" t="s">
        <v>2036</v>
      </c>
      <c r="D278" s="2" t="s">
        <v>802</v>
      </c>
      <c r="E278" s="2" t="s">
        <v>803</v>
      </c>
      <c r="F278" s="2" t="s">
        <v>139</v>
      </c>
      <c r="G278" s="2" t="s">
        <v>700</v>
      </c>
      <c r="H278" s="2" t="s">
        <v>700</v>
      </c>
      <c r="I278" s="2"/>
      <c r="J278" s="22" t="n">
        <v>46010</v>
      </c>
      <c r="K278" s="22"/>
      <c r="L278" s="22" t="n">
        <v>46092.5433327894</v>
      </c>
      <c r="M278" s="2" t="s">
        <v>1893</v>
      </c>
      <c r="N278" s="2" t="s">
        <v>121</v>
      </c>
      <c r="O278" s="2"/>
      <c r="P278" s="2" t="s">
        <v>1017</v>
      </c>
      <c r="Q278" s="10" t="n">
        <v>57</v>
      </c>
      <c r="R278" s="10" t="n">
        <v>57</v>
      </c>
      <c r="S278" s="10"/>
      <c r="T278" s="2" t="s">
        <v>120</v>
      </c>
      <c r="U278" s="2"/>
      <c r="V278" s="2" t="s">
        <v>1029</v>
      </c>
      <c r="W278" s="2" t="s">
        <v>1030</v>
      </c>
      <c r="X278" s="7"/>
      <c r="Y278" s="2" t="str">
        <f aca="false">IF(X278&lt;&gt;"",X278,T278)</f>
        <v>Primary</v>
      </c>
      <c r="Z278" s="2" t="str">
        <f aca="false">IF(OR(Y278="Primary",Y278="Additional phase",Y278="Additional application on site",Y278="Replaces earlier",Y278="Extension of duration (parent not in CIS)"),"Yes","No")</f>
        <v>Yes</v>
      </c>
      <c r="AA278" s="2"/>
      <c r="AB278" s="2" t="n">
        <f aca="false">IF(L278="","",ROUND((Method!$B$4-L278)/30.44,0))</f>
        <v>7</v>
      </c>
      <c r="AC278" s="2" t="str">
        <f aca="false">IF(AB278="","No",IF(AB278&gt;Method!$B$5,"Yes","No"))</f>
        <v>No</v>
      </c>
      <c r="AD278" s="22" t="str">
        <f aca="false">IF(BJ278&lt;&gt;"",BJ278,IF(K278&lt;&gt;"",EDATE(K278,60),""))</f>
        <v/>
      </c>
      <c r="AE278" s="2" t="str">
        <f aca="false">IF(AND(AD278&lt;&gt;"",OR(G278="Permission Granted",G278="Commencement Expected",G278="Stalled or Suspended")),IF(AD278&lt;Method!$B$4,"Yes","No"),"No")</f>
        <v>No</v>
      </c>
      <c r="AF278" s="7"/>
      <c r="AG278" s="2" t="str">
        <f aca="false">IF(Z278="No","Not counted",IF(AF278="Lapsed or dead","Excluded",IF(AF278="Constrained","Constrained / uncertain",IF(AF278="Confirmed live",IF(G278="On Site","Committed",IF(G278="Part Complete","Committed",IF(G278="Contract Awarded","Committed Pre-Construction",IF(G278="Tender","Advanced Pre-Construction",IF(G278="Commencement Expected","Likely",IF(G278="Permission Granted","Potential",IF(G278="Stalled or Suspended","Constrained / uncertain",IF(G278="Complete","Delivered","Application Pipeline")))))))),IF(G278="Complete","Delivered",IF(AND(OR(G278="Permission Granted",G278="Commencement Expected"),OR(AC278="Yes",AE278="Yes")),"Constrained / uncertain",IF(G278="On Site","Committed",IF(G278="Part Complete","Committed",IF(G278="Contract Awarded","Committed Pre-Construction",IF(G278="Tender","Advanced Pre-Construction",IF(G278="Commencement Expected","Likely",IF(G278="Permission Granted","Potential",IF(G278="Stalled or Suspended","Constrained / uncertain",IF(G278="Complete","Delivered","Application Pipeline"))))))))))))))</f>
        <v>Application Pipeline</v>
      </c>
      <c r="AH278" s="2" t="str">
        <f aca="false">IF(Z278="No","Relationship: "&amp;Y278,IF(AF278&lt;&gt;"","Analyst: "&amp;AF278,IF(G278="Complete","Complete",IF(AND(OR(G278="Permission Granted",G278="Commencement Expected"),AE278="Yes"),"Past expiry",IF(AND(OR(G278="Permission Granted",G278="Commencement Expected"),AC278="Yes"),"No CIS update in "&amp;AB278&amp;" months","As CIS")))))</f>
        <v>As CIS</v>
      </c>
      <c r="AI278" s="10" t="n">
        <f aca="false">IF(Z278="Yes",N(Q278),0)</f>
        <v>57</v>
      </c>
      <c r="AJ278" s="10" t="n">
        <f aca="false">IF(OR(Z278="No",G278="Complete"),0,MAX(N(Q278)-N(AA278),0))</f>
        <v>57</v>
      </c>
      <c r="AK278" s="10" t="n">
        <f aca="false">IF(Z278="No",0,IF(G278="Complete",N(Q278),MIN(N(AA278),N(Q278))))</f>
        <v>0</v>
      </c>
      <c r="AL278" s="10" t="n">
        <f aca="false">IF(OR(OR(AG278="Not counted",AG278="Excluded",AG278="Delivered"),P278="Student accommodation"),0,AJ278)</f>
        <v>57</v>
      </c>
      <c r="AM278" s="10" t="n">
        <f aca="false">IF(OR(OR(AG278="Not counted",AG278="Excluded",AG278="Delivered"),P278&lt;&gt;"Student accommodation"),0,AJ278)</f>
        <v>0</v>
      </c>
      <c r="AN278" s="10" t="n">
        <f aca="false">IF(OR(AG278="Not counted",AG278="Excluded",AG278="Delivered"),0,N(S278))</f>
        <v>0</v>
      </c>
      <c r="AO278" s="2" t="s">
        <v>1157</v>
      </c>
      <c r="AP278" s="10"/>
      <c r="AQ278" s="10" t="n">
        <v>18</v>
      </c>
      <c r="AR278" s="10" t="n">
        <v>19</v>
      </c>
      <c r="AS278" s="10" t="n">
        <v>16</v>
      </c>
      <c r="AT278" s="10" t="n">
        <v>4</v>
      </c>
      <c r="AU278" s="10"/>
      <c r="AV278" s="10" t="n">
        <f aca="false">N(AP278)+N(AQ278)+N(AR278)+N(AS278)+N(AT278)+N(AU278)</f>
        <v>57</v>
      </c>
      <c r="AW278" s="10" t="n">
        <v>19</v>
      </c>
      <c r="AX278" s="10" t="n">
        <v>38</v>
      </c>
      <c r="AY278" s="10"/>
      <c r="AZ278" s="2"/>
      <c r="BA278" s="2" t="s">
        <v>1022</v>
      </c>
      <c r="BB278" s="2" t="s">
        <v>2036</v>
      </c>
      <c r="BC278" s="2" t="s">
        <v>1032</v>
      </c>
      <c r="BD278" s="2" t="s">
        <v>1033</v>
      </c>
      <c r="BE278" s="2"/>
      <c r="BF278" s="2" t="s">
        <v>1034</v>
      </c>
      <c r="BG278" s="22"/>
      <c r="BH278" s="22"/>
      <c r="BI278" s="2"/>
      <c r="BJ278" s="22"/>
      <c r="BK278" s="2"/>
      <c r="BL278" s="2" t="n">
        <v>0</v>
      </c>
      <c r="BM278" s="2"/>
      <c r="BN278" s="2" t="s">
        <v>2037</v>
      </c>
      <c r="BO278" s="23" t="s">
        <v>2038</v>
      </c>
      <c r="BP278" s="2" t="str">
        <f aca="false">IF(OR(K278="",BG278=""),"",ROUND(BG278-K278,0))</f>
        <v/>
      </c>
      <c r="BQ278" s="2" t="str">
        <f aca="false">IF(OR(N(BK278)=0,Q278=""),"Not recorded",IF(BK278=Q278,"Match","Differs"))</f>
        <v>Not recorded</v>
      </c>
      <c r="BR278" s="2" t="str">
        <f aca="false">IF(N278="No","Excluded (non-residential)",IF(BF278="No reference","Unverified – no reference",IF(BF278="Not in council register","Unverified – not in register (Part 8 / other)",IF(OR(BF278="Refused",BF278="Refused on appeal",BF278="Withdrawn",BF278="Invalid",BF278="Quashed"),IF(OR(G278="Complete",G278="On Site",G278="Part Complete"),"Conflict – register not live but CIS says built","Conflict – not live in register"),IF(AND(G278="Plans Submitted",OR(BF278="Granted",BF278="Granted on appeal")),"Stage out of date – now granted",IF(AND(G278&lt;&gt;"Plans Submitted",OR(BF278="Pending",BF278="Under appeal")),"Check – register still pending",IF(N(BL278)&gt;Method!$B$7,"Check – location differs",IF(AND(BP278&lt;&gt;"",ABS(N(BP278))&gt;60),"Consistent – decision date differs","Consistent"))))))))</f>
        <v>Consistent</v>
      </c>
      <c r="BS278" s="2"/>
      <c r="BT278" s="2"/>
      <c r="BU278" s="2"/>
      <c r="BV278" s="2"/>
      <c r="BW278" s="2"/>
      <c r="BX278" s="2"/>
    </row>
    <row r="279" customFormat="false" ht="15" hidden="false" customHeight="false" outlineLevel="0" collapsed="false">
      <c r="A279" s="2" t="n">
        <v>1431510</v>
      </c>
      <c r="B279" s="2" t="s">
        <v>823</v>
      </c>
      <c r="C279" s="2" t="s">
        <v>2039</v>
      </c>
      <c r="D279" s="2" t="s">
        <v>824</v>
      </c>
      <c r="E279" s="2" t="s">
        <v>825</v>
      </c>
      <c r="F279" s="2" t="s">
        <v>139</v>
      </c>
      <c r="G279" s="2" t="s">
        <v>700</v>
      </c>
      <c r="H279" s="2" t="s">
        <v>700</v>
      </c>
      <c r="I279" s="2"/>
      <c r="J279" s="22" t="n">
        <v>46112</v>
      </c>
      <c r="K279" s="22"/>
      <c r="L279" s="22" t="n">
        <v>46125.3105812153</v>
      </c>
      <c r="M279" s="2" t="s">
        <v>1893</v>
      </c>
      <c r="N279" s="2" t="s">
        <v>121</v>
      </c>
      <c r="O279" s="2"/>
      <c r="P279" s="2" t="s">
        <v>1017</v>
      </c>
      <c r="Q279" s="10" t="n">
        <v>13</v>
      </c>
      <c r="R279" s="10"/>
      <c r="S279" s="10"/>
      <c r="T279" s="2" t="s">
        <v>120</v>
      </c>
      <c r="U279" s="2"/>
      <c r="V279" s="2" t="s">
        <v>1029</v>
      </c>
      <c r="W279" s="2" t="s">
        <v>1030</v>
      </c>
      <c r="X279" s="7"/>
      <c r="Y279" s="2" t="str">
        <f aca="false">IF(X279&lt;&gt;"",X279,T279)</f>
        <v>Primary</v>
      </c>
      <c r="Z279" s="2" t="str">
        <f aca="false">IF(OR(Y279="Primary",Y279="Additional phase",Y279="Additional application on site",Y279="Replaces earlier",Y279="Extension of duration (parent not in CIS)"),"Yes","No")</f>
        <v>Yes</v>
      </c>
      <c r="AA279" s="2"/>
      <c r="AB279" s="2" t="n">
        <f aca="false">IF(L279="","",ROUND((Method!$B$4-L279)/30.44,0))</f>
        <v>6</v>
      </c>
      <c r="AC279" s="2" t="str">
        <f aca="false">IF(AB279="","No",IF(AB279&gt;Method!$B$5,"Yes","No"))</f>
        <v>No</v>
      </c>
      <c r="AD279" s="22" t="str">
        <f aca="false">IF(BJ279&lt;&gt;"",BJ279,IF(K279&lt;&gt;"",EDATE(K279,60),""))</f>
        <v/>
      </c>
      <c r="AE279" s="2" t="str">
        <f aca="false">IF(AND(AD279&lt;&gt;"",OR(G279="Permission Granted",G279="Commencement Expected",G279="Stalled or Suspended")),IF(AD279&lt;Method!$B$4,"Yes","No"),"No")</f>
        <v>No</v>
      </c>
      <c r="AF279" s="7"/>
      <c r="AG279" s="2" t="str">
        <f aca="false">IF(Z279="No","Not counted",IF(AF279="Lapsed or dead","Excluded",IF(AF279="Constrained","Constrained / uncertain",IF(AF279="Confirmed live",IF(G279="On Site","Committed",IF(G279="Part Complete","Committed",IF(G279="Contract Awarded","Committed Pre-Construction",IF(G279="Tender","Advanced Pre-Construction",IF(G279="Commencement Expected","Likely",IF(G279="Permission Granted","Potential",IF(G279="Stalled or Suspended","Constrained / uncertain",IF(G279="Complete","Delivered","Application Pipeline")))))))),IF(G279="Complete","Delivered",IF(AND(OR(G279="Permission Granted",G279="Commencement Expected"),OR(AC279="Yes",AE279="Yes")),"Constrained / uncertain",IF(G279="On Site","Committed",IF(G279="Part Complete","Committed",IF(G279="Contract Awarded","Committed Pre-Construction",IF(G279="Tender","Advanced Pre-Construction",IF(G279="Commencement Expected","Likely",IF(G279="Permission Granted","Potential",IF(G279="Stalled or Suspended","Constrained / uncertain",IF(G279="Complete","Delivered","Application Pipeline"))))))))))))))</f>
        <v>Application Pipeline</v>
      </c>
      <c r="AH279" s="2" t="str">
        <f aca="false">IF(Z279="No","Relationship: "&amp;Y279,IF(AF279&lt;&gt;"","Analyst: "&amp;AF279,IF(G279="Complete","Complete",IF(AND(OR(G279="Permission Granted",G279="Commencement Expected"),AE279="Yes"),"Past expiry",IF(AND(OR(G279="Permission Granted",G279="Commencement Expected"),AC279="Yes"),"No CIS update in "&amp;AB279&amp;" months","As CIS")))))</f>
        <v>As CIS</v>
      </c>
      <c r="AI279" s="10" t="n">
        <f aca="false">IF(Z279="Yes",N(Q279),0)</f>
        <v>13</v>
      </c>
      <c r="AJ279" s="10" t="n">
        <f aca="false">IF(OR(Z279="No",G279="Complete"),0,MAX(N(Q279)-N(AA279),0))</f>
        <v>13</v>
      </c>
      <c r="AK279" s="10" t="n">
        <f aca="false">IF(Z279="No",0,IF(G279="Complete",N(Q279),MIN(N(AA279),N(Q279))))</f>
        <v>0</v>
      </c>
      <c r="AL279" s="10" t="n">
        <f aca="false">IF(OR(OR(AG279="Not counted",AG279="Excluded",AG279="Delivered"),P279="Student accommodation"),0,AJ279)</f>
        <v>13</v>
      </c>
      <c r="AM279" s="10" t="n">
        <f aca="false">IF(OR(OR(AG279="Not counted",AG279="Excluded",AG279="Delivered"),P279&lt;&gt;"Student accommodation"),0,AJ279)</f>
        <v>0</v>
      </c>
      <c r="AN279" s="10" t="n">
        <f aca="false">IF(OR(AG279="Not counted",AG279="Excluded",AG279="Delivered"),0,N(S279))</f>
        <v>0</v>
      </c>
      <c r="AO279" s="2" t="s">
        <v>1043</v>
      </c>
      <c r="AP279" s="10"/>
      <c r="AQ279" s="10"/>
      <c r="AR279" s="10"/>
      <c r="AS279" s="10"/>
      <c r="AT279" s="10"/>
      <c r="AU279" s="10"/>
      <c r="AV279" s="10" t="n">
        <f aca="false">N(AP279)+N(AQ279)+N(AR279)+N(AS279)+N(AT279)+N(AU279)</f>
        <v>0</v>
      </c>
      <c r="AW279" s="10"/>
      <c r="AX279" s="10"/>
      <c r="AY279" s="10"/>
      <c r="AZ279" s="2"/>
      <c r="BA279" s="2" t="s">
        <v>1095</v>
      </c>
      <c r="BB279" s="2"/>
      <c r="BC279" s="2"/>
      <c r="BD279" s="2"/>
      <c r="BE279" s="2"/>
      <c r="BF279" s="2" t="s">
        <v>1095</v>
      </c>
      <c r="BG279" s="22"/>
      <c r="BH279" s="22"/>
      <c r="BI279" s="2"/>
      <c r="BJ279" s="22"/>
      <c r="BK279" s="2"/>
      <c r="BL279" s="2"/>
      <c r="BM279" s="2"/>
      <c r="BN279" s="2"/>
      <c r="BO279" s="2"/>
      <c r="BP279" s="2" t="str">
        <f aca="false">IF(OR(K279="",BG279=""),"",ROUND(BG279-K279,0))</f>
        <v/>
      </c>
      <c r="BQ279" s="2" t="str">
        <f aca="false">IF(OR(N(BK279)=0,Q279=""),"Not recorded",IF(BK279=Q279,"Match","Differs"))</f>
        <v>Not recorded</v>
      </c>
      <c r="BR279" s="2" t="str">
        <f aca="false">IF(N279="No","Excluded (non-residential)",IF(BF279="No reference","Unverified – no reference",IF(BF279="Not in council register","Unverified – not in register (Part 8 / other)",IF(OR(BF279="Refused",BF279="Refused on appeal",BF279="Withdrawn",BF279="Invalid",BF279="Quashed"),IF(OR(G279="Complete",G279="On Site",G279="Part Complete"),"Conflict – register not live but CIS says built","Conflict – not live in register"),IF(AND(G279="Plans Submitted",OR(BF279="Granted",BF279="Granted on appeal")),"Stage out of date – now granted",IF(AND(G279&lt;&gt;"Plans Submitted",OR(BF279="Pending",BF279="Under appeal")),"Check – register still pending",IF(N(BL279)&gt;Method!$B$7,"Check – location differs",IF(AND(BP279&lt;&gt;"",ABS(N(BP279))&gt;60),"Consistent – decision date differs","Consistent"))))))))</f>
        <v>Unverified – not in register (Part 8 / other)</v>
      </c>
      <c r="BS279" s="2"/>
      <c r="BT279" s="2"/>
      <c r="BU279" s="2"/>
      <c r="BV279" s="2"/>
      <c r="BW279" s="2"/>
      <c r="BX279" s="2"/>
    </row>
    <row r="280" customFormat="false" ht="15" hidden="false" customHeight="false" outlineLevel="0" collapsed="false">
      <c r="A280" s="2" t="n">
        <v>1433772</v>
      </c>
      <c r="B280" s="2" t="s">
        <v>826</v>
      </c>
      <c r="C280" s="2" t="s">
        <v>2040</v>
      </c>
      <c r="D280" s="2" t="s">
        <v>827</v>
      </c>
      <c r="E280" s="2" t="s">
        <v>828</v>
      </c>
      <c r="F280" s="2" t="s">
        <v>139</v>
      </c>
      <c r="G280" s="2" t="s">
        <v>700</v>
      </c>
      <c r="H280" s="2" t="s">
        <v>700</v>
      </c>
      <c r="I280" s="2"/>
      <c r="J280" s="22" t="n">
        <v>46139</v>
      </c>
      <c r="K280" s="22"/>
      <c r="L280" s="22" t="n">
        <v>46140.3881635764</v>
      </c>
      <c r="M280" s="2" t="s">
        <v>1893</v>
      </c>
      <c r="N280" s="2" t="s">
        <v>121</v>
      </c>
      <c r="O280" s="2"/>
      <c r="P280" s="2" t="s">
        <v>1017</v>
      </c>
      <c r="Q280" s="10" t="n">
        <v>13</v>
      </c>
      <c r="R280" s="10"/>
      <c r="S280" s="10"/>
      <c r="T280" s="2" t="s">
        <v>30</v>
      </c>
      <c r="U280" s="2"/>
      <c r="V280" s="2" t="s">
        <v>1080</v>
      </c>
      <c r="W280" s="2" t="s">
        <v>1020</v>
      </c>
      <c r="X280" s="7"/>
      <c r="Y280" s="2" t="str">
        <f aca="false">IF(X280&lt;&gt;"",X280,T280)</f>
        <v>Additional application on site</v>
      </c>
      <c r="Z280" s="2" t="str">
        <f aca="false">IF(OR(Y280="Primary",Y280="Additional phase",Y280="Additional application on site",Y280="Replaces earlier",Y280="Extension of duration (parent not in CIS)"),"Yes","No")</f>
        <v>Yes</v>
      </c>
      <c r="AA280" s="2"/>
      <c r="AB280" s="2" t="n">
        <f aca="false">IF(L280="","",ROUND((Method!$B$4-L280)/30.44,0))</f>
        <v>5</v>
      </c>
      <c r="AC280" s="2" t="str">
        <f aca="false">IF(AB280="","No",IF(AB280&gt;Method!$B$5,"Yes","No"))</f>
        <v>No</v>
      </c>
      <c r="AD280" s="22" t="str">
        <f aca="false">IF(BJ280&lt;&gt;"",BJ280,IF(K280&lt;&gt;"",EDATE(K280,60),""))</f>
        <v/>
      </c>
      <c r="AE280" s="2" t="str">
        <f aca="false">IF(AND(AD280&lt;&gt;"",OR(G280="Permission Granted",G280="Commencement Expected",G280="Stalled or Suspended")),IF(AD280&lt;Method!$B$4,"Yes","No"),"No")</f>
        <v>No</v>
      </c>
      <c r="AF280" s="7"/>
      <c r="AG280" s="2" t="str">
        <f aca="false">IF(Z280="No","Not counted",IF(AF280="Lapsed or dead","Excluded",IF(AF280="Constrained","Constrained / uncertain",IF(AF280="Confirmed live",IF(G280="On Site","Committed",IF(G280="Part Complete","Committed",IF(G280="Contract Awarded","Committed Pre-Construction",IF(G280="Tender","Advanced Pre-Construction",IF(G280="Commencement Expected","Likely",IF(G280="Permission Granted","Potential",IF(G280="Stalled or Suspended","Constrained / uncertain",IF(G280="Complete","Delivered","Application Pipeline")))))))),IF(G280="Complete","Delivered",IF(AND(OR(G280="Permission Granted",G280="Commencement Expected"),OR(AC280="Yes",AE280="Yes")),"Constrained / uncertain",IF(G280="On Site","Committed",IF(G280="Part Complete","Committed",IF(G280="Contract Awarded","Committed Pre-Construction",IF(G280="Tender","Advanced Pre-Construction",IF(G280="Commencement Expected","Likely",IF(G280="Permission Granted","Potential",IF(G280="Stalled or Suspended","Constrained / uncertain",IF(G280="Complete","Delivered","Application Pipeline"))))))))))))))</f>
        <v>Application Pipeline</v>
      </c>
      <c r="AH280" s="2" t="str">
        <f aca="false">IF(Z280="No","Relationship: "&amp;Y280,IF(AF280&lt;&gt;"","Analyst: "&amp;AF280,IF(G280="Complete","Complete",IF(AND(OR(G280="Permission Granted",G280="Commencement Expected"),AE280="Yes"),"Past expiry",IF(AND(OR(G280="Permission Granted",G280="Commencement Expected"),AC280="Yes"),"No CIS update in "&amp;AB280&amp;" months","As CIS")))))</f>
        <v>As CIS</v>
      </c>
      <c r="AI280" s="10" t="n">
        <f aca="false">IF(Z280="Yes",N(Q280),0)</f>
        <v>13</v>
      </c>
      <c r="AJ280" s="10" t="n">
        <f aca="false">IF(OR(Z280="No",G280="Complete"),0,MAX(N(Q280)-N(AA280),0))</f>
        <v>13</v>
      </c>
      <c r="AK280" s="10" t="n">
        <f aca="false">IF(Z280="No",0,IF(G280="Complete",N(Q280),MIN(N(AA280),N(Q280))))</f>
        <v>0</v>
      </c>
      <c r="AL280" s="10" t="n">
        <f aca="false">IF(OR(OR(AG280="Not counted",AG280="Excluded",AG280="Delivered"),P280="Student accommodation"),0,AJ280)</f>
        <v>13</v>
      </c>
      <c r="AM280" s="10" t="n">
        <f aca="false">IF(OR(OR(AG280="Not counted",AG280="Excluded",AG280="Delivered"),P280&lt;&gt;"Student accommodation"),0,AJ280)</f>
        <v>0</v>
      </c>
      <c r="AN280" s="10" t="n">
        <f aca="false">IF(OR(AG280="Not counted",AG280="Excluded",AG280="Delivered"),0,N(S280))</f>
        <v>0</v>
      </c>
      <c r="AO280" s="2" t="s">
        <v>1043</v>
      </c>
      <c r="AP280" s="10"/>
      <c r="AQ280" s="10"/>
      <c r="AR280" s="10"/>
      <c r="AS280" s="10"/>
      <c r="AT280" s="10"/>
      <c r="AU280" s="10"/>
      <c r="AV280" s="10" t="n">
        <f aca="false">N(AP280)+N(AQ280)+N(AR280)+N(AS280)+N(AT280)+N(AU280)</f>
        <v>0</v>
      </c>
      <c r="AW280" s="10"/>
      <c r="AX280" s="10"/>
      <c r="AY280" s="10"/>
      <c r="AZ280" s="2"/>
      <c r="BA280" s="2" t="s">
        <v>1095</v>
      </c>
      <c r="BB280" s="2"/>
      <c r="BC280" s="2"/>
      <c r="BD280" s="2"/>
      <c r="BE280" s="2"/>
      <c r="BF280" s="2" t="s">
        <v>1095</v>
      </c>
      <c r="BG280" s="22"/>
      <c r="BH280" s="22"/>
      <c r="BI280" s="2"/>
      <c r="BJ280" s="22"/>
      <c r="BK280" s="2"/>
      <c r="BL280" s="2"/>
      <c r="BM280" s="2"/>
      <c r="BN280" s="2"/>
      <c r="BO280" s="2"/>
      <c r="BP280" s="2" t="str">
        <f aca="false">IF(OR(K280="",BG280=""),"",ROUND(BG280-K280,0))</f>
        <v/>
      </c>
      <c r="BQ280" s="2" t="str">
        <f aca="false">IF(OR(N(BK280)=0,Q280=""),"Not recorded",IF(BK280=Q280,"Match","Differs"))</f>
        <v>Not recorded</v>
      </c>
      <c r="BR280" s="2" t="str">
        <f aca="false">IF(N280="No","Excluded (non-residential)",IF(BF280="No reference","Unverified – no reference",IF(BF280="Not in council register","Unverified – not in register (Part 8 / other)",IF(OR(BF280="Refused",BF280="Refused on appeal",BF280="Withdrawn",BF280="Invalid",BF280="Quashed"),IF(OR(G280="Complete",G280="On Site",G280="Part Complete"),"Conflict – register not live but CIS says built","Conflict – not live in register"),IF(AND(G280="Plans Submitted",OR(BF280="Granted",BF280="Granted on appeal")),"Stage out of date – now granted",IF(AND(G280&lt;&gt;"Plans Submitted",OR(BF280="Pending",BF280="Under appeal")),"Check – register still pending",IF(N(BL280)&gt;Method!$B$7,"Check – location differs",IF(AND(BP280&lt;&gt;"",ABS(N(BP280))&gt;60),"Consistent – decision date differs","Consistent"))))))))</f>
        <v>Unverified – not in register (Part 8 / other)</v>
      </c>
      <c r="BS280" s="2" t="n">
        <v>1849</v>
      </c>
      <c r="BT280" s="2" t="s">
        <v>1049</v>
      </c>
      <c r="BU280" s="2"/>
      <c r="BV280" s="2" t="s">
        <v>2004</v>
      </c>
      <c r="BW280" s="2" t="s">
        <v>1179</v>
      </c>
      <c r="BX280" s="2" t="s">
        <v>1052</v>
      </c>
    </row>
    <row r="281" customFormat="false" ht="15" hidden="false" customHeight="false" outlineLevel="0" collapsed="false">
      <c r="A281" s="2" t="n">
        <v>1438055</v>
      </c>
      <c r="B281" s="2" t="s">
        <v>858</v>
      </c>
      <c r="C281" s="2"/>
      <c r="D281" s="2" t="s">
        <v>859</v>
      </c>
      <c r="E281" s="2" t="s">
        <v>860</v>
      </c>
      <c r="F281" s="2" t="s">
        <v>139</v>
      </c>
      <c r="G281" s="2" t="s">
        <v>651</v>
      </c>
      <c r="H281" s="2"/>
      <c r="I281" s="2" t="s">
        <v>651</v>
      </c>
      <c r="J281" s="22"/>
      <c r="K281" s="22"/>
      <c r="L281" s="22" t="n">
        <v>46190.3328899306</v>
      </c>
      <c r="M281" s="2" t="s">
        <v>1893</v>
      </c>
      <c r="N281" s="2" t="s">
        <v>121</v>
      </c>
      <c r="O281" s="2"/>
      <c r="P281" s="2" t="s">
        <v>1017</v>
      </c>
      <c r="Q281" s="10"/>
      <c r="R281" s="10"/>
      <c r="S281" s="10"/>
      <c r="T281" s="2" t="s">
        <v>120</v>
      </c>
      <c r="U281" s="2"/>
      <c r="V281" s="2" t="s">
        <v>1029</v>
      </c>
      <c r="W281" s="2" t="s">
        <v>1030</v>
      </c>
      <c r="X281" s="7"/>
      <c r="Y281" s="2" t="str">
        <f aca="false">IF(X281&lt;&gt;"",X281,T281)</f>
        <v>Primary</v>
      </c>
      <c r="Z281" s="2" t="str">
        <f aca="false">IF(OR(Y281="Primary",Y281="Additional phase",Y281="Additional application on site",Y281="Replaces earlier",Y281="Extension of duration (parent not in CIS)"),"Yes","No")</f>
        <v>Yes</v>
      </c>
      <c r="AA281" s="2"/>
      <c r="AB281" s="2" t="n">
        <f aca="false">IF(L281="","",ROUND((Method!$B$4-L281)/30.44,0))</f>
        <v>3</v>
      </c>
      <c r="AC281" s="2" t="str">
        <f aca="false">IF(AB281="","No",IF(AB281&gt;Method!$B$5,"Yes","No"))</f>
        <v>No</v>
      </c>
      <c r="AD281" s="22" t="str">
        <f aca="false">IF(BJ281&lt;&gt;"",BJ281,IF(K281&lt;&gt;"",EDATE(K281,60),""))</f>
        <v/>
      </c>
      <c r="AE281" s="2" t="str">
        <f aca="false">IF(AND(AD281&lt;&gt;"",OR(G281="Permission Granted",G281="Commencement Expected",G281="Stalled or Suspended")),IF(AD281&lt;Method!$B$4,"Yes","No"),"No")</f>
        <v>No</v>
      </c>
      <c r="AF281" s="7"/>
      <c r="AG281" s="2" t="str">
        <f aca="false">IF(Z281="No","Not counted",IF(AF281="Lapsed or dead","Excluded",IF(AF281="Constrained","Constrained / uncertain",IF(AF281="Confirmed live",IF(G281="On Site","Committed",IF(G281="Part Complete","Committed",IF(G281="Contract Awarded","Committed Pre-Construction",IF(G281="Tender","Advanced Pre-Construction",IF(G281="Commencement Expected","Likely",IF(G281="Permission Granted","Potential",IF(G281="Stalled or Suspended","Constrained / uncertain",IF(G281="Complete","Delivered","Application Pipeline")))))))),IF(G281="Complete","Delivered",IF(AND(OR(G281="Permission Granted",G281="Commencement Expected"),OR(AC281="Yes",AE281="Yes")),"Constrained / uncertain",IF(G281="On Site","Committed",IF(G281="Part Complete","Committed",IF(G281="Contract Awarded","Committed Pre-Construction",IF(G281="Tender","Advanced Pre-Construction",IF(G281="Commencement Expected","Likely",IF(G281="Permission Granted","Potential",IF(G281="Stalled or Suspended","Constrained / uncertain",IF(G281="Complete","Delivered","Application Pipeline"))))))))))))))</f>
        <v>Advanced Pre-Construction</v>
      </c>
      <c r="AH281" s="2" t="str">
        <f aca="false">IF(Z281="No","Relationship: "&amp;Y281,IF(AF281&lt;&gt;"","Analyst: "&amp;AF281,IF(G281="Complete","Complete",IF(AND(OR(G281="Permission Granted",G281="Commencement Expected"),AE281="Yes"),"Past expiry",IF(AND(OR(G281="Permission Granted",G281="Commencement Expected"),AC281="Yes"),"No CIS update in "&amp;AB281&amp;" months","As CIS")))))</f>
        <v>As CIS</v>
      </c>
      <c r="AI281" s="10" t="n">
        <f aca="false">IF(Z281="Yes",N(Q281),0)</f>
        <v>0</v>
      </c>
      <c r="AJ281" s="10" t="n">
        <f aca="false">IF(OR(Z281="No",G281="Complete"),0,MAX(N(Q281)-N(AA281),0))</f>
        <v>0</v>
      </c>
      <c r="AK281" s="10" t="n">
        <f aca="false">IF(Z281="No",0,IF(G281="Complete",N(Q281),MIN(N(AA281),N(Q281))))</f>
        <v>0</v>
      </c>
      <c r="AL281" s="10" t="n">
        <f aca="false">IF(OR(OR(AG281="Not counted",AG281="Excluded",AG281="Delivered"),P281="Student accommodation"),0,AJ281)</f>
        <v>0</v>
      </c>
      <c r="AM281" s="10" t="n">
        <f aca="false">IF(OR(OR(AG281="Not counted",AG281="Excluded",AG281="Delivered"),P281&lt;&gt;"Student accommodation"),0,AJ281)</f>
        <v>0</v>
      </c>
      <c r="AN281" s="10" t="n">
        <f aca="false">IF(OR(AG281="Not counted",AG281="Excluded",AG281="Delivered"),0,N(S281))</f>
        <v>0</v>
      </c>
      <c r="AO281" s="2" t="s">
        <v>1043</v>
      </c>
      <c r="AP281" s="10"/>
      <c r="AQ281" s="10"/>
      <c r="AR281" s="10"/>
      <c r="AS281" s="10"/>
      <c r="AT281" s="10"/>
      <c r="AU281" s="10"/>
      <c r="AV281" s="10" t="n">
        <f aca="false">N(AP281)+N(AQ281)+N(AR281)+N(AS281)+N(AT281)+N(AU281)</f>
        <v>0</v>
      </c>
      <c r="AW281" s="10"/>
      <c r="AX281" s="10"/>
      <c r="AY281" s="10"/>
      <c r="AZ281" s="2"/>
      <c r="BA281" s="2" t="s">
        <v>1044</v>
      </c>
      <c r="BB281" s="2"/>
      <c r="BC281" s="2"/>
      <c r="BD281" s="2"/>
      <c r="BE281" s="2"/>
      <c r="BF281" s="2" t="s">
        <v>1044</v>
      </c>
      <c r="BG281" s="22"/>
      <c r="BH281" s="22"/>
      <c r="BI281" s="2"/>
      <c r="BJ281" s="22"/>
      <c r="BK281" s="2"/>
      <c r="BL281" s="2"/>
      <c r="BM281" s="2"/>
      <c r="BN281" s="2"/>
      <c r="BO281" s="2"/>
      <c r="BP281" s="2" t="str">
        <f aca="false">IF(OR(K281="",BG281=""),"",ROUND(BG281-K281,0))</f>
        <v/>
      </c>
      <c r="BQ281" s="2" t="str">
        <f aca="false">IF(OR(N(BK281)=0,Q281=""),"Not recorded",IF(BK281=Q281,"Match","Differs"))</f>
        <v>Not recorded</v>
      </c>
      <c r="BR281" s="2" t="str">
        <f aca="false">IF(N281="No","Excluded (non-residential)",IF(BF281="No reference","Unverified – no reference",IF(BF281="Not in council register","Unverified – not in register (Part 8 / other)",IF(OR(BF281="Refused",BF281="Refused on appeal",BF281="Withdrawn",BF281="Invalid",BF281="Quashed"),IF(OR(G281="Complete",G281="On Site",G281="Part Complete"),"Conflict – register not live but CIS says built","Conflict – not live in register"),IF(AND(G281="Plans Submitted",OR(BF281="Granted",BF281="Granted on appeal")),"Stage out of date – now granted",IF(AND(G281&lt;&gt;"Plans Submitted",OR(BF281="Pending",BF281="Under appeal")),"Check – register still pending",IF(N(BL281)&gt;Method!$B$7,"Check – location differs",IF(AND(BP281&lt;&gt;"",ABS(N(BP281))&gt;60),"Consistent – decision date differs","Consistent"))))))))</f>
        <v>Unverified – no reference</v>
      </c>
      <c r="BS281" s="2"/>
      <c r="BT281" s="2"/>
      <c r="BU281" s="2"/>
      <c r="BV281" s="2"/>
      <c r="BW281" s="2"/>
      <c r="BX281" s="2"/>
    </row>
    <row r="282" customFormat="false" ht="15" hidden="false" customHeight="false" outlineLevel="0" collapsed="false">
      <c r="A282" s="2" t="n">
        <v>1438128</v>
      </c>
      <c r="B282" s="2" t="s">
        <v>833</v>
      </c>
      <c r="C282" s="2" t="s">
        <v>2041</v>
      </c>
      <c r="D282" s="2" t="s">
        <v>834</v>
      </c>
      <c r="E282" s="2" t="s">
        <v>835</v>
      </c>
      <c r="F282" s="2" t="s">
        <v>144</v>
      </c>
      <c r="G282" s="2" t="s">
        <v>700</v>
      </c>
      <c r="H282" s="2" t="s">
        <v>700</v>
      </c>
      <c r="I282" s="2"/>
      <c r="J282" s="22" t="n">
        <v>46170</v>
      </c>
      <c r="K282" s="22"/>
      <c r="L282" s="22" t="n">
        <v>46191.4137158565</v>
      </c>
      <c r="M282" s="2" t="s">
        <v>1893</v>
      </c>
      <c r="N282" s="2" t="s">
        <v>121</v>
      </c>
      <c r="O282" s="2"/>
      <c r="P282" s="2" t="s">
        <v>1017</v>
      </c>
      <c r="Q282" s="10" t="n">
        <v>2</v>
      </c>
      <c r="R282" s="10"/>
      <c r="S282" s="10"/>
      <c r="T282" s="2" t="s">
        <v>32</v>
      </c>
      <c r="U282" s="2"/>
      <c r="V282" s="2" t="s">
        <v>1447</v>
      </c>
      <c r="W282" s="2" t="s">
        <v>1030</v>
      </c>
      <c r="X282" s="7"/>
      <c r="Y282" s="2" t="str">
        <f aca="false">IF(X282&lt;&gt;"",X282,T282)</f>
        <v>Not live</v>
      </c>
      <c r="Z282" s="2" t="str">
        <f aca="false">IF(OR(Y282="Primary",Y282="Additional phase",Y282="Additional application on site",Y282="Replaces earlier",Y282="Extension of duration (parent not in CIS)"),"Yes","No")</f>
        <v>No</v>
      </c>
      <c r="AA282" s="2"/>
      <c r="AB282" s="2" t="n">
        <f aca="false">IF(L282="","",ROUND((Method!$B$4-L282)/30.44,0))</f>
        <v>3</v>
      </c>
      <c r="AC282" s="2" t="str">
        <f aca="false">IF(AB282="","No",IF(AB282&gt;Method!$B$5,"Yes","No"))</f>
        <v>No</v>
      </c>
      <c r="AD282" s="22" t="str">
        <f aca="false">IF(BJ282&lt;&gt;"",BJ282,IF(K282&lt;&gt;"",EDATE(K282,60),""))</f>
        <v/>
      </c>
      <c r="AE282" s="2" t="str">
        <f aca="false">IF(AND(AD282&lt;&gt;"",OR(G282="Permission Granted",G282="Commencement Expected",G282="Stalled or Suspended")),IF(AD282&lt;Method!$B$4,"Yes","No"),"No")</f>
        <v>No</v>
      </c>
      <c r="AF282" s="7"/>
      <c r="AG282" s="2" t="str">
        <f aca="false">IF(Z282="No","Not counted",IF(AF282="Lapsed or dead","Excluded",IF(AF282="Constrained","Constrained / uncertain",IF(AF282="Confirmed live",IF(G282="On Site","Committed",IF(G282="Part Complete","Committed",IF(G282="Contract Awarded","Committed Pre-Construction",IF(G282="Tender","Advanced Pre-Construction",IF(G282="Commencement Expected","Likely",IF(G282="Permission Granted","Potential",IF(G282="Stalled or Suspended","Constrained / uncertain",IF(G282="Complete","Delivered","Application Pipeline")))))))),IF(G282="Complete","Delivered",IF(AND(OR(G282="Permission Granted",G282="Commencement Expected"),OR(AC282="Yes",AE282="Yes")),"Constrained / uncertain",IF(G282="On Site","Committed",IF(G282="Part Complete","Committed",IF(G282="Contract Awarded","Committed Pre-Construction",IF(G282="Tender","Advanced Pre-Construction",IF(G282="Commencement Expected","Likely",IF(G282="Permission Granted","Potential",IF(G282="Stalled or Suspended","Constrained / uncertain",IF(G282="Complete","Delivered","Application Pipeline"))))))))))))))</f>
        <v>Not counted</v>
      </c>
      <c r="AH282" s="2" t="str">
        <f aca="false">IF(Z282="No","Relationship: "&amp;Y282,IF(AF282&lt;&gt;"","Analyst: "&amp;AF282,IF(G282="Complete","Complete",IF(AND(OR(G282="Permission Granted",G282="Commencement Expected"),AE282="Yes"),"Past expiry",IF(AND(OR(G282="Permission Granted",G282="Commencement Expected"),AC282="Yes"),"No CIS update in "&amp;AB282&amp;" months","As CIS")))))</f>
        <v>Relationship: Not live</v>
      </c>
      <c r="AI282" s="10" t="n">
        <f aca="false">IF(Z282="Yes",N(Q282),0)</f>
        <v>0</v>
      </c>
      <c r="AJ282" s="10" t="n">
        <f aca="false">IF(OR(Z282="No",G282="Complete"),0,MAX(N(Q282)-N(AA282),0))</f>
        <v>0</v>
      </c>
      <c r="AK282" s="10" t="n">
        <f aca="false">IF(Z282="No",0,IF(G282="Complete",N(Q282),MIN(N(AA282),N(Q282))))</f>
        <v>0</v>
      </c>
      <c r="AL282" s="10" t="n">
        <f aca="false">IF(OR(OR(AG282="Not counted",AG282="Excluded",AG282="Delivered"),P282="Student accommodation"),0,AJ282)</f>
        <v>0</v>
      </c>
      <c r="AM282" s="10" t="n">
        <f aca="false">IF(OR(OR(AG282="Not counted",AG282="Excluded",AG282="Delivered"),P282&lt;&gt;"Student accommodation"),0,AJ282)</f>
        <v>0</v>
      </c>
      <c r="AN282" s="10" t="n">
        <f aca="false">IF(OR(AG282="Not counted",AG282="Excluded",AG282="Delivered"),0,N(S282))</f>
        <v>0</v>
      </c>
      <c r="AO282" s="2" t="s">
        <v>1021</v>
      </c>
      <c r="AP282" s="10"/>
      <c r="AQ282" s="10"/>
      <c r="AR282" s="10"/>
      <c r="AS282" s="10"/>
      <c r="AT282" s="10"/>
      <c r="AU282" s="10"/>
      <c r="AV282" s="10" t="n">
        <f aca="false">N(AP282)+N(AQ282)+N(AR282)+N(AS282)+N(AT282)+N(AU282)</f>
        <v>0</v>
      </c>
      <c r="AW282" s="10"/>
      <c r="AX282" s="10"/>
      <c r="AY282" s="10"/>
      <c r="AZ282" s="2"/>
      <c r="BA282" s="2" t="s">
        <v>1022</v>
      </c>
      <c r="BB282" s="2" t="s">
        <v>2041</v>
      </c>
      <c r="BC282" s="2" t="s">
        <v>1582</v>
      </c>
      <c r="BD282" s="2" t="s">
        <v>1033</v>
      </c>
      <c r="BE282" s="2"/>
      <c r="BF282" s="2" t="s">
        <v>1449</v>
      </c>
      <c r="BG282" s="22"/>
      <c r="BH282" s="22"/>
      <c r="BI282" s="2"/>
      <c r="BJ282" s="22"/>
      <c r="BK282" s="2"/>
      <c r="BL282" s="2" t="n">
        <v>0</v>
      </c>
      <c r="BM282" s="2"/>
      <c r="BN282" s="2" t="s">
        <v>2042</v>
      </c>
      <c r="BO282" s="23" t="s">
        <v>2043</v>
      </c>
      <c r="BP282" s="2" t="str">
        <f aca="false">IF(OR(K282="",BG282=""),"",ROUND(BG282-K282,0))</f>
        <v/>
      </c>
      <c r="BQ282" s="2" t="str">
        <f aca="false">IF(OR(N(BK282)=0,Q282=""),"Not recorded",IF(BK282=Q282,"Match","Differs"))</f>
        <v>Not recorded</v>
      </c>
      <c r="BR282" s="2" t="str">
        <f aca="false">IF(N282="No","Excluded (non-residential)",IF(BF282="No reference","Unverified – no reference",IF(BF282="Not in council register","Unverified – not in register (Part 8 / other)",IF(OR(BF282="Refused",BF282="Refused on appeal",BF282="Withdrawn",BF282="Invalid",BF282="Quashed"),IF(OR(G282="Complete",G282="On Site",G282="Part Complete"),"Conflict – register not live but CIS says built","Conflict – not live in register"),IF(AND(G282="Plans Submitted",OR(BF282="Granted",BF282="Granted on appeal")),"Stage out of date – now granted",IF(AND(G282&lt;&gt;"Plans Submitted",OR(BF282="Pending",BF282="Under appeal")),"Check – register still pending",IF(N(BL282)&gt;Method!$B$7,"Check – location differs",IF(AND(BP282&lt;&gt;"",ABS(N(BP282))&gt;60),"Consistent – decision date differs","Consistent"))))))))</f>
        <v>Conflict – not live in register</v>
      </c>
      <c r="BS282" s="2"/>
      <c r="BT282" s="2"/>
      <c r="BU282" s="2"/>
      <c r="BV282" s="2"/>
      <c r="BW282" s="2"/>
      <c r="BX282" s="2"/>
    </row>
    <row r="283" customFormat="false" ht="15" hidden="false" customHeight="false" outlineLevel="0" collapsed="false">
      <c r="A283" s="2" t="n">
        <v>1438136</v>
      </c>
      <c r="B283" s="2" t="s">
        <v>820</v>
      </c>
      <c r="C283" s="2" t="s">
        <v>2044</v>
      </c>
      <c r="D283" s="2" t="s">
        <v>821</v>
      </c>
      <c r="E283" s="2" t="s">
        <v>822</v>
      </c>
      <c r="F283" s="2" t="s">
        <v>139</v>
      </c>
      <c r="G283" s="2" t="s">
        <v>700</v>
      </c>
      <c r="H283" s="2" t="s">
        <v>700</v>
      </c>
      <c r="I283" s="2"/>
      <c r="J283" s="22" t="n">
        <v>46094</v>
      </c>
      <c r="K283" s="22"/>
      <c r="L283" s="22" t="n">
        <v>46191.3126490394</v>
      </c>
      <c r="M283" s="2" t="s">
        <v>1893</v>
      </c>
      <c r="N283" s="2" t="s">
        <v>121</v>
      </c>
      <c r="O283" s="2"/>
      <c r="P283" s="2" t="s">
        <v>1017</v>
      </c>
      <c r="Q283" s="10" t="n">
        <v>6</v>
      </c>
      <c r="R283" s="10"/>
      <c r="S283" s="10"/>
      <c r="T283" s="2" t="s">
        <v>120</v>
      </c>
      <c r="U283" s="2"/>
      <c r="V283" s="2" t="s">
        <v>1029</v>
      </c>
      <c r="W283" s="2" t="s">
        <v>1030</v>
      </c>
      <c r="X283" s="7"/>
      <c r="Y283" s="2" t="str">
        <f aca="false">IF(X283&lt;&gt;"",X283,T283)</f>
        <v>Primary</v>
      </c>
      <c r="Z283" s="2" t="str">
        <f aca="false">IF(OR(Y283="Primary",Y283="Additional phase",Y283="Additional application on site",Y283="Replaces earlier",Y283="Extension of duration (parent not in CIS)"),"Yes","No")</f>
        <v>Yes</v>
      </c>
      <c r="AA283" s="2"/>
      <c r="AB283" s="2" t="n">
        <f aca="false">IF(L283="","",ROUND((Method!$B$4-L283)/30.44,0))</f>
        <v>3</v>
      </c>
      <c r="AC283" s="2" t="str">
        <f aca="false">IF(AB283="","No",IF(AB283&gt;Method!$B$5,"Yes","No"))</f>
        <v>No</v>
      </c>
      <c r="AD283" s="22" t="str">
        <f aca="false">IF(BJ283&lt;&gt;"",BJ283,IF(K283&lt;&gt;"",EDATE(K283,60),""))</f>
        <v/>
      </c>
      <c r="AE283" s="2" t="str">
        <f aca="false">IF(AND(AD283&lt;&gt;"",OR(G283="Permission Granted",G283="Commencement Expected",G283="Stalled or Suspended")),IF(AD283&lt;Method!$B$4,"Yes","No"),"No")</f>
        <v>No</v>
      </c>
      <c r="AF283" s="7"/>
      <c r="AG283" s="2" t="str">
        <f aca="false">IF(Z283="No","Not counted",IF(AF283="Lapsed or dead","Excluded",IF(AF283="Constrained","Constrained / uncertain",IF(AF283="Confirmed live",IF(G283="On Site","Committed",IF(G283="Part Complete","Committed",IF(G283="Contract Awarded","Committed Pre-Construction",IF(G283="Tender","Advanced Pre-Construction",IF(G283="Commencement Expected","Likely",IF(G283="Permission Granted","Potential",IF(G283="Stalled or Suspended","Constrained / uncertain",IF(G283="Complete","Delivered","Application Pipeline")))))))),IF(G283="Complete","Delivered",IF(AND(OR(G283="Permission Granted",G283="Commencement Expected"),OR(AC283="Yes",AE283="Yes")),"Constrained / uncertain",IF(G283="On Site","Committed",IF(G283="Part Complete","Committed",IF(G283="Contract Awarded","Committed Pre-Construction",IF(G283="Tender","Advanced Pre-Construction",IF(G283="Commencement Expected","Likely",IF(G283="Permission Granted","Potential",IF(G283="Stalled or Suspended","Constrained / uncertain",IF(G283="Complete","Delivered","Application Pipeline"))))))))))))))</f>
        <v>Application Pipeline</v>
      </c>
      <c r="AH283" s="2" t="str">
        <f aca="false">IF(Z283="No","Relationship: "&amp;Y283,IF(AF283&lt;&gt;"","Analyst: "&amp;AF283,IF(G283="Complete","Complete",IF(AND(OR(G283="Permission Granted",G283="Commencement Expected"),AE283="Yes"),"Past expiry",IF(AND(OR(G283="Permission Granted",G283="Commencement Expected"),AC283="Yes"),"No CIS update in "&amp;AB283&amp;" months","As CIS")))))</f>
        <v>As CIS</v>
      </c>
      <c r="AI283" s="10" t="n">
        <f aca="false">IF(Z283="Yes",N(Q283),0)</f>
        <v>6</v>
      </c>
      <c r="AJ283" s="10" t="n">
        <f aca="false">IF(OR(Z283="No",G283="Complete"),0,MAX(N(Q283)-N(AA283),0))</f>
        <v>6</v>
      </c>
      <c r="AK283" s="10" t="n">
        <f aca="false">IF(Z283="No",0,IF(G283="Complete",N(Q283),MIN(N(AA283),N(Q283))))</f>
        <v>0</v>
      </c>
      <c r="AL283" s="10" t="n">
        <f aca="false">IF(OR(OR(AG283="Not counted",AG283="Excluded",AG283="Delivered"),P283="Student accommodation"),0,AJ283)</f>
        <v>6</v>
      </c>
      <c r="AM283" s="10" t="n">
        <f aca="false">IF(OR(OR(AG283="Not counted",AG283="Excluded",AG283="Delivered"),P283&lt;&gt;"Student accommodation"),0,AJ283)</f>
        <v>0</v>
      </c>
      <c r="AN283" s="10" t="n">
        <f aca="false">IF(OR(AG283="Not counted",AG283="Excluded",AG283="Delivered"),0,N(S283))</f>
        <v>0</v>
      </c>
      <c r="AO283" s="2" t="s">
        <v>1043</v>
      </c>
      <c r="AP283" s="10"/>
      <c r="AQ283" s="10"/>
      <c r="AR283" s="10"/>
      <c r="AS283" s="10"/>
      <c r="AT283" s="10"/>
      <c r="AU283" s="10"/>
      <c r="AV283" s="10" t="n">
        <f aca="false">N(AP283)+N(AQ283)+N(AR283)+N(AS283)+N(AT283)+N(AU283)</f>
        <v>0</v>
      </c>
      <c r="AW283" s="10"/>
      <c r="AX283" s="10"/>
      <c r="AY283" s="10"/>
      <c r="AZ283" s="2"/>
      <c r="BA283" s="2" t="s">
        <v>1095</v>
      </c>
      <c r="BB283" s="2"/>
      <c r="BC283" s="2"/>
      <c r="BD283" s="2"/>
      <c r="BE283" s="2"/>
      <c r="BF283" s="2" t="s">
        <v>1095</v>
      </c>
      <c r="BG283" s="22"/>
      <c r="BH283" s="22"/>
      <c r="BI283" s="2"/>
      <c r="BJ283" s="22"/>
      <c r="BK283" s="2"/>
      <c r="BL283" s="2"/>
      <c r="BM283" s="2"/>
      <c r="BN283" s="2"/>
      <c r="BO283" s="2"/>
      <c r="BP283" s="2" t="str">
        <f aca="false">IF(OR(K283="",BG283=""),"",ROUND(BG283-K283,0))</f>
        <v/>
      </c>
      <c r="BQ283" s="2" t="str">
        <f aca="false">IF(OR(N(BK283)=0,Q283=""),"Not recorded",IF(BK283=Q283,"Match","Differs"))</f>
        <v>Not recorded</v>
      </c>
      <c r="BR283" s="2" t="str">
        <f aca="false">IF(N283="No","Excluded (non-residential)",IF(BF283="No reference","Unverified – no reference",IF(BF283="Not in council register","Unverified – not in register (Part 8 / other)",IF(OR(BF283="Refused",BF283="Refused on appeal",BF283="Withdrawn",BF283="Invalid",BF283="Quashed"),IF(OR(G283="Complete",G283="On Site",G283="Part Complete"),"Conflict – register not live but CIS says built","Conflict – not live in register"),IF(AND(G283="Plans Submitted",OR(BF283="Granted",BF283="Granted on appeal")),"Stage out of date – now granted",IF(AND(G283&lt;&gt;"Plans Submitted",OR(BF283="Pending",BF283="Under appeal")),"Check – register still pending",IF(N(BL283)&gt;Method!$B$7,"Check – location differs",IF(AND(BP283&lt;&gt;"",ABS(N(BP283))&gt;60),"Consistent – decision date differs","Consistent"))))))))</f>
        <v>Unverified – not in register (Part 8 / other)</v>
      </c>
      <c r="BS283" s="2"/>
      <c r="BT283" s="2"/>
      <c r="BU283" s="2"/>
      <c r="BV283" s="2"/>
      <c r="BW283" s="2"/>
      <c r="BX283" s="2"/>
    </row>
    <row r="284" customFormat="false" ht="15" hidden="false" customHeight="false" outlineLevel="0" collapsed="false">
      <c r="A284" s="2" t="n">
        <v>1439022</v>
      </c>
      <c r="B284" s="2" t="s">
        <v>816</v>
      </c>
      <c r="C284" s="2" t="s">
        <v>2045</v>
      </c>
      <c r="D284" s="2" t="s">
        <v>817</v>
      </c>
      <c r="E284" s="2" t="s">
        <v>818</v>
      </c>
      <c r="F284" s="2" t="s">
        <v>139</v>
      </c>
      <c r="G284" s="2" t="s">
        <v>700</v>
      </c>
      <c r="H284" s="2" t="s">
        <v>700</v>
      </c>
      <c r="I284" s="2"/>
      <c r="J284" s="22" t="n">
        <v>46094</v>
      </c>
      <c r="K284" s="22"/>
      <c r="L284" s="22" t="n">
        <v>46203.3055721875</v>
      </c>
      <c r="M284" s="2" t="s">
        <v>1893</v>
      </c>
      <c r="N284" s="2" t="s">
        <v>121</v>
      </c>
      <c r="O284" s="2"/>
      <c r="P284" s="2" t="s">
        <v>1017</v>
      </c>
      <c r="Q284" s="10" t="n">
        <v>6</v>
      </c>
      <c r="R284" s="10"/>
      <c r="S284" s="10"/>
      <c r="T284" s="2" t="s">
        <v>120</v>
      </c>
      <c r="U284" s="2"/>
      <c r="V284" s="2" t="s">
        <v>1029</v>
      </c>
      <c r="W284" s="2" t="s">
        <v>1030</v>
      </c>
      <c r="X284" s="7"/>
      <c r="Y284" s="2" t="str">
        <f aca="false">IF(X284&lt;&gt;"",X284,T284)</f>
        <v>Primary</v>
      </c>
      <c r="Z284" s="2" t="str">
        <f aca="false">IF(OR(Y284="Primary",Y284="Additional phase",Y284="Additional application on site",Y284="Replaces earlier",Y284="Extension of duration (parent not in CIS)"),"Yes","No")</f>
        <v>Yes</v>
      </c>
      <c r="AA284" s="2"/>
      <c r="AB284" s="2" t="n">
        <f aca="false">IF(L284="","",ROUND((Method!$B$4-L284)/30.44,0))</f>
        <v>3</v>
      </c>
      <c r="AC284" s="2" t="str">
        <f aca="false">IF(AB284="","No",IF(AB284&gt;Method!$B$5,"Yes","No"))</f>
        <v>No</v>
      </c>
      <c r="AD284" s="22" t="str">
        <f aca="false">IF(BJ284&lt;&gt;"",BJ284,IF(K284&lt;&gt;"",EDATE(K284,60),""))</f>
        <v/>
      </c>
      <c r="AE284" s="2" t="str">
        <f aca="false">IF(AND(AD284&lt;&gt;"",OR(G284="Permission Granted",G284="Commencement Expected",G284="Stalled or Suspended")),IF(AD284&lt;Method!$B$4,"Yes","No"),"No")</f>
        <v>No</v>
      </c>
      <c r="AF284" s="7"/>
      <c r="AG284" s="2" t="str">
        <f aca="false">IF(Z284="No","Not counted",IF(AF284="Lapsed or dead","Excluded",IF(AF284="Constrained","Constrained / uncertain",IF(AF284="Confirmed live",IF(G284="On Site","Committed",IF(G284="Part Complete","Committed",IF(G284="Contract Awarded","Committed Pre-Construction",IF(G284="Tender","Advanced Pre-Construction",IF(G284="Commencement Expected","Likely",IF(G284="Permission Granted","Potential",IF(G284="Stalled or Suspended","Constrained / uncertain",IF(G284="Complete","Delivered","Application Pipeline")))))))),IF(G284="Complete","Delivered",IF(AND(OR(G284="Permission Granted",G284="Commencement Expected"),OR(AC284="Yes",AE284="Yes")),"Constrained / uncertain",IF(G284="On Site","Committed",IF(G284="Part Complete","Committed",IF(G284="Contract Awarded","Committed Pre-Construction",IF(G284="Tender","Advanced Pre-Construction",IF(G284="Commencement Expected","Likely",IF(G284="Permission Granted","Potential",IF(G284="Stalled or Suspended","Constrained / uncertain",IF(G284="Complete","Delivered","Application Pipeline"))))))))))))))</f>
        <v>Application Pipeline</v>
      </c>
      <c r="AH284" s="2" t="str">
        <f aca="false">IF(Z284="No","Relationship: "&amp;Y284,IF(AF284&lt;&gt;"","Analyst: "&amp;AF284,IF(G284="Complete","Complete",IF(AND(OR(G284="Permission Granted",G284="Commencement Expected"),AE284="Yes"),"Past expiry",IF(AND(OR(G284="Permission Granted",G284="Commencement Expected"),AC284="Yes"),"No CIS update in "&amp;AB284&amp;" months","As CIS")))))</f>
        <v>As CIS</v>
      </c>
      <c r="AI284" s="10" t="n">
        <f aca="false">IF(Z284="Yes",N(Q284),0)</f>
        <v>6</v>
      </c>
      <c r="AJ284" s="10" t="n">
        <f aca="false">IF(OR(Z284="No",G284="Complete"),0,MAX(N(Q284)-N(AA284),0))</f>
        <v>6</v>
      </c>
      <c r="AK284" s="10" t="n">
        <f aca="false">IF(Z284="No",0,IF(G284="Complete",N(Q284),MIN(N(AA284),N(Q284))))</f>
        <v>0</v>
      </c>
      <c r="AL284" s="10" t="n">
        <f aca="false">IF(OR(OR(AG284="Not counted",AG284="Excluded",AG284="Delivered"),P284="Student accommodation"),0,AJ284)</f>
        <v>6</v>
      </c>
      <c r="AM284" s="10" t="n">
        <f aca="false">IF(OR(OR(AG284="Not counted",AG284="Excluded",AG284="Delivered"),P284&lt;&gt;"Student accommodation"),0,AJ284)</f>
        <v>0</v>
      </c>
      <c r="AN284" s="10" t="n">
        <f aca="false">IF(OR(AG284="Not counted",AG284="Excluded",AG284="Delivered"),0,N(S284))</f>
        <v>0</v>
      </c>
      <c r="AO284" s="2" t="s">
        <v>1043</v>
      </c>
      <c r="AP284" s="10"/>
      <c r="AQ284" s="10"/>
      <c r="AR284" s="10"/>
      <c r="AS284" s="10"/>
      <c r="AT284" s="10"/>
      <c r="AU284" s="10"/>
      <c r="AV284" s="10" t="n">
        <f aca="false">N(AP284)+N(AQ284)+N(AR284)+N(AS284)+N(AT284)+N(AU284)</f>
        <v>0</v>
      </c>
      <c r="AW284" s="10"/>
      <c r="AX284" s="10"/>
      <c r="AY284" s="10"/>
      <c r="AZ284" s="2"/>
      <c r="BA284" s="2" t="s">
        <v>1095</v>
      </c>
      <c r="BB284" s="2"/>
      <c r="BC284" s="2"/>
      <c r="BD284" s="2"/>
      <c r="BE284" s="2"/>
      <c r="BF284" s="2" t="s">
        <v>1095</v>
      </c>
      <c r="BG284" s="22"/>
      <c r="BH284" s="22"/>
      <c r="BI284" s="2"/>
      <c r="BJ284" s="22"/>
      <c r="BK284" s="2"/>
      <c r="BL284" s="2"/>
      <c r="BM284" s="2"/>
      <c r="BN284" s="2"/>
      <c r="BO284" s="2"/>
      <c r="BP284" s="2" t="str">
        <f aca="false">IF(OR(K284="",BG284=""),"",ROUND(BG284-K284,0))</f>
        <v/>
      </c>
      <c r="BQ284" s="2" t="str">
        <f aca="false">IF(OR(N(BK284)=0,Q284=""),"Not recorded",IF(BK284=Q284,"Match","Differs"))</f>
        <v>Not recorded</v>
      </c>
      <c r="BR284" s="2" t="str">
        <f aca="false">IF(N284="No","Excluded (non-residential)",IF(BF284="No reference","Unverified – no reference",IF(BF284="Not in council register","Unverified – not in register (Part 8 / other)",IF(OR(BF284="Refused",BF284="Refused on appeal",BF284="Withdrawn",BF284="Invalid",BF284="Quashed"),IF(OR(G284="Complete",G284="On Site",G284="Part Complete"),"Conflict – register not live but CIS says built","Conflict – not live in register"),IF(AND(G284="Plans Submitted",OR(BF284="Granted",BF284="Granted on appeal")),"Stage out of date – now granted",IF(AND(G284&lt;&gt;"Plans Submitted",OR(BF284="Pending",BF284="Under appeal")),"Check – register still pending",IF(N(BL284)&gt;Method!$B$7,"Check – location differs",IF(AND(BP284&lt;&gt;"",ABS(N(BP284))&gt;60),"Consistent – decision date differs","Consistent"))))))))</f>
        <v>Unverified – not in register (Part 8 / other)</v>
      </c>
      <c r="BS284" s="2" t="n">
        <v>1851</v>
      </c>
      <c r="BT284" s="2" t="s">
        <v>1049</v>
      </c>
      <c r="BU284" s="2"/>
      <c r="BV284" s="2" t="s">
        <v>2046</v>
      </c>
      <c r="BW284" s="2" t="s">
        <v>1837</v>
      </c>
      <c r="BX284" s="2" t="s">
        <v>1052</v>
      </c>
    </row>
    <row r="285" customFormat="false" ht="15" hidden="false" customHeight="false" outlineLevel="0" collapsed="false">
      <c r="A285" s="2" t="n">
        <v>1439374</v>
      </c>
      <c r="B285" s="2" t="s">
        <v>840</v>
      </c>
      <c r="C285" s="2" t="s">
        <v>2047</v>
      </c>
      <c r="D285" s="2" t="s">
        <v>841</v>
      </c>
      <c r="E285" s="2" t="s">
        <v>842</v>
      </c>
      <c r="F285" s="2" t="s">
        <v>139</v>
      </c>
      <c r="G285" s="2" t="s">
        <v>700</v>
      </c>
      <c r="H285" s="2" t="s">
        <v>700</v>
      </c>
      <c r="I285" s="2"/>
      <c r="J285" s="22" t="n">
        <v>46190</v>
      </c>
      <c r="K285" s="22"/>
      <c r="L285" s="22" t="n">
        <v>46209.305940081</v>
      </c>
      <c r="M285" s="2" t="s">
        <v>1893</v>
      </c>
      <c r="N285" s="2" t="s">
        <v>121</v>
      </c>
      <c r="O285" s="2"/>
      <c r="P285" s="2" t="s">
        <v>1017</v>
      </c>
      <c r="Q285" s="10" t="n">
        <v>64</v>
      </c>
      <c r="R285" s="10" t="n">
        <v>57</v>
      </c>
      <c r="S285" s="10"/>
      <c r="T285" s="2" t="s">
        <v>26</v>
      </c>
      <c r="U285" s="2" t="s">
        <v>1949</v>
      </c>
      <c r="V285" s="2" t="s">
        <v>2048</v>
      </c>
      <c r="W285" s="2" t="s">
        <v>1498</v>
      </c>
      <c r="X285" s="7"/>
      <c r="Y285" s="2" t="str">
        <f aca="false">IF(X285&lt;&gt;"",X285,T285)</f>
        <v>Amendment within parent</v>
      </c>
      <c r="Z285" s="2" t="str">
        <f aca="false">IF(OR(Y285="Primary",Y285="Additional phase",Y285="Additional application on site",Y285="Replaces earlier",Y285="Extension of duration (parent not in CIS)"),"Yes","No")</f>
        <v>No</v>
      </c>
      <c r="AA285" s="2"/>
      <c r="AB285" s="2" t="n">
        <f aca="false">IF(L285="","",ROUND((Method!$B$4-L285)/30.44,0))</f>
        <v>3</v>
      </c>
      <c r="AC285" s="2" t="str">
        <f aca="false">IF(AB285="","No",IF(AB285&gt;Method!$B$5,"Yes","No"))</f>
        <v>No</v>
      </c>
      <c r="AD285" s="22" t="str">
        <f aca="false">IF(BJ285&lt;&gt;"",BJ285,IF(K285&lt;&gt;"",EDATE(K285,60),""))</f>
        <v/>
      </c>
      <c r="AE285" s="2" t="str">
        <f aca="false">IF(AND(AD285&lt;&gt;"",OR(G285="Permission Granted",G285="Commencement Expected",G285="Stalled or Suspended")),IF(AD285&lt;Method!$B$4,"Yes","No"),"No")</f>
        <v>No</v>
      </c>
      <c r="AF285" s="7"/>
      <c r="AG285" s="2" t="str">
        <f aca="false">IF(Z285="No","Not counted",IF(AF285="Lapsed or dead","Excluded",IF(AF285="Constrained","Constrained / uncertain",IF(AF285="Confirmed live",IF(G285="On Site","Committed",IF(G285="Part Complete","Committed",IF(G285="Contract Awarded","Committed Pre-Construction",IF(G285="Tender","Advanced Pre-Construction",IF(G285="Commencement Expected","Likely",IF(G285="Permission Granted","Potential",IF(G285="Stalled or Suspended","Constrained / uncertain",IF(G285="Complete","Delivered","Application Pipeline")))))))),IF(G285="Complete","Delivered",IF(AND(OR(G285="Permission Granted",G285="Commencement Expected"),OR(AC285="Yes",AE285="Yes")),"Constrained / uncertain",IF(G285="On Site","Committed",IF(G285="Part Complete","Committed",IF(G285="Contract Awarded","Committed Pre-Construction",IF(G285="Tender","Advanced Pre-Construction",IF(G285="Commencement Expected","Likely",IF(G285="Permission Granted","Potential",IF(G285="Stalled or Suspended","Constrained / uncertain",IF(G285="Complete","Delivered","Application Pipeline"))))))))))))))</f>
        <v>Not counted</v>
      </c>
      <c r="AH285" s="2" t="str">
        <f aca="false">IF(Z285="No","Relationship: "&amp;Y285,IF(AF285&lt;&gt;"","Analyst: "&amp;AF285,IF(G285="Complete","Complete",IF(AND(OR(G285="Permission Granted",G285="Commencement Expected"),AE285="Yes"),"Past expiry",IF(AND(OR(G285="Permission Granted",G285="Commencement Expected"),AC285="Yes"),"No CIS update in "&amp;AB285&amp;" months","As CIS")))))</f>
        <v>Relationship: Amendment within parent</v>
      </c>
      <c r="AI285" s="10" t="n">
        <f aca="false">IF(Z285="Yes",N(Q285),0)</f>
        <v>0</v>
      </c>
      <c r="AJ285" s="10" t="n">
        <f aca="false">IF(OR(Z285="No",G285="Complete"),0,MAX(N(Q285)-N(AA285),0))</f>
        <v>0</v>
      </c>
      <c r="AK285" s="10" t="n">
        <f aca="false">IF(Z285="No",0,IF(G285="Complete",N(Q285),MIN(N(AA285),N(Q285))))</f>
        <v>0</v>
      </c>
      <c r="AL285" s="10" t="n">
        <f aca="false">IF(OR(OR(AG285="Not counted",AG285="Excluded",AG285="Delivered"),P285="Student accommodation"),0,AJ285)</f>
        <v>0</v>
      </c>
      <c r="AM285" s="10" t="n">
        <f aca="false">IF(OR(OR(AG285="Not counted",AG285="Excluded",AG285="Delivered"),P285&lt;&gt;"Student accommodation"),0,AJ285)</f>
        <v>0</v>
      </c>
      <c r="AN285" s="10" t="n">
        <f aca="false">IF(OR(AG285="Not counted",AG285="Excluded",AG285="Delivered"),0,N(S285))</f>
        <v>0</v>
      </c>
      <c r="AO285" s="2" t="s">
        <v>1069</v>
      </c>
      <c r="AP285" s="10"/>
      <c r="AQ285" s="10"/>
      <c r="AR285" s="10"/>
      <c r="AS285" s="10"/>
      <c r="AT285" s="10"/>
      <c r="AU285" s="10"/>
      <c r="AV285" s="10" t="n">
        <f aca="false">N(AP285)+N(AQ285)+N(AR285)+N(AS285)+N(AT285)+N(AU285)</f>
        <v>0</v>
      </c>
      <c r="AW285" s="10"/>
      <c r="AX285" s="10"/>
      <c r="AY285" s="10"/>
      <c r="AZ285" s="2" t="s">
        <v>2049</v>
      </c>
      <c r="BA285" s="2" t="s">
        <v>1022</v>
      </c>
      <c r="BB285" s="2" t="s">
        <v>2047</v>
      </c>
      <c r="BC285" s="2" t="s">
        <v>1966</v>
      </c>
      <c r="BD285" s="2" t="s">
        <v>1033</v>
      </c>
      <c r="BE285" s="2"/>
      <c r="BF285" s="2" t="s">
        <v>1034</v>
      </c>
      <c r="BG285" s="22"/>
      <c r="BH285" s="22"/>
      <c r="BI285" s="2"/>
      <c r="BJ285" s="22"/>
      <c r="BK285" s="2" t="n">
        <v>64</v>
      </c>
      <c r="BL285" s="2" t="n">
        <v>0</v>
      </c>
      <c r="BM285" s="2"/>
      <c r="BN285" s="24" t="s">
        <v>2050</v>
      </c>
      <c r="BO285" s="23" t="s">
        <v>2051</v>
      </c>
      <c r="BP285" s="2" t="str">
        <f aca="false">IF(OR(K285="",BG285=""),"",ROUND(BG285-K285,0))</f>
        <v/>
      </c>
      <c r="BQ285" s="2" t="str">
        <f aca="false">IF(OR(N(BK285)=0,Q285=""),"Not recorded",IF(BK285=Q285,"Match","Differs"))</f>
        <v>Match</v>
      </c>
      <c r="BR285" s="2" t="str">
        <f aca="false">IF(N285="No","Excluded (non-residential)",IF(BF285="No reference","Unverified – no reference",IF(BF285="Not in council register","Unverified – not in register (Part 8 / other)",IF(OR(BF285="Refused",BF285="Refused on appeal",BF285="Withdrawn",BF285="Invalid",BF285="Quashed"),IF(OR(G285="Complete",G285="On Site",G285="Part Complete"),"Conflict – register not live but CIS says built","Conflict – not live in register"),IF(AND(G285="Plans Submitted",OR(BF285="Granted",BF285="Granted on appeal")),"Stage out of date – now granted",IF(AND(G285&lt;&gt;"Plans Submitted",OR(BF285="Pending",BF285="Under appeal")),"Check – register still pending",IF(N(BL285)&gt;Method!$B$7,"Check – location differs",IF(AND(BP285&lt;&gt;"",ABS(N(BP285))&gt;60),"Consistent – decision date differs","Consistent"))))))))</f>
        <v>Consistent</v>
      </c>
      <c r="BS285" s="2"/>
      <c r="BT285" s="2"/>
      <c r="BU285" s="2"/>
      <c r="BV285" s="2"/>
      <c r="BW285" s="2"/>
      <c r="BX285" s="2"/>
    </row>
    <row r="286" customFormat="false" ht="15" hidden="false" customHeight="false" outlineLevel="0" collapsed="false">
      <c r="A286" s="2" t="n">
        <v>1441321</v>
      </c>
      <c r="B286" s="2" t="s">
        <v>844</v>
      </c>
      <c r="C286" s="2" t="s">
        <v>2052</v>
      </c>
      <c r="D286" s="2" t="s">
        <v>845</v>
      </c>
      <c r="E286" s="2" t="s">
        <v>846</v>
      </c>
      <c r="F286" s="2" t="s">
        <v>140</v>
      </c>
      <c r="G286" s="2" t="s">
        <v>700</v>
      </c>
      <c r="H286" s="2" t="s">
        <v>700</v>
      </c>
      <c r="I286" s="2"/>
      <c r="J286" s="22" t="n">
        <v>46203</v>
      </c>
      <c r="K286" s="22"/>
      <c r="L286" s="22" t="n">
        <v>46212.2977473727</v>
      </c>
      <c r="M286" s="2" t="s">
        <v>1893</v>
      </c>
      <c r="N286" s="2" t="s">
        <v>121</v>
      </c>
      <c r="O286" s="2"/>
      <c r="P286" s="2" t="s">
        <v>1017</v>
      </c>
      <c r="Q286" s="10" t="n">
        <v>18</v>
      </c>
      <c r="R286" s="10" t="n">
        <v>13</v>
      </c>
      <c r="S286" s="10"/>
      <c r="T286" s="2" t="s">
        <v>32</v>
      </c>
      <c r="U286" s="2"/>
      <c r="V286" s="2" t="s">
        <v>1447</v>
      </c>
      <c r="W286" s="2" t="s">
        <v>1030</v>
      </c>
      <c r="X286" s="7"/>
      <c r="Y286" s="2" t="str">
        <f aca="false">IF(X286&lt;&gt;"",X286,T286)</f>
        <v>Not live</v>
      </c>
      <c r="Z286" s="2" t="str">
        <f aca="false">IF(OR(Y286="Primary",Y286="Additional phase",Y286="Additional application on site",Y286="Replaces earlier",Y286="Extension of duration (parent not in CIS)"),"Yes","No")</f>
        <v>No</v>
      </c>
      <c r="AA286" s="2"/>
      <c r="AB286" s="2" t="n">
        <f aca="false">IF(L286="","",ROUND((Method!$B$4-L286)/30.44,0))</f>
        <v>3</v>
      </c>
      <c r="AC286" s="2" t="str">
        <f aca="false">IF(AB286="","No",IF(AB286&gt;Method!$B$5,"Yes","No"))</f>
        <v>No</v>
      </c>
      <c r="AD286" s="22" t="str">
        <f aca="false">IF(BJ286&lt;&gt;"",BJ286,IF(K286&lt;&gt;"",EDATE(K286,60),""))</f>
        <v/>
      </c>
      <c r="AE286" s="2" t="str">
        <f aca="false">IF(AND(AD286&lt;&gt;"",OR(G286="Permission Granted",G286="Commencement Expected",G286="Stalled or Suspended")),IF(AD286&lt;Method!$B$4,"Yes","No"),"No")</f>
        <v>No</v>
      </c>
      <c r="AF286" s="7"/>
      <c r="AG286" s="2" t="str">
        <f aca="false">IF(Z286="No","Not counted",IF(AF286="Lapsed or dead","Excluded",IF(AF286="Constrained","Constrained / uncertain",IF(AF286="Confirmed live",IF(G286="On Site","Committed",IF(G286="Part Complete","Committed",IF(G286="Contract Awarded","Committed Pre-Construction",IF(G286="Tender","Advanced Pre-Construction",IF(G286="Commencement Expected","Likely",IF(G286="Permission Granted","Potential",IF(G286="Stalled or Suspended","Constrained / uncertain",IF(G286="Complete","Delivered","Application Pipeline")))))))),IF(G286="Complete","Delivered",IF(AND(OR(G286="Permission Granted",G286="Commencement Expected"),OR(AC286="Yes",AE286="Yes")),"Constrained / uncertain",IF(G286="On Site","Committed",IF(G286="Part Complete","Committed",IF(G286="Contract Awarded","Committed Pre-Construction",IF(G286="Tender","Advanced Pre-Construction",IF(G286="Commencement Expected","Likely",IF(G286="Permission Granted","Potential",IF(G286="Stalled or Suspended","Constrained / uncertain",IF(G286="Complete","Delivered","Application Pipeline"))))))))))))))</f>
        <v>Not counted</v>
      </c>
      <c r="AH286" s="2" t="str">
        <f aca="false">IF(Z286="No","Relationship: "&amp;Y286,IF(AF286&lt;&gt;"","Analyst: "&amp;AF286,IF(G286="Complete","Complete",IF(AND(OR(G286="Permission Granted",G286="Commencement Expected"),AE286="Yes"),"Past expiry",IF(AND(OR(G286="Permission Granted",G286="Commencement Expected"),AC286="Yes"),"No CIS update in "&amp;AB286&amp;" months","As CIS")))))</f>
        <v>Relationship: Not live</v>
      </c>
      <c r="AI286" s="10" t="n">
        <f aca="false">IF(Z286="Yes",N(Q286),0)</f>
        <v>0</v>
      </c>
      <c r="AJ286" s="10" t="n">
        <f aca="false">IF(OR(Z286="No",G286="Complete"),0,MAX(N(Q286)-N(AA286),0))</f>
        <v>0</v>
      </c>
      <c r="AK286" s="10" t="n">
        <f aca="false">IF(Z286="No",0,IF(G286="Complete",N(Q286),MIN(N(AA286),N(Q286))))</f>
        <v>0</v>
      </c>
      <c r="AL286" s="10" t="n">
        <f aca="false">IF(OR(OR(AG286="Not counted",AG286="Excluded",AG286="Delivered"),P286="Student accommodation"),0,AJ286)</f>
        <v>0</v>
      </c>
      <c r="AM286" s="10" t="n">
        <f aca="false">IF(OR(OR(AG286="Not counted",AG286="Excluded",AG286="Delivered"),P286&lt;&gt;"Student accommodation"),0,AJ286)</f>
        <v>0</v>
      </c>
      <c r="AN286" s="10" t="n">
        <f aca="false">IF(OR(AG286="Not counted",AG286="Excluded",AG286="Delivered"),0,N(S286))</f>
        <v>0</v>
      </c>
      <c r="AO286" s="2" t="s">
        <v>1021</v>
      </c>
      <c r="AP286" s="10"/>
      <c r="AQ286" s="10"/>
      <c r="AR286" s="10"/>
      <c r="AS286" s="10"/>
      <c r="AT286" s="10"/>
      <c r="AU286" s="10"/>
      <c r="AV286" s="10" t="n">
        <f aca="false">N(AP286)+N(AQ286)+N(AR286)+N(AS286)+N(AT286)+N(AU286)</f>
        <v>0</v>
      </c>
      <c r="AW286" s="10"/>
      <c r="AX286" s="10"/>
      <c r="AY286" s="10"/>
      <c r="AZ286" s="2"/>
      <c r="BA286" s="2" t="s">
        <v>1022</v>
      </c>
      <c r="BB286" s="2" t="s">
        <v>2052</v>
      </c>
      <c r="BC286" s="2" t="s">
        <v>1582</v>
      </c>
      <c r="BD286" s="2" t="s">
        <v>1033</v>
      </c>
      <c r="BE286" s="2"/>
      <c r="BF286" s="2" t="s">
        <v>1449</v>
      </c>
      <c r="BG286" s="22"/>
      <c r="BH286" s="22"/>
      <c r="BI286" s="2"/>
      <c r="BJ286" s="22"/>
      <c r="BK286" s="2"/>
      <c r="BL286" s="2" t="n">
        <v>0</v>
      </c>
      <c r="BM286" s="2"/>
      <c r="BN286" s="2" t="s">
        <v>2053</v>
      </c>
      <c r="BO286" s="23" t="s">
        <v>2054</v>
      </c>
      <c r="BP286" s="2" t="str">
        <f aca="false">IF(OR(K286="",BG286=""),"",ROUND(BG286-K286,0))</f>
        <v/>
      </c>
      <c r="BQ286" s="2" t="str">
        <f aca="false">IF(OR(N(BK286)=0,Q286=""),"Not recorded",IF(BK286=Q286,"Match","Differs"))</f>
        <v>Not recorded</v>
      </c>
      <c r="BR286" s="2" t="str">
        <f aca="false">IF(N286="No","Excluded (non-residential)",IF(BF286="No reference","Unverified – no reference",IF(BF286="Not in council register","Unverified – not in register (Part 8 / other)",IF(OR(BF286="Refused",BF286="Refused on appeal",BF286="Withdrawn",BF286="Invalid",BF286="Quashed"),IF(OR(G286="Complete",G286="On Site",G286="Part Complete"),"Conflict – register not live but CIS says built","Conflict – not live in register"),IF(AND(G286="Plans Submitted",OR(BF286="Granted",BF286="Granted on appeal")),"Stage out of date – now granted",IF(AND(G286&lt;&gt;"Plans Submitted",OR(BF286="Pending",BF286="Under appeal")),"Check – register still pending",IF(N(BL286)&gt;Method!$B$7,"Check – location differs",IF(AND(BP286&lt;&gt;"",ABS(N(BP286))&gt;60),"Consistent – decision date differs","Consistent"))))))))</f>
        <v>Conflict – not live in register</v>
      </c>
      <c r="BS286" s="2"/>
      <c r="BT286" s="2"/>
      <c r="BU286" s="2"/>
      <c r="BV286" s="2"/>
      <c r="BW286" s="2"/>
      <c r="BX286" s="2"/>
    </row>
    <row r="287" customFormat="false" ht="15" hidden="false" customHeight="false" outlineLevel="0" collapsed="false">
      <c r="A287" s="2" t="n">
        <v>1442414</v>
      </c>
      <c r="B287" s="2" t="s">
        <v>836</v>
      </c>
      <c r="C287" s="2" t="s">
        <v>2055</v>
      </c>
      <c r="D287" s="2" t="s">
        <v>837</v>
      </c>
      <c r="E287" s="2" t="s">
        <v>838</v>
      </c>
      <c r="F287" s="2" t="s">
        <v>139</v>
      </c>
      <c r="G287" s="2" t="s">
        <v>700</v>
      </c>
      <c r="H287" s="2" t="s">
        <v>700</v>
      </c>
      <c r="I287" s="2"/>
      <c r="J287" s="22" t="n">
        <v>46185</v>
      </c>
      <c r="K287" s="22"/>
      <c r="L287" s="22" t="n">
        <v>46219.2794971412</v>
      </c>
      <c r="M287" s="2" t="s">
        <v>1893</v>
      </c>
      <c r="N287" s="2" t="s">
        <v>121</v>
      </c>
      <c r="O287" s="2"/>
      <c r="P287" s="2" t="s">
        <v>1017</v>
      </c>
      <c r="Q287" s="10" t="n">
        <v>4</v>
      </c>
      <c r="R287" s="10" t="n">
        <v>4</v>
      </c>
      <c r="S287" s="10"/>
      <c r="T287" s="2" t="s">
        <v>120</v>
      </c>
      <c r="U287" s="2"/>
      <c r="V287" s="2" t="s">
        <v>1029</v>
      </c>
      <c r="W287" s="2" t="s">
        <v>1030</v>
      </c>
      <c r="X287" s="7"/>
      <c r="Y287" s="2" t="str">
        <f aca="false">IF(X287&lt;&gt;"",X287,T287)</f>
        <v>Primary</v>
      </c>
      <c r="Z287" s="2" t="str">
        <f aca="false">IF(OR(Y287="Primary",Y287="Additional phase",Y287="Additional application on site",Y287="Replaces earlier",Y287="Extension of duration (parent not in CIS)"),"Yes","No")</f>
        <v>Yes</v>
      </c>
      <c r="AA287" s="2"/>
      <c r="AB287" s="2" t="n">
        <f aca="false">IF(L287="","",ROUND((Method!$B$4-L287)/30.44,0))</f>
        <v>2</v>
      </c>
      <c r="AC287" s="2" t="str">
        <f aca="false">IF(AB287="","No",IF(AB287&gt;Method!$B$5,"Yes","No"))</f>
        <v>No</v>
      </c>
      <c r="AD287" s="22" t="str">
        <f aca="false">IF(BJ287&lt;&gt;"",BJ287,IF(K287&lt;&gt;"",EDATE(K287,60),""))</f>
        <v/>
      </c>
      <c r="AE287" s="2" t="str">
        <f aca="false">IF(AND(AD287&lt;&gt;"",OR(G287="Permission Granted",G287="Commencement Expected",G287="Stalled or Suspended")),IF(AD287&lt;Method!$B$4,"Yes","No"),"No")</f>
        <v>No</v>
      </c>
      <c r="AF287" s="7"/>
      <c r="AG287" s="2" t="str">
        <f aca="false">IF(Z287="No","Not counted",IF(AF287="Lapsed or dead","Excluded",IF(AF287="Constrained","Constrained / uncertain",IF(AF287="Confirmed live",IF(G287="On Site","Committed",IF(G287="Part Complete","Committed",IF(G287="Contract Awarded","Committed Pre-Construction",IF(G287="Tender","Advanced Pre-Construction",IF(G287="Commencement Expected","Likely",IF(G287="Permission Granted","Potential",IF(G287="Stalled or Suspended","Constrained / uncertain",IF(G287="Complete","Delivered","Application Pipeline")))))))),IF(G287="Complete","Delivered",IF(AND(OR(G287="Permission Granted",G287="Commencement Expected"),OR(AC287="Yes",AE287="Yes")),"Constrained / uncertain",IF(G287="On Site","Committed",IF(G287="Part Complete","Committed",IF(G287="Contract Awarded","Committed Pre-Construction",IF(G287="Tender","Advanced Pre-Construction",IF(G287="Commencement Expected","Likely",IF(G287="Permission Granted","Potential",IF(G287="Stalled or Suspended","Constrained / uncertain",IF(G287="Complete","Delivered","Application Pipeline"))))))))))))))</f>
        <v>Application Pipeline</v>
      </c>
      <c r="AH287" s="2" t="str">
        <f aca="false">IF(Z287="No","Relationship: "&amp;Y287,IF(AF287&lt;&gt;"","Analyst: "&amp;AF287,IF(G287="Complete","Complete",IF(AND(OR(G287="Permission Granted",G287="Commencement Expected"),AE287="Yes"),"Past expiry",IF(AND(OR(G287="Permission Granted",G287="Commencement Expected"),AC287="Yes"),"No CIS update in "&amp;AB287&amp;" months","As CIS")))))</f>
        <v>As CIS</v>
      </c>
      <c r="AI287" s="10" t="n">
        <f aca="false">IF(Z287="Yes",N(Q287),0)</f>
        <v>4</v>
      </c>
      <c r="AJ287" s="10" t="n">
        <f aca="false">IF(OR(Z287="No",G287="Complete"),0,MAX(N(Q287)-N(AA287),0))</f>
        <v>4</v>
      </c>
      <c r="AK287" s="10" t="n">
        <f aca="false">IF(Z287="No",0,IF(G287="Complete",N(Q287),MIN(N(AA287),N(Q287))))</f>
        <v>0</v>
      </c>
      <c r="AL287" s="10" t="n">
        <f aca="false">IF(OR(OR(AG287="Not counted",AG287="Excluded",AG287="Delivered"),P287="Student accommodation"),0,AJ287)</f>
        <v>4</v>
      </c>
      <c r="AM287" s="10" t="n">
        <f aca="false">IF(OR(OR(AG287="Not counted",AG287="Excluded",AG287="Delivered"),P287&lt;&gt;"Student accommodation"),0,AJ287)</f>
        <v>0</v>
      </c>
      <c r="AN287" s="10" t="n">
        <f aca="false">IF(OR(AG287="Not counted",AG287="Excluded",AG287="Delivered"),0,N(S287))</f>
        <v>0</v>
      </c>
      <c r="AO287" s="2" t="s">
        <v>1021</v>
      </c>
      <c r="AP287" s="10"/>
      <c r="AQ287" s="10"/>
      <c r="AR287" s="10"/>
      <c r="AS287" s="10"/>
      <c r="AT287" s="10"/>
      <c r="AU287" s="10"/>
      <c r="AV287" s="10" t="n">
        <f aca="false">N(AP287)+N(AQ287)+N(AR287)+N(AS287)+N(AT287)+N(AU287)</f>
        <v>0</v>
      </c>
      <c r="AW287" s="10"/>
      <c r="AX287" s="10"/>
      <c r="AY287" s="10"/>
      <c r="AZ287" s="2"/>
      <c r="BA287" s="2" t="s">
        <v>1022</v>
      </c>
      <c r="BB287" s="2" t="s">
        <v>2055</v>
      </c>
      <c r="BC287" s="2" t="s">
        <v>1966</v>
      </c>
      <c r="BD287" s="2" t="s">
        <v>1033</v>
      </c>
      <c r="BE287" s="2"/>
      <c r="BF287" s="2" t="s">
        <v>1034</v>
      </c>
      <c r="BG287" s="22"/>
      <c r="BH287" s="22"/>
      <c r="BI287" s="2"/>
      <c r="BJ287" s="22"/>
      <c r="BK287" s="2"/>
      <c r="BL287" s="2" t="n">
        <v>0</v>
      </c>
      <c r="BM287" s="2"/>
      <c r="BN287" s="2" t="s">
        <v>2056</v>
      </c>
      <c r="BO287" s="23" t="s">
        <v>2057</v>
      </c>
      <c r="BP287" s="2" t="str">
        <f aca="false">IF(OR(K287="",BG287=""),"",ROUND(BG287-K287,0))</f>
        <v/>
      </c>
      <c r="BQ287" s="2" t="str">
        <f aca="false">IF(OR(N(BK287)=0,Q287=""),"Not recorded",IF(BK287=Q287,"Match","Differs"))</f>
        <v>Not recorded</v>
      </c>
      <c r="BR287" s="2" t="str">
        <f aca="false">IF(N287="No","Excluded (non-residential)",IF(BF287="No reference","Unverified – no reference",IF(BF287="Not in council register","Unverified – not in register (Part 8 / other)",IF(OR(BF287="Refused",BF287="Refused on appeal",BF287="Withdrawn",BF287="Invalid",BF287="Quashed"),IF(OR(G287="Complete",G287="On Site",G287="Part Complete"),"Conflict – register not live but CIS says built","Conflict – not live in register"),IF(AND(G287="Plans Submitted",OR(BF287="Granted",BF287="Granted on appeal")),"Stage out of date – now granted",IF(AND(G287&lt;&gt;"Plans Submitted",OR(BF287="Pending",BF287="Under appeal")),"Check – register still pending",IF(N(BL287)&gt;Method!$B$7,"Check – location differs",IF(AND(BP287&lt;&gt;"",ABS(N(BP287))&gt;60),"Consistent – decision date differs","Consistent"))))))))</f>
        <v>Consistent</v>
      </c>
      <c r="BS287" s="2"/>
      <c r="BT287" s="2"/>
      <c r="BU287" s="2"/>
      <c r="BV287" s="2"/>
      <c r="BW287" s="2"/>
      <c r="BX287" s="2"/>
    </row>
    <row r="288" customFormat="false" ht="15" hidden="false" customHeight="false" outlineLevel="0" collapsed="false">
      <c r="A288" s="2" t="n">
        <v>1446285</v>
      </c>
      <c r="B288" s="2" t="s">
        <v>813</v>
      </c>
      <c r="C288" s="2" t="s">
        <v>2058</v>
      </c>
      <c r="D288" s="2" t="s">
        <v>814</v>
      </c>
      <c r="E288" s="2" t="s">
        <v>671</v>
      </c>
      <c r="F288" s="2" t="s">
        <v>131</v>
      </c>
      <c r="G288" s="2" t="s">
        <v>700</v>
      </c>
      <c r="H288" s="2" t="s">
        <v>700</v>
      </c>
      <c r="I288" s="2"/>
      <c r="J288" s="22" t="n">
        <v>46084</v>
      </c>
      <c r="K288" s="22"/>
      <c r="L288" s="22" t="n">
        <v>46241.3325737616</v>
      </c>
      <c r="M288" s="2" t="s">
        <v>1893</v>
      </c>
      <c r="N288" s="2" t="s">
        <v>121</v>
      </c>
      <c r="O288" s="2"/>
      <c r="P288" s="2" t="s">
        <v>1017</v>
      </c>
      <c r="Q288" s="10" t="n">
        <v>48</v>
      </c>
      <c r="R288" s="10" t="n">
        <v>48</v>
      </c>
      <c r="S288" s="10"/>
      <c r="T288" s="2" t="s">
        <v>30</v>
      </c>
      <c r="U288" s="2"/>
      <c r="V288" s="2" t="s">
        <v>1080</v>
      </c>
      <c r="W288" s="2" t="s">
        <v>1020</v>
      </c>
      <c r="X288" s="7"/>
      <c r="Y288" s="2" t="str">
        <f aca="false">IF(X288&lt;&gt;"",X288,T288)</f>
        <v>Additional application on site</v>
      </c>
      <c r="Z288" s="2" t="str">
        <f aca="false">IF(OR(Y288="Primary",Y288="Additional phase",Y288="Additional application on site",Y288="Replaces earlier",Y288="Extension of duration (parent not in CIS)"),"Yes","No")</f>
        <v>Yes</v>
      </c>
      <c r="AA288" s="2"/>
      <c r="AB288" s="2" t="n">
        <f aca="false">IF(L288="","",ROUND((Method!$B$4-L288)/30.44,0))</f>
        <v>2</v>
      </c>
      <c r="AC288" s="2" t="str">
        <f aca="false">IF(AB288="","No",IF(AB288&gt;Method!$B$5,"Yes","No"))</f>
        <v>No</v>
      </c>
      <c r="AD288" s="22" t="str">
        <f aca="false">IF(BJ288&lt;&gt;"",BJ288,IF(K288&lt;&gt;"",EDATE(K288,60),""))</f>
        <v/>
      </c>
      <c r="AE288" s="2" t="str">
        <f aca="false">IF(AND(AD288&lt;&gt;"",OR(G288="Permission Granted",G288="Commencement Expected",G288="Stalled or Suspended")),IF(AD288&lt;Method!$B$4,"Yes","No"),"No")</f>
        <v>No</v>
      </c>
      <c r="AF288" s="7"/>
      <c r="AG288" s="2" t="str">
        <f aca="false">IF(Z288="No","Not counted",IF(AF288="Lapsed or dead","Excluded",IF(AF288="Constrained","Constrained / uncertain",IF(AF288="Confirmed live",IF(G288="On Site","Committed",IF(G288="Part Complete","Committed",IF(G288="Contract Awarded","Committed Pre-Construction",IF(G288="Tender","Advanced Pre-Construction",IF(G288="Commencement Expected","Likely",IF(G288="Permission Granted","Potential",IF(G288="Stalled or Suspended","Constrained / uncertain",IF(G288="Complete","Delivered","Application Pipeline")))))))),IF(G288="Complete","Delivered",IF(AND(OR(G288="Permission Granted",G288="Commencement Expected"),OR(AC288="Yes",AE288="Yes")),"Constrained / uncertain",IF(G288="On Site","Committed",IF(G288="Part Complete","Committed",IF(G288="Contract Awarded","Committed Pre-Construction",IF(G288="Tender","Advanced Pre-Construction",IF(G288="Commencement Expected","Likely",IF(G288="Permission Granted","Potential",IF(G288="Stalled or Suspended","Constrained / uncertain",IF(G288="Complete","Delivered","Application Pipeline"))))))))))))))</f>
        <v>Application Pipeline</v>
      </c>
      <c r="AH288" s="2" t="str">
        <f aca="false">IF(Z288="No","Relationship: "&amp;Y288,IF(AF288&lt;&gt;"","Analyst: "&amp;AF288,IF(G288="Complete","Complete",IF(AND(OR(G288="Permission Granted",G288="Commencement Expected"),AE288="Yes"),"Past expiry",IF(AND(OR(G288="Permission Granted",G288="Commencement Expected"),AC288="Yes"),"No CIS update in "&amp;AB288&amp;" months","As CIS")))))</f>
        <v>As CIS</v>
      </c>
      <c r="AI288" s="10" t="n">
        <f aca="false">IF(Z288="Yes",N(Q288),0)</f>
        <v>48</v>
      </c>
      <c r="AJ288" s="10" t="n">
        <f aca="false">IF(OR(Z288="No",G288="Complete"),0,MAX(N(Q288)-N(AA288),0))</f>
        <v>48</v>
      </c>
      <c r="AK288" s="10" t="n">
        <f aca="false">IF(Z288="No",0,IF(G288="Complete",N(Q288),MIN(N(AA288),N(Q288))))</f>
        <v>0</v>
      </c>
      <c r="AL288" s="10" t="n">
        <f aca="false">IF(OR(OR(AG288="Not counted",AG288="Excluded",AG288="Delivered"),P288="Student accommodation"),0,AJ288)</f>
        <v>48</v>
      </c>
      <c r="AM288" s="10" t="n">
        <f aca="false">IF(OR(OR(AG288="Not counted",AG288="Excluded",AG288="Delivered"),P288&lt;&gt;"Student accommodation"),0,AJ288)</f>
        <v>0</v>
      </c>
      <c r="AN288" s="10" t="n">
        <f aca="false">IF(OR(AG288="Not counted",AG288="Excluded",AG288="Delivered"),0,N(S288))</f>
        <v>0</v>
      </c>
      <c r="AO288" s="2" t="s">
        <v>1031</v>
      </c>
      <c r="AP288" s="10"/>
      <c r="AQ288" s="10" t="n">
        <v>20</v>
      </c>
      <c r="AR288" s="10" t="n">
        <v>20</v>
      </c>
      <c r="AS288" s="10" t="n">
        <v>6</v>
      </c>
      <c r="AT288" s="10" t="n">
        <v>2</v>
      </c>
      <c r="AU288" s="10"/>
      <c r="AV288" s="10" t="n">
        <f aca="false">N(AP288)+N(AQ288)+N(AR288)+N(AS288)+N(AT288)+N(AU288)</f>
        <v>48</v>
      </c>
      <c r="AW288" s="10"/>
      <c r="AX288" s="10"/>
      <c r="AY288" s="10" t="n">
        <v>48</v>
      </c>
      <c r="AZ288" s="2"/>
      <c r="BA288" s="2" t="s">
        <v>1022</v>
      </c>
      <c r="BB288" s="2" t="s">
        <v>2058</v>
      </c>
      <c r="BC288" s="2" t="s">
        <v>1966</v>
      </c>
      <c r="BD288" s="2" t="s">
        <v>1033</v>
      </c>
      <c r="BE288" s="2"/>
      <c r="BF288" s="2" t="s">
        <v>1034</v>
      </c>
      <c r="BG288" s="22"/>
      <c r="BH288" s="22"/>
      <c r="BI288" s="2"/>
      <c r="BJ288" s="22"/>
      <c r="BK288" s="2" t="n">
        <v>1</v>
      </c>
      <c r="BL288" s="2" t="n">
        <v>0</v>
      </c>
      <c r="BM288" s="2"/>
      <c r="BN288" s="2" t="s">
        <v>2059</v>
      </c>
      <c r="BO288" s="23" t="s">
        <v>2060</v>
      </c>
      <c r="BP288" s="2" t="str">
        <f aca="false">IF(OR(K288="",BG288=""),"",ROUND(BG288-K288,0))</f>
        <v/>
      </c>
      <c r="BQ288" s="2" t="str">
        <f aca="false">IF(OR(N(BK288)=0,Q288=""),"Not recorded",IF(BK288=Q288,"Match","Differs"))</f>
        <v>Differs</v>
      </c>
      <c r="BR288" s="2" t="str">
        <f aca="false">IF(N288="No","Excluded (non-residential)",IF(BF288="No reference","Unverified – no reference",IF(BF288="Not in council register","Unverified – not in register (Part 8 / other)",IF(OR(BF288="Refused",BF288="Refused on appeal",BF288="Withdrawn",BF288="Invalid",BF288="Quashed"),IF(OR(G288="Complete",G288="On Site",G288="Part Complete"),"Conflict – register not live but CIS says built","Conflict – not live in register"),IF(AND(G288="Plans Submitted",OR(BF288="Granted",BF288="Granted on appeal")),"Stage out of date – now granted",IF(AND(G288&lt;&gt;"Plans Submitted",OR(BF288="Pending",BF288="Under appeal")),"Check – register still pending",IF(N(BL288)&gt;Method!$B$7,"Check – location differs",IF(AND(BP288&lt;&gt;"",ABS(N(BP288))&gt;60),"Consistent – decision date differs","Consistent"))))))))</f>
        <v>Consistent</v>
      </c>
      <c r="BS288" s="2"/>
      <c r="BT288" s="2"/>
      <c r="BU288" s="2"/>
      <c r="BV288" s="2"/>
      <c r="BW288" s="2"/>
      <c r="BX288" s="2"/>
    </row>
    <row r="289" customFormat="false" ht="15" hidden="false" customHeight="false" outlineLevel="0" collapsed="false">
      <c r="A289" s="2" t="n">
        <v>1447625</v>
      </c>
      <c r="B289" s="2" t="s">
        <v>731</v>
      </c>
      <c r="C289" s="2" t="s">
        <v>1973</v>
      </c>
      <c r="D289" s="2" t="s">
        <v>732</v>
      </c>
      <c r="E289" s="2" t="s">
        <v>733</v>
      </c>
      <c r="F289" s="2" t="s">
        <v>139</v>
      </c>
      <c r="G289" s="2" t="s">
        <v>700</v>
      </c>
      <c r="H289" s="2" t="s">
        <v>700</v>
      </c>
      <c r="I289" s="2"/>
      <c r="J289" s="22" t="n">
        <v>45533</v>
      </c>
      <c r="K289" s="22"/>
      <c r="L289" s="22" t="n">
        <v>46253.311684919</v>
      </c>
      <c r="M289" s="2" t="s">
        <v>1893</v>
      </c>
      <c r="N289" s="2" t="s">
        <v>121</v>
      </c>
      <c r="O289" s="2"/>
      <c r="P289" s="2" t="s">
        <v>1017</v>
      </c>
      <c r="Q289" s="10" t="n">
        <v>6</v>
      </c>
      <c r="R289" s="10"/>
      <c r="S289" s="10"/>
      <c r="T289" s="2" t="s">
        <v>30</v>
      </c>
      <c r="U289" s="2"/>
      <c r="V289" s="2" t="s">
        <v>1080</v>
      </c>
      <c r="W289" s="2" t="s">
        <v>1020</v>
      </c>
      <c r="X289" s="7"/>
      <c r="Y289" s="2" t="str">
        <f aca="false">IF(X289&lt;&gt;"",X289,T289)</f>
        <v>Additional application on site</v>
      </c>
      <c r="Z289" s="2" t="str">
        <f aca="false">IF(OR(Y289="Primary",Y289="Additional phase",Y289="Additional application on site",Y289="Replaces earlier",Y289="Extension of duration (parent not in CIS)"),"Yes","No")</f>
        <v>Yes</v>
      </c>
      <c r="AA289" s="2"/>
      <c r="AB289" s="2" t="n">
        <f aca="false">IF(L289="","",ROUND((Method!$B$4-L289)/30.44,0))</f>
        <v>1</v>
      </c>
      <c r="AC289" s="2" t="str">
        <f aca="false">IF(AB289="","No",IF(AB289&gt;Method!$B$5,"Yes","No"))</f>
        <v>No</v>
      </c>
      <c r="AD289" s="22" t="str">
        <f aca="false">IF(BJ289&lt;&gt;"",BJ289,IF(K289&lt;&gt;"",EDATE(K289,60),""))</f>
        <v/>
      </c>
      <c r="AE289" s="2" t="str">
        <f aca="false">IF(AND(AD289&lt;&gt;"",OR(G289="Permission Granted",G289="Commencement Expected",G289="Stalled or Suspended")),IF(AD289&lt;Method!$B$4,"Yes","No"),"No")</f>
        <v>No</v>
      </c>
      <c r="AF289" s="7"/>
      <c r="AG289" s="2" t="str">
        <f aca="false">IF(Z289="No","Not counted",IF(AF289="Lapsed or dead","Excluded",IF(AF289="Constrained","Constrained / uncertain",IF(AF289="Confirmed live",IF(G289="On Site","Committed",IF(G289="Part Complete","Committed",IF(G289="Contract Awarded","Committed Pre-Construction",IF(G289="Tender","Advanced Pre-Construction",IF(G289="Commencement Expected","Likely",IF(G289="Permission Granted","Potential",IF(G289="Stalled or Suspended","Constrained / uncertain",IF(G289="Complete","Delivered","Application Pipeline")))))))),IF(G289="Complete","Delivered",IF(AND(OR(G289="Permission Granted",G289="Commencement Expected"),OR(AC289="Yes",AE289="Yes")),"Constrained / uncertain",IF(G289="On Site","Committed",IF(G289="Part Complete","Committed",IF(G289="Contract Awarded","Committed Pre-Construction",IF(G289="Tender","Advanced Pre-Construction",IF(G289="Commencement Expected","Likely",IF(G289="Permission Granted","Potential",IF(G289="Stalled or Suspended","Constrained / uncertain",IF(G289="Complete","Delivered","Application Pipeline"))))))))))))))</f>
        <v>Application Pipeline</v>
      </c>
      <c r="AH289" s="2" t="str">
        <f aca="false">IF(Z289="No","Relationship: "&amp;Y289,IF(AF289&lt;&gt;"","Analyst: "&amp;AF289,IF(G289="Complete","Complete",IF(AND(OR(G289="Permission Granted",G289="Commencement Expected"),AE289="Yes"),"Past expiry",IF(AND(OR(G289="Permission Granted",G289="Commencement Expected"),AC289="Yes"),"No CIS update in "&amp;AB289&amp;" months","As CIS")))))</f>
        <v>As CIS</v>
      </c>
      <c r="AI289" s="10" t="n">
        <f aca="false">IF(Z289="Yes",N(Q289),0)</f>
        <v>6</v>
      </c>
      <c r="AJ289" s="10" t="n">
        <f aca="false">IF(OR(Z289="No",G289="Complete"),0,MAX(N(Q289)-N(AA289),0))</f>
        <v>6</v>
      </c>
      <c r="AK289" s="10" t="n">
        <f aca="false">IF(Z289="No",0,IF(G289="Complete",N(Q289),MIN(N(AA289),N(Q289))))</f>
        <v>0</v>
      </c>
      <c r="AL289" s="10" t="n">
        <f aca="false">IF(OR(OR(AG289="Not counted",AG289="Excluded",AG289="Delivered"),P289="Student accommodation"),0,AJ289)</f>
        <v>6</v>
      </c>
      <c r="AM289" s="10" t="n">
        <f aca="false">IF(OR(OR(AG289="Not counted",AG289="Excluded",AG289="Delivered"),P289&lt;&gt;"Student accommodation"),0,AJ289)</f>
        <v>0</v>
      </c>
      <c r="AN289" s="10" t="n">
        <f aca="false">IF(OR(AG289="Not counted",AG289="Excluded",AG289="Delivered"),0,N(S289))</f>
        <v>0</v>
      </c>
      <c r="AO289" s="2" t="s">
        <v>1043</v>
      </c>
      <c r="AP289" s="10"/>
      <c r="AQ289" s="10"/>
      <c r="AR289" s="10"/>
      <c r="AS289" s="10"/>
      <c r="AT289" s="10"/>
      <c r="AU289" s="10"/>
      <c r="AV289" s="10" t="n">
        <f aca="false">N(AP289)+N(AQ289)+N(AR289)+N(AS289)+N(AT289)+N(AU289)</f>
        <v>0</v>
      </c>
      <c r="AW289" s="10"/>
      <c r="AX289" s="10"/>
      <c r="AY289" s="10"/>
      <c r="AZ289" s="2"/>
      <c r="BA289" s="2" t="s">
        <v>1095</v>
      </c>
      <c r="BB289" s="2"/>
      <c r="BC289" s="2"/>
      <c r="BD289" s="2"/>
      <c r="BE289" s="2"/>
      <c r="BF289" s="2" t="s">
        <v>1095</v>
      </c>
      <c r="BG289" s="22"/>
      <c r="BH289" s="22"/>
      <c r="BI289" s="2"/>
      <c r="BJ289" s="22"/>
      <c r="BK289" s="2"/>
      <c r="BL289" s="2"/>
      <c r="BM289" s="2"/>
      <c r="BN289" s="2"/>
      <c r="BO289" s="2"/>
      <c r="BP289" s="2" t="str">
        <f aca="false">IF(OR(K289="",BG289=""),"",ROUND(BG289-K289,0))</f>
        <v/>
      </c>
      <c r="BQ289" s="2" t="str">
        <f aca="false">IF(OR(N(BK289)=0,Q289=""),"Not recorded",IF(BK289=Q289,"Match","Differs"))</f>
        <v>Not recorded</v>
      </c>
      <c r="BR289" s="2" t="str">
        <f aca="false">IF(N289="No","Excluded (non-residential)",IF(BF289="No reference","Unverified – no reference",IF(BF289="Not in council register","Unverified – not in register (Part 8 / other)",IF(OR(BF289="Refused",BF289="Refused on appeal",BF289="Withdrawn",BF289="Invalid",BF289="Quashed"),IF(OR(G289="Complete",G289="On Site",G289="Part Complete"),"Conflict – register not live but CIS says built","Conflict – not live in register"),IF(AND(G289="Plans Submitted",OR(BF289="Granted",BF289="Granted on appeal")),"Stage out of date – now granted",IF(AND(G289&lt;&gt;"Plans Submitted",OR(BF289="Pending",BF289="Under appeal")),"Check – register still pending",IF(N(BL289)&gt;Method!$B$7,"Check – location differs",IF(AND(BP289&lt;&gt;"",ABS(N(BP289))&gt;60),"Consistent – decision date differs","Consistent"))))))))</f>
        <v>Unverified – not in register (Part 8 / other)</v>
      </c>
      <c r="BS289" s="2"/>
      <c r="BT289" s="2"/>
      <c r="BU289" s="2"/>
      <c r="BV289" s="2"/>
      <c r="BW289" s="2"/>
      <c r="BX289" s="2"/>
    </row>
    <row r="290" customFormat="false" ht="15" hidden="false" customHeight="false" outlineLevel="0" collapsed="false">
      <c r="A290" s="2" t="n">
        <v>837963</v>
      </c>
      <c r="B290" s="2" t="s">
        <v>647</v>
      </c>
      <c r="C290" s="2" t="s">
        <v>2061</v>
      </c>
      <c r="D290" s="2" t="s">
        <v>649</v>
      </c>
      <c r="E290" s="2" t="s">
        <v>650</v>
      </c>
      <c r="F290" s="2" t="s">
        <v>144</v>
      </c>
      <c r="G290" s="2" t="s">
        <v>651</v>
      </c>
      <c r="H290" s="2" t="s">
        <v>1014</v>
      </c>
      <c r="I290" s="2" t="s">
        <v>651</v>
      </c>
      <c r="J290" s="22" t="n">
        <v>42208</v>
      </c>
      <c r="K290" s="22" t="n">
        <v>42256</v>
      </c>
      <c r="L290" s="22" t="n">
        <v>42807.4205058681</v>
      </c>
      <c r="M290" s="2" t="s">
        <v>1893</v>
      </c>
      <c r="N290" s="2" t="s">
        <v>121</v>
      </c>
      <c r="O290" s="2"/>
      <c r="P290" s="2" t="s">
        <v>1017</v>
      </c>
      <c r="Q290" s="10" t="n">
        <v>3</v>
      </c>
      <c r="R290" s="10"/>
      <c r="S290" s="10"/>
      <c r="T290" s="2" t="s">
        <v>120</v>
      </c>
      <c r="U290" s="2"/>
      <c r="V290" s="2" t="s">
        <v>1029</v>
      </c>
      <c r="W290" s="2" t="s">
        <v>1030</v>
      </c>
      <c r="X290" s="7"/>
      <c r="Y290" s="2" t="str">
        <f aca="false">IF(X290&lt;&gt;"",X290,T290)</f>
        <v>Primary</v>
      </c>
      <c r="Z290" s="2" t="str">
        <f aca="false">IF(OR(Y290="Primary",Y290="Additional phase",Y290="Additional application on site",Y290="Replaces earlier",Y290="Extension of duration (parent not in CIS)"),"Yes","No")</f>
        <v>Yes</v>
      </c>
      <c r="AA290" s="2"/>
      <c r="AB290" s="2" t="n">
        <f aca="false">IF(L290="","",ROUND((Method!$B$4-L290)/30.44,0))</f>
        <v>115</v>
      </c>
      <c r="AC290" s="2" t="str">
        <f aca="false">IF(AB290="","No",IF(AB290&gt;Method!$B$5,"Yes","No"))</f>
        <v>Yes</v>
      </c>
      <c r="AD290" s="22" t="n">
        <f aca="false">IF(BJ290&lt;&gt;"",BJ290,IF(K290&lt;&gt;"",EDATE(K290,60),""))</f>
        <v>44083</v>
      </c>
      <c r="AE290" s="2" t="str">
        <f aca="false">IF(AND(AD290&lt;&gt;"",OR(G290="Permission Granted",G290="Commencement Expected",G290="Stalled or Suspended")),IF(AD290&lt;Method!$B$4,"Yes","No"),"No")</f>
        <v>No</v>
      </c>
      <c r="AF290" s="7"/>
      <c r="AG290" s="2" t="str">
        <f aca="false">IF(Z290="No","Not counted",IF(AF290="Lapsed or dead","Excluded",IF(AF290="Constrained","Constrained / uncertain",IF(AF290="Confirmed live",IF(G290="On Site","Committed",IF(G290="Part Complete","Committed",IF(G290="Contract Awarded","Committed Pre-Construction",IF(G290="Tender","Advanced Pre-Construction",IF(G290="Commencement Expected","Likely",IF(G290="Permission Granted","Potential",IF(G290="Stalled or Suspended","Constrained / uncertain",IF(G290="Complete","Delivered","Application Pipeline")))))))),IF(G290="Complete","Delivered",IF(AND(OR(G290="Permission Granted",G290="Commencement Expected"),OR(AC290="Yes",AE290="Yes")),"Constrained / uncertain",IF(G290="On Site","Committed",IF(G290="Part Complete","Committed",IF(G290="Contract Awarded","Committed Pre-Construction",IF(G290="Tender","Advanced Pre-Construction",IF(G290="Commencement Expected","Likely",IF(G290="Permission Granted","Potential",IF(G290="Stalled or Suspended","Constrained / uncertain",IF(G290="Complete","Delivered","Application Pipeline"))))))))))))))</f>
        <v>Advanced Pre-Construction</v>
      </c>
      <c r="AH290" s="2" t="str">
        <f aca="false">IF(Z290="No","Relationship: "&amp;Y290,IF(AF290&lt;&gt;"","Analyst: "&amp;AF290,IF(G290="Complete","Complete",IF(AND(OR(G290="Permission Granted",G290="Commencement Expected"),AE290="Yes"),"Past expiry",IF(AND(OR(G290="Permission Granted",G290="Commencement Expected"),AC290="Yes"),"No CIS update in "&amp;AB290&amp;" months","As CIS")))))</f>
        <v>As CIS</v>
      </c>
      <c r="AI290" s="10" t="n">
        <f aca="false">IF(Z290="Yes",N(Q290),0)</f>
        <v>3</v>
      </c>
      <c r="AJ290" s="10" t="n">
        <f aca="false">IF(OR(Z290="No",G290="Complete"),0,MAX(N(Q290)-N(AA290),0))</f>
        <v>3</v>
      </c>
      <c r="AK290" s="10" t="n">
        <f aca="false">IF(Z290="No",0,IF(G290="Complete",N(Q290),MIN(N(AA290),N(Q290))))</f>
        <v>0</v>
      </c>
      <c r="AL290" s="10" t="n">
        <f aca="false">IF(OR(OR(AG290="Not counted",AG290="Excluded",AG290="Delivered"),P290="Student accommodation"),0,AJ290)</f>
        <v>3</v>
      </c>
      <c r="AM290" s="10" t="n">
        <f aca="false">IF(OR(OR(AG290="Not counted",AG290="Excluded",AG290="Delivered"),P290&lt;&gt;"Student accommodation"),0,AJ290)</f>
        <v>0</v>
      </c>
      <c r="AN290" s="10" t="n">
        <f aca="false">IF(OR(AG290="Not counted",AG290="Excluded",AG290="Delivered"),0,N(S290))</f>
        <v>0</v>
      </c>
      <c r="AO290" s="2" t="s">
        <v>1043</v>
      </c>
      <c r="AP290" s="10"/>
      <c r="AQ290" s="10"/>
      <c r="AR290" s="10"/>
      <c r="AS290" s="10"/>
      <c r="AT290" s="10"/>
      <c r="AU290" s="10"/>
      <c r="AV290" s="10" t="n">
        <f aca="false">N(AP290)+N(AQ290)+N(AR290)+N(AS290)+N(AT290)+N(AU290)</f>
        <v>0</v>
      </c>
      <c r="AW290" s="10"/>
      <c r="AX290" s="10"/>
      <c r="AY290" s="10"/>
      <c r="AZ290" s="2"/>
      <c r="BA290" s="2" t="s">
        <v>1095</v>
      </c>
      <c r="BB290" s="2"/>
      <c r="BC290" s="2"/>
      <c r="BD290" s="2"/>
      <c r="BE290" s="2"/>
      <c r="BF290" s="2" t="s">
        <v>1095</v>
      </c>
      <c r="BG290" s="22"/>
      <c r="BH290" s="22"/>
      <c r="BI290" s="2"/>
      <c r="BJ290" s="22"/>
      <c r="BK290" s="2"/>
      <c r="BL290" s="2"/>
      <c r="BM290" s="2"/>
      <c r="BN290" s="2"/>
      <c r="BO290" s="2"/>
      <c r="BP290" s="2" t="str">
        <f aca="false">IF(OR(K290="",BG290=""),"",ROUND(BG290-K290,0))</f>
        <v/>
      </c>
      <c r="BQ290" s="2" t="str">
        <f aca="false">IF(OR(N(BK290)=0,Q290=""),"Not recorded",IF(BK290=Q290,"Match","Differs"))</f>
        <v>Not recorded</v>
      </c>
      <c r="BR290" s="2" t="str">
        <f aca="false">IF(N290="No","Excluded (non-residential)",IF(BF290="No reference","Unverified – no reference",IF(BF290="Not in council register","Unverified – not in register (Part 8 / other)",IF(OR(BF290="Refused",BF290="Refused on appeal",BF290="Withdrawn",BF290="Invalid",BF290="Quashed"),IF(OR(G290="Complete",G290="On Site",G290="Part Complete"),"Conflict – register not live but CIS says built","Conflict – not live in register"),IF(AND(G290="Plans Submitted",OR(BF290="Granted",BF290="Granted on appeal")),"Stage out of date – now granted",IF(AND(G290&lt;&gt;"Plans Submitted",OR(BF290="Pending",BF290="Under appeal")),"Check – register still pending",IF(N(BL290)&gt;Method!$B$7,"Check – location differs",IF(AND(BP290&lt;&gt;"",ABS(N(BP290))&gt;60),"Consistent – decision date differs","Consistent"))))))))</f>
        <v>Unverified – not in register (Part 8 / other)</v>
      </c>
      <c r="BS290" s="2"/>
      <c r="BT290" s="2"/>
      <c r="BU290" s="2"/>
      <c r="BV290" s="2"/>
      <c r="BW290" s="2"/>
      <c r="BX290" s="2"/>
    </row>
    <row r="291" customFormat="false" ht="15" hidden="false" customHeight="false" outlineLevel="0" collapsed="false">
      <c r="A291" s="2" t="n">
        <v>1412631</v>
      </c>
      <c r="B291" s="2"/>
      <c r="C291" s="2"/>
      <c r="D291" s="2" t="s">
        <v>2062</v>
      </c>
      <c r="E291" s="2" t="s">
        <v>2063</v>
      </c>
      <c r="F291" s="2"/>
      <c r="G291" s="2" t="s">
        <v>651</v>
      </c>
      <c r="H291" s="2"/>
      <c r="I291" s="2" t="s">
        <v>651</v>
      </c>
      <c r="J291" s="22"/>
      <c r="K291" s="22"/>
      <c r="L291" s="22" t="n">
        <v>46126.3179274653</v>
      </c>
      <c r="M291" s="2" t="s">
        <v>1893</v>
      </c>
      <c r="N291" s="2" t="s">
        <v>124</v>
      </c>
      <c r="O291" s="2" t="s">
        <v>2064</v>
      </c>
      <c r="P291" s="2" t="s">
        <v>41</v>
      </c>
      <c r="Q291" s="10"/>
      <c r="R291" s="10"/>
      <c r="S291" s="10"/>
      <c r="T291" s="2" t="s">
        <v>97</v>
      </c>
      <c r="U291" s="2"/>
      <c r="V291" s="2" t="s">
        <v>2065</v>
      </c>
      <c r="W291" s="2" t="s">
        <v>1030</v>
      </c>
      <c r="X291" s="7"/>
      <c r="Y291" s="2" t="str">
        <f aca="false">IF(X291&lt;&gt;"",X291,T291)</f>
        <v>Excluded</v>
      </c>
      <c r="Z291" s="2" t="str">
        <f aca="false">IF(OR(Y291="Primary",Y291="Additional phase",Y291="Additional application on site",Y291="Replaces earlier",Y291="Extension of duration (parent not in CIS)"),"Yes","No")</f>
        <v>No</v>
      </c>
      <c r="AA291" s="2"/>
      <c r="AB291" s="2" t="n">
        <f aca="false">IF(L291="","",ROUND((Method!$B$4-L291)/30.44,0))</f>
        <v>6</v>
      </c>
      <c r="AC291" s="2" t="str">
        <f aca="false">IF(AB291="","No",IF(AB291&gt;Method!$B$5,"Yes","No"))</f>
        <v>No</v>
      </c>
      <c r="AD291" s="22" t="str">
        <f aca="false">IF(BJ291&lt;&gt;"",BJ291,IF(K291&lt;&gt;"",EDATE(K291,60),""))</f>
        <v/>
      </c>
      <c r="AE291" s="2" t="str">
        <f aca="false">IF(AND(AD291&lt;&gt;"",OR(G291="Permission Granted",G291="Commencement Expected",G291="Stalled or Suspended")),IF(AD291&lt;Method!$B$4,"Yes","No"),"No")</f>
        <v>No</v>
      </c>
      <c r="AF291" s="7"/>
      <c r="AG291" s="2" t="str">
        <f aca="false">IF(Z291="No","Not counted",IF(AF291="Lapsed or dead","Excluded",IF(AF291="Constrained","Constrained / uncertain",IF(AF291="Confirmed live",IF(G291="On Site","Committed",IF(G291="Part Complete","Committed",IF(G291="Contract Awarded","Committed Pre-Construction",IF(G291="Tender","Advanced Pre-Construction",IF(G291="Commencement Expected","Likely",IF(G291="Permission Granted","Potential",IF(G291="Stalled or Suspended","Constrained / uncertain",IF(G291="Complete","Delivered","Application Pipeline")))))))),IF(G291="Complete","Delivered",IF(AND(OR(G291="Permission Granted",G291="Commencement Expected"),OR(AC291="Yes",AE291="Yes")),"Constrained / uncertain",IF(G291="On Site","Committed",IF(G291="Part Complete","Committed",IF(G291="Contract Awarded","Committed Pre-Construction",IF(G291="Tender","Advanced Pre-Construction",IF(G291="Commencement Expected","Likely",IF(G291="Permission Granted","Potential",IF(G291="Stalled or Suspended","Constrained / uncertain",IF(G291="Complete","Delivered","Application Pipeline"))))))))))))))</f>
        <v>Not counted</v>
      </c>
      <c r="AH291" s="2" t="str">
        <f aca="false">IF(Z291="No","Relationship: "&amp;Y291,IF(AF291&lt;&gt;"","Analyst: "&amp;AF291,IF(G291="Complete","Complete",IF(AND(OR(G291="Permission Granted",G291="Commencement Expected"),AE291="Yes"),"Past expiry",IF(AND(OR(G291="Permission Granted",G291="Commencement Expected"),AC291="Yes"),"No CIS update in "&amp;AB291&amp;" months","As CIS")))))</f>
        <v>Relationship: Excluded</v>
      </c>
      <c r="AI291" s="10" t="n">
        <f aca="false">IF(Z291="Yes",N(Q291),0)</f>
        <v>0</v>
      </c>
      <c r="AJ291" s="10" t="n">
        <f aca="false">IF(OR(Z291="No",G291="Complete"),0,MAX(N(Q291)-N(AA291),0))</f>
        <v>0</v>
      </c>
      <c r="AK291" s="10" t="n">
        <f aca="false">IF(Z291="No",0,IF(G291="Complete",N(Q291),MIN(N(AA291),N(Q291))))</f>
        <v>0</v>
      </c>
      <c r="AL291" s="10" t="n">
        <f aca="false">IF(OR(OR(AG291="Not counted",AG291="Excluded",AG291="Delivered"),P291="Student accommodation"),0,AJ291)</f>
        <v>0</v>
      </c>
      <c r="AM291" s="10" t="n">
        <f aca="false">IF(OR(OR(AG291="Not counted",AG291="Excluded",AG291="Delivered"),P291&lt;&gt;"Student accommodation"),0,AJ291)</f>
        <v>0</v>
      </c>
      <c r="AN291" s="10" t="n">
        <f aca="false">IF(OR(AG291="Not counted",AG291="Excluded",AG291="Delivered"),0,N(S291))</f>
        <v>0</v>
      </c>
      <c r="AO291" s="2" t="s">
        <v>1043</v>
      </c>
      <c r="AP291" s="10"/>
      <c r="AQ291" s="10"/>
      <c r="AR291" s="10"/>
      <c r="AS291" s="10"/>
      <c r="AT291" s="10"/>
      <c r="AU291" s="10"/>
      <c r="AV291" s="10" t="n">
        <f aca="false">N(AP291)+N(AQ291)+N(AR291)+N(AS291)+N(AT291)+N(AU291)</f>
        <v>0</v>
      </c>
      <c r="AW291" s="10"/>
      <c r="AX291" s="10"/>
      <c r="AY291" s="10"/>
      <c r="AZ291" s="2"/>
      <c r="BA291" s="2" t="s">
        <v>1044</v>
      </c>
      <c r="BB291" s="2"/>
      <c r="BC291" s="2"/>
      <c r="BD291" s="2"/>
      <c r="BE291" s="2"/>
      <c r="BF291" s="2" t="s">
        <v>1044</v>
      </c>
      <c r="BG291" s="22"/>
      <c r="BH291" s="22"/>
      <c r="BI291" s="2"/>
      <c r="BJ291" s="22"/>
      <c r="BK291" s="2"/>
      <c r="BL291" s="2"/>
      <c r="BM291" s="2"/>
      <c r="BN291" s="2"/>
      <c r="BO291" s="2"/>
      <c r="BP291" s="2" t="str">
        <f aca="false">IF(OR(K291="",BG291=""),"",ROUND(BG291-K291,0))</f>
        <v/>
      </c>
      <c r="BQ291" s="2" t="str">
        <f aca="false">IF(OR(N(BK291)=0,Q291=""),"Not recorded",IF(BK291=Q291,"Match","Differs"))</f>
        <v>Not recorded</v>
      </c>
      <c r="BR291" s="2" t="str">
        <f aca="false">IF(N291="No","Excluded (non-residential)",IF(BF291="No reference","Unverified – no reference",IF(BF291="Not in council register","Unverified – not in register (Part 8 / other)",IF(OR(BF291="Refused",BF291="Refused on appeal",BF291="Withdrawn",BF291="Invalid",BF291="Quashed"),IF(OR(G291="Complete",G291="On Site",G291="Part Complete"),"Conflict – register not live but CIS says built","Conflict – not live in register"),IF(AND(G291="Plans Submitted",OR(BF291="Granted",BF291="Granted on appeal")),"Stage out of date – now granted",IF(AND(G291&lt;&gt;"Plans Submitted",OR(BF291="Pending",BF291="Under appeal")),"Check – register still pending",IF(N(BL291)&gt;Method!$B$7,"Check – location differs",IF(AND(BP291&lt;&gt;"",ABS(N(BP291))&gt;60),"Consistent – decision date differs","Consistent"))))))))</f>
        <v>Excluded (non-residential)</v>
      </c>
      <c r="BS291" s="2"/>
      <c r="BT291" s="2"/>
      <c r="BU291" s="2"/>
      <c r="BV291" s="2"/>
      <c r="BW291" s="2"/>
      <c r="BX291" s="2"/>
    </row>
    <row r="292" customFormat="false" ht="15" hidden="false" customHeight="false" outlineLevel="0" collapsed="false">
      <c r="A292" s="2" t="n">
        <v>1421959</v>
      </c>
      <c r="B292" s="2"/>
      <c r="C292" s="2"/>
      <c r="D292" s="2" t="s">
        <v>2066</v>
      </c>
      <c r="E292" s="2" t="s">
        <v>2067</v>
      </c>
      <c r="F292" s="2"/>
      <c r="G292" s="2" t="s">
        <v>668</v>
      </c>
      <c r="H292" s="2"/>
      <c r="I292" s="2" t="s">
        <v>668</v>
      </c>
      <c r="J292" s="22"/>
      <c r="K292" s="22"/>
      <c r="L292" s="22" t="n">
        <v>46266.4547779282</v>
      </c>
      <c r="M292" s="2" t="s">
        <v>1893</v>
      </c>
      <c r="N292" s="2" t="s">
        <v>124</v>
      </c>
      <c r="O292" s="2" t="s">
        <v>2064</v>
      </c>
      <c r="P292" s="2" t="s">
        <v>1017</v>
      </c>
      <c r="Q292" s="10" t="n">
        <v>0</v>
      </c>
      <c r="R292" s="10"/>
      <c r="S292" s="10"/>
      <c r="T292" s="2" t="s">
        <v>97</v>
      </c>
      <c r="U292" s="2"/>
      <c r="V292" s="2" t="s">
        <v>2065</v>
      </c>
      <c r="W292" s="2" t="s">
        <v>1030</v>
      </c>
      <c r="X292" s="7"/>
      <c r="Y292" s="2" t="str">
        <f aca="false">IF(X292&lt;&gt;"",X292,T292)</f>
        <v>Excluded</v>
      </c>
      <c r="Z292" s="2" t="str">
        <f aca="false">IF(OR(Y292="Primary",Y292="Additional phase",Y292="Additional application on site",Y292="Replaces earlier",Y292="Extension of duration (parent not in CIS)"),"Yes","No")</f>
        <v>No</v>
      </c>
      <c r="AA292" s="2"/>
      <c r="AB292" s="2" t="n">
        <f aca="false">IF(L292="","",ROUND((Method!$B$4-L292)/30.44,0))</f>
        <v>1</v>
      </c>
      <c r="AC292" s="2" t="str">
        <f aca="false">IF(AB292="","No",IF(AB292&gt;Method!$B$5,"Yes","No"))</f>
        <v>No</v>
      </c>
      <c r="AD292" s="22" t="str">
        <f aca="false">IF(BJ292&lt;&gt;"",BJ292,IF(K292&lt;&gt;"",EDATE(K292,60),""))</f>
        <v/>
      </c>
      <c r="AE292" s="2" t="str">
        <f aca="false">IF(AND(AD292&lt;&gt;"",OR(G292="Permission Granted",G292="Commencement Expected",G292="Stalled or Suspended")),IF(AD292&lt;Method!$B$4,"Yes","No"),"No")</f>
        <v>No</v>
      </c>
      <c r="AF292" s="7"/>
      <c r="AG292" s="2" t="str">
        <f aca="false">IF(Z292="No","Not counted",IF(AF292="Lapsed or dead","Excluded",IF(AF292="Constrained","Constrained / uncertain",IF(AF292="Confirmed live",IF(G292="On Site","Committed",IF(G292="Part Complete","Committed",IF(G292="Contract Awarded","Committed Pre-Construction",IF(G292="Tender","Advanced Pre-Construction",IF(G292="Commencement Expected","Likely",IF(G292="Permission Granted","Potential",IF(G292="Stalled or Suspended","Constrained / uncertain",IF(G292="Complete","Delivered","Application Pipeline")))))))),IF(G292="Complete","Delivered",IF(AND(OR(G292="Permission Granted",G292="Commencement Expected"),OR(AC292="Yes",AE292="Yes")),"Constrained / uncertain",IF(G292="On Site","Committed",IF(G292="Part Complete","Committed",IF(G292="Contract Awarded","Committed Pre-Construction",IF(G292="Tender","Advanced Pre-Construction",IF(G292="Commencement Expected","Likely",IF(G292="Permission Granted","Potential",IF(G292="Stalled or Suspended","Constrained / uncertain",IF(G292="Complete","Delivered","Application Pipeline"))))))))))))))</f>
        <v>Not counted</v>
      </c>
      <c r="AH292" s="2" t="str">
        <f aca="false">IF(Z292="No","Relationship: "&amp;Y292,IF(AF292&lt;&gt;"","Analyst: "&amp;AF292,IF(G292="Complete","Complete",IF(AND(OR(G292="Permission Granted",G292="Commencement Expected"),AE292="Yes"),"Past expiry",IF(AND(OR(G292="Permission Granted",G292="Commencement Expected"),AC292="Yes"),"No CIS update in "&amp;AB292&amp;" months","As CIS")))))</f>
        <v>Relationship: Excluded</v>
      </c>
      <c r="AI292" s="10" t="n">
        <f aca="false">IF(Z292="Yes",N(Q292),0)</f>
        <v>0</v>
      </c>
      <c r="AJ292" s="10" t="n">
        <f aca="false">IF(OR(Z292="No",G292="Complete"),0,MAX(N(Q292)-N(AA292),0))</f>
        <v>0</v>
      </c>
      <c r="AK292" s="10" t="n">
        <f aca="false">IF(Z292="No",0,IF(G292="Complete",N(Q292),MIN(N(AA292),N(Q292))))</f>
        <v>0</v>
      </c>
      <c r="AL292" s="10" t="n">
        <f aca="false">IF(OR(OR(AG292="Not counted",AG292="Excluded",AG292="Delivered"),P292="Student accommodation"),0,AJ292)</f>
        <v>0</v>
      </c>
      <c r="AM292" s="10" t="n">
        <f aca="false">IF(OR(OR(AG292="Not counted",AG292="Excluded",AG292="Delivered"),P292&lt;&gt;"Student accommodation"),0,AJ292)</f>
        <v>0</v>
      </c>
      <c r="AN292" s="10" t="n">
        <f aca="false">IF(OR(AG292="Not counted",AG292="Excluded",AG292="Delivered"),0,N(S292))</f>
        <v>0</v>
      </c>
      <c r="AO292" s="2" t="s">
        <v>1043</v>
      </c>
      <c r="AP292" s="10"/>
      <c r="AQ292" s="10"/>
      <c r="AR292" s="10"/>
      <c r="AS292" s="10"/>
      <c r="AT292" s="10"/>
      <c r="AU292" s="10"/>
      <c r="AV292" s="10" t="n">
        <f aca="false">N(AP292)+N(AQ292)+N(AR292)+N(AS292)+N(AT292)+N(AU292)</f>
        <v>0</v>
      </c>
      <c r="AW292" s="10"/>
      <c r="AX292" s="10"/>
      <c r="AY292" s="10"/>
      <c r="AZ292" s="2"/>
      <c r="BA292" s="2" t="s">
        <v>1044</v>
      </c>
      <c r="BB292" s="2"/>
      <c r="BC292" s="2"/>
      <c r="BD292" s="2"/>
      <c r="BE292" s="2"/>
      <c r="BF292" s="2" t="s">
        <v>1044</v>
      </c>
      <c r="BG292" s="22"/>
      <c r="BH292" s="22"/>
      <c r="BI292" s="2"/>
      <c r="BJ292" s="22"/>
      <c r="BK292" s="2"/>
      <c r="BL292" s="2"/>
      <c r="BM292" s="2"/>
      <c r="BN292" s="2"/>
      <c r="BO292" s="2"/>
      <c r="BP292" s="2" t="str">
        <f aca="false">IF(OR(K292="",BG292=""),"",ROUND(BG292-K292,0))</f>
        <v/>
      </c>
      <c r="BQ292" s="2" t="str">
        <f aca="false">IF(OR(N(BK292)=0,Q292=""),"Not recorded",IF(BK292=Q292,"Match","Differs"))</f>
        <v>Not recorded</v>
      </c>
      <c r="BR292" s="2" t="str">
        <f aca="false">IF(N292="No","Excluded (non-residential)",IF(BF292="No reference","Unverified – no reference",IF(BF292="Not in council register","Unverified – not in register (Part 8 / other)",IF(OR(BF292="Refused",BF292="Refused on appeal",BF292="Withdrawn",BF292="Invalid",BF292="Quashed"),IF(OR(G292="Complete",G292="On Site",G292="Part Complete"),"Conflict – register not live but CIS says built","Conflict – not live in register"),IF(AND(G292="Plans Submitted",OR(BF292="Granted",BF292="Granted on appeal")),"Stage out of date – now granted",IF(AND(G292&lt;&gt;"Plans Submitted",OR(BF292="Pending",BF292="Under appeal")),"Check – register still pending",IF(N(BL292)&gt;Method!$B$7,"Check – location differs",IF(AND(BP292&lt;&gt;"",ABS(N(BP292))&gt;60),"Consistent – decision date differs","Consistent"))))))))</f>
        <v>Excluded (non-residential)</v>
      </c>
      <c r="BS292" s="2"/>
      <c r="BT292" s="2"/>
      <c r="BU292" s="2"/>
      <c r="BV292" s="2"/>
      <c r="BW292" s="2"/>
      <c r="BX292" s="2"/>
    </row>
    <row r="293" customFormat="false" ht="15" hidden="false" customHeight="false" outlineLevel="0" collapsed="false">
      <c r="A293" s="2" t="n">
        <v>1454107</v>
      </c>
      <c r="B293" s="2"/>
      <c r="C293" s="2"/>
      <c r="D293" s="2" t="s">
        <v>2068</v>
      </c>
      <c r="E293" s="2" t="s">
        <v>2069</v>
      </c>
      <c r="F293" s="2"/>
      <c r="G293" s="2" t="s">
        <v>651</v>
      </c>
      <c r="H293" s="2"/>
      <c r="I293" s="2" t="s">
        <v>651</v>
      </c>
      <c r="J293" s="22"/>
      <c r="K293" s="22"/>
      <c r="L293" s="22" t="n">
        <v>46286.3469598727</v>
      </c>
      <c r="M293" s="2" t="s">
        <v>1893</v>
      </c>
      <c r="N293" s="2" t="s">
        <v>124</v>
      </c>
      <c r="O293" s="2" t="s">
        <v>2064</v>
      </c>
      <c r="P293" s="2" t="s">
        <v>1017</v>
      </c>
      <c r="Q293" s="10"/>
      <c r="R293" s="10"/>
      <c r="S293" s="10"/>
      <c r="T293" s="2" t="s">
        <v>97</v>
      </c>
      <c r="U293" s="2"/>
      <c r="V293" s="2" t="s">
        <v>2065</v>
      </c>
      <c r="W293" s="2" t="s">
        <v>1030</v>
      </c>
      <c r="X293" s="7"/>
      <c r="Y293" s="2" t="str">
        <f aca="false">IF(X293&lt;&gt;"",X293,T293)</f>
        <v>Excluded</v>
      </c>
      <c r="Z293" s="2" t="str">
        <f aca="false">IF(OR(Y293="Primary",Y293="Additional phase",Y293="Additional application on site",Y293="Replaces earlier",Y293="Extension of duration (parent not in CIS)"),"Yes","No")</f>
        <v>No</v>
      </c>
      <c r="AA293" s="2"/>
      <c r="AB293" s="2" t="n">
        <f aca="false">IF(L293="","",ROUND((Method!$B$4-L293)/30.44,0))</f>
        <v>0</v>
      </c>
      <c r="AC293" s="2" t="str">
        <f aca="false">IF(AB293="","No",IF(AB293&gt;Method!$B$5,"Yes","No"))</f>
        <v>No</v>
      </c>
      <c r="AD293" s="22" t="str">
        <f aca="false">IF(BJ293&lt;&gt;"",BJ293,IF(K293&lt;&gt;"",EDATE(K293,60),""))</f>
        <v/>
      </c>
      <c r="AE293" s="2" t="str">
        <f aca="false">IF(AND(AD293&lt;&gt;"",OR(G293="Permission Granted",G293="Commencement Expected",G293="Stalled or Suspended")),IF(AD293&lt;Method!$B$4,"Yes","No"),"No")</f>
        <v>No</v>
      </c>
      <c r="AF293" s="7"/>
      <c r="AG293" s="2" t="str">
        <f aca="false">IF(Z293="No","Not counted",IF(AF293="Lapsed or dead","Excluded",IF(AF293="Constrained","Constrained / uncertain",IF(AF293="Confirmed live",IF(G293="On Site","Committed",IF(G293="Part Complete","Committed",IF(G293="Contract Awarded","Committed Pre-Construction",IF(G293="Tender","Advanced Pre-Construction",IF(G293="Commencement Expected","Likely",IF(G293="Permission Granted","Potential",IF(G293="Stalled or Suspended","Constrained / uncertain",IF(G293="Complete","Delivered","Application Pipeline")))))))),IF(G293="Complete","Delivered",IF(AND(OR(G293="Permission Granted",G293="Commencement Expected"),OR(AC293="Yes",AE293="Yes")),"Constrained / uncertain",IF(G293="On Site","Committed",IF(G293="Part Complete","Committed",IF(G293="Contract Awarded","Committed Pre-Construction",IF(G293="Tender","Advanced Pre-Construction",IF(G293="Commencement Expected","Likely",IF(G293="Permission Granted","Potential",IF(G293="Stalled or Suspended","Constrained / uncertain",IF(G293="Complete","Delivered","Application Pipeline"))))))))))))))</f>
        <v>Not counted</v>
      </c>
      <c r="AH293" s="2" t="str">
        <f aca="false">IF(Z293="No","Relationship: "&amp;Y293,IF(AF293&lt;&gt;"","Analyst: "&amp;AF293,IF(G293="Complete","Complete",IF(AND(OR(G293="Permission Granted",G293="Commencement Expected"),AE293="Yes"),"Past expiry",IF(AND(OR(G293="Permission Granted",G293="Commencement Expected"),AC293="Yes"),"No CIS update in "&amp;AB293&amp;" months","As CIS")))))</f>
        <v>Relationship: Excluded</v>
      </c>
      <c r="AI293" s="10" t="n">
        <f aca="false">IF(Z293="Yes",N(Q293),0)</f>
        <v>0</v>
      </c>
      <c r="AJ293" s="10" t="n">
        <f aca="false">IF(OR(Z293="No",G293="Complete"),0,MAX(N(Q293)-N(AA293),0))</f>
        <v>0</v>
      </c>
      <c r="AK293" s="10" t="n">
        <f aca="false">IF(Z293="No",0,IF(G293="Complete",N(Q293),MIN(N(AA293),N(Q293))))</f>
        <v>0</v>
      </c>
      <c r="AL293" s="10" t="n">
        <f aca="false">IF(OR(OR(AG293="Not counted",AG293="Excluded",AG293="Delivered"),P293="Student accommodation"),0,AJ293)</f>
        <v>0</v>
      </c>
      <c r="AM293" s="10" t="n">
        <f aca="false">IF(OR(OR(AG293="Not counted",AG293="Excluded",AG293="Delivered"),P293&lt;&gt;"Student accommodation"),0,AJ293)</f>
        <v>0</v>
      </c>
      <c r="AN293" s="10" t="n">
        <f aca="false">IF(OR(AG293="Not counted",AG293="Excluded",AG293="Delivered"),0,N(S293))</f>
        <v>0</v>
      </c>
      <c r="AO293" s="2" t="s">
        <v>1043</v>
      </c>
      <c r="AP293" s="10"/>
      <c r="AQ293" s="10"/>
      <c r="AR293" s="10"/>
      <c r="AS293" s="10"/>
      <c r="AT293" s="10"/>
      <c r="AU293" s="10"/>
      <c r="AV293" s="10" t="n">
        <f aca="false">N(AP293)+N(AQ293)+N(AR293)+N(AS293)+N(AT293)+N(AU293)</f>
        <v>0</v>
      </c>
      <c r="AW293" s="10"/>
      <c r="AX293" s="10"/>
      <c r="AY293" s="10"/>
      <c r="AZ293" s="2"/>
      <c r="BA293" s="2" t="s">
        <v>1044</v>
      </c>
      <c r="BB293" s="2"/>
      <c r="BC293" s="2"/>
      <c r="BD293" s="2"/>
      <c r="BE293" s="2"/>
      <c r="BF293" s="2" t="s">
        <v>1044</v>
      </c>
      <c r="BG293" s="22"/>
      <c r="BH293" s="22"/>
      <c r="BI293" s="2"/>
      <c r="BJ293" s="22"/>
      <c r="BK293" s="2"/>
      <c r="BL293" s="2"/>
      <c r="BM293" s="2"/>
      <c r="BN293" s="2"/>
      <c r="BO293" s="2"/>
      <c r="BP293" s="2" t="str">
        <f aca="false">IF(OR(K293="",BG293=""),"",ROUND(BG293-K293,0))</f>
        <v/>
      </c>
      <c r="BQ293" s="2" t="str">
        <f aca="false">IF(OR(N(BK293)=0,Q293=""),"Not recorded",IF(BK293=Q293,"Match","Differs"))</f>
        <v>Not recorded</v>
      </c>
      <c r="BR293" s="2" t="str">
        <f aca="false">IF(N293="No","Excluded (non-residential)",IF(BF293="No reference","Unverified – no reference",IF(BF293="Not in council register","Unverified – not in register (Part 8 / other)",IF(OR(BF293="Refused",BF293="Refused on appeal",BF293="Withdrawn",BF293="Invalid",BF293="Quashed"),IF(OR(G293="Complete",G293="On Site",G293="Part Complete"),"Conflict – register not live but CIS says built","Conflict – not live in register"),IF(AND(G293="Plans Submitted",OR(BF293="Granted",BF293="Granted on appeal")),"Stage out of date – now granted",IF(AND(G293&lt;&gt;"Plans Submitted",OR(BF293="Pending",BF293="Under appeal")),"Check – register still pending",IF(N(BL293)&gt;Method!$B$7,"Check – location differs",IF(AND(BP293&lt;&gt;"",ABS(N(BP293))&gt;60),"Consistent – decision date differs","Consistent"))))))))</f>
        <v>Excluded (non-residential)</v>
      </c>
      <c r="BS293" s="2"/>
      <c r="BT293" s="2"/>
      <c r="BU293" s="2"/>
      <c r="BV293" s="2"/>
      <c r="BW293" s="2"/>
      <c r="BX293" s="2"/>
    </row>
  </sheetData>
  <autoFilter ref="A1:BX293"/>
  <conditionalFormatting sqref="BR2:BR293">
    <cfRule type="expression" priority="2" aboveAverage="0" equalAverage="0" bottom="0" percent="0" rank="0" text="" dxfId="7">
      <formula>LEFT(BR2,8)="Conflict"</formula>
    </cfRule>
    <cfRule type="expression" priority="3" aboveAverage="0" equalAverage="0" bottom="0" percent="0" rank="0" text="" dxfId="14">
      <formula>OR(LEFT(BR2,5)="Check",LEFT(BR2,5)="Stage")</formula>
    </cfRule>
  </conditionalFormatting>
  <conditionalFormatting sqref="W2:W293">
    <cfRule type="expression" priority="4" aboveAverage="0" equalAverage="0" bottom="0" percent="0" rank="0" text="" dxfId="14">
      <formula>AND(W2="Low",X2="")</formula>
    </cfRule>
  </conditionalFormatting>
  <dataValidations count="2">
    <dataValidation allowBlank="true" errorStyle="stop" operator="between" showDropDown="false" showErrorMessage="false" showInputMessage="false" sqref="X2:X293" type="list">
      <formula1>"Primary,Additional phase,Additional application on site,Replaces earlier,Extension of duration (parent not in CIS),Superseded,Amendment within parent,Extension of duration,Not live,Duplicate,Excluded"</formula1>
      <formula2>0</formula2>
    </dataValidation>
    <dataValidation allowBlank="true" errorStyle="stop" operator="between" showDropDown="false" showErrorMessage="false" showInputMessage="false" sqref="AF2:AF293" type="list">
      <formula1>"Confirmed live,Constrained,Lapsed or dead"</formula1>
      <formula2>0</formula2>
    </dataValidation>
  </dataValidations>
  <hyperlinks>
    <hyperlink ref="BO2" r:id="rId1" display="https://eplanning.ie/LimerickCCC/AppFileRefDetails/187029/0"/>
    <hyperlink ref="BO3" r:id="rId2" display="https://eplanning.ie/LimerickCCC/AppFileRefDetails/188013/0"/>
    <hyperlink ref="BO4" r:id="rId3" display="https://eplanning.ie/LimerickCCC/AppFileRefDetails/18892/0"/>
    <hyperlink ref="BO5" r:id="rId4" display="https://eplanning.ie/LimerickCCC/AppFileRefDetails/18994/0"/>
    <hyperlink ref="BO7" r:id="rId5" display="https://eplanning.ie/LimerickCCC/AppFileRefDetails/188014/0"/>
    <hyperlink ref="BO8" r:id="rId6" display="https://eplanning.ie/LimerickCCC/AppFileRefDetails/187040/0"/>
    <hyperlink ref="BO9" r:id="rId7" display="https://eplanning.ie/LimerickCCC/AppFileRefDetails/19233/0"/>
    <hyperlink ref="BO10" r:id="rId8" display="https://eplanning.ie/LimerickCCC/AppFileRefDetails/188001/0"/>
    <hyperlink ref="BO11" r:id="rId9" display="https://eplanning.ie/LimerickCCC/AppFileRefDetails/198003/0"/>
    <hyperlink ref="BO12" r:id="rId10" display="https://eplanning.ie/LimerickCCC/AppFileRefDetails/19552/0"/>
    <hyperlink ref="BO13" r:id="rId11" display="https://eplanning.ie/LimerickCCC/AppFileRefDetails/197016/0"/>
    <hyperlink ref="BO14" r:id="rId12" display="https://eplanning.ie/LimerickCCC/AppFileRefDetails/198004/0"/>
    <hyperlink ref="BO15" r:id="rId13" display="https://eplanning.ie/LimerickCCC/AppFileRefDetails/19710/0"/>
    <hyperlink ref="BO16" r:id="rId14" display="https://eplanning.ie/LimerickCCC/AppFileRefDetails/198005/0"/>
    <hyperlink ref="BO18" r:id="rId15" display="https://eplanning.ie/LimerickCCC/AppFileRefDetails/19841/0"/>
    <hyperlink ref="BO19" r:id="rId16" display="https://eplanning.ie/LimerickCCC/AppFileRefDetails/198007/0"/>
    <hyperlink ref="BO20" r:id="rId17" display="https://eplanning.ie/LimerickCCC/AppFileRefDetails/19872/0"/>
    <hyperlink ref="BO21" r:id="rId18" display="https://eplanning.ie/LimerickCCC/AppFileRefDetails/198009/0"/>
    <hyperlink ref="BO22" r:id="rId19" display="https://eplanning.ie/LimerickCCC/AppFileRefDetails/191255/0"/>
    <hyperlink ref="BO23" r:id="rId20" display="https://eplanning.ie/LimerickCCC/AppFileRefDetails/191298/0"/>
    <hyperlink ref="BO24" r:id="rId21" display="https://eplanning.ie/LimerickCCC/AppFileRefDetails/20314/0"/>
    <hyperlink ref="BO25" r:id="rId22" display="https://eplanning.ie/LimerickCCC/AppFileRefDetails/20341/0"/>
    <hyperlink ref="BO26" r:id="rId23" display="https://eplanning.ie/LimerickCCC/AppFileRefDetails/20622/0"/>
    <hyperlink ref="BO27" r:id="rId24" display="https://eplanning.ie/LimerickCCC/AppFileRefDetails/20678/0"/>
    <hyperlink ref="BO28" r:id="rId25" display="https://eplanning.ie/LimerickCCC/AppFileRefDetails/20827/0"/>
    <hyperlink ref="BO29" r:id="rId26" display="https://eplanning.ie/LimerickCCC/AppFileRefDetails/20857/0"/>
    <hyperlink ref="BO30" r:id="rId27" display="https://eplanning.ie/LimerickCCC/AppFileRefDetails/201074/0"/>
    <hyperlink ref="BO31" r:id="rId28" display="https://eplanning.ie/LimerickCCC/AppFileRefDetails/201101/0"/>
    <hyperlink ref="BO32" r:id="rId29" display="https://eplanning.ie/LimerickCCC/AppFileRefDetails/201142/0"/>
    <hyperlink ref="BO33" r:id="rId30" display="https://eplanning.ie/LimerickCCC/AppFileRefDetails/2148/0"/>
    <hyperlink ref="BO34" r:id="rId31" display="https://eplanning.ie/LimerickCCC/AppFileRefDetails/21240/0"/>
    <hyperlink ref="BO35" r:id="rId32" display="https://eplanning.ie/LimerickCCC/AppFileRefDetails/21342/0"/>
    <hyperlink ref="BO36" r:id="rId33" display="https://eplanning.ie/LimerickCCC/AppFileRefDetails/21520/0"/>
    <hyperlink ref="BO37" r:id="rId34" display="https://www.pleanala.ie/en-ie/case/309999"/>
    <hyperlink ref="BO38" r:id="rId35" display="https://eplanning.ie/LimerickCCC/AppFileRefDetails/21550/0"/>
    <hyperlink ref="BO39" r:id="rId36" display="https://www.pleanala.ie/en-ie/case/315273"/>
    <hyperlink ref="BO40" r:id="rId37" display="https://eplanning.ie/LimerickCCC/AppFileRefDetails/211170/0"/>
    <hyperlink ref="BO41" r:id="rId38" display="https://eplanning.ie/LimerickCCC/AppFileRefDetails/211257/0"/>
    <hyperlink ref="BO42" r:id="rId39" display="https://eplanning.ie/LimerickCCC/AppFileRefDetails/211395/0"/>
    <hyperlink ref="BO43" r:id="rId40" display="https://www.pleanala.ie/en-ie/case/311588"/>
    <hyperlink ref="BO44" r:id="rId41" display="https://eplanning.ie/LimerickCCC/AppFileRefDetails/211454/0"/>
    <hyperlink ref="BO46" r:id="rId42" display="https://eplanning.ie/LimerickCCC/AppFileRefDetails/211640/0"/>
    <hyperlink ref="BO47" r:id="rId43" display="https://eplanning.ie/LimerickCCC/AppFileRefDetails/218013/0"/>
    <hyperlink ref="BO48" r:id="rId44" display="https://eplanning.ie/LimerickCCC/AppFileRefDetails/228000/0"/>
    <hyperlink ref="BO49" r:id="rId45" display="https://www.pleanala.ie/en-ie/case/312683"/>
    <hyperlink ref="BO50" r:id="rId46" display="https://www.pleanala.ie/en-ie/case/313124"/>
    <hyperlink ref="BO51" r:id="rId47" display="https://eplanning.ie/LimerickCCC/AppFileRefDetails/22394/0"/>
    <hyperlink ref="BO52" r:id="rId48" display="https://eplanning.ie/LimerickCCC/AppFileRefDetails/22410/0"/>
    <hyperlink ref="BO53" r:id="rId49" display="https://eplanning.ie/LimerickCCC/AppFileRefDetails/228013/0"/>
    <hyperlink ref="BO54" r:id="rId50" display="https://eplanning.ie/LimerickCCC/AppFileRefDetails/22817/0"/>
    <hyperlink ref="BO55" r:id="rId51" display="https://eplanning.ie/LimerickCCC/AppFileRefDetails/22840/0"/>
    <hyperlink ref="BO56" r:id="rId52" display="https://eplanning.ie/LimerickCCC/AppFileRefDetails/22950/0"/>
    <hyperlink ref="BO57" r:id="rId53" display="https://eplanning.ie/LimerickCCC/AppFileRefDetails/221172/0"/>
    <hyperlink ref="BO58" r:id="rId54" display="https://eplanning.ie/LimerickCCC/AppFileRefDetails/221189/0"/>
    <hyperlink ref="BO59" r:id="rId55" display="https://eplanning.ie/LimerickCCC/AppFileRefDetails/228020/0"/>
    <hyperlink ref="BO60" r:id="rId56" display="https://eplanning.ie/LimerickCCC/AppFileRefDetails/221216/0"/>
    <hyperlink ref="BO61" r:id="rId57" display="https://eplanning.ie/LimerickCCC/AppFileRefDetails/221318/0"/>
    <hyperlink ref="BO62" r:id="rId58" display="https://eplanning.ie/LimerickCCC/AppFileRefDetails/221400/0"/>
    <hyperlink ref="BO63" r:id="rId59" display="https://eplanning.ie/LimerickCCC/AppFileRefDetails/2326/0"/>
    <hyperlink ref="BO64" r:id="rId60" display="https://eplanning.ie/LimerickCCC/AppFileRefDetails/2360148/0"/>
    <hyperlink ref="BO65" r:id="rId61" display="https://eplanning.ie/LimerickCCC/AppFileRefDetails/2360207/0"/>
    <hyperlink ref="BO66" r:id="rId62" display="https://eplanning.ie/LimerickCCC/AppFileRefDetails/2360263/0"/>
    <hyperlink ref="BO67" r:id="rId63" display="https://eplanning.ie/LimerickCCC/AppFileRefDetails/2360345/0"/>
    <hyperlink ref="BO68" r:id="rId64" display="https://eplanning.ie/LimerickCCC/AppFileRefDetails/23283/0"/>
    <hyperlink ref="BO69" r:id="rId65" display="https://eplanning.ie/LimerickCCC/AppFileRefDetails/2360493/0"/>
    <hyperlink ref="BO70" r:id="rId66" display="https://eplanning.ie/LimerickCCC/AppFileRefDetails/2360615/0"/>
    <hyperlink ref="BO71" r:id="rId67" display="https://eplanning.ie/LimerickCCC/AppFileRefDetails/2360706/0"/>
    <hyperlink ref="BO72" r:id="rId68" display="https://eplanning.ie/LimerickCCC/AppFileRefDetails/2360794/0"/>
    <hyperlink ref="BO73" r:id="rId69" display="https://eplanning.ie/LimerickCCC/AppFileRefDetails/23529/0"/>
    <hyperlink ref="BO74" r:id="rId70" display="https://eplanning.ie/LimerickCCC/AppFileRefDetails/2360826/0"/>
    <hyperlink ref="BO75" r:id="rId71" display="https://eplanning.ie/LimerickCCC/AppFileRefDetails/2360866/0"/>
    <hyperlink ref="BO76" r:id="rId72" display="https://eplanning.ie/LimerickCCC/AppFileRefDetails/2360951/0"/>
    <hyperlink ref="BO77" r:id="rId73" display="https://eplanning.ie/LimerickCCC/AppFileRefDetails/2460075/0"/>
    <hyperlink ref="BO78" r:id="rId74" display="https://eplanning.ie/LimerickCCC/AppFileRefDetails/2460151/0"/>
    <hyperlink ref="BO79" r:id="rId75" display="https://eplanning.ie/LimerickCCC/AppFileRefDetails/2460299/0"/>
    <hyperlink ref="BO81" r:id="rId76" display="https://eplanning.ie/LimerickCCC/AppFileRefDetails/2460568/0"/>
    <hyperlink ref="BO82" r:id="rId77" display="https://eplanning.ie/LimerickCCC/AppFileRefDetails/2460570/0"/>
    <hyperlink ref="BO83" r:id="rId78" display="https://eplanning.ie/LimerickCCC/AppFileRefDetails/2460713/0"/>
    <hyperlink ref="BO85" r:id="rId79" display="https://eplanning.ie/LimerickCCC/AppFileRefDetails/2460788/0"/>
    <hyperlink ref="BO88" r:id="rId80" display="https://eplanning.ie/LimerickCCC/AppFileRefDetails/24352/0"/>
    <hyperlink ref="BO89" r:id="rId81" display="https://eplanning.ie/LimerickCCC/AppFileRefDetails/2461182/0"/>
    <hyperlink ref="BO90" r:id="rId82" display="https://eplanning.ie/LimerickCCC/AppFileRefDetails/2461282/0"/>
    <hyperlink ref="BO91" r:id="rId83" display="https://eplanning.ie/LimerickCCC/AppFileRefDetails/2461298/0"/>
    <hyperlink ref="BO92" r:id="rId84" display="https://eplanning.ie/LimerickCCC/AppFileRefDetails/2560001/0"/>
    <hyperlink ref="BO93" r:id="rId85" display="https://eplanning.ie/LimerickCCC/AppFileRefDetails/2560113/0"/>
    <hyperlink ref="BO95" r:id="rId86" display="https://eplanning.ie/LimerickCCC/AppFileRefDetails/2560211/0"/>
    <hyperlink ref="BO96" r:id="rId87" display="https://eplanning.ie/LimerickCCC/AppFileRefDetails/2560365/0"/>
    <hyperlink ref="BO97" r:id="rId88" display="https://eplanning.ie/LimerickCCC/AppFileRefDetails/2560399/0"/>
    <hyperlink ref="BO98" r:id="rId89" display="https://eplanning.ie/LimerickCCC/AppFileRefDetails/2560771/0"/>
    <hyperlink ref="BO99" r:id="rId90" display="https://eplanning.ie/LimerickCCC/AppFileRefDetails/2560947/0"/>
    <hyperlink ref="BO100" r:id="rId91" display="https://eplanning.ie/LimerickCCC/AppFileRefDetails/2560953/0"/>
    <hyperlink ref="BO101" r:id="rId92" display="https://eplanning.ie/LimerickCCC/AppFileRefDetails/2561232/0"/>
    <hyperlink ref="BO102" r:id="rId93" display="https://eplanning.ie/LimerickCCC/AppFileRefDetails/2660089/0"/>
    <hyperlink ref="BO103" r:id="rId94" display="https://eplanning.ie/LimerickCCC/AppFileRefDetails/2560977/0"/>
    <hyperlink ref="BO104" r:id="rId95" display="https://eplanning.ie/LimerickCCC/AppFileRefDetails/2660275/0"/>
    <hyperlink ref="BO105" r:id="rId96" display="https://eplanning.ie/LimerickCCC/AppFileRefDetails/2660396/0"/>
    <hyperlink ref="BO106" r:id="rId97" display="https://eplanning.ie/LimerickCCC/AppFileRefDetails/2660603/0"/>
    <hyperlink ref="BO107" r:id="rId98" display="https://eplanning.ie/LimerickCCC/AppFileRefDetails/2660779/0"/>
    <hyperlink ref="BO108" r:id="rId99" display="https://eplanning.ie/LimerickCCC/AppFileRefDetails/2660241/0"/>
    <hyperlink ref="BO109" r:id="rId100" display="https://eplanning.ie/LimerickCCC/AppFileRefDetails/191060/0"/>
    <hyperlink ref="BO110" r:id="rId101" display="https://eplanning.ie/LimerickCCC/AppFileRefDetails/1872/0"/>
    <hyperlink ref="BO111" r:id="rId102" display="https://eplanning.ie/LimerickCCC/AppFileRefDetails/18168/0"/>
    <hyperlink ref="BO112" r:id="rId103" display="https://eplanning.ie/LimerickCCC/AppFileRefDetails/18219/0"/>
    <hyperlink ref="BO113" r:id="rId104" display="https://eplanning.ie/LimerickCCC/AppFileRefDetails/188002/0"/>
    <hyperlink ref="BO114" r:id="rId105" display="https://eplanning.ie/LimerickCCC/AppFileRefDetails/18496/0"/>
    <hyperlink ref="BO115" r:id="rId106" display="https://eplanning.ie/LimerickCCC/AppFileRefDetails/187020/0"/>
    <hyperlink ref="BO116" r:id="rId107" display="https://eplanning.ie/LimerickCCC/AppFileRefDetails/188007/0"/>
    <hyperlink ref="BO117" r:id="rId108" display="https://eplanning.ie/LimerickCCC/AppFileRefDetails/188008/0"/>
    <hyperlink ref="BO118" r:id="rId109" display="https://eplanning.ie/LimerickCCC/AppFileRefDetails/188009/0"/>
    <hyperlink ref="BO119" r:id="rId110" display="https://eplanning.ie/LimerickCCC/AppFileRefDetails/188010/0"/>
    <hyperlink ref="BO120" r:id="rId111" display="https://eplanning.ie/LimerickCCC/AppFileRefDetails/187001/0"/>
    <hyperlink ref="BO121" r:id="rId112" display="https://eplanning.ie/LimerickCCC/AppFileRefDetails/201115/0"/>
    <hyperlink ref="BO122" r:id="rId113" display="https://eplanning.ie/LimerickCCC/AppFileRefDetails/201114/0"/>
    <hyperlink ref="BO123" r:id="rId114" display="https://eplanning.ie/LimerickCCC/AppFileRefDetails/1855/0"/>
    <hyperlink ref="BO124" r:id="rId115" display="https://eplanning.ie/LimerickCCC/AppFileRefDetails/181274/0"/>
    <hyperlink ref="BO125" r:id="rId116" display="https://eplanning.ie/LimerickCCC/AppFileRefDetails/20361/0"/>
    <hyperlink ref="BO126" r:id="rId117" display="https://eplanning.ie/LimerickCCC/AppFileRefDetails/21853/0"/>
    <hyperlink ref="BO127" r:id="rId118" display="https://eplanning.ie/LimerickCCC/AppFileRefDetails/2560271/0"/>
    <hyperlink ref="BO128" r:id="rId119" display="https://eplanning.ie/LimerickCCC/AppFileRefDetails/18200/0"/>
    <hyperlink ref="BO129" r:id="rId120" display="https://eplanning.ie/LimerickCCC/AppFileRefDetails/181193/0"/>
    <hyperlink ref="BO130" r:id="rId121" display="https://eplanning.ie/LimerickCCC/AppFileRefDetails/19444/0"/>
    <hyperlink ref="BO131" r:id="rId122" display="https://eplanning.ie/LimerickCCC/AppFileRefDetails/237022/0"/>
    <hyperlink ref="BO132" r:id="rId123" display="https://eplanning.ie/LimerickCCC/AppFileRefDetails/247010/0"/>
    <hyperlink ref="BO133" r:id="rId124" display="https://eplanning.ie/LimerickCCC/AppFileRefDetails/247023/0"/>
    <hyperlink ref="BO134" r:id="rId125" display="https://eplanning.ie/LimerickCCC/AppFileRefDetails/257001/0"/>
    <hyperlink ref="BO135" r:id="rId126" display="https://eplanning.ie/LimerickCCC/AppFileRefDetails/18346/0"/>
    <hyperlink ref="BO136" r:id="rId127" display="https://eplanning.ie/LimerickCCC/AppFileRefDetails/19689/0"/>
    <hyperlink ref="BO137" r:id="rId128" display="https://eplanning.ie/LimerickCCC/AppFileRefDetails/20281/0"/>
    <hyperlink ref="BO138" r:id="rId129" display="https://eplanning.ie/LimerickCCC/AppFileRefDetails/21873/0"/>
    <hyperlink ref="BO139" r:id="rId130" display="https://eplanning.ie/LimerickCCC/AppFileRefDetails/228017/0"/>
    <hyperlink ref="BO141" r:id="rId131" display="https://eplanning.ie/LimerickCCC/AppFileRefDetails/2560156/0"/>
    <hyperlink ref="BO142" r:id="rId132" display="https://eplanning.ie/LimerickCCC/AppFileRefDetails/2560633/0"/>
    <hyperlink ref="BO143" r:id="rId133" display="https://eplanning.ie/LimerickCCC/AppFileRefDetails/2560653/0"/>
    <hyperlink ref="BO144" r:id="rId134" display="https://eplanning.ie/LimerickCCC/AppFileRefDetails/2561228/0"/>
    <hyperlink ref="BO145" r:id="rId135" display="https://eplanning.ie/LimerickCCC/AppFileRefDetails/18434/0"/>
    <hyperlink ref="BO146" r:id="rId136" display="https://eplanning.ie/LimerickCCC/AppFileRefDetails/181270/0"/>
    <hyperlink ref="BO147" r:id="rId137" display="https://eplanning.ie/LimerickCCC/AppFileRefDetails/18465/0"/>
    <hyperlink ref="BO148" r:id="rId138" display="https://eplanning.ie/LimerickCCC/AppFileRefDetails/20467/0"/>
    <hyperlink ref="BO149" r:id="rId139" display="https://eplanning.ie/LimerickCCC/AppFileRefDetails/18618/0"/>
    <hyperlink ref="BO150" r:id="rId140" display="https://eplanning.ie/LimerickCCC/AppFileRefDetails/181243/0"/>
    <hyperlink ref="BO151" r:id="rId141" display="https://eplanning.ie/LimerickCCC/AppFileRefDetails/2460468/0"/>
    <hyperlink ref="BO152" r:id="rId142" display="https://eplanning.ie/LimerickCCC/AppFileRefDetails/18698/0"/>
    <hyperlink ref="BO153" r:id="rId143" display="https://eplanning.ie/LimerickCCC/AppFileRefDetails/181104/0"/>
    <hyperlink ref="BO154" r:id="rId144" display="https://eplanning.ie/LimerickCCC/AppFileRefDetails/181105/0"/>
    <hyperlink ref="BO155" r:id="rId145" display="https://eplanning.ie/LimerickCCC/AppFileRefDetails/19547/0"/>
    <hyperlink ref="BO156" r:id="rId146" display="https://eplanning.ie/LimerickCCC/AppFileRefDetails/191236/0"/>
    <hyperlink ref="BO157" r:id="rId147" display="https://eplanning.ie/LimerickCCC/AppFileRefDetails/20256/0"/>
    <hyperlink ref="BO158" r:id="rId148" display="https://eplanning.ie/LimerickCCC/AppFileRefDetails/21350/0"/>
    <hyperlink ref="BO159" r:id="rId149" display="https://eplanning.ie/LimerickCCC/AppFileRefDetails/211152/0"/>
    <hyperlink ref="BO160" r:id="rId150" display="https://eplanning.ie/LimerickCCC/AppFileRefDetails/211400/0"/>
    <hyperlink ref="BO161" r:id="rId151" display="https://eplanning.ie/LimerickCCC/AppFileRefDetails/187031/0"/>
    <hyperlink ref="BO162" r:id="rId152" display="https://eplanning.ie/LimerickCCC/AppFileRefDetails/201320/0"/>
    <hyperlink ref="BO163" r:id="rId153" display="https://eplanning.ie/LimerickCCC/AppFileRefDetails/19518/0"/>
    <hyperlink ref="BO164" r:id="rId154" display="https://eplanning.ie/LimerickCCC/AppFileRefDetails/2460030/0"/>
    <hyperlink ref="BO165" r:id="rId155" display="https://eplanning.ie/LimerickCCC/AppFileRefDetails/19769/0"/>
    <hyperlink ref="BO166" r:id="rId156" display="https://eplanning.ie/LimerickCCC/AppFileRefDetails/247017/0"/>
    <hyperlink ref="BO167" r:id="rId157" display="https://eplanning.ie/LimerickCCC/AppFileRefDetails/19970/0"/>
    <hyperlink ref="BO168" r:id="rId158" display="https://eplanning.ie/LimerickCCC/AppFileRefDetails/257007/0"/>
    <hyperlink ref="BO169" r:id="rId159" display="https://eplanning.ie/LimerickCCC/AppFileRefDetails/19990/0"/>
    <hyperlink ref="BO170" r:id="rId160" display="https://eplanning.ie/LimerickCCC/AppFileRefDetails/201195/0"/>
    <hyperlink ref="BO171" r:id="rId161" display="https://eplanning.ie/LimerickCCC/AppFileRefDetails/21532/0"/>
    <hyperlink ref="BO172" r:id="rId162" display="https://eplanning.ie/LimerickCCC/AppFileRefDetails/211217/0"/>
    <hyperlink ref="BO173" r:id="rId163" display="https://eplanning.ie/LimerickCCC/AppFileRefDetails/211216/0"/>
    <hyperlink ref="BO174" r:id="rId164" display="https://eplanning.ie/LimerickCCC/AppFileRefDetails/2460578/0"/>
    <hyperlink ref="BO175" r:id="rId165" display="https://eplanning.ie/LimerickCCC/AppFileRefDetails/191037/0"/>
    <hyperlink ref="BO176" r:id="rId166" display="https://eplanning.ie/LimerickCCC/AppFileRefDetails/197025/0"/>
    <hyperlink ref="BO177" r:id="rId167" display="https://eplanning.ie/LimerickCCC/AppFileRefDetails/198010/0"/>
    <hyperlink ref="BO178" r:id="rId168" display="https://eplanning.ie/LimerickCCC/AppFileRefDetails/22990/0"/>
    <hyperlink ref="BO179" r:id="rId169" display="https://eplanning.ie/LimerickCCC/AppFileRefDetails/2360793/0"/>
    <hyperlink ref="BO180" r:id="rId170" display="https://eplanning.ie/LimerickCCC/AppFileRefDetails/2460304/0"/>
    <hyperlink ref="BO181" r:id="rId171" display="https://eplanning.ie/LimerickCCC/AppFileRefDetails/191184/0"/>
    <hyperlink ref="BO182" r:id="rId172" display="https://eplanning.ie/LimerickCCC/AppFileRefDetails/2360393/0"/>
    <hyperlink ref="BO183" r:id="rId173" display="https://eplanning.ie/LimerickCCC/AppFileRefDetails/20222/0"/>
    <hyperlink ref="BO184" r:id="rId174" display="https://eplanning.ie/LimerickCCC/AppFileRefDetails/2561242/0"/>
    <hyperlink ref="BO185" r:id="rId175" display="https://eplanning.ie/LimerickCCC/AppFileRefDetails/20466/0"/>
    <hyperlink ref="BO186" r:id="rId176" display="https://eplanning.ie/LimerickCCC/AppFileRefDetails/221381/0"/>
    <hyperlink ref="BO187" r:id="rId177" display="https://www.pleanala.ie/en-ie/case/307631"/>
    <hyperlink ref="BO188" r:id="rId178" display="https://eplanning.ie/LimerickCCC/AppFileRefDetails/211475/0"/>
    <hyperlink ref="BO189" r:id="rId179" display="https://eplanning.ie/LimerickCCC/AppFileRefDetails/2561323/0"/>
    <hyperlink ref="BO190" r:id="rId180" display="https://eplanning.ie/LimerickCCC/AppFileRefDetails/218000/0"/>
    <hyperlink ref="BO191" r:id="rId181" display="https://eplanning.ie/LimerickCCC/AppFileRefDetails/2561231/0"/>
    <hyperlink ref="BO192" r:id="rId182" display="https://eplanning.ie/LimerickCCC/AppFileRefDetails/21147/0"/>
    <hyperlink ref="BO193" r:id="rId183" display="https://eplanning.ie/LimerickCCC/AppFileRefDetails/22524/0"/>
    <hyperlink ref="BO194" r:id="rId184" display="https://eplanning.ie/LimerickCCC/AppFileRefDetails/21531/0"/>
    <hyperlink ref="BO195" r:id="rId185" display="https://eplanning.ie/LimerickCCC/AppFileRefDetails/2460082/0"/>
    <hyperlink ref="BO197" r:id="rId186" display="https://eplanning.ie/LimerickCCC/AppFileRefDetails/218012/0"/>
    <hyperlink ref="BO198" r:id="rId187" display="https://eplanning.ie/LimerickCCC/AppFileRefDetails/217025/0"/>
    <hyperlink ref="BO199" r:id="rId188" display="https://eplanning.ie/LimerickCCC/AppFileRefDetails/23557/0"/>
    <hyperlink ref="BO200" r:id="rId189" display="https://eplanning.ie/LimerickCCC/AppFileRefDetails/21835/0"/>
    <hyperlink ref="BO201" r:id="rId190" display="https://eplanning.ie/LimerickCCC/AppFileRefDetails/2360759/0"/>
    <hyperlink ref="BO202" r:id="rId191" display="https://eplanning.ie/LimerickCCC/AppFileRefDetails/211598/0"/>
    <hyperlink ref="BO203" r:id="rId192" display="https://eplanning.ie/LimerickCCC/AppFileRefDetails/2560546/0"/>
    <hyperlink ref="BO204" r:id="rId193" display="https://eplanning.ie/LimerickCCC/AppFileRefDetails/211800/0"/>
    <hyperlink ref="BO205" r:id="rId194" display="https://eplanning.ie/LimerickCCC/AppFileRefDetails/22917/0"/>
    <hyperlink ref="BO206" r:id="rId195" display="https://eplanning.ie/LimerickCCC/AppFileRefDetails/22959/0"/>
    <hyperlink ref="BO207" r:id="rId196" display="https://eplanning.ie/LimerickCCC/AppFileRefDetails/221114/0"/>
    <hyperlink ref="BO208" r:id="rId197" display="https://eplanning.ie/LimerickCCC/AppFileRefDetails/2460032/0"/>
    <hyperlink ref="BO209" r:id="rId198" display="https://eplanning.ie/LimerickCCC/AppFileRefDetails/22368/0"/>
    <hyperlink ref="BO210" r:id="rId199" display="https://eplanning.ie/LimerickCCC/AppFileRefDetails/2360025/0"/>
    <hyperlink ref="BO211" r:id="rId200" display="https://eplanning.ie/LimerickCCC/AppFileRefDetails/228016/0"/>
    <hyperlink ref="BO213" r:id="rId201" display="https://eplanning.ie/LimerickCCC/AppFileRefDetails/221352/0"/>
    <hyperlink ref="BO214" r:id="rId202" display="https://eplanning.ie/LimerickCCC/AppFileRefDetails/2260015/0"/>
    <hyperlink ref="BO215" r:id="rId203" display="https://eplanning.ie/LimerickCCC/AppFileRefDetails/2461101/0"/>
    <hyperlink ref="BO216" r:id="rId204" display="https://eplanning.ie/LimerickCCC/AppFileRefDetails/221367/0"/>
    <hyperlink ref="BO218" r:id="rId205" display="https://eplanning.ie/LimerickCCC/AppFileRefDetails/228023/0"/>
    <hyperlink ref="BO220" r:id="rId206" display="https://eplanning.ie/LimerickCCC/AppFileRefDetails/2560595/0"/>
    <hyperlink ref="BO221" r:id="rId207" display="https://eplanning.ie/LimerickCCC/AppFileRefDetails/2360546/0"/>
    <hyperlink ref="BO222" r:id="rId208" display="https://eplanning.ie/LimerickCCC/AppFileRefDetails/2360798/0"/>
    <hyperlink ref="BO223" r:id="rId209" display="https://eplanning.ie/LimerickCCC/AppFileRefDetails/2460004/0"/>
    <hyperlink ref="BO224" r:id="rId210" display="https://eplanning.ie/LimerickCCC/AppFileRefDetails/2460020/0"/>
    <hyperlink ref="BO227" r:id="rId211" display="https://eplanning.ie/LimerickCCC/AppFileRefDetails/2560425/0"/>
    <hyperlink ref="BO229" r:id="rId212" display="https://eplanning.ie/LimerickCCC/AppFileRefDetails/19149/0"/>
    <hyperlink ref="BO230" r:id="rId213" display="https://eplanning.ie/LimerickCCC/AppFileRefDetails/19302/0"/>
    <hyperlink ref="BO231" r:id="rId214" display="https://eplanning.ie/LimerickCCC/AppFileRefDetails/21364/0"/>
    <hyperlink ref="BO232" r:id="rId215" display="https://eplanning.ie/LimerickCCC/AppFileRefDetails/21580/0"/>
    <hyperlink ref="BO233" r:id="rId216" display="https://eplanning.ie/LimerickCCC/AppFileRefDetails/21594/0"/>
    <hyperlink ref="BO234" r:id="rId217" display="https://eplanning.ie/LimerickCCC/AppFileRefDetails/21630/0"/>
    <hyperlink ref="BO236" r:id="rId218" display="https://eplanning.ie/LimerickCCC/AppFileRefDetails/22471/0"/>
    <hyperlink ref="BO237" r:id="rId219" display="https://eplanning.ie/LimerickCCC/AppFileRefDetails/22793/0"/>
    <hyperlink ref="BO238" r:id="rId220" display="https://eplanning.ie/LimerickCCC/AppFileRefDetails/221003/0"/>
    <hyperlink ref="BO239" r:id="rId221" display="https://eplanning.ie/LimerickCCC/AppFileRefDetails/221107/0"/>
    <hyperlink ref="BO240" r:id="rId222" display="https://eplanning.ie/LimerickCCC/AppFileRefDetails/2360144/0"/>
    <hyperlink ref="BO241" r:id="rId223" display="https://eplanning.ie/LimerickCCC/AppFileRefDetails/2360150/0"/>
    <hyperlink ref="BO242" r:id="rId224" display="https://eplanning.ie/LimerickCCC/AppFileRefDetails/2360541/0"/>
    <hyperlink ref="BO243" r:id="rId225" display="https://eplanning.ie/LimerickCCC/AppFileRefDetails/2360703/0"/>
    <hyperlink ref="BO244" r:id="rId226" display="https://eplanning.ie/LimerickCCC/AppFileRefDetails/2360780/0"/>
    <hyperlink ref="BO246" r:id="rId227" display="https://eplanning.ie/LimerickCCC/AppFileRefDetails/2360842/0"/>
    <hyperlink ref="BO247" r:id="rId228" display="https://eplanning.ie/LimerickCCC/AppFileRefDetails/2460028/0"/>
    <hyperlink ref="BO248" r:id="rId229" display="https://eplanning.ie/LimerickCCC/AppFileRefDetails/2460046/0"/>
    <hyperlink ref="BO249" r:id="rId230" display="https://eplanning.ie/LimerickCCC/AppFileRefDetails/2460555/0"/>
    <hyperlink ref="BO250" r:id="rId231" display="https://eplanning.ie/LimerickCCC/AppFileRefDetails/2460633/0"/>
    <hyperlink ref="BO251" r:id="rId232" display="https://eplanning.ie/LimerickCCC/AppFileRefDetails/2660575/0"/>
    <hyperlink ref="BO252" r:id="rId233" display="https://eplanning.ie/LimerickCCC/AppFileRefDetails/2460864/0"/>
    <hyperlink ref="BO254" r:id="rId234" display="https://eplanning.ie/LimerickCCC/AppFileRefDetails/2460977/0"/>
    <hyperlink ref="BO255" r:id="rId235" display="https://eplanning.ie/LimerickCCC/AppFileRefDetails/2461115/0"/>
    <hyperlink ref="BO258" r:id="rId236" display="https://eplanning.ie/LimerickCCC/AppFileRefDetails/2560151/0"/>
    <hyperlink ref="BO259" r:id="rId237" display="https://eplanning.ie/LimerickCCC/AppFileRefDetails/2560169/0"/>
    <hyperlink ref="BO260" r:id="rId238" display="https://eplanning.ie/LimerickCCC/AppFileRefDetails/2560382/0"/>
    <hyperlink ref="BO261" r:id="rId239" display="https://eplanning.ie/LimerickCCC/AppFileRefDetails/2560540/0"/>
    <hyperlink ref="BO262" r:id="rId240" display="https://eplanning.ie/LimerickCCC/AppFileRefDetails/2560780/0"/>
    <hyperlink ref="BO263" r:id="rId241" display="https://eplanning.ie/LimerickCCC/AppFileRefDetails/2560778/0"/>
    <hyperlink ref="BO266" r:id="rId242" display="https://eplanning.ie/LimerickCCC/AppFileRefDetails/258297/0"/>
    <hyperlink ref="BO267" r:id="rId243" display="https://eplanning.ie/LimerickCCC/AppFileRefDetails/2561192/0"/>
    <hyperlink ref="BO269" r:id="rId244" display="https://eplanning.ie/LimerickCCC/AppFileRefDetails/2561211/0"/>
    <hyperlink ref="BO272" r:id="rId245" display="https://eplanning.ie/LimerickCCC/AppFileRefDetails/258327/0"/>
    <hyperlink ref="BO273" r:id="rId246" display="https://eplanning.ie/LimerickCCC/AppFileRefDetails/2660004/0"/>
    <hyperlink ref="BO275" r:id="rId247" display="https://eplanning.ie/LimerickCCC/AppFileRefDetails/2660063/0"/>
    <hyperlink ref="BO277" r:id="rId248" display="https://eplanning.ie/LimerickCCC/AppFileRefDetails/2660202/0"/>
    <hyperlink ref="BO278" r:id="rId249" display="https://eplanning.ie/LimerickCCC/AppFileRefDetails/258328/0"/>
    <hyperlink ref="BO282" r:id="rId250" display="https://eplanning.ie/LimerickCCC/AppFileRefDetails/2660604/0"/>
    <hyperlink ref="BO285" r:id="rId251" display="https://eplanning.ie/LimerickCCC/AppFileRefDetails/2660675/0"/>
    <hyperlink ref="BO286" r:id="rId252" display="https://eplanning.ie/LimerickCCC/AppFileRefDetails/2660742/0"/>
    <hyperlink ref="BO287" r:id="rId253" display="https://eplanning.ie/LimerickCCC/AppFileRefDetails/2660652/0"/>
    <hyperlink ref="BO288" r:id="rId254" display="https://eplanning.ie/LimerickCCC/AppFileRefDetails/2660232/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5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6"/>
    <col collapsed="false" customWidth="true" hidden="false" outlineLevel="0" max="4" min="4" style="0" width="10"/>
    <col collapsed="false" customWidth="true" hidden="false" outlineLevel="0" max="5" min="5" style="0" width="11"/>
    <col collapsed="false" customWidth="true" hidden="false" outlineLevel="0" max="6" min="6" style="0" width="40"/>
    <col collapsed="false" customWidth="true" hidden="false" outlineLevel="0" max="7" min="7" style="0" width="60"/>
    <col collapsed="false" customWidth="true" hidden="false" outlineLevel="0" max="8" min="8" style="0" width="12"/>
    <col collapsed="false" customWidth="true" hidden="false" outlineLevel="0" max="9" min="9" style="0" width="10"/>
    <col collapsed="false" customWidth="true" hidden="false" outlineLevel="0" max="11" min="10" style="0" width="30"/>
  </cols>
  <sheetData>
    <row r="1" customFormat="false" ht="30" hidden="false" customHeight="true" outlineLevel="0" collapsed="false">
      <c r="A1" s="20" t="s">
        <v>991</v>
      </c>
      <c r="B1" s="20" t="s">
        <v>2070</v>
      </c>
      <c r="C1" s="20" t="s">
        <v>2071</v>
      </c>
      <c r="D1" s="20" t="s">
        <v>2072</v>
      </c>
      <c r="E1" s="20" t="s">
        <v>43</v>
      </c>
      <c r="F1" s="20" t="s">
        <v>166</v>
      </c>
      <c r="G1" s="20" t="s">
        <v>2073</v>
      </c>
      <c r="H1" s="20" t="s">
        <v>2074</v>
      </c>
      <c r="I1" s="20" t="s">
        <v>2075</v>
      </c>
      <c r="J1" s="20" t="s">
        <v>1004</v>
      </c>
      <c r="K1" s="20" t="s">
        <v>2076</v>
      </c>
    </row>
    <row r="2" customFormat="false" ht="15" hidden="false" customHeight="false" outlineLevel="0" collapsed="false">
      <c r="A2" s="2" t="s">
        <v>2077</v>
      </c>
      <c r="B2" s="22" t="n">
        <v>43931</v>
      </c>
      <c r="C2" s="2" t="s">
        <v>1034</v>
      </c>
      <c r="D2" s="2" t="n">
        <v>137</v>
      </c>
      <c r="E2" s="22"/>
      <c r="F2" s="2" t="s">
        <v>2078</v>
      </c>
      <c r="G2" s="2" t="s">
        <v>2079</v>
      </c>
      <c r="H2" s="2" t="s">
        <v>508</v>
      </c>
      <c r="I2" s="2" t="n">
        <v>9</v>
      </c>
      <c r="J2" s="23" t="s">
        <v>2080</v>
      </c>
      <c r="K2" s="7"/>
    </row>
    <row r="3" customFormat="false" ht="15" hidden="false" customHeight="false" outlineLevel="0" collapsed="false">
      <c r="A3" s="2" t="s">
        <v>2081</v>
      </c>
      <c r="B3" s="22" t="n">
        <v>46267</v>
      </c>
      <c r="C3" s="2" t="s">
        <v>1034</v>
      </c>
      <c r="D3" s="2" t="n">
        <v>68</v>
      </c>
      <c r="E3" s="22"/>
      <c r="F3" s="2" t="s">
        <v>2082</v>
      </c>
      <c r="G3" s="24" t="s">
        <v>2083</v>
      </c>
      <c r="H3" s="2" t="s">
        <v>810</v>
      </c>
      <c r="I3" s="2" t="n">
        <v>9</v>
      </c>
      <c r="J3" s="23" t="s">
        <v>2084</v>
      </c>
      <c r="K3" s="7"/>
    </row>
    <row r="4" customFormat="false" ht="15" hidden="false" customHeight="false" outlineLevel="0" collapsed="false">
      <c r="A4" s="2" t="s">
        <v>2085</v>
      </c>
      <c r="B4" s="22" t="n">
        <v>46230</v>
      </c>
      <c r="C4" s="2" t="s">
        <v>1034</v>
      </c>
      <c r="D4" s="2" t="n">
        <v>59</v>
      </c>
      <c r="E4" s="22"/>
      <c r="F4" s="2" t="s">
        <v>2086</v>
      </c>
      <c r="G4" s="2" t="s">
        <v>2087</v>
      </c>
      <c r="H4" s="2" t="s">
        <v>635</v>
      </c>
      <c r="I4" s="2" t="n">
        <v>308</v>
      </c>
      <c r="J4" s="23" t="s">
        <v>2088</v>
      </c>
      <c r="K4" s="7"/>
    </row>
    <row r="5" customFormat="false" ht="15" hidden="false" customHeight="false" outlineLevel="0" collapsed="false">
      <c r="A5" s="2" t="s">
        <v>2089</v>
      </c>
      <c r="B5" s="22" t="n">
        <v>46235</v>
      </c>
      <c r="C5" s="2" t="s">
        <v>1034</v>
      </c>
      <c r="D5" s="2" t="n">
        <v>58</v>
      </c>
      <c r="E5" s="22"/>
      <c r="F5" s="2" t="s">
        <v>2090</v>
      </c>
      <c r="G5" s="2" t="s">
        <v>2091</v>
      </c>
      <c r="H5" s="2" t="s">
        <v>248</v>
      </c>
      <c r="I5" s="2" t="n">
        <v>361</v>
      </c>
      <c r="J5" s="23" t="s">
        <v>2092</v>
      </c>
      <c r="K5" s="7"/>
    </row>
    <row r="6" customFormat="false" ht="15" hidden="false" customHeight="false" outlineLevel="0" collapsed="false">
      <c r="A6" s="2" t="s">
        <v>2093</v>
      </c>
      <c r="B6" s="22" t="n">
        <v>46232</v>
      </c>
      <c r="C6" s="2" t="s">
        <v>1034</v>
      </c>
      <c r="D6" s="2" t="n">
        <v>51</v>
      </c>
      <c r="E6" s="22"/>
      <c r="F6" s="2" t="s">
        <v>2094</v>
      </c>
      <c r="G6" s="2" t="s">
        <v>2095</v>
      </c>
      <c r="H6" s="2" t="s">
        <v>303</v>
      </c>
      <c r="I6" s="2" t="n">
        <v>57</v>
      </c>
      <c r="J6" s="23" t="s">
        <v>2096</v>
      </c>
      <c r="K6" s="7"/>
    </row>
    <row r="7" customFormat="false" ht="15" hidden="false" customHeight="false" outlineLevel="0" collapsed="false">
      <c r="A7" s="2" t="s">
        <v>2097</v>
      </c>
      <c r="B7" s="22" t="n">
        <v>46064</v>
      </c>
      <c r="C7" s="2" t="s">
        <v>1025</v>
      </c>
      <c r="D7" s="2" t="n">
        <v>32</v>
      </c>
      <c r="E7" s="22" t="n">
        <v>47978</v>
      </c>
      <c r="F7" s="2" t="s">
        <v>2098</v>
      </c>
      <c r="G7" s="2" t="s">
        <v>2099</v>
      </c>
      <c r="H7" s="2" t="s">
        <v>303</v>
      </c>
      <c r="I7" s="2" t="n">
        <v>3</v>
      </c>
      <c r="J7" s="23" t="s">
        <v>2100</v>
      </c>
      <c r="K7" s="7"/>
    </row>
    <row r="8" customFormat="false" ht="15" hidden="false" customHeight="false" outlineLevel="0" collapsed="false">
      <c r="A8" s="2" t="s">
        <v>2101</v>
      </c>
      <c r="B8" s="22" t="n">
        <v>45479</v>
      </c>
      <c r="C8" s="2" t="s">
        <v>1034</v>
      </c>
      <c r="D8" s="2" t="n">
        <v>18</v>
      </c>
      <c r="E8" s="22"/>
      <c r="F8" s="2" t="s">
        <v>2102</v>
      </c>
      <c r="G8" s="2" t="s">
        <v>2103</v>
      </c>
      <c r="H8" s="2" t="s">
        <v>432</v>
      </c>
      <c r="I8" s="2" t="n">
        <v>289</v>
      </c>
      <c r="J8" s="23" t="s">
        <v>2104</v>
      </c>
      <c r="K8" s="7"/>
    </row>
    <row r="9" customFormat="false" ht="15" hidden="false" customHeight="false" outlineLevel="0" collapsed="false">
      <c r="A9" s="2" t="s">
        <v>2105</v>
      </c>
      <c r="B9" s="22" t="n">
        <v>44001</v>
      </c>
      <c r="C9" s="2" t="s">
        <v>1059</v>
      </c>
      <c r="D9" s="2" t="n">
        <v>14</v>
      </c>
      <c r="E9" s="22" t="n">
        <v>46357</v>
      </c>
      <c r="F9" s="2" t="s">
        <v>2106</v>
      </c>
      <c r="G9" s="2" t="s">
        <v>2107</v>
      </c>
      <c r="H9" s="2" t="s">
        <v>342</v>
      </c>
      <c r="I9" s="2" t="n">
        <v>110</v>
      </c>
      <c r="J9" s="23" t="s">
        <v>2108</v>
      </c>
      <c r="K9" s="7"/>
    </row>
    <row r="10" customFormat="false" ht="15" hidden="false" customHeight="false" outlineLevel="0" collapsed="false">
      <c r="A10" s="2" t="s">
        <v>2109</v>
      </c>
      <c r="B10" s="22" t="n">
        <v>45394</v>
      </c>
      <c r="C10" s="2" t="s">
        <v>1025</v>
      </c>
      <c r="D10" s="2" t="n">
        <v>10</v>
      </c>
      <c r="E10" s="22" t="n">
        <v>47497</v>
      </c>
      <c r="F10" s="2" t="s">
        <v>2110</v>
      </c>
      <c r="G10" s="2" t="s">
        <v>2111</v>
      </c>
      <c r="H10" s="2" t="s">
        <v>342</v>
      </c>
      <c r="I10" s="2" t="n">
        <v>825</v>
      </c>
      <c r="J10" s="23" t="s">
        <v>2112</v>
      </c>
      <c r="K10" s="7"/>
    </row>
  </sheetData>
  <autoFilter ref="A1:K10"/>
  <hyperlinks>
    <hyperlink ref="J2" r:id="rId1" display="https://eplanning.ie/LimerickCCC/AppFileRefDetails/20307014/0"/>
    <hyperlink ref="J3" r:id="rId2" display="https://eplanning.ie/LimerickCCC/AppFileRefDetails/2661011/0"/>
    <hyperlink ref="J4" r:id="rId3" display="https://eplanning.ie/LimerickCCC/AppFileRefDetails/2660855/0"/>
    <hyperlink ref="J5" r:id="rId4" display="https://eplanning.ie/LimerickCCC/AppFileRefDetails/2660886/0"/>
    <hyperlink ref="J6" r:id="rId5" display="https://eplanning.ie/LimerickCCC/AppFileRefDetails/2660865/0"/>
    <hyperlink ref="J7" r:id="rId6" display="https://eplanning.ie/LimerickCCC/AppFileRefDetails/2660134/0"/>
    <hyperlink ref="J8" r:id="rId7" display="https://eplanning.ie/LimerickCCC/AppFileRefDetails/24179002/0"/>
    <hyperlink ref="J9" r:id="rId8" display="https://eplanning.ie/LimerickCCC/AppFileRefDetails/20525/0"/>
    <hyperlink ref="J10" r:id="rId9" display="https://eplanning.ie/LimerickCCC/AppFileRefDetails/24151/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2026-10-15T14:58:04Z</dcterms:created>
  <dc:creator>openpyxl</dc:creator>
  <dc:description/>
  <dc:language>en-US</dc:language>
  <cp:lastModifiedBy/>
  <dcterms:modified xsi:type="dcterms:W3CDTF">2026-10-15T14:58:08Z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