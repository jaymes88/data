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chemes" sheetId="2" state="visible" r:id="rId4"/>
    <sheet name="Status (live)" sheetId="3" state="visible" r:id="rId5"/>
    <sheet name="1 Status by size" sheetId="4" state="visible" r:id="rId6"/>
    <sheet name="2 Timeline by size" sheetId="5" state="visible" r:id="rId7"/>
    <sheet name="3 Share started over time" sheetId="6" state="visible" r:id="rId8"/>
    <sheet name="4a Implementation by LEA" sheetId="7" state="visible" r:id="rId9"/>
    <sheet name="4b Implementation by size" sheetId="8" state="visible" r:id="rId10"/>
    <sheet name="4c Implementation by type" sheetId="9" state="visible" r:id="rId11"/>
    <sheet name="4d Implementation by route" sheetId="10" state="visible" r:id="rId12"/>
    <sheet name="4e Implementation by settlement" sheetId="11" state="visible" r:id="rId13"/>
    <sheet name="4f Implementation by owner" sheetId="12" state="visible" r:id="rId14"/>
    <sheet name="4g Implementation by sector" sheetId="13" state="visible" r:id="rId15"/>
    <sheet name="4h Implementation by nbhd" sheetId="14" state="visible" r:id="rId16"/>
    <sheet name="12 Status by nbhd" sheetId="15" state="visible" r:id="rId17"/>
    <sheet name="2b Timeline by sector" sheetId="16" state="visible" r:id="rId18"/>
    <sheet name="3b Started over time by sector" sheetId="17" state="visible" r:id="rId19"/>
    <sheet name="5 Planning path" sheetId="18" state="visible" r:id="rId20"/>
    <sheet name="6 Expiry of unstarted" sheetId="19" state="visible" r:id="rId21"/>
    <sheet name="7 Expiry watchlist" sheetId="20" state="visible" r:id="rId22"/>
    <sheet name="8 Annual flows" sheetId="21" state="visible" r:id="rId23"/>
    <sheet name="9 Build rates" sheetId="22" state="visible" r:id="rId24"/>
    <sheet name="10 Barrier indicators" sheetId="23" state="visible" r:id="rId25"/>
    <sheet name="11 Data sources" sheetId="24" state="visible" r:id="rId26"/>
  </sheets>
  <definedNames>
    <definedName function="false" hidden="true" localSheetId="1" name="_xlnm._FilterDatabase" vbProcedure="false">Schemes!$A$1:$AQ$266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<sst xmlns="http://schemas.openxmlformats.org/spreadsheetml/2006/main" count="6985" uniqueCount="1027">
  <si>
    <t xml:space="preserve">Limerick residential delivery study – data companion</t>
  </si>
  <si>
    <t xml:space="preserve">Scheme</t>
  </si>
  <si>
    <t xml:space="preserve">A counted residential application from the Limerick pipeline workbook (after primacy rules), plus residential Part 8 schemes in the planning register that CIS does not hold (Source column).</t>
  </si>
  <si>
    <t xml:space="preserve">Owner / sector</t>
  </si>
  <si>
    <t xml:space="preserve">Public = Limerick City and County Council (incl. Part 8), approved housing bodies, Land Development Agency. From CIS grantee and promoter, building control local-authority and AHB flags, and Part 8 file numbers (yy/8nnn). Turnkey purchases not identified in these sources are classed as private.</t>
  </si>
  <si>
    <t xml:space="preserve">City neighbourhood</t>
  </si>
  <si>
    <t xml:space="preserve">Nine neighbourhoods defined by Limerick City and County Council from 42 Electoral Divisions (King’s Island, code 1a, shown separately). Schemes outside them are labelled Outside city neighbourhoods.</t>
  </si>
  <si>
    <t xml:space="preserve">Planning dates</t>
  </si>
  <si>
    <t xml:space="preserve">National Planning Applications dataset (Department of Housing, Local Government and Heritage), Limerick County Council records, queried 29/09/2026. An Coimisiún Pleanála case pages for SHD. CIS dates for Part 8 schemes.</t>
  </si>
  <si>
    <t xml:space="preserve">Start on site</t>
  </si>
  <si>
    <t xml:space="preserve">Earliest commencement date on a building control commencement notice (National Building Control Office open data, 2014–present) matched by planning reference, including extensions of duration and appeal references. CIS start date used only where no notice matched and CIS records the scheme on site or complete.</t>
  </si>
  <si>
    <t xml:space="preserve">Completion</t>
  </si>
  <si>
    <t xml:space="preserve">CIS. Date of the first dated CIS update recording the scheme as complete; CIS finish date where no such update exists. Completion certificates were tested but record 328 of the 1,226 units CIS reports complete on the same schemes, so they are not used for completions.</t>
  </si>
  <si>
    <t xml:space="preserve">Status</t>
  </si>
  <si>
    <t xml:space="preserve">Complete (CIS); Under construction (commencement notice or CIS on site / part complete); Not started – permission live; Not started – past expiry (register expiry, including extensions of duration, before 29/09/2026). Part 8 schemes have no register expiry.</t>
  </si>
  <si>
    <t xml:space="preserve">Size bands</t>
  </si>
  <si>
    <t xml:space="preserve">1–9, 10–24, 25–49, 50–99, 100+ units (CIS units).</t>
  </si>
  <si>
    <t xml:space="preserve">LEA</t>
  </si>
  <si>
    <t xml:space="preserve">Point-in-polygon against Local Electoral Areas 2019 (Tailte Éireann, generalised 20m).</t>
  </si>
  <si>
    <t xml:space="preserve">Durations</t>
  </si>
  <si>
    <t xml:space="preserve">Approval = application received to final grant (appeal decision date where appealed). Grant to start = final grant to first commencement. Build period = start to completion. Negative intervals (data errors) are dropped.</t>
  </si>
  <si>
    <t xml:space="preserve">Formulas</t>
  </si>
  <si>
    <t xml:space="preserve">Status, expiry and LEA count/sum tables are live formulas on the Schemes sheet. Medians, quartiles and cumulative start shares were calculated in Python (delivery_analysis.py) and are values.</t>
  </si>
  <si>
    <t xml:space="preserve">Contacts</t>
  </si>
  <si>
    <t xml:space="preserve">No personal data. Scheme names are CIS project headings.</t>
  </si>
  <si>
    <t xml:space="preserve">Planning ref</t>
  </si>
  <si>
    <t xml:space="preserve">Register ref</t>
  </si>
  <si>
    <t xml:space="preserve">Source</t>
  </si>
  <si>
    <t xml:space="preserve">Site ID</t>
  </si>
  <si>
    <t xml:space="preserve">Settlement</t>
  </si>
  <si>
    <t xml:space="preserve">Latitude</t>
  </si>
  <si>
    <t xml:space="preserve">Longitude</t>
  </si>
  <si>
    <t xml:space="preserve">Units</t>
  </si>
  <si>
    <t xml:space="preserve">Size band</t>
  </si>
  <si>
    <t xml:space="preserve">Type</t>
  </si>
  <si>
    <t xml:space="preserve">Route</t>
  </si>
  <si>
    <t xml:space="preserve">Owner</t>
  </si>
  <si>
    <t xml:space="preserve">Sector</t>
  </si>
  <si>
    <t xml:space="preserve">CIS stage</t>
  </si>
  <si>
    <t xml:space="preserve">Application received</t>
  </si>
  <si>
    <t xml:space="preserve">Permission granted</t>
  </si>
  <si>
    <t xml:space="preserve">Further information</t>
  </si>
  <si>
    <t xml:space="preserve">Appealed</t>
  </si>
  <si>
    <t xml:space="preserve">Expiry</t>
  </si>
  <si>
    <t xml:space="preserve">Start source</t>
  </si>
  <si>
    <t xml:space="preserve">Commencement notices</t>
  </si>
  <si>
    <t xml:space="preserve">Units on notices</t>
  </si>
  <si>
    <t xml:space="preserve">Completion (CIS)</t>
  </si>
  <si>
    <t xml:space="preserve">Completion certificates</t>
  </si>
  <si>
    <t xml:space="preserve">Units on certificates</t>
  </si>
  <si>
    <t xml:space="preserve">Approval (yrs)</t>
  </si>
  <si>
    <t xml:space="preserve">Grant to start (yrs)</t>
  </si>
  <si>
    <t xml:space="preserve">Build period (yrs)</t>
  </si>
  <si>
    <t xml:space="preserve">Build rate (dpa)</t>
  </si>
  <si>
    <t xml:space="preserve">Relationship</t>
  </si>
  <si>
    <t xml:space="preserve">Relationship confidence</t>
  </si>
  <si>
    <t xml:space="preserve">CIS notes on barriers</t>
  </si>
  <si>
    <t xml:space="preserve">Completion source</t>
  </si>
  <si>
    <t xml:space="preserve">Social housing project no.</t>
  </si>
  <si>
    <t xml:space="preserve">Social housing programme</t>
  </si>
  <si>
    <t xml:space="preserve">Social housing stage</t>
  </si>
  <si>
    <t xml:space="preserve">Social housing stage quarter</t>
  </si>
  <si>
    <t xml:space="preserve">Public delivery mode</t>
  </si>
  <si>
    <t xml:space="preserve">22990</t>
  </si>
  <si>
    <t xml:space="preserve">CIS</t>
  </si>
  <si>
    <t xml:space="preserve">SG-015</t>
  </si>
  <si>
    <t xml:space="preserve">€22m - Residential Development, Adare</t>
  </si>
  <si>
    <t xml:space="preserve">Rathkeale</t>
  </si>
  <si>
    <t xml:space="preserve">Adare-Rathkeale</t>
  </si>
  <si>
    <t xml:space="preserve">Outside city neighbourhoods</t>
  </si>
  <si>
    <t xml:space="preserve">50–99</t>
  </si>
  <si>
    <t xml:space="preserve">Mixed</t>
  </si>
  <si>
    <t xml:space="preserve">Standard planning application</t>
  </si>
  <si>
    <t xml:space="preserve">Private</t>
  </si>
  <si>
    <t xml:space="preserve">Permission Granted</t>
  </si>
  <si>
    <t xml:space="preserve">Not started – permission live</t>
  </si>
  <si>
    <t xml:space="preserve">Yes</t>
  </si>
  <si>
    <t xml:space="preserve">Additional application on site</t>
  </si>
  <si>
    <t xml:space="preserve">Low</t>
  </si>
  <si>
    <t xml:space="preserve">21630</t>
  </si>
  <si>
    <t xml:space="preserve">U-1166991</t>
  </si>
  <si>
    <t xml:space="preserve">€10.8m - Residential Development, Croom</t>
  </si>
  <si>
    <t xml:space="preserve">Other County Limerick</t>
  </si>
  <si>
    <t xml:space="preserve">Houses</t>
  </si>
  <si>
    <t xml:space="preserve">Contract Awarded</t>
  </si>
  <si>
    <t xml:space="preserve">No</t>
  </si>
  <si>
    <t xml:space="preserve">Primary</t>
  </si>
  <si>
    <t xml:space="preserve">High</t>
  </si>
  <si>
    <t xml:space="preserve">22410</t>
  </si>
  <si>
    <t xml:space="preserve">P-1225380</t>
  </si>
  <si>
    <t xml:space="preserve">€18.8m - Nursing Home Development, Croom</t>
  </si>
  <si>
    <t xml:space="preserve">25–49</t>
  </si>
  <si>
    <t xml:space="preserve">Unknown</t>
  </si>
  <si>
    <t xml:space="preserve">198010</t>
  </si>
  <si>
    <t xml:space="preserve">€5m - Housing Development </t>
  </si>
  <si>
    <t xml:space="preserve">Apartments</t>
  </si>
  <si>
    <t xml:space="preserve">Part 8 / council</t>
  </si>
  <si>
    <t xml:space="preserve">Public – local authority</t>
  </si>
  <si>
    <t xml:space="preserve">Public</t>
  </si>
  <si>
    <t xml:space="preserve">24352</t>
  </si>
  <si>
    <t xml:space="preserve">P-1366163</t>
  </si>
  <si>
    <t xml:space="preserve">€7.3m - Residential Development</t>
  </si>
  <si>
    <t xml:space="preserve">On Site</t>
  </si>
  <si>
    <t xml:space="preserve">Under construction</t>
  </si>
  <si>
    <t xml:space="preserve">Commencement notice</t>
  </si>
  <si>
    <t xml:space="preserve">2660779</t>
  </si>
  <si>
    <t xml:space="preserve">P-1444384</t>
  </si>
  <si>
    <t xml:space="preserve">€8.6m - Staff Accommodation/8Apartments, Adare</t>
  </si>
  <si>
    <t xml:space="preserve">Adare</t>
  </si>
  <si>
    <t xml:space="preserve">2360793</t>
  </si>
  <si>
    <t xml:space="preserve">€6.1m - Residential Development, Adare</t>
  </si>
  <si>
    <t xml:space="preserve">Additional phase</t>
  </si>
  <si>
    <t xml:space="preserve">Medium</t>
  </si>
  <si>
    <t xml:space="preserve">2460304</t>
  </si>
  <si>
    <t xml:space="preserve">€6.2m - Residential Development,  Adare</t>
  </si>
  <si>
    <t xml:space="preserve">198005</t>
  </si>
  <si>
    <t xml:space="preserve">P-1058813</t>
  </si>
  <si>
    <t xml:space="preserve">€1.7m - Residential Development </t>
  </si>
  <si>
    <t xml:space="preserve">10–24</t>
  </si>
  <si>
    <t xml:space="preserve">Public – approved housing body</t>
  </si>
  <si>
    <t xml:space="preserve">Complete</t>
  </si>
  <si>
    <t xml:space="preserve">1927</t>
  </si>
  <si>
    <t xml:space="preserve">CAS AHB Construction</t>
  </si>
  <si>
    <t xml:space="preserve">Completed</t>
  </si>
  <si>
    <t xml:space="preserve">Q4-2025</t>
  </si>
  <si>
    <t xml:space="preserve">Construction</t>
  </si>
  <si>
    <t xml:space="preserve">19552</t>
  </si>
  <si>
    <t xml:space="preserve">P-1051821</t>
  </si>
  <si>
    <t xml:space="preserve">€2m - Apartment Development </t>
  </si>
  <si>
    <t xml:space="preserve">20525</t>
  </si>
  <si>
    <t xml:space="preserve">Register only (private, not in CIS)</t>
  </si>
  <si>
    <t xml:space="preserve">Register: the construction of 14 dwelling houses, including 2 no semi-detached 2</t>
  </si>
  <si>
    <t xml:space="preserve">Croom</t>
  </si>
  <si>
    <t xml:space="preserve">Part 8 - 1345677</t>
  </si>
  <si>
    <t xml:space="preserve">P-1345677</t>
  </si>
  <si>
    <t xml:space="preserve">€1.5m - New Traveller Welfare Units, Hillview Park</t>
  </si>
  <si>
    <t xml:space="preserve">CIS start date</t>
  </si>
  <si>
    <t xml:space="preserve">2560977</t>
  </si>
  <si>
    <t xml:space="preserve">P-1424781</t>
  </si>
  <si>
    <t xml:space="preserve">€2.7m - Self Catering Accommodation Lodges, Adare</t>
  </si>
  <si>
    <t xml:space="preserve">24151</t>
  </si>
  <si>
    <t xml:space="preserve">Register: the construction of 10 dwelling units to include 2 no. detached 5 bedr</t>
  </si>
  <si>
    <t xml:space="preserve">20314</t>
  </si>
  <si>
    <t xml:space="preserve">P-1098119</t>
  </si>
  <si>
    <t xml:space="preserve">€1.1m - 6 Houses </t>
  </si>
  <si>
    <t xml:space="preserve">1–9</t>
  </si>
  <si>
    <t xml:space="preserve">201101</t>
  </si>
  <si>
    <t xml:space="preserve">P-1130829</t>
  </si>
  <si>
    <t xml:space="preserve">€1m - 5 Houses </t>
  </si>
  <si>
    <t xml:space="preserve">197016</t>
  </si>
  <si>
    <t xml:space="preserve">P-1053166</t>
  </si>
  <si>
    <t xml:space="preserve">€800k - Residential Development, Ballingarry</t>
  </si>
  <si>
    <t xml:space="preserve">Extension of duration (parent not in CIS)</t>
  </si>
  <si>
    <t xml:space="preserve">2360207</t>
  </si>
  <si>
    <t xml:space="preserve">P-1283723</t>
  </si>
  <si>
    <t xml:space="preserve">€680k - 3 Houses </t>
  </si>
  <si>
    <t xml:space="preserve">Not started – past expiry</t>
  </si>
  <si>
    <t xml:space="preserve">2460299</t>
  </si>
  <si>
    <t xml:space="preserve">P-1339954</t>
  </si>
  <si>
    <t xml:space="preserve">€884k - 3 Houses</t>
  </si>
  <si>
    <t xml:space="preserve">2360794</t>
  </si>
  <si>
    <t xml:space="preserve">P-1316492</t>
  </si>
  <si>
    <t xml:space="preserve">€15.3m - Residential Development, Bruff</t>
  </si>
  <si>
    <t xml:space="preserve">Bruff</t>
  </si>
  <si>
    <t xml:space="preserve">Cappamore-Kilmallock</t>
  </si>
  <si>
    <t xml:space="preserve">Site for sale / sold</t>
  </si>
  <si>
    <t xml:space="preserve">2460788</t>
  </si>
  <si>
    <t xml:space="preserve">P-1360674</t>
  </si>
  <si>
    <t xml:space="preserve">€7.4m - Residential Development, Kilmallock</t>
  </si>
  <si>
    <t xml:space="preserve">Kilmallock</t>
  </si>
  <si>
    <t xml:space="preserve">191298</t>
  </si>
  <si>
    <t xml:space="preserve">P-1084266</t>
  </si>
  <si>
    <t xml:space="preserve">€5.6m - Housing Development</t>
  </si>
  <si>
    <t xml:space="preserve">Stalled or Suspended</t>
  </si>
  <si>
    <t xml:space="preserve">On hold / no movement</t>
  </si>
  <si>
    <t xml:space="preserve">2326</t>
  </si>
  <si>
    <t xml:space="preserve">P-1266613</t>
  </si>
  <si>
    <t xml:space="preserve">€6.3m - Housing Development, Kilmallock</t>
  </si>
  <si>
    <t xml:space="preserve">2461182</t>
  </si>
  <si>
    <t xml:space="preserve">P-1379266</t>
  </si>
  <si>
    <t xml:space="preserve">€5.4m - Residential Development </t>
  </si>
  <si>
    <t xml:space="preserve">23529</t>
  </si>
  <si>
    <t xml:space="preserve">P-1317302</t>
  </si>
  <si>
    <t xml:space="preserve">€4.4m - Housing Development</t>
  </si>
  <si>
    <t xml:space="preserve">Cappamore</t>
  </si>
  <si>
    <t xml:space="preserve">19149</t>
  </si>
  <si>
    <t xml:space="preserve">U-1034286</t>
  </si>
  <si>
    <t xml:space="preserve">€567k - Change of Use to Care Residential Units </t>
  </si>
  <si>
    <t xml:space="preserve">Tender</t>
  </si>
  <si>
    <t xml:space="preserve">1937</t>
  </si>
  <si>
    <t xml:space="preserve">Stage 3 Pre-Tender Design</t>
  </si>
  <si>
    <t xml:space="preserve">Q2-2024</t>
  </si>
  <si>
    <t xml:space="preserve">188002</t>
  </si>
  <si>
    <t xml:space="preserve">P-981494</t>
  </si>
  <si>
    <t xml:space="preserve">€1.9m - Residential Development </t>
  </si>
  <si>
    <t xml:space="preserve">1819</t>
  </si>
  <si>
    <t xml:space="preserve">SHIP LA Construction</t>
  </si>
  <si>
    <t xml:space="preserve">Q4-2023</t>
  </si>
  <si>
    <t xml:space="preserve">Part 8 - 1392454</t>
  </si>
  <si>
    <t xml:space="preserve">P-1392454</t>
  </si>
  <si>
    <t xml:space="preserve">€5.9m - Residential Development, Bruff</t>
  </si>
  <si>
    <t xml:space="preserve">1831</t>
  </si>
  <si>
    <t xml:space="preserve">Stage 4 Tender Report / Final Turnkey or CALF Approval</t>
  </si>
  <si>
    <t xml:space="preserve">221352</t>
  </si>
  <si>
    <t xml:space="preserve">SG-030</t>
  </si>
  <si>
    <t xml:space="preserve">€5.5m - Housing Development, Cappamore</t>
  </si>
  <si>
    <t xml:space="preserve">1714</t>
  </si>
  <si>
    <t xml:space="preserve">CALF Construction</t>
  </si>
  <si>
    <t xml:space="preserve">Q1-2025</t>
  </si>
  <si>
    <t xml:space="preserve">211170</t>
  </si>
  <si>
    <t xml:space="preserve">P-1184979</t>
  </si>
  <si>
    <t xml:space="preserve">€3m - Modifications to Housing Development, Kilfinane</t>
  </si>
  <si>
    <t xml:space="preserve">1812</t>
  </si>
  <si>
    <t xml:space="preserve">SHIP LA Turnkey</t>
  </si>
  <si>
    <t xml:space="preserve">Q1-2026</t>
  </si>
  <si>
    <t xml:space="preserve">Turnkey</t>
  </si>
  <si>
    <t xml:space="preserve">198007</t>
  </si>
  <si>
    <t xml:space="preserve">P-1065269</t>
  </si>
  <si>
    <t xml:space="preserve">€1.4m - Housing Development </t>
  </si>
  <si>
    <t xml:space="preserve">1821</t>
  </si>
  <si>
    <t xml:space="preserve">Q4-2022</t>
  </si>
  <si>
    <t xml:space="preserve">19872</t>
  </si>
  <si>
    <t xml:space="preserve">P-1065293</t>
  </si>
  <si>
    <t xml:space="preserve">€1.3m - Care Residential Units </t>
  </si>
  <si>
    <t xml:space="preserve">218013</t>
  </si>
  <si>
    <t xml:space="preserve">P-1205019</t>
  </si>
  <si>
    <t xml:space="preserve">€3m - Housing Development</t>
  </si>
  <si>
    <t xml:space="preserve">1829</t>
  </si>
  <si>
    <t xml:space="preserve">2148</t>
  </si>
  <si>
    <t xml:space="preserve">P-1144674</t>
  </si>
  <si>
    <t xml:space="preserve">€1.9m - Change of Use to 9 Apartments, St. Paul's Convent</t>
  </si>
  <si>
    <t xml:space="preserve">1931</t>
  </si>
  <si>
    <t xml:space="preserve">Q4-2024</t>
  </si>
  <si>
    <t xml:space="preserve">21550</t>
  </si>
  <si>
    <t xml:space="preserve">P-1164066</t>
  </si>
  <si>
    <t xml:space="preserve">€1.9m - 9 Houses </t>
  </si>
  <si>
    <t xml:space="preserve">Caherconlish</t>
  </si>
  <si>
    <t xml:space="preserve">228000</t>
  </si>
  <si>
    <t xml:space="preserve">P-1213266</t>
  </si>
  <si>
    <t xml:space="preserve">€2.5m - 9 Houses</t>
  </si>
  <si>
    <t xml:space="preserve">1828</t>
  </si>
  <si>
    <t xml:space="preserve">2560947</t>
  </si>
  <si>
    <t xml:space="preserve">P-1414007</t>
  </si>
  <si>
    <t xml:space="preserve">€1m - 8 Houses, Bruff</t>
  </si>
  <si>
    <t xml:space="preserve">2360393</t>
  </si>
  <si>
    <t xml:space="preserve">SG-016</t>
  </si>
  <si>
    <t xml:space="preserve">€604k - 8 Residential Units </t>
  </si>
  <si>
    <t xml:space="preserve">2461101</t>
  </si>
  <si>
    <t xml:space="preserve">€1.4m - 7 Houses</t>
  </si>
  <si>
    <t xml:space="preserve">Replaces earlier</t>
  </si>
  <si>
    <t xml:space="preserve">2360798</t>
  </si>
  <si>
    <t xml:space="preserve">SG-033</t>
  </si>
  <si>
    <t xml:space="preserve">€1.2m - 6 Houses </t>
  </si>
  <si>
    <t xml:space="preserve">19233</t>
  </si>
  <si>
    <t xml:space="preserve">P-1036712</t>
  </si>
  <si>
    <t xml:space="preserve">€931k - 5 Houses </t>
  </si>
  <si>
    <t xml:space="preserve">21240</t>
  </si>
  <si>
    <t xml:space="preserve">P-1152091</t>
  </si>
  <si>
    <t xml:space="preserve">€561k - Main Street Housing Development, Ballylanders </t>
  </si>
  <si>
    <t xml:space="preserve">Department social housing report</t>
  </si>
  <si>
    <t xml:space="preserve">1804</t>
  </si>
  <si>
    <t xml:space="preserve">191184</t>
  </si>
  <si>
    <t xml:space="preserve">€790k -  5 Houses </t>
  </si>
  <si>
    <t xml:space="preserve">Commencement Expected</t>
  </si>
  <si>
    <t xml:space="preserve">2560211</t>
  </si>
  <si>
    <t xml:space="preserve">P-1395070</t>
  </si>
  <si>
    <t xml:space="preserve">€800k - 4 Apartments </t>
  </si>
  <si>
    <t xml:space="preserve">2360546</t>
  </si>
  <si>
    <t xml:space="preserve">€686k - 4 Dwellings</t>
  </si>
  <si>
    <t xml:space="preserve">Part 8 - 1378805</t>
  </si>
  <si>
    <t xml:space="preserve">U-1378805</t>
  </si>
  <si>
    <t xml:space="preserve">€800k - Housing Development</t>
  </si>
  <si>
    <t xml:space="preserve">Plans Submitted</t>
  </si>
  <si>
    <t xml:space="preserve">In planning</t>
  </si>
  <si>
    <t xml:space="preserve">2360148</t>
  </si>
  <si>
    <t xml:space="preserve">P-1278179</t>
  </si>
  <si>
    <t xml:space="preserve">€1.5m - 3 Community Houses</t>
  </si>
  <si>
    <t xml:space="preserve">15577</t>
  </si>
  <si>
    <t xml:space="preserve">U-837963</t>
  </si>
  <si>
    <t xml:space="preserve">€588k - 3 Houses</t>
  </si>
  <si>
    <t xml:space="preserve">191255</t>
  </si>
  <si>
    <t xml:space="preserve">P-1081912</t>
  </si>
  <si>
    <t xml:space="preserve">€572k - Residential Development, Kilmallock</t>
  </si>
  <si>
    <t xml:space="preserve">20341</t>
  </si>
  <si>
    <t xml:space="preserve">P-1099323</t>
  </si>
  <si>
    <t xml:space="preserve">€574k - Extension to Pub </t>
  </si>
  <si>
    <t xml:space="preserve">2660241</t>
  </si>
  <si>
    <t xml:space="preserve">P-1446288</t>
  </si>
  <si>
    <t xml:space="preserve">€125.6m - Large Residential Development, Castletroy</t>
  </si>
  <si>
    <t xml:space="preserve">Limerick City and Suburbs</t>
  </si>
  <si>
    <t xml:space="preserve">Limerick City East</t>
  </si>
  <si>
    <t xml:space="preserve">Castletroy/Annacotty</t>
  </si>
  <si>
    <t xml:space="preserve">100+</t>
  </si>
  <si>
    <t xml:space="preserve">LRD</t>
  </si>
  <si>
    <t xml:space="preserve">2660089</t>
  </si>
  <si>
    <t xml:space="preserve">P-1423228</t>
  </si>
  <si>
    <t xml:space="preserve">€42m - Large Residential Development, Castletroy</t>
  </si>
  <si>
    <t xml:space="preserve">Student</t>
  </si>
  <si>
    <t xml:space="preserve">2660603</t>
  </si>
  <si>
    <t xml:space="preserve">P-1437215</t>
  </si>
  <si>
    <t xml:space="preserve">€84m - Parkway Valley LRD, Singland</t>
  </si>
  <si>
    <t xml:space="preserve">Southhill</t>
  </si>
  <si>
    <t xml:space="preserve">2660275</t>
  </si>
  <si>
    <t xml:space="preserve">P-1428325</t>
  </si>
  <si>
    <t xml:space="preserve">€42m - Large Residential Development,Limerick</t>
  </si>
  <si>
    <t xml:space="preserve">ABPREF307631</t>
  </si>
  <si>
    <t xml:space="preserve">SG-019</t>
  </si>
  <si>
    <t xml:space="preserve">€44m - Residential Development, Castletroy</t>
  </si>
  <si>
    <t xml:space="preserve">SHD (An Bord Pleanála)</t>
  </si>
  <si>
    <t xml:space="preserve">2560113</t>
  </si>
  <si>
    <t xml:space="preserve">P-1389800</t>
  </si>
  <si>
    <t xml:space="preserve">€87m - Student Accommodation, Castletroy</t>
  </si>
  <si>
    <t xml:space="preserve">ABPREF309999</t>
  </si>
  <si>
    <t xml:space="preserve">P-1163033</t>
  </si>
  <si>
    <t xml:space="preserve">€30m - Residential Development, Annacotty</t>
  </si>
  <si>
    <t xml:space="preserve">Annacotty</t>
  </si>
  <si>
    <t xml:space="preserve">18434</t>
  </si>
  <si>
    <t xml:space="preserve">SG-005</t>
  </si>
  <si>
    <t xml:space="preserve">€10m - Residential Development, Singland</t>
  </si>
  <si>
    <t xml:space="preserve">2360842</t>
  </si>
  <si>
    <t xml:space="preserve">U-1319159</t>
  </si>
  <si>
    <t xml:space="preserve">€22m - Golf Links Road LRD, Monaleen</t>
  </si>
  <si>
    <t xml:space="preserve">2560271</t>
  </si>
  <si>
    <t xml:space="preserve">SG-002</t>
  </si>
  <si>
    <t xml:space="preserve">€21m - Residential Development, Castletroy</t>
  </si>
  <si>
    <t xml:space="preserve">211152</t>
  </si>
  <si>
    <t xml:space="preserve">SG-008</t>
  </si>
  <si>
    <t xml:space="preserve">€16.6m - Residential Development, Castletroy</t>
  </si>
  <si>
    <t xml:space="preserve">181104</t>
  </si>
  <si>
    <t xml:space="preserve">€11.8m - Residential Development, Castletroy</t>
  </si>
  <si>
    <t xml:space="preserve">Part Complete</t>
  </si>
  <si>
    <t xml:space="preserve">211400</t>
  </si>
  <si>
    <t xml:space="preserve">€21m - Newtow Meadows Development, Phase 4, Castletroy</t>
  </si>
  <si>
    <t xml:space="preserve">191236</t>
  </si>
  <si>
    <t xml:space="preserve">€16m - Housing Development</t>
  </si>
  <si>
    <t xml:space="preserve">19547</t>
  </si>
  <si>
    <t xml:space="preserve">€18m - Residential Development, Castletroy</t>
  </si>
  <si>
    <t xml:space="preserve">2560399</t>
  </si>
  <si>
    <t xml:space="preserve">P-1402906</t>
  </si>
  <si>
    <t xml:space="preserve">€16.4m - Residential Development </t>
  </si>
  <si>
    <t xml:space="preserve">2360866</t>
  </si>
  <si>
    <t xml:space="preserve">P-1320420</t>
  </si>
  <si>
    <t xml:space="preserve">€16.8m - Residential Development, Castleconnell</t>
  </si>
  <si>
    <t xml:space="preserve">Castleconnell</t>
  </si>
  <si>
    <t xml:space="preserve">201074</t>
  </si>
  <si>
    <t xml:space="preserve">P-1129627</t>
  </si>
  <si>
    <t xml:space="preserve">€13m - Residential Development, Castletroy</t>
  </si>
  <si>
    <t xml:space="preserve">21350</t>
  </si>
  <si>
    <t xml:space="preserve">€14m - Residential Development,Castletroy</t>
  </si>
  <si>
    <t xml:space="preserve">258328</t>
  </si>
  <si>
    <t xml:space="preserve">U-1425841</t>
  </si>
  <si>
    <t xml:space="preserve">€14m - Residential Development, Limerick</t>
  </si>
  <si>
    <t xml:space="preserve">21580</t>
  </si>
  <si>
    <t xml:space="preserve">U-1164424</t>
  </si>
  <si>
    <t xml:space="preserve">€9.6m - Residential Development </t>
  </si>
  <si>
    <t xml:space="preserve">Singland/Garryowen</t>
  </si>
  <si>
    <t xml:space="preserve">187031</t>
  </si>
  <si>
    <t xml:space="preserve">SG-009</t>
  </si>
  <si>
    <t xml:space="preserve">€11m - Residential Development, Castletroy</t>
  </si>
  <si>
    <t xml:space="preserve">181243</t>
  </si>
  <si>
    <t xml:space="preserve">SG-007</t>
  </si>
  <si>
    <t xml:space="preserve">€6.4m - Residential Development, Crossagalla</t>
  </si>
  <si>
    <t xml:space="preserve">19518</t>
  </si>
  <si>
    <t xml:space="preserve">SG-010</t>
  </si>
  <si>
    <t xml:space="preserve">€11m - Mixed Use Development, Castleconnell</t>
  </si>
  <si>
    <t xml:space="preserve">22950</t>
  </si>
  <si>
    <t xml:space="preserve">P-1247398</t>
  </si>
  <si>
    <t xml:space="preserve">€13.9m - Lidl Mixed Use Development , Ballysimon</t>
  </si>
  <si>
    <t xml:space="preserve">188007</t>
  </si>
  <si>
    <t xml:space="preserve">P-998747</t>
  </si>
  <si>
    <t xml:space="preserve">€8.9m - Residential Development </t>
  </si>
  <si>
    <t xml:space="preserve">18698</t>
  </si>
  <si>
    <t xml:space="preserve">€4.6m - Residential Development </t>
  </si>
  <si>
    <t xml:space="preserve">181270</t>
  </si>
  <si>
    <t xml:space="preserve">€5.8m - Housing Development</t>
  </si>
  <si>
    <t xml:space="preserve">1682</t>
  </si>
  <si>
    <t xml:space="preserve">CALF Turnkey</t>
  </si>
  <si>
    <t xml:space="preserve">1855</t>
  </si>
  <si>
    <t xml:space="preserve">€4.8m - Residential Development, Castletroy</t>
  </si>
  <si>
    <t xml:space="preserve">2560151</t>
  </si>
  <si>
    <t xml:space="preserve">U-1391659</t>
  </si>
  <si>
    <t xml:space="preserve">€6.2m - Residential Development, Limerick</t>
  </si>
  <si>
    <t xml:space="preserve">181105</t>
  </si>
  <si>
    <t xml:space="preserve">€2.3m - Housing Development</t>
  </si>
  <si>
    <t xml:space="preserve">211475</t>
  </si>
  <si>
    <t xml:space="preserve">€4.9m - Residential Development, Castletroy</t>
  </si>
  <si>
    <t xml:space="preserve">201320</t>
  </si>
  <si>
    <t xml:space="preserve">€3.7m - Residential Development, Newcastle</t>
  </si>
  <si>
    <t xml:space="preserve">211257</t>
  </si>
  <si>
    <t xml:space="preserve">P-1188558</t>
  </si>
  <si>
    <t xml:space="preserve">€1.8m - Social Housing Development, Limerick</t>
  </si>
  <si>
    <t xml:space="preserve">1680</t>
  </si>
  <si>
    <t xml:space="preserve">2360263</t>
  </si>
  <si>
    <t xml:space="preserve">P-1286254</t>
  </si>
  <si>
    <t xml:space="preserve">€3.8m - Housing Development, Castletroy</t>
  </si>
  <si>
    <t xml:space="preserve">Part 8 - 1363543</t>
  </si>
  <si>
    <t xml:space="preserve">P-1363543</t>
  </si>
  <si>
    <t xml:space="preserve">€4m - Housing Development</t>
  </si>
  <si>
    <t xml:space="preserve">2460030</t>
  </si>
  <si>
    <t xml:space="preserve">€2.9m - Residential Development</t>
  </si>
  <si>
    <t xml:space="preserve">22394</t>
  </si>
  <si>
    <t xml:space="preserve">P-1223809</t>
  </si>
  <si>
    <t xml:space="preserve">€2.9m - Housing Development, Castleconnell</t>
  </si>
  <si>
    <t xml:space="preserve">178017</t>
  </si>
  <si>
    <t xml:space="preserve">Register only (Part 8, not in CIS)</t>
  </si>
  <si>
    <t xml:space="preserve">Part 8: (a) Provision of 13 no. residential terraced units (11 no. two storey </t>
  </si>
  <si>
    <t xml:space="preserve">City Centre</t>
  </si>
  <si>
    <t xml:space="preserve">Commenced (building control)</t>
  </si>
  <si>
    <t xml:space="preserve">198009</t>
  </si>
  <si>
    <t xml:space="preserve">P-1071780</t>
  </si>
  <si>
    <t xml:space="preserve">€1.8m - Housing Development </t>
  </si>
  <si>
    <t xml:space="preserve">18496</t>
  </si>
  <si>
    <t xml:space="preserve">P-991834</t>
  </si>
  <si>
    <t xml:space="preserve">€1.3m - Housing Development</t>
  </si>
  <si>
    <t xml:space="preserve">2460468</t>
  </si>
  <si>
    <t xml:space="preserve">€3.6m - Housing/Creche Development, Crossagalla</t>
  </si>
  <si>
    <t xml:space="preserve">197025</t>
  </si>
  <si>
    <t xml:space="preserve">SG-014</t>
  </si>
  <si>
    <t xml:space="preserve">Housing Development </t>
  </si>
  <si>
    <t xml:space="preserve">U-1419395</t>
  </si>
  <si>
    <t xml:space="preserve">€2.1m - Part 8 Residential Development, Limerick</t>
  </si>
  <si>
    <t xml:space="preserve">1843</t>
  </si>
  <si>
    <t xml:space="preserve">Stage 2 Pre-Planning</t>
  </si>
  <si>
    <t xml:space="preserve">Q2-2025</t>
  </si>
  <si>
    <t xml:space="preserve">188010</t>
  </si>
  <si>
    <t xml:space="preserve">P-999958</t>
  </si>
  <si>
    <t xml:space="preserve">€2.2m - Residential Development </t>
  </si>
  <si>
    <t xml:space="preserve">2560778</t>
  </si>
  <si>
    <t xml:space="preserve">U-1412257</t>
  </si>
  <si>
    <t xml:space="preserve">€1.2m - 10 Houses, Crossagalla</t>
  </si>
  <si>
    <t xml:space="preserve">191037</t>
  </si>
  <si>
    <t xml:space="preserve">€2.3m - 8 Residential Units </t>
  </si>
  <si>
    <t xml:space="preserve">248132</t>
  </si>
  <si>
    <t xml:space="preserve">P-1360553</t>
  </si>
  <si>
    <t xml:space="preserve">€1.4m - 6 Houses, Annacotty</t>
  </si>
  <si>
    <t xml:space="preserve">1839</t>
  </si>
  <si>
    <t xml:space="preserve">187020</t>
  </si>
  <si>
    <t xml:space="preserve">P-997576</t>
  </si>
  <si>
    <t xml:space="preserve">€1m - Residential Development</t>
  </si>
  <si>
    <t xml:space="preserve">PT8LL277</t>
  </si>
  <si>
    <t xml:space="preserve">U-1412368</t>
  </si>
  <si>
    <t xml:space="preserve">€1.5m - 5 Residential Units, Limerick</t>
  </si>
  <si>
    <t xml:space="preserve">1846</t>
  </si>
  <si>
    <t xml:space="preserve">Q3-2025</t>
  </si>
  <si>
    <t xml:space="preserve">178015</t>
  </si>
  <si>
    <t xml:space="preserve">Part 8: provision of 5 no. residential terraced units (all two storey) and all</t>
  </si>
  <si>
    <t xml:space="preserve">1872</t>
  </si>
  <si>
    <t xml:space="preserve">P-974045</t>
  </si>
  <si>
    <t xml:space="preserve">€554k - 4 Houses </t>
  </si>
  <si>
    <t xml:space="preserve">18618</t>
  </si>
  <si>
    <t xml:space="preserve">€529k - 4 Houses </t>
  </si>
  <si>
    <t xml:space="preserve">2561323</t>
  </si>
  <si>
    <t xml:space="preserve">€757k - 4 Apartments, Castletroy</t>
  </si>
  <si>
    <t xml:space="preserve">Part 8 / 1033981</t>
  </si>
  <si>
    <t xml:space="preserve">188003</t>
  </si>
  <si>
    <t xml:space="preserve">U-1033981</t>
  </si>
  <si>
    <t xml:space="preserve">€960k - Residential Development</t>
  </si>
  <si>
    <t xml:space="preserve">Part 8 - 1378081</t>
  </si>
  <si>
    <t xml:space="preserve">U-1378081</t>
  </si>
  <si>
    <t xml:space="preserve">€879k - 4 Houses</t>
  </si>
  <si>
    <t xml:space="preserve">2660652</t>
  </si>
  <si>
    <t xml:space="preserve">U-1442414</t>
  </si>
  <si>
    <t xml:space="preserve">€540k - 4 Apartments, Limerick</t>
  </si>
  <si>
    <t xml:space="preserve">2360493</t>
  </si>
  <si>
    <t xml:space="preserve">P-1299520</t>
  </si>
  <si>
    <t xml:space="preserve">€1.4m - 3 Houses </t>
  </si>
  <si>
    <t xml:space="preserve">20361</t>
  </si>
  <si>
    <t xml:space="preserve">€648k - 3 Houses </t>
  </si>
  <si>
    <t xml:space="preserve">21853</t>
  </si>
  <si>
    <t xml:space="preserve">€622k - 2 Houses</t>
  </si>
  <si>
    <t xml:space="preserve">23557</t>
  </si>
  <si>
    <t xml:space="preserve">SG-024</t>
  </si>
  <si>
    <t xml:space="preserve">€33m - LRD Development, Limerick</t>
  </si>
  <si>
    <t xml:space="preserve">Limerick City North</t>
  </si>
  <si>
    <t xml:space="preserve">Caherdavin</t>
  </si>
  <si>
    <t xml:space="preserve">ABPREF312683</t>
  </si>
  <si>
    <t xml:space="preserve">P-1214059</t>
  </si>
  <si>
    <t xml:space="preserve">€27.5m - Clonmacken Gardens Housing Development, Limerick</t>
  </si>
  <si>
    <t xml:space="preserve">2360951</t>
  </si>
  <si>
    <t xml:space="preserve">P-1325143</t>
  </si>
  <si>
    <t xml:space="preserve">€28m - Mixed Use Development, Moyross</t>
  </si>
  <si>
    <t xml:space="preserve">211800</t>
  </si>
  <si>
    <t xml:space="preserve">SG-027</t>
  </si>
  <si>
    <t xml:space="preserve">€21m - Residential Development, Old Cratloe Road</t>
  </si>
  <si>
    <t xml:space="preserve">2460032</t>
  </si>
  <si>
    <t xml:space="preserve">€18.9m - Residential Development, Old Cratloe Road</t>
  </si>
  <si>
    <t xml:space="preserve">22959</t>
  </si>
  <si>
    <t xml:space="preserve">€20m - Residential Development, Limerick.</t>
  </si>
  <si>
    <t xml:space="preserve">19970</t>
  </si>
  <si>
    <t xml:space="preserve">SG-012</t>
  </si>
  <si>
    <t xml:space="preserve">€16m - Residential Development, Ennis Road</t>
  </si>
  <si>
    <t xml:space="preserve">22817</t>
  </si>
  <si>
    <t xml:space="preserve">P-1242233</t>
  </si>
  <si>
    <t xml:space="preserve">€11m - Residential Development, Limerick</t>
  </si>
  <si>
    <t xml:space="preserve">217025</t>
  </si>
  <si>
    <t xml:space="preserve">€3.7m - Ardhú Apartments Refurbishment, Ennis Road</t>
  </si>
  <si>
    <t xml:space="preserve">221114</t>
  </si>
  <si>
    <t xml:space="preserve">€12.2m - Residential Development, Limerick</t>
  </si>
  <si>
    <t xml:space="preserve">221400</t>
  </si>
  <si>
    <t xml:space="preserve">P-1265188</t>
  </si>
  <si>
    <t xml:space="preserve">€10.4m - Residential Development, Thomondgate</t>
  </si>
  <si>
    <t xml:space="preserve">188008</t>
  </si>
  <si>
    <t xml:space="preserve">P-999956</t>
  </si>
  <si>
    <t xml:space="preserve">€7m - Residential Development, Condell Road</t>
  </si>
  <si>
    <t xml:space="preserve">1817</t>
  </si>
  <si>
    <t xml:space="preserve">Part 8 - 1063948</t>
  </si>
  <si>
    <t xml:space="preserve">P-1063948</t>
  </si>
  <si>
    <t xml:space="preserve">€9m - Rapid Housing Delivery</t>
  </si>
  <si>
    <t xml:space="preserve">19710</t>
  </si>
  <si>
    <t xml:space="preserve">P-1058796</t>
  </si>
  <si>
    <t xml:space="preserve">€8.5m - Student Accommodation Development, Former Hassett’s Bar</t>
  </si>
  <si>
    <t xml:space="preserve">211640</t>
  </si>
  <si>
    <t xml:space="preserve">P-1202244</t>
  </si>
  <si>
    <t xml:space="preserve">€3.8m - Residential Development, Curry Lane</t>
  </si>
  <si>
    <t xml:space="preserve">2560169</t>
  </si>
  <si>
    <t xml:space="preserve">U-1393371</t>
  </si>
  <si>
    <t xml:space="preserve">€4.8m - Mixed Use Development, Limerick</t>
  </si>
  <si>
    <t xml:space="preserve">258327</t>
  </si>
  <si>
    <t xml:space="preserve">U-1419614</t>
  </si>
  <si>
    <t xml:space="preserve">€4.8m - Apartment Development, Limerick</t>
  </si>
  <si>
    <t xml:space="preserve">Kings Island</t>
  </si>
  <si>
    <t xml:space="preserve">1837</t>
  </si>
  <si>
    <t xml:space="preserve">221189</t>
  </si>
  <si>
    <t xml:space="preserve">P-1258052</t>
  </si>
  <si>
    <t xml:space="preserve">€6.3m - Apartment Development, Limerick</t>
  </si>
  <si>
    <t xml:space="preserve">198003</t>
  </si>
  <si>
    <t xml:space="preserve">P-1050624</t>
  </si>
  <si>
    <t xml:space="preserve">€3.9m - Residential Development, Moyross</t>
  </si>
  <si>
    <t xml:space="preserve">198004</t>
  </si>
  <si>
    <t xml:space="preserve">P-1054214</t>
  </si>
  <si>
    <t xml:space="preserve">€6m - Residential Development, King's Island</t>
  </si>
  <si>
    <t xml:space="preserve">187040</t>
  </si>
  <si>
    <t xml:space="preserve">P-1022341</t>
  </si>
  <si>
    <t xml:space="preserve">€5.7m - Residential Development, Rhebogue</t>
  </si>
  <si>
    <t xml:space="preserve">21520</t>
  </si>
  <si>
    <t xml:space="preserve">P-1162677</t>
  </si>
  <si>
    <t xml:space="preserve">€6.5m - Housing Development Limerick</t>
  </si>
  <si>
    <t xml:space="preserve">Corbally/Grove Island</t>
  </si>
  <si>
    <t xml:space="preserve">221216</t>
  </si>
  <si>
    <t xml:space="preserve">P-1259753</t>
  </si>
  <si>
    <t xml:space="preserve">€14m - Old Dublin Road Student Village LRD, Limerick City</t>
  </si>
  <si>
    <t xml:space="preserve">2460713</t>
  </si>
  <si>
    <t xml:space="preserve">P-1357447</t>
  </si>
  <si>
    <t xml:space="preserve">€4.2m - Apartment Development, Limerick City</t>
  </si>
  <si>
    <t xml:space="preserve">2560953</t>
  </si>
  <si>
    <t xml:space="preserve">P-1414128</t>
  </si>
  <si>
    <t xml:space="preserve">€4.8m - Residential Development, Limerick</t>
  </si>
  <si>
    <t xml:space="preserve">187029</t>
  </si>
  <si>
    <t xml:space="preserve">P-1005377</t>
  </si>
  <si>
    <t xml:space="preserve">€1.9m - Housing Development </t>
  </si>
  <si>
    <t xml:space="preserve">U-1422145</t>
  </si>
  <si>
    <t xml:space="preserve">€719k - Architect Led Integrated Design Team Services for 23 Residential Units, Limerick</t>
  </si>
  <si>
    <t xml:space="preserve">PT8LL283</t>
  </si>
  <si>
    <t xml:space="preserve">258283</t>
  </si>
  <si>
    <t xml:space="preserve">U-1412942</t>
  </si>
  <si>
    <t xml:space="preserve">€5.4m - Cosgrave Park Phase 2, Moyross</t>
  </si>
  <si>
    <t xml:space="preserve">1844</t>
  </si>
  <si>
    <t xml:space="preserve">22793</t>
  </si>
  <si>
    <t xml:space="preserve">U-1241529</t>
  </si>
  <si>
    <t xml:space="preserve">€4.5m - Housing Development, Limerick City</t>
  </si>
  <si>
    <t xml:space="preserve">2460633</t>
  </si>
  <si>
    <t xml:space="preserve">U-1353358</t>
  </si>
  <si>
    <t xml:space="preserve">€2.7m - Residential Development, Limerick</t>
  </si>
  <si>
    <t xml:space="preserve">2460864</t>
  </si>
  <si>
    <t xml:space="preserve">U-1363929</t>
  </si>
  <si>
    <t xml:space="preserve">€4.2m - Residential Development</t>
  </si>
  <si>
    <t xml:space="preserve">188001</t>
  </si>
  <si>
    <t xml:space="preserve">P-1045472</t>
  </si>
  <si>
    <t xml:space="preserve">€3m - Residential Development, Mulgrave Street</t>
  </si>
  <si>
    <t xml:space="preserve">21835</t>
  </si>
  <si>
    <t xml:space="preserve">SG-025</t>
  </si>
  <si>
    <t xml:space="preserve">€3.5m - Apartment Development, Limerick</t>
  </si>
  <si>
    <t xml:space="preserve">268371</t>
  </si>
  <si>
    <t xml:space="preserve">U-1431510</t>
  </si>
  <si>
    <t xml:space="preserve">€3.2m - Residential Development, Thomondgate</t>
  </si>
  <si>
    <t xml:space="preserve">1849</t>
  </si>
  <si>
    <t xml:space="preserve">22917</t>
  </si>
  <si>
    <t xml:space="preserve">€3.6m - Mixed Use Development, Limerick</t>
  </si>
  <si>
    <t xml:space="preserve">19302</t>
  </si>
  <si>
    <t xml:space="preserve">U-1040199</t>
  </si>
  <si>
    <t xml:space="preserve">€2.6m - Apartments</t>
  </si>
  <si>
    <t xml:space="preserve">21147</t>
  </si>
  <si>
    <t xml:space="preserve">SG-021</t>
  </si>
  <si>
    <t xml:space="preserve">2360759</t>
  </si>
  <si>
    <t xml:space="preserve">€1.4m - Retail Units/Apartments</t>
  </si>
  <si>
    <t xml:space="preserve">2560001</t>
  </si>
  <si>
    <t xml:space="preserve">P-1384661</t>
  </si>
  <si>
    <t xml:space="preserve">€1.3m - 6 Apartments, Thomondgate</t>
  </si>
  <si>
    <t xml:space="preserve">178001</t>
  </si>
  <si>
    <t xml:space="preserve">Part 8: (1)Provision of 7no. residential units, 2no. two storey and 5no. singl</t>
  </si>
  <si>
    <t xml:space="preserve">178012</t>
  </si>
  <si>
    <t xml:space="preserve">Part 8: (i) provision of 7 no. residential units (2 no. three-storey, 3 bedroo</t>
  </si>
  <si>
    <t xml:space="preserve">1820</t>
  </si>
  <si>
    <t xml:space="preserve">21342</t>
  </si>
  <si>
    <t xml:space="preserve">P-1156999</t>
  </si>
  <si>
    <t xml:space="preserve">€864k - 6 Dwellings</t>
  </si>
  <si>
    <t xml:space="preserve">211395</t>
  </si>
  <si>
    <t xml:space="preserve">P-1193931</t>
  </si>
  <si>
    <t xml:space="preserve">€1.3m - 6 Houses </t>
  </si>
  <si>
    <t xml:space="preserve">CE/2019/087</t>
  </si>
  <si>
    <t xml:space="preserve">P-1363541</t>
  </si>
  <si>
    <t xml:space="preserve">€1.5m - Housing Development</t>
  </si>
  <si>
    <t xml:space="preserve">268364</t>
  </si>
  <si>
    <t xml:space="preserve">U-1438136</t>
  </si>
  <si>
    <t xml:space="preserve">€883k - Part 8 - 6 Apartments, Corbally</t>
  </si>
  <si>
    <t xml:space="preserve">268363</t>
  </si>
  <si>
    <t xml:space="preserve">U-1439022</t>
  </si>
  <si>
    <t xml:space="preserve">€1.4m - 6 Houses, Caherdavin</t>
  </si>
  <si>
    <t xml:space="preserve">1851</t>
  </si>
  <si>
    <t xml:space="preserve">Stage 1 Capital Appraisal</t>
  </si>
  <si>
    <t xml:space="preserve">248153</t>
  </si>
  <si>
    <t xml:space="preserve">U-1447625</t>
  </si>
  <si>
    <t xml:space="preserve">€1.4m - Part 8 - 2 Houses &amp; 4 Apartments, Thomondghate</t>
  </si>
  <si>
    <t xml:space="preserve">1832</t>
  </si>
  <si>
    <t xml:space="preserve">188009</t>
  </si>
  <si>
    <t xml:space="preserve">P-999957</t>
  </si>
  <si>
    <t xml:space="preserve">€1.1m - Residential Units </t>
  </si>
  <si>
    <t xml:space="preserve">188004</t>
  </si>
  <si>
    <t xml:space="preserve">Part 8: (i) provision of 5 no. residential units (3 no. 2 bedroom houses and 2</t>
  </si>
  <si>
    <t xml:space="preserve">20827</t>
  </si>
  <si>
    <t xml:space="preserve">P-1120093</t>
  </si>
  <si>
    <t xml:space="preserve">€864k - 4 Houses </t>
  </si>
  <si>
    <t xml:space="preserve">23283</t>
  </si>
  <si>
    <t xml:space="preserve">P-1292276</t>
  </si>
  <si>
    <t xml:space="preserve">€907k - Change of Use to 4 Apartments </t>
  </si>
  <si>
    <t xml:space="preserve">198008</t>
  </si>
  <si>
    <t xml:space="preserve">Part 8: (a) provision of 3 no. residential two-storey terraced units comprisin</t>
  </si>
  <si>
    <t xml:space="preserve">U-1417205</t>
  </si>
  <si>
    <t xml:space="preserve">€1.4m - Architect Led Integrated Design Team for College Avenue Infill Housing Scheme,  Moyross</t>
  </si>
  <si>
    <t xml:space="preserve">2561232</t>
  </si>
  <si>
    <t xml:space="preserve">P-1417746</t>
  </si>
  <si>
    <t xml:space="preserve">€9.4m - Student Accommodation Development, Limerick</t>
  </si>
  <si>
    <t xml:space="preserve">ABPREF313124</t>
  </si>
  <si>
    <t xml:space="preserve">P-1221693</t>
  </si>
  <si>
    <t xml:space="preserve">€76m - Residential Development, Raheen</t>
  </si>
  <si>
    <t xml:space="preserve">Limerick City West</t>
  </si>
  <si>
    <t xml:space="preserve">Dooradoyle</t>
  </si>
  <si>
    <t xml:space="preserve">ABPREF311588</t>
  </si>
  <si>
    <t xml:space="preserve">P-1194302</t>
  </si>
  <si>
    <t xml:space="preserve">€66m - Greenpark SHD Residential Development, Dock Road, Limerick </t>
  </si>
  <si>
    <t xml:space="preserve">Ballinacurra</t>
  </si>
  <si>
    <t xml:space="preserve">2560780</t>
  </si>
  <si>
    <t xml:space="preserve">U-1412002</t>
  </si>
  <si>
    <t xml:space="preserve">€95m - Dock Road LRD, Limerick</t>
  </si>
  <si>
    <t xml:space="preserve">Public – LDA</t>
  </si>
  <si>
    <t xml:space="preserve">218000</t>
  </si>
  <si>
    <t xml:space="preserve">SG-020</t>
  </si>
  <si>
    <t xml:space="preserve">€47m - The Mungret Project</t>
  </si>
  <si>
    <t xml:space="preserve">Mungret</t>
  </si>
  <si>
    <t xml:space="preserve">2660396</t>
  </si>
  <si>
    <t xml:space="preserve">P-1432711</t>
  </si>
  <si>
    <t xml:space="preserve">€39m - Large Residential Development, Mungret</t>
  </si>
  <si>
    <t xml:space="preserve">2561231</t>
  </si>
  <si>
    <t xml:space="preserve">€32.5m - Large Residential Development, Mungret</t>
  </si>
  <si>
    <t xml:space="preserve">2461282</t>
  </si>
  <si>
    <t xml:space="preserve">P-1382991</t>
  </si>
  <si>
    <t xml:space="preserve">€32m - LRD, Mungret</t>
  </si>
  <si>
    <t xml:space="preserve">2360703</t>
  </si>
  <si>
    <t xml:space="preserve">U-1310780</t>
  </si>
  <si>
    <t xml:space="preserve">€27m - Mixed Use Development, Dooradoyle</t>
  </si>
  <si>
    <t xml:space="preserve">211217</t>
  </si>
  <si>
    <t xml:space="preserve">SG-013</t>
  </si>
  <si>
    <t xml:space="preserve">€15.2m - Residential Development Mungret</t>
  </si>
  <si>
    <t xml:space="preserve">211216</t>
  </si>
  <si>
    <t xml:space="preserve">€21m - Residential Development, Mungret</t>
  </si>
  <si>
    <t xml:space="preserve">201115</t>
  </si>
  <si>
    <t xml:space="preserve">SG-001</t>
  </si>
  <si>
    <t xml:space="preserve">€16.5m - Residential Development, Mungret</t>
  </si>
  <si>
    <t xml:space="preserve">201114</t>
  </si>
  <si>
    <t xml:space="preserve">€19.4m - Residential Development, Mungret</t>
  </si>
  <si>
    <t xml:space="preserve">2561242</t>
  </si>
  <si>
    <t xml:space="preserve">SG-017</t>
  </si>
  <si>
    <t xml:space="preserve">€14.5m - Residential Development, Limerick</t>
  </si>
  <si>
    <t xml:space="preserve">2360615</t>
  </si>
  <si>
    <t xml:space="preserve">P-1306162</t>
  </si>
  <si>
    <t xml:space="preserve">€11.3m - Housing Development, Mungret</t>
  </si>
  <si>
    <t xml:space="preserve">201195</t>
  </si>
  <si>
    <t xml:space="preserve">€9m - Residential Development, Mungret</t>
  </si>
  <si>
    <t xml:space="preserve">2560156</t>
  </si>
  <si>
    <t xml:space="preserve">SG-004</t>
  </si>
  <si>
    <t xml:space="preserve">€15.9m - Residential Development, Patrickswell</t>
  </si>
  <si>
    <t xml:space="preserve">Patrickswell</t>
  </si>
  <si>
    <t xml:space="preserve">181193</t>
  </si>
  <si>
    <t xml:space="preserve">SG-003</t>
  </si>
  <si>
    <t xml:space="preserve">€9m - Housing Development</t>
  </si>
  <si>
    <t xml:space="preserve">2561228</t>
  </si>
  <si>
    <t xml:space="preserve">€18.4m - Residential Development, Patrickswell</t>
  </si>
  <si>
    <t xml:space="preserve">221318</t>
  </si>
  <si>
    <t xml:space="preserve">P-1262614</t>
  </si>
  <si>
    <t xml:space="preserve">€10.9m - Residential Development, Patrickswell</t>
  </si>
  <si>
    <t xml:space="preserve">18200</t>
  </si>
  <si>
    <t xml:space="preserve">€5.9m - Residential Development, Patrickswell</t>
  </si>
  <si>
    <t xml:space="preserve">18346</t>
  </si>
  <si>
    <t xml:space="preserve">€6.3m - Residential Development, Patrickswell</t>
  </si>
  <si>
    <t xml:space="preserve">Permission expiring</t>
  </si>
  <si>
    <t xml:space="preserve">2560540</t>
  </si>
  <si>
    <t xml:space="preserve">U-1408292</t>
  </si>
  <si>
    <t xml:space="preserve">€7m - Apartment Development, Limerick City</t>
  </si>
  <si>
    <t xml:space="preserve">2360144</t>
  </si>
  <si>
    <t xml:space="preserve">U-1277663</t>
  </si>
  <si>
    <t xml:space="preserve">€9m - Housing Development, Patrickswell</t>
  </si>
  <si>
    <t xml:space="preserve">2460570</t>
  </si>
  <si>
    <t xml:space="preserve">P-1350852</t>
  </si>
  <si>
    <t xml:space="preserve">€4.5m - Apartment Development, Limerick City</t>
  </si>
  <si>
    <t xml:space="preserve">2560653</t>
  </si>
  <si>
    <t xml:space="preserve">€9.4m - Residential Development</t>
  </si>
  <si>
    <t xml:space="preserve">211598</t>
  </si>
  <si>
    <t xml:space="preserve">SG-026</t>
  </si>
  <si>
    <t xml:space="preserve">€5.8m - Apartment/Retail Development, Limerick </t>
  </si>
  <si>
    <t xml:space="preserve">2560546</t>
  </si>
  <si>
    <t xml:space="preserve">€7m - Residential/Commercial Development, Limerick</t>
  </si>
  <si>
    <t xml:space="preserve">20281</t>
  </si>
  <si>
    <t xml:space="preserve">€12m - Residential Development, Patrickswell</t>
  </si>
  <si>
    <t xml:space="preserve">228016</t>
  </si>
  <si>
    <t xml:space="preserve">SG-029</t>
  </si>
  <si>
    <t xml:space="preserve">€6m - Apartment Development, Limerick</t>
  </si>
  <si>
    <t xml:space="preserve">191060</t>
  </si>
  <si>
    <t xml:space="preserve">P-895586</t>
  </si>
  <si>
    <t xml:space="preserve">€50m - 1 BQ Development, Limerick City</t>
  </si>
  <si>
    <t xml:space="preserve">221107</t>
  </si>
  <si>
    <t xml:space="preserve">U-1254537</t>
  </si>
  <si>
    <t xml:space="preserve">€5m - Apartment/Retail Development, Dooradoyle</t>
  </si>
  <si>
    <t xml:space="preserve">20467</t>
  </si>
  <si>
    <t xml:space="preserve">SG-006</t>
  </si>
  <si>
    <t xml:space="preserve">€5.4m - Patricks Well Housing Development, Mungret</t>
  </si>
  <si>
    <t xml:space="preserve">221003</t>
  </si>
  <si>
    <t xml:space="preserve">U-1250272</t>
  </si>
  <si>
    <t xml:space="preserve">€6.5m - Apartment Development, Limerick</t>
  </si>
  <si>
    <t xml:space="preserve">221172</t>
  </si>
  <si>
    <t xml:space="preserve">P-1256924</t>
  </si>
  <si>
    <t xml:space="preserve">€5.9m - Student Accommodation Development </t>
  </si>
  <si>
    <t xml:space="preserve">18465</t>
  </si>
  <si>
    <t xml:space="preserve">€3.4m - Residential Development, Mungret</t>
  </si>
  <si>
    <t xml:space="preserve">228017</t>
  </si>
  <si>
    <t xml:space="preserve">€4.4m - Residential Development, Patrickswell</t>
  </si>
  <si>
    <t xml:space="preserve">Part 8 - 1248404</t>
  </si>
  <si>
    <t xml:space="preserve">€4.6m - Residential Development, Patrickswell</t>
  </si>
  <si>
    <t xml:space="preserve">20222</t>
  </si>
  <si>
    <t xml:space="preserve">€8.9m - Mixed Use Development, 34-41 Catherine Street</t>
  </si>
  <si>
    <t xml:space="preserve">221367</t>
  </si>
  <si>
    <t xml:space="preserve">SG-031</t>
  </si>
  <si>
    <t xml:space="preserve">€5.2m - Residential Development, Limerick</t>
  </si>
  <si>
    <t xml:space="preserve">2560425</t>
  </si>
  <si>
    <t xml:space="preserve">SG-035</t>
  </si>
  <si>
    <t xml:space="preserve">€4.4m - Apartment Development </t>
  </si>
  <si>
    <t xml:space="preserve">2360150</t>
  </si>
  <si>
    <t xml:space="preserve">U-1278374</t>
  </si>
  <si>
    <t xml:space="preserve">€3m - Apartment Development, Limerick</t>
  </si>
  <si>
    <t xml:space="preserve">188012</t>
  </si>
  <si>
    <t xml:space="preserve">Part 8: (a) provision of 24 no. two storey residential housing units. The unit</t>
  </si>
  <si>
    <t xml:space="preserve">Department social housing report (on site by Q3-2023)</t>
  </si>
  <si>
    <t xml:space="preserve">1822</t>
  </si>
  <si>
    <t xml:space="preserve">Q3-2023</t>
  </si>
  <si>
    <t xml:space="preserve">2560771</t>
  </si>
  <si>
    <t xml:space="preserve">P-1411773</t>
  </si>
  <si>
    <t xml:space="preserve">€4.5m - Mixed Use Development</t>
  </si>
  <si>
    <t xml:space="preserve">2360345</t>
  </si>
  <si>
    <t xml:space="preserve">P-1290708</t>
  </si>
  <si>
    <t xml:space="preserve">€3.7m - Residential Development, Limerick City</t>
  </si>
  <si>
    <t xml:space="preserve">2360025</t>
  </si>
  <si>
    <t xml:space="preserve">SG-028</t>
  </si>
  <si>
    <t xml:space="preserve">€3.8m - Apartment Development, Limerick</t>
  </si>
  <si>
    <t xml:space="preserve">1695</t>
  </si>
  <si>
    <t xml:space="preserve">22471</t>
  </si>
  <si>
    <t xml:space="preserve">U-1227182</t>
  </si>
  <si>
    <t xml:space="preserve">€4.5m - Housing Development, Mungret</t>
  </si>
  <si>
    <t xml:space="preserve">Part 8 - 1371977</t>
  </si>
  <si>
    <t xml:space="preserve">€3.4m - Residential Development</t>
  </si>
  <si>
    <t xml:space="preserve">P-1015929</t>
  </si>
  <si>
    <t xml:space="preserve">€2m - Housing Development </t>
  </si>
  <si>
    <t xml:space="preserve">188014</t>
  </si>
  <si>
    <t xml:space="preserve">P-1015932</t>
  </si>
  <si>
    <t xml:space="preserve">€1.7m - Residential Development, Rosbrien Road</t>
  </si>
  <si>
    <t xml:space="preserve">1816</t>
  </si>
  <si>
    <t xml:space="preserve">2560365</t>
  </si>
  <si>
    <t xml:space="preserve">P-1401743</t>
  </si>
  <si>
    <t xml:space="preserve">€2.4m - Apartment Development</t>
  </si>
  <si>
    <t xml:space="preserve">178013</t>
  </si>
  <si>
    <t xml:space="preserve">Part 8: (i) Provision of 16no. residential terraced units (15no. two storey an</t>
  </si>
  <si>
    <t xml:space="preserve">20622</t>
  </si>
  <si>
    <t xml:space="preserve">P-1112715</t>
  </si>
  <si>
    <t xml:space="preserve">€3.2m - Change of Use to Apartment Development </t>
  </si>
  <si>
    <t xml:space="preserve">211454</t>
  </si>
  <si>
    <t xml:space="preserve">P-1195465</t>
  </si>
  <si>
    <t xml:space="preserve">€2.1m - Apartment Development </t>
  </si>
  <si>
    <t xml:space="preserve">18219</t>
  </si>
  <si>
    <t xml:space="preserve">P-980328</t>
  </si>
  <si>
    <t xml:space="preserve">228023</t>
  </si>
  <si>
    <t xml:space="preserve">SG-032</t>
  </si>
  <si>
    <t xml:space="preserve">€5.45m - Apartment Development, Limerick</t>
  </si>
  <si>
    <t xml:space="preserve">21364</t>
  </si>
  <si>
    <t xml:space="preserve">U-1157017</t>
  </si>
  <si>
    <t xml:space="preserve">€2.5m - Residential Development, Mungret</t>
  </si>
  <si>
    <t xml:space="preserve">19689</t>
  </si>
  <si>
    <t xml:space="preserve">€2.2m - 9 Houses </t>
  </si>
  <si>
    <t xml:space="preserve">21873</t>
  </si>
  <si>
    <t xml:space="preserve">€1.7 - 9 Houses, Patrickswell</t>
  </si>
  <si>
    <t xml:space="preserve">221381</t>
  </si>
  <si>
    <t xml:space="preserve">SG-018</t>
  </si>
  <si>
    <t xml:space="preserve">€2m - 9 Apartments</t>
  </si>
  <si>
    <t xml:space="preserve">2460075</t>
  </si>
  <si>
    <t xml:space="preserve">P-1329797</t>
  </si>
  <si>
    <t xml:space="preserve">€816k - 8 Apartment </t>
  </si>
  <si>
    <t xml:space="preserve">18168</t>
  </si>
  <si>
    <t xml:space="preserve">P-978022</t>
  </si>
  <si>
    <t xml:space="preserve">€3m - Mixed Use Development</t>
  </si>
  <si>
    <t xml:space="preserve">20466</t>
  </si>
  <si>
    <t xml:space="preserve">€1.7m - 8 Apartments</t>
  </si>
  <si>
    <t xml:space="preserve">Part 8 - 1264155</t>
  </si>
  <si>
    <t xml:space="preserve">€590k - Residential Development / Living Georgian Project, 58 O’Connell Street</t>
  </si>
  <si>
    <t xml:space="preserve">2460020</t>
  </si>
  <si>
    <t xml:space="preserve">SG-034</t>
  </si>
  <si>
    <t xml:space="preserve">€200k - Change of Use to 8 Apartments </t>
  </si>
  <si>
    <t xml:space="preserve">2460151</t>
  </si>
  <si>
    <t xml:space="preserve">P-1333345</t>
  </si>
  <si>
    <t xml:space="preserve">€1.6m - Change of Use to 7 Apartments, Limerick</t>
  </si>
  <si>
    <t xml:space="preserve">21532</t>
  </si>
  <si>
    <t xml:space="preserve">€858k - Residential Development, Mungret</t>
  </si>
  <si>
    <t xml:space="preserve">18892</t>
  </si>
  <si>
    <t xml:space="preserve">P-1009370</t>
  </si>
  <si>
    <t xml:space="preserve">€870k - Apartments  </t>
  </si>
  <si>
    <t xml:space="preserve">2461298</t>
  </si>
  <si>
    <t xml:space="preserve">P-1383405</t>
  </si>
  <si>
    <t xml:space="preserve">€975k - Change of Use to Restaurant/Apartments</t>
  </si>
  <si>
    <t xml:space="preserve">2560633</t>
  </si>
  <si>
    <t xml:space="preserve">€2.4m - 6 Houses</t>
  </si>
  <si>
    <t xml:space="preserve">2560595</t>
  </si>
  <si>
    <t xml:space="preserve">€819k - 6 Apartments</t>
  </si>
  <si>
    <t xml:space="preserve">19444</t>
  </si>
  <si>
    <t xml:space="preserve">€2.2m - Housing Development </t>
  </si>
  <si>
    <t xml:space="preserve">19769</t>
  </si>
  <si>
    <t xml:space="preserve">SG-011</t>
  </si>
  <si>
    <t xml:space="preserve">€782k - Apartment Change of Use, Henry Street</t>
  </si>
  <si>
    <t xml:space="preserve">1934</t>
  </si>
  <si>
    <t xml:space="preserve">Q1-2023</t>
  </si>
  <si>
    <t xml:space="preserve">2460004</t>
  </si>
  <si>
    <t xml:space="preserve">€755k - Change of Use to 3 Apartments </t>
  </si>
  <si>
    <t xml:space="preserve">19841</t>
  </si>
  <si>
    <t xml:space="preserve">P-1064271</t>
  </si>
  <si>
    <t xml:space="preserve">€618k - 2 Apartments </t>
  </si>
  <si>
    <t xml:space="preserve">187001</t>
  </si>
  <si>
    <t xml:space="preserve">€18.9m - Housing Development </t>
  </si>
  <si>
    <t xml:space="preserve">19990</t>
  </si>
  <si>
    <t xml:space="preserve">€521k - 8 Houses </t>
  </si>
  <si>
    <t xml:space="preserve">201142</t>
  </si>
  <si>
    <t xml:space="preserve">P-1132789</t>
  </si>
  <si>
    <t xml:space="preserve">€919k - Student Accommodation Development, Saint Gerard Street</t>
  </si>
  <si>
    <t xml:space="preserve">22840</t>
  </si>
  <si>
    <t xml:space="preserve">P-1243349</t>
  </si>
  <si>
    <t xml:space="preserve">€21m - Residential Development, Newcastle West</t>
  </si>
  <si>
    <t xml:space="preserve">Newcastle West</t>
  </si>
  <si>
    <t xml:space="preserve">21594</t>
  </si>
  <si>
    <t xml:space="preserve">U-1165485</t>
  </si>
  <si>
    <t xml:space="preserve">€11.3m - Residential Development </t>
  </si>
  <si>
    <t xml:space="preserve">Abbeyfeale</t>
  </si>
  <si>
    <t xml:space="preserve">21531</t>
  </si>
  <si>
    <t xml:space="preserve">SG-022</t>
  </si>
  <si>
    <t xml:space="preserve">€9.7m - Housing Development, Newcastle West</t>
  </si>
  <si>
    <t xml:space="preserve">2360706</t>
  </si>
  <si>
    <t xml:space="preserve">P-1310783</t>
  </si>
  <si>
    <t xml:space="preserve">€8.9m - Housing Development, Newcastle West</t>
  </si>
  <si>
    <t xml:space="preserve">2660232</t>
  </si>
  <si>
    <t xml:space="preserve">U-1446285</t>
  </si>
  <si>
    <t xml:space="preserve">€7.8m - Residential Development, Abbeyfeale</t>
  </si>
  <si>
    <t xml:space="preserve">228020</t>
  </si>
  <si>
    <t xml:space="preserve">P-1258895</t>
  </si>
  <si>
    <t xml:space="preserve">€4.9m - Residential Development, Newcastle West</t>
  </si>
  <si>
    <t xml:space="preserve">2660575</t>
  </si>
  <si>
    <t xml:space="preserve">U-1360912</t>
  </si>
  <si>
    <t xml:space="preserve">€4.3m - Apartment Development, Newcastle West</t>
  </si>
  <si>
    <t xml:space="preserve">2460568</t>
  </si>
  <si>
    <t xml:space="preserve">P-1350850</t>
  </si>
  <si>
    <t xml:space="preserve">€3.9m - Residential Development, Castlemahon</t>
  </si>
  <si>
    <t xml:space="preserve">218012</t>
  </si>
  <si>
    <t xml:space="preserve">SG-023</t>
  </si>
  <si>
    <t xml:space="preserve">€2.4m - Residential Development</t>
  </si>
  <si>
    <t xml:space="preserve">2360826</t>
  </si>
  <si>
    <t xml:space="preserve">P-1318536</t>
  </si>
  <si>
    <t xml:space="preserve">€2.2m - Residential Development, Newcastle West</t>
  </si>
  <si>
    <t xml:space="preserve">2460082</t>
  </si>
  <si>
    <t xml:space="preserve">€1.9m - Apartment Development </t>
  </si>
  <si>
    <t xml:space="preserve">258297</t>
  </si>
  <si>
    <t xml:space="preserve">U-1414882</t>
  </si>
  <si>
    <t xml:space="preserve">€4.5m - Residential Development, Abbeyfeale</t>
  </si>
  <si>
    <t xml:space="preserve">1694</t>
  </si>
  <si>
    <t xml:space="preserve">228013</t>
  </si>
  <si>
    <t xml:space="preserve">P-1237333</t>
  </si>
  <si>
    <t xml:space="preserve">€2.2m - Housing Development, Ardagh</t>
  </si>
  <si>
    <t xml:space="preserve">1827</t>
  </si>
  <si>
    <t xml:space="preserve">2460028</t>
  </si>
  <si>
    <t xml:space="preserve">U-1327665</t>
  </si>
  <si>
    <t xml:space="preserve">€2.5m - Assisted Living Dwelling Units, Glin</t>
  </si>
  <si>
    <t xml:space="preserve">1939</t>
  </si>
  <si>
    <t xml:space="preserve">2561211</t>
  </si>
  <si>
    <t xml:space="preserve">U-1417331</t>
  </si>
  <si>
    <t xml:space="preserve">€1.8m - Residential Development, Newcastle West</t>
  </si>
  <si>
    <t xml:space="preserve">2660063</t>
  </si>
  <si>
    <t xml:space="preserve">U-1422361</t>
  </si>
  <si>
    <t xml:space="preserve">€1.8m - 7 House/Apartment/Community Office, Feenagh</t>
  </si>
  <si>
    <t xml:space="preserve">1940</t>
  </si>
  <si>
    <t xml:space="preserve">Q3-2024</t>
  </si>
  <si>
    <t xml:space="preserve">188013</t>
  </si>
  <si>
    <t xml:space="preserve">P-1007351</t>
  </si>
  <si>
    <t xml:space="preserve">€701k - 7 Houses </t>
  </si>
  <si>
    <t xml:space="preserve">2460046</t>
  </si>
  <si>
    <t xml:space="preserve">U-1328561</t>
  </si>
  <si>
    <t xml:space="preserve">€2m - 7 Houses, Broadford</t>
  </si>
  <si>
    <t xml:space="preserve">18994</t>
  </si>
  <si>
    <t xml:space="preserve">P-1014706</t>
  </si>
  <si>
    <t xml:space="preserve">€553k - 6 Houses</t>
  </si>
  <si>
    <t xml:space="preserve">20678</t>
  </si>
  <si>
    <t xml:space="preserve">P-1114096</t>
  </si>
  <si>
    <t xml:space="preserve">€864k - Residential Development, Tournafulla</t>
  </si>
  <si>
    <t xml:space="preserve">Part 8 - 1316160</t>
  </si>
  <si>
    <t xml:space="preserve">U-1316160</t>
  </si>
  <si>
    <t xml:space="preserve">€705k - Radharc an Ghleanna Residential Development, Mountcollins</t>
  </si>
  <si>
    <t xml:space="preserve">20857</t>
  </si>
  <si>
    <t xml:space="preserve">P-1121263</t>
  </si>
  <si>
    <t xml:space="preserve">€543k - 2 Houses </t>
  </si>
  <si>
    <t xml:space="preserve">U-1424651</t>
  </si>
  <si>
    <t xml:space="preserve">€20m - Council Housing Programme 2026 - 2030, Limerick</t>
  </si>
  <si>
    <t xml:space="preserve">U-1438055</t>
  </si>
  <si>
    <t xml:space="preserve">€1.5m - Multi-Party Framework for Maintenance Repairs and Replacement of Heating Systems, Limerick</t>
  </si>
  <si>
    <t xml:space="preserve">Units with permission by status and size band</t>
  </si>
  <si>
    <t xml:space="preserve">Schemes</t>
  </si>
  <si>
    <t xml:space="preserve">Total units</t>
  </si>
  <si>
    <t xml:space="preserve">All</t>
  </si>
  <si>
    <t xml:space="preserve">Units with permission by status and LEA</t>
  </si>
  <si>
    <t xml:space="preserve">Units with permission by status and city neighbourhood</t>
  </si>
  <si>
    <t xml:space="preserve">Neighbourhood</t>
  </si>
  <si>
    <t xml:space="preserve">Units with permission by status and sector</t>
  </si>
  <si>
    <t xml:space="preserve">Size band (units)</t>
  </si>
  <si>
    <t xml:space="preserve">Values calculated in delivery_analysis.py from the Schemes sheet.</t>
  </si>
  <si>
    <t xml:space="preserve">Approval: n</t>
  </si>
  <si>
    <t xml:space="preserve">Approval: LQ</t>
  </si>
  <si>
    <t xml:space="preserve">Approval: median</t>
  </si>
  <si>
    <t xml:space="preserve">Approval: UQ</t>
  </si>
  <si>
    <t xml:space="preserve">Grant to start: n</t>
  </si>
  <si>
    <t xml:space="preserve">Grant to start: LQ</t>
  </si>
  <si>
    <t xml:space="preserve">Grant to start: median</t>
  </si>
  <si>
    <t xml:space="preserve">Grant to start: UQ</t>
  </si>
  <si>
    <t xml:space="preserve">Start to completion: n</t>
  </si>
  <si>
    <t xml:space="preserve">Start to completion: median</t>
  </si>
  <si>
    <t xml:space="preserve">Build rate (dpa): median</t>
  </si>
  <si>
    <t xml:space="preserve">Scheme size</t>
  </si>
  <si>
    <t xml:space="preserve">Started within 1 yr (%)</t>
  </si>
  <si>
    <t xml:space="preserve">n (1 yr)</t>
  </si>
  <si>
    <t xml:space="preserve">Started within 2 yr (%)</t>
  </si>
  <si>
    <t xml:space="preserve">n (2 yr)</t>
  </si>
  <si>
    <t xml:space="preserve">Started within 3 yr (%)</t>
  </si>
  <si>
    <t xml:space="preserve">n (3 yr)</t>
  </si>
  <si>
    <t xml:space="preserve">Started within 4 yr (%)</t>
  </si>
  <si>
    <t xml:space="preserve">n (4 yr)</t>
  </si>
  <si>
    <t xml:space="preserve">Started within 5 yr (%)</t>
  </si>
  <si>
    <t xml:space="preserve">n (5 yr)</t>
  </si>
  <si>
    <t xml:space="preserve">1–24 units</t>
  </si>
  <si>
    <t xml:space="preserve">25–99 units</t>
  </si>
  <si>
    <t xml:space="preserve">100+ units</t>
  </si>
  <si>
    <t xml:space="preserve">lea</t>
  </si>
  <si>
    <t xml:space="preserve">Units permitted</t>
  </si>
  <si>
    <t xml:space="preserve">Units started</t>
  </si>
  <si>
    <t xml:space="preserve">Schemes started</t>
  </si>
  <si>
    <t xml:space="preserve">Units started (%)</t>
  </si>
  <si>
    <t xml:space="preserve">Schemes started (%)</t>
  </si>
  <si>
    <t xml:space="preserve">Median grant to start (yrs)</t>
  </si>
  <si>
    <t xml:space="preserve">band</t>
  </si>
  <si>
    <t xml:space="preserve">dwelling_type</t>
  </si>
  <si>
    <t xml:space="preserve">route</t>
  </si>
  <si>
    <t xml:space="preserve">settlement</t>
  </si>
  <si>
    <t xml:space="preserve">owner</t>
  </si>
  <si>
    <t xml:space="preserve">sector</t>
  </si>
  <si>
    <t xml:space="preserve">nbhd</t>
  </si>
  <si>
    <t xml:space="preserve">Public units</t>
  </si>
  <si>
    <t xml:space="preserve">Public share (%)</t>
  </si>
  <si>
    <t xml:space="preserve">Planning path</t>
  </si>
  <si>
    <t xml:space="preserve">Median approval (yrs)</t>
  </si>
  <si>
    <t xml:space="preserve">LQ</t>
  </si>
  <si>
    <t xml:space="preserve">UQ</t>
  </si>
  <si>
    <t xml:space="preserve">No further information, no appeal</t>
  </si>
  <si>
    <t xml:space="preserve">Further information requested</t>
  </si>
  <si>
    <t xml:space="preserve">Expiry window</t>
  </si>
  <si>
    <t xml:space="preserve">Already past expiry</t>
  </si>
  <si>
    <t xml:space="preserve">Within 12 months</t>
  </si>
  <si>
    <t xml:space="preserve">12–24 months</t>
  </si>
  <si>
    <t xml:space="preserve">24–36 months</t>
  </si>
  <si>
    <t xml:space="preserve">More than 36 months</t>
  </si>
  <si>
    <t xml:space="preserve">No expiry date (mainly Part 8)</t>
  </si>
  <si>
    <t xml:space="preserve">Last CIS update</t>
  </si>
  <si>
    <t xml:space="preserve">CIS notes</t>
  </si>
  <si>
    <t xml:space="preserve">Year</t>
  </si>
  <si>
    <t xml:space="preserve">Units granted</t>
  </si>
  <si>
    <t xml:space="preserve">Units completed (CIS)</t>
  </si>
  <si>
    <t xml:space="preserve">Group</t>
  </si>
  <si>
    <t xml:space="preserve">Completed schemes</t>
  </si>
  <si>
    <t xml:space="preserve">Median build period (yrs)</t>
  </si>
  <si>
    <t xml:space="preserve">Median build rate (dpa)</t>
  </si>
  <si>
    <t xml:space="preserve">LQ dpa</t>
  </si>
  <si>
    <t xml:space="preserve">UQ dpa</t>
  </si>
  <si>
    <t xml:space="preserve">All completed</t>
  </si>
  <si>
    <t xml:space="preserve">Indicator</t>
  </si>
  <si>
    <t xml:space="preserve">Schemes / applications</t>
  </si>
  <si>
    <t xml:space="preserve">Permitted schemes not started, permission live</t>
  </si>
  <si>
    <t xml:space="preserve">Permitted schemes not started, past expiry</t>
  </si>
  <si>
    <t xml:space="preserve">Schemes recorded by CIS as stalled or suspended</t>
  </si>
  <si>
    <t xml:space="preserve">Schemes with CIS note: on hold / no movement</t>
  </si>
  <si>
    <t xml:space="preserve">Schemes with CIS note: legal challenge / quashed</t>
  </si>
  <si>
    <t xml:space="preserve">Schemes with CIS note: site for sale / sold</t>
  </si>
  <si>
    <t xml:space="preserve">Schemes where further information was requested</t>
  </si>
  <si>
    <t xml:space="preserve">Schemes that went to appeal</t>
  </si>
  <si>
    <t xml:space="preserve">Applications refused or withdrawn (not counted)</t>
  </si>
  <si>
    <t xml:space="preserve">Applications superseded by a later application</t>
  </si>
  <si>
    <t xml:space="preserve">Extensions of duration sought</t>
  </si>
  <si>
    <t xml:space="preserve">Item</t>
  </si>
  <si>
    <t xml:space="preserve">Value</t>
  </si>
  <si>
    <t xml:space="preserve">Schemes in study (counted applications)</t>
  </si>
  <si>
    <t xml:space="preserve">Schemes with permission</t>
  </si>
  <si>
    <t xml:space="preserve">Start date from building control commencement notice</t>
  </si>
  <si>
    <t xml:space="preserve">Start date from CIS only</t>
  </si>
  <si>
    <t xml:space="preserve">Completed schemes (CIS and Department social housing report)</t>
  </si>
  <si>
    <t xml:space="preserve">Completed schemes with a completion certificate</t>
  </si>
  <si>
    <t xml:space="preserve">Units on completed schemes</t>
  </si>
  <si>
    <t xml:space="preserve">Units on completion certificates for those schemes</t>
  </si>
  <si>
    <t xml:space="preserve">Part 8 schemes in study</t>
  </si>
  <si>
    <t xml:space="preserve">Part 8 schemes added from the register (not in CIS)</t>
  </si>
  <si>
    <t xml:space="preserve">Units on Part 8 schemes added from the register</t>
  </si>
  <si>
    <t xml:space="preserve">Public schemes (local authority, AHB, LDA)</t>
  </si>
  <si>
    <t xml:space="preserve">Units on public schemes</t>
  </si>
</sst>
</file>

<file path=xl/styles.xml><?xml version="1.0" encoding="utf-8"?>
<styleSheet xmlns="http://schemas.openxmlformats.org/spreadsheetml/2006/main">
  <numFmts count="5">
    <numFmt numFmtId="164" formatCode="General"/>
    <numFmt numFmtId="165" formatCode="dd/mm/yyyy"/>
    <numFmt numFmtId="166" formatCode="0.0"/>
    <numFmt numFmtId="167" formatCode="#,##0;\(#,##0\);\-"/>
    <numFmt numFmtId="168"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color theme="1"/>
      <name val="Arial"/>
      <family val="0"/>
      <charset val="1"/>
    </font>
    <font>
      <b val="true"/>
      <sz val="10"/>
      <name val="Arial"/>
      <family val="0"/>
      <charset val="1"/>
    </font>
    <font>
      <sz val="10"/>
      <name val="Arial"/>
      <family val="0"/>
      <charset val="1"/>
    </font>
    <font>
      <b val="true"/>
      <sz val="10"/>
      <color rgb="FFFFFFFF"/>
      <name val="Arial"/>
      <family val="0"/>
      <charset val="1"/>
    </font>
    <font>
      <b val="true"/>
      <sz val="11"/>
      <name val="Arial"/>
      <family val="0"/>
      <charset val="1"/>
    </font>
    <font>
      <i val="true"/>
      <sz val="9"/>
      <name val="Arial"/>
      <family val="0"/>
      <charset val="1"/>
    </font>
  </fonts>
  <fills count="3">
    <fill>
      <patternFill patternType="none"/>
    </fill>
    <fill>
      <patternFill patternType="gray125"/>
    </fill>
    <fill>
      <patternFill patternType="solid">
        <fgColor rgb="FF1F3A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2" min="2" style="0" width="120"/>
  </cols>
  <sheetData>
    <row r="1" customFormat="false" ht="17.35" hidden="false" customHeight="false" outlineLevel="0" collapsed="false">
      <c r="A1" s="1" t="s">
        <v>0</v>
      </c>
      <c r="B1" s="2"/>
    </row>
    <row r="2" customFormat="false" ht="15" hidden="false" customHeight="false" outlineLevel="0" collapsed="false">
      <c r="A2" s="3"/>
      <c r="B2" s="2"/>
    </row>
    <row r="3" customFormat="false" ht="15" hidden="false" customHeight="false" outlineLevel="0" collapsed="false">
      <c r="A3" s="3" t="s">
        <v>1</v>
      </c>
      <c r="B3" s="4" t="s">
        <v>2</v>
      </c>
    </row>
    <row r="4" customFormat="false" ht="23.85" hidden="false" customHeight="false" outlineLevel="0" collapsed="false">
      <c r="A4" s="3" t="s">
        <v>3</v>
      </c>
      <c r="B4" s="4" t="s">
        <v>4</v>
      </c>
    </row>
    <row r="5" customFormat="false" ht="23.85" hidden="false" customHeight="false" outlineLevel="0" collapsed="false">
      <c r="A5" s="3" t="s">
        <v>5</v>
      </c>
      <c r="B5" s="4" t="s">
        <v>6</v>
      </c>
    </row>
    <row r="6" customFormat="false" ht="23.85" hidden="false" customHeight="false" outlineLevel="0" collapsed="false">
      <c r="A6" s="3" t="s">
        <v>7</v>
      </c>
      <c r="B6" s="4" t="s">
        <v>8</v>
      </c>
    </row>
    <row r="7" customFormat="false" ht="23.85" hidden="false" customHeight="false" outlineLevel="0" collapsed="false">
      <c r="A7" s="3" t="s">
        <v>9</v>
      </c>
      <c r="B7" s="4" t="s">
        <v>10</v>
      </c>
    </row>
    <row r="8" customFormat="false" ht="23.85" hidden="false" customHeight="false" outlineLevel="0" collapsed="false">
      <c r="A8" s="3" t="s">
        <v>11</v>
      </c>
      <c r="B8" s="4" t="s">
        <v>12</v>
      </c>
    </row>
    <row r="9" customFormat="false" ht="23.85" hidden="false" customHeight="false" outlineLevel="0" collapsed="false">
      <c r="A9" s="3" t="s">
        <v>13</v>
      </c>
      <c r="B9" s="4" t="s">
        <v>14</v>
      </c>
    </row>
    <row r="10" customFormat="false" ht="15" hidden="false" customHeight="false" outlineLevel="0" collapsed="false">
      <c r="A10" s="3" t="s">
        <v>15</v>
      </c>
      <c r="B10" s="4" t="s">
        <v>16</v>
      </c>
    </row>
    <row r="11" customFormat="false" ht="15" hidden="false" customHeight="false" outlineLevel="0" collapsed="false">
      <c r="A11" s="3" t="s">
        <v>17</v>
      </c>
      <c r="B11" s="4" t="s">
        <v>18</v>
      </c>
    </row>
    <row r="12" customFormat="false" ht="23.85" hidden="false" customHeight="false" outlineLevel="0" collapsed="false">
      <c r="A12" s="3" t="s">
        <v>19</v>
      </c>
      <c r="B12" s="4" t="s">
        <v>20</v>
      </c>
    </row>
    <row r="13" customFormat="false" ht="23.85" hidden="false" customHeight="false" outlineLevel="0" collapsed="false">
      <c r="A13" s="3" t="s">
        <v>21</v>
      </c>
      <c r="B13" s="4" t="s">
        <v>22</v>
      </c>
    </row>
    <row r="14" customFormat="false" ht="15" hidden="false" customHeight="false" outlineLevel="0" collapsed="false">
      <c r="A14" s="3" t="s">
        <v>23</v>
      </c>
      <c r="B14" s="4"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2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5" min="5" style="0" width="44"/>
    <col collapsed="false" customWidth="true" hidden="false" outlineLevel="0" max="7" min="6" style="0" width="20"/>
    <col collapsed="false" customWidth="true" hidden="false" outlineLevel="0" max="14" min="14" style="0" width="22"/>
    <col collapsed="false" customWidth="true" hidden="false" outlineLevel="0" max="18" min="18" style="0" width="26"/>
    <col collapsed="false" customWidth="true" hidden="false" outlineLevel="0" max="35" min="35" style="0" width="22"/>
    <col collapsed="false" customWidth="true" hidden="false" outlineLevel="0" max="37" min="37" style="0" width="30"/>
  </cols>
  <sheetData>
    <row r="1" customFormat="false" ht="30" hidden="false" customHeight="true" outlineLevel="0" collapsed="false">
      <c r="A1" s="5" t="s">
        <v>25</v>
      </c>
      <c r="B1" s="5" t="s">
        <v>26</v>
      </c>
      <c r="C1" s="5" t="s">
        <v>27</v>
      </c>
      <c r="D1" s="5" t="s">
        <v>28</v>
      </c>
      <c r="E1" s="5" t="s">
        <v>1</v>
      </c>
      <c r="F1" s="5" t="s">
        <v>29</v>
      </c>
      <c r="G1" s="5" t="s">
        <v>17</v>
      </c>
      <c r="H1" s="5" t="s">
        <v>5</v>
      </c>
      <c r="I1" s="5" t="s">
        <v>30</v>
      </c>
      <c r="J1" s="5" t="s">
        <v>31</v>
      </c>
      <c r="K1" s="5" t="s">
        <v>32</v>
      </c>
      <c r="L1" s="5" t="s">
        <v>33</v>
      </c>
      <c r="M1" s="5" t="s">
        <v>34</v>
      </c>
      <c r="N1" s="5" t="s">
        <v>35</v>
      </c>
      <c r="O1" s="5" t="s">
        <v>36</v>
      </c>
      <c r="P1" s="5" t="s">
        <v>37</v>
      </c>
      <c r="Q1" s="5" t="s">
        <v>38</v>
      </c>
      <c r="R1" s="5" t="s">
        <v>13</v>
      </c>
      <c r="S1" s="5" t="s">
        <v>39</v>
      </c>
      <c r="T1" s="5" t="s">
        <v>40</v>
      </c>
      <c r="U1" s="5" t="s">
        <v>41</v>
      </c>
      <c r="V1" s="5" t="s">
        <v>42</v>
      </c>
      <c r="W1" s="5" t="s">
        <v>43</v>
      </c>
      <c r="X1" s="5" t="s">
        <v>9</v>
      </c>
      <c r="Y1" s="5" t="s">
        <v>44</v>
      </c>
      <c r="Z1" s="5" t="s">
        <v>45</v>
      </c>
      <c r="AA1" s="5" t="s">
        <v>46</v>
      </c>
      <c r="AB1" s="5" t="s">
        <v>47</v>
      </c>
      <c r="AC1" s="5" t="s">
        <v>48</v>
      </c>
      <c r="AD1" s="5" t="s">
        <v>49</v>
      </c>
      <c r="AE1" s="5" t="s">
        <v>50</v>
      </c>
      <c r="AF1" s="5" t="s">
        <v>51</v>
      </c>
      <c r="AG1" s="5" t="s">
        <v>52</v>
      </c>
      <c r="AH1" s="5" t="s">
        <v>53</v>
      </c>
      <c r="AI1" s="5" t="s">
        <v>54</v>
      </c>
      <c r="AJ1" s="5" t="s">
        <v>55</v>
      </c>
      <c r="AK1" s="5" t="s">
        <v>56</v>
      </c>
      <c r="AL1" s="5" t="s">
        <v>57</v>
      </c>
      <c r="AM1" s="5" t="s">
        <v>58</v>
      </c>
      <c r="AN1" s="5" t="s">
        <v>59</v>
      </c>
      <c r="AO1" s="5" t="s">
        <v>60</v>
      </c>
      <c r="AP1" s="5" t="s">
        <v>61</v>
      </c>
      <c r="AQ1" s="5" t="s">
        <v>62</v>
      </c>
    </row>
    <row r="2" customFormat="false" ht="15" hidden="false" customHeight="false" outlineLevel="0" collapsed="false">
      <c r="A2" s="2" t="s">
        <v>63</v>
      </c>
      <c r="B2" s="2" t="s">
        <v>63</v>
      </c>
      <c r="C2" s="2" t="s">
        <v>64</v>
      </c>
      <c r="D2" s="2" t="s">
        <v>65</v>
      </c>
      <c r="E2" s="2" t="s">
        <v>66</v>
      </c>
      <c r="F2" s="2" t="s">
        <v>67</v>
      </c>
      <c r="G2" s="2" t="s">
        <v>68</v>
      </c>
      <c r="H2" s="2" t="s">
        <v>69</v>
      </c>
      <c r="I2" s="2" t="n">
        <v>52.5586850400552</v>
      </c>
      <c r="J2" s="2" t="n">
        <v>-8.79821150898699</v>
      </c>
      <c r="K2" s="2" t="n">
        <v>99</v>
      </c>
      <c r="L2" s="2" t="s">
        <v>70</v>
      </c>
      <c r="M2" s="2" t="s">
        <v>71</v>
      </c>
      <c r="N2" s="2" t="s">
        <v>72</v>
      </c>
      <c r="O2" s="2" t="s">
        <v>73</v>
      </c>
      <c r="P2" s="2" t="s">
        <v>73</v>
      </c>
      <c r="Q2" s="2" t="s">
        <v>74</v>
      </c>
      <c r="R2" s="2" t="s">
        <v>75</v>
      </c>
      <c r="S2" s="6" t="n">
        <v>44817</v>
      </c>
      <c r="T2" s="6" t="n">
        <v>45713</v>
      </c>
      <c r="U2" s="2" t="s">
        <v>76</v>
      </c>
      <c r="V2" s="2" t="s">
        <v>76</v>
      </c>
      <c r="W2" s="6" t="n">
        <v>47538</v>
      </c>
      <c r="X2" s="6"/>
      <c r="Y2" s="2"/>
      <c r="Z2" s="2" t="n">
        <v>0</v>
      </c>
      <c r="AA2" s="2" t="n">
        <v>0</v>
      </c>
      <c r="AB2" s="6"/>
      <c r="AC2" s="2" t="n">
        <v>0</v>
      </c>
      <c r="AD2" s="2" t="n">
        <v>0</v>
      </c>
      <c r="AE2" s="7" t="n">
        <v>2.45311430527036</v>
      </c>
      <c r="AF2" s="7"/>
      <c r="AG2" s="7"/>
      <c r="AH2" s="7"/>
      <c r="AI2" s="2" t="s">
        <v>77</v>
      </c>
      <c r="AJ2" s="2" t="s">
        <v>78</v>
      </c>
      <c r="AK2" s="2"/>
      <c r="AL2" s="2"/>
      <c r="AM2" s="2"/>
      <c r="AN2" s="2"/>
      <c r="AO2" s="2"/>
      <c r="AP2" s="2"/>
      <c r="AQ2" s="2"/>
    </row>
    <row r="3" customFormat="false" ht="15" hidden="false" customHeight="false" outlineLevel="0" collapsed="false">
      <c r="A3" s="2" t="s">
        <v>79</v>
      </c>
      <c r="B3" s="2" t="s">
        <v>79</v>
      </c>
      <c r="C3" s="2" t="s">
        <v>64</v>
      </c>
      <c r="D3" s="2" t="s">
        <v>80</v>
      </c>
      <c r="E3" s="2" t="s">
        <v>81</v>
      </c>
      <c r="F3" s="2" t="s">
        <v>82</v>
      </c>
      <c r="G3" s="2" t="s">
        <v>68</v>
      </c>
      <c r="H3" s="2" t="s">
        <v>69</v>
      </c>
      <c r="I3" s="2" t="n">
        <v>52.525036502585</v>
      </c>
      <c r="J3" s="2" t="n">
        <v>-8.71709034415734</v>
      </c>
      <c r="K3" s="2" t="n">
        <v>51</v>
      </c>
      <c r="L3" s="2" t="s">
        <v>70</v>
      </c>
      <c r="M3" s="2" t="s">
        <v>83</v>
      </c>
      <c r="N3" s="2" t="s">
        <v>72</v>
      </c>
      <c r="O3" s="2" t="s">
        <v>73</v>
      </c>
      <c r="P3" s="2" t="s">
        <v>73</v>
      </c>
      <c r="Q3" s="2" t="s">
        <v>84</v>
      </c>
      <c r="R3" s="2" t="s">
        <v>75</v>
      </c>
      <c r="S3" s="6" t="n">
        <v>44328</v>
      </c>
      <c r="T3" s="6" t="n">
        <v>44693</v>
      </c>
      <c r="U3" s="2" t="s">
        <v>76</v>
      </c>
      <c r="V3" s="2" t="s">
        <v>85</v>
      </c>
      <c r="W3" s="6" t="n">
        <v>46518</v>
      </c>
      <c r="X3" s="6"/>
      <c r="Y3" s="2"/>
      <c r="Z3" s="2" t="n">
        <v>1</v>
      </c>
      <c r="AA3" s="2" t="n">
        <v>12</v>
      </c>
      <c r="AB3" s="6"/>
      <c r="AC3" s="2" t="n">
        <v>0</v>
      </c>
      <c r="AD3" s="2" t="n">
        <v>0</v>
      </c>
      <c r="AE3" s="7" t="n">
        <v>0.999315537303217</v>
      </c>
      <c r="AF3" s="7"/>
      <c r="AG3" s="7"/>
      <c r="AH3" s="7"/>
      <c r="AI3" s="2" t="s">
        <v>86</v>
      </c>
      <c r="AJ3" s="2" t="s">
        <v>87</v>
      </c>
      <c r="AK3" s="2"/>
      <c r="AL3" s="2"/>
      <c r="AM3" s="2"/>
      <c r="AN3" s="2"/>
      <c r="AO3" s="2"/>
      <c r="AP3" s="2"/>
      <c r="AQ3" s="2"/>
    </row>
    <row r="4" customFormat="false" ht="15" hidden="false" customHeight="false" outlineLevel="0" collapsed="false">
      <c r="A4" s="2" t="s">
        <v>88</v>
      </c>
      <c r="B4" s="2" t="s">
        <v>88</v>
      </c>
      <c r="C4" s="2" t="s">
        <v>64</v>
      </c>
      <c r="D4" s="2" t="s">
        <v>89</v>
      </c>
      <c r="E4" s="2" t="s">
        <v>90</v>
      </c>
      <c r="F4" s="2" t="s">
        <v>82</v>
      </c>
      <c r="G4" s="2" t="s">
        <v>68</v>
      </c>
      <c r="H4" s="2" t="s">
        <v>69</v>
      </c>
      <c r="I4" s="2" t="n">
        <v>52.5222133698453</v>
      </c>
      <c r="J4" s="2" t="n">
        <v>-8.71251640434519</v>
      </c>
      <c r="K4" s="2" t="n">
        <v>32</v>
      </c>
      <c r="L4" s="2" t="s">
        <v>91</v>
      </c>
      <c r="M4" s="2" t="s">
        <v>92</v>
      </c>
      <c r="N4" s="2" t="s">
        <v>72</v>
      </c>
      <c r="O4" s="2" t="s">
        <v>73</v>
      </c>
      <c r="P4" s="2" t="s">
        <v>73</v>
      </c>
      <c r="Q4" s="2" t="s">
        <v>74</v>
      </c>
      <c r="R4" s="2" t="s">
        <v>75</v>
      </c>
      <c r="S4" s="6" t="n">
        <v>44662</v>
      </c>
      <c r="T4" s="6" t="n">
        <v>44977</v>
      </c>
      <c r="U4" s="2" t="s">
        <v>76</v>
      </c>
      <c r="V4" s="2" t="s">
        <v>85</v>
      </c>
      <c r="W4" s="6" t="n">
        <v>46802</v>
      </c>
      <c r="X4" s="6"/>
      <c r="Y4" s="2"/>
      <c r="Z4" s="2" t="n">
        <v>0</v>
      </c>
      <c r="AA4" s="2" t="n">
        <v>0</v>
      </c>
      <c r="AB4" s="6"/>
      <c r="AC4" s="2" t="n">
        <v>0</v>
      </c>
      <c r="AD4" s="2" t="n">
        <v>0</v>
      </c>
      <c r="AE4" s="7" t="n">
        <v>0.862422997946612</v>
      </c>
      <c r="AF4" s="7"/>
      <c r="AG4" s="7"/>
      <c r="AH4" s="7"/>
      <c r="AI4" s="2" t="s">
        <v>86</v>
      </c>
      <c r="AJ4" s="2" t="s">
        <v>87</v>
      </c>
      <c r="AK4" s="2"/>
      <c r="AL4" s="2"/>
      <c r="AM4" s="2"/>
      <c r="AN4" s="2"/>
      <c r="AO4" s="2"/>
      <c r="AP4" s="2"/>
      <c r="AQ4" s="2"/>
    </row>
    <row r="5" customFormat="false" ht="15" hidden="false" customHeight="false" outlineLevel="0" collapsed="false">
      <c r="A5" s="2" t="s">
        <v>93</v>
      </c>
      <c r="B5" s="2" t="s">
        <v>93</v>
      </c>
      <c r="C5" s="2" t="s">
        <v>64</v>
      </c>
      <c r="D5" s="2" t="s">
        <v>65</v>
      </c>
      <c r="E5" s="2" t="s">
        <v>94</v>
      </c>
      <c r="F5" s="2" t="s">
        <v>67</v>
      </c>
      <c r="G5" s="2" t="s">
        <v>68</v>
      </c>
      <c r="H5" s="2" t="s">
        <v>69</v>
      </c>
      <c r="I5" s="2" t="n">
        <v>52.5575125539271</v>
      </c>
      <c r="J5" s="2" t="n">
        <v>-8.79861517628301</v>
      </c>
      <c r="K5" s="2" t="n">
        <v>31</v>
      </c>
      <c r="L5" s="2" t="s">
        <v>91</v>
      </c>
      <c r="M5" s="2" t="s">
        <v>95</v>
      </c>
      <c r="N5" s="2" t="s">
        <v>96</v>
      </c>
      <c r="O5" s="2" t="s">
        <v>97</v>
      </c>
      <c r="P5" s="2" t="s">
        <v>98</v>
      </c>
      <c r="Q5" s="2" t="s">
        <v>74</v>
      </c>
      <c r="R5" s="2" t="s">
        <v>75</v>
      </c>
      <c r="S5" s="6" t="n">
        <v>43759</v>
      </c>
      <c r="T5" s="6" t="n">
        <v>43857</v>
      </c>
      <c r="U5" s="2" t="s">
        <v>85</v>
      </c>
      <c r="V5" s="2" t="s">
        <v>85</v>
      </c>
      <c r="W5" s="6"/>
      <c r="X5" s="6"/>
      <c r="Y5" s="2"/>
      <c r="Z5" s="2" t="n">
        <v>0</v>
      </c>
      <c r="AA5" s="2" t="n">
        <v>0</v>
      </c>
      <c r="AB5" s="6"/>
      <c r="AC5" s="2" t="n">
        <v>0</v>
      </c>
      <c r="AD5" s="2" t="n">
        <v>0</v>
      </c>
      <c r="AE5" s="7" t="n">
        <v>0.268309377138946</v>
      </c>
      <c r="AF5" s="7"/>
      <c r="AG5" s="7"/>
      <c r="AH5" s="7"/>
      <c r="AI5" s="2" t="s">
        <v>86</v>
      </c>
      <c r="AJ5" s="2" t="s">
        <v>87</v>
      </c>
      <c r="AK5" s="2"/>
      <c r="AL5" s="2"/>
      <c r="AM5" s="2"/>
      <c r="AN5" s="2"/>
      <c r="AO5" s="2"/>
      <c r="AP5" s="2"/>
      <c r="AQ5" s="2"/>
    </row>
    <row r="6" customFormat="false" ht="15" hidden="false" customHeight="false" outlineLevel="0" collapsed="false">
      <c r="A6" s="2" t="s">
        <v>99</v>
      </c>
      <c r="B6" s="2" t="s">
        <v>99</v>
      </c>
      <c r="C6" s="2" t="s">
        <v>64</v>
      </c>
      <c r="D6" s="2" t="s">
        <v>100</v>
      </c>
      <c r="E6" s="2" t="s">
        <v>101</v>
      </c>
      <c r="F6" s="2" t="s">
        <v>82</v>
      </c>
      <c r="G6" s="2" t="s">
        <v>68</v>
      </c>
      <c r="H6" s="2" t="s">
        <v>69</v>
      </c>
      <c r="I6" s="2" t="n">
        <v>52.6490543978173</v>
      </c>
      <c r="J6" s="2" t="n">
        <v>-8.86677478399085</v>
      </c>
      <c r="K6" s="2" t="n">
        <v>30</v>
      </c>
      <c r="L6" s="2" t="s">
        <v>91</v>
      </c>
      <c r="M6" s="2" t="s">
        <v>83</v>
      </c>
      <c r="N6" s="2" t="s">
        <v>72</v>
      </c>
      <c r="O6" s="2" t="s">
        <v>73</v>
      </c>
      <c r="P6" s="2" t="s">
        <v>73</v>
      </c>
      <c r="Q6" s="2" t="s">
        <v>102</v>
      </c>
      <c r="R6" s="2" t="s">
        <v>103</v>
      </c>
      <c r="S6" s="6" t="n">
        <v>45547</v>
      </c>
      <c r="T6" s="6" t="n">
        <v>45917</v>
      </c>
      <c r="U6" s="2" t="s">
        <v>76</v>
      </c>
      <c r="V6" s="2" t="s">
        <v>85</v>
      </c>
      <c r="W6" s="6" t="n">
        <v>47742</v>
      </c>
      <c r="X6" s="6" t="n">
        <v>46013</v>
      </c>
      <c r="Y6" s="2" t="s">
        <v>104</v>
      </c>
      <c r="Z6" s="2" t="n">
        <v>1</v>
      </c>
      <c r="AA6" s="2" t="n">
        <v>30</v>
      </c>
      <c r="AB6" s="6"/>
      <c r="AC6" s="2" t="n">
        <v>0</v>
      </c>
      <c r="AD6" s="2" t="n">
        <v>0</v>
      </c>
      <c r="AE6" s="7" t="n">
        <v>1.01300479123888</v>
      </c>
      <c r="AF6" s="7" t="n">
        <v>0.262833675564682</v>
      </c>
      <c r="AG6" s="7"/>
      <c r="AH6" s="7"/>
      <c r="AI6" s="2" t="s">
        <v>86</v>
      </c>
      <c r="AJ6" s="2" t="s">
        <v>87</v>
      </c>
      <c r="AK6" s="2"/>
      <c r="AL6" s="2"/>
      <c r="AM6" s="2"/>
      <c r="AN6" s="2"/>
      <c r="AO6" s="2"/>
      <c r="AP6" s="2"/>
      <c r="AQ6" s="2"/>
    </row>
    <row r="7" customFormat="false" ht="15" hidden="false" customHeight="false" outlineLevel="0" collapsed="false">
      <c r="A7" s="2" t="s">
        <v>105</v>
      </c>
      <c r="B7" s="2" t="s">
        <v>105</v>
      </c>
      <c r="C7" s="2" t="s">
        <v>64</v>
      </c>
      <c r="D7" s="2" t="s">
        <v>106</v>
      </c>
      <c r="E7" s="2" t="s">
        <v>107</v>
      </c>
      <c r="F7" s="2" t="s">
        <v>108</v>
      </c>
      <c r="G7" s="2" t="s">
        <v>68</v>
      </c>
      <c r="H7" s="2" t="s">
        <v>69</v>
      </c>
      <c r="I7" s="2" t="n">
        <v>52.5617261567986</v>
      </c>
      <c r="J7" s="2" t="n">
        <v>-8.76577410743167</v>
      </c>
      <c r="K7" s="2" t="n">
        <v>28</v>
      </c>
      <c r="L7" s="2" t="s">
        <v>91</v>
      </c>
      <c r="M7" s="2" t="s">
        <v>95</v>
      </c>
      <c r="N7" s="2" t="s">
        <v>72</v>
      </c>
      <c r="O7" s="2" t="s">
        <v>73</v>
      </c>
      <c r="P7" s="2" t="s">
        <v>73</v>
      </c>
      <c r="Q7" s="2" t="s">
        <v>74</v>
      </c>
      <c r="R7" s="2" t="s">
        <v>75</v>
      </c>
      <c r="S7" s="6" t="n">
        <v>46212</v>
      </c>
      <c r="T7" s="6" t="n">
        <v>46267</v>
      </c>
      <c r="U7" s="2" t="s">
        <v>85</v>
      </c>
      <c r="V7" s="2" t="s">
        <v>85</v>
      </c>
      <c r="W7" s="6" t="n">
        <v>48093</v>
      </c>
      <c r="X7" s="6"/>
      <c r="Y7" s="2"/>
      <c r="Z7" s="2" t="n">
        <v>0</v>
      </c>
      <c r="AA7" s="2" t="n">
        <v>0</v>
      </c>
      <c r="AB7" s="6"/>
      <c r="AC7" s="2" t="n">
        <v>0</v>
      </c>
      <c r="AD7" s="2" t="n">
        <v>0</v>
      </c>
      <c r="AE7" s="7" t="n">
        <v>0.150581793292266</v>
      </c>
      <c r="AF7" s="7"/>
      <c r="AG7" s="7"/>
      <c r="AH7" s="7"/>
      <c r="AI7" s="2" t="s">
        <v>86</v>
      </c>
      <c r="AJ7" s="2" t="s">
        <v>87</v>
      </c>
      <c r="AK7" s="2"/>
      <c r="AL7" s="2"/>
      <c r="AM7" s="2"/>
      <c r="AN7" s="2"/>
      <c r="AO7" s="2"/>
      <c r="AP7" s="2"/>
      <c r="AQ7" s="2"/>
    </row>
    <row r="8" customFormat="false" ht="15" hidden="false" customHeight="false" outlineLevel="0" collapsed="false">
      <c r="A8" s="2" t="s">
        <v>109</v>
      </c>
      <c r="B8" s="2" t="s">
        <v>109</v>
      </c>
      <c r="C8" s="2" t="s">
        <v>64</v>
      </c>
      <c r="D8" s="2" t="s">
        <v>65</v>
      </c>
      <c r="E8" s="2" t="s">
        <v>110</v>
      </c>
      <c r="F8" s="2" t="s">
        <v>67</v>
      </c>
      <c r="G8" s="2" t="s">
        <v>68</v>
      </c>
      <c r="H8" s="2" t="s">
        <v>69</v>
      </c>
      <c r="I8" s="2" t="n">
        <v>52.558433751329</v>
      </c>
      <c r="J8" s="2" t="n">
        <v>-8.79970179127134</v>
      </c>
      <c r="K8" s="2" t="n">
        <v>28</v>
      </c>
      <c r="L8" s="2" t="s">
        <v>91</v>
      </c>
      <c r="M8" s="2" t="s">
        <v>71</v>
      </c>
      <c r="N8" s="2" t="s">
        <v>72</v>
      </c>
      <c r="O8" s="2" t="s">
        <v>73</v>
      </c>
      <c r="P8" s="2" t="s">
        <v>73</v>
      </c>
      <c r="Q8" s="2" t="s">
        <v>74</v>
      </c>
      <c r="R8" s="2" t="s">
        <v>75</v>
      </c>
      <c r="S8" s="6" t="n">
        <v>45231</v>
      </c>
      <c r="T8" s="6" t="n">
        <v>45737</v>
      </c>
      <c r="U8" s="2" t="s">
        <v>85</v>
      </c>
      <c r="V8" s="2" t="s">
        <v>76</v>
      </c>
      <c r="W8" s="6" t="n">
        <v>47562</v>
      </c>
      <c r="X8" s="6"/>
      <c r="Y8" s="2"/>
      <c r="Z8" s="2" t="n">
        <v>0</v>
      </c>
      <c r="AA8" s="2" t="n">
        <v>0</v>
      </c>
      <c r="AB8" s="6"/>
      <c r="AC8" s="2" t="n">
        <v>0</v>
      </c>
      <c r="AD8" s="2" t="n">
        <v>0</v>
      </c>
      <c r="AE8" s="7" t="n">
        <v>1.38535249828884</v>
      </c>
      <c r="AF8" s="7"/>
      <c r="AG8" s="7"/>
      <c r="AH8" s="7"/>
      <c r="AI8" s="2" t="s">
        <v>111</v>
      </c>
      <c r="AJ8" s="2" t="s">
        <v>112</v>
      </c>
      <c r="AK8" s="2"/>
      <c r="AL8" s="2"/>
      <c r="AM8" s="2"/>
      <c r="AN8" s="2"/>
      <c r="AO8" s="2"/>
      <c r="AP8" s="2"/>
      <c r="AQ8" s="2"/>
    </row>
    <row r="9" customFormat="false" ht="15" hidden="false" customHeight="false" outlineLevel="0" collapsed="false">
      <c r="A9" s="2" t="s">
        <v>113</v>
      </c>
      <c r="B9" s="2" t="s">
        <v>113</v>
      </c>
      <c r="C9" s="2" t="s">
        <v>64</v>
      </c>
      <c r="D9" s="2" t="s">
        <v>65</v>
      </c>
      <c r="E9" s="2" t="s">
        <v>114</v>
      </c>
      <c r="F9" s="2" t="s">
        <v>67</v>
      </c>
      <c r="G9" s="2" t="s">
        <v>68</v>
      </c>
      <c r="H9" s="2" t="s">
        <v>69</v>
      </c>
      <c r="I9" s="2" t="n">
        <v>52.5606078363441</v>
      </c>
      <c r="J9" s="2" t="n">
        <v>-8.7983531668118</v>
      </c>
      <c r="K9" s="2" t="n">
        <v>25</v>
      </c>
      <c r="L9" s="2" t="s">
        <v>91</v>
      </c>
      <c r="M9" s="2" t="s">
        <v>83</v>
      </c>
      <c r="N9" s="2" t="s">
        <v>72</v>
      </c>
      <c r="O9" s="2" t="s">
        <v>73</v>
      </c>
      <c r="P9" s="2" t="s">
        <v>73</v>
      </c>
      <c r="Q9" s="2" t="s">
        <v>74</v>
      </c>
      <c r="R9" s="2" t="s">
        <v>75</v>
      </c>
      <c r="S9" s="6" t="n">
        <v>45391</v>
      </c>
      <c r="T9" s="6" t="n">
        <v>45737</v>
      </c>
      <c r="U9" s="2" t="s">
        <v>85</v>
      </c>
      <c r="V9" s="2" t="s">
        <v>76</v>
      </c>
      <c r="W9" s="6" t="n">
        <v>47562</v>
      </c>
      <c r="X9" s="6"/>
      <c r="Y9" s="2"/>
      <c r="Z9" s="2" t="n">
        <v>0</v>
      </c>
      <c r="AA9" s="2" t="n">
        <v>0</v>
      </c>
      <c r="AB9" s="6"/>
      <c r="AC9" s="2" t="n">
        <v>0</v>
      </c>
      <c r="AD9" s="2" t="n">
        <v>0</v>
      </c>
      <c r="AE9" s="7" t="n">
        <v>0.947296372347707</v>
      </c>
      <c r="AF9" s="7"/>
      <c r="AG9" s="7"/>
      <c r="AH9" s="7"/>
      <c r="AI9" s="2" t="s">
        <v>111</v>
      </c>
      <c r="AJ9" s="2" t="s">
        <v>112</v>
      </c>
      <c r="AK9" s="2"/>
      <c r="AL9" s="2"/>
      <c r="AM9" s="2"/>
      <c r="AN9" s="2"/>
      <c r="AO9" s="2"/>
      <c r="AP9" s="2"/>
      <c r="AQ9" s="2"/>
    </row>
    <row r="10" customFormat="false" ht="15" hidden="false" customHeight="false" outlineLevel="0" collapsed="false">
      <c r="A10" s="2" t="s">
        <v>115</v>
      </c>
      <c r="B10" s="2" t="s">
        <v>115</v>
      </c>
      <c r="C10" s="2" t="s">
        <v>64</v>
      </c>
      <c r="D10" s="2" t="s">
        <v>116</v>
      </c>
      <c r="E10" s="2" t="s">
        <v>117</v>
      </c>
      <c r="F10" s="2" t="s">
        <v>82</v>
      </c>
      <c r="G10" s="2" t="s">
        <v>68</v>
      </c>
      <c r="H10" s="2" t="s">
        <v>69</v>
      </c>
      <c r="I10" s="2" t="n">
        <v>52.5231424769144</v>
      </c>
      <c r="J10" s="2" t="n">
        <v>-8.71715566768902</v>
      </c>
      <c r="K10" s="2" t="n">
        <v>16</v>
      </c>
      <c r="L10" s="2" t="s">
        <v>118</v>
      </c>
      <c r="M10" s="2" t="s">
        <v>71</v>
      </c>
      <c r="N10" s="2" t="s">
        <v>96</v>
      </c>
      <c r="O10" s="2" t="s">
        <v>119</v>
      </c>
      <c r="P10" s="2" t="s">
        <v>98</v>
      </c>
      <c r="Q10" s="2" t="s">
        <v>120</v>
      </c>
      <c r="R10" s="2" t="s">
        <v>120</v>
      </c>
      <c r="S10" s="6" t="n">
        <v>43668</v>
      </c>
      <c r="T10" s="6" t="n">
        <v>44498</v>
      </c>
      <c r="U10" s="2" t="s">
        <v>85</v>
      </c>
      <c r="V10" s="2" t="s">
        <v>85</v>
      </c>
      <c r="W10" s="6"/>
      <c r="X10" s="6" t="n">
        <v>45313</v>
      </c>
      <c r="Y10" s="2" t="s">
        <v>104</v>
      </c>
      <c r="Z10" s="2" t="n">
        <v>1</v>
      </c>
      <c r="AA10" s="2" t="n">
        <v>16</v>
      </c>
      <c r="AB10" s="6" t="n">
        <v>46013</v>
      </c>
      <c r="AC10" s="2" t="n">
        <v>1</v>
      </c>
      <c r="AD10" s="2" t="n">
        <v>1</v>
      </c>
      <c r="AE10" s="7" t="n">
        <v>2.27241615331964</v>
      </c>
      <c r="AF10" s="7" t="n">
        <v>2.23134839151266</v>
      </c>
      <c r="AG10" s="7" t="n">
        <v>1.91649555099247</v>
      </c>
      <c r="AH10" s="7" t="n">
        <v>8.34857142857143</v>
      </c>
      <c r="AI10" s="2" t="s">
        <v>86</v>
      </c>
      <c r="AJ10" s="2" t="s">
        <v>87</v>
      </c>
      <c r="AK10" s="2"/>
      <c r="AL10" s="2" t="s">
        <v>64</v>
      </c>
      <c r="AM10" s="2" t="s">
        <v>121</v>
      </c>
      <c r="AN10" s="2" t="s">
        <v>122</v>
      </c>
      <c r="AO10" s="2" t="s">
        <v>123</v>
      </c>
      <c r="AP10" s="2" t="s">
        <v>124</v>
      </c>
      <c r="AQ10" s="2" t="s">
        <v>125</v>
      </c>
    </row>
    <row r="11" customFormat="false" ht="15" hidden="false" customHeight="false" outlineLevel="0" collapsed="false">
      <c r="A11" s="2" t="s">
        <v>126</v>
      </c>
      <c r="B11" s="2" t="s">
        <v>126</v>
      </c>
      <c r="C11" s="2" t="s">
        <v>64</v>
      </c>
      <c r="D11" s="2" t="s">
        <v>127</v>
      </c>
      <c r="E11" s="2" t="s">
        <v>128</v>
      </c>
      <c r="F11" s="2" t="s">
        <v>82</v>
      </c>
      <c r="G11" s="2" t="s">
        <v>68</v>
      </c>
      <c r="H11" s="2" t="s">
        <v>69</v>
      </c>
      <c r="I11" s="2" t="n">
        <v>52.5247126377627</v>
      </c>
      <c r="J11" s="2" t="n">
        <v>-8.71450021109427</v>
      </c>
      <c r="K11" s="2" t="n">
        <v>14</v>
      </c>
      <c r="L11" s="2" t="s">
        <v>118</v>
      </c>
      <c r="M11" s="2" t="s">
        <v>95</v>
      </c>
      <c r="N11" s="2" t="s">
        <v>72</v>
      </c>
      <c r="O11" s="2" t="s">
        <v>73</v>
      </c>
      <c r="P11" s="2" t="s">
        <v>73</v>
      </c>
      <c r="Q11" s="2" t="s">
        <v>74</v>
      </c>
      <c r="R11" s="2" t="s">
        <v>75</v>
      </c>
      <c r="S11" s="6" t="n">
        <v>43623</v>
      </c>
      <c r="T11" s="6" t="n">
        <v>44148</v>
      </c>
      <c r="U11" s="2" t="s">
        <v>76</v>
      </c>
      <c r="V11" s="2" t="s">
        <v>76</v>
      </c>
      <c r="W11" s="6" t="n">
        <v>47070</v>
      </c>
      <c r="X11" s="6"/>
      <c r="Y11" s="2"/>
      <c r="Z11" s="2" t="n">
        <v>0</v>
      </c>
      <c r="AA11" s="2" t="n">
        <v>0</v>
      </c>
      <c r="AB11" s="6"/>
      <c r="AC11" s="2" t="n">
        <v>0</v>
      </c>
      <c r="AD11" s="2" t="n">
        <v>0</v>
      </c>
      <c r="AE11" s="7" t="n">
        <v>1.43737166324435</v>
      </c>
      <c r="AF11" s="7"/>
      <c r="AG11" s="7"/>
      <c r="AH11" s="7"/>
      <c r="AI11" s="2" t="s">
        <v>86</v>
      </c>
      <c r="AJ11" s="2" t="s">
        <v>87</v>
      </c>
      <c r="AK11" s="2"/>
      <c r="AL11" s="2"/>
      <c r="AM11" s="2"/>
      <c r="AN11" s="2"/>
      <c r="AO11" s="2"/>
      <c r="AP11" s="2"/>
      <c r="AQ11" s="2"/>
    </row>
    <row r="12" customFormat="false" ht="15" hidden="false" customHeight="false" outlineLevel="0" collapsed="false">
      <c r="A12" s="2" t="s">
        <v>129</v>
      </c>
      <c r="B12" s="2" t="s">
        <v>129</v>
      </c>
      <c r="C12" s="2" t="s">
        <v>130</v>
      </c>
      <c r="D12" s="2"/>
      <c r="E12" s="2" t="s">
        <v>131</v>
      </c>
      <c r="F12" s="2" t="s">
        <v>132</v>
      </c>
      <c r="G12" s="2" t="s">
        <v>68</v>
      </c>
      <c r="H12" s="2" t="s">
        <v>69</v>
      </c>
      <c r="I12" s="2" t="n">
        <v>52.5230831776311</v>
      </c>
      <c r="J12" s="2" t="n">
        <v>-8.7188044373212</v>
      </c>
      <c r="K12" s="2" t="n">
        <v>14</v>
      </c>
      <c r="L12" s="2" t="s">
        <v>118</v>
      </c>
      <c r="M12" s="2" t="s">
        <v>83</v>
      </c>
      <c r="N12" s="2" t="s">
        <v>72</v>
      </c>
      <c r="O12" s="2" t="s">
        <v>73</v>
      </c>
      <c r="P12" s="2" t="s">
        <v>73</v>
      </c>
      <c r="Q12" s="2" t="s">
        <v>74</v>
      </c>
      <c r="R12" s="2" t="s">
        <v>75</v>
      </c>
      <c r="S12" s="6" t="n">
        <v>44001</v>
      </c>
      <c r="T12" s="6" t="n">
        <v>44532</v>
      </c>
      <c r="U12" s="2" t="s">
        <v>76</v>
      </c>
      <c r="V12" s="2" t="s">
        <v>76</v>
      </c>
      <c r="W12" s="6" t="n">
        <v>46357</v>
      </c>
      <c r="X12" s="6"/>
      <c r="Y12" s="2"/>
      <c r="Z12" s="2" t="n">
        <v>0</v>
      </c>
      <c r="AA12" s="2" t="n">
        <v>0</v>
      </c>
      <c r="AB12" s="6"/>
      <c r="AC12" s="2" t="n">
        <v>0</v>
      </c>
      <c r="AD12" s="2" t="n">
        <v>0</v>
      </c>
      <c r="AE12" s="7" t="n">
        <v>1.45379876796715</v>
      </c>
      <c r="AF12" s="7"/>
      <c r="AG12" s="7"/>
      <c r="AH12" s="7"/>
      <c r="AI12" s="2" t="s">
        <v>86</v>
      </c>
      <c r="AJ12" s="2"/>
      <c r="AK12" s="2"/>
      <c r="AL12" s="2"/>
      <c r="AM12" s="2"/>
      <c r="AN12" s="2"/>
      <c r="AO12" s="2"/>
      <c r="AP12" s="2"/>
      <c r="AQ12" s="2"/>
    </row>
    <row r="13" customFormat="false" ht="15" hidden="false" customHeight="false" outlineLevel="0" collapsed="false">
      <c r="A13" s="2" t="s">
        <v>133</v>
      </c>
      <c r="B13" s="2" t="s">
        <v>133</v>
      </c>
      <c r="C13" s="2" t="s">
        <v>64</v>
      </c>
      <c r="D13" s="2" t="s">
        <v>134</v>
      </c>
      <c r="E13" s="2" t="s">
        <v>135</v>
      </c>
      <c r="F13" s="2" t="s">
        <v>67</v>
      </c>
      <c r="G13" s="2" t="s">
        <v>68</v>
      </c>
      <c r="H13" s="2" t="s">
        <v>69</v>
      </c>
      <c r="I13" s="2" t="n">
        <v>52.5264203</v>
      </c>
      <c r="J13" s="2" t="n">
        <v>-8.9374848</v>
      </c>
      <c r="K13" s="2" t="n">
        <v>11</v>
      </c>
      <c r="L13" s="2" t="s">
        <v>118</v>
      </c>
      <c r="M13" s="2" t="s">
        <v>92</v>
      </c>
      <c r="N13" s="2" t="s">
        <v>96</v>
      </c>
      <c r="O13" s="2" t="s">
        <v>97</v>
      </c>
      <c r="P13" s="2" t="s">
        <v>98</v>
      </c>
      <c r="Q13" s="2" t="s">
        <v>102</v>
      </c>
      <c r="R13" s="2" t="s">
        <v>103</v>
      </c>
      <c r="S13" s="6" t="n">
        <v>45527</v>
      </c>
      <c r="T13" s="6"/>
      <c r="U13" s="2" t="s">
        <v>85</v>
      </c>
      <c r="V13" s="2" t="s">
        <v>85</v>
      </c>
      <c r="W13" s="6"/>
      <c r="X13" s="6" t="n">
        <v>45614</v>
      </c>
      <c r="Y13" s="2" t="s">
        <v>136</v>
      </c>
      <c r="Z13" s="2" t="n">
        <v>0</v>
      </c>
      <c r="AA13" s="2" t="n">
        <v>0</v>
      </c>
      <c r="AB13" s="6"/>
      <c r="AC13" s="2" t="n">
        <v>0</v>
      </c>
      <c r="AD13" s="2" t="n">
        <v>0</v>
      </c>
      <c r="AE13" s="7"/>
      <c r="AF13" s="7"/>
      <c r="AG13" s="7"/>
      <c r="AH13" s="7"/>
      <c r="AI13" s="2" t="s">
        <v>86</v>
      </c>
      <c r="AJ13" s="2" t="s">
        <v>87</v>
      </c>
      <c r="AK13" s="2"/>
      <c r="AL13" s="2"/>
      <c r="AM13" s="2"/>
      <c r="AN13" s="2"/>
      <c r="AO13" s="2"/>
      <c r="AP13" s="2"/>
      <c r="AQ13" s="2"/>
    </row>
    <row r="14" customFormat="false" ht="15" hidden="false" customHeight="false" outlineLevel="0" collapsed="false">
      <c r="A14" s="2" t="s">
        <v>137</v>
      </c>
      <c r="B14" s="2" t="s">
        <v>137</v>
      </c>
      <c r="C14" s="2" t="s">
        <v>64</v>
      </c>
      <c r="D14" s="2" t="s">
        <v>138</v>
      </c>
      <c r="E14" s="2" t="s">
        <v>139</v>
      </c>
      <c r="F14" s="2" t="s">
        <v>67</v>
      </c>
      <c r="G14" s="2" t="s">
        <v>68</v>
      </c>
      <c r="H14" s="2" t="s">
        <v>69</v>
      </c>
      <c r="I14" s="2" t="n">
        <v>52.554604490326</v>
      </c>
      <c r="J14" s="2" t="n">
        <v>-8.78939731086375</v>
      </c>
      <c r="K14" s="2" t="n">
        <v>10</v>
      </c>
      <c r="L14" s="2" t="s">
        <v>118</v>
      </c>
      <c r="M14" s="2" t="s">
        <v>83</v>
      </c>
      <c r="N14" s="2" t="s">
        <v>72</v>
      </c>
      <c r="O14" s="2" t="s">
        <v>73</v>
      </c>
      <c r="P14" s="2" t="s">
        <v>73</v>
      </c>
      <c r="Q14" s="2" t="s">
        <v>102</v>
      </c>
      <c r="R14" s="2" t="s">
        <v>103</v>
      </c>
      <c r="S14" s="6" t="n">
        <v>45926</v>
      </c>
      <c r="T14" s="6" t="n">
        <v>46104</v>
      </c>
      <c r="U14" s="2" t="s">
        <v>76</v>
      </c>
      <c r="V14" s="2" t="s">
        <v>85</v>
      </c>
      <c r="W14" s="6" t="n">
        <v>47929</v>
      </c>
      <c r="X14" s="6" t="n">
        <v>46174</v>
      </c>
      <c r="Y14" s="2" t="s">
        <v>104</v>
      </c>
      <c r="Z14" s="2" t="n">
        <v>1</v>
      </c>
      <c r="AA14" s="2" t="n">
        <v>0</v>
      </c>
      <c r="AB14" s="6"/>
      <c r="AC14" s="2" t="n">
        <v>0</v>
      </c>
      <c r="AD14" s="2" t="n">
        <v>0</v>
      </c>
      <c r="AE14" s="7" t="n">
        <v>0.487337440109514</v>
      </c>
      <c r="AF14" s="7" t="n">
        <v>0.191649555099247</v>
      </c>
      <c r="AG14" s="7"/>
      <c r="AH14" s="7"/>
      <c r="AI14" s="2" t="s">
        <v>86</v>
      </c>
      <c r="AJ14" s="2" t="s">
        <v>87</v>
      </c>
      <c r="AK14" s="2"/>
      <c r="AL14" s="2"/>
      <c r="AM14" s="2"/>
      <c r="AN14" s="2"/>
      <c r="AO14" s="2"/>
      <c r="AP14" s="2"/>
      <c r="AQ14" s="2"/>
    </row>
    <row r="15" customFormat="false" ht="15" hidden="false" customHeight="false" outlineLevel="0" collapsed="false">
      <c r="A15" s="2" t="s">
        <v>140</v>
      </c>
      <c r="B15" s="2" t="s">
        <v>140</v>
      </c>
      <c r="C15" s="2" t="s">
        <v>130</v>
      </c>
      <c r="D15" s="2"/>
      <c r="E15" s="2" t="s">
        <v>141</v>
      </c>
      <c r="F15" s="2" t="s">
        <v>132</v>
      </c>
      <c r="G15" s="2" t="s">
        <v>68</v>
      </c>
      <c r="H15" s="2" t="s">
        <v>69</v>
      </c>
      <c r="I15" s="2" t="n">
        <v>52.5159797443514</v>
      </c>
      <c r="J15" s="2" t="n">
        <v>-8.7204715877067</v>
      </c>
      <c r="K15" s="2" t="n">
        <v>10</v>
      </c>
      <c r="L15" s="2" t="s">
        <v>118</v>
      </c>
      <c r="M15" s="2" t="s">
        <v>83</v>
      </c>
      <c r="N15" s="2" t="s">
        <v>72</v>
      </c>
      <c r="O15" s="2" t="s">
        <v>73</v>
      </c>
      <c r="P15" s="2" t="s">
        <v>73</v>
      </c>
      <c r="Q15" s="2" t="s">
        <v>74</v>
      </c>
      <c r="R15" s="2" t="s">
        <v>75</v>
      </c>
      <c r="S15" s="6" t="n">
        <v>45394</v>
      </c>
      <c r="T15" s="6" t="n">
        <v>45672</v>
      </c>
      <c r="U15" s="2" t="s">
        <v>76</v>
      </c>
      <c r="V15" s="2" t="s">
        <v>85</v>
      </c>
      <c r="W15" s="6" t="n">
        <v>47497</v>
      </c>
      <c r="X15" s="6"/>
      <c r="Y15" s="2"/>
      <c r="Z15" s="2" t="n">
        <v>0</v>
      </c>
      <c r="AA15" s="2" t="n">
        <v>0</v>
      </c>
      <c r="AB15" s="6"/>
      <c r="AC15" s="2" t="n">
        <v>0</v>
      </c>
      <c r="AD15" s="2" t="n">
        <v>0</v>
      </c>
      <c r="AE15" s="7" t="n">
        <v>0.761122518822724</v>
      </c>
      <c r="AF15" s="7"/>
      <c r="AG15" s="7"/>
      <c r="AH15" s="7"/>
      <c r="AI15" s="2" t="s">
        <v>86</v>
      </c>
      <c r="AJ15" s="2"/>
      <c r="AK15" s="2"/>
      <c r="AL15" s="2"/>
      <c r="AM15" s="2"/>
      <c r="AN15" s="2"/>
      <c r="AO15" s="2"/>
      <c r="AP15" s="2"/>
      <c r="AQ15" s="2"/>
    </row>
    <row r="16" customFormat="false" ht="15" hidden="false" customHeight="false" outlineLevel="0" collapsed="false">
      <c r="A16" s="2" t="s">
        <v>142</v>
      </c>
      <c r="B16" s="2" t="s">
        <v>142</v>
      </c>
      <c r="C16" s="2" t="s">
        <v>64</v>
      </c>
      <c r="D16" s="2" t="s">
        <v>143</v>
      </c>
      <c r="E16" s="2" t="s">
        <v>144</v>
      </c>
      <c r="F16" s="2" t="s">
        <v>108</v>
      </c>
      <c r="G16" s="2" t="s">
        <v>68</v>
      </c>
      <c r="H16" s="2" t="s">
        <v>69</v>
      </c>
      <c r="I16" s="2" t="n">
        <v>52.5844902331145</v>
      </c>
      <c r="J16" s="2" t="n">
        <v>-8.76878357197253</v>
      </c>
      <c r="K16" s="2" t="n">
        <v>6</v>
      </c>
      <c r="L16" s="2" t="s">
        <v>145</v>
      </c>
      <c r="M16" s="2" t="s">
        <v>83</v>
      </c>
      <c r="N16" s="2" t="s">
        <v>72</v>
      </c>
      <c r="O16" s="2" t="s">
        <v>73</v>
      </c>
      <c r="P16" s="2" t="s">
        <v>73</v>
      </c>
      <c r="Q16" s="2" t="s">
        <v>102</v>
      </c>
      <c r="R16" s="2" t="s">
        <v>103</v>
      </c>
      <c r="S16" s="6" t="n">
        <v>43935</v>
      </c>
      <c r="T16" s="6" t="n">
        <v>44054</v>
      </c>
      <c r="U16" s="2" t="s">
        <v>85</v>
      </c>
      <c r="V16" s="2" t="s">
        <v>85</v>
      </c>
      <c r="W16" s="6" t="n">
        <v>45879</v>
      </c>
      <c r="X16" s="6" t="n">
        <v>44539</v>
      </c>
      <c r="Y16" s="2" t="s">
        <v>104</v>
      </c>
      <c r="Z16" s="2" t="n">
        <v>1</v>
      </c>
      <c r="AA16" s="2" t="n">
        <v>6</v>
      </c>
      <c r="AB16" s="6"/>
      <c r="AC16" s="2" t="n">
        <v>0</v>
      </c>
      <c r="AD16" s="2" t="n">
        <v>0</v>
      </c>
      <c r="AE16" s="7" t="n">
        <v>0.32580424366872</v>
      </c>
      <c r="AF16" s="7" t="n">
        <v>1.32785763175907</v>
      </c>
      <c r="AG16" s="7"/>
      <c r="AH16" s="7"/>
      <c r="AI16" s="2" t="s">
        <v>86</v>
      </c>
      <c r="AJ16" s="2" t="s">
        <v>87</v>
      </c>
      <c r="AK16" s="2"/>
      <c r="AL16" s="2"/>
      <c r="AM16" s="2"/>
      <c r="AN16" s="2"/>
      <c r="AO16" s="2"/>
      <c r="AP16" s="2"/>
      <c r="AQ16" s="2"/>
    </row>
    <row r="17" customFormat="false" ht="15" hidden="false" customHeight="false" outlineLevel="0" collapsed="false">
      <c r="A17" s="2" t="s">
        <v>146</v>
      </c>
      <c r="B17" s="2" t="s">
        <v>146</v>
      </c>
      <c r="C17" s="2" t="s">
        <v>64</v>
      </c>
      <c r="D17" s="2" t="s">
        <v>147</v>
      </c>
      <c r="E17" s="2" t="s">
        <v>148</v>
      </c>
      <c r="F17" s="2" t="s">
        <v>108</v>
      </c>
      <c r="G17" s="2" t="s">
        <v>68</v>
      </c>
      <c r="H17" s="2" t="s">
        <v>69</v>
      </c>
      <c r="I17" s="2" t="n">
        <v>52.5555415528155</v>
      </c>
      <c r="J17" s="2" t="n">
        <v>-8.79319916545363</v>
      </c>
      <c r="K17" s="2" t="n">
        <v>5</v>
      </c>
      <c r="L17" s="2" t="s">
        <v>145</v>
      </c>
      <c r="M17" s="2" t="s">
        <v>83</v>
      </c>
      <c r="N17" s="2" t="s">
        <v>72</v>
      </c>
      <c r="O17" s="2" t="s">
        <v>73</v>
      </c>
      <c r="P17" s="2" t="s">
        <v>73</v>
      </c>
      <c r="Q17" s="2" t="s">
        <v>102</v>
      </c>
      <c r="R17" s="2" t="s">
        <v>103</v>
      </c>
      <c r="S17" s="6" t="n">
        <v>44133</v>
      </c>
      <c r="T17" s="6" t="n">
        <v>44333</v>
      </c>
      <c r="U17" s="2" t="s">
        <v>85</v>
      </c>
      <c r="V17" s="2" t="s">
        <v>76</v>
      </c>
      <c r="W17" s="6" t="n">
        <v>45428</v>
      </c>
      <c r="X17" s="6" t="n">
        <v>45554</v>
      </c>
      <c r="Y17" s="2" t="s">
        <v>136</v>
      </c>
      <c r="Z17" s="2" t="n">
        <v>0</v>
      </c>
      <c r="AA17" s="2" t="n">
        <v>0</v>
      </c>
      <c r="AB17" s="6"/>
      <c r="AC17" s="2" t="n">
        <v>0</v>
      </c>
      <c r="AD17" s="2" t="n">
        <v>0</v>
      </c>
      <c r="AE17" s="7" t="n">
        <v>0.54757015742642</v>
      </c>
      <c r="AF17" s="7" t="n">
        <v>3.3429158110883</v>
      </c>
      <c r="AG17" s="7"/>
      <c r="AH17" s="7"/>
      <c r="AI17" s="2" t="s">
        <v>86</v>
      </c>
      <c r="AJ17" s="2" t="s">
        <v>87</v>
      </c>
      <c r="AK17" s="2"/>
      <c r="AL17" s="2"/>
      <c r="AM17" s="2"/>
      <c r="AN17" s="2"/>
      <c r="AO17" s="2"/>
      <c r="AP17" s="2"/>
      <c r="AQ17" s="2"/>
    </row>
    <row r="18" customFormat="false" ht="15" hidden="false" customHeight="false" outlineLevel="0" collapsed="false">
      <c r="A18" s="2" t="s">
        <v>149</v>
      </c>
      <c r="B18" s="2" t="s">
        <v>149</v>
      </c>
      <c r="C18" s="2" t="s">
        <v>64</v>
      </c>
      <c r="D18" s="2" t="s">
        <v>150</v>
      </c>
      <c r="E18" s="2" t="s">
        <v>151</v>
      </c>
      <c r="F18" s="2" t="s">
        <v>82</v>
      </c>
      <c r="G18" s="2" t="s">
        <v>68</v>
      </c>
      <c r="H18" s="2" t="s">
        <v>69</v>
      </c>
      <c r="I18" s="2" t="n">
        <v>52.4761407371843</v>
      </c>
      <c r="J18" s="2" t="n">
        <v>-8.86773375645383</v>
      </c>
      <c r="K18" s="2" t="n">
        <v>4</v>
      </c>
      <c r="L18" s="2" t="s">
        <v>145</v>
      </c>
      <c r="M18" s="2" t="s">
        <v>83</v>
      </c>
      <c r="N18" s="2" t="s">
        <v>72</v>
      </c>
      <c r="O18" s="2" t="s">
        <v>73</v>
      </c>
      <c r="P18" s="2" t="s">
        <v>73</v>
      </c>
      <c r="Q18" s="2" t="s">
        <v>102</v>
      </c>
      <c r="R18" s="2" t="s">
        <v>103</v>
      </c>
      <c r="S18" s="6" t="n">
        <v>43629</v>
      </c>
      <c r="T18" s="6" t="n">
        <v>43711</v>
      </c>
      <c r="U18" s="2" t="s">
        <v>76</v>
      </c>
      <c r="V18" s="2" t="s">
        <v>85</v>
      </c>
      <c r="W18" s="6" t="n">
        <v>45501</v>
      </c>
      <c r="X18" s="6" t="n">
        <v>44427</v>
      </c>
      <c r="Y18" s="2" t="s">
        <v>104</v>
      </c>
      <c r="Z18" s="2" t="n">
        <v>3</v>
      </c>
      <c r="AA18" s="2" t="n">
        <v>3</v>
      </c>
      <c r="AB18" s="6"/>
      <c r="AC18" s="2" t="n">
        <v>0</v>
      </c>
      <c r="AD18" s="2" t="n">
        <v>0</v>
      </c>
      <c r="AE18" s="7" t="n">
        <v>0.224503764544832</v>
      </c>
      <c r="AF18" s="7" t="n">
        <v>1.96030116358659</v>
      </c>
      <c r="AG18" s="7"/>
      <c r="AH18" s="7"/>
      <c r="AI18" s="2" t="s">
        <v>152</v>
      </c>
      <c r="AJ18" s="2" t="s">
        <v>78</v>
      </c>
      <c r="AK18" s="2"/>
      <c r="AL18" s="2"/>
      <c r="AM18" s="2"/>
      <c r="AN18" s="2"/>
      <c r="AO18" s="2"/>
      <c r="AP18" s="2"/>
      <c r="AQ18" s="2"/>
    </row>
    <row r="19" customFormat="false" ht="15" hidden="false" customHeight="false" outlineLevel="0" collapsed="false">
      <c r="A19" s="2" t="s">
        <v>153</v>
      </c>
      <c r="B19" s="2" t="s">
        <v>153</v>
      </c>
      <c r="C19" s="2" t="s">
        <v>64</v>
      </c>
      <c r="D19" s="2" t="s">
        <v>154</v>
      </c>
      <c r="E19" s="2" t="s">
        <v>155</v>
      </c>
      <c r="F19" s="2" t="s">
        <v>82</v>
      </c>
      <c r="G19" s="2" t="s">
        <v>68</v>
      </c>
      <c r="H19" s="2" t="s">
        <v>69</v>
      </c>
      <c r="I19" s="2" t="n">
        <v>52.595344581374</v>
      </c>
      <c r="J19" s="2" t="n">
        <v>-9.18662878961945</v>
      </c>
      <c r="K19" s="2" t="n">
        <v>3</v>
      </c>
      <c r="L19" s="2" t="s">
        <v>145</v>
      </c>
      <c r="M19" s="2" t="s">
        <v>83</v>
      </c>
      <c r="N19" s="2" t="s">
        <v>72</v>
      </c>
      <c r="O19" s="2" t="s">
        <v>73</v>
      </c>
      <c r="P19" s="2" t="s">
        <v>73</v>
      </c>
      <c r="Q19" s="2" t="s">
        <v>74</v>
      </c>
      <c r="R19" s="2" t="s">
        <v>156</v>
      </c>
      <c r="S19" s="6" t="n">
        <v>45026</v>
      </c>
      <c r="T19" s="6" t="n">
        <v>45187</v>
      </c>
      <c r="U19" s="2" t="s">
        <v>76</v>
      </c>
      <c r="V19" s="2" t="s">
        <v>85</v>
      </c>
      <c r="W19" s="6" t="n">
        <v>46282</v>
      </c>
      <c r="X19" s="6"/>
      <c r="Y19" s="2"/>
      <c r="Z19" s="2" t="n">
        <v>0</v>
      </c>
      <c r="AA19" s="2" t="n">
        <v>0</v>
      </c>
      <c r="AB19" s="6"/>
      <c r="AC19" s="2" t="n">
        <v>0</v>
      </c>
      <c r="AD19" s="2" t="n">
        <v>0</v>
      </c>
      <c r="AE19" s="7" t="n">
        <v>0.440793976728268</v>
      </c>
      <c r="AF19" s="7"/>
      <c r="AG19" s="7"/>
      <c r="AH19" s="7"/>
      <c r="AI19" s="2" t="s">
        <v>86</v>
      </c>
      <c r="AJ19" s="2" t="s">
        <v>87</v>
      </c>
      <c r="AK19" s="2"/>
      <c r="AL19" s="2"/>
      <c r="AM19" s="2"/>
      <c r="AN19" s="2"/>
      <c r="AO19" s="2"/>
      <c r="AP19" s="2"/>
      <c r="AQ19" s="2"/>
    </row>
    <row r="20" customFormat="false" ht="15" hidden="false" customHeight="false" outlineLevel="0" collapsed="false">
      <c r="A20" s="2" t="s">
        <v>157</v>
      </c>
      <c r="B20" s="2" t="s">
        <v>157</v>
      </c>
      <c r="C20" s="2" t="s">
        <v>64</v>
      </c>
      <c r="D20" s="2" t="s">
        <v>158</v>
      </c>
      <c r="E20" s="2" t="s">
        <v>159</v>
      </c>
      <c r="F20" s="2" t="s">
        <v>82</v>
      </c>
      <c r="G20" s="2" t="s">
        <v>68</v>
      </c>
      <c r="H20" s="2" t="s">
        <v>69</v>
      </c>
      <c r="I20" s="2" t="n">
        <v>52.4595630463061</v>
      </c>
      <c r="J20" s="2" t="n">
        <v>-8.76080006822087</v>
      </c>
      <c r="K20" s="2" t="n">
        <v>3</v>
      </c>
      <c r="L20" s="2" t="s">
        <v>145</v>
      </c>
      <c r="M20" s="2" t="s">
        <v>83</v>
      </c>
      <c r="N20" s="2" t="s">
        <v>72</v>
      </c>
      <c r="O20" s="2" t="s">
        <v>73</v>
      </c>
      <c r="P20" s="2" t="s">
        <v>73</v>
      </c>
      <c r="Q20" s="2" t="s">
        <v>74</v>
      </c>
      <c r="R20" s="2" t="s">
        <v>75</v>
      </c>
      <c r="S20" s="6" t="n">
        <v>45387</v>
      </c>
      <c r="T20" s="6" t="n">
        <v>45475</v>
      </c>
      <c r="U20" s="2" t="s">
        <v>85</v>
      </c>
      <c r="V20" s="2" t="s">
        <v>85</v>
      </c>
      <c r="W20" s="6" t="n">
        <v>47300</v>
      </c>
      <c r="X20" s="6"/>
      <c r="Y20" s="2"/>
      <c r="Z20" s="2" t="n">
        <v>0</v>
      </c>
      <c r="AA20" s="2" t="n">
        <v>0</v>
      </c>
      <c r="AB20" s="6"/>
      <c r="AC20" s="2" t="n">
        <v>0</v>
      </c>
      <c r="AD20" s="2" t="n">
        <v>0</v>
      </c>
      <c r="AE20" s="7" t="n">
        <v>0.240930869267625</v>
      </c>
      <c r="AF20" s="7"/>
      <c r="AG20" s="7"/>
      <c r="AH20" s="7"/>
      <c r="AI20" s="2" t="s">
        <v>86</v>
      </c>
      <c r="AJ20" s="2" t="s">
        <v>87</v>
      </c>
      <c r="AK20" s="2"/>
      <c r="AL20" s="2"/>
      <c r="AM20" s="2"/>
      <c r="AN20" s="2"/>
      <c r="AO20" s="2"/>
      <c r="AP20" s="2"/>
      <c r="AQ20" s="2"/>
    </row>
    <row r="21" customFormat="false" ht="15" hidden="false" customHeight="false" outlineLevel="0" collapsed="false">
      <c r="A21" s="2" t="s">
        <v>160</v>
      </c>
      <c r="B21" s="2" t="s">
        <v>160</v>
      </c>
      <c r="C21" s="2" t="s">
        <v>64</v>
      </c>
      <c r="D21" s="2" t="s">
        <v>161</v>
      </c>
      <c r="E21" s="2" t="s">
        <v>162</v>
      </c>
      <c r="F21" s="2" t="s">
        <v>163</v>
      </c>
      <c r="G21" s="2" t="s">
        <v>164</v>
      </c>
      <c r="H21" s="2" t="s">
        <v>69</v>
      </c>
      <c r="I21" s="2" t="n">
        <v>52.4724174453634</v>
      </c>
      <c r="J21" s="2" t="n">
        <v>-8.54934361326175</v>
      </c>
      <c r="K21" s="2" t="n">
        <v>74</v>
      </c>
      <c r="L21" s="2" t="s">
        <v>70</v>
      </c>
      <c r="M21" s="2" t="s">
        <v>83</v>
      </c>
      <c r="N21" s="2" t="s">
        <v>72</v>
      </c>
      <c r="O21" s="2" t="s">
        <v>73</v>
      </c>
      <c r="P21" s="2" t="s">
        <v>73</v>
      </c>
      <c r="Q21" s="2" t="s">
        <v>74</v>
      </c>
      <c r="R21" s="2" t="s">
        <v>75</v>
      </c>
      <c r="S21" s="6" t="n">
        <v>45231</v>
      </c>
      <c r="T21" s="6" t="n">
        <v>45419</v>
      </c>
      <c r="U21" s="2" t="s">
        <v>76</v>
      </c>
      <c r="V21" s="2" t="s">
        <v>85</v>
      </c>
      <c r="W21" s="6" t="n">
        <v>47244</v>
      </c>
      <c r="X21" s="6"/>
      <c r="Y21" s="2"/>
      <c r="Z21" s="2" t="n">
        <v>0</v>
      </c>
      <c r="AA21" s="2" t="n">
        <v>0</v>
      </c>
      <c r="AB21" s="6"/>
      <c r="AC21" s="2" t="n">
        <v>0</v>
      </c>
      <c r="AD21" s="2" t="n">
        <v>0</v>
      </c>
      <c r="AE21" s="7" t="n">
        <v>0.514715947980835</v>
      </c>
      <c r="AF21" s="7"/>
      <c r="AG21" s="7"/>
      <c r="AH21" s="7"/>
      <c r="AI21" s="2" t="s">
        <v>86</v>
      </c>
      <c r="AJ21" s="2" t="s">
        <v>87</v>
      </c>
      <c r="AK21" s="2" t="s">
        <v>165</v>
      </c>
      <c r="AL21" s="2"/>
      <c r="AM21" s="2"/>
      <c r="AN21" s="2"/>
      <c r="AO21" s="2"/>
      <c r="AP21" s="2"/>
      <c r="AQ21" s="2"/>
    </row>
    <row r="22" customFormat="false" ht="15" hidden="false" customHeight="false" outlineLevel="0" collapsed="false">
      <c r="A22" s="2" t="s">
        <v>166</v>
      </c>
      <c r="B22" s="2" t="s">
        <v>166</v>
      </c>
      <c r="C22" s="2" t="s">
        <v>64</v>
      </c>
      <c r="D22" s="2" t="s">
        <v>167</v>
      </c>
      <c r="E22" s="2" t="s">
        <v>168</v>
      </c>
      <c r="F22" s="2" t="s">
        <v>169</v>
      </c>
      <c r="G22" s="2" t="s">
        <v>164</v>
      </c>
      <c r="H22" s="2" t="s">
        <v>69</v>
      </c>
      <c r="I22" s="2" t="n">
        <v>52.3972899705045</v>
      </c>
      <c r="J22" s="2" t="n">
        <v>-8.57792892481999</v>
      </c>
      <c r="K22" s="2" t="n">
        <v>42</v>
      </c>
      <c r="L22" s="2" t="s">
        <v>91</v>
      </c>
      <c r="M22" s="2" t="s">
        <v>71</v>
      </c>
      <c r="N22" s="2" t="s">
        <v>72</v>
      </c>
      <c r="O22" s="2" t="s">
        <v>73</v>
      </c>
      <c r="P22" s="2" t="s">
        <v>73</v>
      </c>
      <c r="Q22" s="2" t="s">
        <v>102</v>
      </c>
      <c r="R22" s="2" t="s">
        <v>103</v>
      </c>
      <c r="S22" s="6" t="n">
        <v>45510</v>
      </c>
      <c r="T22" s="6" t="n">
        <v>45853</v>
      </c>
      <c r="U22" s="2" t="s">
        <v>76</v>
      </c>
      <c r="V22" s="2" t="s">
        <v>85</v>
      </c>
      <c r="W22" s="6" t="n">
        <v>47678</v>
      </c>
      <c r="X22" s="6" t="n">
        <v>46118</v>
      </c>
      <c r="Y22" s="2" t="s">
        <v>104</v>
      </c>
      <c r="Z22" s="2" t="n">
        <v>1</v>
      </c>
      <c r="AA22" s="2" t="n">
        <v>28</v>
      </c>
      <c r="AB22" s="6"/>
      <c r="AC22" s="2" t="n">
        <v>0</v>
      </c>
      <c r="AD22" s="2" t="n">
        <v>0</v>
      </c>
      <c r="AE22" s="7" t="n">
        <v>0.939082819986311</v>
      </c>
      <c r="AF22" s="7" t="n">
        <v>0.725530458590007</v>
      </c>
      <c r="AG22" s="7"/>
      <c r="AH22" s="7"/>
      <c r="AI22" s="2" t="s">
        <v>86</v>
      </c>
      <c r="AJ22" s="2" t="s">
        <v>87</v>
      </c>
      <c r="AK22" s="2"/>
      <c r="AL22" s="2"/>
      <c r="AM22" s="2"/>
      <c r="AN22" s="2"/>
      <c r="AO22" s="2"/>
      <c r="AP22" s="2"/>
      <c r="AQ22" s="2"/>
    </row>
    <row r="23" customFormat="false" ht="15" hidden="false" customHeight="false" outlineLevel="0" collapsed="false">
      <c r="A23" s="2" t="s">
        <v>170</v>
      </c>
      <c r="B23" s="2" t="s">
        <v>170</v>
      </c>
      <c r="C23" s="2" t="s">
        <v>64</v>
      </c>
      <c r="D23" s="2" t="s">
        <v>171</v>
      </c>
      <c r="E23" s="2" t="s">
        <v>172</v>
      </c>
      <c r="F23" s="2" t="s">
        <v>82</v>
      </c>
      <c r="G23" s="2" t="s">
        <v>164</v>
      </c>
      <c r="H23" s="2" t="s">
        <v>69</v>
      </c>
      <c r="I23" s="2" t="n">
        <v>52.6505532652232</v>
      </c>
      <c r="J23" s="2" t="n">
        <v>-8.39676290327956</v>
      </c>
      <c r="K23" s="2" t="n">
        <v>32</v>
      </c>
      <c r="L23" s="2" t="s">
        <v>91</v>
      </c>
      <c r="M23" s="2" t="s">
        <v>83</v>
      </c>
      <c r="N23" s="2" t="s">
        <v>72</v>
      </c>
      <c r="O23" s="2" t="s">
        <v>73</v>
      </c>
      <c r="P23" s="2" t="s">
        <v>73</v>
      </c>
      <c r="Q23" s="2" t="s">
        <v>173</v>
      </c>
      <c r="R23" s="2" t="s">
        <v>75</v>
      </c>
      <c r="S23" s="6" t="n">
        <v>43822</v>
      </c>
      <c r="T23" s="6" t="n">
        <v>44161</v>
      </c>
      <c r="U23" s="2" t="s">
        <v>76</v>
      </c>
      <c r="V23" s="2" t="s">
        <v>85</v>
      </c>
      <c r="W23" s="6" t="n">
        <v>47082</v>
      </c>
      <c r="X23" s="6"/>
      <c r="Y23" s="2"/>
      <c r="Z23" s="2" t="n">
        <v>0</v>
      </c>
      <c r="AA23" s="2" t="n">
        <v>0</v>
      </c>
      <c r="AB23" s="6"/>
      <c r="AC23" s="2" t="n">
        <v>0</v>
      </c>
      <c r="AD23" s="2" t="n">
        <v>0</v>
      </c>
      <c r="AE23" s="7" t="n">
        <v>0.928131416837782</v>
      </c>
      <c r="AF23" s="7"/>
      <c r="AG23" s="7"/>
      <c r="AH23" s="7"/>
      <c r="AI23" s="2" t="s">
        <v>86</v>
      </c>
      <c r="AJ23" s="2" t="s">
        <v>87</v>
      </c>
      <c r="AK23" s="2" t="s">
        <v>174</v>
      </c>
      <c r="AL23" s="2"/>
      <c r="AM23" s="2"/>
      <c r="AN23" s="2"/>
      <c r="AO23" s="2"/>
      <c r="AP23" s="2"/>
      <c r="AQ23" s="2"/>
    </row>
    <row r="24" customFormat="false" ht="15" hidden="false" customHeight="false" outlineLevel="0" collapsed="false">
      <c r="A24" s="2" t="s">
        <v>175</v>
      </c>
      <c r="B24" s="2" t="s">
        <v>175</v>
      </c>
      <c r="C24" s="2" t="s">
        <v>64</v>
      </c>
      <c r="D24" s="2" t="s">
        <v>176</v>
      </c>
      <c r="E24" s="2" t="s">
        <v>177</v>
      </c>
      <c r="F24" s="2" t="s">
        <v>169</v>
      </c>
      <c r="G24" s="2" t="s">
        <v>164</v>
      </c>
      <c r="H24" s="2" t="s">
        <v>69</v>
      </c>
      <c r="I24" s="2" t="n">
        <v>52.4026548979546</v>
      </c>
      <c r="J24" s="2" t="n">
        <v>-8.58380679602411</v>
      </c>
      <c r="K24" s="2" t="n">
        <v>28</v>
      </c>
      <c r="L24" s="2" t="s">
        <v>91</v>
      </c>
      <c r="M24" s="2" t="s">
        <v>83</v>
      </c>
      <c r="N24" s="2" t="s">
        <v>72</v>
      </c>
      <c r="O24" s="2" t="s">
        <v>73</v>
      </c>
      <c r="P24" s="2" t="s">
        <v>73</v>
      </c>
      <c r="Q24" s="2" t="s">
        <v>102</v>
      </c>
      <c r="R24" s="2" t="s">
        <v>103</v>
      </c>
      <c r="S24" s="6" t="n">
        <v>44944</v>
      </c>
      <c r="T24" s="6" t="n">
        <v>45320</v>
      </c>
      <c r="U24" s="2" t="s">
        <v>76</v>
      </c>
      <c r="V24" s="2" t="s">
        <v>85</v>
      </c>
      <c r="W24" s="6" t="n">
        <v>47146</v>
      </c>
      <c r="X24" s="6" t="n">
        <v>46109</v>
      </c>
      <c r="Y24" s="2" t="s">
        <v>104</v>
      </c>
      <c r="Z24" s="2" t="n">
        <v>1</v>
      </c>
      <c r="AA24" s="2" t="n">
        <v>28</v>
      </c>
      <c r="AB24" s="6"/>
      <c r="AC24" s="2" t="n">
        <v>0</v>
      </c>
      <c r="AD24" s="2" t="n">
        <v>0</v>
      </c>
      <c r="AE24" s="7" t="n">
        <v>1.02943189596167</v>
      </c>
      <c r="AF24" s="7" t="n">
        <v>2.16016427104723</v>
      </c>
      <c r="AG24" s="7"/>
      <c r="AH24" s="7"/>
      <c r="AI24" s="2" t="s">
        <v>86</v>
      </c>
      <c r="AJ24" s="2" t="s">
        <v>87</v>
      </c>
      <c r="AK24" s="2"/>
      <c r="AL24" s="2"/>
      <c r="AM24" s="2"/>
      <c r="AN24" s="2"/>
      <c r="AO24" s="2"/>
      <c r="AP24" s="2"/>
      <c r="AQ24" s="2"/>
    </row>
    <row r="25" customFormat="false" ht="15" hidden="false" customHeight="false" outlineLevel="0" collapsed="false">
      <c r="A25" s="2" t="s">
        <v>178</v>
      </c>
      <c r="B25" s="2" t="s">
        <v>178</v>
      </c>
      <c r="C25" s="2" t="s">
        <v>64</v>
      </c>
      <c r="D25" s="2" t="s">
        <v>179</v>
      </c>
      <c r="E25" s="2" t="s">
        <v>180</v>
      </c>
      <c r="F25" s="2" t="s">
        <v>82</v>
      </c>
      <c r="G25" s="2" t="s">
        <v>164</v>
      </c>
      <c r="H25" s="2" t="s">
        <v>69</v>
      </c>
      <c r="I25" s="2" t="n">
        <v>52.6050767929578</v>
      </c>
      <c r="J25" s="2" t="n">
        <v>-8.25118792477772</v>
      </c>
      <c r="K25" s="2" t="n">
        <v>27</v>
      </c>
      <c r="L25" s="2" t="s">
        <v>91</v>
      </c>
      <c r="M25" s="2" t="s">
        <v>71</v>
      </c>
      <c r="N25" s="2" t="s">
        <v>72</v>
      </c>
      <c r="O25" s="2" t="s">
        <v>73</v>
      </c>
      <c r="P25" s="2" t="s">
        <v>73</v>
      </c>
      <c r="Q25" s="2" t="s">
        <v>74</v>
      </c>
      <c r="R25" s="2" t="s">
        <v>75</v>
      </c>
      <c r="S25" s="6" t="n">
        <v>45625</v>
      </c>
      <c r="T25" s="6" t="n">
        <v>46111</v>
      </c>
      <c r="U25" s="2" t="s">
        <v>76</v>
      </c>
      <c r="V25" s="2" t="s">
        <v>76</v>
      </c>
      <c r="W25" s="6" t="n">
        <v>47936</v>
      </c>
      <c r="X25" s="6"/>
      <c r="Y25" s="2"/>
      <c r="Z25" s="2" t="n">
        <v>0</v>
      </c>
      <c r="AA25" s="2" t="n">
        <v>0</v>
      </c>
      <c r="AB25" s="6"/>
      <c r="AC25" s="2" t="n">
        <v>0</v>
      </c>
      <c r="AD25" s="2" t="n">
        <v>0</v>
      </c>
      <c r="AE25" s="7" t="n">
        <v>1.3305954825462</v>
      </c>
      <c r="AF25" s="7"/>
      <c r="AG25" s="7"/>
      <c r="AH25" s="7"/>
      <c r="AI25" s="2" t="s">
        <v>86</v>
      </c>
      <c r="AJ25" s="2" t="s">
        <v>87</v>
      </c>
      <c r="AK25" s="2"/>
      <c r="AL25" s="2"/>
      <c r="AM25" s="2"/>
      <c r="AN25" s="2"/>
      <c r="AO25" s="2"/>
      <c r="AP25" s="2"/>
      <c r="AQ25" s="2"/>
    </row>
    <row r="26" customFormat="false" ht="15" hidden="false" customHeight="false" outlineLevel="0" collapsed="false">
      <c r="A26" s="2" t="s">
        <v>181</v>
      </c>
      <c r="B26" s="2" t="s">
        <v>181</v>
      </c>
      <c r="C26" s="2" t="s">
        <v>64</v>
      </c>
      <c r="D26" s="2" t="s">
        <v>182</v>
      </c>
      <c r="E26" s="2" t="s">
        <v>183</v>
      </c>
      <c r="F26" s="2" t="s">
        <v>184</v>
      </c>
      <c r="G26" s="2" t="s">
        <v>164</v>
      </c>
      <c r="H26" s="2" t="s">
        <v>69</v>
      </c>
      <c r="I26" s="2" t="n">
        <v>52.6124091514475</v>
      </c>
      <c r="J26" s="2" t="n">
        <v>-8.3357647465015</v>
      </c>
      <c r="K26" s="2" t="n">
        <v>22</v>
      </c>
      <c r="L26" s="2" t="s">
        <v>118</v>
      </c>
      <c r="M26" s="2" t="s">
        <v>83</v>
      </c>
      <c r="N26" s="2" t="s">
        <v>72</v>
      </c>
      <c r="O26" s="2" t="s">
        <v>73</v>
      </c>
      <c r="P26" s="2" t="s">
        <v>73</v>
      </c>
      <c r="Q26" s="2" t="s">
        <v>102</v>
      </c>
      <c r="R26" s="2" t="s">
        <v>103</v>
      </c>
      <c r="S26" s="6" t="n">
        <v>45237</v>
      </c>
      <c r="T26" s="6" t="n">
        <v>45538</v>
      </c>
      <c r="U26" s="2" t="s">
        <v>76</v>
      </c>
      <c r="V26" s="2" t="s">
        <v>85</v>
      </c>
      <c r="W26" s="6" t="n">
        <v>47363</v>
      </c>
      <c r="X26" s="6" t="n">
        <v>45939</v>
      </c>
      <c r="Y26" s="2" t="s">
        <v>104</v>
      </c>
      <c r="Z26" s="2" t="n">
        <v>1</v>
      </c>
      <c r="AA26" s="2" t="n">
        <v>22</v>
      </c>
      <c r="AB26" s="6"/>
      <c r="AC26" s="2" t="n">
        <v>0</v>
      </c>
      <c r="AD26" s="2" t="n">
        <v>0</v>
      </c>
      <c r="AE26" s="7" t="n">
        <v>0.824093086926763</v>
      </c>
      <c r="AF26" s="7" t="n">
        <v>1.09787816563997</v>
      </c>
      <c r="AG26" s="7"/>
      <c r="AH26" s="7"/>
      <c r="AI26" s="2" t="s">
        <v>86</v>
      </c>
      <c r="AJ26" s="2" t="s">
        <v>87</v>
      </c>
      <c r="AK26" s="2"/>
      <c r="AL26" s="2"/>
      <c r="AM26" s="2"/>
      <c r="AN26" s="2"/>
      <c r="AO26" s="2"/>
      <c r="AP26" s="2"/>
      <c r="AQ26" s="2"/>
    </row>
    <row r="27" customFormat="false" ht="15" hidden="false" customHeight="false" outlineLevel="0" collapsed="false">
      <c r="A27" s="2" t="s">
        <v>185</v>
      </c>
      <c r="B27" s="2" t="s">
        <v>185</v>
      </c>
      <c r="C27" s="2" t="s">
        <v>64</v>
      </c>
      <c r="D27" s="2" t="s">
        <v>186</v>
      </c>
      <c r="E27" s="2" t="s">
        <v>187</v>
      </c>
      <c r="F27" s="2" t="s">
        <v>82</v>
      </c>
      <c r="G27" s="2" t="s">
        <v>164</v>
      </c>
      <c r="H27" s="2" t="s">
        <v>69</v>
      </c>
      <c r="I27" s="2" t="n">
        <v>52.603894835467</v>
      </c>
      <c r="J27" s="2" t="n">
        <v>-8.24480800835233</v>
      </c>
      <c r="K27" s="2" t="n">
        <v>21</v>
      </c>
      <c r="L27" s="2" t="s">
        <v>118</v>
      </c>
      <c r="M27" s="2" t="s">
        <v>95</v>
      </c>
      <c r="N27" s="2" t="s">
        <v>72</v>
      </c>
      <c r="O27" s="2" t="s">
        <v>119</v>
      </c>
      <c r="P27" s="2" t="s">
        <v>98</v>
      </c>
      <c r="Q27" s="2" t="s">
        <v>188</v>
      </c>
      <c r="R27" s="2" t="s">
        <v>156</v>
      </c>
      <c r="S27" s="6" t="n">
        <v>43516</v>
      </c>
      <c r="T27" s="6" t="n">
        <v>43719</v>
      </c>
      <c r="U27" s="2" t="s">
        <v>76</v>
      </c>
      <c r="V27" s="2" t="s">
        <v>85</v>
      </c>
      <c r="W27" s="6" t="n">
        <v>45545</v>
      </c>
      <c r="X27" s="6"/>
      <c r="Y27" s="2"/>
      <c r="Z27" s="2" t="n">
        <v>0</v>
      </c>
      <c r="AA27" s="2" t="n">
        <v>0</v>
      </c>
      <c r="AB27" s="6"/>
      <c r="AC27" s="2" t="n">
        <v>0</v>
      </c>
      <c r="AD27" s="2" t="n">
        <v>0</v>
      </c>
      <c r="AE27" s="7" t="n">
        <v>0.555783709787817</v>
      </c>
      <c r="AF27" s="7"/>
      <c r="AG27" s="7"/>
      <c r="AH27" s="7"/>
      <c r="AI27" s="2" t="s">
        <v>86</v>
      </c>
      <c r="AJ27" s="2" t="s">
        <v>87</v>
      </c>
      <c r="AK27" s="2"/>
      <c r="AL27" s="2"/>
      <c r="AM27" s="2" t="s">
        <v>189</v>
      </c>
      <c r="AN27" s="2" t="s">
        <v>122</v>
      </c>
      <c r="AO27" s="2" t="s">
        <v>190</v>
      </c>
      <c r="AP27" s="2" t="s">
        <v>191</v>
      </c>
      <c r="AQ27" s="2" t="s">
        <v>125</v>
      </c>
    </row>
    <row r="28" customFormat="false" ht="15" hidden="false" customHeight="false" outlineLevel="0" collapsed="false">
      <c r="A28" s="2" t="s">
        <v>192</v>
      </c>
      <c r="B28" s="2" t="s">
        <v>192</v>
      </c>
      <c r="C28" s="2" t="s">
        <v>64</v>
      </c>
      <c r="D28" s="2" t="s">
        <v>193</v>
      </c>
      <c r="E28" s="2" t="s">
        <v>194</v>
      </c>
      <c r="F28" s="2" t="s">
        <v>82</v>
      </c>
      <c r="G28" s="2" t="s">
        <v>164</v>
      </c>
      <c r="H28" s="2" t="s">
        <v>69</v>
      </c>
      <c r="I28" s="2" t="n">
        <v>52.4725178003962</v>
      </c>
      <c r="J28" s="2" t="n">
        <v>-8.43034327061958</v>
      </c>
      <c r="K28" s="2" t="n">
        <v>20</v>
      </c>
      <c r="L28" s="2" t="s">
        <v>118</v>
      </c>
      <c r="M28" s="2" t="s">
        <v>95</v>
      </c>
      <c r="N28" s="2" t="s">
        <v>96</v>
      </c>
      <c r="O28" s="2" t="s">
        <v>97</v>
      </c>
      <c r="P28" s="2" t="s">
        <v>98</v>
      </c>
      <c r="Q28" s="2" t="s">
        <v>120</v>
      </c>
      <c r="R28" s="2" t="s">
        <v>120</v>
      </c>
      <c r="S28" s="6" t="n">
        <v>43174</v>
      </c>
      <c r="T28" s="6" t="n">
        <v>43234</v>
      </c>
      <c r="U28" s="2" t="s">
        <v>85</v>
      </c>
      <c r="V28" s="2" t="s">
        <v>85</v>
      </c>
      <c r="W28" s="6"/>
      <c r="X28" s="6" t="n">
        <v>43908</v>
      </c>
      <c r="Y28" s="2" t="s">
        <v>104</v>
      </c>
      <c r="Z28" s="2" t="n">
        <v>1</v>
      </c>
      <c r="AA28" s="2" t="n">
        <v>20</v>
      </c>
      <c r="AB28" s="6" t="n">
        <v>45274</v>
      </c>
      <c r="AC28" s="2" t="n">
        <v>1</v>
      </c>
      <c r="AD28" s="2" t="n">
        <v>1</v>
      </c>
      <c r="AE28" s="7" t="n">
        <v>0.164271047227926</v>
      </c>
      <c r="AF28" s="7" t="n">
        <v>1.84531143052704</v>
      </c>
      <c r="AG28" s="7" t="n">
        <v>3.73990417522245</v>
      </c>
      <c r="AH28" s="7" t="n">
        <v>5.34773060029283</v>
      </c>
      <c r="AI28" s="2" t="s">
        <v>86</v>
      </c>
      <c r="AJ28" s="2" t="s">
        <v>87</v>
      </c>
      <c r="AK28" s="2"/>
      <c r="AL28" s="2" t="s">
        <v>64</v>
      </c>
      <c r="AM28" s="2" t="s">
        <v>195</v>
      </c>
      <c r="AN28" s="2" t="s">
        <v>196</v>
      </c>
      <c r="AO28" s="2" t="s">
        <v>123</v>
      </c>
      <c r="AP28" s="2" t="s">
        <v>197</v>
      </c>
      <c r="AQ28" s="2" t="s">
        <v>125</v>
      </c>
    </row>
    <row r="29" customFormat="false" ht="15" hidden="false" customHeight="false" outlineLevel="0" collapsed="false">
      <c r="A29" s="2" t="s">
        <v>198</v>
      </c>
      <c r="B29" s="2" t="s">
        <v>198</v>
      </c>
      <c r="C29" s="2" t="s">
        <v>64</v>
      </c>
      <c r="D29" s="2" t="s">
        <v>199</v>
      </c>
      <c r="E29" s="2" t="s">
        <v>200</v>
      </c>
      <c r="F29" s="2" t="s">
        <v>163</v>
      </c>
      <c r="G29" s="2" t="s">
        <v>164</v>
      </c>
      <c r="H29" s="2" t="s">
        <v>69</v>
      </c>
      <c r="I29" s="2" t="n">
        <v>52.4755485</v>
      </c>
      <c r="J29" s="2" t="n">
        <v>-8.5474034</v>
      </c>
      <c r="K29" s="2" t="n">
        <v>18</v>
      </c>
      <c r="L29" s="2" t="s">
        <v>118</v>
      </c>
      <c r="M29" s="2" t="s">
        <v>92</v>
      </c>
      <c r="N29" s="2" t="s">
        <v>96</v>
      </c>
      <c r="O29" s="2" t="s">
        <v>97</v>
      </c>
      <c r="P29" s="2" t="s">
        <v>98</v>
      </c>
      <c r="Q29" s="2" t="s">
        <v>102</v>
      </c>
      <c r="R29" s="2" t="s">
        <v>103</v>
      </c>
      <c r="S29" s="6" t="n">
        <v>45477</v>
      </c>
      <c r="T29" s="6" t="n">
        <v>45569</v>
      </c>
      <c r="U29" s="2" t="s">
        <v>85</v>
      </c>
      <c r="V29" s="2" t="s">
        <v>85</v>
      </c>
      <c r="W29" s="6"/>
      <c r="X29" s="6" t="n">
        <v>46150</v>
      </c>
      <c r="Y29" s="2" t="s">
        <v>136</v>
      </c>
      <c r="Z29" s="2" t="n">
        <v>0</v>
      </c>
      <c r="AA29" s="2" t="n">
        <v>0</v>
      </c>
      <c r="AB29" s="6"/>
      <c r="AC29" s="2" t="n">
        <v>0</v>
      </c>
      <c r="AD29" s="2" t="n">
        <v>0</v>
      </c>
      <c r="AE29" s="7" t="n">
        <v>0.251882272416153</v>
      </c>
      <c r="AF29" s="7" t="n">
        <v>1.59069130732375</v>
      </c>
      <c r="AG29" s="7"/>
      <c r="AH29" s="7"/>
      <c r="AI29" s="2" t="s">
        <v>86</v>
      </c>
      <c r="AJ29" s="2" t="s">
        <v>87</v>
      </c>
      <c r="AK29" s="2"/>
      <c r="AL29" s="2"/>
      <c r="AM29" s="2" t="s">
        <v>201</v>
      </c>
      <c r="AN29" s="2" t="s">
        <v>196</v>
      </c>
      <c r="AO29" s="2" t="s">
        <v>202</v>
      </c>
      <c r="AP29" s="2" t="s">
        <v>124</v>
      </c>
      <c r="AQ29" s="2" t="s">
        <v>125</v>
      </c>
    </row>
    <row r="30" customFormat="false" ht="15" hidden="false" customHeight="false" outlineLevel="0" collapsed="false">
      <c r="A30" s="2" t="s">
        <v>203</v>
      </c>
      <c r="B30" s="2" t="s">
        <v>203</v>
      </c>
      <c r="C30" s="2" t="s">
        <v>64</v>
      </c>
      <c r="D30" s="2" t="s">
        <v>204</v>
      </c>
      <c r="E30" s="2" t="s">
        <v>205</v>
      </c>
      <c r="F30" s="2" t="s">
        <v>184</v>
      </c>
      <c r="G30" s="2" t="s">
        <v>164</v>
      </c>
      <c r="H30" s="2" t="s">
        <v>69</v>
      </c>
      <c r="I30" s="2" t="n">
        <v>52.6156756454526</v>
      </c>
      <c r="J30" s="2" t="n">
        <v>-8.34319372043867</v>
      </c>
      <c r="K30" s="2" t="n">
        <v>17</v>
      </c>
      <c r="L30" s="2" t="s">
        <v>118</v>
      </c>
      <c r="M30" s="2" t="s">
        <v>83</v>
      </c>
      <c r="N30" s="2" t="s">
        <v>72</v>
      </c>
      <c r="O30" s="2" t="s">
        <v>119</v>
      </c>
      <c r="P30" s="2" t="s">
        <v>98</v>
      </c>
      <c r="Q30" s="2" t="s">
        <v>120</v>
      </c>
      <c r="R30" s="2" t="s">
        <v>120</v>
      </c>
      <c r="S30" s="6" t="n">
        <v>44910</v>
      </c>
      <c r="T30" s="6" t="n">
        <v>45118</v>
      </c>
      <c r="U30" s="2" t="s">
        <v>76</v>
      </c>
      <c r="V30" s="2" t="s">
        <v>85</v>
      </c>
      <c r="W30" s="6" t="n">
        <v>46944</v>
      </c>
      <c r="X30" s="6" t="n">
        <v>45734</v>
      </c>
      <c r="Y30" s="2" t="s">
        <v>104</v>
      </c>
      <c r="Z30" s="2" t="n">
        <v>1</v>
      </c>
      <c r="AA30" s="2" t="n">
        <v>17</v>
      </c>
      <c r="AB30" s="6" t="n">
        <v>46244</v>
      </c>
      <c r="AC30" s="2" t="n">
        <v>1</v>
      </c>
      <c r="AD30" s="2" t="n">
        <v>1</v>
      </c>
      <c r="AE30" s="7" t="n">
        <v>0.569472963723477</v>
      </c>
      <c r="AF30" s="7" t="n">
        <v>1.68651608487337</v>
      </c>
      <c r="AG30" s="7" t="n">
        <v>1.39630390143737</v>
      </c>
      <c r="AH30" s="7" t="n">
        <v>12.175</v>
      </c>
      <c r="AI30" s="2" t="s">
        <v>86</v>
      </c>
      <c r="AJ30" s="2" t="s">
        <v>87</v>
      </c>
      <c r="AK30" s="2"/>
      <c r="AL30" s="2" t="s">
        <v>64</v>
      </c>
      <c r="AM30" s="2" t="s">
        <v>206</v>
      </c>
      <c r="AN30" s="2" t="s">
        <v>207</v>
      </c>
      <c r="AO30" s="2" t="s">
        <v>102</v>
      </c>
      <c r="AP30" s="2" t="s">
        <v>208</v>
      </c>
      <c r="AQ30" s="2" t="s">
        <v>125</v>
      </c>
    </row>
    <row r="31" customFormat="false" ht="15" hidden="false" customHeight="false" outlineLevel="0" collapsed="false">
      <c r="A31" s="2" t="s">
        <v>209</v>
      </c>
      <c r="B31" s="2" t="s">
        <v>209</v>
      </c>
      <c r="C31" s="2" t="s">
        <v>64</v>
      </c>
      <c r="D31" s="2" t="s">
        <v>210</v>
      </c>
      <c r="E31" s="2" t="s">
        <v>211</v>
      </c>
      <c r="F31" s="2" t="s">
        <v>82</v>
      </c>
      <c r="G31" s="2" t="s">
        <v>164</v>
      </c>
      <c r="H31" s="2" t="s">
        <v>69</v>
      </c>
      <c r="I31" s="2" t="n">
        <v>52.3581348743052</v>
      </c>
      <c r="J31" s="2" t="n">
        <v>-8.46277176656097</v>
      </c>
      <c r="K31" s="2" t="n">
        <v>14</v>
      </c>
      <c r="L31" s="2" t="s">
        <v>118</v>
      </c>
      <c r="M31" s="2" t="s">
        <v>83</v>
      </c>
      <c r="N31" s="2" t="s">
        <v>72</v>
      </c>
      <c r="O31" s="2" t="s">
        <v>97</v>
      </c>
      <c r="P31" s="2" t="s">
        <v>98</v>
      </c>
      <c r="Q31" s="2" t="s">
        <v>102</v>
      </c>
      <c r="R31" s="2" t="s">
        <v>103</v>
      </c>
      <c r="S31" s="6" t="n">
        <v>44425</v>
      </c>
      <c r="T31" s="6" t="n">
        <v>44820</v>
      </c>
      <c r="U31" s="2" t="s">
        <v>76</v>
      </c>
      <c r="V31" s="2" t="s">
        <v>85</v>
      </c>
      <c r="W31" s="6" t="n">
        <v>46645</v>
      </c>
      <c r="X31" s="6" t="n">
        <v>45404</v>
      </c>
      <c r="Y31" s="2" t="s">
        <v>104</v>
      </c>
      <c r="Z31" s="2" t="n">
        <v>1</v>
      </c>
      <c r="AA31" s="2" t="n">
        <v>1</v>
      </c>
      <c r="AB31" s="6"/>
      <c r="AC31" s="2" t="n">
        <v>0</v>
      </c>
      <c r="AD31" s="2" t="n">
        <v>0</v>
      </c>
      <c r="AE31" s="7" t="n">
        <v>1.08145106091718</v>
      </c>
      <c r="AF31" s="7" t="n">
        <v>1.59890485968515</v>
      </c>
      <c r="AG31" s="7"/>
      <c r="AH31" s="7"/>
      <c r="AI31" s="2" t="s">
        <v>86</v>
      </c>
      <c r="AJ31" s="2" t="s">
        <v>87</v>
      </c>
      <c r="AK31" s="2"/>
      <c r="AL31" s="2"/>
      <c r="AM31" s="2" t="s">
        <v>212</v>
      </c>
      <c r="AN31" s="2" t="s">
        <v>213</v>
      </c>
      <c r="AO31" s="2" t="s">
        <v>202</v>
      </c>
      <c r="AP31" s="2" t="s">
        <v>214</v>
      </c>
      <c r="AQ31" s="2" t="s">
        <v>215</v>
      </c>
    </row>
    <row r="32" customFormat="false" ht="15" hidden="false" customHeight="false" outlineLevel="0" collapsed="false">
      <c r="A32" s="2" t="s">
        <v>216</v>
      </c>
      <c r="B32" s="2" t="s">
        <v>216</v>
      </c>
      <c r="C32" s="2" t="s">
        <v>64</v>
      </c>
      <c r="D32" s="2" t="s">
        <v>217</v>
      </c>
      <c r="E32" s="2" t="s">
        <v>218</v>
      </c>
      <c r="F32" s="2" t="s">
        <v>82</v>
      </c>
      <c r="G32" s="2" t="s">
        <v>164</v>
      </c>
      <c r="H32" s="2" t="s">
        <v>69</v>
      </c>
      <c r="I32" s="2" t="n">
        <v>52.4369096667836</v>
      </c>
      <c r="J32" s="2" t="n">
        <v>-8.40804143895907</v>
      </c>
      <c r="K32" s="2" t="n">
        <v>12</v>
      </c>
      <c r="L32" s="2" t="s">
        <v>118</v>
      </c>
      <c r="M32" s="2" t="s">
        <v>92</v>
      </c>
      <c r="N32" s="2" t="s">
        <v>96</v>
      </c>
      <c r="O32" s="2" t="s">
        <v>97</v>
      </c>
      <c r="P32" s="2" t="s">
        <v>98</v>
      </c>
      <c r="Q32" s="2" t="s">
        <v>120</v>
      </c>
      <c r="R32" s="2" t="s">
        <v>120</v>
      </c>
      <c r="S32" s="6" t="n">
        <v>43710</v>
      </c>
      <c r="T32" s="6" t="n">
        <v>43784</v>
      </c>
      <c r="U32" s="2" t="s">
        <v>85</v>
      </c>
      <c r="V32" s="2" t="s">
        <v>85</v>
      </c>
      <c r="W32" s="6"/>
      <c r="X32" s="6" t="n">
        <v>44421</v>
      </c>
      <c r="Y32" s="2" t="s">
        <v>104</v>
      </c>
      <c r="Z32" s="2" t="n">
        <v>1</v>
      </c>
      <c r="AA32" s="2" t="n">
        <v>12</v>
      </c>
      <c r="AB32" s="6" t="n">
        <v>45337</v>
      </c>
      <c r="AC32" s="2" t="n">
        <v>1</v>
      </c>
      <c r="AD32" s="2" t="n">
        <v>1</v>
      </c>
      <c r="AE32" s="7" t="n">
        <v>0.202600958247776</v>
      </c>
      <c r="AF32" s="7" t="n">
        <v>1.74401095140315</v>
      </c>
      <c r="AG32" s="7" t="n">
        <v>2.50787132101301</v>
      </c>
      <c r="AH32" s="7" t="n">
        <v>4.78493449781659</v>
      </c>
      <c r="AI32" s="2" t="s">
        <v>86</v>
      </c>
      <c r="AJ32" s="2" t="s">
        <v>87</v>
      </c>
      <c r="AK32" s="2"/>
      <c r="AL32" s="2" t="s">
        <v>64</v>
      </c>
      <c r="AM32" s="2" t="s">
        <v>219</v>
      </c>
      <c r="AN32" s="2" t="s">
        <v>196</v>
      </c>
      <c r="AO32" s="2" t="s">
        <v>123</v>
      </c>
      <c r="AP32" s="2" t="s">
        <v>220</v>
      </c>
      <c r="AQ32" s="2" t="s">
        <v>125</v>
      </c>
    </row>
    <row r="33" customFormat="false" ht="15" hidden="false" customHeight="false" outlineLevel="0" collapsed="false">
      <c r="A33" s="2" t="s">
        <v>221</v>
      </c>
      <c r="B33" s="2" t="s">
        <v>221</v>
      </c>
      <c r="C33" s="2" t="s">
        <v>64</v>
      </c>
      <c r="D33" s="2" t="s">
        <v>222</v>
      </c>
      <c r="E33" s="2" t="s">
        <v>223</v>
      </c>
      <c r="F33" s="2" t="s">
        <v>184</v>
      </c>
      <c r="G33" s="2" t="s">
        <v>164</v>
      </c>
      <c r="H33" s="2" t="s">
        <v>69</v>
      </c>
      <c r="I33" s="2" t="n">
        <v>52.6129413873468</v>
      </c>
      <c r="J33" s="2" t="n">
        <v>-8.33341354674007</v>
      </c>
      <c r="K33" s="2" t="n">
        <v>10</v>
      </c>
      <c r="L33" s="2" t="s">
        <v>118</v>
      </c>
      <c r="M33" s="2" t="s">
        <v>95</v>
      </c>
      <c r="N33" s="2" t="s">
        <v>72</v>
      </c>
      <c r="O33" s="2" t="s">
        <v>73</v>
      </c>
      <c r="P33" s="2" t="s">
        <v>73</v>
      </c>
      <c r="Q33" s="2" t="s">
        <v>102</v>
      </c>
      <c r="R33" s="2" t="s">
        <v>103</v>
      </c>
      <c r="S33" s="6" t="n">
        <v>43710</v>
      </c>
      <c r="T33" s="6" t="n">
        <v>43886</v>
      </c>
      <c r="U33" s="2" t="s">
        <v>76</v>
      </c>
      <c r="V33" s="2" t="s">
        <v>85</v>
      </c>
      <c r="W33" s="6" t="n">
        <v>45712</v>
      </c>
      <c r="X33" s="6" t="n">
        <v>45420</v>
      </c>
      <c r="Y33" s="2" t="s">
        <v>104</v>
      </c>
      <c r="Z33" s="2" t="n">
        <v>1</v>
      </c>
      <c r="AA33" s="2" t="n">
        <v>10</v>
      </c>
      <c r="AB33" s="6"/>
      <c r="AC33" s="2" t="n">
        <v>0</v>
      </c>
      <c r="AD33" s="2" t="n">
        <v>0</v>
      </c>
      <c r="AE33" s="7" t="n">
        <v>0.48186173853525</v>
      </c>
      <c r="AF33" s="7" t="n">
        <v>4.19986310746064</v>
      </c>
      <c r="AG33" s="7"/>
      <c r="AH33" s="7"/>
      <c r="AI33" s="2" t="s">
        <v>86</v>
      </c>
      <c r="AJ33" s="2" t="s">
        <v>87</v>
      </c>
      <c r="AK33" s="2"/>
      <c r="AL33" s="2"/>
      <c r="AM33" s="2"/>
      <c r="AN33" s="2"/>
      <c r="AO33" s="2"/>
      <c r="AP33" s="2"/>
      <c r="AQ33" s="2"/>
    </row>
    <row r="34" customFormat="false" ht="15" hidden="false" customHeight="false" outlineLevel="0" collapsed="false">
      <c r="A34" s="2" t="s">
        <v>224</v>
      </c>
      <c r="B34" s="2" t="s">
        <v>224</v>
      </c>
      <c r="C34" s="2" t="s">
        <v>64</v>
      </c>
      <c r="D34" s="2" t="s">
        <v>225</v>
      </c>
      <c r="E34" s="2" t="s">
        <v>226</v>
      </c>
      <c r="F34" s="2" t="s">
        <v>82</v>
      </c>
      <c r="G34" s="2" t="s">
        <v>164</v>
      </c>
      <c r="H34" s="2" t="s">
        <v>69</v>
      </c>
      <c r="I34" s="2" t="n">
        <v>52.3590720706858</v>
      </c>
      <c r="J34" s="2" t="n">
        <v>-8.47365044313424</v>
      </c>
      <c r="K34" s="2" t="n">
        <v>10</v>
      </c>
      <c r="L34" s="2" t="s">
        <v>118</v>
      </c>
      <c r="M34" s="2" t="s">
        <v>92</v>
      </c>
      <c r="N34" s="2" t="s">
        <v>96</v>
      </c>
      <c r="O34" s="2" t="s">
        <v>97</v>
      </c>
      <c r="P34" s="2" t="s">
        <v>98</v>
      </c>
      <c r="Q34" s="2" t="s">
        <v>120</v>
      </c>
      <c r="R34" s="2" t="s">
        <v>120</v>
      </c>
      <c r="S34" s="6" t="n">
        <v>44540</v>
      </c>
      <c r="T34" s="6" t="n">
        <v>44629</v>
      </c>
      <c r="U34" s="2" t="s">
        <v>85</v>
      </c>
      <c r="V34" s="2" t="s">
        <v>85</v>
      </c>
      <c r="W34" s="6"/>
      <c r="X34" s="6" t="n">
        <v>45370</v>
      </c>
      <c r="Y34" s="2" t="s">
        <v>104</v>
      </c>
      <c r="Z34" s="2" t="n">
        <v>1</v>
      </c>
      <c r="AA34" s="2" t="n">
        <v>10</v>
      </c>
      <c r="AB34" s="6" t="n">
        <v>46155</v>
      </c>
      <c r="AC34" s="2" t="n">
        <v>1</v>
      </c>
      <c r="AD34" s="2" t="n">
        <v>2</v>
      </c>
      <c r="AE34" s="7" t="n">
        <v>0.243668720054757</v>
      </c>
      <c r="AF34" s="7" t="n">
        <v>2.02874743326489</v>
      </c>
      <c r="AG34" s="7" t="n">
        <v>2.1492128678987</v>
      </c>
      <c r="AH34" s="7" t="n">
        <v>4.65286624203822</v>
      </c>
      <c r="AI34" s="2" t="s">
        <v>86</v>
      </c>
      <c r="AJ34" s="2" t="s">
        <v>87</v>
      </c>
      <c r="AK34" s="2"/>
      <c r="AL34" s="2" t="s">
        <v>64</v>
      </c>
      <c r="AM34" s="2" t="s">
        <v>227</v>
      </c>
      <c r="AN34" s="2" t="s">
        <v>196</v>
      </c>
      <c r="AO34" s="2" t="s">
        <v>123</v>
      </c>
      <c r="AP34" s="2" t="s">
        <v>124</v>
      </c>
      <c r="AQ34" s="2" t="s">
        <v>125</v>
      </c>
    </row>
    <row r="35" customFormat="false" ht="15" hidden="false" customHeight="false" outlineLevel="0" collapsed="false">
      <c r="A35" s="2" t="s">
        <v>228</v>
      </c>
      <c r="B35" s="2" t="s">
        <v>228</v>
      </c>
      <c r="C35" s="2" t="s">
        <v>64</v>
      </c>
      <c r="D35" s="2" t="s">
        <v>229</v>
      </c>
      <c r="E35" s="2" t="s">
        <v>230</v>
      </c>
      <c r="F35" s="2" t="s">
        <v>82</v>
      </c>
      <c r="G35" s="2" t="s">
        <v>164</v>
      </c>
      <c r="H35" s="2" t="s">
        <v>69</v>
      </c>
      <c r="I35" s="2" t="n">
        <v>52.360611898729</v>
      </c>
      <c r="J35" s="2" t="n">
        <v>-8.47004819507868</v>
      </c>
      <c r="K35" s="2" t="n">
        <v>9</v>
      </c>
      <c r="L35" s="2" t="s">
        <v>145</v>
      </c>
      <c r="M35" s="2" t="s">
        <v>95</v>
      </c>
      <c r="N35" s="2" t="s">
        <v>72</v>
      </c>
      <c r="O35" s="2" t="s">
        <v>119</v>
      </c>
      <c r="P35" s="2" t="s">
        <v>98</v>
      </c>
      <c r="Q35" s="2" t="s">
        <v>120</v>
      </c>
      <c r="R35" s="2" t="s">
        <v>120</v>
      </c>
      <c r="S35" s="6" t="n">
        <v>44215</v>
      </c>
      <c r="T35" s="6" t="n">
        <v>44475</v>
      </c>
      <c r="U35" s="2" t="s">
        <v>76</v>
      </c>
      <c r="V35" s="2" t="s">
        <v>85</v>
      </c>
      <c r="W35" s="6" t="n">
        <v>46300</v>
      </c>
      <c r="X35" s="6" t="n">
        <v>45250</v>
      </c>
      <c r="Y35" s="2" t="s">
        <v>104</v>
      </c>
      <c r="Z35" s="2" t="n">
        <v>1</v>
      </c>
      <c r="AA35" s="2" t="n">
        <v>9</v>
      </c>
      <c r="AB35" s="6" t="n">
        <v>45950</v>
      </c>
      <c r="AC35" s="2" t="n">
        <v>1</v>
      </c>
      <c r="AD35" s="2" t="n">
        <v>1</v>
      </c>
      <c r="AE35" s="7" t="n">
        <v>0.711841204654346</v>
      </c>
      <c r="AF35" s="7" t="n">
        <v>2.12183436002738</v>
      </c>
      <c r="AG35" s="7" t="n">
        <v>1.91649555099247</v>
      </c>
      <c r="AH35" s="7" t="n">
        <v>4.69607142857143</v>
      </c>
      <c r="AI35" s="2" t="s">
        <v>86</v>
      </c>
      <c r="AJ35" s="2" t="s">
        <v>87</v>
      </c>
      <c r="AK35" s="2"/>
      <c r="AL35" s="2" t="s">
        <v>64</v>
      </c>
      <c r="AM35" s="2" t="s">
        <v>231</v>
      </c>
      <c r="AN35" s="2" t="s">
        <v>122</v>
      </c>
      <c r="AO35" s="2" t="s">
        <v>123</v>
      </c>
      <c r="AP35" s="2" t="s">
        <v>232</v>
      </c>
      <c r="AQ35" s="2" t="s">
        <v>125</v>
      </c>
    </row>
    <row r="36" customFormat="false" ht="15" hidden="false" customHeight="false" outlineLevel="0" collapsed="false">
      <c r="A36" s="2" t="s">
        <v>233</v>
      </c>
      <c r="B36" s="2" t="s">
        <v>233</v>
      </c>
      <c r="C36" s="2" t="s">
        <v>64</v>
      </c>
      <c r="D36" s="2" t="s">
        <v>234</v>
      </c>
      <c r="E36" s="2" t="s">
        <v>235</v>
      </c>
      <c r="F36" s="2" t="s">
        <v>236</v>
      </c>
      <c r="G36" s="2" t="s">
        <v>164</v>
      </c>
      <c r="H36" s="2" t="s">
        <v>69</v>
      </c>
      <c r="I36" s="2" t="n">
        <v>52.5953831475238</v>
      </c>
      <c r="J36" s="2" t="n">
        <v>-8.47124554644562</v>
      </c>
      <c r="K36" s="2" t="n">
        <v>9</v>
      </c>
      <c r="L36" s="2" t="s">
        <v>145</v>
      </c>
      <c r="M36" s="2" t="s">
        <v>83</v>
      </c>
      <c r="N36" s="2" t="s">
        <v>72</v>
      </c>
      <c r="O36" s="2" t="s">
        <v>73</v>
      </c>
      <c r="P36" s="2" t="s">
        <v>73</v>
      </c>
      <c r="Q36" s="2" t="s">
        <v>120</v>
      </c>
      <c r="R36" s="2" t="s">
        <v>120</v>
      </c>
      <c r="S36" s="6" t="n">
        <v>44314</v>
      </c>
      <c r="T36" s="6" t="n">
        <v>44615</v>
      </c>
      <c r="U36" s="2" t="s">
        <v>76</v>
      </c>
      <c r="V36" s="2" t="s">
        <v>85</v>
      </c>
      <c r="W36" s="6" t="n">
        <v>46440</v>
      </c>
      <c r="X36" s="6" t="n">
        <v>45393</v>
      </c>
      <c r="Y36" s="2" t="s">
        <v>104</v>
      </c>
      <c r="Z36" s="2" t="n">
        <v>1</v>
      </c>
      <c r="AA36" s="2" t="n">
        <v>7</v>
      </c>
      <c r="AB36" s="6" t="n">
        <v>46195</v>
      </c>
      <c r="AC36" s="2" t="n">
        <v>1</v>
      </c>
      <c r="AD36" s="2" t="n">
        <v>3</v>
      </c>
      <c r="AE36" s="7" t="n">
        <v>0.824093086926763</v>
      </c>
      <c r="AF36" s="7" t="n">
        <v>2.13004791238878</v>
      </c>
      <c r="AG36" s="7" t="n">
        <v>2.19575633127995</v>
      </c>
      <c r="AH36" s="7" t="n">
        <v>4.09881546134663</v>
      </c>
      <c r="AI36" s="2" t="s">
        <v>86</v>
      </c>
      <c r="AJ36" s="2" t="s">
        <v>87</v>
      </c>
      <c r="AK36" s="2"/>
      <c r="AL36" s="2" t="s">
        <v>64</v>
      </c>
      <c r="AM36" s="2"/>
      <c r="AN36" s="2"/>
      <c r="AO36" s="2"/>
      <c r="AP36" s="2"/>
      <c r="AQ36" s="2"/>
    </row>
    <row r="37" customFormat="false" ht="15" hidden="false" customHeight="false" outlineLevel="0" collapsed="false">
      <c r="A37" s="2" t="s">
        <v>237</v>
      </c>
      <c r="B37" s="2" t="s">
        <v>237</v>
      </c>
      <c r="C37" s="2" t="s">
        <v>64</v>
      </c>
      <c r="D37" s="2" t="s">
        <v>238</v>
      </c>
      <c r="E37" s="2" t="s">
        <v>239</v>
      </c>
      <c r="F37" s="2" t="s">
        <v>82</v>
      </c>
      <c r="G37" s="2" t="s">
        <v>164</v>
      </c>
      <c r="H37" s="2" t="s">
        <v>69</v>
      </c>
      <c r="I37" s="2" t="n">
        <v>52.3688321330801</v>
      </c>
      <c r="J37" s="2" t="n">
        <v>-8.34460316361237</v>
      </c>
      <c r="K37" s="2" t="n">
        <v>9</v>
      </c>
      <c r="L37" s="2" t="s">
        <v>145</v>
      </c>
      <c r="M37" s="2" t="s">
        <v>83</v>
      </c>
      <c r="N37" s="2" t="s">
        <v>96</v>
      </c>
      <c r="O37" s="2" t="s">
        <v>97</v>
      </c>
      <c r="P37" s="2" t="s">
        <v>98</v>
      </c>
      <c r="Q37" s="2" t="s">
        <v>102</v>
      </c>
      <c r="R37" s="2" t="s">
        <v>103</v>
      </c>
      <c r="S37" s="6" t="n">
        <v>44596</v>
      </c>
      <c r="T37" s="6" t="n">
        <v>44658</v>
      </c>
      <c r="U37" s="2" t="s">
        <v>85</v>
      </c>
      <c r="V37" s="2" t="s">
        <v>85</v>
      </c>
      <c r="W37" s="6"/>
      <c r="X37" s="6" t="n">
        <v>45769</v>
      </c>
      <c r="Y37" s="2" t="s">
        <v>104</v>
      </c>
      <c r="Z37" s="2" t="n">
        <v>1</v>
      </c>
      <c r="AA37" s="2" t="n">
        <v>9</v>
      </c>
      <c r="AB37" s="6"/>
      <c r="AC37" s="2" t="n">
        <v>0</v>
      </c>
      <c r="AD37" s="2" t="n">
        <v>0</v>
      </c>
      <c r="AE37" s="7" t="n">
        <v>0.16974674880219</v>
      </c>
      <c r="AF37" s="7" t="n">
        <v>3.04175222450377</v>
      </c>
      <c r="AG37" s="7"/>
      <c r="AH37" s="7"/>
      <c r="AI37" s="2" t="s">
        <v>77</v>
      </c>
      <c r="AJ37" s="2" t="s">
        <v>78</v>
      </c>
      <c r="AK37" s="2"/>
      <c r="AL37" s="2"/>
      <c r="AM37" s="2" t="s">
        <v>240</v>
      </c>
      <c r="AN37" s="2" t="s">
        <v>196</v>
      </c>
      <c r="AO37" s="2" t="s">
        <v>202</v>
      </c>
      <c r="AP37" s="2" t="s">
        <v>208</v>
      </c>
      <c r="AQ37" s="2" t="s">
        <v>125</v>
      </c>
    </row>
    <row r="38" customFormat="false" ht="15" hidden="false" customHeight="false" outlineLevel="0" collapsed="false">
      <c r="A38" s="2" t="s">
        <v>241</v>
      </c>
      <c r="B38" s="2" t="s">
        <v>241</v>
      </c>
      <c r="C38" s="2" t="s">
        <v>64</v>
      </c>
      <c r="D38" s="2" t="s">
        <v>242</v>
      </c>
      <c r="E38" s="2" t="s">
        <v>243</v>
      </c>
      <c r="F38" s="2" t="s">
        <v>163</v>
      </c>
      <c r="G38" s="2" t="s">
        <v>164</v>
      </c>
      <c r="H38" s="2" t="s">
        <v>69</v>
      </c>
      <c r="I38" s="2" t="n">
        <v>52.4769405016095</v>
      </c>
      <c r="J38" s="2" t="n">
        <v>-8.53704669825166</v>
      </c>
      <c r="K38" s="2" t="n">
        <v>8</v>
      </c>
      <c r="L38" s="2" t="s">
        <v>145</v>
      </c>
      <c r="M38" s="2" t="s">
        <v>83</v>
      </c>
      <c r="N38" s="2" t="s">
        <v>72</v>
      </c>
      <c r="O38" s="2" t="s">
        <v>73</v>
      </c>
      <c r="P38" s="2" t="s">
        <v>73</v>
      </c>
      <c r="Q38" s="2" t="s">
        <v>74</v>
      </c>
      <c r="R38" s="2" t="s">
        <v>75</v>
      </c>
      <c r="S38" s="6" t="n">
        <v>45919</v>
      </c>
      <c r="T38" s="6" t="n">
        <v>46267</v>
      </c>
      <c r="U38" s="2" t="s">
        <v>76</v>
      </c>
      <c r="V38" s="2" t="s">
        <v>85</v>
      </c>
      <c r="W38" s="6" t="n">
        <v>48093</v>
      </c>
      <c r="X38" s="6"/>
      <c r="Y38" s="2"/>
      <c r="Z38" s="2" t="n">
        <v>0</v>
      </c>
      <c r="AA38" s="2" t="n">
        <v>0</v>
      </c>
      <c r="AB38" s="6"/>
      <c r="AC38" s="2" t="n">
        <v>0</v>
      </c>
      <c r="AD38" s="2" t="n">
        <v>0</v>
      </c>
      <c r="AE38" s="7" t="n">
        <v>0.952772073921971</v>
      </c>
      <c r="AF38" s="7"/>
      <c r="AG38" s="7"/>
      <c r="AH38" s="7"/>
      <c r="AI38" s="2" t="s">
        <v>86</v>
      </c>
      <c r="AJ38" s="2" t="s">
        <v>87</v>
      </c>
      <c r="AK38" s="2"/>
      <c r="AL38" s="2"/>
      <c r="AM38" s="2"/>
      <c r="AN38" s="2"/>
      <c r="AO38" s="2"/>
      <c r="AP38" s="2"/>
      <c r="AQ38" s="2"/>
    </row>
    <row r="39" customFormat="false" ht="15" hidden="false" customHeight="false" outlineLevel="0" collapsed="false">
      <c r="A39" s="2" t="s">
        <v>244</v>
      </c>
      <c r="B39" s="2" t="s">
        <v>244</v>
      </c>
      <c r="C39" s="2" t="s">
        <v>64</v>
      </c>
      <c r="D39" s="2" t="s">
        <v>245</v>
      </c>
      <c r="E39" s="2" t="s">
        <v>246</v>
      </c>
      <c r="F39" s="2" t="s">
        <v>82</v>
      </c>
      <c r="G39" s="2" t="s">
        <v>164</v>
      </c>
      <c r="H39" s="2" t="s">
        <v>69</v>
      </c>
      <c r="I39" s="2" t="n">
        <v>52.4373193267783</v>
      </c>
      <c r="J39" s="2" t="n">
        <v>-8.40855153176651</v>
      </c>
      <c r="K39" s="2" t="n">
        <v>8</v>
      </c>
      <c r="L39" s="2" t="s">
        <v>145</v>
      </c>
      <c r="M39" s="2" t="s">
        <v>83</v>
      </c>
      <c r="N39" s="2" t="s">
        <v>72</v>
      </c>
      <c r="O39" s="2" t="s">
        <v>73</v>
      </c>
      <c r="P39" s="2" t="s">
        <v>73</v>
      </c>
      <c r="Q39" s="2" t="s">
        <v>120</v>
      </c>
      <c r="R39" s="2" t="s">
        <v>120</v>
      </c>
      <c r="S39" s="6" t="n">
        <v>45085</v>
      </c>
      <c r="T39" s="6" t="n">
        <v>45265</v>
      </c>
      <c r="U39" s="2" t="s">
        <v>76</v>
      </c>
      <c r="V39" s="2" t="s">
        <v>85</v>
      </c>
      <c r="W39" s="6" t="n">
        <v>47091</v>
      </c>
      <c r="X39" s="6" t="n">
        <v>45565</v>
      </c>
      <c r="Y39" s="2" t="s">
        <v>104</v>
      </c>
      <c r="Z39" s="2" t="n">
        <v>1</v>
      </c>
      <c r="AA39" s="2" t="n">
        <v>4</v>
      </c>
      <c r="AB39" s="6" t="n">
        <v>46251</v>
      </c>
      <c r="AC39" s="2" t="n">
        <v>1</v>
      </c>
      <c r="AD39" s="2" t="n">
        <v>4</v>
      </c>
      <c r="AE39" s="7" t="n">
        <v>0.492813141683778</v>
      </c>
      <c r="AF39" s="7" t="n">
        <v>0.82135523613963</v>
      </c>
      <c r="AG39" s="7" t="n">
        <v>1.87816563997262</v>
      </c>
      <c r="AH39" s="7" t="n">
        <v>4.25947521865889</v>
      </c>
      <c r="AI39" s="2" t="s">
        <v>77</v>
      </c>
      <c r="AJ39" s="2" t="s">
        <v>78</v>
      </c>
      <c r="AK39" s="2"/>
      <c r="AL39" s="2" t="s">
        <v>64</v>
      </c>
      <c r="AM39" s="2"/>
      <c r="AN39" s="2"/>
      <c r="AO39" s="2"/>
      <c r="AP39" s="2"/>
      <c r="AQ39" s="2"/>
    </row>
    <row r="40" customFormat="false" ht="15" hidden="false" customHeight="false" outlineLevel="0" collapsed="false">
      <c r="A40" s="2" t="s">
        <v>247</v>
      </c>
      <c r="B40" s="2" t="s">
        <v>247</v>
      </c>
      <c r="C40" s="2" t="s">
        <v>64</v>
      </c>
      <c r="D40" s="2" t="s">
        <v>204</v>
      </c>
      <c r="E40" s="2" t="s">
        <v>248</v>
      </c>
      <c r="F40" s="2" t="s">
        <v>184</v>
      </c>
      <c r="G40" s="2" t="s">
        <v>164</v>
      </c>
      <c r="H40" s="2" t="s">
        <v>69</v>
      </c>
      <c r="I40" s="2" t="n">
        <v>52.6152409840016</v>
      </c>
      <c r="J40" s="2" t="n">
        <v>-8.34411632550258</v>
      </c>
      <c r="K40" s="2" t="n">
        <v>7</v>
      </c>
      <c r="L40" s="2" t="s">
        <v>145</v>
      </c>
      <c r="M40" s="2" t="s">
        <v>83</v>
      </c>
      <c r="N40" s="2" t="s">
        <v>72</v>
      </c>
      <c r="O40" s="2" t="s">
        <v>73</v>
      </c>
      <c r="P40" s="2" t="s">
        <v>73</v>
      </c>
      <c r="Q40" s="2" t="s">
        <v>74</v>
      </c>
      <c r="R40" s="2" t="s">
        <v>75</v>
      </c>
      <c r="S40" s="6" t="n">
        <v>45603</v>
      </c>
      <c r="T40" s="6" t="n">
        <v>45868</v>
      </c>
      <c r="U40" s="2" t="s">
        <v>76</v>
      </c>
      <c r="V40" s="2" t="s">
        <v>85</v>
      </c>
      <c r="W40" s="6" t="n">
        <v>47042</v>
      </c>
      <c r="X40" s="6"/>
      <c r="Y40" s="2"/>
      <c r="Z40" s="2" t="n">
        <v>0</v>
      </c>
      <c r="AA40" s="2" t="n">
        <v>0</v>
      </c>
      <c r="AB40" s="6"/>
      <c r="AC40" s="2" t="n">
        <v>0</v>
      </c>
      <c r="AD40" s="2" t="n">
        <v>0</v>
      </c>
      <c r="AE40" s="7" t="n">
        <v>0.725530458590007</v>
      </c>
      <c r="AF40" s="7"/>
      <c r="AG40" s="7"/>
      <c r="AH40" s="7"/>
      <c r="AI40" s="2" t="s">
        <v>249</v>
      </c>
      <c r="AJ40" s="2" t="s">
        <v>112</v>
      </c>
      <c r="AK40" s="2"/>
      <c r="AL40" s="2"/>
      <c r="AM40" s="2"/>
      <c r="AN40" s="2"/>
      <c r="AO40" s="2"/>
      <c r="AP40" s="2"/>
      <c r="AQ40" s="2"/>
    </row>
    <row r="41" customFormat="false" ht="15" hidden="false" customHeight="false" outlineLevel="0" collapsed="false">
      <c r="A41" s="2" t="s">
        <v>250</v>
      </c>
      <c r="B41" s="2" t="s">
        <v>250</v>
      </c>
      <c r="C41" s="2" t="s">
        <v>64</v>
      </c>
      <c r="D41" s="2" t="s">
        <v>251</v>
      </c>
      <c r="E41" s="2" t="s">
        <v>252</v>
      </c>
      <c r="F41" s="2" t="s">
        <v>82</v>
      </c>
      <c r="G41" s="2" t="s">
        <v>164</v>
      </c>
      <c r="H41" s="2" t="s">
        <v>69</v>
      </c>
      <c r="I41" s="2" t="n">
        <v>52.4347563353317</v>
      </c>
      <c r="J41" s="2" t="n">
        <v>-8.40945774433355</v>
      </c>
      <c r="K41" s="2" t="n">
        <v>6</v>
      </c>
      <c r="L41" s="2" t="s">
        <v>145</v>
      </c>
      <c r="M41" s="2" t="s">
        <v>83</v>
      </c>
      <c r="N41" s="2" t="s">
        <v>72</v>
      </c>
      <c r="O41" s="2" t="s">
        <v>73</v>
      </c>
      <c r="P41" s="2" t="s">
        <v>73</v>
      </c>
      <c r="Q41" s="2" t="s">
        <v>102</v>
      </c>
      <c r="R41" s="2" t="s">
        <v>103</v>
      </c>
      <c r="S41" s="6" t="n">
        <v>45232</v>
      </c>
      <c r="T41" s="6" t="n">
        <v>45596</v>
      </c>
      <c r="U41" s="2" t="s">
        <v>76</v>
      </c>
      <c r="V41" s="2" t="s">
        <v>85</v>
      </c>
      <c r="W41" s="6" t="n">
        <v>47421</v>
      </c>
      <c r="X41" s="6" t="n">
        <v>45845</v>
      </c>
      <c r="Y41" s="2" t="s">
        <v>104</v>
      </c>
      <c r="Z41" s="2" t="n">
        <v>2</v>
      </c>
      <c r="AA41" s="2" t="n">
        <v>6</v>
      </c>
      <c r="AB41" s="6"/>
      <c r="AC41" s="2" t="n">
        <v>0</v>
      </c>
      <c r="AD41" s="2" t="n">
        <v>0</v>
      </c>
      <c r="AE41" s="7" t="n">
        <v>0.996577686516085</v>
      </c>
      <c r="AF41" s="7" t="n">
        <v>0.681724845995893</v>
      </c>
      <c r="AG41" s="7"/>
      <c r="AH41" s="7"/>
      <c r="AI41" s="2" t="s">
        <v>111</v>
      </c>
      <c r="AJ41" s="2" t="s">
        <v>112</v>
      </c>
      <c r="AK41" s="2"/>
      <c r="AL41" s="2"/>
      <c r="AM41" s="2"/>
      <c r="AN41" s="2"/>
      <c r="AO41" s="2"/>
      <c r="AP41" s="2"/>
      <c r="AQ41" s="2"/>
    </row>
    <row r="42" customFormat="false" ht="15" hidden="false" customHeight="false" outlineLevel="0" collapsed="false">
      <c r="A42" s="2" t="s">
        <v>253</v>
      </c>
      <c r="B42" s="2" t="s">
        <v>253</v>
      </c>
      <c r="C42" s="2" t="s">
        <v>64</v>
      </c>
      <c r="D42" s="2" t="s">
        <v>254</v>
      </c>
      <c r="E42" s="2" t="s">
        <v>255</v>
      </c>
      <c r="F42" s="2" t="s">
        <v>169</v>
      </c>
      <c r="G42" s="2" t="s">
        <v>164</v>
      </c>
      <c r="H42" s="2" t="s">
        <v>69</v>
      </c>
      <c r="I42" s="2" t="n">
        <v>52.4017125336232</v>
      </c>
      <c r="J42" s="2" t="n">
        <v>-8.57870664427509</v>
      </c>
      <c r="K42" s="2" t="n">
        <v>5</v>
      </c>
      <c r="L42" s="2" t="s">
        <v>145</v>
      </c>
      <c r="M42" s="2" t="s">
        <v>83</v>
      </c>
      <c r="N42" s="2" t="s">
        <v>72</v>
      </c>
      <c r="O42" s="2" t="s">
        <v>73</v>
      </c>
      <c r="P42" s="2" t="s">
        <v>73</v>
      </c>
      <c r="Q42" s="2" t="s">
        <v>120</v>
      </c>
      <c r="R42" s="2" t="s">
        <v>120</v>
      </c>
      <c r="S42" s="6" t="n">
        <v>43536</v>
      </c>
      <c r="T42" s="6" t="n">
        <v>43892</v>
      </c>
      <c r="U42" s="2" t="s">
        <v>76</v>
      </c>
      <c r="V42" s="2" t="s">
        <v>76</v>
      </c>
      <c r="W42" s="6" t="n">
        <v>45717</v>
      </c>
      <c r="X42" s="6" t="n">
        <v>45401</v>
      </c>
      <c r="Y42" s="2" t="s">
        <v>104</v>
      </c>
      <c r="Z42" s="2" t="n">
        <v>1</v>
      </c>
      <c r="AA42" s="2" t="n">
        <v>5</v>
      </c>
      <c r="AB42" s="6" t="n">
        <v>46000</v>
      </c>
      <c r="AC42" s="2" t="n">
        <v>1</v>
      </c>
      <c r="AD42" s="2" t="n">
        <v>3</v>
      </c>
      <c r="AE42" s="7" t="n">
        <v>0.974674880219028</v>
      </c>
      <c r="AF42" s="7" t="n">
        <v>4.13141683778234</v>
      </c>
      <c r="AG42" s="7" t="n">
        <v>1.63997262149213</v>
      </c>
      <c r="AH42" s="7" t="n">
        <v>3.04883138564274</v>
      </c>
      <c r="AI42" s="2" t="s">
        <v>86</v>
      </c>
      <c r="AJ42" s="2" t="s">
        <v>87</v>
      </c>
      <c r="AK42" s="2"/>
      <c r="AL42" s="2" t="s">
        <v>64</v>
      </c>
      <c r="AM42" s="2"/>
      <c r="AN42" s="2"/>
      <c r="AO42" s="2"/>
      <c r="AP42" s="2"/>
      <c r="AQ42" s="2"/>
    </row>
    <row r="43" customFormat="false" ht="15" hidden="false" customHeight="false" outlineLevel="0" collapsed="false">
      <c r="A43" s="2" t="s">
        <v>256</v>
      </c>
      <c r="B43" s="2" t="s">
        <v>256</v>
      </c>
      <c r="C43" s="2" t="s">
        <v>64</v>
      </c>
      <c r="D43" s="2" t="s">
        <v>257</v>
      </c>
      <c r="E43" s="2" t="s">
        <v>258</v>
      </c>
      <c r="F43" s="2" t="s">
        <v>82</v>
      </c>
      <c r="G43" s="2" t="s">
        <v>164</v>
      </c>
      <c r="H43" s="2" t="s">
        <v>69</v>
      </c>
      <c r="I43" s="2" t="n">
        <v>52.3718082759701</v>
      </c>
      <c r="J43" s="2" t="n">
        <v>-8.34784740711082</v>
      </c>
      <c r="K43" s="2" t="n">
        <v>5</v>
      </c>
      <c r="L43" s="2" t="s">
        <v>145</v>
      </c>
      <c r="M43" s="2" t="s">
        <v>83</v>
      </c>
      <c r="N43" s="2" t="s">
        <v>72</v>
      </c>
      <c r="O43" s="2" t="s">
        <v>97</v>
      </c>
      <c r="P43" s="2" t="s">
        <v>98</v>
      </c>
      <c r="Q43" s="2" t="s">
        <v>120</v>
      </c>
      <c r="R43" s="2" t="s">
        <v>120</v>
      </c>
      <c r="S43" s="6" t="n">
        <v>44256</v>
      </c>
      <c r="T43" s="6" t="n">
        <v>44698</v>
      </c>
      <c r="U43" s="2" t="s">
        <v>76</v>
      </c>
      <c r="V43" s="2" t="s">
        <v>76</v>
      </c>
      <c r="W43" s="6" t="n">
        <v>46523</v>
      </c>
      <c r="X43" s="6" t="n">
        <v>45128</v>
      </c>
      <c r="Y43" s="2" t="s">
        <v>104</v>
      </c>
      <c r="Z43" s="2" t="n">
        <v>1</v>
      </c>
      <c r="AA43" s="2" t="n">
        <v>5</v>
      </c>
      <c r="AB43" s="6" t="n">
        <v>45611</v>
      </c>
      <c r="AC43" s="2" t="n">
        <v>1</v>
      </c>
      <c r="AD43" s="2" t="n">
        <v>2</v>
      </c>
      <c r="AE43" s="7" t="n">
        <v>1.21013004791239</v>
      </c>
      <c r="AF43" s="7" t="n">
        <v>1.1772758384668</v>
      </c>
      <c r="AG43" s="7" t="n">
        <v>1.32238193018481</v>
      </c>
      <c r="AH43" s="7" t="n">
        <v>3.78105590062112</v>
      </c>
      <c r="AI43" s="2" t="s">
        <v>86</v>
      </c>
      <c r="AJ43" s="2" t="s">
        <v>87</v>
      </c>
      <c r="AK43" s="2"/>
      <c r="AL43" s="2" t="s">
        <v>259</v>
      </c>
      <c r="AM43" s="2" t="s">
        <v>260</v>
      </c>
      <c r="AN43" s="2" t="s">
        <v>213</v>
      </c>
      <c r="AO43" s="2" t="s">
        <v>123</v>
      </c>
      <c r="AP43" s="2" t="s">
        <v>232</v>
      </c>
      <c r="AQ43" s="2" t="s">
        <v>215</v>
      </c>
    </row>
    <row r="44" customFormat="false" ht="15" hidden="false" customHeight="false" outlineLevel="0" collapsed="false">
      <c r="A44" s="2" t="s">
        <v>261</v>
      </c>
      <c r="B44" s="2" t="s">
        <v>261</v>
      </c>
      <c r="C44" s="2" t="s">
        <v>64</v>
      </c>
      <c r="D44" s="2" t="s">
        <v>245</v>
      </c>
      <c r="E44" s="2" t="s">
        <v>262</v>
      </c>
      <c r="F44" s="2" t="s">
        <v>82</v>
      </c>
      <c r="G44" s="2" t="s">
        <v>164</v>
      </c>
      <c r="H44" s="2" t="s">
        <v>69</v>
      </c>
      <c r="I44" s="2" t="n">
        <v>52.4369720245788</v>
      </c>
      <c r="J44" s="2" t="n">
        <v>-8.40946578197422</v>
      </c>
      <c r="K44" s="2" t="n">
        <v>5</v>
      </c>
      <c r="L44" s="2" t="s">
        <v>145</v>
      </c>
      <c r="M44" s="2" t="s">
        <v>83</v>
      </c>
      <c r="N44" s="2" t="s">
        <v>72</v>
      </c>
      <c r="O44" s="2" t="s">
        <v>73</v>
      </c>
      <c r="P44" s="2" t="s">
        <v>73</v>
      </c>
      <c r="Q44" s="2" t="s">
        <v>263</v>
      </c>
      <c r="R44" s="2" t="s">
        <v>103</v>
      </c>
      <c r="S44" s="6" t="n">
        <v>43798</v>
      </c>
      <c r="T44" s="6" t="n">
        <v>44040</v>
      </c>
      <c r="U44" s="2" t="s">
        <v>76</v>
      </c>
      <c r="V44" s="2" t="s">
        <v>85</v>
      </c>
      <c r="W44" s="6" t="n">
        <v>45865</v>
      </c>
      <c r="X44" s="6" t="n">
        <v>44321</v>
      </c>
      <c r="Y44" s="2" t="s">
        <v>104</v>
      </c>
      <c r="Z44" s="2" t="n">
        <v>3</v>
      </c>
      <c r="AA44" s="2" t="n">
        <v>5</v>
      </c>
      <c r="AB44" s="6"/>
      <c r="AC44" s="2" t="n">
        <v>3</v>
      </c>
      <c r="AD44" s="2" t="n">
        <v>3</v>
      </c>
      <c r="AE44" s="7" t="n">
        <v>0.662559890485969</v>
      </c>
      <c r="AF44" s="7" t="n">
        <v>0.769336071184121</v>
      </c>
      <c r="AG44" s="7"/>
      <c r="AH44" s="7"/>
      <c r="AI44" s="2" t="s">
        <v>77</v>
      </c>
      <c r="AJ44" s="2" t="s">
        <v>78</v>
      </c>
      <c r="AK44" s="2"/>
      <c r="AL44" s="2"/>
      <c r="AM44" s="2"/>
      <c r="AN44" s="2"/>
      <c r="AO44" s="2"/>
      <c r="AP44" s="2"/>
      <c r="AQ44" s="2"/>
    </row>
    <row r="45" customFormat="false" ht="15" hidden="false" customHeight="false" outlineLevel="0" collapsed="false">
      <c r="A45" s="2" t="s">
        <v>264</v>
      </c>
      <c r="B45" s="2" t="s">
        <v>264</v>
      </c>
      <c r="C45" s="2" t="s">
        <v>64</v>
      </c>
      <c r="D45" s="2" t="s">
        <v>265</v>
      </c>
      <c r="E45" s="2" t="s">
        <v>266</v>
      </c>
      <c r="F45" s="2" t="s">
        <v>82</v>
      </c>
      <c r="G45" s="2" t="s">
        <v>164</v>
      </c>
      <c r="H45" s="2" t="s">
        <v>69</v>
      </c>
      <c r="I45" s="2" t="n">
        <v>52.6524698487682</v>
      </c>
      <c r="J45" s="2" t="n">
        <v>-8.39868153426293</v>
      </c>
      <c r="K45" s="2" t="n">
        <v>4</v>
      </c>
      <c r="L45" s="2" t="s">
        <v>145</v>
      </c>
      <c r="M45" s="2" t="s">
        <v>95</v>
      </c>
      <c r="N45" s="2" t="s">
        <v>72</v>
      </c>
      <c r="O45" s="2" t="s">
        <v>73</v>
      </c>
      <c r="P45" s="2" t="s">
        <v>73</v>
      </c>
      <c r="Q45" s="2" t="s">
        <v>102</v>
      </c>
      <c r="R45" s="2" t="s">
        <v>103</v>
      </c>
      <c r="S45" s="6" t="n">
        <v>45731</v>
      </c>
      <c r="T45" s="6" t="n">
        <v>45818</v>
      </c>
      <c r="U45" s="2" t="s">
        <v>85</v>
      </c>
      <c r="V45" s="2" t="s">
        <v>85</v>
      </c>
      <c r="W45" s="6" t="n">
        <v>47643</v>
      </c>
      <c r="X45" s="6" t="n">
        <v>46102</v>
      </c>
      <c r="Y45" s="2" t="s">
        <v>104</v>
      </c>
      <c r="Z45" s="2" t="n">
        <v>1</v>
      </c>
      <c r="AA45" s="2" t="n">
        <v>4</v>
      </c>
      <c r="AB45" s="6"/>
      <c r="AC45" s="2" t="n">
        <v>0</v>
      </c>
      <c r="AD45" s="2" t="n">
        <v>0</v>
      </c>
      <c r="AE45" s="7" t="n">
        <v>0.238193018480493</v>
      </c>
      <c r="AF45" s="7" t="n">
        <v>0.777549623545517</v>
      </c>
      <c r="AG45" s="7"/>
      <c r="AH45" s="7"/>
      <c r="AI45" s="2" t="s">
        <v>86</v>
      </c>
      <c r="AJ45" s="2" t="s">
        <v>87</v>
      </c>
      <c r="AK45" s="2"/>
      <c r="AL45" s="2"/>
      <c r="AM45" s="2"/>
      <c r="AN45" s="2"/>
      <c r="AO45" s="2"/>
      <c r="AP45" s="2"/>
      <c r="AQ45" s="2"/>
    </row>
    <row r="46" customFormat="false" ht="15" hidden="false" customHeight="false" outlineLevel="0" collapsed="false">
      <c r="A46" s="2" t="s">
        <v>267</v>
      </c>
      <c r="B46" s="2" t="s">
        <v>267</v>
      </c>
      <c r="C46" s="2" t="s">
        <v>64</v>
      </c>
      <c r="D46" s="2" t="s">
        <v>251</v>
      </c>
      <c r="E46" s="2" t="s">
        <v>268</v>
      </c>
      <c r="F46" s="2" t="s">
        <v>82</v>
      </c>
      <c r="G46" s="2" t="s">
        <v>164</v>
      </c>
      <c r="H46" s="2" t="s">
        <v>69</v>
      </c>
      <c r="I46" s="2" t="n">
        <v>52.4349724667315</v>
      </c>
      <c r="J46" s="2" t="n">
        <v>-8.40964315521037</v>
      </c>
      <c r="K46" s="2" t="n">
        <v>4</v>
      </c>
      <c r="L46" s="2" t="s">
        <v>145</v>
      </c>
      <c r="M46" s="2" t="s">
        <v>95</v>
      </c>
      <c r="N46" s="2" t="s">
        <v>72</v>
      </c>
      <c r="O46" s="2" t="s">
        <v>73</v>
      </c>
      <c r="P46" s="2" t="s">
        <v>73</v>
      </c>
      <c r="Q46" s="2" t="s">
        <v>120</v>
      </c>
      <c r="R46" s="2" t="s">
        <v>120</v>
      </c>
      <c r="S46" s="6" t="n">
        <v>45138</v>
      </c>
      <c r="T46" s="6" t="n">
        <v>45223</v>
      </c>
      <c r="U46" s="2" t="s">
        <v>85</v>
      </c>
      <c r="V46" s="2" t="s">
        <v>85</v>
      </c>
      <c r="W46" s="6" t="n">
        <v>47049</v>
      </c>
      <c r="X46" s="6" t="n">
        <v>45315</v>
      </c>
      <c r="Y46" s="2" t="s">
        <v>104</v>
      </c>
      <c r="Z46" s="2" t="n">
        <v>2</v>
      </c>
      <c r="AA46" s="2" t="n">
        <v>4</v>
      </c>
      <c r="AB46" s="6" t="n">
        <v>45960</v>
      </c>
      <c r="AC46" s="2" t="n">
        <v>2</v>
      </c>
      <c r="AD46" s="2" t="n">
        <v>4</v>
      </c>
      <c r="AE46" s="7" t="n">
        <v>0.232717316906229</v>
      </c>
      <c r="AF46" s="7" t="n">
        <v>0.251882272416153</v>
      </c>
      <c r="AG46" s="7" t="n">
        <v>1.76591375770021</v>
      </c>
      <c r="AH46" s="7" t="n">
        <v>2.26511627906977</v>
      </c>
      <c r="AI46" s="2" t="s">
        <v>86</v>
      </c>
      <c r="AJ46" s="2" t="s">
        <v>87</v>
      </c>
      <c r="AK46" s="2"/>
      <c r="AL46" s="2" t="s">
        <v>64</v>
      </c>
      <c r="AM46" s="2"/>
      <c r="AN46" s="2"/>
      <c r="AO46" s="2"/>
      <c r="AP46" s="2"/>
      <c r="AQ46" s="2"/>
    </row>
    <row r="47" customFormat="false" ht="15" hidden="false" customHeight="false" outlineLevel="0" collapsed="false">
      <c r="A47" s="2" t="s">
        <v>269</v>
      </c>
      <c r="B47" s="2" t="s">
        <v>269</v>
      </c>
      <c r="C47" s="2" t="s">
        <v>64</v>
      </c>
      <c r="D47" s="2" t="s">
        <v>270</v>
      </c>
      <c r="E47" s="2" t="s">
        <v>271</v>
      </c>
      <c r="F47" s="2" t="s">
        <v>82</v>
      </c>
      <c r="G47" s="2" t="s">
        <v>164</v>
      </c>
      <c r="H47" s="2" t="s">
        <v>69</v>
      </c>
      <c r="I47" s="2" t="n">
        <v>52.4001827</v>
      </c>
      <c r="J47" s="2" t="n">
        <v>-8.2967428</v>
      </c>
      <c r="K47" s="2" t="n">
        <v>4</v>
      </c>
      <c r="L47" s="2" t="s">
        <v>145</v>
      </c>
      <c r="M47" s="2" t="s">
        <v>92</v>
      </c>
      <c r="N47" s="2" t="s">
        <v>96</v>
      </c>
      <c r="O47" s="2" t="s">
        <v>97</v>
      </c>
      <c r="P47" s="2" t="s">
        <v>98</v>
      </c>
      <c r="Q47" s="2" t="s">
        <v>272</v>
      </c>
      <c r="R47" s="2" t="s">
        <v>273</v>
      </c>
      <c r="S47" s="6" t="n">
        <v>45618</v>
      </c>
      <c r="T47" s="6"/>
      <c r="U47" s="2" t="s">
        <v>85</v>
      </c>
      <c r="V47" s="2" t="s">
        <v>85</v>
      </c>
      <c r="W47" s="6"/>
      <c r="X47" s="6"/>
      <c r="Y47" s="2"/>
      <c r="Z47" s="2" t="n">
        <v>0</v>
      </c>
      <c r="AA47" s="2" t="n">
        <v>0</v>
      </c>
      <c r="AB47" s="6"/>
      <c r="AC47" s="2" t="n">
        <v>0</v>
      </c>
      <c r="AD47" s="2" t="n">
        <v>0</v>
      </c>
      <c r="AE47" s="7"/>
      <c r="AF47" s="7"/>
      <c r="AG47" s="7"/>
      <c r="AH47" s="7"/>
      <c r="AI47" s="2" t="s">
        <v>86</v>
      </c>
      <c r="AJ47" s="2" t="s">
        <v>87</v>
      </c>
      <c r="AK47" s="2"/>
      <c r="AL47" s="2"/>
      <c r="AM47" s="2"/>
      <c r="AN47" s="2"/>
      <c r="AO47" s="2"/>
      <c r="AP47" s="2"/>
      <c r="AQ47" s="2"/>
    </row>
    <row r="48" customFormat="false" ht="15" hidden="false" customHeight="false" outlineLevel="0" collapsed="false">
      <c r="A48" s="2" t="s">
        <v>274</v>
      </c>
      <c r="B48" s="2" t="s">
        <v>274</v>
      </c>
      <c r="C48" s="2" t="s">
        <v>64</v>
      </c>
      <c r="D48" s="2" t="s">
        <v>275</v>
      </c>
      <c r="E48" s="2" t="s">
        <v>276</v>
      </c>
      <c r="F48" s="2" t="s">
        <v>82</v>
      </c>
      <c r="G48" s="2" t="s">
        <v>164</v>
      </c>
      <c r="H48" s="2" t="s">
        <v>69</v>
      </c>
      <c r="I48" s="2" t="n">
        <v>52.5641069871393</v>
      </c>
      <c r="J48" s="2" t="n">
        <v>-8.33788716808454</v>
      </c>
      <c r="K48" s="2" t="n">
        <v>3</v>
      </c>
      <c r="L48" s="2" t="s">
        <v>145</v>
      </c>
      <c r="M48" s="2" t="s">
        <v>83</v>
      </c>
      <c r="N48" s="2" t="s">
        <v>72</v>
      </c>
      <c r="O48" s="2" t="s">
        <v>73</v>
      </c>
      <c r="P48" s="2" t="s">
        <v>73</v>
      </c>
      <c r="Q48" s="2" t="s">
        <v>120</v>
      </c>
      <c r="R48" s="2" t="s">
        <v>120</v>
      </c>
      <c r="S48" s="6" t="n">
        <v>45000</v>
      </c>
      <c r="T48" s="6" t="n">
        <v>45232</v>
      </c>
      <c r="U48" s="2" t="s">
        <v>76</v>
      </c>
      <c r="V48" s="2" t="s">
        <v>85</v>
      </c>
      <c r="W48" s="6" t="n">
        <v>47058</v>
      </c>
      <c r="X48" s="6" t="n">
        <v>45530</v>
      </c>
      <c r="Y48" s="2" t="s">
        <v>104</v>
      </c>
      <c r="Z48" s="2" t="n">
        <v>1</v>
      </c>
      <c r="AA48" s="2" t="n">
        <v>0</v>
      </c>
      <c r="AB48" s="6" t="n">
        <v>45981</v>
      </c>
      <c r="AC48" s="2" t="n">
        <v>1</v>
      </c>
      <c r="AD48" s="2" t="n">
        <v>3</v>
      </c>
      <c r="AE48" s="7" t="n">
        <v>0.635181382614648</v>
      </c>
      <c r="AF48" s="7" t="n">
        <v>0.815879534565366</v>
      </c>
      <c r="AG48" s="7" t="n">
        <v>1.23477070499658</v>
      </c>
      <c r="AH48" s="7" t="n">
        <v>2.42960088691796</v>
      </c>
      <c r="AI48" s="2" t="s">
        <v>77</v>
      </c>
      <c r="AJ48" s="2" t="s">
        <v>78</v>
      </c>
      <c r="AK48" s="2"/>
      <c r="AL48" s="2" t="s">
        <v>64</v>
      </c>
      <c r="AM48" s="2"/>
      <c r="AN48" s="2"/>
      <c r="AO48" s="2"/>
      <c r="AP48" s="2"/>
      <c r="AQ48" s="2"/>
    </row>
    <row r="49" customFormat="false" ht="15" hidden="false" customHeight="false" outlineLevel="0" collapsed="false">
      <c r="A49" s="2" t="s">
        <v>277</v>
      </c>
      <c r="B49" s="2" t="s">
        <v>277</v>
      </c>
      <c r="C49" s="2" t="s">
        <v>64</v>
      </c>
      <c r="D49" s="2" t="s">
        <v>278</v>
      </c>
      <c r="E49" s="2" t="s">
        <v>279</v>
      </c>
      <c r="F49" s="2" t="s">
        <v>82</v>
      </c>
      <c r="G49" s="2" t="s">
        <v>164</v>
      </c>
      <c r="H49" s="2" t="s">
        <v>69</v>
      </c>
      <c r="I49" s="2" t="n">
        <v>52.5641754272566</v>
      </c>
      <c r="J49" s="2" t="n">
        <v>-8.33817176764635</v>
      </c>
      <c r="K49" s="2" t="n">
        <v>3</v>
      </c>
      <c r="L49" s="2" t="s">
        <v>145</v>
      </c>
      <c r="M49" s="2" t="s">
        <v>83</v>
      </c>
      <c r="N49" s="2" t="s">
        <v>96</v>
      </c>
      <c r="O49" s="2" t="s">
        <v>97</v>
      </c>
      <c r="P49" s="2" t="s">
        <v>98</v>
      </c>
      <c r="Q49" s="2" t="s">
        <v>188</v>
      </c>
      <c r="R49" s="2" t="s">
        <v>75</v>
      </c>
      <c r="S49" s="6" t="n">
        <v>42208</v>
      </c>
      <c r="T49" s="6" t="n">
        <v>42256</v>
      </c>
      <c r="U49" s="2" t="s">
        <v>85</v>
      </c>
      <c r="V49" s="2" t="s">
        <v>85</v>
      </c>
      <c r="W49" s="6"/>
      <c r="X49" s="6"/>
      <c r="Y49" s="2"/>
      <c r="Z49" s="2" t="n">
        <v>0</v>
      </c>
      <c r="AA49" s="2" t="n">
        <v>0</v>
      </c>
      <c r="AB49" s="6"/>
      <c r="AC49" s="2" t="n">
        <v>0</v>
      </c>
      <c r="AD49" s="2" t="n">
        <v>0</v>
      </c>
      <c r="AE49" s="7" t="n">
        <v>0.131416837782341</v>
      </c>
      <c r="AF49" s="7"/>
      <c r="AG49" s="7"/>
      <c r="AH49" s="7"/>
      <c r="AI49" s="2" t="s">
        <v>86</v>
      </c>
      <c r="AJ49" s="2" t="s">
        <v>87</v>
      </c>
      <c r="AK49" s="2"/>
      <c r="AL49" s="2"/>
      <c r="AM49" s="2"/>
      <c r="AN49" s="2"/>
      <c r="AO49" s="2"/>
      <c r="AP49" s="2"/>
      <c r="AQ49" s="2"/>
    </row>
    <row r="50" customFormat="false" ht="15" hidden="false" customHeight="false" outlineLevel="0" collapsed="false">
      <c r="A50" s="2" t="s">
        <v>280</v>
      </c>
      <c r="B50" s="2" t="s">
        <v>280</v>
      </c>
      <c r="C50" s="2" t="s">
        <v>64</v>
      </c>
      <c r="D50" s="2" t="s">
        <v>281</v>
      </c>
      <c r="E50" s="2" t="s">
        <v>282</v>
      </c>
      <c r="F50" s="2" t="s">
        <v>169</v>
      </c>
      <c r="G50" s="2" t="s">
        <v>164</v>
      </c>
      <c r="H50" s="2" t="s">
        <v>69</v>
      </c>
      <c r="I50" s="2" t="n">
        <v>52.4787723960867</v>
      </c>
      <c r="J50" s="2" t="n">
        <v>-8.54761102285402</v>
      </c>
      <c r="K50" s="2" t="n">
        <v>2</v>
      </c>
      <c r="L50" s="2" t="s">
        <v>145</v>
      </c>
      <c r="M50" s="2" t="s">
        <v>83</v>
      </c>
      <c r="N50" s="2" t="s">
        <v>72</v>
      </c>
      <c r="O50" s="2" t="s">
        <v>73</v>
      </c>
      <c r="P50" s="2" t="s">
        <v>73</v>
      </c>
      <c r="Q50" s="2" t="s">
        <v>120</v>
      </c>
      <c r="R50" s="2" t="s">
        <v>120</v>
      </c>
      <c r="S50" s="6" t="n">
        <v>43816</v>
      </c>
      <c r="T50" s="6" t="n">
        <v>43908</v>
      </c>
      <c r="U50" s="2" t="s">
        <v>85</v>
      </c>
      <c r="V50" s="2" t="s">
        <v>85</v>
      </c>
      <c r="W50" s="6" t="n">
        <v>45733</v>
      </c>
      <c r="X50" s="6" t="n">
        <v>44678</v>
      </c>
      <c r="Y50" s="2" t="s">
        <v>104</v>
      </c>
      <c r="Z50" s="2" t="n">
        <v>1</v>
      </c>
      <c r="AA50" s="2" t="n">
        <v>2</v>
      </c>
      <c r="AB50" s="6" t="n">
        <v>45646</v>
      </c>
      <c r="AC50" s="2" t="n">
        <v>1</v>
      </c>
      <c r="AD50" s="2" t="n">
        <v>1</v>
      </c>
      <c r="AE50" s="7" t="n">
        <v>0.251882272416153</v>
      </c>
      <c r="AF50" s="7" t="n">
        <v>2.10814510609172</v>
      </c>
      <c r="AG50" s="7" t="n">
        <v>2.65023956194387</v>
      </c>
      <c r="AH50" s="7" t="n">
        <v>0.754648760330579</v>
      </c>
      <c r="AI50" s="2" t="s">
        <v>86</v>
      </c>
      <c r="AJ50" s="2" t="s">
        <v>87</v>
      </c>
      <c r="AK50" s="2"/>
      <c r="AL50" s="2" t="s">
        <v>64</v>
      </c>
      <c r="AM50" s="2"/>
      <c r="AN50" s="2"/>
      <c r="AO50" s="2"/>
      <c r="AP50" s="2"/>
      <c r="AQ50" s="2"/>
    </row>
    <row r="51" customFormat="false" ht="15" hidden="false" customHeight="false" outlineLevel="0" collapsed="false">
      <c r="A51" s="2" t="s">
        <v>283</v>
      </c>
      <c r="B51" s="2" t="s">
        <v>283</v>
      </c>
      <c r="C51" s="2" t="s">
        <v>64</v>
      </c>
      <c r="D51" s="2" t="s">
        <v>284</v>
      </c>
      <c r="E51" s="2" t="s">
        <v>285</v>
      </c>
      <c r="F51" s="2" t="s">
        <v>82</v>
      </c>
      <c r="G51" s="2" t="s">
        <v>164</v>
      </c>
      <c r="H51" s="2" t="s">
        <v>69</v>
      </c>
      <c r="I51" s="2" t="n">
        <v>52.4121881641551</v>
      </c>
      <c r="J51" s="2" t="n">
        <v>-8.37932819463466</v>
      </c>
      <c r="K51" s="2" t="n">
        <v>1</v>
      </c>
      <c r="L51" s="2" t="s">
        <v>145</v>
      </c>
      <c r="M51" s="2" t="s">
        <v>92</v>
      </c>
      <c r="N51" s="2" t="s">
        <v>72</v>
      </c>
      <c r="O51" s="2" t="s">
        <v>73</v>
      </c>
      <c r="P51" s="2" t="s">
        <v>73</v>
      </c>
      <c r="Q51" s="2" t="s">
        <v>74</v>
      </c>
      <c r="R51" s="2" t="s">
        <v>156</v>
      </c>
      <c r="S51" s="6" t="n">
        <v>43948</v>
      </c>
      <c r="T51" s="6" t="n">
        <v>44098</v>
      </c>
      <c r="U51" s="2" t="s">
        <v>76</v>
      </c>
      <c r="V51" s="2" t="s">
        <v>85</v>
      </c>
      <c r="W51" s="6" t="n">
        <v>45923</v>
      </c>
      <c r="X51" s="6"/>
      <c r="Y51" s="2"/>
      <c r="Z51" s="2" t="n">
        <v>0</v>
      </c>
      <c r="AA51" s="2" t="n">
        <v>0</v>
      </c>
      <c r="AB51" s="6"/>
      <c r="AC51" s="2" t="n">
        <v>0</v>
      </c>
      <c r="AD51" s="2" t="n">
        <v>0</v>
      </c>
      <c r="AE51" s="7" t="n">
        <v>0.410677618069815</v>
      </c>
      <c r="AF51" s="7"/>
      <c r="AG51" s="7"/>
      <c r="AH51" s="7"/>
      <c r="AI51" s="2" t="s">
        <v>86</v>
      </c>
      <c r="AJ51" s="2" t="s">
        <v>87</v>
      </c>
      <c r="AK51" s="2"/>
      <c r="AL51" s="2"/>
      <c r="AM51" s="2"/>
      <c r="AN51" s="2"/>
      <c r="AO51" s="2"/>
      <c r="AP51" s="2"/>
      <c r="AQ51" s="2"/>
    </row>
    <row r="52" customFormat="false" ht="15" hidden="false" customHeight="false" outlineLevel="0" collapsed="false">
      <c r="A52" s="2" t="s">
        <v>286</v>
      </c>
      <c r="B52" s="2" t="s">
        <v>286</v>
      </c>
      <c r="C52" s="2" t="s">
        <v>64</v>
      </c>
      <c r="D52" s="2" t="s">
        <v>287</v>
      </c>
      <c r="E52" s="2" t="s">
        <v>288</v>
      </c>
      <c r="F52" s="2" t="s">
        <v>289</v>
      </c>
      <c r="G52" s="2" t="s">
        <v>290</v>
      </c>
      <c r="H52" s="2" t="s">
        <v>291</v>
      </c>
      <c r="I52" s="2" t="n">
        <v>52.6641222002498</v>
      </c>
      <c r="J52" s="2" t="n">
        <v>-8.56180672321082</v>
      </c>
      <c r="K52" s="2" t="n">
        <v>523</v>
      </c>
      <c r="L52" s="2" t="s">
        <v>292</v>
      </c>
      <c r="M52" s="2" t="s">
        <v>95</v>
      </c>
      <c r="N52" s="2" t="s">
        <v>293</v>
      </c>
      <c r="O52" s="2" t="s">
        <v>73</v>
      </c>
      <c r="P52" s="2" t="s">
        <v>73</v>
      </c>
      <c r="Q52" s="2" t="s">
        <v>74</v>
      </c>
      <c r="R52" s="2" t="s">
        <v>75</v>
      </c>
      <c r="S52" s="6" t="n">
        <v>46085</v>
      </c>
      <c r="T52" s="6" t="n">
        <v>46140</v>
      </c>
      <c r="U52" s="2" t="s">
        <v>85</v>
      </c>
      <c r="V52" s="2" t="s">
        <v>85</v>
      </c>
      <c r="W52" s="6" t="n">
        <v>48092</v>
      </c>
      <c r="X52" s="6"/>
      <c r="Y52" s="2"/>
      <c r="Z52" s="2" t="n">
        <v>0</v>
      </c>
      <c r="AA52" s="2" t="n">
        <v>0</v>
      </c>
      <c r="AB52" s="6"/>
      <c r="AC52" s="2" t="n">
        <v>0</v>
      </c>
      <c r="AD52" s="2" t="n">
        <v>0</v>
      </c>
      <c r="AE52" s="7" t="n">
        <v>0.150581793292266</v>
      </c>
      <c r="AF52" s="7"/>
      <c r="AG52" s="7"/>
      <c r="AH52" s="7"/>
      <c r="AI52" s="2" t="s">
        <v>86</v>
      </c>
      <c r="AJ52" s="2" t="s">
        <v>87</v>
      </c>
      <c r="AK52" s="2"/>
      <c r="AL52" s="2"/>
      <c r="AM52" s="2"/>
      <c r="AN52" s="2"/>
      <c r="AO52" s="2"/>
      <c r="AP52" s="2"/>
      <c r="AQ52" s="2"/>
    </row>
    <row r="53" customFormat="false" ht="15" hidden="false" customHeight="false" outlineLevel="0" collapsed="false">
      <c r="A53" s="2" t="s">
        <v>294</v>
      </c>
      <c r="B53" s="2" t="s">
        <v>294</v>
      </c>
      <c r="C53" s="2" t="s">
        <v>64</v>
      </c>
      <c r="D53" s="2" t="s">
        <v>295</v>
      </c>
      <c r="E53" s="2" t="s">
        <v>296</v>
      </c>
      <c r="F53" s="2" t="s">
        <v>289</v>
      </c>
      <c r="G53" s="2" t="s">
        <v>290</v>
      </c>
      <c r="H53" s="2" t="s">
        <v>291</v>
      </c>
      <c r="I53" s="2" t="n">
        <v>52.6568595236236</v>
      </c>
      <c r="J53" s="2" t="n">
        <v>-8.57367296464959</v>
      </c>
      <c r="K53" s="2" t="n">
        <v>465</v>
      </c>
      <c r="L53" s="2" t="s">
        <v>292</v>
      </c>
      <c r="M53" s="2" t="s">
        <v>297</v>
      </c>
      <c r="N53" s="2" t="s">
        <v>293</v>
      </c>
      <c r="O53" s="2" t="s">
        <v>73</v>
      </c>
      <c r="P53" s="2" t="s">
        <v>73</v>
      </c>
      <c r="Q53" s="2" t="s">
        <v>74</v>
      </c>
      <c r="R53" s="2" t="s">
        <v>75</v>
      </c>
      <c r="S53" s="6" t="n">
        <v>46052</v>
      </c>
      <c r="T53" s="6" t="n">
        <v>46225</v>
      </c>
      <c r="U53" s="2" t="s">
        <v>85</v>
      </c>
      <c r="V53" s="2" t="s">
        <v>76</v>
      </c>
      <c r="W53" s="6" t="n">
        <v>48050</v>
      </c>
      <c r="X53" s="6"/>
      <c r="Y53" s="2"/>
      <c r="Z53" s="2" t="n">
        <v>0</v>
      </c>
      <c r="AA53" s="2" t="n">
        <v>0</v>
      </c>
      <c r="AB53" s="6"/>
      <c r="AC53" s="2" t="n">
        <v>0</v>
      </c>
      <c r="AD53" s="2" t="n">
        <v>0</v>
      </c>
      <c r="AE53" s="7" t="n">
        <v>0.473648186173854</v>
      </c>
      <c r="AF53" s="7"/>
      <c r="AG53" s="7"/>
      <c r="AH53" s="7"/>
      <c r="AI53" s="2" t="s">
        <v>86</v>
      </c>
      <c r="AJ53" s="2" t="s">
        <v>87</v>
      </c>
      <c r="AK53" s="2"/>
      <c r="AL53" s="2"/>
      <c r="AM53" s="2"/>
      <c r="AN53" s="2"/>
      <c r="AO53" s="2"/>
      <c r="AP53" s="2"/>
      <c r="AQ53" s="2"/>
    </row>
    <row r="54" customFormat="false" ht="15" hidden="false" customHeight="false" outlineLevel="0" collapsed="false">
      <c r="A54" s="2" t="s">
        <v>298</v>
      </c>
      <c r="B54" s="2" t="s">
        <v>298</v>
      </c>
      <c r="C54" s="2" t="s">
        <v>64</v>
      </c>
      <c r="D54" s="2" t="s">
        <v>299</v>
      </c>
      <c r="E54" s="2" t="s">
        <v>300</v>
      </c>
      <c r="F54" s="2" t="s">
        <v>82</v>
      </c>
      <c r="G54" s="2" t="s">
        <v>290</v>
      </c>
      <c r="H54" s="2" t="s">
        <v>301</v>
      </c>
      <c r="I54" s="2" t="n">
        <v>52.6601730476716</v>
      </c>
      <c r="J54" s="2" t="n">
        <v>-8.58854987829922</v>
      </c>
      <c r="K54" s="2" t="n">
        <v>403</v>
      </c>
      <c r="L54" s="2" t="s">
        <v>292</v>
      </c>
      <c r="M54" s="2" t="s">
        <v>95</v>
      </c>
      <c r="N54" s="2" t="s">
        <v>293</v>
      </c>
      <c r="O54" s="2" t="s">
        <v>73</v>
      </c>
      <c r="P54" s="2" t="s">
        <v>73</v>
      </c>
      <c r="Q54" s="2" t="s">
        <v>74</v>
      </c>
      <c r="R54" s="2" t="s">
        <v>75</v>
      </c>
      <c r="S54" s="6" t="n">
        <v>46170</v>
      </c>
      <c r="T54" s="6" t="n">
        <v>46225</v>
      </c>
      <c r="U54" s="2" t="s">
        <v>85</v>
      </c>
      <c r="V54" s="2" t="s">
        <v>85</v>
      </c>
      <c r="W54" s="6" t="n">
        <v>48051</v>
      </c>
      <c r="X54" s="6"/>
      <c r="Y54" s="2"/>
      <c r="Z54" s="2" t="n">
        <v>0</v>
      </c>
      <c r="AA54" s="2" t="n">
        <v>0</v>
      </c>
      <c r="AB54" s="6"/>
      <c r="AC54" s="2" t="n">
        <v>0</v>
      </c>
      <c r="AD54" s="2" t="n">
        <v>0</v>
      </c>
      <c r="AE54" s="7" t="n">
        <v>0.150581793292266</v>
      </c>
      <c r="AF54" s="7"/>
      <c r="AG54" s="7"/>
      <c r="AH54" s="7"/>
      <c r="AI54" s="2" t="s">
        <v>86</v>
      </c>
      <c r="AJ54" s="2" t="s">
        <v>87</v>
      </c>
      <c r="AK54" s="2"/>
      <c r="AL54" s="2"/>
      <c r="AM54" s="2"/>
      <c r="AN54" s="2"/>
      <c r="AO54" s="2"/>
      <c r="AP54" s="2"/>
      <c r="AQ54" s="2"/>
    </row>
    <row r="55" customFormat="false" ht="15" hidden="false" customHeight="false" outlineLevel="0" collapsed="false">
      <c r="A55" s="2" t="s">
        <v>302</v>
      </c>
      <c r="B55" s="2" t="s">
        <v>302</v>
      </c>
      <c r="C55" s="2" t="s">
        <v>64</v>
      </c>
      <c r="D55" s="2" t="s">
        <v>303</v>
      </c>
      <c r="E55" s="2" t="s">
        <v>304</v>
      </c>
      <c r="F55" s="2" t="s">
        <v>289</v>
      </c>
      <c r="G55" s="2" t="s">
        <v>290</v>
      </c>
      <c r="H55" s="2" t="s">
        <v>291</v>
      </c>
      <c r="I55" s="2" t="n">
        <v>52.6556110480767</v>
      </c>
      <c r="J55" s="2" t="n">
        <v>-8.58159546007589</v>
      </c>
      <c r="K55" s="2" t="n">
        <v>212</v>
      </c>
      <c r="L55" s="2" t="s">
        <v>292</v>
      </c>
      <c r="M55" s="2" t="s">
        <v>71</v>
      </c>
      <c r="N55" s="2" t="s">
        <v>293</v>
      </c>
      <c r="O55" s="2" t="s">
        <v>73</v>
      </c>
      <c r="P55" s="2" t="s">
        <v>73</v>
      </c>
      <c r="Q55" s="2" t="s">
        <v>74</v>
      </c>
      <c r="R55" s="2" t="s">
        <v>75</v>
      </c>
      <c r="S55" s="6" t="n">
        <v>46092</v>
      </c>
      <c r="T55" s="6" t="n">
        <v>46288</v>
      </c>
      <c r="U55" s="2" t="s">
        <v>76</v>
      </c>
      <c r="V55" s="2" t="s">
        <v>85</v>
      </c>
      <c r="W55" s="6" t="n">
        <v>48113</v>
      </c>
      <c r="X55" s="6"/>
      <c r="Y55" s="2"/>
      <c r="Z55" s="2" t="n">
        <v>0</v>
      </c>
      <c r="AA55" s="2" t="n">
        <v>0</v>
      </c>
      <c r="AB55" s="6"/>
      <c r="AC55" s="2" t="n">
        <v>0</v>
      </c>
      <c r="AD55" s="2" t="n">
        <v>0</v>
      </c>
      <c r="AE55" s="7" t="n">
        <v>0.536618754277892</v>
      </c>
      <c r="AF55" s="7"/>
      <c r="AG55" s="7"/>
      <c r="AH55" s="7"/>
      <c r="AI55" s="2" t="s">
        <v>86</v>
      </c>
      <c r="AJ55" s="2" t="s">
        <v>87</v>
      </c>
      <c r="AK55" s="2"/>
      <c r="AL55" s="2"/>
      <c r="AM55" s="2"/>
      <c r="AN55" s="2"/>
      <c r="AO55" s="2"/>
      <c r="AP55" s="2"/>
      <c r="AQ55" s="2"/>
    </row>
    <row r="56" customFormat="false" ht="15" hidden="false" customHeight="false" outlineLevel="0" collapsed="false">
      <c r="A56" s="2" t="s">
        <v>305</v>
      </c>
      <c r="B56" s="2" t="s">
        <v>305</v>
      </c>
      <c r="C56" s="2" t="s">
        <v>64</v>
      </c>
      <c r="D56" s="2" t="s">
        <v>306</v>
      </c>
      <c r="E56" s="2" t="s">
        <v>307</v>
      </c>
      <c r="F56" s="2" t="s">
        <v>289</v>
      </c>
      <c r="G56" s="2" t="s">
        <v>290</v>
      </c>
      <c r="H56" s="2" t="s">
        <v>291</v>
      </c>
      <c r="I56" s="2" t="n">
        <v>52.6667762317154</v>
      </c>
      <c r="J56" s="2" t="n">
        <v>-8.54936755364644</v>
      </c>
      <c r="K56" s="2" t="n">
        <v>200</v>
      </c>
      <c r="L56" s="2" t="s">
        <v>292</v>
      </c>
      <c r="M56" s="2" t="s">
        <v>71</v>
      </c>
      <c r="N56" s="2" t="s">
        <v>308</v>
      </c>
      <c r="O56" s="2" t="s">
        <v>73</v>
      </c>
      <c r="P56" s="2" t="s">
        <v>73</v>
      </c>
      <c r="Q56" s="2" t="s">
        <v>120</v>
      </c>
      <c r="R56" s="2" t="s">
        <v>120</v>
      </c>
      <c r="S56" s="6" t="n">
        <v>44029</v>
      </c>
      <c r="T56" s="6" t="n">
        <v>44137</v>
      </c>
      <c r="U56" s="2" t="s">
        <v>85</v>
      </c>
      <c r="V56" s="2" t="s">
        <v>85</v>
      </c>
      <c r="W56" s="6" t="n">
        <v>45962</v>
      </c>
      <c r="X56" s="6" t="n">
        <v>44803</v>
      </c>
      <c r="Y56" s="2" t="s">
        <v>104</v>
      </c>
      <c r="Z56" s="2" t="n">
        <v>10</v>
      </c>
      <c r="AA56" s="2" t="n">
        <v>143</v>
      </c>
      <c r="AB56" s="6" t="n">
        <v>45555</v>
      </c>
      <c r="AC56" s="2" t="n">
        <v>15</v>
      </c>
      <c r="AD56" s="2" t="n">
        <v>23</v>
      </c>
      <c r="AE56" s="7" t="n">
        <v>0.295687885010267</v>
      </c>
      <c r="AF56" s="7" t="n">
        <v>1.82340862422998</v>
      </c>
      <c r="AG56" s="7" t="n">
        <v>2.05886379192334</v>
      </c>
      <c r="AH56" s="7" t="n">
        <v>97.1409574468085</v>
      </c>
      <c r="AI56" s="2" t="s">
        <v>86</v>
      </c>
      <c r="AJ56" s="2" t="s">
        <v>87</v>
      </c>
      <c r="AK56" s="2"/>
      <c r="AL56" s="2" t="s">
        <v>64</v>
      </c>
      <c r="AM56" s="2"/>
      <c r="AN56" s="2"/>
      <c r="AO56" s="2"/>
      <c r="AP56" s="2"/>
      <c r="AQ56" s="2"/>
    </row>
    <row r="57" customFormat="false" ht="15" hidden="false" customHeight="false" outlineLevel="0" collapsed="false">
      <c r="A57" s="2" t="s">
        <v>309</v>
      </c>
      <c r="B57" s="2" t="s">
        <v>309</v>
      </c>
      <c r="C57" s="2" t="s">
        <v>64</v>
      </c>
      <c r="D57" s="2" t="s">
        <v>310</v>
      </c>
      <c r="E57" s="2" t="s">
        <v>311</v>
      </c>
      <c r="F57" s="2" t="s">
        <v>289</v>
      </c>
      <c r="G57" s="2" t="s">
        <v>290</v>
      </c>
      <c r="H57" s="2" t="s">
        <v>291</v>
      </c>
      <c r="I57" s="2" t="n">
        <v>52.6638120330614</v>
      </c>
      <c r="J57" s="2" t="n">
        <v>-8.58024223530128</v>
      </c>
      <c r="K57" s="2" t="n">
        <v>196</v>
      </c>
      <c r="L57" s="2" t="s">
        <v>292</v>
      </c>
      <c r="M57" s="2" t="s">
        <v>297</v>
      </c>
      <c r="N57" s="2" t="s">
        <v>293</v>
      </c>
      <c r="O57" s="2" t="s">
        <v>73</v>
      </c>
      <c r="P57" s="2" t="s">
        <v>73</v>
      </c>
      <c r="Q57" s="2" t="s">
        <v>263</v>
      </c>
      <c r="R57" s="2" t="s">
        <v>75</v>
      </c>
      <c r="S57" s="6" t="n">
        <v>45700</v>
      </c>
      <c r="T57" s="6" t="n">
        <v>45959</v>
      </c>
      <c r="U57" s="2" t="s">
        <v>76</v>
      </c>
      <c r="V57" s="2" t="s">
        <v>85</v>
      </c>
      <c r="W57" s="6" t="n">
        <v>47784</v>
      </c>
      <c r="X57" s="6"/>
      <c r="Y57" s="2"/>
      <c r="Z57" s="2" t="n">
        <v>0</v>
      </c>
      <c r="AA57" s="2" t="n">
        <v>0</v>
      </c>
      <c r="AB57" s="6"/>
      <c r="AC57" s="2" t="n">
        <v>0</v>
      </c>
      <c r="AD57" s="2" t="n">
        <v>0</v>
      </c>
      <c r="AE57" s="7" t="n">
        <v>0.709103353867214</v>
      </c>
      <c r="AF57" s="7"/>
      <c r="AG57" s="7"/>
      <c r="AH57" s="7"/>
      <c r="AI57" s="2" t="s">
        <v>86</v>
      </c>
      <c r="AJ57" s="2" t="s">
        <v>87</v>
      </c>
      <c r="AK57" s="2"/>
      <c r="AL57" s="2"/>
      <c r="AM57" s="2"/>
      <c r="AN57" s="2"/>
      <c r="AO57" s="2"/>
      <c r="AP57" s="2"/>
      <c r="AQ57" s="2"/>
    </row>
    <row r="58" customFormat="false" ht="15" hidden="false" customHeight="false" outlineLevel="0" collapsed="false">
      <c r="A58" s="2" t="s">
        <v>312</v>
      </c>
      <c r="B58" s="2" t="s">
        <v>312</v>
      </c>
      <c r="C58" s="2" t="s">
        <v>64</v>
      </c>
      <c r="D58" s="2" t="s">
        <v>313</v>
      </c>
      <c r="E58" s="2" t="s">
        <v>314</v>
      </c>
      <c r="F58" s="2" t="s">
        <v>315</v>
      </c>
      <c r="G58" s="2" t="s">
        <v>290</v>
      </c>
      <c r="H58" s="2" t="s">
        <v>291</v>
      </c>
      <c r="I58" s="2" t="n">
        <v>52.6674192040942</v>
      </c>
      <c r="J58" s="2" t="n">
        <v>-8.53532027550934</v>
      </c>
      <c r="K58" s="2" t="n">
        <v>137</v>
      </c>
      <c r="L58" s="2" t="s">
        <v>292</v>
      </c>
      <c r="M58" s="2" t="s">
        <v>71</v>
      </c>
      <c r="N58" s="2" t="s">
        <v>308</v>
      </c>
      <c r="O58" s="2" t="s">
        <v>73</v>
      </c>
      <c r="P58" s="2" t="s">
        <v>73</v>
      </c>
      <c r="Q58" s="2" t="s">
        <v>74</v>
      </c>
      <c r="R58" s="2" t="s">
        <v>156</v>
      </c>
      <c r="S58" s="6" t="n">
        <v>44307</v>
      </c>
      <c r="T58" s="6" t="n">
        <v>44413</v>
      </c>
      <c r="U58" s="2" t="s">
        <v>85</v>
      </c>
      <c r="V58" s="2" t="s">
        <v>85</v>
      </c>
      <c r="W58" s="6" t="n">
        <v>46238</v>
      </c>
      <c r="X58" s="6"/>
      <c r="Y58" s="2"/>
      <c r="Z58" s="2" t="n">
        <v>0</v>
      </c>
      <c r="AA58" s="2" t="n">
        <v>0</v>
      </c>
      <c r="AB58" s="6"/>
      <c r="AC58" s="2" t="n">
        <v>0</v>
      </c>
      <c r="AD58" s="2" t="n">
        <v>0</v>
      </c>
      <c r="AE58" s="7" t="n">
        <v>0.290212183436003</v>
      </c>
      <c r="AF58" s="7"/>
      <c r="AG58" s="7"/>
      <c r="AH58" s="7"/>
      <c r="AI58" s="2" t="s">
        <v>86</v>
      </c>
      <c r="AJ58" s="2" t="s">
        <v>87</v>
      </c>
      <c r="AK58" s="2" t="s">
        <v>174</v>
      </c>
      <c r="AL58" s="2"/>
      <c r="AM58" s="2"/>
      <c r="AN58" s="2"/>
      <c r="AO58" s="2"/>
      <c r="AP58" s="2"/>
      <c r="AQ58" s="2"/>
    </row>
    <row r="59" customFormat="false" ht="15" hidden="false" customHeight="false" outlineLevel="0" collapsed="false">
      <c r="A59" s="2" t="s">
        <v>316</v>
      </c>
      <c r="B59" s="2" t="s">
        <v>316</v>
      </c>
      <c r="C59" s="2" t="s">
        <v>64</v>
      </c>
      <c r="D59" s="2" t="s">
        <v>317</v>
      </c>
      <c r="E59" s="2" t="s">
        <v>318</v>
      </c>
      <c r="F59" s="2" t="s">
        <v>82</v>
      </c>
      <c r="G59" s="2" t="s">
        <v>290</v>
      </c>
      <c r="H59" s="2" t="s">
        <v>301</v>
      </c>
      <c r="I59" s="2" t="n">
        <v>52.6575288576722</v>
      </c>
      <c r="J59" s="2" t="n">
        <v>-8.58691160977696</v>
      </c>
      <c r="K59" s="2" t="n">
        <v>133</v>
      </c>
      <c r="L59" s="2" t="s">
        <v>292</v>
      </c>
      <c r="M59" s="2" t="s">
        <v>71</v>
      </c>
      <c r="N59" s="2" t="s">
        <v>72</v>
      </c>
      <c r="O59" s="2" t="s">
        <v>73</v>
      </c>
      <c r="P59" s="2" t="s">
        <v>73</v>
      </c>
      <c r="Q59" s="2" t="s">
        <v>120</v>
      </c>
      <c r="R59" s="2" t="s">
        <v>120</v>
      </c>
      <c r="S59" s="6" t="n">
        <v>43224</v>
      </c>
      <c r="T59" s="6" t="n">
        <v>43410</v>
      </c>
      <c r="U59" s="2" t="s">
        <v>76</v>
      </c>
      <c r="V59" s="2" t="s">
        <v>85</v>
      </c>
      <c r="W59" s="6" t="n">
        <v>45235</v>
      </c>
      <c r="X59" s="6" t="n">
        <v>44004</v>
      </c>
      <c r="Y59" s="2" t="s">
        <v>104</v>
      </c>
      <c r="Z59" s="2" t="n">
        <v>8</v>
      </c>
      <c r="AA59" s="2" t="n">
        <v>104</v>
      </c>
      <c r="AB59" s="6" t="n">
        <v>45834</v>
      </c>
      <c r="AC59" s="2" t="n">
        <v>11</v>
      </c>
      <c r="AD59" s="2" t="n">
        <v>29</v>
      </c>
      <c r="AE59" s="7" t="n">
        <v>0.509240246406571</v>
      </c>
      <c r="AF59" s="7" t="n">
        <v>1.62628336755647</v>
      </c>
      <c r="AG59" s="7" t="n">
        <v>5.01026694045175</v>
      </c>
      <c r="AH59" s="7" t="n">
        <v>26.5454918032787</v>
      </c>
      <c r="AI59" s="2" t="s">
        <v>86</v>
      </c>
      <c r="AJ59" s="2" t="s">
        <v>87</v>
      </c>
      <c r="AK59" s="2"/>
      <c r="AL59" s="2" t="s">
        <v>64</v>
      </c>
      <c r="AM59" s="2"/>
      <c r="AN59" s="2"/>
      <c r="AO59" s="2"/>
      <c r="AP59" s="2"/>
      <c r="AQ59" s="2"/>
    </row>
    <row r="60" customFormat="false" ht="15" hidden="false" customHeight="false" outlineLevel="0" collapsed="false">
      <c r="A60" s="2" t="s">
        <v>319</v>
      </c>
      <c r="B60" s="2" t="s">
        <v>319</v>
      </c>
      <c r="C60" s="2" t="s">
        <v>64</v>
      </c>
      <c r="D60" s="2" t="s">
        <v>320</v>
      </c>
      <c r="E60" s="2" t="s">
        <v>321</v>
      </c>
      <c r="F60" s="2" t="s">
        <v>289</v>
      </c>
      <c r="G60" s="2" t="s">
        <v>290</v>
      </c>
      <c r="H60" s="2" t="s">
        <v>291</v>
      </c>
      <c r="I60" s="2" t="n">
        <v>52.6527143904202</v>
      </c>
      <c r="J60" s="2" t="n">
        <v>-8.56041193444949</v>
      </c>
      <c r="K60" s="2" t="n">
        <v>122</v>
      </c>
      <c r="L60" s="2" t="s">
        <v>292</v>
      </c>
      <c r="M60" s="2" t="s">
        <v>71</v>
      </c>
      <c r="N60" s="2" t="s">
        <v>293</v>
      </c>
      <c r="O60" s="2" t="s">
        <v>73</v>
      </c>
      <c r="P60" s="2" t="s">
        <v>73</v>
      </c>
      <c r="Q60" s="2" t="s">
        <v>102</v>
      </c>
      <c r="R60" s="2" t="s">
        <v>103</v>
      </c>
      <c r="S60" s="6" t="n">
        <v>45247</v>
      </c>
      <c r="T60" s="6" t="n">
        <v>45435</v>
      </c>
      <c r="U60" s="2" t="s">
        <v>85</v>
      </c>
      <c r="V60" s="2" t="s">
        <v>76</v>
      </c>
      <c r="W60" s="6" t="n">
        <v>47260</v>
      </c>
      <c r="X60" s="6" t="n">
        <v>45646</v>
      </c>
      <c r="Y60" s="2" t="s">
        <v>104</v>
      </c>
      <c r="Z60" s="2" t="n">
        <v>7</v>
      </c>
      <c r="AA60" s="2" t="n">
        <v>113</v>
      </c>
      <c r="AB60" s="6"/>
      <c r="AC60" s="2" t="n">
        <v>0</v>
      </c>
      <c r="AD60" s="2" t="n">
        <v>0</v>
      </c>
      <c r="AE60" s="7" t="n">
        <v>0.514715947980835</v>
      </c>
      <c r="AF60" s="7" t="n">
        <v>0.577686516084873</v>
      </c>
      <c r="AG60" s="7"/>
      <c r="AH60" s="7"/>
      <c r="AI60" s="2" t="s">
        <v>86</v>
      </c>
      <c r="AJ60" s="2" t="s">
        <v>87</v>
      </c>
      <c r="AK60" s="2"/>
      <c r="AL60" s="2"/>
      <c r="AM60" s="2"/>
      <c r="AN60" s="2"/>
      <c r="AO60" s="2"/>
      <c r="AP60" s="2"/>
      <c r="AQ60" s="2"/>
    </row>
    <row r="61" customFormat="false" ht="15" hidden="false" customHeight="false" outlineLevel="0" collapsed="false">
      <c r="A61" s="2" t="s">
        <v>322</v>
      </c>
      <c r="B61" s="2" t="s">
        <v>322</v>
      </c>
      <c r="C61" s="2" t="s">
        <v>64</v>
      </c>
      <c r="D61" s="2" t="s">
        <v>323</v>
      </c>
      <c r="E61" s="2" t="s">
        <v>324</v>
      </c>
      <c r="F61" s="2" t="s">
        <v>289</v>
      </c>
      <c r="G61" s="2" t="s">
        <v>290</v>
      </c>
      <c r="H61" s="2" t="s">
        <v>291</v>
      </c>
      <c r="I61" s="2" t="n">
        <v>52.6631177297289</v>
      </c>
      <c r="J61" s="2" t="n">
        <v>-8.56489966290194</v>
      </c>
      <c r="K61" s="2" t="n">
        <v>114</v>
      </c>
      <c r="L61" s="2" t="s">
        <v>292</v>
      </c>
      <c r="M61" s="2" t="s">
        <v>71</v>
      </c>
      <c r="N61" s="2" t="s">
        <v>293</v>
      </c>
      <c r="O61" s="2" t="s">
        <v>73</v>
      </c>
      <c r="P61" s="2" t="s">
        <v>73</v>
      </c>
      <c r="Q61" s="2" t="s">
        <v>74</v>
      </c>
      <c r="R61" s="2" t="s">
        <v>75</v>
      </c>
      <c r="S61" s="6" t="n">
        <v>45749</v>
      </c>
      <c r="T61" s="6" t="n">
        <v>46127</v>
      </c>
      <c r="U61" s="2" t="s">
        <v>76</v>
      </c>
      <c r="V61" s="2" t="s">
        <v>76</v>
      </c>
      <c r="W61" s="6" t="n">
        <v>47952</v>
      </c>
      <c r="X61" s="6"/>
      <c r="Y61" s="2"/>
      <c r="Z61" s="2" t="n">
        <v>0</v>
      </c>
      <c r="AA61" s="2" t="n">
        <v>0</v>
      </c>
      <c r="AB61" s="6"/>
      <c r="AC61" s="2" t="n">
        <v>0</v>
      </c>
      <c r="AD61" s="2" t="n">
        <v>0</v>
      </c>
      <c r="AE61" s="7" t="n">
        <v>1.03490759753593</v>
      </c>
      <c r="AF61" s="7"/>
      <c r="AG61" s="7"/>
      <c r="AH61" s="7"/>
      <c r="AI61" s="2" t="s">
        <v>77</v>
      </c>
      <c r="AJ61" s="2" t="s">
        <v>78</v>
      </c>
      <c r="AK61" s="2"/>
      <c r="AL61" s="2"/>
      <c r="AM61" s="2"/>
      <c r="AN61" s="2"/>
      <c r="AO61" s="2"/>
      <c r="AP61" s="2"/>
      <c r="AQ61" s="2"/>
    </row>
    <row r="62" customFormat="false" ht="15" hidden="false" customHeight="false" outlineLevel="0" collapsed="false">
      <c r="A62" s="2" t="s">
        <v>325</v>
      </c>
      <c r="B62" s="2" t="s">
        <v>325</v>
      </c>
      <c r="C62" s="2" t="s">
        <v>64</v>
      </c>
      <c r="D62" s="2" t="s">
        <v>326</v>
      </c>
      <c r="E62" s="2" t="s">
        <v>327</v>
      </c>
      <c r="F62" s="2" t="s">
        <v>289</v>
      </c>
      <c r="G62" s="2" t="s">
        <v>290</v>
      </c>
      <c r="H62" s="2" t="s">
        <v>291</v>
      </c>
      <c r="I62" s="2" t="n">
        <v>52.6622009069371</v>
      </c>
      <c r="J62" s="2" t="n">
        <v>-8.54492577107058</v>
      </c>
      <c r="K62" s="2" t="n">
        <v>105</v>
      </c>
      <c r="L62" s="2" t="s">
        <v>292</v>
      </c>
      <c r="M62" s="2" t="s">
        <v>71</v>
      </c>
      <c r="N62" s="2" t="s">
        <v>72</v>
      </c>
      <c r="O62" s="2" t="s">
        <v>73</v>
      </c>
      <c r="P62" s="2" t="s">
        <v>73</v>
      </c>
      <c r="Q62" s="2" t="s">
        <v>120</v>
      </c>
      <c r="R62" s="2" t="s">
        <v>120</v>
      </c>
      <c r="S62" s="6" t="n">
        <v>44420</v>
      </c>
      <c r="T62" s="6" t="n">
        <v>44671</v>
      </c>
      <c r="U62" s="2" t="s">
        <v>76</v>
      </c>
      <c r="V62" s="2" t="s">
        <v>85</v>
      </c>
      <c r="W62" s="6" t="n">
        <v>46496</v>
      </c>
      <c r="X62" s="6" t="n">
        <v>45393</v>
      </c>
      <c r="Y62" s="2" t="s">
        <v>104</v>
      </c>
      <c r="Z62" s="2" t="n">
        <v>5</v>
      </c>
      <c r="AA62" s="2" t="n">
        <v>105</v>
      </c>
      <c r="AB62" s="6" t="n">
        <v>46156</v>
      </c>
      <c r="AC62" s="2" t="n">
        <v>17</v>
      </c>
      <c r="AD62" s="2" t="n">
        <v>17</v>
      </c>
      <c r="AE62" s="7" t="n">
        <v>0.687200547570158</v>
      </c>
      <c r="AF62" s="7" t="n">
        <v>1.97672826830938</v>
      </c>
      <c r="AG62" s="7" t="n">
        <v>2.08898015058179</v>
      </c>
      <c r="AH62" s="7" t="n">
        <v>50.2637614678899</v>
      </c>
      <c r="AI62" s="2" t="s">
        <v>77</v>
      </c>
      <c r="AJ62" s="2" t="s">
        <v>78</v>
      </c>
      <c r="AK62" s="2"/>
      <c r="AL62" s="2" t="s">
        <v>64</v>
      </c>
      <c r="AM62" s="2"/>
      <c r="AN62" s="2"/>
      <c r="AO62" s="2"/>
      <c r="AP62" s="2"/>
      <c r="AQ62" s="2"/>
    </row>
    <row r="63" customFormat="false" ht="15" hidden="false" customHeight="false" outlineLevel="0" collapsed="false">
      <c r="A63" s="2" t="s">
        <v>328</v>
      </c>
      <c r="B63" s="2" t="s">
        <v>328</v>
      </c>
      <c r="C63" s="2" t="s">
        <v>64</v>
      </c>
      <c r="D63" s="2" t="s">
        <v>326</v>
      </c>
      <c r="E63" s="2" t="s">
        <v>329</v>
      </c>
      <c r="F63" s="2" t="s">
        <v>289</v>
      </c>
      <c r="G63" s="2" t="s">
        <v>290</v>
      </c>
      <c r="H63" s="2" t="s">
        <v>291</v>
      </c>
      <c r="I63" s="2" t="n">
        <v>52.6614928427796</v>
      </c>
      <c r="J63" s="2" t="n">
        <v>-8.54620563594163</v>
      </c>
      <c r="K63" s="2" t="n">
        <v>99</v>
      </c>
      <c r="L63" s="2" t="s">
        <v>70</v>
      </c>
      <c r="M63" s="2" t="s">
        <v>95</v>
      </c>
      <c r="N63" s="2" t="s">
        <v>72</v>
      </c>
      <c r="O63" s="2" t="s">
        <v>73</v>
      </c>
      <c r="P63" s="2" t="s">
        <v>73</v>
      </c>
      <c r="Q63" s="2" t="s">
        <v>330</v>
      </c>
      <c r="R63" s="2" t="s">
        <v>103</v>
      </c>
      <c r="S63" s="6" t="n">
        <v>43418</v>
      </c>
      <c r="T63" s="6" t="n">
        <v>43620</v>
      </c>
      <c r="U63" s="2" t="s">
        <v>76</v>
      </c>
      <c r="V63" s="2" t="s">
        <v>85</v>
      </c>
      <c r="W63" s="6" t="n">
        <v>46540</v>
      </c>
      <c r="X63" s="6" t="n">
        <v>45114</v>
      </c>
      <c r="Y63" s="2" t="s">
        <v>104</v>
      </c>
      <c r="Z63" s="2" t="n">
        <v>2</v>
      </c>
      <c r="AA63" s="2" t="n">
        <v>63</v>
      </c>
      <c r="AB63" s="6"/>
      <c r="AC63" s="2" t="n">
        <v>7</v>
      </c>
      <c r="AD63" s="2" t="n">
        <v>29</v>
      </c>
      <c r="AE63" s="7" t="n">
        <v>0.553045859000685</v>
      </c>
      <c r="AF63" s="7" t="n">
        <v>4.09034907597536</v>
      </c>
      <c r="AG63" s="7"/>
      <c r="AH63" s="7"/>
      <c r="AI63" s="2" t="s">
        <v>77</v>
      </c>
      <c r="AJ63" s="2" t="s">
        <v>78</v>
      </c>
      <c r="AK63" s="2"/>
      <c r="AL63" s="2"/>
      <c r="AM63" s="2"/>
      <c r="AN63" s="2"/>
      <c r="AO63" s="2"/>
      <c r="AP63" s="2"/>
      <c r="AQ63" s="2"/>
    </row>
    <row r="64" customFormat="false" ht="15" hidden="false" customHeight="false" outlineLevel="0" collapsed="false">
      <c r="A64" s="2" t="s">
        <v>331</v>
      </c>
      <c r="B64" s="2" t="s">
        <v>331</v>
      </c>
      <c r="C64" s="2" t="s">
        <v>64</v>
      </c>
      <c r="D64" s="2" t="s">
        <v>326</v>
      </c>
      <c r="E64" s="2" t="s">
        <v>332</v>
      </c>
      <c r="F64" s="2" t="s">
        <v>289</v>
      </c>
      <c r="G64" s="2" t="s">
        <v>290</v>
      </c>
      <c r="H64" s="2" t="s">
        <v>291</v>
      </c>
      <c r="I64" s="2" t="n">
        <v>52.6615698741586</v>
      </c>
      <c r="J64" s="2" t="n">
        <v>-8.54402654890769</v>
      </c>
      <c r="K64" s="2" t="n">
        <v>98</v>
      </c>
      <c r="L64" s="2" t="s">
        <v>70</v>
      </c>
      <c r="M64" s="2" t="s">
        <v>71</v>
      </c>
      <c r="N64" s="2" t="s">
        <v>72</v>
      </c>
      <c r="O64" s="2" t="s">
        <v>73</v>
      </c>
      <c r="P64" s="2" t="s">
        <v>73</v>
      </c>
      <c r="Q64" s="2" t="s">
        <v>263</v>
      </c>
      <c r="R64" s="2" t="s">
        <v>103</v>
      </c>
      <c r="S64" s="6" t="n">
        <v>44477</v>
      </c>
      <c r="T64" s="6" t="n">
        <v>44721</v>
      </c>
      <c r="U64" s="2" t="s">
        <v>76</v>
      </c>
      <c r="V64" s="2" t="s">
        <v>85</v>
      </c>
      <c r="W64" s="6" t="n">
        <v>46546</v>
      </c>
      <c r="X64" s="6" t="n">
        <v>45474</v>
      </c>
      <c r="Y64" s="2" t="s">
        <v>104</v>
      </c>
      <c r="Z64" s="2" t="n">
        <v>1</v>
      </c>
      <c r="AA64" s="2" t="n">
        <v>8</v>
      </c>
      <c r="AB64" s="6"/>
      <c r="AC64" s="2" t="n">
        <v>4</v>
      </c>
      <c r="AD64" s="2" t="n">
        <v>4</v>
      </c>
      <c r="AE64" s="7" t="n">
        <v>0.668035592060233</v>
      </c>
      <c r="AF64" s="7" t="n">
        <v>2.06160164271047</v>
      </c>
      <c r="AG64" s="7"/>
      <c r="AH64" s="7"/>
      <c r="AI64" s="2" t="s">
        <v>77</v>
      </c>
      <c r="AJ64" s="2" t="s">
        <v>78</v>
      </c>
      <c r="AK64" s="2"/>
      <c r="AL64" s="2"/>
      <c r="AM64" s="2"/>
      <c r="AN64" s="2"/>
      <c r="AO64" s="2"/>
      <c r="AP64" s="2"/>
      <c r="AQ64" s="2"/>
    </row>
    <row r="65" customFormat="false" ht="15" hidden="false" customHeight="false" outlineLevel="0" collapsed="false">
      <c r="A65" s="2" t="s">
        <v>333</v>
      </c>
      <c r="B65" s="2" t="s">
        <v>333</v>
      </c>
      <c r="C65" s="2" t="s">
        <v>64</v>
      </c>
      <c r="D65" s="2" t="s">
        <v>326</v>
      </c>
      <c r="E65" s="2" t="s">
        <v>334</v>
      </c>
      <c r="F65" s="2" t="s">
        <v>289</v>
      </c>
      <c r="G65" s="2" t="s">
        <v>290</v>
      </c>
      <c r="H65" s="2" t="s">
        <v>291</v>
      </c>
      <c r="I65" s="2" t="n">
        <v>52.6631512796122</v>
      </c>
      <c r="J65" s="2" t="n">
        <v>-8.54661707270232</v>
      </c>
      <c r="K65" s="2" t="n">
        <v>92</v>
      </c>
      <c r="L65" s="2" t="s">
        <v>70</v>
      </c>
      <c r="M65" s="2" t="s">
        <v>95</v>
      </c>
      <c r="N65" s="2" t="s">
        <v>72</v>
      </c>
      <c r="O65" s="2" t="s">
        <v>73</v>
      </c>
      <c r="P65" s="2" t="s">
        <v>73</v>
      </c>
      <c r="Q65" s="2" t="s">
        <v>120</v>
      </c>
      <c r="R65" s="2" t="s">
        <v>120</v>
      </c>
      <c r="S65" s="6" t="n">
        <v>43811</v>
      </c>
      <c r="T65" s="6" t="n">
        <v>44259</v>
      </c>
      <c r="U65" s="2" t="s">
        <v>76</v>
      </c>
      <c r="V65" s="2" t="s">
        <v>85</v>
      </c>
      <c r="W65" s="6" t="n">
        <v>46084</v>
      </c>
      <c r="X65" s="6" t="n">
        <v>44866</v>
      </c>
      <c r="Y65" s="2" t="s">
        <v>104</v>
      </c>
      <c r="Z65" s="2" t="n">
        <v>5</v>
      </c>
      <c r="AA65" s="2" t="n">
        <v>70</v>
      </c>
      <c r="AB65" s="6" t="n">
        <v>46157</v>
      </c>
      <c r="AC65" s="2" t="n">
        <v>11</v>
      </c>
      <c r="AD65" s="2" t="n">
        <v>23</v>
      </c>
      <c r="AE65" s="7" t="n">
        <v>1.22655715263518</v>
      </c>
      <c r="AF65" s="7" t="n">
        <v>1.66187542778919</v>
      </c>
      <c r="AG65" s="7" t="n">
        <v>3.53456536618754</v>
      </c>
      <c r="AH65" s="7" t="n">
        <v>26.0286599535244</v>
      </c>
      <c r="AI65" s="2" t="s">
        <v>77</v>
      </c>
      <c r="AJ65" s="2" t="s">
        <v>78</v>
      </c>
      <c r="AK65" s="2"/>
      <c r="AL65" s="2" t="s">
        <v>64</v>
      </c>
      <c r="AM65" s="2"/>
      <c r="AN65" s="2"/>
      <c r="AO65" s="2"/>
      <c r="AP65" s="2"/>
      <c r="AQ65" s="2"/>
    </row>
    <row r="66" customFormat="false" ht="15" hidden="false" customHeight="false" outlineLevel="0" collapsed="false">
      <c r="A66" s="2" t="s">
        <v>335</v>
      </c>
      <c r="B66" s="2" t="s">
        <v>335</v>
      </c>
      <c r="C66" s="2" t="s">
        <v>64</v>
      </c>
      <c r="D66" s="2" t="s">
        <v>326</v>
      </c>
      <c r="E66" s="2" t="s">
        <v>336</v>
      </c>
      <c r="F66" s="2" t="s">
        <v>289</v>
      </c>
      <c r="G66" s="2" t="s">
        <v>290</v>
      </c>
      <c r="H66" s="2" t="s">
        <v>291</v>
      </c>
      <c r="I66" s="2" t="n">
        <v>52.6618375552737</v>
      </c>
      <c r="J66" s="2" t="n">
        <v>-8.54306700494787</v>
      </c>
      <c r="K66" s="2" t="n">
        <v>90</v>
      </c>
      <c r="L66" s="2" t="s">
        <v>70</v>
      </c>
      <c r="M66" s="2" t="s">
        <v>95</v>
      </c>
      <c r="N66" s="2" t="s">
        <v>72</v>
      </c>
      <c r="O66" s="2" t="s">
        <v>73</v>
      </c>
      <c r="P66" s="2" t="s">
        <v>73</v>
      </c>
      <c r="Q66" s="2" t="s">
        <v>263</v>
      </c>
      <c r="R66" s="2" t="s">
        <v>103</v>
      </c>
      <c r="S66" s="6" t="n">
        <v>43622</v>
      </c>
      <c r="T66" s="6" t="n">
        <v>43979</v>
      </c>
      <c r="U66" s="2" t="s">
        <v>76</v>
      </c>
      <c r="V66" s="2" t="s">
        <v>76</v>
      </c>
      <c r="W66" s="6" t="n">
        <v>45804</v>
      </c>
      <c r="X66" s="6" t="n">
        <v>44707</v>
      </c>
      <c r="Y66" s="2" t="s">
        <v>104</v>
      </c>
      <c r="Z66" s="2" t="n">
        <v>5</v>
      </c>
      <c r="AA66" s="2" t="n">
        <v>62</v>
      </c>
      <c r="AB66" s="6"/>
      <c r="AC66" s="2" t="n">
        <v>8</v>
      </c>
      <c r="AD66" s="2" t="n">
        <v>13</v>
      </c>
      <c r="AE66" s="7" t="n">
        <v>0.97741273100616</v>
      </c>
      <c r="AF66" s="7" t="n">
        <v>1.99315537303217</v>
      </c>
      <c r="AG66" s="7"/>
      <c r="AH66" s="7"/>
      <c r="AI66" s="2" t="s">
        <v>77</v>
      </c>
      <c r="AJ66" s="2" t="s">
        <v>78</v>
      </c>
      <c r="AK66" s="2"/>
      <c r="AL66" s="2"/>
      <c r="AM66" s="2"/>
      <c r="AN66" s="2"/>
      <c r="AO66" s="2"/>
      <c r="AP66" s="2"/>
      <c r="AQ66" s="2"/>
    </row>
    <row r="67" customFormat="false" ht="15" hidden="false" customHeight="false" outlineLevel="0" collapsed="false">
      <c r="A67" s="2" t="s">
        <v>337</v>
      </c>
      <c r="B67" s="2" t="s">
        <v>337</v>
      </c>
      <c r="C67" s="2" t="s">
        <v>64</v>
      </c>
      <c r="D67" s="2" t="s">
        <v>338</v>
      </c>
      <c r="E67" s="2" t="s">
        <v>339</v>
      </c>
      <c r="F67" s="2" t="s">
        <v>315</v>
      </c>
      <c r="G67" s="2" t="s">
        <v>290</v>
      </c>
      <c r="H67" s="2" t="s">
        <v>291</v>
      </c>
      <c r="I67" s="2" t="n">
        <v>52.6657445379565</v>
      </c>
      <c r="J67" s="2" t="n">
        <v>-8.53388261464643</v>
      </c>
      <c r="K67" s="2" t="n">
        <v>76</v>
      </c>
      <c r="L67" s="2" t="s">
        <v>70</v>
      </c>
      <c r="M67" s="2" t="s">
        <v>71</v>
      </c>
      <c r="N67" s="2" t="s">
        <v>72</v>
      </c>
      <c r="O67" s="2" t="s">
        <v>73</v>
      </c>
      <c r="P67" s="2" t="s">
        <v>73</v>
      </c>
      <c r="Q67" s="2" t="s">
        <v>74</v>
      </c>
      <c r="R67" s="2" t="s">
        <v>75</v>
      </c>
      <c r="S67" s="6" t="n">
        <v>45779</v>
      </c>
      <c r="T67" s="6" t="n">
        <v>46216</v>
      </c>
      <c r="U67" s="2" t="s">
        <v>76</v>
      </c>
      <c r="V67" s="2" t="s">
        <v>76</v>
      </c>
      <c r="W67" s="6" t="n">
        <v>48041</v>
      </c>
      <c r="X67" s="6"/>
      <c r="Y67" s="2"/>
      <c r="Z67" s="2" t="n">
        <v>1</v>
      </c>
      <c r="AA67" s="2" t="n">
        <v>11</v>
      </c>
      <c r="AB67" s="6"/>
      <c r="AC67" s="2" t="n">
        <v>0</v>
      </c>
      <c r="AD67" s="2" t="n">
        <v>0</v>
      </c>
      <c r="AE67" s="7" t="n">
        <v>1.19644079397673</v>
      </c>
      <c r="AF67" s="7"/>
      <c r="AG67" s="7"/>
      <c r="AH67" s="7"/>
      <c r="AI67" s="2" t="s">
        <v>86</v>
      </c>
      <c r="AJ67" s="2" t="s">
        <v>87</v>
      </c>
      <c r="AK67" s="2"/>
      <c r="AL67" s="2"/>
      <c r="AM67" s="2"/>
      <c r="AN67" s="2"/>
      <c r="AO67" s="2"/>
      <c r="AP67" s="2"/>
      <c r="AQ67" s="2"/>
    </row>
    <row r="68" customFormat="false" ht="15" hidden="false" customHeight="false" outlineLevel="0" collapsed="false">
      <c r="A68" s="2" t="s">
        <v>340</v>
      </c>
      <c r="B68" s="2" t="s">
        <v>340</v>
      </c>
      <c r="C68" s="2" t="s">
        <v>64</v>
      </c>
      <c r="D68" s="2" t="s">
        <v>341</v>
      </c>
      <c r="E68" s="2" t="s">
        <v>342</v>
      </c>
      <c r="F68" s="2" t="s">
        <v>343</v>
      </c>
      <c r="G68" s="2" t="s">
        <v>290</v>
      </c>
      <c r="H68" s="2" t="s">
        <v>69</v>
      </c>
      <c r="I68" s="2" t="n">
        <v>52.7112088185369</v>
      </c>
      <c r="J68" s="2" t="n">
        <v>-8.49534088497273</v>
      </c>
      <c r="K68" s="2" t="n">
        <v>74</v>
      </c>
      <c r="L68" s="2" t="s">
        <v>70</v>
      </c>
      <c r="M68" s="2" t="s">
        <v>83</v>
      </c>
      <c r="N68" s="2" t="s">
        <v>72</v>
      </c>
      <c r="O68" s="2" t="s">
        <v>73</v>
      </c>
      <c r="P68" s="2" t="s">
        <v>73</v>
      </c>
      <c r="Q68" s="2" t="s">
        <v>102</v>
      </c>
      <c r="R68" s="2" t="s">
        <v>103</v>
      </c>
      <c r="S68" s="6" t="n">
        <v>45254</v>
      </c>
      <c r="T68" s="6" t="n">
        <v>45455</v>
      </c>
      <c r="U68" s="2" t="s">
        <v>76</v>
      </c>
      <c r="V68" s="2" t="s">
        <v>85</v>
      </c>
      <c r="W68" s="6" t="n">
        <v>47280</v>
      </c>
      <c r="X68" s="6" t="n">
        <v>45657</v>
      </c>
      <c r="Y68" s="2" t="s">
        <v>104</v>
      </c>
      <c r="Z68" s="2" t="n">
        <v>3</v>
      </c>
      <c r="AA68" s="2" t="n">
        <v>58</v>
      </c>
      <c r="AB68" s="6"/>
      <c r="AC68" s="2" t="n">
        <v>0</v>
      </c>
      <c r="AD68" s="2" t="n">
        <v>0</v>
      </c>
      <c r="AE68" s="7" t="n">
        <v>0.550308008213552</v>
      </c>
      <c r="AF68" s="7" t="n">
        <v>0.553045859000685</v>
      </c>
      <c r="AG68" s="7"/>
      <c r="AH68" s="7"/>
      <c r="AI68" s="2" t="s">
        <v>86</v>
      </c>
      <c r="AJ68" s="2" t="s">
        <v>87</v>
      </c>
      <c r="AK68" s="2"/>
      <c r="AL68" s="2"/>
      <c r="AM68" s="2"/>
      <c r="AN68" s="2"/>
      <c r="AO68" s="2"/>
      <c r="AP68" s="2"/>
      <c r="AQ68" s="2"/>
    </row>
    <row r="69" customFormat="false" ht="15" hidden="false" customHeight="false" outlineLevel="0" collapsed="false">
      <c r="A69" s="2" t="s">
        <v>344</v>
      </c>
      <c r="B69" s="2" t="s">
        <v>344</v>
      </c>
      <c r="C69" s="2" t="s">
        <v>64</v>
      </c>
      <c r="D69" s="2" t="s">
        <v>345</v>
      </c>
      <c r="E69" s="2" t="s">
        <v>346</v>
      </c>
      <c r="F69" s="2" t="s">
        <v>289</v>
      </c>
      <c r="G69" s="2" t="s">
        <v>290</v>
      </c>
      <c r="H69" s="2" t="s">
        <v>291</v>
      </c>
      <c r="I69" s="2" t="n">
        <v>52.6613527545857</v>
      </c>
      <c r="J69" s="2" t="n">
        <v>-8.57335511439373</v>
      </c>
      <c r="K69" s="2" t="n">
        <v>62</v>
      </c>
      <c r="L69" s="2" t="s">
        <v>70</v>
      </c>
      <c r="M69" s="2" t="s">
        <v>95</v>
      </c>
      <c r="N69" s="2" t="s">
        <v>72</v>
      </c>
      <c r="O69" s="2" t="s">
        <v>73</v>
      </c>
      <c r="P69" s="2" t="s">
        <v>73</v>
      </c>
      <c r="Q69" s="2" t="s">
        <v>102</v>
      </c>
      <c r="R69" s="2" t="s">
        <v>103</v>
      </c>
      <c r="S69" s="6" t="n">
        <v>44126</v>
      </c>
      <c r="T69" s="6" t="n">
        <v>44322</v>
      </c>
      <c r="U69" s="2" t="s">
        <v>76</v>
      </c>
      <c r="V69" s="2" t="s">
        <v>85</v>
      </c>
      <c r="W69" s="6" t="n">
        <v>46147</v>
      </c>
      <c r="X69" s="6" t="n">
        <v>45078</v>
      </c>
      <c r="Y69" s="2" t="s">
        <v>104</v>
      </c>
      <c r="Z69" s="2" t="n">
        <v>6</v>
      </c>
      <c r="AA69" s="2" t="n">
        <v>63</v>
      </c>
      <c r="AB69" s="6"/>
      <c r="AC69" s="2" t="n">
        <v>7</v>
      </c>
      <c r="AD69" s="2" t="n">
        <v>14</v>
      </c>
      <c r="AE69" s="7" t="n">
        <v>0.536618754277892</v>
      </c>
      <c r="AF69" s="7" t="n">
        <v>2.06981519507187</v>
      </c>
      <c r="AG69" s="7"/>
      <c r="AH69" s="7"/>
      <c r="AI69" s="2" t="s">
        <v>86</v>
      </c>
      <c r="AJ69" s="2" t="s">
        <v>87</v>
      </c>
      <c r="AK69" s="2"/>
      <c r="AL69" s="2"/>
      <c r="AM69" s="2"/>
      <c r="AN69" s="2"/>
      <c r="AO69" s="2"/>
      <c r="AP69" s="2"/>
      <c r="AQ69" s="2"/>
    </row>
    <row r="70" customFormat="false" ht="15" hidden="false" customHeight="false" outlineLevel="0" collapsed="false">
      <c r="A70" s="2" t="s">
        <v>347</v>
      </c>
      <c r="B70" s="2" t="s">
        <v>347</v>
      </c>
      <c r="C70" s="2" t="s">
        <v>64</v>
      </c>
      <c r="D70" s="2" t="s">
        <v>326</v>
      </c>
      <c r="E70" s="2" t="s">
        <v>348</v>
      </c>
      <c r="F70" s="2" t="s">
        <v>289</v>
      </c>
      <c r="G70" s="2" t="s">
        <v>290</v>
      </c>
      <c r="H70" s="2" t="s">
        <v>291</v>
      </c>
      <c r="I70" s="2" t="n">
        <v>52.6608147818604</v>
      </c>
      <c r="J70" s="2" t="n">
        <v>-8.54674841986582</v>
      </c>
      <c r="K70" s="2" t="n">
        <v>62</v>
      </c>
      <c r="L70" s="2" t="s">
        <v>70</v>
      </c>
      <c r="M70" s="2" t="s">
        <v>71</v>
      </c>
      <c r="N70" s="2" t="s">
        <v>72</v>
      </c>
      <c r="O70" s="2" t="s">
        <v>73</v>
      </c>
      <c r="P70" s="2" t="s">
        <v>73</v>
      </c>
      <c r="Q70" s="2" t="s">
        <v>102</v>
      </c>
      <c r="R70" s="2" t="s">
        <v>103</v>
      </c>
      <c r="S70" s="6" t="n">
        <v>44277</v>
      </c>
      <c r="T70" s="6" t="n">
        <v>44533</v>
      </c>
      <c r="U70" s="2" t="s">
        <v>76</v>
      </c>
      <c r="V70" s="2" t="s">
        <v>85</v>
      </c>
      <c r="W70" s="6" t="n">
        <v>46358</v>
      </c>
      <c r="X70" s="6" t="n">
        <v>44645</v>
      </c>
      <c r="Y70" s="2" t="s">
        <v>104</v>
      </c>
      <c r="Z70" s="2" t="n">
        <v>2</v>
      </c>
      <c r="AA70" s="2" t="n">
        <v>24</v>
      </c>
      <c r="AB70" s="6"/>
      <c r="AC70" s="2" t="n">
        <v>6</v>
      </c>
      <c r="AD70" s="2" t="n">
        <v>11</v>
      </c>
      <c r="AE70" s="7" t="n">
        <v>0.700889801505818</v>
      </c>
      <c r="AF70" s="7" t="n">
        <v>0.306639288158795</v>
      </c>
      <c r="AG70" s="7"/>
      <c r="AH70" s="7"/>
      <c r="AI70" s="2" t="s">
        <v>249</v>
      </c>
      <c r="AJ70" s="2" t="s">
        <v>112</v>
      </c>
      <c r="AK70" s="2"/>
      <c r="AL70" s="2"/>
      <c r="AM70" s="2"/>
      <c r="AN70" s="2"/>
      <c r="AO70" s="2"/>
      <c r="AP70" s="2"/>
      <c r="AQ70" s="2"/>
    </row>
    <row r="71" customFormat="false" ht="15" hidden="false" customHeight="false" outlineLevel="0" collapsed="false">
      <c r="A71" s="2" t="s">
        <v>349</v>
      </c>
      <c r="B71" s="2" t="s">
        <v>349</v>
      </c>
      <c r="C71" s="2" t="s">
        <v>64</v>
      </c>
      <c r="D71" s="2" t="s">
        <v>350</v>
      </c>
      <c r="E71" s="2" t="s">
        <v>351</v>
      </c>
      <c r="F71" s="2" t="s">
        <v>289</v>
      </c>
      <c r="G71" s="2" t="s">
        <v>290</v>
      </c>
      <c r="H71" s="2" t="s">
        <v>301</v>
      </c>
      <c r="I71" s="2" t="n">
        <v>52.647253841624</v>
      </c>
      <c r="J71" s="2" t="n">
        <v>-8.62220029178879</v>
      </c>
      <c r="K71" s="2" t="n">
        <v>57</v>
      </c>
      <c r="L71" s="2" t="s">
        <v>70</v>
      </c>
      <c r="M71" s="2" t="s">
        <v>71</v>
      </c>
      <c r="N71" s="2" t="s">
        <v>96</v>
      </c>
      <c r="O71" s="2" t="s">
        <v>97</v>
      </c>
      <c r="P71" s="2" t="s">
        <v>98</v>
      </c>
      <c r="Q71" s="2" t="s">
        <v>272</v>
      </c>
      <c r="R71" s="2" t="s">
        <v>273</v>
      </c>
      <c r="S71" s="6" t="n">
        <v>46010</v>
      </c>
      <c r="T71" s="6"/>
      <c r="U71" s="2" t="s">
        <v>85</v>
      </c>
      <c r="V71" s="2" t="s">
        <v>85</v>
      </c>
      <c r="W71" s="6"/>
      <c r="X71" s="6"/>
      <c r="Y71" s="2"/>
      <c r="Z71" s="2" t="n">
        <v>0</v>
      </c>
      <c r="AA71" s="2" t="n">
        <v>0</v>
      </c>
      <c r="AB71" s="6"/>
      <c r="AC71" s="2" t="n">
        <v>0</v>
      </c>
      <c r="AD71" s="2" t="n">
        <v>0</v>
      </c>
      <c r="AE71" s="7"/>
      <c r="AF71" s="7"/>
      <c r="AG71" s="7"/>
      <c r="AH71" s="7"/>
      <c r="AI71" s="2" t="s">
        <v>86</v>
      </c>
      <c r="AJ71" s="2" t="s">
        <v>87</v>
      </c>
      <c r="AK71" s="2"/>
      <c r="AL71" s="2"/>
      <c r="AM71" s="2"/>
      <c r="AN71" s="2"/>
      <c r="AO71" s="2"/>
      <c r="AP71" s="2"/>
      <c r="AQ71" s="2"/>
    </row>
    <row r="72" customFormat="false" ht="15" hidden="false" customHeight="false" outlineLevel="0" collapsed="false">
      <c r="A72" s="2" t="s">
        <v>352</v>
      </c>
      <c r="B72" s="2" t="s">
        <v>352</v>
      </c>
      <c r="C72" s="2" t="s">
        <v>64</v>
      </c>
      <c r="D72" s="2" t="s">
        <v>353</v>
      </c>
      <c r="E72" s="2" t="s">
        <v>354</v>
      </c>
      <c r="F72" s="2" t="s">
        <v>289</v>
      </c>
      <c r="G72" s="2" t="s">
        <v>290</v>
      </c>
      <c r="H72" s="2" t="s">
        <v>355</v>
      </c>
      <c r="I72" s="2" t="n">
        <v>52.6613736124242</v>
      </c>
      <c r="J72" s="2" t="n">
        <v>-8.59938813924996</v>
      </c>
      <c r="K72" s="2" t="n">
        <v>55</v>
      </c>
      <c r="L72" s="2" t="s">
        <v>70</v>
      </c>
      <c r="M72" s="2" t="s">
        <v>71</v>
      </c>
      <c r="N72" s="2" t="s">
        <v>72</v>
      </c>
      <c r="O72" s="2" t="s">
        <v>73</v>
      </c>
      <c r="P72" s="2" t="s">
        <v>73</v>
      </c>
      <c r="Q72" s="2" t="s">
        <v>84</v>
      </c>
      <c r="R72" s="2" t="s">
        <v>75</v>
      </c>
      <c r="S72" s="6" t="n">
        <v>44316</v>
      </c>
      <c r="T72" s="6" t="n">
        <v>45790</v>
      </c>
      <c r="U72" s="2" t="s">
        <v>76</v>
      </c>
      <c r="V72" s="2" t="s">
        <v>76</v>
      </c>
      <c r="W72" s="6" t="n">
        <v>47615</v>
      </c>
      <c r="X72" s="6"/>
      <c r="Y72" s="2"/>
      <c r="Z72" s="2" t="n">
        <v>0</v>
      </c>
      <c r="AA72" s="2" t="n">
        <v>0</v>
      </c>
      <c r="AB72" s="6"/>
      <c r="AC72" s="2" t="n">
        <v>0</v>
      </c>
      <c r="AD72" s="2" t="n">
        <v>0</v>
      </c>
      <c r="AE72" s="7" t="n">
        <v>4.03559206023272</v>
      </c>
      <c r="AF72" s="7"/>
      <c r="AG72" s="7"/>
      <c r="AH72" s="7"/>
      <c r="AI72" s="2" t="s">
        <v>86</v>
      </c>
      <c r="AJ72" s="2" t="s">
        <v>87</v>
      </c>
      <c r="AK72" s="2"/>
      <c r="AL72" s="2"/>
      <c r="AM72" s="2"/>
      <c r="AN72" s="2"/>
      <c r="AO72" s="2"/>
      <c r="AP72" s="2"/>
      <c r="AQ72" s="2"/>
    </row>
    <row r="73" customFormat="false" ht="15" hidden="false" customHeight="false" outlineLevel="0" collapsed="false">
      <c r="A73" s="2" t="s">
        <v>356</v>
      </c>
      <c r="B73" s="2" t="s">
        <v>356</v>
      </c>
      <c r="C73" s="2" t="s">
        <v>64</v>
      </c>
      <c r="D73" s="2" t="s">
        <v>357</v>
      </c>
      <c r="E73" s="2" t="s">
        <v>358</v>
      </c>
      <c r="F73" s="2" t="s">
        <v>289</v>
      </c>
      <c r="G73" s="2" t="s">
        <v>290</v>
      </c>
      <c r="H73" s="2" t="s">
        <v>291</v>
      </c>
      <c r="I73" s="2" t="n">
        <v>52.6670575808901</v>
      </c>
      <c r="J73" s="2" t="n">
        <v>-8.54421783353052</v>
      </c>
      <c r="K73" s="2" t="n">
        <v>54</v>
      </c>
      <c r="L73" s="2" t="s">
        <v>70</v>
      </c>
      <c r="M73" s="2" t="s">
        <v>95</v>
      </c>
      <c r="N73" s="2" t="s">
        <v>72</v>
      </c>
      <c r="O73" s="2" t="s">
        <v>73</v>
      </c>
      <c r="P73" s="2" t="s">
        <v>73</v>
      </c>
      <c r="Q73" s="2" t="s">
        <v>102</v>
      </c>
      <c r="R73" s="2" t="s">
        <v>103</v>
      </c>
      <c r="S73" s="6" t="n">
        <v>43341</v>
      </c>
      <c r="T73" s="6" t="n">
        <v>43396</v>
      </c>
      <c r="U73" s="2" t="s">
        <v>85</v>
      </c>
      <c r="V73" s="2" t="s">
        <v>85</v>
      </c>
      <c r="W73" s="6" t="n">
        <v>44561</v>
      </c>
      <c r="X73" s="6" t="n">
        <v>44298</v>
      </c>
      <c r="Y73" s="2" t="s">
        <v>136</v>
      </c>
      <c r="Z73" s="2" t="n">
        <v>0</v>
      </c>
      <c r="AA73" s="2" t="n">
        <v>0</v>
      </c>
      <c r="AB73" s="6"/>
      <c r="AC73" s="2" t="n">
        <v>0</v>
      </c>
      <c r="AD73" s="2" t="n">
        <v>0</v>
      </c>
      <c r="AE73" s="7" t="n">
        <v>0.150581793292266</v>
      </c>
      <c r="AF73" s="7" t="n">
        <v>2.46954140999316</v>
      </c>
      <c r="AG73" s="7"/>
      <c r="AH73" s="7"/>
      <c r="AI73" s="2" t="s">
        <v>152</v>
      </c>
      <c r="AJ73" s="2" t="s">
        <v>78</v>
      </c>
      <c r="AK73" s="2"/>
      <c r="AL73" s="2"/>
      <c r="AM73" s="2"/>
      <c r="AN73" s="2"/>
      <c r="AO73" s="2"/>
      <c r="AP73" s="2"/>
      <c r="AQ73" s="2"/>
    </row>
    <row r="74" customFormat="false" ht="15" hidden="false" customHeight="false" outlineLevel="0" collapsed="false">
      <c r="A74" s="2" t="s">
        <v>359</v>
      </c>
      <c r="B74" s="2" t="s">
        <v>359</v>
      </c>
      <c r="C74" s="2" t="s">
        <v>64</v>
      </c>
      <c r="D74" s="2" t="s">
        <v>360</v>
      </c>
      <c r="E74" s="2" t="s">
        <v>361</v>
      </c>
      <c r="F74" s="2" t="s">
        <v>169</v>
      </c>
      <c r="G74" s="2" t="s">
        <v>290</v>
      </c>
      <c r="H74" s="2" t="s">
        <v>301</v>
      </c>
      <c r="I74" s="2" t="n">
        <v>52.6450186642651</v>
      </c>
      <c r="J74" s="2" t="n">
        <v>-8.58382042476524</v>
      </c>
      <c r="K74" s="2" t="n">
        <v>53</v>
      </c>
      <c r="L74" s="2" t="s">
        <v>70</v>
      </c>
      <c r="M74" s="2" t="s">
        <v>83</v>
      </c>
      <c r="N74" s="2" t="s">
        <v>72</v>
      </c>
      <c r="O74" s="2" t="s">
        <v>73</v>
      </c>
      <c r="P74" s="2" t="s">
        <v>73</v>
      </c>
      <c r="Q74" s="2" t="s">
        <v>120</v>
      </c>
      <c r="R74" s="2" t="s">
        <v>120</v>
      </c>
      <c r="S74" s="6" t="n">
        <v>43453</v>
      </c>
      <c r="T74" s="6" t="n">
        <v>43712</v>
      </c>
      <c r="U74" s="2" t="s">
        <v>76</v>
      </c>
      <c r="V74" s="2" t="s">
        <v>85</v>
      </c>
      <c r="W74" s="6" t="n">
        <v>45538</v>
      </c>
      <c r="X74" s="6" t="n">
        <v>44314</v>
      </c>
      <c r="Y74" s="2" t="s">
        <v>104</v>
      </c>
      <c r="Z74" s="2" t="n">
        <v>3</v>
      </c>
      <c r="AA74" s="2" t="n">
        <v>53</v>
      </c>
      <c r="AB74" s="6" t="n">
        <v>45392</v>
      </c>
      <c r="AC74" s="2" t="n">
        <v>28</v>
      </c>
      <c r="AD74" s="2" t="n">
        <v>50</v>
      </c>
      <c r="AE74" s="7" t="n">
        <v>0.709103353867214</v>
      </c>
      <c r="AF74" s="7" t="n">
        <v>1.64818617385353</v>
      </c>
      <c r="AG74" s="7" t="n">
        <v>2.95140314852841</v>
      </c>
      <c r="AH74" s="7" t="n">
        <v>17.957560296846</v>
      </c>
      <c r="AI74" s="2" t="s">
        <v>77</v>
      </c>
      <c r="AJ74" s="2" t="s">
        <v>78</v>
      </c>
      <c r="AK74" s="2"/>
      <c r="AL74" s="2" t="s">
        <v>64</v>
      </c>
      <c r="AM74" s="2"/>
      <c r="AN74" s="2"/>
      <c r="AO74" s="2"/>
      <c r="AP74" s="2"/>
      <c r="AQ74" s="2"/>
    </row>
    <row r="75" customFormat="false" ht="15" hidden="false" customHeight="false" outlineLevel="0" collapsed="false">
      <c r="A75" s="2" t="s">
        <v>362</v>
      </c>
      <c r="B75" s="2" t="s">
        <v>362</v>
      </c>
      <c r="C75" s="2" t="s">
        <v>64</v>
      </c>
      <c r="D75" s="2" t="s">
        <v>363</v>
      </c>
      <c r="E75" s="2" t="s">
        <v>364</v>
      </c>
      <c r="F75" s="2" t="s">
        <v>343</v>
      </c>
      <c r="G75" s="2" t="s">
        <v>290</v>
      </c>
      <c r="H75" s="2" t="s">
        <v>69</v>
      </c>
      <c r="I75" s="2" t="n">
        <v>52.7105172735734</v>
      </c>
      <c r="J75" s="2" t="n">
        <v>-8.50170021441845</v>
      </c>
      <c r="K75" s="2" t="n">
        <v>51</v>
      </c>
      <c r="L75" s="2" t="s">
        <v>70</v>
      </c>
      <c r="M75" s="2" t="s">
        <v>83</v>
      </c>
      <c r="N75" s="2" t="s">
        <v>72</v>
      </c>
      <c r="O75" s="2" t="s">
        <v>73</v>
      </c>
      <c r="P75" s="2" t="s">
        <v>73</v>
      </c>
      <c r="Q75" s="2" t="s">
        <v>102</v>
      </c>
      <c r="R75" s="2" t="s">
        <v>103</v>
      </c>
      <c r="S75" s="6" t="n">
        <v>43613</v>
      </c>
      <c r="T75" s="6" t="n">
        <v>44186</v>
      </c>
      <c r="U75" s="2" t="s">
        <v>76</v>
      </c>
      <c r="V75" s="2" t="s">
        <v>76</v>
      </c>
      <c r="W75" s="6" t="n">
        <v>46011</v>
      </c>
      <c r="X75" s="6" t="n">
        <v>44575</v>
      </c>
      <c r="Y75" s="2" t="s">
        <v>104</v>
      </c>
      <c r="Z75" s="2" t="n">
        <v>1</v>
      </c>
      <c r="AA75" s="2" t="n">
        <v>51</v>
      </c>
      <c r="AB75" s="6"/>
      <c r="AC75" s="2" t="n">
        <v>7</v>
      </c>
      <c r="AD75" s="2" t="n">
        <v>17</v>
      </c>
      <c r="AE75" s="7" t="n">
        <v>1.56878850102669</v>
      </c>
      <c r="AF75" s="7" t="n">
        <v>1.06502395619439</v>
      </c>
      <c r="AG75" s="7"/>
      <c r="AH75" s="7"/>
      <c r="AI75" s="2" t="s">
        <v>86</v>
      </c>
      <c r="AJ75" s="2" t="s">
        <v>87</v>
      </c>
      <c r="AK75" s="2"/>
      <c r="AL75" s="2"/>
      <c r="AM75" s="2"/>
      <c r="AN75" s="2"/>
      <c r="AO75" s="2"/>
      <c r="AP75" s="2"/>
      <c r="AQ75" s="2"/>
    </row>
    <row r="76" customFormat="false" ht="15" hidden="false" customHeight="false" outlineLevel="0" collapsed="false">
      <c r="A76" s="2" t="s">
        <v>365</v>
      </c>
      <c r="B76" s="2" t="s">
        <v>365</v>
      </c>
      <c r="C76" s="2" t="s">
        <v>64</v>
      </c>
      <c r="D76" s="2" t="s">
        <v>366</v>
      </c>
      <c r="E76" s="2" t="s">
        <v>367</v>
      </c>
      <c r="F76" s="2" t="s">
        <v>289</v>
      </c>
      <c r="G76" s="2" t="s">
        <v>290</v>
      </c>
      <c r="H76" s="2" t="s">
        <v>291</v>
      </c>
      <c r="I76" s="2" t="n">
        <v>52.6554281871539</v>
      </c>
      <c r="J76" s="2" t="n">
        <v>-8.57913640784168</v>
      </c>
      <c r="K76" s="2" t="n">
        <v>48</v>
      </c>
      <c r="L76" s="2" t="s">
        <v>91</v>
      </c>
      <c r="M76" s="2" t="s">
        <v>95</v>
      </c>
      <c r="N76" s="2" t="s">
        <v>72</v>
      </c>
      <c r="O76" s="2" t="s">
        <v>73</v>
      </c>
      <c r="P76" s="2" t="s">
        <v>73</v>
      </c>
      <c r="Q76" s="2" t="s">
        <v>102</v>
      </c>
      <c r="R76" s="2" t="s">
        <v>103</v>
      </c>
      <c r="S76" s="6" t="n">
        <v>44804</v>
      </c>
      <c r="T76" s="6" t="n">
        <v>45174</v>
      </c>
      <c r="U76" s="2" t="s">
        <v>76</v>
      </c>
      <c r="V76" s="2" t="s">
        <v>85</v>
      </c>
      <c r="W76" s="6" t="n">
        <v>47000</v>
      </c>
      <c r="X76" s="6" t="n">
        <v>45488</v>
      </c>
      <c r="Y76" s="2" t="s">
        <v>104</v>
      </c>
      <c r="Z76" s="2" t="n">
        <v>2</v>
      </c>
      <c r="AA76" s="2" t="n">
        <v>0</v>
      </c>
      <c r="AB76" s="6"/>
      <c r="AC76" s="2" t="n">
        <v>1</v>
      </c>
      <c r="AD76" s="2" t="n">
        <v>1</v>
      </c>
      <c r="AE76" s="7" t="n">
        <v>1.01300479123888</v>
      </c>
      <c r="AF76" s="7" t="n">
        <v>0.85968514715948</v>
      </c>
      <c r="AG76" s="7"/>
      <c r="AH76" s="7"/>
      <c r="AI76" s="2" t="s">
        <v>86</v>
      </c>
      <c r="AJ76" s="2" t="s">
        <v>87</v>
      </c>
      <c r="AK76" s="2"/>
      <c r="AL76" s="2"/>
      <c r="AM76" s="2"/>
      <c r="AN76" s="2"/>
      <c r="AO76" s="2"/>
      <c r="AP76" s="2"/>
      <c r="AQ76" s="2"/>
    </row>
    <row r="77" customFormat="false" ht="15" hidden="false" customHeight="false" outlineLevel="0" collapsed="false">
      <c r="A77" s="2" t="s">
        <v>368</v>
      </c>
      <c r="B77" s="2" t="s">
        <v>368</v>
      </c>
      <c r="C77" s="2" t="s">
        <v>64</v>
      </c>
      <c r="D77" s="2" t="s">
        <v>369</v>
      </c>
      <c r="E77" s="2" t="s">
        <v>370</v>
      </c>
      <c r="F77" s="2" t="s">
        <v>82</v>
      </c>
      <c r="G77" s="2" t="s">
        <v>290</v>
      </c>
      <c r="H77" s="2" t="s">
        <v>301</v>
      </c>
      <c r="I77" s="2" t="n">
        <v>52.6462022860441</v>
      </c>
      <c r="J77" s="2" t="n">
        <v>-8.62662653966344</v>
      </c>
      <c r="K77" s="2" t="n">
        <v>43</v>
      </c>
      <c r="L77" s="2" t="s">
        <v>91</v>
      </c>
      <c r="M77" s="2" t="s">
        <v>83</v>
      </c>
      <c r="N77" s="2" t="s">
        <v>96</v>
      </c>
      <c r="O77" s="2" t="s">
        <v>97</v>
      </c>
      <c r="P77" s="2" t="s">
        <v>98</v>
      </c>
      <c r="Q77" s="2" t="s">
        <v>120</v>
      </c>
      <c r="R77" s="2" t="s">
        <v>120</v>
      </c>
      <c r="S77" s="6" t="n">
        <v>43279</v>
      </c>
      <c r="T77" s="6" t="n">
        <v>43355</v>
      </c>
      <c r="U77" s="2" t="s">
        <v>85</v>
      </c>
      <c r="V77" s="2" t="s">
        <v>85</v>
      </c>
      <c r="W77" s="6"/>
      <c r="X77" s="6" t="n">
        <v>43951</v>
      </c>
      <c r="Y77" s="2" t="s">
        <v>104</v>
      </c>
      <c r="Z77" s="2" t="n">
        <v>4</v>
      </c>
      <c r="AA77" s="2" t="n">
        <v>37</v>
      </c>
      <c r="AB77" s="6" t="n">
        <v>44457</v>
      </c>
      <c r="AC77" s="2" t="n">
        <v>6</v>
      </c>
      <c r="AD77" s="2" t="n">
        <v>7</v>
      </c>
      <c r="AE77" s="7" t="n">
        <v>0.20807665982204</v>
      </c>
      <c r="AF77" s="7" t="n">
        <v>1.63175906913073</v>
      </c>
      <c r="AG77" s="7" t="n">
        <v>1.38535249828884</v>
      </c>
      <c r="AH77" s="7" t="n">
        <v>31.0390316205534</v>
      </c>
      <c r="AI77" s="2" t="s">
        <v>86</v>
      </c>
      <c r="AJ77" s="2" t="s">
        <v>87</v>
      </c>
      <c r="AK77" s="2"/>
      <c r="AL77" s="2" t="s">
        <v>64</v>
      </c>
      <c r="AM77" s="2"/>
      <c r="AN77" s="2"/>
      <c r="AO77" s="2"/>
      <c r="AP77" s="2"/>
      <c r="AQ77" s="2"/>
    </row>
    <row r="78" customFormat="false" ht="15" hidden="false" customHeight="false" outlineLevel="0" collapsed="false">
      <c r="A78" s="2" t="s">
        <v>371</v>
      </c>
      <c r="B78" s="2" t="s">
        <v>371</v>
      </c>
      <c r="C78" s="2" t="s">
        <v>64</v>
      </c>
      <c r="D78" s="2" t="s">
        <v>326</v>
      </c>
      <c r="E78" s="2" t="s">
        <v>372</v>
      </c>
      <c r="F78" s="2" t="s">
        <v>289</v>
      </c>
      <c r="G78" s="2" t="s">
        <v>290</v>
      </c>
      <c r="H78" s="2" t="s">
        <v>291</v>
      </c>
      <c r="I78" s="2" t="n">
        <v>52.6622207431798</v>
      </c>
      <c r="J78" s="2" t="n">
        <v>-8.54940364911144</v>
      </c>
      <c r="K78" s="2" t="n">
        <v>38</v>
      </c>
      <c r="L78" s="2" t="s">
        <v>91</v>
      </c>
      <c r="M78" s="2" t="s">
        <v>83</v>
      </c>
      <c r="N78" s="2" t="s">
        <v>72</v>
      </c>
      <c r="O78" s="2" t="s">
        <v>73</v>
      </c>
      <c r="P78" s="2" t="s">
        <v>73</v>
      </c>
      <c r="Q78" s="2" t="s">
        <v>120</v>
      </c>
      <c r="R78" s="2" t="s">
        <v>120</v>
      </c>
      <c r="S78" s="6" t="n">
        <v>43287</v>
      </c>
      <c r="T78" s="6" t="n">
        <v>43425</v>
      </c>
      <c r="U78" s="2" t="s">
        <v>76</v>
      </c>
      <c r="V78" s="2" t="s">
        <v>85</v>
      </c>
      <c r="W78" s="6" t="n">
        <v>47141</v>
      </c>
      <c r="X78" s="6" t="n">
        <v>43726</v>
      </c>
      <c r="Y78" s="2" t="s">
        <v>104</v>
      </c>
      <c r="Z78" s="2" t="n">
        <v>2</v>
      </c>
      <c r="AA78" s="2" t="n">
        <v>38</v>
      </c>
      <c r="AB78" s="6" t="n">
        <v>44237</v>
      </c>
      <c r="AC78" s="2" t="n">
        <v>7</v>
      </c>
      <c r="AD78" s="2" t="n">
        <v>14</v>
      </c>
      <c r="AE78" s="7" t="n">
        <v>0.37782340862423</v>
      </c>
      <c r="AF78" s="7" t="n">
        <v>0.824093086926763</v>
      </c>
      <c r="AG78" s="7" t="n">
        <v>1.3990417522245</v>
      </c>
      <c r="AH78" s="7" t="n">
        <v>27.1614481409002</v>
      </c>
      <c r="AI78" s="2" t="s">
        <v>86</v>
      </c>
      <c r="AJ78" s="2" t="s">
        <v>87</v>
      </c>
      <c r="AK78" s="2"/>
      <c r="AL78" s="2" t="s">
        <v>64</v>
      </c>
      <c r="AM78" s="2"/>
      <c r="AN78" s="2"/>
      <c r="AO78" s="2"/>
      <c r="AP78" s="2"/>
      <c r="AQ78" s="2"/>
    </row>
    <row r="79" customFormat="false" ht="15" hidden="false" customHeight="false" outlineLevel="0" collapsed="false">
      <c r="A79" s="2" t="s">
        <v>373</v>
      </c>
      <c r="B79" s="2" t="s">
        <v>373</v>
      </c>
      <c r="C79" s="2" t="s">
        <v>64</v>
      </c>
      <c r="D79" s="2" t="s">
        <v>317</v>
      </c>
      <c r="E79" s="2" t="s">
        <v>374</v>
      </c>
      <c r="F79" s="2" t="s">
        <v>82</v>
      </c>
      <c r="G79" s="2" t="s">
        <v>290</v>
      </c>
      <c r="H79" s="2" t="s">
        <v>301</v>
      </c>
      <c r="I79" s="2" t="n">
        <v>52.6571856284966</v>
      </c>
      <c r="J79" s="2" t="n">
        <v>-8.58503246679165</v>
      </c>
      <c r="K79" s="2" t="n">
        <v>37</v>
      </c>
      <c r="L79" s="2" t="s">
        <v>91</v>
      </c>
      <c r="M79" s="2" t="s">
        <v>71</v>
      </c>
      <c r="N79" s="2" t="s">
        <v>72</v>
      </c>
      <c r="O79" s="2" t="s">
        <v>119</v>
      </c>
      <c r="P79" s="2" t="s">
        <v>98</v>
      </c>
      <c r="Q79" s="2" t="s">
        <v>120</v>
      </c>
      <c r="R79" s="2" t="s">
        <v>120</v>
      </c>
      <c r="S79" s="6" t="n">
        <v>43454</v>
      </c>
      <c r="T79" s="6" t="n">
        <v>43614</v>
      </c>
      <c r="U79" s="2" t="s">
        <v>76</v>
      </c>
      <c r="V79" s="2" t="s">
        <v>85</v>
      </c>
      <c r="W79" s="6" t="n">
        <v>45440</v>
      </c>
      <c r="X79" s="6" t="n">
        <v>44341</v>
      </c>
      <c r="Y79" s="2" t="s">
        <v>104</v>
      </c>
      <c r="Z79" s="2" t="n">
        <v>3</v>
      </c>
      <c r="AA79" s="2" t="n">
        <v>31</v>
      </c>
      <c r="AB79" s="6" t="n">
        <v>44880</v>
      </c>
      <c r="AC79" s="2" t="n">
        <v>4</v>
      </c>
      <c r="AD79" s="2" t="n">
        <v>9</v>
      </c>
      <c r="AE79" s="7" t="n">
        <v>0.438056125941136</v>
      </c>
      <c r="AF79" s="7" t="n">
        <v>1.99041752224504</v>
      </c>
      <c r="AG79" s="7" t="n">
        <v>1.4757015742642</v>
      </c>
      <c r="AH79" s="7" t="n">
        <v>25.0728200371058</v>
      </c>
      <c r="AI79" s="2" t="s">
        <v>77</v>
      </c>
      <c r="AJ79" s="2" t="s">
        <v>78</v>
      </c>
      <c r="AK79" s="2"/>
      <c r="AL79" s="2" t="s">
        <v>259</v>
      </c>
      <c r="AM79" s="2" t="s">
        <v>375</v>
      </c>
      <c r="AN79" s="2" t="s">
        <v>376</v>
      </c>
      <c r="AO79" s="2" t="s">
        <v>123</v>
      </c>
      <c r="AP79" s="2" t="s">
        <v>220</v>
      </c>
      <c r="AQ79" s="2" t="s">
        <v>215</v>
      </c>
    </row>
    <row r="80" customFormat="false" ht="15" hidden="false" customHeight="false" outlineLevel="0" collapsed="false">
      <c r="A80" s="2" t="s">
        <v>377</v>
      </c>
      <c r="B80" s="2" t="s">
        <v>377</v>
      </c>
      <c r="C80" s="2" t="s">
        <v>64</v>
      </c>
      <c r="D80" s="2" t="s">
        <v>323</v>
      </c>
      <c r="E80" s="2" t="s">
        <v>378</v>
      </c>
      <c r="F80" s="2" t="s">
        <v>289</v>
      </c>
      <c r="G80" s="2" t="s">
        <v>290</v>
      </c>
      <c r="H80" s="2" t="s">
        <v>291</v>
      </c>
      <c r="I80" s="2" t="n">
        <v>52.6629444649554</v>
      </c>
      <c r="J80" s="2" t="n">
        <v>-8.56599981743119</v>
      </c>
      <c r="K80" s="2" t="n">
        <v>32</v>
      </c>
      <c r="L80" s="2" t="s">
        <v>91</v>
      </c>
      <c r="M80" s="2" t="s">
        <v>83</v>
      </c>
      <c r="N80" s="2" t="s">
        <v>72</v>
      </c>
      <c r="O80" s="2" t="s">
        <v>73</v>
      </c>
      <c r="P80" s="2" t="s">
        <v>73</v>
      </c>
      <c r="Q80" s="2" t="s">
        <v>263</v>
      </c>
      <c r="R80" s="2" t="s">
        <v>103</v>
      </c>
      <c r="S80" s="6" t="n">
        <v>43123</v>
      </c>
      <c r="T80" s="6" t="n">
        <v>43285</v>
      </c>
      <c r="U80" s="2" t="s">
        <v>76</v>
      </c>
      <c r="V80" s="2" t="s">
        <v>85</v>
      </c>
      <c r="W80" s="6" t="n">
        <v>45110</v>
      </c>
      <c r="X80" s="6" t="n">
        <v>43320</v>
      </c>
      <c r="Y80" s="2" t="s">
        <v>104</v>
      </c>
      <c r="Z80" s="2" t="n">
        <v>8</v>
      </c>
      <c r="AA80" s="2" t="n">
        <v>79</v>
      </c>
      <c r="AB80" s="6"/>
      <c r="AC80" s="2" t="n">
        <v>29</v>
      </c>
      <c r="AD80" s="2" t="n">
        <v>31</v>
      </c>
      <c r="AE80" s="7" t="n">
        <v>0.4435318275154</v>
      </c>
      <c r="AF80" s="7" t="n">
        <v>0.0958247775496235</v>
      </c>
      <c r="AG80" s="7"/>
      <c r="AH80" s="7"/>
      <c r="AI80" s="2" t="s">
        <v>86</v>
      </c>
      <c r="AJ80" s="2" t="s">
        <v>87</v>
      </c>
      <c r="AK80" s="2"/>
      <c r="AL80" s="2"/>
      <c r="AM80" s="2"/>
      <c r="AN80" s="2"/>
      <c r="AO80" s="2"/>
      <c r="AP80" s="2"/>
      <c r="AQ80" s="2"/>
    </row>
    <row r="81" customFormat="false" ht="15" hidden="false" customHeight="false" outlineLevel="0" collapsed="false">
      <c r="A81" s="2" t="s">
        <v>379</v>
      </c>
      <c r="B81" s="2" t="s">
        <v>379</v>
      </c>
      <c r="C81" s="2" t="s">
        <v>64</v>
      </c>
      <c r="D81" s="2" t="s">
        <v>380</v>
      </c>
      <c r="E81" s="2" t="s">
        <v>381</v>
      </c>
      <c r="F81" s="2" t="s">
        <v>289</v>
      </c>
      <c r="G81" s="2" t="s">
        <v>290</v>
      </c>
      <c r="H81" s="2" t="s">
        <v>355</v>
      </c>
      <c r="I81" s="2" t="n">
        <v>52.6569298909035</v>
      </c>
      <c r="J81" s="2" t="n">
        <v>-8.58951964057013</v>
      </c>
      <c r="K81" s="2" t="n">
        <v>31</v>
      </c>
      <c r="L81" s="2" t="s">
        <v>91</v>
      </c>
      <c r="M81" s="2" t="s">
        <v>71</v>
      </c>
      <c r="N81" s="2" t="s">
        <v>72</v>
      </c>
      <c r="O81" s="2" t="s">
        <v>73</v>
      </c>
      <c r="P81" s="2" t="s">
        <v>73</v>
      </c>
      <c r="Q81" s="2" t="s">
        <v>84</v>
      </c>
      <c r="R81" s="2" t="s">
        <v>103</v>
      </c>
      <c r="S81" s="6" t="n">
        <v>45712</v>
      </c>
      <c r="T81" s="6" t="n">
        <v>45988</v>
      </c>
      <c r="U81" s="2" t="s">
        <v>76</v>
      </c>
      <c r="V81" s="2" t="s">
        <v>85</v>
      </c>
      <c r="W81" s="6" t="n">
        <v>47813</v>
      </c>
      <c r="X81" s="6" t="n">
        <v>46154</v>
      </c>
      <c r="Y81" s="2" t="s">
        <v>104</v>
      </c>
      <c r="Z81" s="2" t="n">
        <v>3</v>
      </c>
      <c r="AA81" s="2" t="n">
        <v>31</v>
      </c>
      <c r="AB81" s="6"/>
      <c r="AC81" s="2" t="n">
        <v>0</v>
      </c>
      <c r="AD81" s="2" t="n">
        <v>0</v>
      </c>
      <c r="AE81" s="7" t="n">
        <v>0.75564681724846</v>
      </c>
      <c r="AF81" s="7" t="n">
        <v>0.454483230663929</v>
      </c>
      <c r="AG81" s="7"/>
      <c r="AH81" s="7"/>
      <c r="AI81" s="2" t="s">
        <v>86</v>
      </c>
      <c r="AJ81" s="2" t="s">
        <v>87</v>
      </c>
      <c r="AK81" s="2"/>
      <c r="AL81" s="2"/>
      <c r="AM81" s="2"/>
      <c r="AN81" s="2"/>
      <c r="AO81" s="2"/>
      <c r="AP81" s="2"/>
      <c r="AQ81" s="2"/>
    </row>
    <row r="82" customFormat="false" ht="15" hidden="false" customHeight="false" outlineLevel="0" collapsed="false">
      <c r="A82" s="2" t="s">
        <v>382</v>
      </c>
      <c r="B82" s="2" t="s">
        <v>382</v>
      </c>
      <c r="C82" s="2" t="s">
        <v>64</v>
      </c>
      <c r="D82" s="2" t="s">
        <v>326</v>
      </c>
      <c r="E82" s="2" t="s">
        <v>383</v>
      </c>
      <c r="F82" s="2" t="s">
        <v>289</v>
      </c>
      <c r="G82" s="2" t="s">
        <v>290</v>
      </c>
      <c r="H82" s="2" t="s">
        <v>291</v>
      </c>
      <c r="I82" s="2" t="n">
        <v>52.6627113468103</v>
      </c>
      <c r="J82" s="2" t="n">
        <v>-8.54846160958059</v>
      </c>
      <c r="K82" s="2" t="n">
        <v>23</v>
      </c>
      <c r="L82" s="2" t="s">
        <v>118</v>
      </c>
      <c r="M82" s="2" t="s">
        <v>95</v>
      </c>
      <c r="N82" s="2" t="s">
        <v>72</v>
      </c>
      <c r="O82" s="2" t="s">
        <v>73</v>
      </c>
      <c r="P82" s="2" t="s">
        <v>73</v>
      </c>
      <c r="Q82" s="2" t="s">
        <v>330</v>
      </c>
      <c r="R82" s="2" t="s">
        <v>103</v>
      </c>
      <c r="S82" s="6" t="n">
        <v>43418</v>
      </c>
      <c r="T82" s="6" t="n">
        <v>43727</v>
      </c>
      <c r="U82" s="2" t="s">
        <v>76</v>
      </c>
      <c r="V82" s="2" t="s">
        <v>76</v>
      </c>
      <c r="W82" s="6" t="n">
        <v>45553</v>
      </c>
      <c r="X82" s="6" t="n">
        <v>45113</v>
      </c>
      <c r="Y82" s="2" t="s">
        <v>104</v>
      </c>
      <c r="Z82" s="2" t="n">
        <v>5</v>
      </c>
      <c r="AA82" s="2" t="n">
        <v>82</v>
      </c>
      <c r="AB82" s="6"/>
      <c r="AC82" s="2" t="n">
        <v>9</v>
      </c>
      <c r="AD82" s="2" t="n">
        <v>43</v>
      </c>
      <c r="AE82" s="7" t="n">
        <v>0.845995893223819</v>
      </c>
      <c r="AF82" s="7" t="n">
        <v>3.79466119096509</v>
      </c>
      <c r="AG82" s="7"/>
      <c r="AH82" s="7"/>
      <c r="AI82" s="2" t="s">
        <v>77</v>
      </c>
      <c r="AJ82" s="2" t="s">
        <v>78</v>
      </c>
      <c r="AK82" s="2"/>
      <c r="AL82" s="2"/>
      <c r="AM82" s="2"/>
      <c r="AN82" s="2"/>
      <c r="AO82" s="2"/>
      <c r="AP82" s="2"/>
      <c r="AQ82" s="2"/>
    </row>
    <row r="83" customFormat="false" ht="15" hidden="false" customHeight="false" outlineLevel="0" collapsed="false">
      <c r="A83" s="2" t="s">
        <v>384</v>
      </c>
      <c r="B83" s="2" t="s">
        <v>384</v>
      </c>
      <c r="C83" s="2" t="s">
        <v>64</v>
      </c>
      <c r="D83" s="2" t="s">
        <v>306</v>
      </c>
      <c r="E83" s="2" t="s">
        <v>385</v>
      </c>
      <c r="F83" s="2" t="s">
        <v>289</v>
      </c>
      <c r="G83" s="2" t="s">
        <v>290</v>
      </c>
      <c r="H83" s="2" t="s">
        <v>291</v>
      </c>
      <c r="I83" s="2" t="n">
        <v>52.6654154954101</v>
      </c>
      <c r="J83" s="2" t="n">
        <v>-8.54720761080911</v>
      </c>
      <c r="K83" s="2" t="n">
        <v>23</v>
      </c>
      <c r="L83" s="2" t="s">
        <v>118</v>
      </c>
      <c r="M83" s="2" t="s">
        <v>83</v>
      </c>
      <c r="N83" s="2" t="s">
        <v>72</v>
      </c>
      <c r="O83" s="2" t="s">
        <v>73</v>
      </c>
      <c r="P83" s="2" t="s">
        <v>73</v>
      </c>
      <c r="Q83" s="2" t="s">
        <v>102</v>
      </c>
      <c r="R83" s="2" t="s">
        <v>103</v>
      </c>
      <c r="S83" s="6" t="n">
        <v>44491</v>
      </c>
      <c r="T83" s="6" t="n">
        <v>44684</v>
      </c>
      <c r="U83" s="2" t="s">
        <v>76</v>
      </c>
      <c r="V83" s="2" t="s">
        <v>85</v>
      </c>
      <c r="W83" s="6" t="n">
        <v>46509</v>
      </c>
      <c r="X83" s="6" t="n">
        <v>44788</v>
      </c>
      <c r="Y83" s="2" t="s">
        <v>104</v>
      </c>
      <c r="Z83" s="2" t="n">
        <v>1</v>
      </c>
      <c r="AA83" s="2" t="n">
        <v>23</v>
      </c>
      <c r="AB83" s="6"/>
      <c r="AC83" s="2" t="n">
        <v>1</v>
      </c>
      <c r="AD83" s="2" t="n">
        <v>5</v>
      </c>
      <c r="AE83" s="7" t="n">
        <v>0.528405201916496</v>
      </c>
      <c r="AF83" s="7" t="n">
        <v>0.284736481861739</v>
      </c>
      <c r="AG83" s="7"/>
      <c r="AH83" s="7"/>
      <c r="AI83" s="2" t="s">
        <v>77</v>
      </c>
      <c r="AJ83" s="2" t="s">
        <v>78</v>
      </c>
      <c r="AK83" s="2"/>
      <c r="AL83" s="2"/>
      <c r="AM83" s="2"/>
      <c r="AN83" s="2"/>
      <c r="AO83" s="2"/>
      <c r="AP83" s="2"/>
      <c r="AQ83" s="2"/>
    </row>
    <row r="84" customFormat="false" ht="15" hidden="false" customHeight="false" outlineLevel="0" collapsed="false">
      <c r="A84" s="2" t="s">
        <v>386</v>
      </c>
      <c r="B84" s="2" t="s">
        <v>386</v>
      </c>
      <c r="C84" s="2" t="s">
        <v>64</v>
      </c>
      <c r="D84" s="2" t="s">
        <v>357</v>
      </c>
      <c r="E84" s="2" t="s">
        <v>387</v>
      </c>
      <c r="F84" s="2" t="s">
        <v>289</v>
      </c>
      <c r="G84" s="2" t="s">
        <v>290</v>
      </c>
      <c r="H84" s="2" t="s">
        <v>291</v>
      </c>
      <c r="I84" s="2" t="n">
        <v>52.6665160097139</v>
      </c>
      <c r="J84" s="2" t="n">
        <v>-8.54440565800953</v>
      </c>
      <c r="K84" s="2" t="n">
        <v>21</v>
      </c>
      <c r="L84" s="2" t="s">
        <v>118</v>
      </c>
      <c r="M84" s="2" t="s">
        <v>92</v>
      </c>
      <c r="N84" s="2" t="s">
        <v>72</v>
      </c>
      <c r="O84" s="2" t="s">
        <v>73</v>
      </c>
      <c r="P84" s="2" t="s">
        <v>73</v>
      </c>
      <c r="Q84" s="2" t="s">
        <v>120</v>
      </c>
      <c r="R84" s="2" t="s">
        <v>120</v>
      </c>
      <c r="S84" s="6" t="n">
        <v>44175</v>
      </c>
      <c r="T84" s="6" t="n">
        <v>44313</v>
      </c>
      <c r="U84" s="2" t="s">
        <v>76</v>
      </c>
      <c r="V84" s="2" t="s">
        <v>85</v>
      </c>
      <c r="W84" s="6" t="n">
        <v>46138</v>
      </c>
      <c r="X84" s="6" t="n">
        <v>44587</v>
      </c>
      <c r="Y84" s="2" t="s">
        <v>104</v>
      </c>
      <c r="Z84" s="2" t="n">
        <v>1</v>
      </c>
      <c r="AA84" s="2" t="n">
        <v>21</v>
      </c>
      <c r="AB84" s="6" t="n">
        <v>44895</v>
      </c>
      <c r="AC84" s="2" t="n">
        <v>2</v>
      </c>
      <c r="AD84" s="2" t="n">
        <v>14</v>
      </c>
      <c r="AE84" s="7" t="n">
        <v>0.37782340862423</v>
      </c>
      <c r="AF84" s="7" t="n">
        <v>0.750171115674196</v>
      </c>
      <c r="AG84" s="7" t="n">
        <v>0.843258042436687</v>
      </c>
      <c r="AH84" s="7" t="n">
        <v>24.9034090909091</v>
      </c>
      <c r="AI84" s="2" t="s">
        <v>77</v>
      </c>
      <c r="AJ84" s="2" t="s">
        <v>78</v>
      </c>
      <c r="AK84" s="2"/>
      <c r="AL84" s="2" t="s">
        <v>64</v>
      </c>
      <c r="AM84" s="2"/>
      <c r="AN84" s="2"/>
      <c r="AO84" s="2"/>
      <c r="AP84" s="2"/>
      <c r="AQ84" s="2"/>
    </row>
    <row r="85" customFormat="false" ht="15" hidden="false" customHeight="false" outlineLevel="0" collapsed="false">
      <c r="A85" s="2" t="s">
        <v>388</v>
      </c>
      <c r="B85" s="2" t="s">
        <v>388</v>
      </c>
      <c r="C85" s="2" t="s">
        <v>64</v>
      </c>
      <c r="D85" s="2" t="s">
        <v>389</v>
      </c>
      <c r="E85" s="2" t="s">
        <v>390</v>
      </c>
      <c r="F85" s="2" t="s">
        <v>289</v>
      </c>
      <c r="G85" s="2" t="s">
        <v>290</v>
      </c>
      <c r="H85" s="2" t="s">
        <v>355</v>
      </c>
      <c r="I85" s="2" t="n">
        <v>52.6547476523497</v>
      </c>
      <c r="J85" s="2" t="n">
        <v>-8.60213212154159</v>
      </c>
      <c r="K85" s="2" t="n">
        <v>15</v>
      </c>
      <c r="L85" s="2" t="s">
        <v>118</v>
      </c>
      <c r="M85" s="2" t="s">
        <v>95</v>
      </c>
      <c r="N85" s="2" t="s">
        <v>72</v>
      </c>
      <c r="O85" s="2" t="s">
        <v>119</v>
      </c>
      <c r="P85" s="2" t="s">
        <v>98</v>
      </c>
      <c r="Q85" s="2" t="s">
        <v>120</v>
      </c>
      <c r="R85" s="2" t="s">
        <v>120</v>
      </c>
      <c r="S85" s="6" t="n">
        <v>44448</v>
      </c>
      <c r="T85" s="6" t="n">
        <v>45194</v>
      </c>
      <c r="U85" s="2" t="s">
        <v>76</v>
      </c>
      <c r="V85" s="2" t="s">
        <v>76</v>
      </c>
      <c r="W85" s="6" t="n">
        <v>47020</v>
      </c>
      <c r="X85" s="6" t="n">
        <v>45343</v>
      </c>
      <c r="Y85" s="2" t="s">
        <v>104</v>
      </c>
      <c r="Z85" s="2" t="n">
        <v>1</v>
      </c>
      <c r="AA85" s="2" t="n">
        <v>15</v>
      </c>
      <c r="AB85" s="6" t="n">
        <v>45817</v>
      </c>
      <c r="AC85" s="2" t="n">
        <v>1</v>
      </c>
      <c r="AD85" s="2" t="n">
        <v>15</v>
      </c>
      <c r="AE85" s="7" t="n">
        <v>2.04243668720055</v>
      </c>
      <c r="AF85" s="7" t="n">
        <v>0.407939767282683</v>
      </c>
      <c r="AG85" s="7" t="n">
        <v>1.29774127310062</v>
      </c>
      <c r="AH85" s="7" t="n">
        <v>11.5585443037975</v>
      </c>
      <c r="AI85" s="2" t="s">
        <v>86</v>
      </c>
      <c r="AJ85" s="2" t="s">
        <v>87</v>
      </c>
      <c r="AK85" s="2"/>
      <c r="AL85" s="2" t="s">
        <v>64</v>
      </c>
      <c r="AM85" s="2" t="s">
        <v>391</v>
      </c>
      <c r="AN85" s="2" t="s">
        <v>376</v>
      </c>
      <c r="AO85" s="2" t="s">
        <v>123</v>
      </c>
      <c r="AP85" s="2" t="s">
        <v>124</v>
      </c>
      <c r="AQ85" s="2" t="s">
        <v>215</v>
      </c>
    </row>
    <row r="86" customFormat="false" ht="15" hidden="false" customHeight="false" outlineLevel="0" collapsed="false">
      <c r="A86" s="2" t="s">
        <v>392</v>
      </c>
      <c r="B86" s="2" t="s">
        <v>392</v>
      </c>
      <c r="C86" s="2" t="s">
        <v>64</v>
      </c>
      <c r="D86" s="2" t="s">
        <v>393</v>
      </c>
      <c r="E86" s="2" t="s">
        <v>394</v>
      </c>
      <c r="F86" s="2" t="s">
        <v>289</v>
      </c>
      <c r="G86" s="2" t="s">
        <v>290</v>
      </c>
      <c r="H86" s="2" t="s">
        <v>291</v>
      </c>
      <c r="I86" s="2" t="n">
        <v>52.6648635649427</v>
      </c>
      <c r="J86" s="2" t="n">
        <v>-8.55845944607597</v>
      </c>
      <c r="K86" s="2" t="n">
        <v>14</v>
      </c>
      <c r="L86" s="2" t="s">
        <v>118</v>
      </c>
      <c r="M86" s="2" t="s">
        <v>83</v>
      </c>
      <c r="N86" s="2" t="s">
        <v>72</v>
      </c>
      <c r="O86" s="2" t="s">
        <v>73</v>
      </c>
      <c r="P86" s="2" t="s">
        <v>73</v>
      </c>
      <c r="Q86" s="2" t="s">
        <v>330</v>
      </c>
      <c r="R86" s="2" t="s">
        <v>103</v>
      </c>
      <c r="S86" s="6" t="n">
        <v>45041</v>
      </c>
      <c r="T86" s="6" t="n">
        <v>45223</v>
      </c>
      <c r="U86" s="2" t="s">
        <v>76</v>
      </c>
      <c r="V86" s="2" t="s">
        <v>85</v>
      </c>
      <c r="W86" s="6" t="n">
        <v>47049</v>
      </c>
      <c r="X86" s="6" t="n">
        <v>45348</v>
      </c>
      <c r="Y86" s="2" t="s">
        <v>104</v>
      </c>
      <c r="Z86" s="2" t="n">
        <v>1</v>
      </c>
      <c r="AA86" s="2" t="n">
        <v>13</v>
      </c>
      <c r="AB86" s="6"/>
      <c r="AC86" s="2" t="n">
        <v>2</v>
      </c>
      <c r="AD86" s="2" t="n">
        <v>1</v>
      </c>
      <c r="AE86" s="7" t="n">
        <v>0.498288843258043</v>
      </c>
      <c r="AF86" s="7" t="n">
        <v>0.342231348391513</v>
      </c>
      <c r="AG86" s="7"/>
      <c r="AH86" s="7"/>
      <c r="AI86" s="2" t="s">
        <v>86</v>
      </c>
      <c r="AJ86" s="2" t="s">
        <v>87</v>
      </c>
      <c r="AK86" s="2"/>
      <c r="AL86" s="2"/>
      <c r="AM86" s="2"/>
      <c r="AN86" s="2"/>
      <c r="AO86" s="2"/>
      <c r="AP86" s="2"/>
      <c r="AQ86" s="2"/>
    </row>
    <row r="87" customFormat="false" ht="15" hidden="false" customHeight="false" outlineLevel="0" collapsed="false">
      <c r="A87" s="2" t="s">
        <v>395</v>
      </c>
      <c r="B87" s="2" t="s">
        <v>395</v>
      </c>
      <c r="C87" s="2" t="s">
        <v>64</v>
      </c>
      <c r="D87" s="2" t="s">
        <v>396</v>
      </c>
      <c r="E87" s="2" t="s">
        <v>397</v>
      </c>
      <c r="F87" s="2" t="s">
        <v>82</v>
      </c>
      <c r="G87" s="2" t="s">
        <v>290</v>
      </c>
      <c r="H87" s="2" t="s">
        <v>301</v>
      </c>
      <c r="I87" s="2" t="n">
        <v>52.6455127</v>
      </c>
      <c r="J87" s="2" t="n">
        <v>-8.6157724</v>
      </c>
      <c r="K87" s="2" t="n">
        <v>14</v>
      </c>
      <c r="L87" s="2" t="s">
        <v>118</v>
      </c>
      <c r="M87" s="2" t="s">
        <v>92</v>
      </c>
      <c r="N87" s="2" t="s">
        <v>96</v>
      </c>
      <c r="O87" s="2" t="s">
        <v>97</v>
      </c>
      <c r="P87" s="2" t="s">
        <v>98</v>
      </c>
      <c r="Q87" s="2" t="s">
        <v>120</v>
      </c>
      <c r="R87" s="2" t="s">
        <v>120</v>
      </c>
      <c r="S87" s="6" t="n">
        <v>45292</v>
      </c>
      <c r="T87" s="6" t="n">
        <v>45413</v>
      </c>
      <c r="U87" s="2" t="s">
        <v>85</v>
      </c>
      <c r="V87" s="2" t="s">
        <v>85</v>
      </c>
      <c r="W87" s="6"/>
      <c r="X87" s="6" t="n">
        <v>45527</v>
      </c>
      <c r="Y87" s="2" t="s">
        <v>136</v>
      </c>
      <c r="Z87" s="2" t="n">
        <v>0</v>
      </c>
      <c r="AA87" s="2" t="n">
        <v>0</v>
      </c>
      <c r="AB87" s="6" t="n">
        <v>46106</v>
      </c>
      <c r="AC87" s="2" t="n">
        <v>0</v>
      </c>
      <c r="AD87" s="2" t="n">
        <v>0</v>
      </c>
      <c r="AE87" s="7" t="n">
        <v>0.331279945242984</v>
      </c>
      <c r="AF87" s="7" t="n">
        <v>0.31211498973306</v>
      </c>
      <c r="AG87" s="7" t="n">
        <v>1.58521560574949</v>
      </c>
      <c r="AH87" s="7" t="n">
        <v>8.83160621761658</v>
      </c>
      <c r="AI87" s="2" t="s">
        <v>86</v>
      </c>
      <c r="AJ87" s="2" t="s">
        <v>87</v>
      </c>
      <c r="AK87" s="2"/>
      <c r="AL87" s="2" t="s">
        <v>64</v>
      </c>
      <c r="AM87" s="2"/>
      <c r="AN87" s="2"/>
      <c r="AO87" s="2"/>
      <c r="AP87" s="2"/>
      <c r="AQ87" s="2"/>
    </row>
    <row r="88" customFormat="false" ht="15" hidden="false" customHeight="false" outlineLevel="0" collapsed="false">
      <c r="A88" s="2" t="s">
        <v>398</v>
      </c>
      <c r="B88" s="2" t="s">
        <v>398</v>
      </c>
      <c r="C88" s="2" t="s">
        <v>64</v>
      </c>
      <c r="D88" s="2" t="s">
        <v>363</v>
      </c>
      <c r="E88" s="2" t="s">
        <v>399</v>
      </c>
      <c r="F88" s="2" t="s">
        <v>343</v>
      </c>
      <c r="G88" s="2" t="s">
        <v>290</v>
      </c>
      <c r="H88" s="2" t="s">
        <v>69</v>
      </c>
      <c r="I88" s="2" t="n">
        <v>52.7091293974398</v>
      </c>
      <c r="J88" s="2" t="n">
        <v>-8.50274721535922</v>
      </c>
      <c r="K88" s="2" t="n">
        <v>14</v>
      </c>
      <c r="L88" s="2" t="s">
        <v>118</v>
      </c>
      <c r="M88" s="2" t="s">
        <v>83</v>
      </c>
      <c r="N88" s="2" t="s">
        <v>72</v>
      </c>
      <c r="O88" s="2" t="s">
        <v>73</v>
      </c>
      <c r="P88" s="2" t="s">
        <v>73</v>
      </c>
      <c r="Q88" s="2" t="s">
        <v>74</v>
      </c>
      <c r="R88" s="2" t="s">
        <v>75</v>
      </c>
      <c r="S88" s="6" t="n">
        <v>45309</v>
      </c>
      <c r="T88" s="6" t="n">
        <v>45728</v>
      </c>
      <c r="U88" s="2" t="s">
        <v>76</v>
      </c>
      <c r="V88" s="2" t="s">
        <v>76</v>
      </c>
      <c r="W88" s="6" t="n">
        <v>47553</v>
      </c>
      <c r="X88" s="6"/>
      <c r="Y88" s="2"/>
      <c r="Z88" s="2" t="n">
        <v>0</v>
      </c>
      <c r="AA88" s="2" t="n">
        <v>0</v>
      </c>
      <c r="AB88" s="6"/>
      <c r="AC88" s="2" t="n">
        <v>0</v>
      </c>
      <c r="AD88" s="2" t="n">
        <v>0</v>
      </c>
      <c r="AE88" s="7" t="n">
        <v>1.14715947980835</v>
      </c>
      <c r="AF88" s="7"/>
      <c r="AG88" s="7"/>
      <c r="AH88" s="7"/>
      <c r="AI88" s="2" t="s">
        <v>77</v>
      </c>
      <c r="AJ88" s="2" t="s">
        <v>78</v>
      </c>
      <c r="AK88" s="2"/>
      <c r="AL88" s="2"/>
      <c r="AM88" s="2"/>
      <c r="AN88" s="2"/>
      <c r="AO88" s="2"/>
      <c r="AP88" s="2"/>
      <c r="AQ88" s="2"/>
    </row>
    <row r="89" customFormat="false" ht="15" hidden="false" customHeight="false" outlineLevel="0" collapsed="false">
      <c r="A89" s="2" t="s">
        <v>400</v>
      </c>
      <c r="B89" s="2" t="s">
        <v>400</v>
      </c>
      <c r="C89" s="2" t="s">
        <v>64</v>
      </c>
      <c r="D89" s="2" t="s">
        <v>401</v>
      </c>
      <c r="E89" s="2" t="s">
        <v>402</v>
      </c>
      <c r="F89" s="2" t="s">
        <v>82</v>
      </c>
      <c r="G89" s="2" t="s">
        <v>290</v>
      </c>
      <c r="H89" s="2" t="s">
        <v>69</v>
      </c>
      <c r="I89" s="2" t="n">
        <v>52.7130196869471</v>
      </c>
      <c r="J89" s="2" t="n">
        <v>-8.49614559095982</v>
      </c>
      <c r="K89" s="2" t="n">
        <v>13</v>
      </c>
      <c r="L89" s="2" t="s">
        <v>118</v>
      </c>
      <c r="M89" s="2" t="s">
        <v>83</v>
      </c>
      <c r="N89" s="2" t="s">
        <v>72</v>
      </c>
      <c r="O89" s="2" t="s">
        <v>73</v>
      </c>
      <c r="P89" s="2" t="s">
        <v>73</v>
      </c>
      <c r="Q89" s="2" t="s">
        <v>120</v>
      </c>
      <c r="R89" s="2" t="s">
        <v>120</v>
      </c>
      <c r="S89" s="6" t="n">
        <v>44658</v>
      </c>
      <c r="T89" s="6" t="n">
        <v>44861</v>
      </c>
      <c r="U89" s="2" t="s">
        <v>76</v>
      </c>
      <c r="V89" s="2" t="s">
        <v>85</v>
      </c>
      <c r="W89" s="6" t="n">
        <v>46686</v>
      </c>
      <c r="X89" s="6" t="n">
        <v>44902</v>
      </c>
      <c r="Y89" s="2" t="s">
        <v>104</v>
      </c>
      <c r="Z89" s="2" t="n">
        <v>1</v>
      </c>
      <c r="AA89" s="2" t="n">
        <v>13</v>
      </c>
      <c r="AB89" s="6" t="n">
        <v>45260</v>
      </c>
      <c r="AC89" s="2" t="n">
        <v>4</v>
      </c>
      <c r="AD89" s="2" t="n">
        <v>13</v>
      </c>
      <c r="AE89" s="7" t="n">
        <v>0.555783709787817</v>
      </c>
      <c r="AF89" s="7" t="n">
        <v>0.112251882272416</v>
      </c>
      <c r="AG89" s="7" t="n">
        <v>0.980150581793292</v>
      </c>
      <c r="AH89" s="7" t="n">
        <v>13.2632681564246</v>
      </c>
      <c r="AI89" s="2" t="s">
        <v>86</v>
      </c>
      <c r="AJ89" s="2" t="s">
        <v>87</v>
      </c>
      <c r="AK89" s="2"/>
      <c r="AL89" s="2" t="s">
        <v>64</v>
      </c>
      <c r="AM89" s="2"/>
      <c r="AN89" s="2"/>
      <c r="AO89" s="2"/>
      <c r="AP89" s="2"/>
      <c r="AQ89" s="2"/>
    </row>
    <row r="90" customFormat="false" ht="15" hidden="false" customHeight="false" outlineLevel="0" collapsed="false">
      <c r="A90" s="2" t="s">
        <v>403</v>
      </c>
      <c r="B90" s="2" t="s">
        <v>403</v>
      </c>
      <c r="C90" s="2" t="s">
        <v>404</v>
      </c>
      <c r="D90" s="2"/>
      <c r="E90" s="2" t="s">
        <v>405</v>
      </c>
      <c r="F90" s="2" t="s">
        <v>289</v>
      </c>
      <c r="G90" s="2" t="s">
        <v>290</v>
      </c>
      <c r="H90" s="2" t="s">
        <v>406</v>
      </c>
      <c r="I90" s="2" t="n">
        <v>52.6542799933471</v>
      </c>
      <c r="J90" s="2" t="n">
        <v>-8.61786687579985</v>
      </c>
      <c r="K90" s="2" t="n">
        <v>13</v>
      </c>
      <c r="L90" s="2" t="s">
        <v>118</v>
      </c>
      <c r="M90" s="2" t="s">
        <v>95</v>
      </c>
      <c r="N90" s="2" t="s">
        <v>96</v>
      </c>
      <c r="O90" s="2" t="s">
        <v>97</v>
      </c>
      <c r="P90" s="2" t="s">
        <v>98</v>
      </c>
      <c r="Q90" s="2" t="s">
        <v>407</v>
      </c>
      <c r="R90" s="2" t="s">
        <v>103</v>
      </c>
      <c r="S90" s="6" t="n">
        <v>43082</v>
      </c>
      <c r="T90" s="6"/>
      <c r="U90" s="2" t="s">
        <v>85</v>
      </c>
      <c r="V90" s="2" t="s">
        <v>85</v>
      </c>
      <c r="W90" s="6"/>
      <c r="X90" s="6" t="n">
        <v>43600</v>
      </c>
      <c r="Y90" s="2" t="s">
        <v>104</v>
      </c>
      <c r="Z90" s="2" t="n">
        <v>1</v>
      </c>
      <c r="AA90" s="2" t="n">
        <v>13</v>
      </c>
      <c r="AB90" s="6"/>
      <c r="AC90" s="2" t="n">
        <v>1</v>
      </c>
      <c r="AD90" s="2" t="n">
        <v>6</v>
      </c>
      <c r="AE90" s="7"/>
      <c r="AF90" s="7"/>
      <c r="AG90" s="7"/>
      <c r="AH90" s="7"/>
      <c r="AI90" s="2" t="s">
        <v>86</v>
      </c>
      <c r="AJ90" s="2"/>
      <c r="AK90" s="2"/>
      <c r="AL90" s="2"/>
      <c r="AM90" s="2"/>
      <c r="AN90" s="2"/>
      <c r="AO90" s="2"/>
      <c r="AP90" s="2"/>
      <c r="AQ90" s="2"/>
    </row>
    <row r="91" customFormat="false" ht="15" hidden="false" customHeight="false" outlineLevel="0" collapsed="false">
      <c r="A91" s="2" t="s">
        <v>408</v>
      </c>
      <c r="B91" s="2" t="s">
        <v>408</v>
      </c>
      <c r="C91" s="2" t="s">
        <v>64</v>
      </c>
      <c r="D91" s="2" t="s">
        <v>409</v>
      </c>
      <c r="E91" s="2" t="s">
        <v>410</v>
      </c>
      <c r="F91" s="2" t="s">
        <v>82</v>
      </c>
      <c r="G91" s="2" t="s">
        <v>290</v>
      </c>
      <c r="H91" s="2" t="s">
        <v>69</v>
      </c>
      <c r="I91" s="2" t="n">
        <v>52.7509317096672</v>
      </c>
      <c r="J91" s="2" t="n">
        <v>-8.49340790321684</v>
      </c>
      <c r="K91" s="2" t="n">
        <v>12</v>
      </c>
      <c r="L91" s="2" t="s">
        <v>118</v>
      </c>
      <c r="M91" s="2" t="s">
        <v>83</v>
      </c>
      <c r="N91" s="2" t="s">
        <v>96</v>
      </c>
      <c r="O91" s="2" t="s">
        <v>97</v>
      </c>
      <c r="P91" s="2" t="s">
        <v>98</v>
      </c>
      <c r="Q91" s="2" t="s">
        <v>74</v>
      </c>
      <c r="R91" s="2" t="s">
        <v>75</v>
      </c>
      <c r="S91" s="6" t="n">
        <v>43752</v>
      </c>
      <c r="T91" s="6" t="n">
        <v>43811</v>
      </c>
      <c r="U91" s="2" t="s">
        <v>85</v>
      </c>
      <c r="V91" s="2" t="s">
        <v>85</v>
      </c>
      <c r="W91" s="6"/>
      <c r="X91" s="6"/>
      <c r="Y91" s="2"/>
      <c r="Z91" s="2" t="n">
        <v>0</v>
      </c>
      <c r="AA91" s="2" t="n">
        <v>0</v>
      </c>
      <c r="AB91" s="6"/>
      <c r="AC91" s="2" t="n">
        <v>0</v>
      </c>
      <c r="AD91" s="2" t="n">
        <v>0</v>
      </c>
      <c r="AE91" s="7" t="n">
        <v>0.161533196440794</v>
      </c>
      <c r="AF91" s="7"/>
      <c r="AG91" s="7"/>
      <c r="AH91" s="7"/>
      <c r="AI91" s="2" t="s">
        <v>86</v>
      </c>
      <c r="AJ91" s="2" t="s">
        <v>87</v>
      </c>
      <c r="AK91" s="2"/>
      <c r="AL91" s="2"/>
      <c r="AM91" s="2"/>
      <c r="AN91" s="2"/>
      <c r="AO91" s="2"/>
      <c r="AP91" s="2"/>
      <c r="AQ91" s="2"/>
    </row>
    <row r="92" customFormat="false" ht="15" hidden="false" customHeight="false" outlineLevel="0" collapsed="false">
      <c r="A92" s="2" t="s">
        <v>411</v>
      </c>
      <c r="B92" s="2" t="s">
        <v>411</v>
      </c>
      <c r="C92" s="2" t="s">
        <v>64</v>
      </c>
      <c r="D92" s="2" t="s">
        <v>412</v>
      </c>
      <c r="E92" s="2" t="s">
        <v>413</v>
      </c>
      <c r="F92" s="2" t="s">
        <v>315</v>
      </c>
      <c r="G92" s="2" t="s">
        <v>290</v>
      </c>
      <c r="H92" s="2" t="s">
        <v>291</v>
      </c>
      <c r="I92" s="2" t="n">
        <v>52.6596797144189</v>
      </c>
      <c r="J92" s="2" t="n">
        <v>-8.53871264182764</v>
      </c>
      <c r="K92" s="2" t="n">
        <v>12</v>
      </c>
      <c r="L92" s="2" t="s">
        <v>118</v>
      </c>
      <c r="M92" s="2" t="s">
        <v>83</v>
      </c>
      <c r="N92" s="2" t="s">
        <v>72</v>
      </c>
      <c r="O92" s="2" t="s">
        <v>73</v>
      </c>
      <c r="P92" s="2" t="s">
        <v>73</v>
      </c>
      <c r="Q92" s="2" t="s">
        <v>120</v>
      </c>
      <c r="R92" s="2" t="s">
        <v>120</v>
      </c>
      <c r="S92" s="6" t="n">
        <v>43241</v>
      </c>
      <c r="T92" s="6" t="n">
        <v>43487</v>
      </c>
      <c r="U92" s="2" t="s">
        <v>76</v>
      </c>
      <c r="V92" s="2" t="s">
        <v>85</v>
      </c>
      <c r="W92" s="6" t="n">
        <v>45312</v>
      </c>
      <c r="X92" s="6" t="n">
        <v>43689</v>
      </c>
      <c r="Y92" s="2" t="s">
        <v>104</v>
      </c>
      <c r="Z92" s="2" t="n">
        <v>2</v>
      </c>
      <c r="AA92" s="2" t="n">
        <v>12</v>
      </c>
      <c r="AB92" s="6" t="n">
        <v>44344</v>
      </c>
      <c r="AC92" s="2" t="n">
        <v>6</v>
      </c>
      <c r="AD92" s="2" t="n">
        <v>12</v>
      </c>
      <c r="AE92" s="7" t="n">
        <v>0.673511293634497</v>
      </c>
      <c r="AF92" s="7" t="n">
        <v>0.553045859000685</v>
      </c>
      <c r="AG92" s="7" t="n">
        <v>1.79329226557153</v>
      </c>
      <c r="AH92" s="7" t="n">
        <v>6.69160305343511</v>
      </c>
      <c r="AI92" s="2" t="s">
        <v>86</v>
      </c>
      <c r="AJ92" s="2" t="s">
        <v>87</v>
      </c>
      <c r="AK92" s="2"/>
      <c r="AL92" s="2" t="s">
        <v>64</v>
      </c>
      <c r="AM92" s="2"/>
      <c r="AN92" s="2"/>
      <c r="AO92" s="2"/>
      <c r="AP92" s="2"/>
      <c r="AQ92" s="2"/>
    </row>
    <row r="93" customFormat="false" ht="15" hidden="false" customHeight="false" outlineLevel="0" collapsed="false">
      <c r="A93" s="2" t="s">
        <v>414</v>
      </c>
      <c r="B93" s="2" t="s">
        <v>414</v>
      </c>
      <c r="C93" s="2" t="s">
        <v>64</v>
      </c>
      <c r="D93" s="2" t="s">
        <v>360</v>
      </c>
      <c r="E93" s="2" t="s">
        <v>415</v>
      </c>
      <c r="F93" s="2" t="s">
        <v>169</v>
      </c>
      <c r="G93" s="2" t="s">
        <v>290</v>
      </c>
      <c r="H93" s="2" t="s">
        <v>301</v>
      </c>
      <c r="I93" s="2" t="n">
        <v>52.6440900250469</v>
      </c>
      <c r="J93" s="2" t="n">
        <v>-8.58790908222157</v>
      </c>
      <c r="K93" s="2" t="n">
        <v>12</v>
      </c>
      <c r="L93" s="2" t="s">
        <v>118</v>
      </c>
      <c r="M93" s="2" t="s">
        <v>83</v>
      </c>
      <c r="N93" s="2" t="s">
        <v>72</v>
      </c>
      <c r="O93" s="2" t="s">
        <v>73</v>
      </c>
      <c r="P93" s="2" t="s">
        <v>73</v>
      </c>
      <c r="Q93" s="2" t="s">
        <v>102</v>
      </c>
      <c r="R93" s="2" t="s">
        <v>103</v>
      </c>
      <c r="S93" s="6" t="n">
        <v>45429</v>
      </c>
      <c r="T93" s="6" t="n">
        <v>45589</v>
      </c>
      <c r="U93" s="2" t="s">
        <v>76</v>
      </c>
      <c r="V93" s="2" t="s">
        <v>85</v>
      </c>
      <c r="W93" s="6" t="n">
        <v>47414</v>
      </c>
      <c r="X93" s="6" t="n">
        <v>45665</v>
      </c>
      <c r="Y93" s="2" t="s">
        <v>104</v>
      </c>
      <c r="Z93" s="2" t="n">
        <v>1</v>
      </c>
      <c r="AA93" s="2" t="n">
        <v>12</v>
      </c>
      <c r="AB93" s="6"/>
      <c r="AC93" s="2" t="n">
        <v>0</v>
      </c>
      <c r="AD93" s="2" t="n">
        <v>0</v>
      </c>
      <c r="AE93" s="7" t="n">
        <v>0.438056125941136</v>
      </c>
      <c r="AF93" s="7" t="n">
        <v>0.20807665982204</v>
      </c>
      <c r="AG93" s="7"/>
      <c r="AH93" s="7"/>
      <c r="AI93" s="2" t="s">
        <v>77</v>
      </c>
      <c r="AJ93" s="2" t="s">
        <v>78</v>
      </c>
      <c r="AK93" s="2"/>
      <c r="AL93" s="2"/>
      <c r="AM93" s="2"/>
      <c r="AN93" s="2"/>
      <c r="AO93" s="2"/>
      <c r="AP93" s="2"/>
      <c r="AQ93" s="2"/>
    </row>
    <row r="94" customFormat="false" ht="15" hidden="false" customHeight="false" outlineLevel="0" collapsed="false">
      <c r="A94" s="2" t="s">
        <v>416</v>
      </c>
      <c r="B94" s="2" t="s">
        <v>416</v>
      </c>
      <c r="C94" s="2" t="s">
        <v>64</v>
      </c>
      <c r="D94" s="2" t="s">
        <v>417</v>
      </c>
      <c r="E94" s="2" t="s">
        <v>418</v>
      </c>
      <c r="F94" s="2" t="s">
        <v>289</v>
      </c>
      <c r="G94" s="2" t="s">
        <v>290</v>
      </c>
      <c r="H94" s="2" t="s">
        <v>291</v>
      </c>
      <c r="I94" s="2" t="n">
        <v>52.6553415512877</v>
      </c>
      <c r="J94" s="2" t="n">
        <v>-8.56702224238059</v>
      </c>
      <c r="K94" s="2" t="n">
        <v>12</v>
      </c>
      <c r="L94" s="2" t="s">
        <v>118</v>
      </c>
      <c r="M94" s="2" t="s">
        <v>83</v>
      </c>
      <c r="N94" s="2" t="s">
        <v>72</v>
      </c>
      <c r="O94" s="2" t="s">
        <v>73</v>
      </c>
      <c r="P94" s="2" t="s">
        <v>73</v>
      </c>
      <c r="Q94" s="2" t="s">
        <v>74</v>
      </c>
      <c r="R94" s="2" t="s">
        <v>156</v>
      </c>
      <c r="S94" s="6" t="n">
        <v>43775</v>
      </c>
      <c r="T94" s="6" t="n">
        <v>43868</v>
      </c>
      <c r="U94" s="2" t="s">
        <v>76</v>
      </c>
      <c r="V94" s="2" t="s">
        <v>85</v>
      </c>
      <c r="W94" s="6" t="n">
        <v>45627</v>
      </c>
      <c r="X94" s="6"/>
      <c r="Y94" s="2"/>
      <c r="Z94" s="2" t="n">
        <v>0</v>
      </c>
      <c r="AA94" s="2" t="n">
        <v>0</v>
      </c>
      <c r="AB94" s="6"/>
      <c r="AC94" s="2" t="n">
        <v>0</v>
      </c>
      <c r="AD94" s="2" t="n">
        <v>0</v>
      </c>
      <c r="AE94" s="7" t="n">
        <v>0.254620123203285</v>
      </c>
      <c r="AF94" s="7"/>
      <c r="AG94" s="7"/>
      <c r="AH94" s="7"/>
      <c r="AI94" s="2" t="s">
        <v>152</v>
      </c>
      <c r="AJ94" s="2" t="s">
        <v>78</v>
      </c>
      <c r="AK94" s="2"/>
      <c r="AL94" s="2"/>
      <c r="AM94" s="2"/>
      <c r="AN94" s="2"/>
      <c r="AO94" s="2"/>
      <c r="AP94" s="2"/>
      <c r="AQ94" s="2"/>
    </row>
    <row r="95" customFormat="false" ht="15" hidden="false" customHeight="false" outlineLevel="0" collapsed="false">
      <c r="A95" s="2"/>
      <c r="B95" s="2"/>
      <c r="C95" s="2" t="s">
        <v>64</v>
      </c>
      <c r="D95" s="2" t="s">
        <v>419</v>
      </c>
      <c r="E95" s="2" t="s">
        <v>420</v>
      </c>
      <c r="F95" s="2" t="s">
        <v>169</v>
      </c>
      <c r="G95" s="2" t="s">
        <v>290</v>
      </c>
      <c r="H95" s="2" t="s">
        <v>301</v>
      </c>
      <c r="I95" s="2" t="n">
        <v>52.6489066537853</v>
      </c>
      <c r="J95" s="2" t="n">
        <v>-8.5979346611748</v>
      </c>
      <c r="K95" s="2" t="n">
        <v>12</v>
      </c>
      <c r="L95" s="2" t="s">
        <v>118</v>
      </c>
      <c r="M95" s="2" t="s">
        <v>92</v>
      </c>
      <c r="N95" s="2" t="s">
        <v>96</v>
      </c>
      <c r="O95" s="2" t="s">
        <v>97</v>
      </c>
      <c r="P95" s="2" t="s">
        <v>98</v>
      </c>
      <c r="Q95" s="2" t="s">
        <v>272</v>
      </c>
      <c r="R95" s="2" t="s">
        <v>273</v>
      </c>
      <c r="S95" s="6" t="n">
        <v>46006</v>
      </c>
      <c r="T95" s="6"/>
      <c r="U95" s="2" t="s">
        <v>85</v>
      </c>
      <c r="V95" s="2" t="s">
        <v>85</v>
      </c>
      <c r="W95" s="6"/>
      <c r="X95" s="6"/>
      <c r="Y95" s="2"/>
      <c r="Z95" s="2" t="n">
        <v>0</v>
      </c>
      <c r="AA95" s="2" t="n">
        <v>0</v>
      </c>
      <c r="AB95" s="6"/>
      <c r="AC95" s="2" t="n">
        <v>0</v>
      </c>
      <c r="AD95" s="2" t="n">
        <v>0</v>
      </c>
      <c r="AE95" s="7"/>
      <c r="AF95" s="7"/>
      <c r="AG95" s="7"/>
      <c r="AH95" s="7"/>
      <c r="AI95" s="2" t="s">
        <v>86</v>
      </c>
      <c r="AJ95" s="2" t="s">
        <v>87</v>
      </c>
      <c r="AK95" s="2"/>
      <c r="AL95" s="2"/>
      <c r="AM95" s="2" t="s">
        <v>421</v>
      </c>
      <c r="AN95" s="2" t="s">
        <v>196</v>
      </c>
      <c r="AO95" s="2" t="s">
        <v>422</v>
      </c>
      <c r="AP95" s="2" t="s">
        <v>423</v>
      </c>
      <c r="AQ95" s="2" t="s">
        <v>125</v>
      </c>
    </row>
    <row r="96" customFormat="false" ht="15" hidden="false" customHeight="false" outlineLevel="0" collapsed="false">
      <c r="A96" s="2" t="s">
        <v>424</v>
      </c>
      <c r="B96" s="2" t="s">
        <v>424</v>
      </c>
      <c r="C96" s="2" t="s">
        <v>64</v>
      </c>
      <c r="D96" s="2" t="s">
        <v>425</v>
      </c>
      <c r="E96" s="2" t="s">
        <v>426</v>
      </c>
      <c r="F96" s="2" t="s">
        <v>82</v>
      </c>
      <c r="G96" s="2" t="s">
        <v>290</v>
      </c>
      <c r="H96" s="2" t="s">
        <v>406</v>
      </c>
      <c r="I96" s="2" t="n">
        <v>52.6562047585692</v>
      </c>
      <c r="J96" s="2" t="n">
        <v>-8.62303050939592</v>
      </c>
      <c r="K96" s="2" t="n">
        <v>11</v>
      </c>
      <c r="L96" s="2" t="s">
        <v>118</v>
      </c>
      <c r="M96" s="2" t="s">
        <v>92</v>
      </c>
      <c r="N96" s="2" t="s">
        <v>96</v>
      </c>
      <c r="O96" s="2" t="s">
        <v>97</v>
      </c>
      <c r="P96" s="2" t="s">
        <v>98</v>
      </c>
      <c r="Q96" s="2" t="s">
        <v>120</v>
      </c>
      <c r="R96" s="2" t="s">
        <v>120</v>
      </c>
      <c r="S96" s="6" t="n">
        <v>43290</v>
      </c>
      <c r="T96" s="6" t="n">
        <v>43343</v>
      </c>
      <c r="U96" s="2" t="s">
        <v>85</v>
      </c>
      <c r="V96" s="2" t="s">
        <v>85</v>
      </c>
      <c r="W96" s="6"/>
      <c r="X96" s="6" t="n">
        <v>43874</v>
      </c>
      <c r="Y96" s="2" t="s">
        <v>104</v>
      </c>
      <c r="Z96" s="2" t="n">
        <v>1</v>
      </c>
      <c r="AA96" s="2" t="n">
        <v>11</v>
      </c>
      <c r="AB96" s="6" t="n">
        <v>44251</v>
      </c>
      <c r="AC96" s="2" t="n">
        <v>1</v>
      </c>
      <c r="AD96" s="2" t="n">
        <v>1</v>
      </c>
      <c r="AE96" s="7" t="n">
        <v>0.145106091718001</v>
      </c>
      <c r="AF96" s="7" t="n">
        <v>1.45379876796715</v>
      </c>
      <c r="AG96" s="7" t="n">
        <v>1.0321697467488</v>
      </c>
      <c r="AH96" s="7" t="n">
        <v>10.6571618037135</v>
      </c>
      <c r="AI96" s="2" t="s">
        <v>86</v>
      </c>
      <c r="AJ96" s="2" t="s">
        <v>87</v>
      </c>
      <c r="AK96" s="2"/>
      <c r="AL96" s="2" t="s">
        <v>64</v>
      </c>
      <c r="AM96" s="2"/>
      <c r="AN96" s="2"/>
      <c r="AO96" s="2"/>
      <c r="AP96" s="2"/>
      <c r="AQ96" s="2"/>
    </row>
    <row r="97" customFormat="false" ht="15" hidden="false" customHeight="false" outlineLevel="0" collapsed="false">
      <c r="A97" s="2" t="s">
        <v>427</v>
      </c>
      <c r="B97" s="2" t="s">
        <v>427</v>
      </c>
      <c r="C97" s="2" t="s">
        <v>64</v>
      </c>
      <c r="D97" s="2" t="s">
        <v>428</v>
      </c>
      <c r="E97" s="2" t="s">
        <v>429</v>
      </c>
      <c r="F97" s="2" t="s">
        <v>169</v>
      </c>
      <c r="G97" s="2" t="s">
        <v>290</v>
      </c>
      <c r="H97" s="2" t="s">
        <v>301</v>
      </c>
      <c r="I97" s="2" t="n">
        <v>52.6503185410725</v>
      </c>
      <c r="J97" s="2" t="n">
        <v>-8.59967319027824</v>
      </c>
      <c r="K97" s="2" t="n">
        <v>10</v>
      </c>
      <c r="L97" s="2" t="s">
        <v>118</v>
      </c>
      <c r="M97" s="2" t="s">
        <v>83</v>
      </c>
      <c r="N97" s="2" t="s">
        <v>72</v>
      </c>
      <c r="O97" s="2" t="s">
        <v>73</v>
      </c>
      <c r="P97" s="2" t="s">
        <v>73</v>
      </c>
      <c r="Q97" s="2" t="s">
        <v>84</v>
      </c>
      <c r="R97" s="2" t="s">
        <v>75</v>
      </c>
      <c r="S97" s="6" t="n">
        <v>45876</v>
      </c>
      <c r="T97" s="6" t="n">
        <v>46077</v>
      </c>
      <c r="U97" s="2" t="s">
        <v>76</v>
      </c>
      <c r="V97" s="2" t="s">
        <v>85</v>
      </c>
      <c r="W97" s="6" t="n">
        <v>47902</v>
      </c>
      <c r="X97" s="6"/>
      <c r="Y97" s="2"/>
      <c r="Z97" s="2" t="n">
        <v>0</v>
      </c>
      <c r="AA97" s="2" t="n">
        <v>0</v>
      </c>
      <c r="AB97" s="6"/>
      <c r="AC97" s="2" t="n">
        <v>0</v>
      </c>
      <c r="AD97" s="2" t="n">
        <v>0</v>
      </c>
      <c r="AE97" s="7" t="n">
        <v>0.550308008213552</v>
      </c>
      <c r="AF97" s="7"/>
      <c r="AG97" s="7"/>
      <c r="AH97" s="7"/>
      <c r="AI97" s="2" t="s">
        <v>86</v>
      </c>
      <c r="AJ97" s="2" t="s">
        <v>87</v>
      </c>
      <c r="AK97" s="2"/>
      <c r="AL97" s="2"/>
      <c r="AM97" s="2"/>
      <c r="AN97" s="2"/>
      <c r="AO97" s="2"/>
      <c r="AP97" s="2"/>
      <c r="AQ97" s="2"/>
    </row>
    <row r="98" customFormat="false" ht="15" hidden="false" customHeight="false" outlineLevel="0" collapsed="false">
      <c r="A98" s="2" t="s">
        <v>430</v>
      </c>
      <c r="B98" s="2" t="s">
        <v>430</v>
      </c>
      <c r="C98" s="2" t="s">
        <v>64</v>
      </c>
      <c r="D98" s="2" t="s">
        <v>417</v>
      </c>
      <c r="E98" s="2" t="s">
        <v>431</v>
      </c>
      <c r="F98" s="2" t="s">
        <v>289</v>
      </c>
      <c r="G98" s="2" t="s">
        <v>290</v>
      </c>
      <c r="H98" s="2" t="s">
        <v>291</v>
      </c>
      <c r="I98" s="2" t="n">
        <v>52.6535930172935</v>
      </c>
      <c r="J98" s="2" t="n">
        <v>-8.56515623920782</v>
      </c>
      <c r="K98" s="2" t="n">
        <v>8</v>
      </c>
      <c r="L98" s="2" t="s">
        <v>145</v>
      </c>
      <c r="M98" s="2" t="s">
        <v>83</v>
      </c>
      <c r="N98" s="2" t="s">
        <v>72</v>
      </c>
      <c r="O98" s="2" t="s">
        <v>73</v>
      </c>
      <c r="P98" s="2" t="s">
        <v>73</v>
      </c>
      <c r="Q98" s="2" t="s">
        <v>102</v>
      </c>
      <c r="R98" s="2" t="s">
        <v>103</v>
      </c>
      <c r="S98" s="6" t="n">
        <v>43756</v>
      </c>
      <c r="T98" s="6" t="n">
        <v>44117</v>
      </c>
      <c r="U98" s="2" t="s">
        <v>76</v>
      </c>
      <c r="V98" s="2" t="s">
        <v>76</v>
      </c>
      <c r="W98" s="6" t="n">
        <v>45942</v>
      </c>
      <c r="X98" s="6" t="n">
        <v>45400</v>
      </c>
      <c r="Y98" s="2" t="s">
        <v>104</v>
      </c>
      <c r="Z98" s="2" t="n">
        <v>1</v>
      </c>
      <c r="AA98" s="2" t="n">
        <v>6</v>
      </c>
      <c r="AB98" s="6"/>
      <c r="AC98" s="2" t="n">
        <v>0</v>
      </c>
      <c r="AD98" s="2" t="n">
        <v>0</v>
      </c>
      <c r="AE98" s="7" t="n">
        <v>0.988364134154689</v>
      </c>
      <c r="AF98" s="7" t="n">
        <v>3.51266255989049</v>
      </c>
      <c r="AG98" s="7"/>
      <c r="AH98" s="7"/>
      <c r="AI98" s="2" t="s">
        <v>86</v>
      </c>
      <c r="AJ98" s="2" t="s">
        <v>87</v>
      </c>
      <c r="AK98" s="2"/>
      <c r="AL98" s="2"/>
      <c r="AM98" s="2"/>
      <c r="AN98" s="2"/>
      <c r="AO98" s="2"/>
      <c r="AP98" s="2"/>
      <c r="AQ98" s="2"/>
    </row>
    <row r="99" customFormat="false" ht="15" hidden="false" customHeight="false" outlineLevel="0" collapsed="false">
      <c r="A99" s="2" t="s">
        <v>432</v>
      </c>
      <c r="B99" s="2" t="s">
        <v>432</v>
      </c>
      <c r="C99" s="2" t="s">
        <v>64</v>
      </c>
      <c r="D99" s="2" t="s">
        <v>433</v>
      </c>
      <c r="E99" s="2" t="s">
        <v>434</v>
      </c>
      <c r="F99" s="2" t="s">
        <v>315</v>
      </c>
      <c r="G99" s="2" t="s">
        <v>290</v>
      </c>
      <c r="H99" s="2" t="s">
        <v>291</v>
      </c>
      <c r="I99" s="2" t="n">
        <v>52.6689444376307</v>
      </c>
      <c r="J99" s="2" t="n">
        <v>-8.53141335555358</v>
      </c>
      <c r="K99" s="2" t="n">
        <v>6</v>
      </c>
      <c r="L99" s="2" t="s">
        <v>145</v>
      </c>
      <c r="M99" s="2" t="s">
        <v>83</v>
      </c>
      <c r="N99" s="2" t="s">
        <v>96</v>
      </c>
      <c r="O99" s="2" t="s">
        <v>97</v>
      </c>
      <c r="P99" s="2" t="s">
        <v>98</v>
      </c>
      <c r="Q99" s="2" t="s">
        <v>102</v>
      </c>
      <c r="R99" s="2" t="s">
        <v>103</v>
      </c>
      <c r="S99" s="6" t="n">
        <v>45510</v>
      </c>
      <c r="T99" s="6" t="n">
        <v>45630</v>
      </c>
      <c r="U99" s="2" t="s">
        <v>85</v>
      </c>
      <c r="V99" s="2" t="s">
        <v>85</v>
      </c>
      <c r="W99" s="6"/>
      <c r="X99" s="6" t="n">
        <v>46155</v>
      </c>
      <c r="Y99" s="2" t="s">
        <v>104</v>
      </c>
      <c r="Z99" s="2" t="n">
        <v>1</v>
      </c>
      <c r="AA99" s="2" t="n">
        <v>6</v>
      </c>
      <c r="AB99" s="6"/>
      <c r="AC99" s="2" t="n">
        <v>0</v>
      </c>
      <c r="AD99" s="2" t="n">
        <v>0</v>
      </c>
      <c r="AE99" s="7" t="n">
        <v>0.328542094455852</v>
      </c>
      <c r="AF99" s="7" t="n">
        <v>1.43737166324435</v>
      </c>
      <c r="AG99" s="7"/>
      <c r="AH99" s="7"/>
      <c r="AI99" s="2" t="s">
        <v>86</v>
      </c>
      <c r="AJ99" s="2" t="s">
        <v>87</v>
      </c>
      <c r="AK99" s="2"/>
      <c r="AL99" s="2"/>
      <c r="AM99" s="2" t="s">
        <v>435</v>
      </c>
      <c r="AN99" s="2" t="s">
        <v>196</v>
      </c>
      <c r="AO99" s="2" t="s">
        <v>202</v>
      </c>
      <c r="AP99" s="2" t="s">
        <v>214</v>
      </c>
      <c r="AQ99" s="2" t="s">
        <v>125</v>
      </c>
    </row>
    <row r="100" customFormat="false" ht="15" hidden="false" customHeight="false" outlineLevel="0" collapsed="false">
      <c r="A100" s="2" t="s">
        <v>436</v>
      </c>
      <c r="B100" s="2" t="s">
        <v>436</v>
      </c>
      <c r="C100" s="2" t="s">
        <v>64</v>
      </c>
      <c r="D100" s="2" t="s">
        <v>437</v>
      </c>
      <c r="E100" s="2" t="s">
        <v>438</v>
      </c>
      <c r="F100" s="2" t="s">
        <v>289</v>
      </c>
      <c r="G100" s="2" t="s">
        <v>290</v>
      </c>
      <c r="H100" s="2" t="s">
        <v>291</v>
      </c>
      <c r="I100" s="2" t="n">
        <v>52.6597159283518</v>
      </c>
      <c r="J100" s="2" t="n">
        <v>-8.54957644703749</v>
      </c>
      <c r="K100" s="2" t="n">
        <v>6</v>
      </c>
      <c r="L100" s="2" t="s">
        <v>145</v>
      </c>
      <c r="M100" s="2" t="s">
        <v>83</v>
      </c>
      <c r="N100" s="2" t="s">
        <v>72</v>
      </c>
      <c r="O100" s="2" t="s">
        <v>73</v>
      </c>
      <c r="P100" s="2" t="s">
        <v>73</v>
      </c>
      <c r="Q100" s="2" t="s">
        <v>120</v>
      </c>
      <c r="R100" s="2" t="s">
        <v>120</v>
      </c>
      <c r="S100" s="6" t="n">
        <v>43271</v>
      </c>
      <c r="T100" s="6" t="n">
        <v>43320</v>
      </c>
      <c r="U100" s="2" t="s">
        <v>85</v>
      </c>
      <c r="V100" s="2" t="s">
        <v>85</v>
      </c>
      <c r="W100" s="6" t="n">
        <v>45059</v>
      </c>
      <c r="X100" s="6" t="n">
        <v>43560</v>
      </c>
      <c r="Y100" s="2" t="s">
        <v>104</v>
      </c>
      <c r="Z100" s="2" t="n">
        <v>1</v>
      </c>
      <c r="AA100" s="2" t="n">
        <v>6</v>
      </c>
      <c r="AB100" s="6" t="n">
        <v>43917</v>
      </c>
      <c r="AC100" s="2" t="n">
        <v>3</v>
      </c>
      <c r="AD100" s="2" t="n">
        <v>6</v>
      </c>
      <c r="AE100" s="7" t="n">
        <v>0.134154688569473</v>
      </c>
      <c r="AF100" s="7" t="n">
        <v>0.657084188911704</v>
      </c>
      <c r="AG100" s="7" t="n">
        <v>0.97741273100616</v>
      </c>
      <c r="AH100" s="7" t="n">
        <v>6.13865546218487</v>
      </c>
      <c r="AI100" s="2" t="s">
        <v>152</v>
      </c>
      <c r="AJ100" s="2" t="s">
        <v>78</v>
      </c>
      <c r="AK100" s="2"/>
      <c r="AL100" s="2" t="s">
        <v>64</v>
      </c>
      <c r="AM100" s="2"/>
      <c r="AN100" s="2"/>
      <c r="AO100" s="2"/>
      <c r="AP100" s="2"/>
      <c r="AQ100" s="2"/>
    </row>
    <row r="101" customFormat="false" ht="15" hidden="false" customHeight="false" outlineLevel="0" collapsed="false">
      <c r="A101" s="2" t="s">
        <v>439</v>
      </c>
      <c r="B101" s="2" t="s">
        <v>439</v>
      </c>
      <c r="C101" s="2" t="s">
        <v>64</v>
      </c>
      <c r="D101" s="2" t="s">
        <v>440</v>
      </c>
      <c r="E101" s="2" t="s">
        <v>441</v>
      </c>
      <c r="F101" s="2" t="s">
        <v>289</v>
      </c>
      <c r="G101" s="2" t="s">
        <v>290</v>
      </c>
      <c r="H101" s="2" t="s">
        <v>301</v>
      </c>
      <c r="I101" s="2" t="n">
        <v>52.6519515</v>
      </c>
      <c r="J101" s="2" t="n">
        <v>-8.6101618</v>
      </c>
      <c r="K101" s="2" t="n">
        <v>5</v>
      </c>
      <c r="L101" s="2" t="s">
        <v>145</v>
      </c>
      <c r="M101" s="2" t="s">
        <v>92</v>
      </c>
      <c r="N101" s="2" t="s">
        <v>96</v>
      </c>
      <c r="O101" s="2" t="s">
        <v>97</v>
      </c>
      <c r="P101" s="2" t="s">
        <v>98</v>
      </c>
      <c r="Q101" s="2" t="s">
        <v>188</v>
      </c>
      <c r="R101" s="2" t="s">
        <v>75</v>
      </c>
      <c r="S101" s="6" t="n">
        <v>45874</v>
      </c>
      <c r="T101" s="6" t="n">
        <v>46006</v>
      </c>
      <c r="U101" s="2" t="s">
        <v>85</v>
      </c>
      <c r="V101" s="2" t="s">
        <v>85</v>
      </c>
      <c r="W101" s="6"/>
      <c r="X101" s="6"/>
      <c r="Y101" s="2"/>
      <c r="Z101" s="2" t="n">
        <v>0</v>
      </c>
      <c r="AA101" s="2" t="n">
        <v>0</v>
      </c>
      <c r="AB101" s="6"/>
      <c r="AC101" s="2" t="n">
        <v>0</v>
      </c>
      <c r="AD101" s="2" t="n">
        <v>0</v>
      </c>
      <c r="AE101" s="7" t="n">
        <v>0.361396303901437</v>
      </c>
      <c r="AF101" s="7"/>
      <c r="AG101" s="7"/>
      <c r="AH101" s="7"/>
      <c r="AI101" s="2" t="s">
        <v>86</v>
      </c>
      <c r="AJ101" s="2" t="s">
        <v>87</v>
      </c>
      <c r="AK101" s="2"/>
      <c r="AL101" s="2"/>
      <c r="AM101" s="2" t="s">
        <v>442</v>
      </c>
      <c r="AN101" s="2" t="s">
        <v>196</v>
      </c>
      <c r="AO101" s="2" t="s">
        <v>422</v>
      </c>
      <c r="AP101" s="2" t="s">
        <v>443</v>
      </c>
      <c r="AQ101" s="2" t="s">
        <v>125</v>
      </c>
    </row>
    <row r="102" customFormat="false" ht="15" hidden="false" customHeight="false" outlineLevel="0" collapsed="false">
      <c r="A102" s="2" t="s">
        <v>444</v>
      </c>
      <c r="B102" s="2" t="s">
        <v>444</v>
      </c>
      <c r="C102" s="2" t="s">
        <v>404</v>
      </c>
      <c r="D102" s="2"/>
      <c r="E102" s="2" t="s">
        <v>445</v>
      </c>
      <c r="F102" s="2" t="s">
        <v>289</v>
      </c>
      <c r="G102" s="2" t="s">
        <v>290</v>
      </c>
      <c r="H102" s="2" t="s">
        <v>301</v>
      </c>
      <c r="I102" s="2" t="n">
        <v>52.6480871755763</v>
      </c>
      <c r="J102" s="2" t="n">
        <v>-8.6259514985754</v>
      </c>
      <c r="K102" s="2" t="n">
        <v>5</v>
      </c>
      <c r="L102" s="2" t="s">
        <v>145</v>
      </c>
      <c r="M102" s="2" t="s">
        <v>92</v>
      </c>
      <c r="N102" s="2" t="s">
        <v>96</v>
      </c>
      <c r="O102" s="2" t="s">
        <v>97</v>
      </c>
      <c r="P102" s="2" t="s">
        <v>98</v>
      </c>
      <c r="Q102" s="2" t="s">
        <v>407</v>
      </c>
      <c r="R102" s="2" t="s">
        <v>103</v>
      </c>
      <c r="S102" s="6" t="n">
        <v>43035</v>
      </c>
      <c r="T102" s="6"/>
      <c r="U102" s="2" t="s">
        <v>85</v>
      </c>
      <c r="V102" s="2" t="s">
        <v>85</v>
      </c>
      <c r="W102" s="6"/>
      <c r="X102" s="6" t="n">
        <v>43472</v>
      </c>
      <c r="Y102" s="2" t="s">
        <v>104</v>
      </c>
      <c r="Z102" s="2" t="n">
        <v>1</v>
      </c>
      <c r="AA102" s="2" t="n">
        <v>5</v>
      </c>
      <c r="AB102" s="6"/>
      <c r="AC102" s="2" t="n">
        <v>1</v>
      </c>
      <c r="AD102" s="2" t="n">
        <v>1</v>
      </c>
      <c r="AE102" s="7"/>
      <c r="AF102" s="7"/>
      <c r="AG102" s="7"/>
      <c r="AH102" s="7"/>
      <c r="AI102" s="2" t="s">
        <v>86</v>
      </c>
      <c r="AJ102" s="2"/>
      <c r="AK102" s="2"/>
      <c r="AL102" s="2"/>
      <c r="AM102" s="2"/>
      <c r="AN102" s="2"/>
      <c r="AO102" s="2"/>
      <c r="AP102" s="2"/>
      <c r="AQ102" s="2"/>
    </row>
    <row r="103" customFormat="false" ht="15" hidden="false" customHeight="false" outlineLevel="0" collapsed="false">
      <c r="A103" s="2" t="s">
        <v>446</v>
      </c>
      <c r="B103" s="2" t="s">
        <v>446</v>
      </c>
      <c r="C103" s="2" t="s">
        <v>64</v>
      </c>
      <c r="D103" s="2" t="s">
        <v>447</v>
      </c>
      <c r="E103" s="2" t="s">
        <v>448</v>
      </c>
      <c r="F103" s="2" t="s">
        <v>82</v>
      </c>
      <c r="G103" s="2" t="s">
        <v>290</v>
      </c>
      <c r="H103" s="2" t="s">
        <v>301</v>
      </c>
      <c r="I103" s="2" t="n">
        <v>52.6564240773825</v>
      </c>
      <c r="J103" s="2" t="n">
        <v>-8.58755972619193</v>
      </c>
      <c r="K103" s="2" t="n">
        <v>4</v>
      </c>
      <c r="L103" s="2" t="s">
        <v>145</v>
      </c>
      <c r="M103" s="2" t="s">
        <v>83</v>
      </c>
      <c r="N103" s="2" t="s">
        <v>72</v>
      </c>
      <c r="O103" s="2" t="s">
        <v>73</v>
      </c>
      <c r="P103" s="2" t="s">
        <v>73</v>
      </c>
      <c r="Q103" s="2" t="s">
        <v>120</v>
      </c>
      <c r="R103" s="2" t="s">
        <v>120</v>
      </c>
      <c r="S103" s="6" t="n">
        <v>43130</v>
      </c>
      <c r="T103" s="6" t="n">
        <v>43483</v>
      </c>
      <c r="U103" s="2" t="s">
        <v>76</v>
      </c>
      <c r="V103" s="2" t="s">
        <v>85</v>
      </c>
      <c r="W103" s="6" t="n">
        <v>45308</v>
      </c>
      <c r="X103" s="6" t="n">
        <v>44050</v>
      </c>
      <c r="Y103" s="2" t="s">
        <v>104</v>
      </c>
      <c r="Z103" s="2" t="n">
        <v>1</v>
      </c>
      <c r="AA103" s="2" t="n">
        <v>4</v>
      </c>
      <c r="AB103" s="6" t="n">
        <v>45093</v>
      </c>
      <c r="AC103" s="2" t="n">
        <v>1</v>
      </c>
      <c r="AD103" s="2" t="n">
        <v>4</v>
      </c>
      <c r="AE103" s="7" t="n">
        <v>0.966461327857632</v>
      </c>
      <c r="AF103" s="7" t="n">
        <v>1.5523613963039</v>
      </c>
      <c r="AG103" s="7" t="n">
        <v>2.85557837097878</v>
      </c>
      <c r="AH103" s="7" t="n">
        <v>1.40076701821668</v>
      </c>
      <c r="AI103" s="2" t="s">
        <v>86</v>
      </c>
      <c r="AJ103" s="2" t="s">
        <v>87</v>
      </c>
      <c r="AK103" s="2"/>
      <c r="AL103" s="2" t="s">
        <v>64</v>
      </c>
      <c r="AM103" s="2"/>
      <c r="AN103" s="2"/>
      <c r="AO103" s="2"/>
      <c r="AP103" s="2"/>
      <c r="AQ103" s="2"/>
    </row>
    <row r="104" customFormat="false" ht="15" hidden="false" customHeight="false" outlineLevel="0" collapsed="false">
      <c r="A104" s="2" t="s">
        <v>449</v>
      </c>
      <c r="B104" s="2" t="s">
        <v>449</v>
      </c>
      <c r="C104" s="2" t="s">
        <v>64</v>
      </c>
      <c r="D104" s="2" t="s">
        <v>360</v>
      </c>
      <c r="E104" s="2" t="s">
        <v>450</v>
      </c>
      <c r="F104" s="2" t="s">
        <v>169</v>
      </c>
      <c r="G104" s="2" t="s">
        <v>290</v>
      </c>
      <c r="H104" s="2" t="s">
        <v>301</v>
      </c>
      <c r="I104" s="2" t="n">
        <v>52.6445297540867</v>
      </c>
      <c r="J104" s="2" t="n">
        <v>-8.58798540149591</v>
      </c>
      <c r="K104" s="2" t="n">
        <v>4</v>
      </c>
      <c r="L104" s="2" t="s">
        <v>145</v>
      </c>
      <c r="M104" s="2" t="s">
        <v>83</v>
      </c>
      <c r="N104" s="2" t="s">
        <v>72</v>
      </c>
      <c r="O104" s="2" t="s">
        <v>73</v>
      </c>
      <c r="P104" s="2" t="s">
        <v>73</v>
      </c>
      <c r="Q104" s="2" t="s">
        <v>74</v>
      </c>
      <c r="R104" s="2" t="s">
        <v>103</v>
      </c>
      <c r="S104" s="6" t="n">
        <v>43272</v>
      </c>
      <c r="T104" s="6" t="n">
        <v>43431</v>
      </c>
      <c r="U104" s="2" t="s">
        <v>76</v>
      </c>
      <c r="V104" s="2" t="s">
        <v>85</v>
      </c>
      <c r="W104" s="6" t="n">
        <v>45256</v>
      </c>
      <c r="X104" s="6" t="n">
        <v>43665</v>
      </c>
      <c r="Y104" s="2" t="s">
        <v>104</v>
      </c>
      <c r="Z104" s="2" t="n">
        <v>1</v>
      </c>
      <c r="AA104" s="2" t="n">
        <v>20</v>
      </c>
      <c r="AB104" s="6"/>
      <c r="AC104" s="2" t="n">
        <v>20</v>
      </c>
      <c r="AD104" s="2" t="n">
        <v>20</v>
      </c>
      <c r="AE104" s="7" t="n">
        <v>0.435318275154004</v>
      </c>
      <c r="AF104" s="7" t="n">
        <v>0.640657084188912</v>
      </c>
      <c r="AG104" s="7"/>
      <c r="AH104" s="7"/>
      <c r="AI104" s="2" t="s">
        <v>86</v>
      </c>
      <c r="AJ104" s="2" t="s">
        <v>87</v>
      </c>
      <c r="AK104" s="2"/>
      <c r="AL104" s="2"/>
      <c r="AM104" s="2"/>
      <c r="AN104" s="2"/>
      <c r="AO104" s="2"/>
      <c r="AP104" s="2"/>
      <c r="AQ104" s="2"/>
    </row>
    <row r="105" customFormat="false" ht="15" hidden="false" customHeight="false" outlineLevel="0" collapsed="false">
      <c r="A105" s="2" t="s">
        <v>451</v>
      </c>
      <c r="B105" s="2" t="s">
        <v>451</v>
      </c>
      <c r="C105" s="2" t="s">
        <v>64</v>
      </c>
      <c r="D105" s="2" t="s">
        <v>306</v>
      </c>
      <c r="E105" s="2" t="s">
        <v>452</v>
      </c>
      <c r="F105" s="2" t="s">
        <v>289</v>
      </c>
      <c r="G105" s="2" t="s">
        <v>290</v>
      </c>
      <c r="H105" s="2" t="s">
        <v>291</v>
      </c>
      <c r="I105" s="2" t="n">
        <v>52.669150254114</v>
      </c>
      <c r="J105" s="2" t="n">
        <v>-8.55242975792002</v>
      </c>
      <c r="K105" s="2" t="n">
        <v>4</v>
      </c>
      <c r="L105" s="2" t="s">
        <v>145</v>
      </c>
      <c r="M105" s="2" t="s">
        <v>95</v>
      </c>
      <c r="N105" s="2" t="s">
        <v>72</v>
      </c>
      <c r="O105" s="2" t="s">
        <v>73</v>
      </c>
      <c r="P105" s="2" t="s">
        <v>73</v>
      </c>
      <c r="Q105" s="2" t="s">
        <v>74</v>
      </c>
      <c r="R105" s="2" t="s">
        <v>75</v>
      </c>
      <c r="S105" s="6" t="n">
        <v>46003</v>
      </c>
      <c r="T105" s="6" t="n">
        <v>46233</v>
      </c>
      <c r="U105" s="2" t="s">
        <v>76</v>
      </c>
      <c r="V105" s="2" t="s">
        <v>85</v>
      </c>
      <c r="W105" s="6" t="n">
        <v>48059</v>
      </c>
      <c r="X105" s="6"/>
      <c r="Y105" s="2"/>
      <c r="Z105" s="2" t="n">
        <v>0</v>
      </c>
      <c r="AA105" s="2" t="n">
        <v>0</v>
      </c>
      <c r="AB105" s="6"/>
      <c r="AC105" s="2" t="n">
        <v>0</v>
      </c>
      <c r="AD105" s="2" t="n">
        <v>0</v>
      </c>
      <c r="AE105" s="7" t="n">
        <v>0.629705681040383</v>
      </c>
      <c r="AF105" s="7"/>
      <c r="AG105" s="7"/>
      <c r="AH105" s="7"/>
      <c r="AI105" s="2" t="s">
        <v>77</v>
      </c>
      <c r="AJ105" s="2" t="s">
        <v>78</v>
      </c>
      <c r="AK105" s="2"/>
      <c r="AL105" s="2"/>
      <c r="AM105" s="2"/>
      <c r="AN105" s="2"/>
      <c r="AO105" s="2"/>
      <c r="AP105" s="2"/>
      <c r="AQ105" s="2"/>
    </row>
    <row r="106" customFormat="false" ht="15" hidden="false" customHeight="false" outlineLevel="0" collapsed="false">
      <c r="A106" s="2" t="s">
        <v>453</v>
      </c>
      <c r="B106" s="2" t="s">
        <v>454</v>
      </c>
      <c r="C106" s="2" t="s">
        <v>64</v>
      </c>
      <c r="D106" s="2" t="s">
        <v>455</v>
      </c>
      <c r="E106" s="2" t="s">
        <v>456</v>
      </c>
      <c r="F106" s="2" t="s">
        <v>343</v>
      </c>
      <c r="G106" s="2" t="s">
        <v>290</v>
      </c>
      <c r="H106" s="2" t="s">
        <v>69</v>
      </c>
      <c r="I106" s="2" t="n">
        <v>52.7045250400127</v>
      </c>
      <c r="J106" s="2" t="n">
        <v>-8.50591941229045</v>
      </c>
      <c r="K106" s="2" t="n">
        <v>4</v>
      </c>
      <c r="L106" s="2" t="s">
        <v>145</v>
      </c>
      <c r="M106" s="2" t="s">
        <v>83</v>
      </c>
      <c r="N106" s="2" t="s">
        <v>96</v>
      </c>
      <c r="O106" s="2" t="s">
        <v>97</v>
      </c>
      <c r="P106" s="2" t="s">
        <v>98</v>
      </c>
      <c r="Q106" s="2" t="s">
        <v>188</v>
      </c>
      <c r="R106" s="2" t="s">
        <v>103</v>
      </c>
      <c r="S106" s="6" t="n">
        <v>43206</v>
      </c>
      <c r="T106" s="6" t="n">
        <v>43264</v>
      </c>
      <c r="U106" s="2" t="s">
        <v>85</v>
      </c>
      <c r="V106" s="2" t="s">
        <v>85</v>
      </c>
      <c r="W106" s="6"/>
      <c r="X106" s="6" t="n">
        <v>43704</v>
      </c>
      <c r="Y106" s="2" t="s">
        <v>104</v>
      </c>
      <c r="Z106" s="2" t="n">
        <v>1</v>
      </c>
      <c r="AA106" s="2" t="n">
        <v>4</v>
      </c>
      <c r="AB106" s="6"/>
      <c r="AC106" s="2" t="n">
        <v>1</v>
      </c>
      <c r="AD106" s="2" t="n">
        <v>3</v>
      </c>
      <c r="AE106" s="7" t="n">
        <v>0.158795345653662</v>
      </c>
      <c r="AF106" s="7" t="n">
        <v>1.20465434633813</v>
      </c>
      <c r="AG106" s="7"/>
      <c r="AH106" s="7"/>
      <c r="AI106" s="2" t="s">
        <v>86</v>
      </c>
      <c r="AJ106" s="2" t="s">
        <v>87</v>
      </c>
      <c r="AK106" s="2"/>
      <c r="AL106" s="2"/>
      <c r="AM106" s="2"/>
      <c r="AN106" s="2"/>
      <c r="AO106" s="2"/>
      <c r="AP106" s="2"/>
      <c r="AQ106" s="2"/>
    </row>
    <row r="107" customFormat="false" ht="15" hidden="false" customHeight="false" outlineLevel="0" collapsed="false">
      <c r="A107" s="2" t="s">
        <v>457</v>
      </c>
      <c r="B107" s="2" t="s">
        <v>457</v>
      </c>
      <c r="C107" s="2" t="s">
        <v>64</v>
      </c>
      <c r="D107" s="2" t="s">
        <v>458</v>
      </c>
      <c r="E107" s="2" t="s">
        <v>459</v>
      </c>
      <c r="F107" s="2" t="s">
        <v>289</v>
      </c>
      <c r="G107" s="2" t="s">
        <v>290</v>
      </c>
      <c r="H107" s="2" t="s">
        <v>301</v>
      </c>
      <c r="I107" s="2" t="n">
        <v>52.6447201</v>
      </c>
      <c r="J107" s="2" t="n">
        <v>-8.6173166</v>
      </c>
      <c r="K107" s="2" t="n">
        <v>4</v>
      </c>
      <c r="L107" s="2" t="s">
        <v>145</v>
      </c>
      <c r="M107" s="2" t="s">
        <v>83</v>
      </c>
      <c r="N107" s="2" t="s">
        <v>96</v>
      </c>
      <c r="O107" s="2" t="s">
        <v>97</v>
      </c>
      <c r="P107" s="2" t="s">
        <v>98</v>
      </c>
      <c r="Q107" s="2" t="s">
        <v>272</v>
      </c>
      <c r="R107" s="2" t="s">
        <v>273</v>
      </c>
      <c r="S107" s="6" t="n">
        <v>45612</v>
      </c>
      <c r="T107" s="6"/>
      <c r="U107" s="2" t="s">
        <v>85</v>
      </c>
      <c r="V107" s="2" t="s">
        <v>85</v>
      </c>
      <c r="W107" s="6"/>
      <c r="X107" s="6"/>
      <c r="Y107" s="2"/>
      <c r="Z107" s="2" t="n">
        <v>0</v>
      </c>
      <c r="AA107" s="2" t="n">
        <v>0</v>
      </c>
      <c r="AB107" s="6"/>
      <c r="AC107" s="2" t="n">
        <v>0</v>
      </c>
      <c r="AD107" s="2" t="n">
        <v>0</v>
      </c>
      <c r="AE107" s="7"/>
      <c r="AF107" s="7"/>
      <c r="AG107" s="7"/>
      <c r="AH107" s="7"/>
      <c r="AI107" s="2" t="s">
        <v>86</v>
      </c>
      <c r="AJ107" s="2" t="s">
        <v>87</v>
      </c>
      <c r="AK107" s="2"/>
      <c r="AL107" s="2"/>
      <c r="AM107" s="2"/>
      <c r="AN107" s="2"/>
      <c r="AO107" s="2"/>
      <c r="AP107" s="2"/>
      <c r="AQ107" s="2"/>
    </row>
    <row r="108" customFormat="false" ht="15" hidden="false" customHeight="false" outlineLevel="0" collapsed="false">
      <c r="A108" s="2" t="s">
        <v>460</v>
      </c>
      <c r="B108" s="2" t="s">
        <v>460</v>
      </c>
      <c r="C108" s="2" t="s">
        <v>64</v>
      </c>
      <c r="D108" s="2" t="s">
        <v>461</v>
      </c>
      <c r="E108" s="2" t="s">
        <v>462</v>
      </c>
      <c r="F108" s="2" t="s">
        <v>289</v>
      </c>
      <c r="G108" s="2" t="s">
        <v>290</v>
      </c>
      <c r="H108" s="2" t="s">
        <v>406</v>
      </c>
      <c r="I108" s="2" t="n">
        <v>52.6605725856049</v>
      </c>
      <c r="J108" s="2" t="n">
        <v>-8.62404086876357</v>
      </c>
      <c r="K108" s="2" t="n">
        <v>4</v>
      </c>
      <c r="L108" s="2" t="s">
        <v>145</v>
      </c>
      <c r="M108" s="2" t="s">
        <v>95</v>
      </c>
      <c r="N108" s="2" t="s">
        <v>72</v>
      </c>
      <c r="O108" s="2" t="s">
        <v>73</v>
      </c>
      <c r="P108" s="2" t="s">
        <v>73</v>
      </c>
      <c r="Q108" s="2" t="s">
        <v>272</v>
      </c>
      <c r="R108" s="2" t="s">
        <v>273</v>
      </c>
      <c r="S108" s="6" t="n">
        <v>46185</v>
      </c>
      <c r="T108" s="6"/>
      <c r="U108" s="2" t="s">
        <v>76</v>
      </c>
      <c r="V108" s="2" t="s">
        <v>85</v>
      </c>
      <c r="W108" s="6"/>
      <c r="X108" s="6"/>
      <c r="Y108" s="2"/>
      <c r="Z108" s="2" t="n">
        <v>0</v>
      </c>
      <c r="AA108" s="2" t="n">
        <v>0</v>
      </c>
      <c r="AB108" s="6"/>
      <c r="AC108" s="2" t="n">
        <v>0</v>
      </c>
      <c r="AD108" s="2" t="n">
        <v>0</v>
      </c>
      <c r="AE108" s="7"/>
      <c r="AF108" s="7"/>
      <c r="AG108" s="7"/>
      <c r="AH108" s="7"/>
      <c r="AI108" s="2" t="s">
        <v>86</v>
      </c>
      <c r="AJ108" s="2" t="s">
        <v>87</v>
      </c>
      <c r="AK108" s="2"/>
      <c r="AL108" s="2"/>
      <c r="AM108" s="2"/>
      <c r="AN108" s="2"/>
      <c r="AO108" s="2"/>
      <c r="AP108" s="2"/>
      <c r="AQ108" s="2"/>
    </row>
    <row r="109" customFormat="false" ht="15" hidden="false" customHeight="false" outlineLevel="0" collapsed="false">
      <c r="A109" s="2" t="s">
        <v>463</v>
      </c>
      <c r="B109" s="2" t="s">
        <v>463</v>
      </c>
      <c r="C109" s="2" t="s">
        <v>64</v>
      </c>
      <c r="D109" s="2" t="s">
        <v>464</v>
      </c>
      <c r="E109" s="2" t="s">
        <v>465</v>
      </c>
      <c r="F109" s="2" t="s">
        <v>82</v>
      </c>
      <c r="G109" s="2" t="s">
        <v>290</v>
      </c>
      <c r="H109" s="2" t="s">
        <v>69</v>
      </c>
      <c r="I109" s="2" t="n">
        <v>52.6083365056034</v>
      </c>
      <c r="J109" s="2" t="n">
        <v>-8.62405665138444</v>
      </c>
      <c r="K109" s="2" t="n">
        <v>3</v>
      </c>
      <c r="L109" s="2" t="s">
        <v>145</v>
      </c>
      <c r="M109" s="2" t="s">
        <v>83</v>
      </c>
      <c r="N109" s="2" t="s">
        <v>72</v>
      </c>
      <c r="O109" s="2" t="s">
        <v>73</v>
      </c>
      <c r="P109" s="2" t="s">
        <v>73</v>
      </c>
      <c r="Q109" s="2" t="s">
        <v>263</v>
      </c>
      <c r="R109" s="2" t="s">
        <v>103</v>
      </c>
      <c r="S109" s="6" t="n">
        <v>45120</v>
      </c>
      <c r="T109" s="6" t="n">
        <v>45293</v>
      </c>
      <c r="U109" s="2" t="s">
        <v>76</v>
      </c>
      <c r="V109" s="2" t="s">
        <v>85</v>
      </c>
      <c r="W109" s="6" t="n">
        <v>47119</v>
      </c>
      <c r="X109" s="6" t="n">
        <v>45383</v>
      </c>
      <c r="Y109" s="2" t="s">
        <v>104</v>
      </c>
      <c r="Z109" s="2" t="n">
        <v>3</v>
      </c>
      <c r="AA109" s="2" t="n">
        <v>3</v>
      </c>
      <c r="AB109" s="6"/>
      <c r="AC109" s="2" t="n">
        <v>0</v>
      </c>
      <c r="AD109" s="2" t="n">
        <v>0</v>
      </c>
      <c r="AE109" s="7" t="n">
        <v>0.473648186173854</v>
      </c>
      <c r="AF109" s="7" t="n">
        <v>0.246406570841889</v>
      </c>
      <c r="AG109" s="7"/>
      <c r="AH109" s="7"/>
      <c r="AI109" s="2" t="s">
        <v>86</v>
      </c>
      <c r="AJ109" s="2" t="s">
        <v>87</v>
      </c>
      <c r="AK109" s="2"/>
      <c r="AL109" s="2"/>
      <c r="AM109" s="2"/>
      <c r="AN109" s="2"/>
      <c r="AO109" s="2"/>
      <c r="AP109" s="2"/>
      <c r="AQ109" s="2"/>
    </row>
    <row r="110" customFormat="false" ht="15" hidden="false" customHeight="false" outlineLevel="0" collapsed="false">
      <c r="A110" s="2" t="s">
        <v>466</v>
      </c>
      <c r="B110" s="2" t="s">
        <v>466</v>
      </c>
      <c r="C110" s="2" t="s">
        <v>64</v>
      </c>
      <c r="D110" s="2" t="s">
        <v>323</v>
      </c>
      <c r="E110" s="2" t="s">
        <v>467</v>
      </c>
      <c r="F110" s="2" t="s">
        <v>289</v>
      </c>
      <c r="G110" s="2" t="s">
        <v>290</v>
      </c>
      <c r="H110" s="2" t="s">
        <v>291</v>
      </c>
      <c r="I110" s="2" t="n">
        <v>52.6641719698114</v>
      </c>
      <c r="J110" s="2" t="n">
        <v>-8.568127109176</v>
      </c>
      <c r="K110" s="2" t="n">
        <v>3</v>
      </c>
      <c r="L110" s="2" t="s">
        <v>145</v>
      </c>
      <c r="M110" s="2" t="s">
        <v>83</v>
      </c>
      <c r="N110" s="2" t="s">
        <v>72</v>
      </c>
      <c r="O110" s="2" t="s">
        <v>73</v>
      </c>
      <c r="P110" s="2" t="s">
        <v>73</v>
      </c>
      <c r="Q110" s="2" t="s">
        <v>102</v>
      </c>
      <c r="R110" s="2" t="s">
        <v>103</v>
      </c>
      <c r="S110" s="6" t="n">
        <v>43957</v>
      </c>
      <c r="T110" s="6" t="n">
        <v>44362</v>
      </c>
      <c r="U110" s="2" t="s">
        <v>76</v>
      </c>
      <c r="V110" s="2" t="s">
        <v>85</v>
      </c>
      <c r="W110" s="6" t="n">
        <v>46187</v>
      </c>
      <c r="X110" s="6" t="n">
        <v>44830</v>
      </c>
      <c r="Y110" s="2" t="s">
        <v>104</v>
      </c>
      <c r="Z110" s="2" t="n">
        <v>1</v>
      </c>
      <c r="AA110" s="2" t="n">
        <v>1</v>
      </c>
      <c r="AB110" s="6"/>
      <c r="AC110" s="2" t="n">
        <v>1</v>
      </c>
      <c r="AD110" s="2" t="n">
        <v>1</v>
      </c>
      <c r="AE110" s="7" t="n">
        <v>1.1088295687885</v>
      </c>
      <c r="AF110" s="7" t="n">
        <v>1.28131416837782</v>
      </c>
      <c r="AG110" s="7"/>
      <c r="AH110" s="7"/>
      <c r="AI110" s="2" t="s">
        <v>77</v>
      </c>
      <c r="AJ110" s="2" t="s">
        <v>78</v>
      </c>
      <c r="AK110" s="2"/>
      <c r="AL110" s="2"/>
      <c r="AM110" s="2"/>
      <c r="AN110" s="2"/>
      <c r="AO110" s="2"/>
      <c r="AP110" s="2"/>
      <c r="AQ110" s="2"/>
    </row>
    <row r="111" customFormat="false" ht="15" hidden="false" customHeight="false" outlineLevel="0" collapsed="false">
      <c r="A111" s="2" t="s">
        <v>468</v>
      </c>
      <c r="B111" s="2" t="s">
        <v>468</v>
      </c>
      <c r="C111" s="2" t="s">
        <v>64</v>
      </c>
      <c r="D111" s="2" t="s">
        <v>323</v>
      </c>
      <c r="E111" s="2" t="s">
        <v>469</v>
      </c>
      <c r="F111" s="2" t="s">
        <v>289</v>
      </c>
      <c r="G111" s="2" t="s">
        <v>290</v>
      </c>
      <c r="H111" s="2" t="s">
        <v>291</v>
      </c>
      <c r="I111" s="2" t="n">
        <v>52.6650001237423</v>
      </c>
      <c r="J111" s="2" t="n">
        <v>-8.56690072110188</v>
      </c>
      <c r="K111" s="2" t="n">
        <v>2</v>
      </c>
      <c r="L111" s="2" t="s">
        <v>145</v>
      </c>
      <c r="M111" s="2" t="s">
        <v>83</v>
      </c>
      <c r="N111" s="2" t="s">
        <v>72</v>
      </c>
      <c r="O111" s="2" t="s">
        <v>73</v>
      </c>
      <c r="P111" s="2" t="s">
        <v>73</v>
      </c>
      <c r="Q111" s="2" t="s">
        <v>263</v>
      </c>
      <c r="R111" s="2" t="s">
        <v>103</v>
      </c>
      <c r="S111" s="6" t="n">
        <v>44363</v>
      </c>
      <c r="T111" s="6" t="n">
        <v>44545</v>
      </c>
      <c r="U111" s="2" t="s">
        <v>76</v>
      </c>
      <c r="V111" s="2" t="s">
        <v>85</v>
      </c>
      <c r="W111" s="6" t="n">
        <v>46370</v>
      </c>
      <c r="X111" s="6" t="n">
        <v>45194</v>
      </c>
      <c r="Y111" s="2" t="s">
        <v>104</v>
      </c>
      <c r="Z111" s="2" t="n">
        <v>1</v>
      </c>
      <c r="AA111" s="2" t="n">
        <v>1</v>
      </c>
      <c r="AB111" s="6"/>
      <c r="AC111" s="2" t="n">
        <v>0</v>
      </c>
      <c r="AD111" s="2" t="n">
        <v>0</v>
      </c>
      <c r="AE111" s="7" t="n">
        <v>0.498288843258043</v>
      </c>
      <c r="AF111" s="7" t="n">
        <v>1.77686516084873</v>
      </c>
      <c r="AG111" s="7"/>
      <c r="AH111" s="7"/>
      <c r="AI111" s="2" t="s">
        <v>77</v>
      </c>
      <c r="AJ111" s="2" t="s">
        <v>78</v>
      </c>
      <c r="AK111" s="2"/>
      <c r="AL111" s="2"/>
      <c r="AM111" s="2"/>
      <c r="AN111" s="2"/>
      <c r="AO111" s="2"/>
      <c r="AP111" s="2"/>
      <c r="AQ111" s="2"/>
    </row>
    <row r="112" customFormat="false" ht="15" hidden="false" customHeight="false" outlineLevel="0" collapsed="false">
      <c r="A112" s="2" t="s">
        <v>470</v>
      </c>
      <c r="B112" s="2" t="s">
        <v>470</v>
      </c>
      <c r="C112" s="2" t="s">
        <v>64</v>
      </c>
      <c r="D112" s="2" t="s">
        <v>471</v>
      </c>
      <c r="E112" s="2" t="s">
        <v>472</v>
      </c>
      <c r="F112" s="2" t="s">
        <v>82</v>
      </c>
      <c r="G112" s="2" t="s">
        <v>473</v>
      </c>
      <c r="H112" s="2" t="s">
        <v>474</v>
      </c>
      <c r="I112" s="2" t="n">
        <v>52.6673630575618</v>
      </c>
      <c r="J112" s="2" t="n">
        <v>-8.64915196008841</v>
      </c>
      <c r="K112" s="2" t="n">
        <v>167</v>
      </c>
      <c r="L112" s="2" t="s">
        <v>292</v>
      </c>
      <c r="M112" s="2" t="s">
        <v>95</v>
      </c>
      <c r="N112" s="2" t="s">
        <v>293</v>
      </c>
      <c r="O112" s="2" t="s">
        <v>73</v>
      </c>
      <c r="P112" s="2" t="s">
        <v>73</v>
      </c>
      <c r="Q112" s="2" t="s">
        <v>102</v>
      </c>
      <c r="R112" s="2" t="s">
        <v>103</v>
      </c>
      <c r="S112" s="6" t="n">
        <v>45247</v>
      </c>
      <c r="T112" s="6" t="n">
        <v>45527</v>
      </c>
      <c r="U112" s="2" t="s">
        <v>76</v>
      </c>
      <c r="V112" s="2" t="s">
        <v>76</v>
      </c>
      <c r="W112" s="6" t="n">
        <v>47352</v>
      </c>
      <c r="X112" s="6" t="n">
        <v>45904</v>
      </c>
      <c r="Y112" s="2" t="s">
        <v>104</v>
      </c>
      <c r="Z112" s="2" t="n">
        <v>12</v>
      </c>
      <c r="AA112" s="2" t="n">
        <v>376</v>
      </c>
      <c r="AB112" s="6"/>
      <c r="AC112" s="2" t="n">
        <v>0</v>
      </c>
      <c r="AD112" s="2" t="n">
        <v>0</v>
      </c>
      <c r="AE112" s="7" t="n">
        <v>0.766598220396988</v>
      </c>
      <c r="AF112" s="7" t="n">
        <v>1.0321697467488</v>
      </c>
      <c r="AG112" s="7"/>
      <c r="AH112" s="7"/>
      <c r="AI112" s="2" t="s">
        <v>111</v>
      </c>
      <c r="AJ112" s="2" t="s">
        <v>112</v>
      </c>
      <c r="AK112" s="2"/>
      <c r="AL112" s="2"/>
      <c r="AM112" s="2"/>
      <c r="AN112" s="2"/>
      <c r="AO112" s="2"/>
      <c r="AP112" s="2"/>
      <c r="AQ112" s="2"/>
    </row>
    <row r="113" customFormat="false" ht="15" hidden="false" customHeight="false" outlineLevel="0" collapsed="false">
      <c r="A113" s="2" t="s">
        <v>475</v>
      </c>
      <c r="B113" s="2" t="s">
        <v>475</v>
      </c>
      <c r="C113" s="2" t="s">
        <v>64</v>
      </c>
      <c r="D113" s="2" t="s">
        <v>476</v>
      </c>
      <c r="E113" s="2" t="s">
        <v>477</v>
      </c>
      <c r="F113" s="2" t="s">
        <v>82</v>
      </c>
      <c r="G113" s="2" t="s">
        <v>473</v>
      </c>
      <c r="H113" s="2" t="s">
        <v>474</v>
      </c>
      <c r="I113" s="2" t="n">
        <v>52.6620620436181</v>
      </c>
      <c r="J113" s="2" t="n">
        <v>-8.66886007407663</v>
      </c>
      <c r="K113" s="2" t="n">
        <v>165</v>
      </c>
      <c r="L113" s="2" t="s">
        <v>292</v>
      </c>
      <c r="M113" s="2" t="s">
        <v>71</v>
      </c>
      <c r="N113" s="2" t="s">
        <v>308</v>
      </c>
      <c r="O113" s="2" t="s">
        <v>73</v>
      </c>
      <c r="P113" s="2" t="s">
        <v>73</v>
      </c>
      <c r="Q113" s="2" t="s">
        <v>74</v>
      </c>
      <c r="R113" s="2" t="s">
        <v>75</v>
      </c>
      <c r="S113" s="6" t="n">
        <v>44601</v>
      </c>
      <c r="T113" s="6" t="n">
        <v>44707</v>
      </c>
      <c r="U113" s="2" t="s">
        <v>85</v>
      </c>
      <c r="V113" s="2" t="s">
        <v>85</v>
      </c>
      <c r="W113" s="6" t="n">
        <v>46532</v>
      </c>
      <c r="X113" s="6"/>
      <c r="Y113" s="2"/>
      <c r="Z113" s="2" t="n">
        <v>0</v>
      </c>
      <c r="AA113" s="2" t="n">
        <v>0</v>
      </c>
      <c r="AB113" s="6"/>
      <c r="AC113" s="2" t="n">
        <v>0</v>
      </c>
      <c r="AD113" s="2" t="n">
        <v>0</v>
      </c>
      <c r="AE113" s="7" t="n">
        <v>0.290212183436003</v>
      </c>
      <c r="AF113" s="7"/>
      <c r="AG113" s="7"/>
      <c r="AH113" s="7"/>
      <c r="AI113" s="2" t="s">
        <v>86</v>
      </c>
      <c r="AJ113" s="2" t="s">
        <v>87</v>
      </c>
      <c r="AK113" s="2"/>
      <c r="AL113" s="2"/>
      <c r="AM113" s="2"/>
      <c r="AN113" s="2"/>
      <c r="AO113" s="2"/>
      <c r="AP113" s="2"/>
      <c r="AQ113" s="2"/>
    </row>
    <row r="114" customFormat="false" ht="15" hidden="false" customHeight="false" outlineLevel="0" collapsed="false">
      <c r="A114" s="2" t="s">
        <v>478</v>
      </c>
      <c r="B114" s="2" t="s">
        <v>478</v>
      </c>
      <c r="C114" s="2" t="s">
        <v>64</v>
      </c>
      <c r="D114" s="2" t="s">
        <v>479</v>
      </c>
      <c r="E114" s="2" t="s">
        <v>480</v>
      </c>
      <c r="F114" s="2" t="s">
        <v>82</v>
      </c>
      <c r="G114" s="2" t="s">
        <v>473</v>
      </c>
      <c r="H114" s="2" t="s">
        <v>474</v>
      </c>
      <c r="I114" s="2" t="n">
        <v>52.6843877675315</v>
      </c>
      <c r="J114" s="2" t="n">
        <v>-8.65499551686093</v>
      </c>
      <c r="K114" s="2" t="n">
        <v>115</v>
      </c>
      <c r="L114" s="2" t="s">
        <v>292</v>
      </c>
      <c r="M114" s="2" t="s">
        <v>71</v>
      </c>
      <c r="N114" s="2" t="s">
        <v>72</v>
      </c>
      <c r="O114" s="2" t="s">
        <v>119</v>
      </c>
      <c r="P114" s="2" t="s">
        <v>98</v>
      </c>
      <c r="Q114" s="2" t="s">
        <v>102</v>
      </c>
      <c r="R114" s="2" t="s">
        <v>103</v>
      </c>
      <c r="S114" s="6" t="n">
        <v>45280</v>
      </c>
      <c r="T114" s="6" t="n">
        <v>45378</v>
      </c>
      <c r="U114" s="2" t="s">
        <v>85</v>
      </c>
      <c r="V114" s="2" t="s">
        <v>85</v>
      </c>
      <c r="W114" s="6" t="n">
        <v>47203</v>
      </c>
      <c r="X114" s="6" t="n">
        <v>46177</v>
      </c>
      <c r="Y114" s="2" t="s">
        <v>104</v>
      </c>
      <c r="Z114" s="2" t="n">
        <v>1</v>
      </c>
      <c r="AA114" s="2" t="n">
        <v>73</v>
      </c>
      <c r="AB114" s="6"/>
      <c r="AC114" s="2" t="n">
        <v>0</v>
      </c>
      <c r="AD114" s="2" t="n">
        <v>0</v>
      </c>
      <c r="AE114" s="7" t="n">
        <v>0.268309377138946</v>
      </c>
      <c r="AF114" s="7" t="n">
        <v>2.18754277891855</v>
      </c>
      <c r="AG114" s="7"/>
      <c r="AH114" s="7"/>
      <c r="AI114" s="2" t="s">
        <v>86</v>
      </c>
      <c r="AJ114" s="2" t="s">
        <v>87</v>
      </c>
      <c r="AK114" s="2"/>
      <c r="AL114" s="2"/>
      <c r="AM114" s="2"/>
      <c r="AN114" s="2"/>
      <c r="AO114" s="2"/>
      <c r="AP114" s="2"/>
      <c r="AQ114" s="2"/>
    </row>
    <row r="115" customFormat="false" ht="15" hidden="false" customHeight="false" outlineLevel="0" collapsed="false">
      <c r="A115" s="2" t="s">
        <v>481</v>
      </c>
      <c r="B115" s="2" t="s">
        <v>481</v>
      </c>
      <c r="C115" s="2" t="s">
        <v>64</v>
      </c>
      <c r="D115" s="2" t="s">
        <v>482</v>
      </c>
      <c r="E115" s="2" t="s">
        <v>483</v>
      </c>
      <c r="F115" s="2" t="s">
        <v>82</v>
      </c>
      <c r="G115" s="2" t="s">
        <v>473</v>
      </c>
      <c r="H115" s="2" t="s">
        <v>474</v>
      </c>
      <c r="I115" s="2" t="n">
        <v>52.6833919663068</v>
      </c>
      <c r="J115" s="2" t="n">
        <v>-8.66680793832293</v>
      </c>
      <c r="K115" s="2" t="n">
        <v>99</v>
      </c>
      <c r="L115" s="2" t="s">
        <v>70</v>
      </c>
      <c r="M115" s="2" t="s">
        <v>71</v>
      </c>
      <c r="N115" s="2" t="s">
        <v>72</v>
      </c>
      <c r="O115" s="2" t="s">
        <v>73</v>
      </c>
      <c r="P115" s="2" t="s">
        <v>73</v>
      </c>
      <c r="Q115" s="2" t="s">
        <v>74</v>
      </c>
      <c r="R115" s="2" t="s">
        <v>75</v>
      </c>
      <c r="S115" s="6" t="n">
        <v>44552</v>
      </c>
      <c r="T115" s="6" t="n">
        <v>45390</v>
      </c>
      <c r="U115" s="2" t="s">
        <v>76</v>
      </c>
      <c r="V115" s="2" t="s">
        <v>76</v>
      </c>
      <c r="W115" s="6" t="n">
        <v>47215</v>
      </c>
      <c r="X115" s="6"/>
      <c r="Y115" s="2"/>
      <c r="Z115" s="2" t="n">
        <v>0</v>
      </c>
      <c r="AA115" s="2" t="n">
        <v>0</v>
      </c>
      <c r="AB115" s="6"/>
      <c r="AC115" s="2" t="n">
        <v>0</v>
      </c>
      <c r="AD115" s="2" t="n">
        <v>0</v>
      </c>
      <c r="AE115" s="7" t="n">
        <v>2.2943189596167</v>
      </c>
      <c r="AF115" s="7"/>
      <c r="AG115" s="7"/>
      <c r="AH115" s="7"/>
      <c r="AI115" s="2" t="s">
        <v>86</v>
      </c>
      <c r="AJ115" s="2" t="s">
        <v>87</v>
      </c>
      <c r="AK115" s="2"/>
      <c r="AL115" s="2"/>
      <c r="AM115" s="2"/>
      <c r="AN115" s="2"/>
      <c r="AO115" s="2"/>
      <c r="AP115" s="2"/>
      <c r="AQ115" s="2"/>
    </row>
    <row r="116" customFormat="false" ht="15" hidden="false" customHeight="false" outlineLevel="0" collapsed="false">
      <c r="A116" s="2" t="s">
        <v>484</v>
      </c>
      <c r="B116" s="2" t="s">
        <v>484</v>
      </c>
      <c r="C116" s="2" t="s">
        <v>64</v>
      </c>
      <c r="D116" s="2" t="s">
        <v>482</v>
      </c>
      <c r="E116" s="2" t="s">
        <v>485</v>
      </c>
      <c r="F116" s="2" t="s">
        <v>82</v>
      </c>
      <c r="G116" s="2" t="s">
        <v>473</v>
      </c>
      <c r="H116" s="2" t="s">
        <v>474</v>
      </c>
      <c r="I116" s="2" t="n">
        <v>52.6813878176392</v>
      </c>
      <c r="J116" s="2" t="n">
        <v>-8.66842360433833</v>
      </c>
      <c r="K116" s="2" t="n">
        <v>99</v>
      </c>
      <c r="L116" s="2" t="s">
        <v>70</v>
      </c>
      <c r="M116" s="2" t="s">
        <v>71</v>
      </c>
      <c r="N116" s="2" t="s">
        <v>72</v>
      </c>
      <c r="O116" s="2" t="s">
        <v>73</v>
      </c>
      <c r="P116" s="2" t="s">
        <v>73</v>
      </c>
      <c r="Q116" s="2" t="s">
        <v>102</v>
      </c>
      <c r="R116" s="2" t="s">
        <v>103</v>
      </c>
      <c r="S116" s="6" t="n">
        <v>45309</v>
      </c>
      <c r="T116" s="6" t="n">
        <v>45524</v>
      </c>
      <c r="U116" s="2" t="s">
        <v>76</v>
      </c>
      <c r="V116" s="2" t="s">
        <v>85</v>
      </c>
      <c r="W116" s="6" t="n">
        <v>47349</v>
      </c>
      <c r="X116" s="6" t="n">
        <v>45889</v>
      </c>
      <c r="Y116" s="2" t="s">
        <v>104</v>
      </c>
      <c r="Z116" s="2" t="n">
        <v>4</v>
      </c>
      <c r="AA116" s="2" t="n">
        <v>182</v>
      </c>
      <c r="AB116" s="6"/>
      <c r="AC116" s="2" t="n">
        <v>0</v>
      </c>
      <c r="AD116" s="2" t="n">
        <v>0</v>
      </c>
      <c r="AE116" s="7" t="n">
        <v>0.588637919233402</v>
      </c>
      <c r="AF116" s="7" t="n">
        <v>0.999315537303217</v>
      </c>
      <c r="AG116" s="7"/>
      <c r="AH116" s="7"/>
      <c r="AI116" s="2" t="s">
        <v>77</v>
      </c>
      <c r="AJ116" s="2" t="s">
        <v>78</v>
      </c>
      <c r="AK116" s="2"/>
      <c r="AL116" s="2"/>
      <c r="AM116" s="2"/>
      <c r="AN116" s="2"/>
      <c r="AO116" s="2"/>
      <c r="AP116" s="2"/>
      <c r="AQ116" s="2"/>
    </row>
    <row r="117" customFormat="false" ht="15" hidden="false" customHeight="false" outlineLevel="0" collapsed="false">
      <c r="A117" s="2" t="s">
        <v>486</v>
      </c>
      <c r="B117" s="2" t="s">
        <v>486</v>
      </c>
      <c r="C117" s="2" t="s">
        <v>64</v>
      </c>
      <c r="D117" s="2" t="s">
        <v>482</v>
      </c>
      <c r="E117" s="2" t="s">
        <v>487</v>
      </c>
      <c r="F117" s="2" t="s">
        <v>82</v>
      </c>
      <c r="G117" s="2" t="s">
        <v>473</v>
      </c>
      <c r="H117" s="2" t="s">
        <v>474</v>
      </c>
      <c r="I117" s="2" t="n">
        <v>52.6846588194035</v>
      </c>
      <c r="J117" s="2" t="n">
        <v>-8.6677849433971</v>
      </c>
      <c r="K117" s="2" t="n">
        <v>98</v>
      </c>
      <c r="L117" s="2" t="s">
        <v>70</v>
      </c>
      <c r="M117" s="2" t="s">
        <v>83</v>
      </c>
      <c r="N117" s="2" t="s">
        <v>72</v>
      </c>
      <c r="O117" s="2" t="s">
        <v>73</v>
      </c>
      <c r="P117" s="2" t="s">
        <v>73</v>
      </c>
      <c r="Q117" s="2" t="s">
        <v>74</v>
      </c>
      <c r="R117" s="2" t="s">
        <v>75</v>
      </c>
      <c r="S117" s="6" t="n">
        <v>44809</v>
      </c>
      <c r="T117" s="6" t="n">
        <v>45617</v>
      </c>
      <c r="U117" s="2" t="s">
        <v>76</v>
      </c>
      <c r="V117" s="2" t="s">
        <v>76</v>
      </c>
      <c r="W117" s="6" t="n">
        <v>47442</v>
      </c>
      <c r="X117" s="6"/>
      <c r="Y117" s="2"/>
      <c r="Z117" s="2" t="n">
        <v>0</v>
      </c>
      <c r="AA117" s="2" t="n">
        <v>0</v>
      </c>
      <c r="AB117" s="6"/>
      <c r="AC117" s="2" t="n">
        <v>0</v>
      </c>
      <c r="AD117" s="2" t="n">
        <v>0</v>
      </c>
      <c r="AE117" s="7" t="n">
        <v>2.21218343600274</v>
      </c>
      <c r="AF117" s="7"/>
      <c r="AG117" s="7"/>
      <c r="AH117" s="7"/>
      <c r="AI117" s="2" t="s">
        <v>77</v>
      </c>
      <c r="AJ117" s="2" t="s">
        <v>78</v>
      </c>
      <c r="AK117" s="2"/>
      <c r="AL117" s="2"/>
      <c r="AM117" s="2"/>
      <c r="AN117" s="2"/>
      <c r="AO117" s="2"/>
      <c r="AP117" s="2"/>
      <c r="AQ117" s="2"/>
    </row>
    <row r="118" customFormat="false" ht="15" hidden="false" customHeight="false" outlineLevel="0" collapsed="false">
      <c r="A118" s="2" t="s">
        <v>488</v>
      </c>
      <c r="B118" s="2" t="s">
        <v>488</v>
      </c>
      <c r="C118" s="2" t="s">
        <v>64</v>
      </c>
      <c r="D118" s="2" t="s">
        <v>489</v>
      </c>
      <c r="E118" s="2" t="s">
        <v>490</v>
      </c>
      <c r="F118" s="2" t="s">
        <v>82</v>
      </c>
      <c r="G118" s="2" t="s">
        <v>473</v>
      </c>
      <c r="H118" s="2" t="s">
        <v>474</v>
      </c>
      <c r="I118" s="2" t="n">
        <v>52.6721383888262</v>
      </c>
      <c r="J118" s="2" t="n">
        <v>-8.67224263451183</v>
      </c>
      <c r="K118" s="2" t="n">
        <v>92</v>
      </c>
      <c r="L118" s="2" t="s">
        <v>70</v>
      </c>
      <c r="M118" s="2" t="s">
        <v>71</v>
      </c>
      <c r="N118" s="2" t="s">
        <v>72</v>
      </c>
      <c r="O118" s="2" t="s">
        <v>73</v>
      </c>
      <c r="P118" s="2" t="s">
        <v>73</v>
      </c>
      <c r="Q118" s="2" t="s">
        <v>263</v>
      </c>
      <c r="R118" s="2" t="s">
        <v>103</v>
      </c>
      <c r="S118" s="6" t="n">
        <v>43739</v>
      </c>
      <c r="T118" s="6" t="n">
        <v>44151</v>
      </c>
      <c r="U118" s="2" t="s">
        <v>76</v>
      </c>
      <c r="V118" s="2" t="s">
        <v>76</v>
      </c>
      <c r="W118" s="6" t="n">
        <v>47071</v>
      </c>
      <c r="X118" s="6" t="n">
        <v>45026</v>
      </c>
      <c r="Y118" s="2" t="s">
        <v>104</v>
      </c>
      <c r="Z118" s="2" t="n">
        <v>3</v>
      </c>
      <c r="AA118" s="2" t="n">
        <v>48</v>
      </c>
      <c r="AB118" s="6"/>
      <c r="AC118" s="2" t="n">
        <v>8</v>
      </c>
      <c r="AD118" s="2" t="n">
        <v>7</v>
      </c>
      <c r="AE118" s="7" t="n">
        <v>1.12799452429843</v>
      </c>
      <c r="AF118" s="7" t="n">
        <v>2.39561943874059</v>
      </c>
      <c r="AG118" s="7"/>
      <c r="AH118" s="7"/>
      <c r="AI118" s="2" t="s">
        <v>86</v>
      </c>
      <c r="AJ118" s="2" t="s">
        <v>87</v>
      </c>
      <c r="AK118" s="2"/>
      <c r="AL118" s="2"/>
      <c r="AM118" s="2"/>
      <c r="AN118" s="2"/>
      <c r="AO118" s="2"/>
      <c r="AP118" s="2"/>
      <c r="AQ118" s="2"/>
    </row>
    <row r="119" customFormat="false" ht="15" hidden="false" customHeight="false" outlineLevel="0" collapsed="false">
      <c r="A119" s="2" t="s">
        <v>491</v>
      </c>
      <c r="B119" s="2" t="s">
        <v>491</v>
      </c>
      <c r="C119" s="2" t="s">
        <v>64</v>
      </c>
      <c r="D119" s="2" t="s">
        <v>492</v>
      </c>
      <c r="E119" s="2" t="s">
        <v>493</v>
      </c>
      <c r="F119" s="2" t="s">
        <v>82</v>
      </c>
      <c r="G119" s="2" t="s">
        <v>473</v>
      </c>
      <c r="H119" s="2" t="s">
        <v>474</v>
      </c>
      <c r="I119" s="2" t="n">
        <v>52.6822649531245</v>
      </c>
      <c r="J119" s="2" t="n">
        <v>-8.66401424128094</v>
      </c>
      <c r="K119" s="2" t="n">
        <v>86</v>
      </c>
      <c r="L119" s="2" t="s">
        <v>70</v>
      </c>
      <c r="M119" s="2" t="s">
        <v>71</v>
      </c>
      <c r="N119" s="2" t="s">
        <v>72</v>
      </c>
      <c r="O119" s="2" t="s">
        <v>73</v>
      </c>
      <c r="P119" s="2" t="s">
        <v>73</v>
      </c>
      <c r="Q119" s="2" t="s">
        <v>74</v>
      </c>
      <c r="R119" s="2" t="s">
        <v>75</v>
      </c>
      <c r="S119" s="6" t="n">
        <v>44767</v>
      </c>
      <c r="T119" s="6" t="n">
        <v>45111</v>
      </c>
      <c r="U119" s="2" t="s">
        <v>76</v>
      </c>
      <c r="V119" s="2" t="s">
        <v>85</v>
      </c>
      <c r="W119" s="6" t="n">
        <v>46937</v>
      </c>
      <c r="X119" s="6"/>
      <c r="Y119" s="2"/>
      <c r="Z119" s="2" t="n">
        <v>0</v>
      </c>
      <c r="AA119" s="2" t="n">
        <v>0</v>
      </c>
      <c r="AB119" s="6"/>
      <c r="AC119" s="2" t="n">
        <v>0</v>
      </c>
      <c r="AD119" s="2" t="n">
        <v>0</v>
      </c>
      <c r="AE119" s="7" t="n">
        <v>0.941820670773443</v>
      </c>
      <c r="AF119" s="7"/>
      <c r="AG119" s="7"/>
      <c r="AH119" s="7"/>
      <c r="AI119" s="2" t="s">
        <v>86</v>
      </c>
      <c r="AJ119" s="2" t="s">
        <v>87</v>
      </c>
      <c r="AK119" s="2"/>
      <c r="AL119" s="2"/>
      <c r="AM119" s="2"/>
      <c r="AN119" s="2"/>
      <c r="AO119" s="2"/>
      <c r="AP119" s="2"/>
      <c r="AQ119" s="2"/>
    </row>
    <row r="120" customFormat="false" ht="15" hidden="false" customHeight="false" outlineLevel="0" collapsed="false">
      <c r="A120" s="2" t="s">
        <v>494</v>
      </c>
      <c r="B120" s="2" t="s">
        <v>494</v>
      </c>
      <c r="C120" s="2" t="s">
        <v>64</v>
      </c>
      <c r="D120" s="2" t="s">
        <v>471</v>
      </c>
      <c r="E120" s="2" t="s">
        <v>495</v>
      </c>
      <c r="F120" s="2" t="s">
        <v>82</v>
      </c>
      <c r="G120" s="2" t="s">
        <v>473</v>
      </c>
      <c r="H120" s="2" t="s">
        <v>474</v>
      </c>
      <c r="I120" s="2" t="n">
        <v>52.6668456016972</v>
      </c>
      <c r="J120" s="2" t="n">
        <v>-8.64988336863819</v>
      </c>
      <c r="K120" s="2" t="n">
        <v>65</v>
      </c>
      <c r="L120" s="2" t="s">
        <v>70</v>
      </c>
      <c r="M120" s="2" t="s">
        <v>71</v>
      </c>
      <c r="N120" s="2" t="s">
        <v>72</v>
      </c>
      <c r="O120" s="2" t="s">
        <v>73</v>
      </c>
      <c r="P120" s="2" t="s">
        <v>73</v>
      </c>
      <c r="Q120" s="2" t="s">
        <v>120</v>
      </c>
      <c r="R120" s="2" t="s">
        <v>120</v>
      </c>
      <c r="S120" s="6" t="n">
        <v>44348</v>
      </c>
      <c r="T120" s="6" t="n">
        <v>44391</v>
      </c>
      <c r="U120" s="2" t="s">
        <v>85</v>
      </c>
      <c r="V120" s="2" t="s">
        <v>85</v>
      </c>
      <c r="W120" s="6" t="n">
        <v>46345</v>
      </c>
      <c r="X120" s="6" t="n">
        <v>44802</v>
      </c>
      <c r="Y120" s="2" t="s">
        <v>104</v>
      </c>
      <c r="Z120" s="2" t="n">
        <v>1</v>
      </c>
      <c r="AA120" s="2" t="n">
        <v>56</v>
      </c>
      <c r="AB120" s="6" t="n">
        <v>45273</v>
      </c>
      <c r="AC120" s="2" t="n">
        <v>1</v>
      </c>
      <c r="AD120" s="2" t="n">
        <v>1</v>
      </c>
      <c r="AE120" s="7" t="n">
        <v>0.11772758384668</v>
      </c>
      <c r="AF120" s="7" t="n">
        <v>1.12525667351129</v>
      </c>
      <c r="AG120" s="7" t="n">
        <v>1.28952772073922</v>
      </c>
      <c r="AH120" s="7" t="n">
        <v>50.406050955414</v>
      </c>
      <c r="AI120" s="2" t="s">
        <v>152</v>
      </c>
      <c r="AJ120" s="2" t="s">
        <v>78</v>
      </c>
      <c r="AK120" s="2"/>
      <c r="AL120" s="2" t="s">
        <v>64</v>
      </c>
      <c r="AM120" s="2"/>
      <c r="AN120" s="2"/>
      <c r="AO120" s="2"/>
      <c r="AP120" s="2"/>
      <c r="AQ120" s="2"/>
    </row>
    <row r="121" customFormat="false" ht="15" hidden="false" customHeight="false" outlineLevel="0" collapsed="false">
      <c r="A121" s="2" t="s">
        <v>496</v>
      </c>
      <c r="B121" s="2" t="s">
        <v>496</v>
      </c>
      <c r="C121" s="2" t="s">
        <v>64</v>
      </c>
      <c r="D121" s="2" t="s">
        <v>482</v>
      </c>
      <c r="E121" s="2" t="s">
        <v>497</v>
      </c>
      <c r="F121" s="2" t="s">
        <v>82</v>
      </c>
      <c r="G121" s="2" t="s">
        <v>473</v>
      </c>
      <c r="H121" s="2" t="s">
        <v>474</v>
      </c>
      <c r="I121" s="2" t="n">
        <v>52.6841010217741</v>
      </c>
      <c r="J121" s="2" t="n">
        <v>-8.66983238956964</v>
      </c>
      <c r="K121" s="2" t="n">
        <v>54</v>
      </c>
      <c r="L121" s="2" t="s">
        <v>70</v>
      </c>
      <c r="M121" s="2" t="s">
        <v>83</v>
      </c>
      <c r="N121" s="2" t="s">
        <v>72</v>
      </c>
      <c r="O121" s="2" t="s">
        <v>73</v>
      </c>
      <c r="P121" s="2" t="s">
        <v>73</v>
      </c>
      <c r="Q121" s="2" t="s">
        <v>74</v>
      </c>
      <c r="R121" s="2" t="s">
        <v>75</v>
      </c>
      <c r="S121" s="6" t="n">
        <v>44851</v>
      </c>
      <c r="T121" s="6" t="n">
        <v>45583</v>
      </c>
      <c r="U121" s="2" t="s">
        <v>76</v>
      </c>
      <c r="V121" s="2" t="s">
        <v>76</v>
      </c>
      <c r="W121" s="6" t="n">
        <v>47408</v>
      </c>
      <c r="X121" s="6"/>
      <c r="Y121" s="2"/>
      <c r="Z121" s="2" t="n">
        <v>0</v>
      </c>
      <c r="AA121" s="2" t="n">
        <v>0</v>
      </c>
      <c r="AB121" s="6"/>
      <c r="AC121" s="2" t="n">
        <v>0</v>
      </c>
      <c r="AD121" s="2" t="n">
        <v>0</v>
      </c>
      <c r="AE121" s="7" t="n">
        <v>2.0041067761807</v>
      </c>
      <c r="AF121" s="7"/>
      <c r="AG121" s="7"/>
      <c r="AH121" s="7"/>
      <c r="AI121" s="2" t="s">
        <v>77</v>
      </c>
      <c r="AJ121" s="2" t="s">
        <v>78</v>
      </c>
      <c r="AK121" s="2"/>
      <c r="AL121" s="2"/>
      <c r="AM121" s="2"/>
      <c r="AN121" s="2"/>
      <c r="AO121" s="2"/>
      <c r="AP121" s="2"/>
      <c r="AQ121" s="2"/>
    </row>
    <row r="122" customFormat="false" ht="15" hidden="false" customHeight="false" outlineLevel="0" collapsed="false">
      <c r="A122" s="2" t="s">
        <v>498</v>
      </c>
      <c r="B122" s="2" t="s">
        <v>498</v>
      </c>
      <c r="C122" s="2" t="s">
        <v>64</v>
      </c>
      <c r="D122" s="2" t="s">
        <v>499</v>
      </c>
      <c r="E122" s="2" t="s">
        <v>500</v>
      </c>
      <c r="F122" s="2" t="s">
        <v>82</v>
      </c>
      <c r="G122" s="2" t="s">
        <v>473</v>
      </c>
      <c r="H122" s="2" t="s">
        <v>474</v>
      </c>
      <c r="I122" s="2" t="n">
        <v>52.675041707558</v>
      </c>
      <c r="J122" s="2" t="n">
        <v>-8.63283719934436</v>
      </c>
      <c r="K122" s="2" t="n">
        <v>46</v>
      </c>
      <c r="L122" s="2" t="s">
        <v>91</v>
      </c>
      <c r="M122" s="2" t="s">
        <v>95</v>
      </c>
      <c r="N122" s="2" t="s">
        <v>72</v>
      </c>
      <c r="O122" s="2" t="s">
        <v>73</v>
      </c>
      <c r="P122" s="2" t="s">
        <v>73</v>
      </c>
      <c r="Q122" s="2" t="s">
        <v>74</v>
      </c>
      <c r="R122" s="2" t="s">
        <v>75</v>
      </c>
      <c r="S122" s="6" t="n">
        <v>44925</v>
      </c>
      <c r="T122" s="6" t="n">
        <v>45499</v>
      </c>
      <c r="U122" s="2" t="s">
        <v>76</v>
      </c>
      <c r="V122" s="2" t="s">
        <v>76</v>
      </c>
      <c r="W122" s="6" t="n">
        <v>47324</v>
      </c>
      <c r="X122" s="6"/>
      <c r="Y122" s="2"/>
      <c r="Z122" s="2" t="n">
        <v>0</v>
      </c>
      <c r="AA122" s="2" t="n">
        <v>0</v>
      </c>
      <c r="AB122" s="6"/>
      <c r="AC122" s="2" t="n">
        <v>0</v>
      </c>
      <c r="AD122" s="2" t="n">
        <v>0</v>
      </c>
      <c r="AE122" s="7" t="n">
        <v>1.57152635181383</v>
      </c>
      <c r="AF122" s="7"/>
      <c r="AG122" s="7"/>
      <c r="AH122" s="7"/>
      <c r="AI122" s="2" t="s">
        <v>86</v>
      </c>
      <c r="AJ122" s="2" t="s">
        <v>87</v>
      </c>
      <c r="AK122" s="2"/>
      <c r="AL122" s="2"/>
      <c r="AM122" s="2"/>
      <c r="AN122" s="2"/>
      <c r="AO122" s="2"/>
      <c r="AP122" s="2"/>
      <c r="AQ122" s="2"/>
    </row>
    <row r="123" customFormat="false" ht="15" hidden="false" customHeight="false" outlineLevel="0" collapsed="false">
      <c r="A123" s="2" t="s">
        <v>501</v>
      </c>
      <c r="B123" s="2" t="s">
        <v>501</v>
      </c>
      <c r="C123" s="2" t="s">
        <v>64</v>
      </c>
      <c r="D123" s="2" t="s">
        <v>502</v>
      </c>
      <c r="E123" s="2" t="s">
        <v>503</v>
      </c>
      <c r="F123" s="2" t="s">
        <v>82</v>
      </c>
      <c r="G123" s="2" t="s">
        <v>473</v>
      </c>
      <c r="H123" s="2" t="s">
        <v>474</v>
      </c>
      <c r="I123" s="2" t="n">
        <v>52.6614613752146</v>
      </c>
      <c r="J123" s="2" t="n">
        <v>-8.66619075264023</v>
      </c>
      <c r="K123" s="2" t="n">
        <v>43</v>
      </c>
      <c r="L123" s="2" t="s">
        <v>91</v>
      </c>
      <c r="M123" s="2" t="s">
        <v>83</v>
      </c>
      <c r="N123" s="2" t="s">
        <v>96</v>
      </c>
      <c r="O123" s="2" t="s">
        <v>97</v>
      </c>
      <c r="P123" s="2" t="s">
        <v>98</v>
      </c>
      <c r="Q123" s="2" t="s">
        <v>120</v>
      </c>
      <c r="R123" s="2" t="s">
        <v>120</v>
      </c>
      <c r="S123" s="6" t="n">
        <v>43286</v>
      </c>
      <c r="T123" s="6" t="n">
        <v>43355</v>
      </c>
      <c r="U123" s="2" t="s">
        <v>85</v>
      </c>
      <c r="V123" s="2" t="s">
        <v>85</v>
      </c>
      <c r="W123" s="6"/>
      <c r="X123" s="6" t="n">
        <v>43732</v>
      </c>
      <c r="Y123" s="2" t="s">
        <v>104</v>
      </c>
      <c r="Z123" s="2" t="n">
        <v>1</v>
      </c>
      <c r="AA123" s="2" t="n">
        <v>43</v>
      </c>
      <c r="AB123" s="6" t="n">
        <v>45646</v>
      </c>
      <c r="AC123" s="2" t="n">
        <v>1</v>
      </c>
      <c r="AD123" s="2" t="n">
        <v>1</v>
      </c>
      <c r="AE123" s="7" t="n">
        <v>0.188911704312115</v>
      </c>
      <c r="AF123" s="7" t="n">
        <v>1.0321697467488</v>
      </c>
      <c r="AG123" s="7" t="n">
        <v>5.24024640657084</v>
      </c>
      <c r="AH123" s="7" t="n">
        <v>8.2057210031348</v>
      </c>
      <c r="AI123" s="2" t="s">
        <v>86</v>
      </c>
      <c r="AJ123" s="2" t="s">
        <v>87</v>
      </c>
      <c r="AK123" s="2"/>
      <c r="AL123" s="2" t="s">
        <v>64</v>
      </c>
      <c r="AM123" s="2" t="s">
        <v>504</v>
      </c>
      <c r="AN123" s="2" t="s">
        <v>196</v>
      </c>
      <c r="AO123" s="2" t="s">
        <v>123</v>
      </c>
      <c r="AP123" s="2" t="s">
        <v>232</v>
      </c>
      <c r="AQ123" s="2" t="s">
        <v>125</v>
      </c>
    </row>
    <row r="124" customFormat="false" ht="15" hidden="false" customHeight="false" outlineLevel="0" collapsed="false">
      <c r="A124" s="2" t="s">
        <v>505</v>
      </c>
      <c r="B124" s="2" t="s">
        <v>505</v>
      </c>
      <c r="C124" s="2" t="s">
        <v>64</v>
      </c>
      <c r="D124" s="2" t="s">
        <v>506</v>
      </c>
      <c r="E124" s="2" t="s">
        <v>507</v>
      </c>
      <c r="F124" s="2" t="s">
        <v>82</v>
      </c>
      <c r="G124" s="2" t="s">
        <v>473</v>
      </c>
      <c r="H124" s="2" t="s">
        <v>474</v>
      </c>
      <c r="I124" s="2" t="n">
        <v>52.6810099548832</v>
      </c>
      <c r="J124" s="2" t="n">
        <v>-8.6505677312158</v>
      </c>
      <c r="K124" s="2" t="n">
        <v>38</v>
      </c>
      <c r="L124" s="2" t="s">
        <v>91</v>
      </c>
      <c r="M124" s="2" t="s">
        <v>92</v>
      </c>
      <c r="N124" s="2" t="s">
        <v>96</v>
      </c>
      <c r="O124" s="2" t="s">
        <v>97</v>
      </c>
      <c r="P124" s="2" t="s">
        <v>98</v>
      </c>
      <c r="Q124" s="2" t="s">
        <v>102</v>
      </c>
      <c r="R124" s="2" t="s">
        <v>103</v>
      </c>
      <c r="S124" s="6" t="n">
        <v>43696</v>
      </c>
      <c r="T124" s="6" t="n">
        <v>43805</v>
      </c>
      <c r="U124" s="2" t="s">
        <v>85</v>
      </c>
      <c r="V124" s="2" t="s">
        <v>85</v>
      </c>
      <c r="W124" s="6"/>
      <c r="X124" s="6" t="n">
        <v>44308</v>
      </c>
      <c r="Y124" s="2" t="s">
        <v>136</v>
      </c>
      <c r="Z124" s="2" t="n">
        <v>0</v>
      </c>
      <c r="AA124" s="2" t="n">
        <v>0</v>
      </c>
      <c r="AB124" s="6"/>
      <c r="AC124" s="2" t="n">
        <v>0</v>
      </c>
      <c r="AD124" s="2" t="n">
        <v>0</v>
      </c>
      <c r="AE124" s="7" t="n">
        <v>0.298425735797399</v>
      </c>
      <c r="AF124" s="7" t="n">
        <v>1.37713894592745</v>
      </c>
      <c r="AG124" s="7"/>
      <c r="AH124" s="7"/>
      <c r="AI124" s="2" t="s">
        <v>86</v>
      </c>
      <c r="AJ124" s="2" t="s">
        <v>87</v>
      </c>
      <c r="AK124" s="2"/>
      <c r="AL124" s="2"/>
      <c r="AM124" s="2"/>
      <c r="AN124" s="2"/>
      <c r="AO124" s="2"/>
      <c r="AP124" s="2"/>
      <c r="AQ124" s="2"/>
    </row>
    <row r="125" customFormat="false" ht="15" hidden="false" customHeight="false" outlineLevel="0" collapsed="false">
      <c r="A125" s="2" t="s">
        <v>508</v>
      </c>
      <c r="B125" s="2" t="s">
        <v>508</v>
      </c>
      <c r="C125" s="2" t="s">
        <v>64</v>
      </c>
      <c r="D125" s="2" t="s">
        <v>509</v>
      </c>
      <c r="E125" s="2" t="s">
        <v>510</v>
      </c>
      <c r="F125" s="2" t="s">
        <v>82</v>
      </c>
      <c r="G125" s="2" t="s">
        <v>473</v>
      </c>
      <c r="H125" s="2" t="s">
        <v>474</v>
      </c>
      <c r="I125" s="2" t="n">
        <v>52.6729024716789</v>
      </c>
      <c r="J125" s="2" t="n">
        <v>-8.63990454251284</v>
      </c>
      <c r="K125" s="2" t="n">
        <v>31</v>
      </c>
      <c r="L125" s="2" t="s">
        <v>91</v>
      </c>
      <c r="M125" s="2" t="s">
        <v>297</v>
      </c>
      <c r="N125" s="2" t="s">
        <v>72</v>
      </c>
      <c r="O125" s="2" t="s">
        <v>73</v>
      </c>
      <c r="P125" s="2" t="s">
        <v>73</v>
      </c>
      <c r="Q125" s="2" t="s">
        <v>173</v>
      </c>
      <c r="R125" s="2" t="s">
        <v>75</v>
      </c>
      <c r="S125" s="6" t="n">
        <v>43664</v>
      </c>
      <c r="T125" s="6" t="n">
        <v>44270</v>
      </c>
      <c r="U125" s="2" t="s">
        <v>76</v>
      </c>
      <c r="V125" s="2" t="s">
        <v>76</v>
      </c>
      <c r="W125" s="6" t="n">
        <v>47190</v>
      </c>
      <c r="X125" s="6"/>
      <c r="Y125" s="2"/>
      <c r="Z125" s="2" t="n">
        <v>0</v>
      </c>
      <c r="AA125" s="2" t="n">
        <v>0</v>
      </c>
      <c r="AB125" s="6"/>
      <c r="AC125" s="2" t="n">
        <v>0</v>
      </c>
      <c r="AD125" s="2" t="n">
        <v>0</v>
      </c>
      <c r="AE125" s="7" t="n">
        <v>1.65913757700205</v>
      </c>
      <c r="AF125" s="7"/>
      <c r="AG125" s="7"/>
      <c r="AH125" s="7"/>
      <c r="AI125" s="2" t="s">
        <v>86</v>
      </c>
      <c r="AJ125" s="2" t="s">
        <v>87</v>
      </c>
      <c r="AK125" s="2" t="s">
        <v>174</v>
      </c>
      <c r="AL125" s="2"/>
      <c r="AM125" s="2"/>
      <c r="AN125" s="2"/>
      <c r="AO125" s="2"/>
      <c r="AP125" s="2"/>
      <c r="AQ125" s="2"/>
    </row>
    <row r="126" customFormat="false" ht="15" hidden="false" customHeight="false" outlineLevel="0" collapsed="false">
      <c r="A126" s="2" t="s">
        <v>511</v>
      </c>
      <c r="B126" s="2" t="s">
        <v>511</v>
      </c>
      <c r="C126" s="2" t="s">
        <v>64</v>
      </c>
      <c r="D126" s="2" t="s">
        <v>512</v>
      </c>
      <c r="E126" s="2" t="s">
        <v>513</v>
      </c>
      <c r="F126" s="2" t="s">
        <v>82</v>
      </c>
      <c r="G126" s="2" t="s">
        <v>473</v>
      </c>
      <c r="H126" s="2" t="s">
        <v>355</v>
      </c>
      <c r="I126" s="2" t="n">
        <v>52.6658638718413</v>
      </c>
      <c r="J126" s="2" t="n">
        <v>-8.61939154193003</v>
      </c>
      <c r="K126" s="2" t="n">
        <v>30</v>
      </c>
      <c r="L126" s="2" t="s">
        <v>91</v>
      </c>
      <c r="M126" s="2" t="s">
        <v>95</v>
      </c>
      <c r="N126" s="2" t="s">
        <v>72</v>
      </c>
      <c r="O126" s="2" t="s">
        <v>119</v>
      </c>
      <c r="P126" s="2" t="s">
        <v>98</v>
      </c>
      <c r="Q126" s="2" t="s">
        <v>263</v>
      </c>
      <c r="R126" s="2" t="s">
        <v>103</v>
      </c>
      <c r="S126" s="6" t="n">
        <v>44529</v>
      </c>
      <c r="T126" s="6" t="n">
        <v>44628</v>
      </c>
      <c r="U126" s="2" t="s">
        <v>85</v>
      </c>
      <c r="V126" s="2" t="s">
        <v>85</v>
      </c>
      <c r="W126" s="6" t="n">
        <v>46453</v>
      </c>
      <c r="X126" s="6" t="n">
        <v>45484</v>
      </c>
      <c r="Y126" s="2" t="s">
        <v>104</v>
      </c>
      <c r="Z126" s="2" t="n">
        <v>1</v>
      </c>
      <c r="AA126" s="2" t="n">
        <v>1</v>
      </c>
      <c r="AB126" s="6"/>
      <c r="AC126" s="2" t="n">
        <v>0</v>
      </c>
      <c r="AD126" s="2" t="n">
        <v>0</v>
      </c>
      <c r="AE126" s="7" t="n">
        <v>0.271047227926078</v>
      </c>
      <c r="AF126" s="7" t="n">
        <v>2.34360027378508</v>
      </c>
      <c r="AG126" s="7"/>
      <c r="AH126" s="7"/>
      <c r="AI126" s="2" t="s">
        <v>86</v>
      </c>
      <c r="AJ126" s="2" t="s">
        <v>87</v>
      </c>
      <c r="AK126" s="2"/>
      <c r="AL126" s="2"/>
      <c r="AM126" s="2"/>
      <c r="AN126" s="2"/>
      <c r="AO126" s="2"/>
      <c r="AP126" s="2"/>
      <c r="AQ126" s="2"/>
    </row>
    <row r="127" customFormat="false" ht="15" hidden="false" customHeight="false" outlineLevel="0" collapsed="false">
      <c r="A127" s="2" t="s">
        <v>514</v>
      </c>
      <c r="B127" s="2" t="s">
        <v>514</v>
      </c>
      <c r="C127" s="2" t="s">
        <v>64</v>
      </c>
      <c r="D127" s="2" t="s">
        <v>515</v>
      </c>
      <c r="E127" s="2" t="s">
        <v>516</v>
      </c>
      <c r="F127" s="2" t="s">
        <v>289</v>
      </c>
      <c r="G127" s="2" t="s">
        <v>473</v>
      </c>
      <c r="H127" s="2" t="s">
        <v>355</v>
      </c>
      <c r="I127" s="2" t="n">
        <v>52.6655096091942</v>
      </c>
      <c r="J127" s="2" t="n">
        <v>-8.61652963189345</v>
      </c>
      <c r="K127" s="2" t="n">
        <v>30</v>
      </c>
      <c r="L127" s="2" t="s">
        <v>91</v>
      </c>
      <c r="M127" s="2" t="s">
        <v>95</v>
      </c>
      <c r="N127" s="2" t="s">
        <v>72</v>
      </c>
      <c r="O127" s="2" t="s">
        <v>73</v>
      </c>
      <c r="P127" s="2" t="s">
        <v>73</v>
      </c>
      <c r="Q127" s="2" t="s">
        <v>74</v>
      </c>
      <c r="R127" s="2" t="s">
        <v>75</v>
      </c>
      <c r="S127" s="6" t="n">
        <v>45721</v>
      </c>
      <c r="T127" s="6" t="n">
        <v>45882</v>
      </c>
      <c r="U127" s="2" t="s">
        <v>76</v>
      </c>
      <c r="V127" s="2" t="s">
        <v>85</v>
      </c>
      <c r="W127" s="6" t="n">
        <v>47707</v>
      </c>
      <c r="X127" s="6"/>
      <c r="Y127" s="2"/>
      <c r="Z127" s="2" t="n">
        <v>0</v>
      </c>
      <c r="AA127" s="2" t="n">
        <v>0</v>
      </c>
      <c r="AB127" s="6"/>
      <c r="AC127" s="2" t="n">
        <v>0</v>
      </c>
      <c r="AD127" s="2" t="n">
        <v>0</v>
      </c>
      <c r="AE127" s="7" t="n">
        <v>0.440793976728268</v>
      </c>
      <c r="AF127" s="7"/>
      <c r="AG127" s="7"/>
      <c r="AH127" s="7"/>
      <c r="AI127" s="2" t="s">
        <v>77</v>
      </c>
      <c r="AJ127" s="2" t="s">
        <v>78</v>
      </c>
      <c r="AK127" s="2"/>
      <c r="AL127" s="2"/>
      <c r="AM127" s="2"/>
      <c r="AN127" s="2"/>
      <c r="AO127" s="2"/>
      <c r="AP127" s="2"/>
      <c r="AQ127" s="2"/>
    </row>
    <row r="128" customFormat="false" ht="15" hidden="false" customHeight="false" outlineLevel="0" collapsed="false">
      <c r="A128" s="2" t="s">
        <v>517</v>
      </c>
      <c r="B128" s="2" t="s">
        <v>517</v>
      </c>
      <c r="C128" s="2" t="s">
        <v>64</v>
      </c>
      <c r="D128" s="2" t="s">
        <v>518</v>
      </c>
      <c r="E128" s="2" t="s">
        <v>519</v>
      </c>
      <c r="F128" s="2" t="s">
        <v>289</v>
      </c>
      <c r="G128" s="2" t="s">
        <v>473</v>
      </c>
      <c r="H128" s="2" t="s">
        <v>520</v>
      </c>
      <c r="I128" s="2" t="n">
        <v>52.6670534939026</v>
      </c>
      <c r="J128" s="2" t="n">
        <v>-8.6203801282896</v>
      </c>
      <c r="K128" s="2" t="n">
        <v>30</v>
      </c>
      <c r="L128" s="2" t="s">
        <v>91</v>
      </c>
      <c r="M128" s="2" t="s">
        <v>95</v>
      </c>
      <c r="N128" s="2" t="s">
        <v>96</v>
      </c>
      <c r="O128" s="2" t="s">
        <v>97</v>
      </c>
      <c r="P128" s="2" t="s">
        <v>98</v>
      </c>
      <c r="Q128" s="2" t="s">
        <v>272</v>
      </c>
      <c r="R128" s="2" t="s">
        <v>273</v>
      </c>
      <c r="S128" s="6" t="n">
        <v>46004</v>
      </c>
      <c r="T128" s="6"/>
      <c r="U128" s="2" t="s">
        <v>85</v>
      </c>
      <c r="V128" s="2" t="s">
        <v>85</v>
      </c>
      <c r="W128" s="6"/>
      <c r="X128" s="6"/>
      <c r="Y128" s="2"/>
      <c r="Z128" s="2" t="n">
        <v>0</v>
      </c>
      <c r="AA128" s="2" t="n">
        <v>0</v>
      </c>
      <c r="AB128" s="6"/>
      <c r="AC128" s="2" t="n">
        <v>0</v>
      </c>
      <c r="AD128" s="2" t="n">
        <v>0</v>
      </c>
      <c r="AE128" s="7"/>
      <c r="AF128" s="7"/>
      <c r="AG128" s="7"/>
      <c r="AH128" s="7"/>
      <c r="AI128" s="2" t="s">
        <v>77</v>
      </c>
      <c r="AJ128" s="2" t="s">
        <v>78</v>
      </c>
      <c r="AK128" s="2"/>
      <c r="AL128" s="2"/>
      <c r="AM128" s="2" t="s">
        <v>521</v>
      </c>
      <c r="AN128" s="2" t="s">
        <v>196</v>
      </c>
      <c r="AO128" s="2" t="s">
        <v>422</v>
      </c>
      <c r="AP128" s="2" t="s">
        <v>214</v>
      </c>
      <c r="AQ128" s="2" t="s">
        <v>125</v>
      </c>
    </row>
    <row r="129" customFormat="false" ht="15" hidden="false" customHeight="false" outlineLevel="0" collapsed="false">
      <c r="A129" s="2" t="s">
        <v>522</v>
      </c>
      <c r="B129" s="2" t="s">
        <v>522</v>
      </c>
      <c r="C129" s="2" t="s">
        <v>64</v>
      </c>
      <c r="D129" s="2" t="s">
        <v>523</v>
      </c>
      <c r="E129" s="2" t="s">
        <v>524</v>
      </c>
      <c r="F129" s="2" t="s">
        <v>82</v>
      </c>
      <c r="G129" s="2" t="s">
        <v>473</v>
      </c>
      <c r="H129" s="2" t="s">
        <v>474</v>
      </c>
      <c r="I129" s="2" t="n">
        <v>52.6719830797502</v>
      </c>
      <c r="J129" s="2" t="n">
        <v>-8.63802436103739</v>
      </c>
      <c r="K129" s="2" t="n">
        <v>28</v>
      </c>
      <c r="L129" s="2" t="s">
        <v>91</v>
      </c>
      <c r="M129" s="2" t="s">
        <v>95</v>
      </c>
      <c r="N129" s="2" t="s">
        <v>72</v>
      </c>
      <c r="O129" s="2" t="s">
        <v>73</v>
      </c>
      <c r="P129" s="2" t="s">
        <v>73</v>
      </c>
      <c r="Q129" s="2" t="s">
        <v>102</v>
      </c>
      <c r="R129" s="2" t="s">
        <v>103</v>
      </c>
      <c r="S129" s="6" t="n">
        <v>44872</v>
      </c>
      <c r="T129" s="6" t="n">
        <v>45645</v>
      </c>
      <c r="U129" s="2" t="s">
        <v>76</v>
      </c>
      <c r="V129" s="2" t="s">
        <v>76</v>
      </c>
      <c r="W129" s="6" t="n">
        <v>47470</v>
      </c>
      <c r="X129" s="6" t="n">
        <v>46073</v>
      </c>
      <c r="Y129" s="2" t="s">
        <v>104</v>
      </c>
      <c r="Z129" s="2" t="n">
        <v>2</v>
      </c>
      <c r="AA129" s="2" t="n">
        <v>14</v>
      </c>
      <c r="AB129" s="6"/>
      <c r="AC129" s="2" t="n">
        <v>0</v>
      </c>
      <c r="AD129" s="2" t="n">
        <v>0</v>
      </c>
      <c r="AE129" s="7" t="n">
        <v>2.11635865845311</v>
      </c>
      <c r="AF129" s="7" t="n">
        <v>1.17180013689254</v>
      </c>
      <c r="AG129" s="7"/>
      <c r="AH129" s="7"/>
      <c r="AI129" s="2" t="s">
        <v>86</v>
      </c>
      <c r="AJ129" s="2" t="s">
        <v>87</v>
      </c>
      <c r="AK129" s="2"/>
      <c r="AL129" s="2"/>
      <c r="AM129" s="2"/>
      <c r="AN129" s="2"/>
      <c r="AO129" s="2"/>
      <c r="AP129" s="2"/>
      <c r="AQ129" s="2"/>
    </row>
    <row r="130" customFormat="false" ht="15" hidden="false" customHeight="false" outlineLevel="0" collapsed="false">
      <c r="A130" s="2" t="s">
        <v>525</v>
      </c>
      <c r="B130" s="2" t="s">
        <v>525</v>
      </c>
      <c r="C130" s="2" t="s">
        <v>64</v>
      </c>
      <c r="D130" s="2" t="s">
        <v>526</v>
      </c>
      <c r="E130" s="2" t="s">
        <v>527</v>
      </c>
      <c r="F130" s="2" t="s">
        <v>82</v>
      </c>
      <c r="G130" s="2" t="s">
        <v>473</v>
      </c>
      <c r="H130" s="2" t="s">
        <v>474</v>
      </c>
      <c r="I130" s="2" t="n">
        <v>52.6787874766522</v>
      </c>
      <c r="J130" s="2" t="n">
        <v>-8.63997776004812</v>
      </c>
      <c r="K130" s="2" t="n">
        <v>27</v>
      </c>
      <c r="L130" s="2" t="s">
        <v>91</v>
      </c>
      <c r="M130" s="2" t="s">
        <v>71</v>
      </c>
      <c r="N130" s="2" t="s">
        <v>96</v>
      </c>
      <c r="O130" s="2" t="s">
        <v>97</v>
      </c>
      <c r="P130" s="2" t="s">
        <v>98</v>
      </c>
      <c r="Q130" s="2" t="s">
        <v>102</v>
      </c>
      <c r="R130" s="2" t="s">
        <v>103</v>
      </c>
      <c r="S130" s="6" t="n">
        <v>43621</v>
      </c>
      <c r="T130" s="6" t="n">
        <v>43718</v>
      </c>
      <c r="U130" s="2" t="s">
        <v>85</v>
      </c>
      <c r="V130" s="2" t="s">
        <v>85</v>
      </c>
      <c r="W130" s="6"/>
      <c r="X130" s="6" t="n">
        <v>44760</v>
      </c>
      <c r="Y130" s="2" t="s">
        <v>104</v>
      </c>
      <c r="Z130" s="2" t="n">
        <v>2</v>
      </c>
      <c r="AA130" s="2" t="n">
        <v>27</v>
      </c>
      <c r="AB130" s="6"/>
      <c r="AC130" s="2" t="n">
        <v>2</v>
      </c>
      <c r="AD130" s="2" t="n">
        <v>17</v>
      </c>
      <c r="AE130" s="7" t="n">
        <v>0.265571526351814</v>
      </c>
      <c r="AF130" s="7" t="n">
        <v>2.85284052019165</v>
      </c>
      <c r="AG130" s="7"/>
      <c r="AH130" s="7"/>
      <c r="AI130" s="2" t="s">
        <v>86</v>
      </c>
      <c r="AJ130" s="2" t="s">
        <v>87</v>
      </c>
      <c r="AK130" s="2"/>
      <c r="AL130" s="2"/>
      <c r="AM130" s="2"/>
      <c r="AN130" s="2"/>
      <c r="AO130" s="2"/>
      <c r="AP130" s="2"/>
      <c r="AQ130" s="2"/>
    </row>
    <row r="131" customFormat="false" ht="15" hidden="false" customHeight="false" outlineLevel="0" collapsed="false">
      <c r="A131" s="2" t="s">
        <v>528</v>
      </c>
      <c r="B131" s="2" t="s">
        <v>528</v>
      </c>
      <c r="C131" s="2" t="s">
        <v>64</v>
      </c>
      <c r="D131" s="2" t="s">
        <v>529</v>
      </c>
      <c r="E131" s="2" t="s">
        <v>530</v>
      </c>
      <c r="F131" s="2" t="s">
        <v>82</v>
      </c>
      <c r="G131" s="2" t="s">
        <v>473</v>
      </c>
      <c r="H131" s="2" t="s">
        <v>520</v>
      </c>
      <c r="I131" s="2" t="n">
        <v>52.6714100275285</v>
      </c>
      <c r="J131" s="2" t="n">
        <v>-8.62499871757814</v>
      </c>
      <c r="K131" s="2" t="n">
        <v>27</v>
      </c>
      <c r="L131" s="2" t="s">
        <v>91</v>
      </c>
      <c r="M131" s="2" t="s">
        <v>95</v>
      </c>
      <c r="N131" s="2" t="s">
        <v>96</v>
      </c>
      <c r="O131" s="2" t="s">
        <v>97</v>
      </c>
      <c r="P131" s="2" t="s">
        <v>98</v>
      </c>
      <c r="Q131" s="2" t="s">
        <v>74</v>
      </c>
      <c r="R131" s="2" t="s">
        <v>75</v>
      </c>
      <c r="S131" s="6" t="n">
        <v>43642</v>
      </c>
      <c r="T131" s="6" t="n">
        <v>43740</v>
      </c>
      <c r="U131" s="2" t="s">
        <v>85</v>
      </c>
      <c r="V131" s="2" t="s">
        <v>85</v>
      </c>
      <c r="W131" s="6"/>
      <c r="X131" s="6"/>
      <c r="Y131" s="2"/>
      <c r="Z131" s="2" t="n">
        <v>0</v>
      </c>
      <c r="AA131" s="2" t="n">
        <v>0</v>
      </c>
      <c r="AB131" s="6"/>
      <c r="AC131" s="2" t="n">
        <v>0</v>
      </c>
      <c r="AD131" s="2" t="n">
        <v>0</v>
      </c>
      <c r="AE131" s="7" t="n">
        <v>0.268309377138946</v>
      </c>
      <c r="AF131" s="7"/>
      <c r="AG131" s="7"/>
      <c r="AH131" s="7"/>
      <c r="AI131" s="2" t="s">
        <v>77</v>
      </c>
      <c r="AJ131" s="2" t="s">
        <v>78</v>
      </c>
      <c r="AK131" s="2"/>
      <c r="AL131" s="2"/>
      <c r="AM131" s="2"/>
      <c r="AN131" s="2"/>
      <c r="AO131" s="2"/>
      <c r="AP131" s="2"/>
      <c r="AQ131" s="2"/>
    </row>
    <row r="132" customFormat="false" ht="15" hidden="false" customHeight="false" outlineLevel="0" collapsed="false">
      <c r="A132" s="2" t="s">
        <v>531</v>
      </c>
      <c r="B132" s="2" t="s">
        <v>531</v>
      </c>
      <c r="C132" s="2" t="s">
        <v>64</v>
      </c>
      <c r="D132" s="2" t="s">
        <v>532</v>
      </c>
      <c r="E132" s="2" t="s">
        <v>533</v>
      </c>
      <c r="F132" s="2" t="s">
        <v>82</v>
      </c>
      <c r="G132" s="2" t="s">
        <v>473</v>
      </c>
      <c r="H132" s="2" t="s">
        <v>355</v>
      </c>
      <c r="I132" s="2" t="n">
        <v>52.6645243389537</v>
      </c>
      <c r="J132" s="2" t="n">
        <v>-8.59915525126538</v>
      </c>
      <c r="K132" s="2" t="n">
        <v>26</v>
      </c>
      <c r="L132" s="2" t="s">
        <v>91</v>
      </c>
      <c r="M132" s="2" t="s">
        <v>83</v>
      </c>
      <c r="N132" s="2" t="s">
        <v>72</v>
      </c>
      <c r="O132" s="2" t="s">
        <v>73</v>
      </c>
      <c r="P132" s="2" t="s">
        <v>73</v>
      </c>
      <c r="Q132" s="2" t="s">
        <v>263</v>
      </c>
      <c r="R132" s="2" t="s">
        <v>103</v>
      </c>
      <c r="S132" s="6" t="n">
        <v>43434</v>
      </c>
      <c r="T132" s="6" t="n">
        <v>43448</v>
      </c>
      <c r="U132" s="2" t="s">
        <v>85</v>
      </c>
      <c r="V132" s="2" t="s">
        <v>85</v>
      </c>
      <c r="W132" s="6" t="n">
        <v>45290</v>
      </c>
      <c r="X132" s="6" t="n">
        <v>44125</v>
      </c>
      <c r="Y132" s="2" t="s">
        <v>104</v>
      </c>
      <c r="Z132" s="2" t="n">
        <v>2</v>
      </c>
      <c r="AA132" s="2" t="n">
        <v>17</v>
      </c>
      <c r="AB132" s="6"/>
      <c r="AC132" s="2" t="n">
        <v>8</v>
      </c>
      <c r="AD132" s="2" t="n">
        <v>17</v>
      </c>
      <c r="AE132" s="7" t="n">
        <v>0.0383299110198494</v>
      </c>
      <c r="AF132" s="7" t="n">
        <v>1.85352498288843</v>
      </c>
      <c r="AG132" s="7"/>
      <c r="AH132" s="7"/>
      <c r="AI132" s="2" t="s">
        <v>152</v>
      </c>
      <c r="AJ132" s="2" t="s">
        <v>78</v>
      </c>
      <c r="AK132" s="2"/>
      <c r="AL132" s="2"/>
      <c r="AM132" s="2"/>
      <c r="AN132" s="2"/>
      <c r="AO132" s="2"/>
      <c r="AP132" s="2"/>
      <c r="AQ132" s="2"/>
    </row>
    <row r="133" customFormat="false" ht="15" hidden="false" customHeight="false" outlineLevel="0" collapsed="false">
      <c r="A133" s="2" t="s">
        <v>534</v>
      </c>
      <c r="B133" s="2" t="s">
        <v>534</v>
      </c>
      <c r="C133" s="2" t="s">
        <v>64</v>
      </c>
      <c r="D133" s="2" t="s">
        <v>535</v>
      </c>
      <c r="E133" s="2" t="s">
        <v>536</v>
      </c>
      <c r="F133" s="2" t="s">
        <v>289</v>
      </c>
      <c r="G133" s="2" t="s">
        <v>473</v>
      </c>
      <c r="H133" s="2" t="s">
        <v>537</v>
      </c>
      <c r="I133" s="2" t="n">
        <v>52.6762593924602</v>
      </c>
      <c r="J133" s="2" t="n">
        <v>-8.60794212533766</v>
      </c>
      <c r="K133" s="2" t="n">
        <v>26</v>
      </c>
      <c r="L133" s="2" t="s">
        <v>91</v>
      </c>
      <c r="M133" s="2" t="s">
        <v>83</v>
      </c>
      <c r="N133" s="2" t="s">
        <v>72</v>
      </c>
      <c r="O133" s="2" t="s">
        <v>73</v>
      </c>
      <c r="P133" s="2" t="s">
        <v>73</v>
      </c>
      <c r="Q133" s="2" t="s">
        <v>102</v>
      </c>
      <c r="R133" s="2" t="s">
        <v>103</v>
      </c>
      <c r="S133" s="6" t="n">
        <v>44308</v>
      </c>
      <c r="T133" s="6" t="n">
        <v>45264</v>
      </c>
      <c r="U133" s="2" t="s">
        <v>76</v>
      </c>
      <c r="V133" s="2" t="s">
        <v>76</v>
      </c>
      <c r="W133" s="6" t="n">
        <v>47090</v>
      </c>
      <c r="X133" s="6" t="n">
        <v>45490</v>
      </c>
      <c r="Y133" s="2" t="s">
        <v>104</v>
      </c>
      <c r="Z133" s="2" t="n">
        <v>3</v>
      </c>
      <c r="AA133" s="2" t="n">
        <v>46</v>
      </c>
      <c r="AB133" s="6"/>
      <c r="AC133" s="2" t="n">
        <v>0</v>
      </c>
      <c r="AD133" s="2" t="n">
        <v>0</v>
      </c>
      <c r="AE133" s="7" t="n">
        <v>2.61738535249829</v>
      </c>
      <c r="AF133" s="7" t="n">
        <v>0.618754277891855</v>
      </c>
      <c r="AG133" s="7"/>
      <c r="AH133" s="7"/>
      <c r="AI133" s="2" t="s">
        <v>86</v>
      </c>
      <c r="AJ133" s="2" t="s">
        <v>87</v>
      </c>
      <c r="AK133" s="2"/>
      <c r="AL133" s="2"/>
      <c r="AM133" s="2"/>
      <c r="AN133" s="2"/>
      <c r="AO133" s="2"/>
      <c r="AP133" s="2"/>
      <c r="AQ133" s="2"/>
    </row>
    <row r="134" customFormat="false" ht="15" hidden="false" customHeight="false" outlineLevel="0" collapsed="false">
      <c r="A134" s="2" t="s">
        <v>538</v>
      </c>
      <c r="B134" s="2" t="s">
        <v>538</v>
      </c>
      <c r="C134" s="2" t="s">
        <v>64</v>
      </c>
      <c r="D134" s="2" t="s">
        <v>539</v>
      </c>
      <c r="E134" s="2" t="s">
        <v>540</v>
      </c>
      <c r="F134" s="2" t="s">
        <v>289</v>
      </c>
      <c r="G134" s="2" t="s">
        <v>473</v>
      </c>
      <c r="H134" s="2" t="s">
        <v>355</v>
      </c>
      <c r="I134" s="2" t="n">
        <v>52.6637041720006</v>
      </c>
      <c r="J134" s="2" t="n">
        <v>-8.59061334968384</v>
      </c>
      <c r="K134" s="2" t="n">
        <v>26</v>
      </c>
      <c r="L134" s="2" t="s">
        <v>91</v>
      </c>
      <c r="M134" s="2" t="s">
        <v>297</v>
      </c>
      <c r="N134" s="2" t="s">
        <v>293</v>
      </c>
      <c r="O134" s="2" t="s">
        <v>73</v>
      </c>
      <c r="P134" s="2" t="s">
        <v>73</v>
      </c>
      <c r="Q134" s="2" t="s">
        <v>102</v>
      </c>
      <c r="R134" s="2" t="s">
        <v>103</v>
      </c>
      <c r="S134" s="6" t="n">
        <v>44882</v>
      </c>
      <c r="T134" s="6" t="n">
        <v>45063</v>
      </c>
      <c r="U134" s="2" t="s">
        <v>85</v>
      </c>
      <c r="V134" s="2" t="s">
        <v>76</v>
      </c>
      <c r="W134" s="6" t="n">
        <v>46889</v>
      </c>
      <c r="X134" s="6" t="n">
        <v>45653</v>
      </c>
      <c r="Y134" s="2" t="s">
        <v>104</v>
      </c>
      <c r="Z134" s="2" t="n">
        <v>1</v>
      </c>
      <c r="AA134" s="2" t="n">
        <v>0</v>
      </c>
      <c r="AB134" s="6"/>
      <c r="AC134" s="2" t="n">
        <v>0</v>
      </c>
      <c r="AD134" s="2" t="n">
        <v>0</v>
      </c>
      <c r="AE134" s="7" t="n">
        <v>0.49555099247091</v>
      </c>
      <c r="AF134" s="7" t="n">
        <v>1.61533196440794</v>
      </c>
      <c r="AG134" s="7"/>
      <c r="AH134" s="7"/>
      <c r="AI134" s="2" t="s">
        <v>86</v>
      </c>
      <c r="AJ134" s="2" t="s">
        <v>87</v>
      </c>
      <c r="AK134" s="2"/>
      <c r="AL134" s="2"/>
      <c r="AM134" s="2"/>
      <c r="AN134" s="2"/>
      <c r="AO134" s="2"/>
      <c r="AP134" s="2"/>
      <c r="AQ134" s="2"/>
    </row>
    <row r="135" customFormat="false" ht="15" hidden="false" customHeight="false" outlineLevel="0" collapsed="false">
      <c r="A135" s="2" t="s">
        <v>541</v>
      </c>
      <c r="B135" s="2" t="s">
        <v>541</v>
      </c>
      <c r="C135" s="2" t="s">
        <v>64</v>
      </c>
      <c r="D135" s="2" t="s">
        <v>542</v>
      </c>
      <c r="E135" s="2" t="s">
        <v>543</v>
      </c>
      <c r="F135" s="2" t="s">
        <v>289</v>
      </c>
      <c r="G135" s="2" t="s">
        <v>473</v>
      </c>
      <c r="H135" s="2" t="s">
        <v>355</v>
      </c>
      <c r="I135" s="2" t="n">
        <v>52.666077492929</v>
      </c>
      <c r="J135" s="2" t="n">
        <v>-8.59961662343529</v>
      </c>
      <c r="K135" s="2" t="n">
        <v>25</v>
      </c>
      <c r="L135" s="2" t="s">
        <v>91</v>
      </c>
      <c r="M135" s="2" t="s">
        <v>95</v>
      </c>
      <c r="N135" s="2" t="s">
        <v>72</v>
      </c>
      <c r="O135" s="2" t="s">
        <v>73</v>
      </c>
      <c r="P135" s="2" t="s">
        <v>73</v>
      </c>
      <c r="Q135" s="2" t="s">
        <v>74</v>
      </c>
      <c r="R135" s="2" t="s">
        <v>75</v>
      </c>
      <c r="S135" s="6" t="n">
        <v>45491</v>
      </c>
      <c r="T135" s="6" t="n">
        <v>45961</v>
      </c>
      <c r="U135" s="2" t="s">
        <v>76</v>
      </c>
      <c r="V135" s="2" t="s">
        <v>76</v>
      </c>
      <c r="W135" s="6" t="n">
        <v>47786</v>
      </c>
      <c r="X135" s="6"/>
      <c r="Y135" s="2"/>
      <c r="Z135" s="2" t="n">
        <v>0</v>
      </c>
      <c r="AA135" s="2" t="n">
        <v>0</v>
      </c>
      <c r="AB135" s="6"/>
      <c r="AC135" s="2" t="n">
        <v>0</v>
      </c>
      <c r="AD135" s="2" t="n">
        <v>0</v>
      </c>
      <c r="AE135" s="7" t="n">
        <v>1.28678986995209</v>
      </c>
      <c r="AF135" s="7"/>
      <c r="AG135" s="7"/>
      <c r="AH135" s="7"/>
      <c r="AI135" s="2" t="s">
        <v>86</v>
      </c>
      <c r="AJ135" s="2" t="s">
        <v>87</v>
      </c>
      <c r="AK135" s="2"/>
      <c r="AL135" s="2"/>
      <c r="AM135" s="2"/>
      <c r="AN135" s="2"/>
      <c r="AO135" s="2"/>
      <c r="AP135" s="2"/>
      <c r="AQ135" s="2"/>
    </row>
    <row r="136" customFormat="false" ht="15" hidden="false" customHeight="false" outlineLevel="0" collapsed="false">
      <c r="A136" s="2" t="s">
        <v>544</v>
      </c>
      <c r="B136" s="2" t="s">
        <v>544</v>
      </c>
      <c r="C136" s="2" t="s">
        <v>64</v>
      </c>
      <c r="D136" s="2" t="s">
        <v>545</v>
      </c>
      <c r="E136" s="2" t="s">
        <v>546</v>
      </c>
      <c r="F136" s="2" t="s">
        <v>289</v>
      </c>
      <c r="G136" s="2" t="s">
        <v>473</v>
      </c>
      <c r="H136" s="2" t="s">
        <v>537</v>
      </c>
      <c r="I136" s="2" t="n">
        <v>52.6752035288073</v>
      </c>
      <c r="J136" s="2" t="n">
        <v>-8.61632473622669</v>
      </c>
      <c r="K136" s="2" t="n">
        <v>25</v>
      </c>
      <c r="L136" s="2" t="s">
        <v>91</v>
      </c>
      <c r="M136" s="2" t="s">
        <v>71</v>
      </c>
      <c r="N136" s="2" t="s">
        <v>72</v>
      </c>
      <c r="O136" s="2" t="s">
        <v>73</v>
      </c>
      <c r="P136" s="2" t="s">
        <v>73</v>
      </c>
      <c r="Q136" s="2" t="s">
        <v>74</v>
      </c>
      <c r="R136" s="2" t="s">
        <v>75</v>
      </c>
      <c r="S136" s="6" t="n">
        <v>45922</v>
      </c>
      <c r="T136" s="6" t="n">
        <v>46141</v>
      </c>
      <c r="U136" s="2" t="s">
        <v>76</v>
      </c>
      <c r="V136" s="2" t="s">
        <v>85</v>
      </c>
      <c r="W136" s="6" t="n">
        <v>47966</v>
      </c>
      <c r="X136" s="6"/>
      <c r="Y136" s="2"/>
      <c r="Z136" s="2" t="n">
        <v>0</v>
      </c>
      <c r="AA136" s="2" t="n">
        <v>0</v>
      </c>
      <c r="AB136" s="6"/>
      <c r="AC136" s="2" t="n">
        <v>0</v>
      </c>
      <c r="AD136" s="2" t="n">
        <v>0</v>
      </c>
      <c r="AE136" s="7" t="n">
        <v>0.59958932238193</v>
      </c>
      <c r="AF136" s="7"/>
      <c r="AG136" s="7"/>
      <c r="AH136" s="7"/>
      <c r="AI136" s="2" t="s">
        <v>86</v>
      </c>
      <c r="AJ136" s="2" t="s">
        <v>87</v>
      </c>
      <c r="AK136" s="2"/>
      <c r="AL136" s="2"/>
      <c r="AM136" s="2"/>
      <c r="AN136" s="2"/>
      <c r="AO136" s="2"/>
      <c r="AP136" s="2"/>
      <c r="AQ136" s="2"/>
    </row>
    <row r="137" customFormat="false" ht="15" hidden="false" customHeight="false" outlineLevel="0" collapsed="false">
      <c r="A137" s="2" t="s">
        <v>547</v>
      </c>
      <c r="B137" s="2" t="s">
        <v>547</v>
      </c>
      <c r="C137" s="2" t="s">
        <v>64</v>
      </c>
      <c r="D137" s="2" t="s">
        <v>548</v>
      </c>
      <c r="E137" s="2" t="s">
        <v>549</v>
      </c>
      <c r="F137" s="2" t="s">
        <v>289</v>
      </c>
      <c r="G137" s="2" t="s">
        <v>473</v>
      </c>
      <c r="H137" s="2" t="s">
        <v>537</v>
      </c>
      <c r="I137" s="2" t="n">
        <v>52.6860941668249</v>
      </c>
      <c r="J137" s="2" t="n">
        <v>-8.61979115235727</v>
      </c>
      <c r="K137" s="2" t="n">
        <v>24</v>
      </c>
      <c r="L137" s="2" t="s">
        <v>118</v>
      </c>
      <c r="M137" s="2" t="s">
        <v>83</v>
      </c>
      <c r="N137" s="2" t="s">
        <v>72</v>
      </c>
      <c r="O137" s="2" t="s">
        <v>73</v>
      </c>
      <c r="P137" s="2" t="s">
        <v>73</v>
      </c>
      <c r="Q137" s="2" t="s">
        <v>120</v>
      </c>
      <c r="R137" s="2" t="s">
        <v>120</v>
      </c>
      <c r="S137" s="6" t="n">
        <v>43325</v>
      </c>
      <c r="T137" s="6" t="n">
        <v>43377</v>
      </c>
      <c r="U137" s="2" t="s">
        <v>85</v>
      </c>
      <c r="V137" s="2" t="s">
        <v>85</v>
      </c>
      <c r="W137" s="6" t="n">
        <v>44561</v>
      </c>
      <c r="X137" s="6" t="n">
        <v>43172</v>
      </c>
      <c r="Y137" s="2" t="s">
        <v>136</v>
      </c>
      <c r="Z137" s="2" t="n">
        <v>0</v>
      </c>
      <c r="AA137" s="2" t="n">
        <v>0</v>
      </c>
      <c r="AB137" s="6" t="n">
        <v>45838</v>
      </c>
      <c r="AC137" s="2" t="n">
        <v>0</v>
      </c>
      <c r="AD137" s="2" t="n">
        <v>0</v>
      </c>
      <c r="AE137" s="7" t="n">
        <v>0.142368240930869</v>
      </c>
      <c r="AF137" s="7"/>
      <c r="AG137" s="7" t="n">
        <v>7.29911019849418</v>
      </c>
      <c r="AH137" s="7" t="n">
        <v>3.2880720180045</v>
      </c>
      <c r="AI137" s="2" t="s">
        <v>152</v>
      </c>
      <c r="AJ137" s="2" t="s">
        <v>78</v>
      </c>
      <c r="AK137" s="2"/>
      <c r="AL137" s="2" t="s">
        <v>64</v>
      </c>
      <c r="AM137" s="2"/>
      <c r="AN137" s="2"/>
      <c r="AO137" s="2"/>
      <c r="AP137" s="2"/>
      <c r="AQ137" s="2"/>
    </row>
    <row r="138" customFormat="false" ht="15" hidden="false" customHeight="false" outlineLevel="0" collapsed="false">
      <c r="A138" s="2"/>
      <c r="B138" s="2"/>
      <c r="C138" s="2" t="s">
        <v>64</v>
      </c>
      <c r="D138" s="2" t="s">
        <v>550</v>
      </c>
      <c r="E138" s="2" t="s">
        <v>551</v>
      </c>
      <c r="F138" s="2" t="s">
        <v>289</v>
      </c>
      <c r="G138" s="2" t="s">
        <v>473</v>
      </c>
      <c r="H138" s="2" t="s">
        <v>520</v>
      </c>
      <c r="I138" s="2" t="n">
        <v>52.671</v>
      </c>
      <c r="J138" s="2" t="n">
        <v>-8.625</v>
      </c>
      <c r="K138" s="2" t="n">
        <v>23</v>
      </c>
      <c r="L138" s="2" t="s">
        <v>118</v>
      </c>
      <c r="M138" s="2" t="s">
        <v>92</v>
      </c>
      <c r="N138" s="2" t="s">
        <v>72</v>
      </c>
      <c r="O138" s="2" t="s">
        <v>97</v>
      </c>
      <c r="P138" s="2" t="s">
        <v>98</v>
      </c>
      <c r="Q138" s="2" t="s">
        <v>84</v>
      </c>
      <c r="R138" s="2" t="s">
        <v>75</v>
      </c>
      <c r="S138" s="6"/>
      <c r="T138" s="6"/>
      <c r="U138" s="2" t="s">
        <v>85</v>
      </c>
      <c r="V138" s="2" t="s">
        <v>85</v>
      </c>
      <c r="W138" s="6"/>
      <c r="X138" s="6"/>
      <c r="Y138" s="2"/>
      <c r="Z138" s="2" t="n">
        <v>0</v>
      </c>
      <c r="AA138" s="2" t="n">
        <v>0</v>
      </c>
      <c r="AB138" s="6"/>
      <c r="AC138" s="2" t="n">
        <v>0</v>
      </c>
      <c r="AD138" s="2" t="n">
        <v>0</v>
      </c>
      <c r="AE138" s="7"/>
      <c r="AF138" s="7"/>
      <c r="AG138" s="7"/>
      <c r="AH138" s="7"/>
      <c r="AI138" s="2" t="s">
        <v>77</v>
      </c>
      <c r="AJ138" s="2" t="s">
        <v>78</v>
      </c>
      <c r="AK138" s="2"/>
      <c r="AL138" s="2"/>
      <c r="AM138" s="2"/>
      <c r="AN138" s="2"/>
      <c r="AO138" s="2"/>
      <c r="AP138" s="2"/>
      <c r="AQ138" s="2"/>
    </row>
    <row r="139" customFormat="false" ht="15" hidden="false" customHeight="false" outlineLevel="0" collapsed="false">
      <c r="A139" s="2" t="s">
        <v>552</v>
      </c>
      <c r="B139" s="2" t="s">
        <v>553</v>
      </c>
      <c r="C139" s="2" t="s">
        <v>64</v>
      </c>
      <c r="D139" s="2" t="s">
        <v>554</v>
      </c>
      <c r="E139" s="2" t="s">
        <v>555</v>
      </c>
      <c r="F139" s="2" t="s">
        <v>289</v>
      </c>
      <c r="G139" s="2" t="s">
        <v>473</v>
      </c>
      <c r="H139" s="2" t="s">
        <v>474</v>
      </c>
      <c r="I139" s="2" t="n">
        <v>52.6807847670667</v>
      </c>
      <c r="J139" s="2" t="n">
        <v>-8.64280962703867</v>
      </c>
      <c r="K139" s="2" t="n">
        <v>22</v>
      </c>
      <c r="L139" s="2" t="s">
        <v>118</v>
      </c>
      <c r="M139" s="2" t="s">
        <v>95</v>
      </c>
      <c r="N139" s="2" t="s">
        <v>96</v>
      </c>
      <c r="O139" s="2" t="s">
        <v>97</v>
      </c>
      <c r="P139" s="2" t="s">
        <v>98</v>
      </c>
      <c r="Q139" s="2" t="s">
        <v>272</v>
      </c>
      <c r="R139" s="2" t="s">
        <v>273</v>
      </c>
      <c r="S139" s="6" t="n">
        <v>45894</v>
      </c>
      <c r="T139" s="6"/>
      <c r="U139" s="2" t="s">
        <v>85</v>
      </c>
      <c r="V139" s="2" t="s">
        <v>85</v>
      </c>
      <c r="W139" s="6"/>
      <c r="X139" s="6"/>
      <c r="Y139" s="2"/>
      <c r="Z139" s="2" t="n">
        <v>0</v>
      </c>
      <c r="AA139" s="2" t="n">
        <v>0</v>
      </c>
      <c r="AB139" s="6"/>
      <c r="AC139" s="2" t="n">
        <v>0</v>
      </c>
      <c r="AD139" s="2" t="n">
        <v>0</v>
      </c>
      <c r="AE139" s="7"/>
      <c r="AF139" s="7"/>
      <c r="AG139" s="7"/>
      <c r="AH139" s="7"/>
      <c r="AI139" s="2" t="s">
        <v>86</v>
      </c>
      <c r="AJ139" s="2" t="s">
        <v>87</v>
      </c>
      <c r="AK139" s="2"/>
      <c r="AL139" s="2"/>
      <c r="AM139" s="2" t="s">
        <v>556</v>
      </c>
      <c r="AN139" s="2" t="s">
        <v>196</v>
      </c>
      <c r="AO139" s="2" t="s">
        <v>422</v>
      </c>
      <c r="AP139" s="2" t="s">
        <v>423</v>
      </c>
      <c r="AQ139" s="2" t="s">
        <v>125</v>
      </c>
    </row>
    <row r="140" customFormat="false" ht="15" hidden="false" customHeight="false" outlineLevel="0" collapsed="false">
      <c r="A140" s="2" t="s">
        <v>557</v>
      </c>
      <c r="B140" s="2" t="s">
        <v>557</v>
      </c>
      <c r="C140" s="2" t="s">
        <v>64</v>
      </c>
      <c r="D140" s="2" t="s">
        <v>558</v>
      </c>
      <c r="E140" s="2" t="s">
        <v>559</v>
      </c>
      <c r="F140" s="2" t="s">
        <v>289</v>
      </c>
      <c r="G140" s="2" t="s">
        <v>473</v>
      </c>
      <c r="H140" s="2" t="s">
        <v>355</v>
      </c>
      <c r="I140" s="2" t="n">
        <v>52.6647595820274</v>
      </c>
      <c r="J140" s="2" t="n">
        <v>-8.60875465403926</v>
      </c>
      <c r="K140" s="2" t="n">
        <v>20</v>
      </c>
      <c r="L140" s="2" t="s">
        <v>118</v>
      </c>
      <c r="M140" s="2" t="s">
        <v>95</v>
      </c>
      <c r="N140" s="2" t="s">
        <v>72</v>
      </c>
      <c r="O140" s="2" t="s">
        <v>73</v>
      </c>
      <c r="P140" s="2" t="s">
        <v>73</v>
      </c>
      <c r="Q140" s="2" t="s">
        <v>84</v>
      </c>
      <c r="R140" s="2" t="s">
        <v>103</v>
      </c>
      <c r="S140" s="6" t="n">
        <v>44762</v>
      </c>
      <c r="T140" s="6" t="n">
        <v>45323</v>
      </c>
      <c r="U140" s="2" t="s">
        <v>85</v>
      </c>
      <c r="V140" s="2" t="s">
        <v>76</v>
      </c>
      <c r="W140" s="6" t="n">
        <v>47149</v>
      </c>
      <c r="X140" s="6" t="n">
        <v>45657</v>
      </c>
      <c r="Y140" s="2" t="s">
        <v>104</v>
      </c>
      <c r="Z140" s="2" t="n">
        <v>1</v>
      </c>
      <c r="AA140" s="2" t="n">
        <v>0</v>
      </c>
      <c r="AB140" s="6"/>
      <c r="AC140" s="2" t="n">
        <v>0</v>
      </c>
      <c r="AD140" s="2" t="n">
        <v>0</v>
      </c>
      <c r="AE140" s="7" t="n">
        <v>1.53593429158111</v>
      </c>
      <c r="AF140" s="7" t="n">
        <v>0.914442162902122</v>
      </c>
      <c r="AG140" s="7"/>
      <c r="AH140" s="7"/>
      <c r="AI140" s="2" t="s">
        <v>86</v>
      </c>
      <c r="AJ140" s="2" t="s">
        <v>87</v>
      </c>
      <c r="AK140" s="2" t="s">
        <v>174</v>
      </c>
      <c r="AL140" s="2"/>
      <c r="AM140" s="2"/>
      <c r="AN140" s="2"/>
      <c r="AO140" s="2"/>
      <c r="AP140" s="2"/>
      <c r="AQ140" s="2"/>
    </row>
    <row r="141" customFormat="false" ht="15" hidden="false" customHeight="false" outlineLevel="0" collapsed="false">
      <c r="A141" s="2" t="s">
        <v>560</v>
      </c>
      <c r="B141" s="2" t="s">
        <v>560</v>
      </c>
      <c r="C141" s="2" t="s">
        <v>64</v>
      </c>
      <c r="D141" s="2" t="s">
        <v>561</v>
      </c>
      <c r="E141" s="2" t="s">
        <v>562</v>
      </c>
      <c r="F141" s="2" t="s">
        <v>289</v>
      </c>
      <c r="G141" s="2" t="s">
        <v>473</v>
      </c>
      <c r="H141" s="2" t="s">
        <v>406</v>
      </c>
      <c r="I141" s="2" t="n">
        <v>52.6625636664068</v>
      </c>
      <c r="J141" s="2" t="n">
        <v>-8.62215174201212</v>
      </c>
      <c r="K141" s="2" t="n">
        <v>15</v>
      </c>
      <c r="L141" s="2" t="s">
        <v>118</v>
      </c>
      <c r="M141" s="2" t="s">
        <v>95</v>
      </c>
      <c r="N141" s="2" t="s">
        <v>72</v>
      </c>
      <c r="O141" s="2" t="s">
        <v>73</v>
      </c>
      <c r="P141" s="2" t="s">
        <v>73</v>
      </c>
      <c r="Q141" s="2" t="s">
        <v>74</v>
      </c>
      <c r="R141" s="2" t="s">
        <v>75</v>
      </c>
      <c r="S141" s="6" t="n">
        <v>45468</v>
      </c>
      <c r="T141" s="6" t="n">
        <v>45771</v>
      </c>
      <c r="U141" s="2" t="s">
        <v>76</v>
      </c>
      <c r="V141" s="2" t="s">
        <v>85</v>
      </c>
      <c r="W141" s="6" t="n">
        <v>47596</v>
      </c>
      <c r="X141" s="6"/>
      <c r="Y141" s="2"/>
      <c r="Z141" s="2" t="n">
        <v>0</v>
      </c>
      <c r="AA141" s="2" t="n">
        <v>0</v>
      </c>
      <c r="AB141" s="6"/>
      <c r="AC141" s="2" t="n">
        <v>0</v>
      </c>
      <c r="AD141" s="2" t="n">
        <v>0</v>
      </c>
      <c r="AE141" s="7" t="n">
        <v>0.829568788501027</v>
      </c>
      <c r="AF141" s="7"/>
      <c r="AG141" s="7"/>
      <c r="AH141" s="7"/>
      <c r="AI141" s="2" t="s">
        <v>86</v>
      </c>
      <c r="AJ141" s="2" t="s">
        <v>87</v>
      </c>
      <c r="AK141" s="2"/>
      <c r="AL141" s="2"/>
      <c r="AM141" s="2"/>
      <c r="AN141" s="2"/>
      <c r="AO141" s="2"/>
      <c r="AP141" s="2"/>
      <c r="AQ141" s="2"/>
    </row>
    <row r="142" customFormat="false" ht="15" hidden="false" customHeight="false" outlineLevel="0" collapsed="false">
      <c r="A142" s="2" t="s">
        <v>563</v>
      </c>
      <c r="B142" s="2" t="s">
        <v>563</v>
      </c>
      <c r="C142" s="2" t="s">
        <v>64</v>
      </c>
      <c r="D142" s="2" t="s">
        <v>564</v>
      </c>
      <c r="E142" s="2" t="s">
        <v>565</v>
      </c>
      <c r="F142" s="2" t="s">
        <v>289</v>
      </c>
      <c r="G142" s="2" t="s">
        <v>473</v>
      </c>
      <c r="H142" s="2" t="s">
        <v>537</v>
      </c>
      <c r="I142" s="2" t="n">
        <v>52.6706806810291</v>
      </c>
      <c r="J142" s="2" t="n">
        <v>-8.60457170020531</v>
      </c>
      <c r="K142" s="2" t="n">
        <v>15</v>
      </c>
      <c r="L142" s="2" t="s">
        <v>118</v>
      </c>
      <c r="M142" s="2" t="s">
        <v>83</v>
      </c>
      <c r="N142" s="2" t="s">
        <v>72</v>
      </c>
      <c r="O142" s="2" t="s">
        <v>73</v>
      </c>
      <c r="P142" s="2" t="s">
        <v>73</v>
      </c>
      <c r="Q142" s="2" t="s">
        <v>74</v>
      </c>
      <c r="R142" s="2" t="s">
        <v>75</v>
      </c>
      <c r="S142" s="6" t="n">
        <v>45532</v>
      </c>
      <c r="T142" s="6" t="n">
        <v>45918</v>
      </c>
      <c r="U142" s="2" t="s">
        <v>76</v>
      </c>
      <c r="V142" s="2" t="s">
        <v>85</v>
      </c>
      <c r="W142" s="6" t="n">
        <v>47743</v>
      </c>
      <c r="X142" s="6"/>
      <c r="Y142" s="2"/>
      <c r="Z142" s="2" t="n">
        <v>0</v>
      </c>
      <c r="AA142" s="2" t="n">
        <v>0</v>
      </c>
      <c r="AB142" s="6"/>
      <c r="AC142" s="2" t="n">
        <v>0</v>
      </c>
      <c r="AD142" s="2" t="n">
        <v>0</v>
      </c>
      <c r="AE142" s="7" t="n">
        <v>1.05681040383299</v>
      </c>
      <c r="AF142" s="7"/>
      <c r="AG142" s="7"/>
      <c r="AH142" s="7"/>
      <c r="AI142" s="2" t="s">
        <v>86</v>
      </c>
      <c r="AJ142" s="2" t="s">
        <v>87</v>
      </c>
      <c r="AK142" s="2"/>
      <c r="AL142" s="2"/>
      <c r="AM142" s="2"/>
      <c r="AN142" s="2"/>
      <c r="AO142" s="2"/>
      <c r="AP142" s="2"/>
      <c r="AQ142" s="2"/>
    </row>
    <row r="143" customFormat="false" ht="15" hidden="false" customHeight="false" outlineLevel="0" collapsed="false">
      <c r="A143" s="2" t="s">
        <v>566</v>
      </c>
      <c r="B143" s="2" t="s">
        <v>566</v>
      </c>
      <c r="C143" s="2" t="s">
        <v>64</v>
      </c>
      <c r="D143" s="2" t="s">
        <v>567</v>
      </c>
      <c r="E143" s="2" t="s">
        <v>568</v>
      </c>
      <c r="F143" s="2" t="s">
        <v>82</v>
      </c>
      <c r="G143" s="2" t="s">
        <v>473</v>
      </c>
      <c r="H143" s="2" t="s">
        <v>406</v>
      </c>
      <c r="I143" s="2" t="n">
        <v>52.6579367611425</v>
      </c>
      <c r="J143" s="2" t="n">
        <v>-8.61054777802688</v>
      </c>
      <c r="K143" s="2" t="n">
        <v>14</v>
      </c>
      <c r="L143" s="2" t="s">
        <v>118</v>
      </c>
      <c r="M143" s="2" t="s">
        <v>95</v>
      </c>
      <c r="N143" s="2" t="s">
        <v>96</v>
      </c>
      <c r="O143" s="2" t="s">
        <v>97</v>
      </c>
      <c r="P143" s="2" t="s">
        <v>98</v>
      </c>
      <c r="Q143" s="2" t="s">
        <v>120</v>
      </c>
      <c r="R143" s="2" t="s">
        <v>120</v>
      </c>
      <c r="S143" s="6" t="n">
        <v>43138</v>
      </c>
      <c r="T143" s="6" t="n">
        <v>43236</v>
      </c>
      <c r="U143" s="2" t="s">
        <v>85</v>
      </c>
      <c r="V143" s="2" t="s">
        <v>85</v>
      </c>
      <c r="W143" s="6"/>
      <c r="X143" s="6" t="n">
        <v>43871</v>
      </c>
      <c r="Y143" s="2" t="s">
        <v>104</v>
      </c>
      <c r="Z143" s="2" t="n">
        <v>1</v>
      </c>
      <c r="AA143" s="2" t="n">
        <v>14</v>
      </c>
      <c r="AB143" s="6" t="n">
        <v>44595</v>
      </c>
      <c r="AC143" s="2" t="n">
        <v>1</v>
      </c>
      <c r="AD143" s="2" t="n">
        <v>5</v>
      </c>
      <c r="AE143" s="7" t="n">
        <v>0.268309377138946</v>
      </c>
      <c r="AF143" s="7" t="n">
        <v>1.73853524982888</v>
      </c>
      <c r="AG143" s="7" t="n">
        <v>1.98220396988364</v>
      </c>
      <c r="AH143" s="7" t="n">
        <v>7.0628453038674</v>
      </c>
      <c r="AI143" s="2" t="s">
        <v>86</v>
      </c>
      <c r="AJ143" s="2" t="s">
        <v>87</v>
      </c>
      <c r="AK143" s="2"/>
      <c r="AL143" s="2" t="s">
        <v>64</v>
      </c>
      <c r="AM143" s="2"/>
      <c r="AN143" s="2"/>
      <c r="AO143" s="2"/>
      <c r="AP143" s="2"/>
      <c r="AQ143" s="2"/>
    </row>
    <row r="144" customFormat="false" ht="15" hidden="false" customHeight="false" outlineLevel="0" collapsed="false">
      <c r="A144" s="2" t="s">
        <v>569</v>
      </c>
      <c r="B144" s="2" t="s">
        <v>569</v>
      </c>
      <c r="C144" s="2" t="s">
        <v>64</v>
      </c>
      <c r="D144" s="2" t="s">
        <v>570</v>
      </c>
      <c r="E144" s="2" t="s">
        <v>571</v>
      </c>
      <c r="F144" s="2" t="s">
        <v>82</v>
      </c>
      <c r="G144" s="2" t="s">
        <v>473</v>
      </c>
      <c r="H144" s="2" t="s">
        <v>355</v>
      </c>
      <c r="I144" s="2" t="n">
        <v>52.6654870717626</v>
      </c>
      <c r="J144" s="2" t="n">
        <v>-8.61654081944876</v>
      </c>
      <c r="K144" s="2" t="n">
        <v>14</v>
      </c>
      <c r="L144" s="2" t="s">
        <v>118</v>
      </c>
      <c r="M144" s="2" t="s">
        <v>95</v>
      </c>
      <c r="N144" s="2" t="s">
        <v>72</v>
      </c>
      <c r="O144" s="2" t="s">
        <v>73</v>
      </c>
      <c r="P144" s="2" t="s">
        <v>73</v>
      </c>
      <c r="Q144" s="2" t="s">
        <v>74</v>
      </c>
      <c r="R144" s="2" t="s">
        <v>75</v>
      </c>
      <c r="S144" s="6" t="n">
        <v>44361</v>
      </c>
      <c r="T144" s="6" t="n">
        <v>44609</v>
      </c>
      <c r="U144" s="2" t="s">
        <v>76</v>
      </c>
      <c r="V144" s="2" t="s">
        <v>85</v>
      </c>
      <c r="W144" s="6" t="n">
        <v>46434</v>
      </c>
      <c r="X144" s="6"/>
      <c r="Y144" s="2"/>
      <c r="Z144" s="2" t="n">
        <v>0</v>
      </c>
      <c r="AA144" s="2" t="n">
        <v>0</v>
      </c>
      <c r="AB144" s="6"/>
      <c r="AC144" s="2" t="n">
        <v>0</v>
      </c>
      <c r="AD144" s="2" t="n">
        <v>0</v>
      </c>
      <c r="AE144" s="7" t="n">
        <v>0.678986995208761</v>
      </c>
      <c r="AF144" s="7"/>
      <c r="AG144" s="7"/>
      <c r="AH144" s="7"/>
      <c r="AI144" s="2" t="s">
        <v>86</v>
      </c>
      <c r="AJ144" s="2" t="s">
        <v>87</v>
      </c>
      <c r="AK144" s="2"/>
      <c r="AL144" s="2"/>
      <c r="AM144" s="2"/>
      <c r="AN144" s="2"/>
      <c r="AO144" s="2"/>
      <c r="AP144" s="2"/>
      <c r="AQ144" s="2"/>
    </row>
    <row r="145" customFormat="false" ht="15" hidden="false" customHeight="false" outlineLevel="0" collapsed="false">
      <c r="A145" s="2" t="s">
        <v>572</v>
      </c>
      <c r="B145" s="2" t="s">
        <v>572</v>
      </c>
      <c r="C145" s="2" t="s">
        <v>64</v>
      </c>
      <c r="D145" s="2" t="s">
        <v>573</v>
      </c>
      <c r="E145" s="2" t="s">
        <v>574</v>
      </c>
      <c r="F145" s="2" t="s">
        <v>289</v>
      </c>
      <c r="G145" s="2" t="s">
        <v>473</v>
      </c>
      <c r="H145" s="2" t="s">
        <v>406</v>
      </c>
      <c r="I145" s="2" t="n">
        <v>52.673609</v>
      </c>
      <c r="J145" s="2" t="n">
        <v>-8.632195</v>
      </c>
      <c r="K145" s="2" t="n">
        <v>13</v>
      </c>
      <c r="L145" s="2" t="s">
        <v>118</v>
      </c>
      <c r="M145" s="2" t="s">
        <v>92</v>
      </c>
      <c r="N145" s="2" t="s">
        <v>96</v>
      </c>
      <c r="O145" s="2" t="s">
        <v>97</v>
      </c>
      <c r="P145" s="2" t="s">
        <v>98</v>
      </c>
      <c r="Q145" s="2" t="s">
        <v>272</v>
      </c>
      <c r="R145" s="2" t="s">
        <v>273</v>
      </c>
      <c r="S145" s="6" t="n">
        <v>46112</v>
      </c>
      <c r="T145" s="6"/>
      <c r="U145" s="2" t="s">
        <v>85</v>
      </c>
      <c r="V145" s="2" t="s">
        <v>85</v>
      </c>
      <c r="W145" s="6"/>
      <c r="X145" s="6"/>
      <c r="Y145" s="2"/>
      <c r="Z145" s="2" t="n">
        <v>0</v>
      </c>
      <c r="AA145" s="2" t="n">
        <v>0</v>
      </c>
      <c r="AB145" s="6"/>
      <c r="AC145" s="2" t="n">
        <v>0</v>
      </c>
      <c r="AD145" s="2" t="n">
        <v>0</v>
      </c>
      <c r="AE145" s="7"/>
      <c r="AF145" s="7"/>
      <c r="AG145" s="7"/>
      <c r="AH145" s="7"/>
      <c r="AI145" s="2" t="s">
        <v>86</v>
      </c>
      <c r="AJ145" s="2" t="s">
        <v>87</v>
      </c>
      <c r="AK145" s="2"/>
      <c r="AL145" s="2"/>
      <c r="AM145" s="2" t="s">
        <v>575</v>
      </c>
      <c r="AN145" s="2" t="s">
        <v>196</v>
      </c>
      <c r="AO145" s="2" t="s">
        <v>422</v>
      </c>
      <c r="AP145" s="2" t="s">
        <v>214</v>
      </c>
      <c r="AQ145" s="2" t="s">
        <v>125</v>
      </c>
    </row>
    <row r="146" customFormat="false" ht="15" hidden="false" customHeight="false" outlineLevel="0" collapsed="false">
      <c r="A146" s="2" t="s">
        <v>576</v>
      </c>
      <c r="B146" s="2" t="s">
        <v>576</v>
      </c>
      <c r="C146" s="2" t="s">
        <v>64</v>
      </c>
      <c r="D146" s="2" t="s">
        <v>482</v>
      </c>
      <c r="E146" s="2" t="s">
        <v>577</v>
      </c>
      <c r="F146" s="2" t="s">
        <v>82</v>
      </c>
      <c r="G146" s="2" t="s">
        <v>473</v>
      </c>
      <c r="H146" s="2" t="s">
        <v>474</v>
      </c>
      <c r="I146" s="2" t="n">
        <v>52.6820495374688</v>
      </c>
      <c r="J146" s="2" t="n">
        <v>-8.6668121009019</v>
      </c>
      <c r="K146" s="2" t="n">
        <v>12</v>
      </c>
      <c r="L146" s="2" t="s">
        <v>118</v>
      </c>
      <c r="M146" s="2" t="s">
        <v>83</v>
      </c>
      <c r="N146" s="2" t="s">
        <v>72</v>
      </c>
      <c r="O146" s="2" t="s">
        <v>73</v>
      </c>
      <c r="P146" s="2" t="s">
        <v>73</v>
      </c>
      <c r="Q146" s="2" t="s">
        <v>74</v>
      </c>
      <c r="R146" s="2" t="s">
        <v>75</v>
      </c>
      <c r="S146" s="6" t="n">
        <v>44792</v>
      </c>
      <c r="T146" s="6" t="n">
        <v>45202</v>
      </c>
      <c r="U146" s="2" t="s">
        <v>76</v>
      </c>
      <c r="V146" s="2" t="s">
        <v>85</v>
      </c>
      <c r="W146" s="6" t="n">
        <v>47028</v>
      </c>
      <c r="X146" s="6"/>
      <c r="Y146" s="2"/>
      <c r="Z146" s="2" t="n">
        <v>0</v>
      </c>
      <c r="AA146" s="2" t="n">
        <v>0</v>
      </c>
      <c r="AB146" s="6"/>
      <c r="AC146" s="2" t="n">
        <v>0</v>
      </c>
      <c r="AD146" s="2" t="n">
        <v>0</v>
      </c>
      <c r="AE146" s="7" t="n">
        <v>1.12251882272416</v>
      </c>
      <c r="AF146" s="7"/>
      <c r="AG146" s="7"/>
      <c r="AH146" s="7"/>
      <c r="AI146" s="2" t="s">
        <v>77</v>
      </c>
      <c r="AJ146" s="2" t="s">
        <v>78</v>
      </c>
      <c r="AK146" s="2"/>
      <c r="AL146" s="2"/>
      <c r="AM146" s="2"/>
      <c r="AN146" s="2"/>
      <c r="AO146" s="2"/>
      <c r="AP146" s="2"/>
      <c r="AQ146" s="2"/>
    </row>
    <row r="147" customFormat="false" ht="15" hidden="false" customHeight="false" outlineLevel="0" collapsed="false">
      <c r="A147" s="2" t="s">
        <v>578</v>
      </c>
      <c r="B147" s="2" t="s">
        <v>578</v>
      </c>
      <c r="C147" s="2" t="s">
        <v>64</v>
      </c>
      <c r="D147" s="2" t="s">
        <v>579</v>
      </c>
      <c r="E147" s="2" t="s">
        <v>580</v>
      </c>
      <c r="F147" s="2" t="s">
        <v>289</v>
      </c>
      <c r="G147" s="2" t="s">
        <v>473</v>
      </c>
      <c r="H147" s="2" t="s">
        <v>474</v>
      </c>
      <c r="I147" s="2" t="n">
        <v>52.6838276280481</v>
      </c>
      <c r="J147" s="2" t="n">
        <v>-8.64947621540253</v>
      </c>
      <c r="K147" s="2" t="n">
        <v>12</v>
      </c>
      <c r="L147" s="2" t="s">
        <v>118</v>
      </c>
      <c r="M147" s="2" t="s">
        <v>95</v>
      </c>
      <c r="N147" s="2" t="s">
        <v>72</v>
      </c>
      <c r="O147" s="2" t="s">
        <v>119</v>
      </c>
      <c r="P147" s="2" t="s">
        <v>98</v>
      </c>
      <c r="Q147" s="2" t="s">
        <v>188</v>
      </c>
      <c r="R147" s="2" t="s">
        <v>156</v>
      </c>
      <c r="S147" s="6" t="n">
        <v>43553</v>
      </c>
      <c r="T147" s="6" t="n">
        <v>43635</v>
      </c>
      <c r="U147" s="2" t="s">
        <v>85</v>
      </c>
      <c r="V147" s="2" t="s">
        <v>85</v>
      </c>
      <c r="W147" s="6" t="n">
        <v>45461</v>
      </c>
      <c r="X147" s="6"/>
      <c r="Y147" s="2"/>
      <c r="Z147" s="2" t="n">
        <v>0</v>
      </c>
      <c r="AA147" s="2" t="n">
        <v>0</v>
      </c>
      <c r="AB147" s="6"/>
      <c r="AC147" s="2" t="n">
        <v>0</v>
      </c>
      <c r="AD147" s="2" t="n">
        <v>0</v>
      </c>
      <c r="AE147" s="7" t="n">
        <v>0.224503764544832</v>
      </c>
      <c r="AF147" s="7"/>
      <c r="AG147" s="7"/>
      <c r="AH147" s="7"/>
      <c r="AI147" s="2" t="s">
        <v>86</v>
      </c>
      <c r="AJ147" s="2" t="s">
        <v>87</v>
      </c>
      <c r="AK147" s="2"/>
      <c r="AL147" s="2"/>
      <c r="AM147" s="2"/>
      <c r="AN147" s="2"/>
      <c r="AO147" s="2"/>
      <c r="AP147" s="2"/>
      <c r="AQ147" s="2"/>
    </row>
    <row r="148" customFormat="false" ht="15" hidden="false" customHeight="false" outlineLevel="0" collapsed="false">
      <c r="A148" s="2" t="s">
        <v>581</v>
      </c>
      <c r="B148" s="2" t="s">
        <v>581</v>
      </c>
      <c r="C148" s="2" t="s">
        <v>64</v>
      </c>
      <c r="D148" s="2" t="s">
        <v>582</v>
      </c>
      <c r="E148" s="2" t="s">
        <v>218</v>
      </c>
      <c r="F148" s="2" t="s">
        <v>289</v>
      </c>
      <c r="G148" s="2" t="s">
        <v>473</v>
      </c>
      <c r="H148" s="2" t="s">
        <v>474</v>
      </c>
      <c r="I148" s="2" t="n">
        <v>52.6733202159574</v>
      </c>
      <c r="J148" s="2" t="n">
        <v>-8.65776704698475</v>
      </c>
      <c r="K148" s="2" t="n">
        <v>11</v>
      </c>
      <c r="L148" s="2" t="s">
        <v>118</v>
      </c>
      <c r="M148" s="2" t="s">
        <v>95</v>
      </c>
      <c r="N148" s="2" t="s">
        <v>72</v>
      </c>
      <c r="O148" s="2" t="s">
        <v>73</v>
      </c>
      <c r="P148" s="2" t="s">
        <v>73</v>
      </c>
      <c r="Q148" s="2" t="s">
        <v>74</v>
      </c>
      <c r="R148" s="2" t="s">
        <v>75</v>
      </c>
      <c r="S148" s="6" t="n">
        <v>44239</v>
      </c>
      <c r="T148" s="6" t="n">
        <v>44599</v>
      </c>
      <c r="U148" s="2" t="s">
        <v>76</v>
      </c>
      <c r="V148" s="2" t="s">
        <v>85</v>
      </c>
      <c r="W148" s="6" t="n">
        <v>46424</v>
      </c>
      <c r="X148" s="6"/>
      <c r="Y148" s="2"/>
      <c r="Z148" s="2" t="n">
        <v>0</v>
      </c>
      <c r="AA148" s="2" t="n">
        <v>0</v>
      </c>
      <c r="AB148" s="6"/>
      <c r="AC148" s="2" t="n">
        <v>0</v>
      </c>
      <c r="AD148" s="2" t="n">
        <v>0</v>
      </c>
      <c r="AE148" s="7" t="n">
        <v>0.985626283367556</v>
      </c>
      <c r="AF148" s="7"/>
      <c r="AG148" s="7"/>
      <c r="AH148" s="7"/>
      <c r="AI148" s="2" t="s">
        <v>86</v>
      </c>
      <c r="AJ148" s="2" t="s">
        <v>87</v>
      </c>
      <c r="AK148" s="2"/>
      <c r="AL148" s="2"/>
      <c r="AM148" s="2"/>
      <c r="AN148" s="2"/>
      <c r="AO148" s="2"/>
      <c r="AP148" s="2"/>
      <c r="AQ148" s="2"/>
    </row>
    <row r="149" customFormat="false" ht="15" hidden="false" customHeight="false" outlineLevel="0" collapsed="false">
      <c r="A149" s="2" t="s">
        <v>583</v>
      </c>
      <c r="B149" s="2" t="s">
        <v>583</v>
      </c>
      <c r="C149" s="2" t="s">
        <v>64</v>
      </c>
      <c r="D149" s="2" t="s">
        <v>570</v>
      </c>
      <c r="E149" s="2" t="s">
        <v>584</v>
      </c>
      <c r="F149" s="2" t="s">
        <v>82</v>
      </c>
      <c r="G149" s="2" t="s">
        <v>473</v>
      </c>
      <c r="H149" s="2" t="s">
        <v>355</v>
      </c>
      <c r="I149" s="2" t="n">
        <v>52.6668155695121</v>
      </c>
      <c r="J149" s="2" t="n">
        <v>-8.61646992285829</v>
      </c>
      <c r="K149" s="2" t="n">
        <v>8</v>
      </c>
      <c r="L149" s="2" t="s">
        <v>145</v>
      </c>
      <c r="M149" s="2" t="s">
        <v>95</v>
      </c>
      <c r="N149" s="2" t="s">
        <v>72</v>
      </c>
      <c r="O149" s="2" t="s">
        <v>73</v>
      </c>
      <c r="P149" s="2" t="s">
        <v>73</v>
      </c>
      <c r="Q149" s="2" t="s">
        <v>74</v>
      </c>
      <c r="R149" s="2" t="s">
        <v>75</v>
      </c>
      <c r="S149" s="6" t="n">
        <v>45217</v>
      </c>
      <c r="T149" s="6" t="n">
        <v>45490</v>
      </c>
      <c r="U149" s="2" t="s">
        <v>76</v>
      </c>
      <c r="V149" s="2" t="s">
        <v>85</v>
      </c>
      <c r="W149" s="6" t="n">
        <v>47315</v>
      </c>
      <c r="X149" s="6"/>
      <c r="Y149" s="2"/>
      <c r="Z149" s="2" t="n">
        <v>0</v>
      </c>
      <c r="AA149" s="2" t="n">
        <v>0</v>
      </c>
      <c r="AB149" s="6"/>
      <c r="AC149" s="2" t="n">
        <v>0</v>
      </c>
      <c r="AD149" s="2" t="n">
        <v>0</v>
      </c>
      <c r="AE149" s="7" t="n">
        <v>0.747433264887064</v>
      </c>
      <c r="AF149" s="7"/>
      <c r="AG149" s="7"/>
      <c r="AH149" s="7"/>
      <c r="AI149" s="2" t="s">
        <v>77</v>
      </c>
      <c r="AJ149" s="2" t="s">
        <v>78</v>
      </c>
      <c r="AK149" s="2"/>
      <c r="AL149" s="2"/>
      <c r="AM149" s="2"/>
      <c r="AN149" s="2"/>
      <c r="AO149" s="2"/>
      <c r="AP149" s="2"/>
      <c r="AQ149" s="2"/>
    </row>
    <row r="150" customFormat="false" ht="15" hidden="false" customHeight="false" outlineLevel="0" collapsed="false">
      <c r="A150" s="2" t="s">
        <v>585</v>
      </c>
      <c r="B150" s="2" t="s">
        <v>585</v>
      </c>
      <c r="C150" s="2" t="s">
        <v>64</v>
      </c>
      <c r="D150" s="2" t="s">
        <v>586</v>
      </c>
      <c r="E150" s="2" t="s">
        <v>587</v>
      </c>
      <c r="F150" s="2" t="s">
        <v>82</v>
      </c>
      <c r="G150" s="2" t="s">
        <v>473</v>
      </c>
      <c r="H150" s="2" t="s">
        <v>406</v>
      </c>
      <c r="I150" s="2" t="n">
        <v>52.672368846509</v>
      </c>
      <c r="J150" s="2" t="n">
        <v>-8.63084298029283</v>
      </c>
      <c r="K150" s="2" t="n">
        <v>7</v>
      </c>
      <c r="L150" s="2" t="s">
        <v>145</v>
      </c>
      <c r="M150" s="2" t="s">
        <v>95</v>
      </c>
      <c r="N150" s="2" t="s">
        <v>72</v>
      </c>
      <c r="O150" s="2" t="s">
        <v>73</v>
      </c>
      <c r="P150" s="2" t="s">
        <v>73</v>
      </c>
      <c r="Q150" s="2" t="s">
        <v>102</v>
      </c>
      <c r="R150" s="2" t="s">
        <v>103</v>
      </c>
      <c r="S150" s="6" t="n">
        <v>45660</v>
      </c>
      <c r="T150" s="6" t="n">
        <v>45994</v>
      </c>
      <c r="U150" s="2" t="s">
        <v>76</v>
      </c>
      <c r="V150" s="2" t="s">
        <v>85</v>
      </c>
      <c r="W150" s="6" t="n">
        <v>47819</v>
      </c>
      <c r="X150" s="6" t="n">
        <v>46097</v>
      </c>
      <c r="Y150" s="2" t="s">
        <v>104</v>
      </c>
      <c r="Z150" s="2" t="n">
        <v>1</v>
      </c>
      <c r="AA150" s="2" t="n">
        <v>1</v>
      </c>
      <c r="AB150" s="6"/>
      <c r="AC150" s="2" t="n">
        <v>0</v>
      </c>
      <c r="AD150" s="2" t="n">
        <v>0</v>
      </c>
      <c r="AE150" s="7" t="n">
        <v>0.914442162902122</v>
      </c>
      <c r="AF150" s="7" t="n">
        <v>0.281998631074606</v>
      </c>
      <c r="AG150" s="7"/>
      <c r="AH150" s="7"/>
      <c r="AI150" s="2" t="s">
        <v>86</v>
      </c>
      <c r="AJ150" s="2" t="s">
        <v>87</v>
      </c>
      <c r="AK150" s="2"/>
      <c r="AL150" s="2"/>
      <c r="AM150" s="2"/>
      <c r="AN150" s="2"/>
      <c r="AO150" s="2"/>
      <c r="AP150" s="2"/>
      <c r="AQ150" s="2"/>
    </row>
    <row r="151" customFormat="false" ht="15" hidden="false" customHeight="false" outlineLevel="0" collapsed="false">
      <c r="A151" s="2" t="s">
        <v>588</v>
      </c>
      <c r="B151" s="2" t="s">
        <v>588</v>
      </c>
      <c r="C151" s="2" t="s">
        <v>404</v>
      </c>
      <c r="D151" s="2"/>
      <c r="E151" s="2" t="s">
        <v>589</v>
      </c>
      <c r="F151" s="2" t="s">
        <v>289</v>
      </c>
      <c r="G151" s="2" t="s">
        <v>473</v>
      </c>
      <c r="H151" s="2" t="s">
        <v>355</v>
      </c>
      <c r="I151" s="2" t="n">
        <v>52.6627754868232</v>
      </c>
      <c r="J151" s="2" t="n">
        <v>-8.61066629413951</v>
      </c>
      <c r="K151" s="2" t="n">
        <v>7</v>
      </c>
      <c r="L151" s="2" t="s">
        <v>145</v>
      </c>
      <c r="M151" s="2" t="s">
        <v>92</v>
      </c>
      <c r="N151" s="2" t="s">
        <v>96</v>
      </c>
      <c r="O151" s="2" t="s">
        <v>97</v>
      </c>
      <c r="P151" s="2" t="s">
        <v>98</v>
      </c>
      <c r="Q151" s="2" t="s">
        <v>407</v>
      </c>
      <c r="R151" s="2" t="s">
        <v>103</v>
      </c>
      <c r="S151" s="6" t="n">
        <v>42800</v>
      </c>
      <c r="T151" s="6"/>
      <c r="U151" s="2" t="s">
        <v>85</v>
      </c>
      <c r="V151" s="2" t="s">
        <v>85</v>
      </c>
      <c r="W151" s="6"/>
      <c r="X151" s="6" t="n">
        <v>43367</v>
      </c>
      <c r="Y151" s="2" t="s">
        <v>104</v>
      </c>
      <c r="Z151" s="2" t="n">
        <v>1</v>
      </c>
      <c r="AA151" s="2" t="n">
        <v>7</v>
      </c>
      <c r="AB151" s="6"/>
      <c r="AC151" s="2" t="n">
        <v>1</v>
      </c>
      <c r="AD151" s="2" t="n">
        <v>7</v>
      </c>
      <c r="AE151" s="7"/>
      <c r="AF151" s="7"/>
      <c r="AG151" s="7"/>
      <c r="AH151" s="7"/>
      <c r="AI151" s="2" t="s">
        <v>86</v>
      </c>
      <c r="AJ151" s="2"/>
      <c r="AK151" s="2"/>
      <c r="AL151" s="2"/>
      <c r="AM151" s="2"/>
      <c r="AN151" s="2"/>
      <c r="AO151" s="2"/>
      <c r="AP151" s="2"/>
      <c r="AQ151" s="2"/>
    </row>
    <row r="152" customFormat="false" ht="15" hidden="false" customHeight="false" outlineLevel="0" collapsed="false">
      <c r="A152" s="2" t="s">
        <v>590</v>
      </c>
      <c r="B152" s="2" t="s">
        <v>590</v>
      </c>
      <c r="C152" s="2" t="s">
        <v>404</v>
      </c>
      <c r="D152" s="2"/>
      <c r="E152" s="2" t="s">
        <v>591</v>
      </c>
      <c r="F152" s="2" t="s">
        <v>289</v>
      </c>
      <c r="G152" s="2" t="s">
        <v>473</v>
      </c>
      <c r="H152" s="2" t="s">
        <v>355</v>
      </c>
      <c r="I152" s="2" t="n">
        <v>52.6664074044628</v>
      </c>
      <c r="J152" s="2" t="n">
        <v>-8.61611320353195</v>
      </c>
      <c r="K152" s="2" t="n">
        <v>7</v>
      </c>
      <c r="L152" s="2" t="s">
        <v>145</v>
      </c>
      <c r="M152" s="2" t="s">
        <v>95</v>
      </c>
      <c r="N152" s="2" t="s">
        <v>96</v>
      </c>
      <c r="O152" s="2" t="s">
        <v>97</v>
      </c>
      <c r="P152" s="2" t="s">
        <v>98</v>
      </c>
      <c r="Q152" s="2" t="s">
        <v>120</v>
      </c>
      <c r="R152" s="2" t="s">
        <v>120</v>
      </c>
      <c r="S152" s="6" t="n">
        <v>43024</v>
      </c>
      <c r="T152" s="6"/>
      <c r="U152" s="2" t="s">
        <v>85</v>
      </c>
      <c r="V152" s="2" t="s">
        <v>85</v>
      </c>
      <c r="W152" s="6"/>
      <c r="X152" s="6" t="n">
        <v>45657</v>
      </c>
      <c r="Y152" s="2" t="s">
        <v>104</v>
      </c>
      <c r="Z152" s="2" t="n">
        <v>1</v>
      </c>
      <c r="AA152" s="2" t="n">
        <v>7</v>
      </c>
      <c r="AB152" s="6" t="n">
        <v>45976</v>
      </c>
      <c r="AC152" s="2" t="n">
        <v>1</v>
      </c>
      <c r="AD152" s="2" t="n">
        <v>1</v>
      </c>
      <c r="AE152" s="7"/>
      <c r="AF152" s="7"/>
      <c r="AG152" s="7" t="n">
        <v>0.87337440109514</v>
      </c>
      <c r="AH152" s="7" t="n">
        <v>8.01489028213166</v>
      </c>
      <c r="AI152" s="2" t="s">
        <v>86</v>
      </c>
      <c r="AJ152" s="2"/>
      <c r="AK152" s="2"/>
      <c r="AL152" s="2" t="s">
        <v>259</v>
      </c>
      <c r="AM152" s="2" t="s">
        <v>592</v>
      </c>
      <c r="AN152" s="2" t="s">
        <v>196</v>
      </c>
      <c r="AO152" s="2" t="s">
        <v>123</v>
      </c>
      <c r="AP152" s="2" t="s">
        <v>124</v>
      </c>
      <c r="AQ152" s="2" t="s">
        <v>125</v>
      </c>
    </row>
    <row r="153" customFormat="false" ht="15" hidden="false" customHeight="false" outlineLevel="0" collapsed="false">
      <c r="A153" s="2" t="s">
        <v>593</v>
      </c>
      <c r="B153" s="2" t="s">
        <v>593</v>
      </c>
      <c r="C153" s="2" t="s">
        <v>64</v>
      </c>
      <c r="D153" s="2" t="s">
        <v>594</v>
      </c>
      <c r="E153" s="2" t="s">
        <v>595</v>
      </c>
      <c r="F153" s="2" t="s">
        <v>289</v>
      </c>
      <c r="G153" s="2" t="s">
        <v>473</v>
      </c>
      <c r="H153" s="2" t="s">
        <v>474</v>
      </c>
      <c r="I153" s="2" t="n">
        <v>52.6751303523792</v>
      </c>
      <c r="J153" s="2" t="n">
        <v>-8.65459053958535</v>
      </c>
      <c r="K153" s="2" t="n">
        <v>6</v>
      </c>
      <c r="L153" s="2" t="s">
        <v>145</v>
      </c>
      <c r="M153" s="2" t="s">
        <v>83</v>
      </c>
      <c r="N153" s="2" t="s">
        <v>72</v>
      </c>
      <c r="O153" s="2" t="s">
        <v>73</v>
      </c>
      <c r="P153" s="2" t="s">
        <v>73</v>
      </c>
      <c r="Q153" s="2" t="s">
        <v>120</v>
      </c>
      <c r="R153" s="2" t="s">
        <v>120</v>
      </c>
      <c r="S153" s="6" t="n">
        <v>44277</v>
      </c>
      <c r="T153" s="6" t="n">
        <v>44664</v>
      </c>
      <c r="U153" s="2" t="s">
        <v>76</v>
      </c>
      <c r="V153" s="2" t="s">
        <v>85</v>
      </c>
      <c r="W153" s="6" t="n">
        <v>46489</v>
      </c>
      <c r="X153" s="6" t="n">
        <v>45005</v>
      </c>
      <c r="Y153" s="2" t="s">
        <v>104</v>
      </c>
      <c r="Z153" s="2" t="n">
        <v>1</v>
      </c>
      <c r="AA153" s="2" t="n">
        <v>6</v>
      </c>
      <c r="AB153" s="6" t="n">
        <v>45953</v>
      </c>
      <c r="AC153" s="2" t="n">
        <v>1</v>
      </c>
      <c r="AD153" s="2" t="n">
        <v>6</v>
      </c>
      <c r="AE153" s="7" t="n">
        <v>1.05954825462012</v>
      </c>
      <c r="AF153" s="7" t="n">
        <v>0.933607118412047</v>
      </c>
      <c r="AG153" s="7" t="n">
        <v>2.59548254620123</v>
      </c>
      <c r="AH153" s="7" t="n">
        <v>2.31170886075949</v>
      </c>
      <c r="AI153" s="2" t="s">
        <v>86</v>
      </c>
      <c r="AJ153" s="2" t="s">
        <v>87</v>
      </c>
      <c r="AK153" s="2"/>
      <c r="AL153" s="2" t="s">
        <v>64</v>
      </c>
      <c r="AM153" s="2"/>
      <c r="AN153" s="2"/>
      <c r="AO153" s="2"/>
      <c r="AP153" s="2"/>
      <c r="AQ153" s="2"/>
    </row>
    <row r="154" customFormat="false" ht="15" hidden="false" customHeight="false" outlineLevel="0" collapsed="false">
      <c r="A154" s="2" t="s">
        <v>596</v>
      </c>
      <c r="B154" s="2" t="s">
        <v>596</v>
      </c>
      <c r="C154" s="2" t="s">
        <v>64</v>
      </c>
      <c r="D154" s="2" t="s">
        <v>597</v>
      </c>
      <c r="E154" s="2" t="s">
        <v>598</v>
      </c>
      <c r="F154" s="2" t="s">
        <v>82</v>
      </c>
      <c r="G154" s="2" t="s">
        <v>473</v>
      </c>
      <c r="H154" s="2" t="s">
        <v>355</v>
      </c>
      <c r="I154" s="2" t="n">
        <v>52.6652774257167</v>
      </c>
      <c r="J154" s="2" t="n">
        <v>-8.59786008194628</v>
      </c>
      <c r="K154" s="2" t="n">
        <v>6</v>
      </c>
      <c r="L154" s="2" t="s">
        <v>145</v>
      </c>
      <c r="M154" s="2" t="s">
        <v>83</v>
      </c>
      <c r="N154" s="2" t="s">
        <v>72</v>
      </c>
      <c r="O154" s="2" t="s">
        <v>73</v>
      </c>
      <c r="P154" s="2" t="s">
        <v>73</v>
      </c>
      <c r="Q154" s="2" t="s">
        <v>102</v>
      </c>
      <c r="R154" s="2" t="s">
        <v>103</v>
      </c>
      <c r="S154" s="6" t="n">
        <v>44476</v>
      </c>
      <c r="T154" s="6" t="n">
        <v>44733</v>
      </c>
      <c r="U154" s="2" t="s">
        <v>76</v>
      </c>
      <c r="V154" s="2" t="s">
        <v>85</v>
      </c>
      <c r="W154" s="6" t="n">
        <v>46558</v>
      </c>
      <c r="X154" s="6" t="n">
        <v>46066</v>
      </c>
      <c r="Y154" s="2" t="s">
        <v>104</v>
      </c>
      <c r="Z154" s="2" t="n">
        <v>1</v>
      </c>
      <c r="AA154" s="2" t="n">
        <v>6</v>
      </c>
      <c r="AB154" s="6"/>
      <c r="AC154" s="2" t="n">
        <v>0</v>
      </c>
      <c r="AD154" s="2" t="n">
        <v>0</v>
      </c>
      <c r="AE154" s="7" t="n">
        <v>0.70362765229295</v>
      </c>
      <c r="AF154" s="7" t="n">
        <v>3.64955509924709</v>
      </c>
      <c r="AG154" s="7"/>
      <c r="AH154" s="7"/>
      <c r="AI154" s="2" t="s">
        <v>86</v>
      </c>
      <c r="AJ154" s="2" t="s">
        <v>87</v>
      </c>
      <c r="AK154" s="2"/>
      <c r="AL154" s="2"/>
      <c r="AM154" s="2"/>
      <c r="AN154" s="2"/>
      <c r="AO154" s="2"/>
      <c r="AP154" s="2"/>
      <c r="AQ154" s="2"/>
    </row>
    <row r="155" customFormat="false" ht="15" hidden="false" customHeight="false" outlineLevel="0" collapsed="false">
      <c r="A155" s="2" t="s">
        <v>599</v>
      </c>
      <c r="B155" s="2" t="s">
        <v>599</v>
      </c>
      <c r="C155" s="2" t="s">
        <v>64</v>
      </c>
      <c r="D155" s="2" t="s">
        <v>600</v>
      </c>
      <c r="E155" s="2" t="s">
        <v>601</v>
      </c>
      <c r="F155" s="2" t="s">
        <v>82</v>
      </c>
      <c r="G155" s="2" t="s">
        <v>473</v>
      </c>
      <c r="H155" s="2" t="s">
        <v>474</v>
      </c>
      <c r="I155" s="2" t="n">
        <v>52.6824332</v>
      </c>
      <c r="J155" s="2" t="n">
        <v>-8.6566413</v>
      </c>
      <c r="K155" s="2" t="n">
        <v>6</v>
      </c>
      <c r="L155" s="2" t="s">
        <v>145</v>
      </c>
      <c r="M155" s="2" t="s">
        <v>92</v>
      </c>
      <c r="N155" s="2" t="s">
        <v>96</v>
      </c>
      <c r="O155" s="2" t="s">
        <v>97</v>
      </c>
      <c r="P155" s="2" t="s">
        <v>98</v>
      </c>
      <c r="Q155" s="2" t="s">
        <v>120</v>
      </c>
      <c r="R155" s="2" t="s">
        <v>120</v>
      </c>
      <c r="S155" s="6" t="n">
        <v>45292</v>
      </c>
      <c r="T155" s="6" t="n">
        <v>45416</v>
      </c>
      <c r="U155" s="2" t="s">
        <v>85</v>
      </c>
      <c r="V155" s="2" t="s">
        <v>85</v>
      </c>
      <c r="W155" s="6"/>
      <c r="X155" s="6" t="n">
        <v>45523</v>
      </c>
      <c r="Y155" s="2" t="s">
        <v>136</v>
      </c>
      <c r="Z155" s="2" t="n">
        <v>0</v>
      </c>
      <c r="AA155" s="2" t="n">
        <v>0</v>
      </c>
      <c r="AB155" s="6" t="n">
        <v>46000</v>
      </c>
      <c r="AC155" s="2" t="n">
        <v>0</v>
      </c>
      <c r="AD155" s="2" t="n">
        <v>0</v>
      </c>
      <c r="AE155" s="7" t="n">
        <v>0.339493497604381</v>
      </c>
      <c r="AF155" s="7" t="n">
        <v>0.292950034223135</v>
      </c>
      <c r="AG155" s="7" t="n">
        <v>1.30595482546201</v>
      </c>
      <c r="AH155" s="7" t="n">
        <v>4.59433962264151</v>
      </c>
      <c r="AI155" s="2" t="s">
        <v>86</v>
      </c>
      <c r="AJ155" s="2" t="s">
        <v>87</v>
      </c>
      <c r="AK155" s="2"/>
      <c r="AL155" s="2" t="s">
        <v>64</v>
      </c>
      <c r="AM155" s="2"/>
      <c r="AN155" s="2"/>
      <c r="AO155" s="2"/>
      <c r="AP155" s="2"/>
      <c r="AQ155" s="2"/>
    </row>
    <row r="156" customFormat="false" ht="15" hidden="false" customHeight="false" outlineLevel="0" collapsed="false">
      <c r="A156" s="2" t="s">
        <v>602</v>
      </c>
      <c r="B156" s="2" t="s">
        <v>602</v>
      </c>
      <c r="C156" s="2" t="s">
        <v>64</v>
      </c>
      <c r="D156" s="2" t="s">
        <v>603</v>
      </c>
      <c r="E156" s="2" t="s">
        <v>604</v>
      </c>
      <c r="F156" s="2" t="s">
        <v>289</v>
      </c>
      <c r="G156" s="2" t="s">
        <v>473</v>
      </c>
      <c r="H156" s="2" t="s">
        <v>537</v>
      </c>
      <c r="I156" s="2" t="n">
        <v>52.68509014</v>
      </c>
      <c r="J156" s="2" t="n">
        <v>-8.6231185</v>
      </c>
      <c r="K156" s="2" t="n">
        <v>6</v>
      </c>
      <c r="L156" s="2" t="s">
        <v>145</v>
      </c>
      <c r="M156" s="2" t="s">
        <v>95</v>
      </c>
      <c r="N156" s="2" t="s">
        <v>96</v>
      </c>
      <c r="O156" s="2" t="s">
        <v>97</v>
      </c>
      <c r="P156" s="2" t="s">
        <v>98</v>
      </c>
      <c r="Q156" s="2" t="s">
        <v>272</v>
      </c>
      <c r="R156" s="2" t="s">
        <v>273</v>
      </c>
      <c r="S156" s="6" t="n">
        <v>46094</v>
      </c>
      <c r="T156" s="6"/>
      <c r="U156" s="2" t="s">
        <v>85</v>
      </c>
      <c r="V156" s="2" t="s">
        <v>85</v>
      </c>
      <c r="W156" s="6"/>
      <c r="X156" s="6"/>
      <c r="Y156" s="2"/>
      <c r="Z156" s="2" t="n">
        <v>0</v>
      </c>
      <c r="AA156" s="2" t="n">
        <v>0</v>
      </c>
      <c r="AB156" s="6"/>
      <c r="AC156" s="2" t="n">
        <v>0</v>
      </c>
      <c r="AD156" s="2" t="n">
        <v>0</v>
      </c>
      <c r="AE156" s="7"/>
      <c r="AF156" s="7"/>
      <c r="AG156" s="7"/>
      <c r="AH156" s="7"/>
      <c r="AI156" s="2" t="s">
        <v>86</v>
      </c>
      <c r="AJ156" s="2" t="s">
        <v>87</v>
      </c>
      <c r="AK156" s="2"/>
      <c r="AL156" s="2"/>
      <c r="AM156" s="2"/>
      <c r="AN156" s="2"/>
      <c r="AO156" s="2"/>
      <c r="AP156" s="2"/>
      <c r="AQ156" s="2"/>
    </row>
    <row r="157" customFormat="false" ht="15" hidden="false" customHeight="false" outlineLevel="0" collapsed="false">
      <c r="A157" s="2" t="s">
        <v>605</v>
      </c>
      <c r="B157" s="2" t="s">
        <v>605</v>
      </c>
      <c r="C157" s="2" t="s">
        <v>64</v>
      </c>
      <c r="D157" s="2" t="s">
        <v>606</v>
      </c>
      <c r="E157" s="2" t="s">
        <v>607</v>
      </c>
      <c r="F157" s="2" t="s">
        <v>289</v>
      </c>
      <c r="G157" s="2" t="s">
        <v>473</v>
      </c>
      <c r="H157" s="2" t="s">
        <v>474</v>
      </c>
      <c r="I157" s="2" t="n">
        <v>52.67321896</v>
      </c>
      <c r="J157" s="2" t="n">
        <v>-8.6711213</v>
      </c>
      <c r="K157" s="2" t="n">
        <v>6</v>
      </c>
      <c r="L157" s="2" t="s">
        <v>145</v>
      </c>
      <c r="M157" s="2" t="s">
        <v>83</v>
      </c>
      <c r="N157" s="2" t="s">
        <v>96</v>
      </c>
      <c r="O157" s="2" t="s">
        <v>97</v>
      </c>
      <c r="P157" s="2" t="s">
        <v>98</v>
      </c>
      <c r="Q157" s="2" t="s">
        <v>272</v>
      </c>
      <c r="R157" s="2" t="s">
        <v>273</v>
      </c>
      <c r="S157" s="6" t="n">
        <v>46094</v>
      </c>
      <c r="T157" s="6"/>
      <c r="U157" s="2" t="s">
        <v>85</v>
      </c>
      <c r="V157" s="2" t="s">
        <v>85</v>
      </c>
      <c r="W157" s="6"/>
      <c r="X157" s="6"/>
      <c r="Y157" s="2"/>
      <c r="Z157" s="2" t="n">
        <v>0</v>
      </c>
      <c r="AA157" s="2" t="n">
        <v>0</v>
      </c>
      <c r="AB157" s="6"/>
      <c r="AC157" s="2" t="n">
        <v>0</v>
      </c>
      <c r="AD157" s="2" t="n">
        <v>0</v>
      </c>
      <c r="AE157" s="7"/>
      <c r="AF157" s="7"/>
      <c r="AG157" s="7"/>
      <c r="AH157" s="7"/>
      <c r="AI157" s="2" t="s">
        <v>86</v>
      </c>
      <c r="AJ157" s="2" t="s">
        <v>87</v>
      </c>
      <c r="AK157" s="2"/>
      <c r="AL157" s="2"/>
      <c r="AM157" s="2" t="s">
        <v>608</v>
      </c>
      <c r="AN157" s="2" t="s">
        <v>196</v>
      </c>
      <c r="AO157" s="2" t="s">
        <v>609</v>
      </c>
      <c r="AP157" s="2" t="s">
        <v>208</v>
      </c>
      <c r="AQ157" s="2" t="s">
        <v>125</v>
      </c>
    </row>
    <row r="158" customFormat="false" ht="15" hidden="false" customHeight="false" outlineLevel="0" collapsed="false">
      <c r="A158" s="2" t="s">
        <v>610</v>
      </c>
      <c r="B158" s="2" t="s">
        <v>610</v>
      </c>
      <c r="C158" s="2" t="s">
        <v>64</v>
      </c>
      <c r="D158" s="2" t="s">
        <v>611</v>
      </c>
      <c r="E158" s="2" t="s">
        <v>612</v>
      </c>
      <c r="F158" s="2" t="s">
        <v>289</v>
      </c>
      <c r="G158" s="2" t="s">
        <v>473</v>
      </c>
      <c r="H158" s="2" t="s">
        <v>474</v>
      </c>
      <c r="I158" s="2" t="n">
        <v>52.6756356876471</v>
      </c>
      <c r="J158" s="2" t="n">
        <v>-8.63363453233696</v>
      </c>
      <c r="K158" s="2" t="n">
        <v>6</v>
      </c>
      <c r="L158" s="2" t="s">
        <v>145</v>
      </c>
      <c r="M158" s="2" t="s">
        <v>95</v>
      </c>
      <c r="N158" s="2" t="s">
        <v>96</v>
      </c>
      <c r="O158" s="2" t="s">
        <v>97</v>
      </c>
      <c r="P158" s="2" t="s">
        <v>98</v>
      </c>
      <c r="Q158" s="2" t="s">
        <v>272</v>
      </c>
      <c r="R158" s="2" t="s">
        <v>273</v>
      </c>
      <c r="S158" s="6" t="n">
        <v>45533</v>
      </c>
      <c r="T158" s="6"/>
      <c r="U158" s="2" t="s">
        <v>85</v>
      </c>
      <c r="V158" s="2" t="s">
        <v>85</v>
      </c>
      <c r="W158" s="6"/>
      <c r="X158" s="6"/>
      <c r="Y158" s="2"/>
      <c r="Z158" s="2" t="n">
        <v>0</v>
      </c>
      <c r="AA158" s="2" t="n">
        <v>0</v>
      </c>
      <c r="AB158" s="6"/>
      <c r="AC158" s="2" t="n">
        <v>0</v>
      </c>
      <c r="AD158" s="2" t="n">
        <v>0</v>
      </c>
      <c r="AE158" s="7"/>
      <c r="AF158" s="7"/>
      <c r="AG158" s="7"/>
      <c r="AH158" s="7"/>
      <c r="AI158" s="2" t="s">
        <v>77</v>
      </c>
      <c r="AJ158" s="2" t="s">
        <v>78</v>
      </c>
      <c r="AK158" s="2"/>
      <c r="AL158" s="2"/>
      <c r="AM158" s="2" t="s">
        <v>613</v>
      </c>
      <c r="AN158" s="2" t="s">
        <v>196</v>
      </c>
      <c r="AO158" s="2" t="s">
        <v>190</v>
      </c>
      <c r="AP158" s="2" t="s">
        <v>124</v>
      </c>
      <c r="AQ158" s="2" t="s">
        <v>125</v>
      </c>
    </row>
    <row r="159" customFormat="false" ht="15" hidden="false" customHeight="false" outlineLevel="0" collapsed="false">
      <c r="A159" s="2" t="s">
        <v>614</v>
      </c>
      <c r="B159" s="2" t="s">
        <v>614</v>
      </c>
      <c r="C159" s="2" t="s">
        <v>64</v>
      </c>
      <c r="D159" s="2" t="s">
        <v>615</v>
      </c>
      <c r="E159" s="2" t="s">
        <v>616</v>
      </c>
      <c r="F159" s="2" t="s">
        <v>82</v>
      </c>
      <c r="G159" s="2" t="s">
        <v>473</v>
      </c>
      <c r="H159" s="2" t="s">
        <v>474</v>
      </c>
      <c r="I159" s="2" t="n">
        <v>52.6747870415717</v>
      </c>
      <c r="J159" s="2" t="n">
        <v>-8.63885268964482</v>
      </c>
      <c r="K159" s="2" t="n">
        <v>5</v>
      </c>
      <c r="L159" s="2" t="s">
        <v>145</v>
      </c>
      <c r="M159" s="2" t="s">
        <v>92</v>
      </c>
      <c r="N159" s="2" t="s">
        <v>96</v>
      </c>
      <c r="O159" s="2" t="s">
        <v>97</v>
      </c>
      <c r="P159" s="2" t="s">
        <v>98</v>
      </c>
      <c r="Q159" s="2" t="s">
        <v>120</v>
      </c>
      <c r="R159" s="2" t="s">
        <v>120</v>
      </c>
      <c r="S159" s="6" t="n">
        <v>43290</v>
      </c>
      <c r="T159" s="6" t="n">
        <v>43343</v>
      </c>
      <c r="U159" s="2" t="s">
        <v>85</v>
      </c>
      <c r="V159" s="2" t="s">
        <v>85</v>
      </c>
      <c r="W159" s="6"/>
      <c r="X159" s="6" t="n">
        <v>44032</v>
      </c>
      <c r="Y159" s="2" t="s">
        <v>104</v>
      </c>
      <c r="Z159" s="2" t="n">
        <v>1</v>
      </c>
      <c r="AA159" s="2" t="n">
        <v>5</v>
      </c>
      <c r="AB159" s="6" t="n">
        <v>44307</v>
      </c>
      <c r="AC159" s="2" t="n">
        <v>1</v>
      </c>
      <c r="AD159" s="2" t="n">
        <v>1</v>
      </c>
      <c r="AE159" s="7" t="n">
        <v>0.145106091718001</v>
      </c>
      <c r="AF159" s="7" t="n">
        <v>1.88637919233402</v>
      </c>
      <c r="AG159" s="7" t="n">
        <v>0.752908966461328</v>
      </c>
      <c r="AH159" s="7" t="n">
        <v>6.64090909090909</v>
      </c>
      <c r="AI159" s="2" t="s">
        <v>86</v>
      </c>
      <c r="AJ159" s="2" t="s">
        <v>87</v>
      </c>
      <c r="AK159" s="2"/>
      <c r="AL159" s="2" t="s">
        <v>64</v>
      </c>
      <c r="AM159" s="2"/>
      <c r="AN159" s="2"/>
      <c r="AO159" s="2"/>
      <c r="AP159" s="2"/>
      <c r="AQ159" s="2"/>
    </row>
    <row r="160" customFormat="false" ht="15" hidden="false" customHeight="false" outlineLevel="0" collapsed="false">
      <c r="A160" s="2" t="s">
        <v>617</v>
      </c>
      <c r="B160" s="2" t="s">
        <v>617</v>
      </c>
      <c r="C160" s="2" t="s">
        <v>404</v>
      </c>
      <c r="D160" s="2"/>
      <c r="E160" s="2" t="s">
        <v>618</v>
      </c>
      <c r="F160" s="2" t="s">
        <v>289</v>
      </c>
      <c r="G160" s="2" t="s">
        <v>473</v>
      </c>
      <c r="H160" s="2" t="s">
        <v>474</v>
      </c>
      <c r="I160" s="2" t="n">
        <v>52.6725036356397</v>
      </c>
      <c r="J160" s="2" t="n">
        <v>-8.63455998885831</v>
      </c>
      <c r="K160" s="2" t="n">
        <v>5</v>
      </c>
      <c r="L160" s="2" t="s">
        <v>145</v>
      </c>
      <c r="M160" s="2" t="s">
        <v>83</v>
      </c>
      <c r="N160" s="2" t="s">
        <v>96</v>
      </c>
      <c r="O160" s="2" t="s">
        <v>97</v>
      </c>
      <c r="P160" s="2" t="s">
        <v>98</v>
      </c>
      <c r="Q160" s="2" t="s">
        <v>74</v>
      </c>
      <c r="R160" s="2" t="s">
        <v>75</v>
      </c>
      <c r="S160" s="6" t="n">
        <v>43206</v>
      </c>
      <c r="T160" s="6" t="n">
        <v>43264</v>
      </c>
      <c r="U160" s="2" t="s">
        <v>85</v>
      </c>
      <c r="V160" s="2" t="s">
        <v>85</v>
      </c>
      <c r="W160" s="6"/>
      <c r="X160" s="6"/>
      <c r="Y160" s="2"/>
      <c r="Z160" s="2" t="n">
        <v>0</v>
      </c>
      <c r="AA160" s="2" t="n">
        <v>0</v>
      </c>
      <c r="AB160" s="6"/>
      <c r="AC160" s="2" t="n">
        <v>0</v>
      </c>
      <c r="AD160" s="2" t="n">
        <v>0</v>
      </c>
      <c r="AE160" s="7" t="n">
        <v>0.158795345653662</v>
      </c>
      <c r="AF160" s="7"/>
      <c r="AG160" s="7"/>
      <c r="AH160" s="7"/>
      <c r="AI160" s="2" t="s">
        <v>86</v>
      </c>
      <c r="AJ160" s="2"/>
      <c r="AK160" s="2"/>
      <c r="AL160" s="2"/>
      <c r="AM160" s="2"/>
      <c r="AN160" s="2"/>
      <c r="AO160" s="2"/>
      <c r="AP160" s="2"/>
      <c r="AQ160" s="2"/>
    </row>
    <row r="161" customFormat="false" ht="15" hidden="false" customHeight="false" outlineLevel="0" collapsed="false">
      <c r="A161" s="2" t="s">
        <v>619</v>
      </c>
      <c r="B161" s="2" t="s">
        <v>619</v>
      </c>
      <c r="C161" s="2" t="s">
        <v>64</v>
      </c>
      <c r="D161" s="2" t="s">
        <v>620</v>
      </c>
      <c r="E161" s="2" t="s">
        <v>621</v>
      </c>
      <c r="F161" s="2" t="s">
        <v>82</v>
      </c>
      <c r="G161" s="2" t="s">
        <v>473</v>
      </c>
      <c r="H161" s="2" t="s">
        <v>355</v>
      </c>
      <c r="I161" s="2" t="n">
        <v>52.6670511461566</v>
      </c>
      <c r="J161" s="2" t="n">
        <v>-8.59369509196009</v>
      </c>
      <c r="K161" s="2" t="n">
        <v>4</v>
      </c>
      <c r="L161" s="2" t="s">
        <v>145</v>
      </c>
      <c r="M161" s="2" t="s">
        <v>83</v>
      </c>
      <c r="N161" s="2" t="s">
        <v>72</v>
      </c>
      <c r="O161" s="2" t="s">
        <v>73</v>
      </c>
      <c r="P161" s="2" t="s">
        <v>73</v>
      </c>
      <c r="Q161" s="2" t="s">
        <v>74</v>
      </c>
      <c r="R161" s="2" t="s">
        <v>156</v>
      </c>
      <c r="S161" s="6" t="n">
        <v>44068</v>
      </c>
      <c r="T161" s="6" t="n">
        <v>44434</v>
      </c>
      <c r="U161" s="2" t="s">
        <v>76</v>
      </c>
      <c r="V161" s="2" t="s">
        <v>85</v>
      </c>
      <c r="W161" s="6" t="n">
        <v>46259</v>
      </c>
      <c r="X161" s="6"/>
      <c r="Y161" s="2"/>
      <c r="Z161" s="2" t="n">
        <v>0</v>
      </c>
      <c r="AA161" s="2" t="n">
        <v>0</v>
      </c>
      <c r="AB161" s="6"/>
      <c r="AC161" s="2" t="n">
        <v>0</v>
      </c>
      <c r="AD161" s="2" t="n">
        <v>0</v>
      </c>
      <c r="AE161" s="7" t="n">
        <v>1.00205338809035</v>
      </c>
      <c r="AF161" s="7"/>
      <c r="AG161" s="7"/>
      <c r="AH161" s="7"/>
      <c r="AI161" s="2" t="s">
        <v>86</v>
      </c>
      <c r="AJ161" s="2" t="s">
        <v>87</v>
      </c>
      <c r="AK161" s="2"/>
      <c r="AL161" s="2"/>
      <c r="AM161" s="2"/>
      <c r="AN161" s="2"/>
      <c r="AO161" s="2"/>
      <c r="AP161" s="2"/>
      <c r="AQ161" s="2"/>
    </row>
    <row r="162" customFormat="false" ht="15" hidden="false" customHeight="false" outlineLevel="0" collapsed="false">
      <c r="A162" s="2" t="s">
        <v>622</v>
      </c>
      <c r="B162" s="2" t="s">
        <v>622</v>
      </c>
      <c r="C162" s="2" t="s">
        <v>64</v>
      </c>
      <c r="D162" s="2" t="s">
        <v>623</v>
      </c>
      <c r="E162" s="2" t="s">
        <v>624</v>
      </c>
      <c r="F162" s="2" t="s">
        <v>82</v>
      </c>
      <c r="G162" s="2" t="s">
        <v>473</v>
      </c>
      <c r="H162" s="2" t="s">
        <v>406</v>
      </c>
      <c r="I162" s="2" t="n">
        <v>52.662574219697</v>
      </c>
      <c r="J162" s="2" t="n">
        <v>-8.61954365365873</v>
      </c>
      <c r="K162" s="2" t="n">
        <v>4</v>
      </c>
      <c r="L162" s="2" t="s">
        <v>145</v>
      </c>
      <c r="M162" s="2" t="s">
        <v>95</v>
      </c>
      <c r="N162" s="2" t="s">
        <v>72</v>
      </c>
      <c r="O162" s="2" t="s">
        <v>119</v>
      </c>
      <c r="P162" s="2" t="s">
        <v>98</v>
      </c>
      <c r="Q162" s="2" t="s">
        <v>74</v>
      </c>
      <c r="R162" s="2" t="s">
        <v>75</v>
      </c>
      <c r="S162" s="6" t="n">
        <v>45077</v>
      </c>
      <c r="T162" s="6" t="n">
        <v>45154</v>
      </c>
      <c r="U162" s="2" t="s">
        <v>85</v>
      </c>
      <c r="V162" s="2" t="s">
        <v>85</v>
      </c>
      <c r="W162" s="6" t="n">
        <v>46980</v>
      </c>
      <c r="X162" s="6"/>
      <c r="Y162" s="2"/>
      <c r="Z162" s="2" t="n">
        <v>0</v>
      </c>
      <c r="AA162" s="2" t="n">
        <v>0</v>
      </c>
      <c r="AB162" s="6"/>
      <c r="AC162" s="2" t="n">
        <v>0</v>
      </c>
      <c r="AD162" s="2" t="n">
        <v>0</v>
      </c>
      <c r="AE162" s="7" t="n">
        <v>0.210814510609172</v>
      </c>
      <c r="AF162" s="7"/>
      <c r="AG162" s="7"/>
      <c r="AH162" s="7"/>
      <c r="AI162" s="2" t="s">
        <v>86</v>
      </c>
      <c r="AJ162" s="2" t="s">
        <v>87</v>
      </c>
      <c r="AK162" s="2"/>
      <c r="AL162" s="2"/>
      <c r="AM162" s="2"/>
      <c r="AN162" s="2"/>
      <c r="AO162" s="2"/>
      <c r="AP162" s="2"/>
      <c r="AQ162" s="2"/>
    </row>
    <row r="163" customFormat="false" ht="15" hidden="false" customHeight="false" outlineLevel="0" collapsed="false">
      <c r="A163" s="2" t="s">
        <v>625</v>
      </c>
      <c r="B163" s="2" t="s">
        <v>625</v>
      </c>
      <c r="C163" s="2" t="s">
        <v>404</v>
      </c>
      <c r="D163" s="2"/>
      <c r="E163" s="2" t="s">
        <v>626</v>
      </c>
      <c r="F163" s="2" t="s">
        <v>289</v>
      </c>
      <c r="G163" s="2" t="s">
        <v>473</v>
      </c>
      <c r="H163" s="2" t="s">
        <v>406</v>
      </c>
      <c r="I163" s="2" t="n">
        <v>52.6581737513066</v>
      </c>
      <c r="J163" s="2" t="n">
        <v>-8.61058688915201</v>
      </c>
      <c r="K163" s="2" t="n">
        <v>3</v>
      </c>
      <c r="L163" s="2" t="s">
        <v>145</v>
      </c>
      <c r="M163" s="2" t="s">
        <v>83</v>
      </c>
      <c r="N163" s="2" t="s">
        <v>96</v>
      </c>
      <c r="O163" s="2" t="s">
        <v>97</v>
      </c>
      <c r="P163" s="2" t="s">
        <v>98</v>
      </c>
      <c r="Q163" s="2" t="s">
        <v>407</v>
      </c>
      <c r="R163" s="2" t="s">
        <v>103</v>
      </c>
      <c r="S163" s="6" t="n">
        <v>43752</v>
      </c>
      <c r="T163" s="6" t="n">
        <v>43811</v>
      </c>
      <c r="U163" s="2" t="s">
        <v>85</v>
      </c>
      <c r="V163" s="2" t="s">
        <v>85</v>
      </c>
      <c r="W163" s="6"/>
      <c r="X163" s="6" t="n">
        <v>43942</v>
      </c>
      <c r="Y163" s="2" t="s">
        <v>104</v>
      </c>
      <c r="Z163" s="2" t="n">
        <v>1</v>
      </c>
      <c r="AA163" s="2" t="n">
        <v>3</v>
      </c>
      <c r="AB163" s="6"/>
      <c r="AC163" s="2" t="n">
        <v>1</v>
      </c>
      <c r="AD163" s="2" t="n">
        <v>2</v>
      </c>
      <c r="AE163" s="7" t="n">
        <v>0.161533196440794</v>
      </c>
      <c r="AF163" s="7" t="n">
        <v>0.358658453114305</v>
      </c>
      <c r="AG163" s="7"/>
      <c r="AH163" s="7"/>
      <c r="AI163" s="2" t="s">
        <v>86</v>
      </c>
      <c r="AJ163" s="2"/>
      <c r="AK163" s="2"/>
      <c r="AL163" s="2"/>
      <c r="AM163" s="2"/>
      <c r="AN163" s="2"/>
      <c r="AO163" s="2"/>
      <c r="AP163" s="2"/>
      <c r="AQ163" s="2"/>
    </row>
    <row r="164" customFormat="false" ht="15" hidden="false" customHeight="false" outlineLevel="0" collapsed="false">
      <c r="A164" s="2"/>
      <c r="B164" s="2"/>
      <c r="C164" s="2" t="s">
        <v>64</v>
      </c>
      <c r="D164" s="2" t="s">
        <v>627</v>
      </c>
      <c r="E164" s="2" t="s">
        <v>628</v>
      </c>
      <c r="F164" s="2" t="s">
        <v>289</v>
      </c>
      <c r="G164" s="2" t="s">
        <v>473</v>
      </c>
      <c r="H164" s="2" t="s">
        <v>474</v>
      </c>
      <c r="I164" s="2" t="n">
        <v>52.6802431</v>
      </c>
      <c r="J164" s="2" t="n">
        <v>-8.6482002</v>
      </c>
      <c r="K164" s="2" t="n">
        <v>0</v>
      </c>
      <c r="L164" s="2" t="s">
        <v>92</v>
      </c>
      <c r="M164" s="2" t="s">
        <v>92</v>
      </c>
      <c r="N164" s="2" t="s">
        <v>72</v>
      </c>
      <c r="O164" s="2" t="s">
        <v>97</v>
      </c>
      <c r="P164" s="2" t="s">
        <v>98</v>
      </c>
      <c r="Q164" s="2" t="s">
        <v>84</v>
      </c>
      <c r="R164" s="2" t="s">
        <v>75</v>
      </c>
      <c r="S164" s="6"/>
      <c r="T164" s="6"/>
      <c r="U164" s="2" t="s">
        <v>85</v>
      </c>
      <c r="V164" s="2" t="s">
        <v>85</v>
      </c>
      <c r="W164" s="6"/>
      <c r="X164" s="6"/>
      <c r="Y164" s="2"/>
      <c r="Z164" s="2" t="n">
        <v>0</v>
      </c>
      <c r="AA164" s="2" t="n">
        <v>0</v>
      </c>
      <c r="AB164" s="6"/>
      <c r="AC164" s="2" t="n">
        <v>0</v>
      </c>
      <c r="AD164" s="2" t="n">
        <v>0</v>
      </c>
      <c r="AE164" s="7"/>
      <c r="AF164" s="7"/>
      <c r="AG164" s="7"/>
      <c r="AH164" s="7"/>
      <c r="AI164" s="2" t="s">
        <v>86</v>
      </c>
      <c r="AJ164" s="2" t="s">
        <v>87</v>
      </c>
      <c r="AK164" s="2"/>
      <c r="AL164" s="2"/>
      <c r="AM164" s="2"/>
      <c r="AN164" s="2"/>
      <c r="AO164" s="2"/>
      <c r="AP164" s="2"/>
      <c r="AQ164" s="2"/>
    </row>
    <row r="165" customFormat="false" ht="15" hidden="false" customHeight="false" outlineLevel="0" collapsed="false">
      <c r="A165" s="2" t="s">
        <v>629</v>
      </c>
      <c r="B165" s="2" t="s">
        <v>629</v>
      </c>
      <c r="C165" s="2" t="s">
        <v>64</v>
      </c>
      <c r="D165" s="2" t="s">
        <v>630</v>
      </c>
      <c r="E165" s="2" t="s">
        <v>631</v>
      </c>
      <c r="F165" s="2" t="s">
        <v>82</v>
      </c>
      <c r="G165" s="2" t="s">
        <v>473</v>
      </c>
      <c r="H165" s="2" t="s">
        <v>355</v>
      </c>
      <c r="I165" s="2" t="n">
        <v>52.6645137597806</v>
      </c>
      <c r="J165" s="2" t="n">
        <v>-8.61452957340762</v>
      </c>
      <c r="K165" s="2"/>
      <c r="L165" s="2" t="s">
        <v>92</v>
      </c>
      <c r="M165" s="2" t="s">
        <v>297</v>
      </c>
      <c r="N165" s="2" t="s">
        <v>72</v>
      </c>
      <c r="O165" s="2" t="s">
        <v>73</v>
      </c>
      <c r="P165" s="2" t="s">
        <v>73</v>
      </c>
      <c r="Q165" s="2" t="s">
        <v>74</v>
      </c>
      <c r="R165" s="2" t="s">
        <v>75</v>
      </c>
      <c r="S165" s="6" t="n">
        <v>45986</v>
      </c>
      <c r="T165" s="6" t="n">
        <v>46231</v>
      </c>
      <c r="U165" s="2" t="s">
        <v>76</v>
      </c>
      <c r="V165" s="2" t="s">
        <v>76</v>
      </c>
      <c r="W165" s="6" t="n">
        <v>48056</v>
      </c>
      <c r="X165" s="6"/>
      <c r="Y165" s="2"/>
      <c r="Z165" s="2" t="n">
        <v>0</v>
      </c>
      <c r="AA165" s="2" t="n">
        <v>0</v>
      </c>
      <c r="AB165" s="6"/>
      <c r="AC165" s="2" t="n">
        <v>0</v>
      </c>
      <c r="AD165" s="2" t="n">
        <v>0</v>
      </c>
      <c r="AE165" s="7" t="n">
        <v>0.670773442847365</v>
      </c>
      <c r="AF165" s="7"/>
      <c r="AG165" s="7"/>
      <c r="AH165" s="7"/>
      <c r="AI165" s="2" t="s">
        <v>86</v>
      </c>
      <c r="AJ165" s="2" t="s">
        <v>87</v>
      </c>
      <c r="AK165" s="2"/>
      <c r="AL165" s="2"/>
      <c r="AM165" s="2"/>
      <c r="AN165" s="2"/>
      <c r="AO165" s="2"/>
      <c r="AP165" s="2"/>
      <c r="AQ165" s="2"/>
    </row>
    <row r="166" customFormat="false" ht="15" hidden="false" customHeight="false" outlineLevel="0" collapsed="false">
      <c r="A166" s="2" t="s">
        <v>632</v>
      </c>
      <c r="B166" s="2" t="s">
        <v>632</v>
      </c>
      <c r="C166" s="2" t="s">
        <v>64</v>
      </c>
      <c r="D166" s="2" t="s">
        <v>633</v>
      </c>
      <c r="E166" s="2" t="s">
        <v>634</v>
      </c>
      <c r="F166" s="2" t="s">
        <v>289</v>
      </c>
      <c r="G166" s="2" t="s">
        <v>635</v>
      </c>
      <c r="H166" s="2" t="s">
        <v>636</v>
      </c>
      <c r="I166" s="2" t="n">
        <v>52.6397853854414</v>
      </c>
      <c r="J166" s="2" t="n">
        <v>-8.67028031812828</v>
      </c>
      <c r="K166" s="2" t="n">
        <v>384</v>
      </c>
      <c r="L166" s="2" t="s">
        <v>292</v>
      </c>
      <c r="M166" s="2" t="s">
        <v>71</v>
      </c>
      <c r="N166" s="2" t="s">
        <v>308</v>
      </c>
      <c r="O166" s="2" t="s">
        <v>73</v>
      </c>
      <c r="P166" s="2" t="s">
        <v>73</v>
      </c>
      <c r="Q166" s="2" t="s">
        <v>263</v>
      </c>
      <c r="R166" s="2" t="s">
        <v>103</v>
      </c>
      <c r="S166" s="6" t="n">
        <v>44645</v>
      </c>
      <c r="T166" s="6" t="n">
        <v>44742</v>
      </c>
      <c r="U166" s="2" t="s">
        <v>85</v>
      </c>
      <c r="V166" s="2" t="s">
        <v>85</v>
      </c>
      <c r="W166" s="6" t="n">
        <v>48394</v>
      </c>
      <c r="X166" s="6" t="n">
        <v>45406</v>
      </c>
      <c r="Y166" s="2" t="s">
        <v>104</v>
      </c>
      <c r="Z166" s="2" t="n">
        <v>3</v>
      </c>
      <c r="AA166" s="2" t="n">
        <v>116</v>
      </c>
      <c r="AB166" s="6"/>
      <c r="AC166" s="2" t="n">
        <v>0</v>
      </c>
      <c r="AD166" s="2" t="n">
        <v>0</v>
      </c>
      <c r="AE166" s="7" t="n">
        <v>0.265571526351814</v>
      </c>
      <c r="AF166" s="7" t="n">
        <v>1.81793292265572</v>
      </c>
      <c r="AG166" s="7"/>
      <c r="AH166" s="7"/>
      <c r="AI166" s="2" t="s">
        <v>86</v>
      </c>
      <c r="AJ166" s="2" t="s">
        <v>87</v>
      </c>
      <c r="AK166" s="2"/>
      <c r="AL166" s="2"/>
      <c r="AM166" s="2"/>
      <c r="AN166" s="2"/>
      <c r="AO166" s="2"/>
      <c r="AP166" s="2"/>
      <c r="AQ166" s="2"/>
    </row>
    <row r="167" customFormat="false" ht="15" hidden="false" customHeight="false" outlineLevel="0" collapsed="false">
      <c r="A167" s="2" t="s">
        <v>637</v>
      </c>
      <c r="B167" s="2" t="s">
        <v>637</v>
      </c>
      <c r="C167" s="2" t="s">
        <v>64</v>
      </c>
      <c r="D167" s="2" t="s">
        <v>638</v>
      </c>
      <c r="E167" s="2" t="s">
        <v>639</v>
      </c>
      <c r="F167" s="2" t="s">
        <v>82</v>
      </c>
      <c r="G167" s="2" t="s">
        <v>635</v>
      </c>
      <c r="H167" s="2" t="s">
        <v>640</v>
      </c>
      <c r="I167" s="2" t="n">
        <v>52.6467007958778</v>
      </c>
      <c r="J167" s="2" t="n">
        <v>-8.65141922042392</v>
      </c>
      <c r="K167" s="2" t="n">
        <v>371</v>
      </c>
      <c r="L167" s="2" t="s">
        <v>292</v>
      </c>
      <c r="M167" s="2" t="s">
        <v>71</v>
      </c>
      <c r="N167" s="2" t="s">
        <v>308</v>
      </c>
      <c r="O167" s="2" t="s">
        <v>73</v>
      </c>
      <c r="P167" s="2" t="s">
        <v>73</v>
      </c>
      <c r="Q167" s="2" t="s">
        <v>102</v>
      </c>
      <c r="R167" s="2" t="s">
        <v>103</v>
      </c>
      <c r="S167" s="6" t="n">
        <v>44476</v>
      </c>
      <c r="T167" s="6" t="n">
        <v>44650</v>
      </c>
      <c r="U167" s="2" t="s">
        <v>85</v>
      </c>
      <c r="V167" s="2" t="s">
        <v>85</v>
      </c>
      <c r="W167" s="6" t="n">
        <v>46475</v>
      </c>
      <c r="X167" s="6" t="n">
        <v>45138</v>
      </c>
      <c r="Y167" s="2" t="s">
        <v>104</v>
      </c>
      <c r="Z167" s="2" t="n">
        <v>19</v>
      </c>
      <c r="AA167" s="2" t="n">
        <v>241</v>
      </c>
      <c r="AB167" s="6"/>
      <c r="AC167" s="2" t="n">
        <v>21</v>
      </c>
      <c r="AD167" s="2" t="n">
        <v>38</v>
      </c>
      <c r="AE167" s="7" t="n">
        <v>0.476386036960986</v>
      </c>
      <c r="AF167" s="7" t="n">
        <v>1.33607118412047</v>
      </c>
      <c r="AG167" s="7"/>
      <c r="AH167" s="7"/>
      <c r="AI167" s="2" t="s">
        <v>86</v>
      </c>
      <c r="AJ167" s="2" t="s">
        <v>87</v>
      </c>
      <c r="AK167" s="2"/>
      <c r="AL167" s="2"/>
      <c r="AM167" s="2"/>
      <c r="AN167" s="2"/>
      <c r="AO167" s="2"/>
      <c r="AP167" s="2"/>
      <c r="AQ167" s="2"/>
    </row>
    <row r="168" customFormat="false" ht="15" hidden="false" customHeight="false" outlineLevel="0" collapsed="false">
      <c r="A168" s="2" t="s">
        <v>641</v>
      </c>
      <c r="B168" s="2" t="s">
        <v>641</v>
      </c>
      <c r="C168" s="2" t="s">
        <v>64</v>
      </c>
      <c r="D168" s="2" t="s">
        <v>642</v>
      </c>
      <c r="E168" s="2" t="s">
        <v>643</v>
      </c>
      <c r="F168" s="2" t="s">
        <v>289</v>
      </c>
      <c r="G168" s="2" t="s">
        <v>635</v>
      </c>
      <c r="H168" s="2" t="s">
        <v>406</v>
      </c>
      <c r="I168" s="2" t="n">
        <v>52.6589827340802</v>
      </c>
      <c r="J168" s="2" t="n">
        <v>-8.63697656893807</v>
      </c>
      <c r="K168" s="2" t="n">
        <v>285</v>
      </c>
      <c r="L168" s="2" t="s">
        <v>292</v>
      </c>
      <c r="M168" s="2" t="s">
        <v>95</v>
      </c>
      <c r="N168" s="2" t="s">
        <v>293</v>
      </c>
      <c r="O168" s="2" t="s">
        <v>644</v>
      </c>
      <c r="P168" s="2" t="s">
        <v>98</v>
      </c>
      <c r="Q168" s="2" t="s">
        <v>188</v>
      </c>
      <c r="R168" s="2" t="s">
        <v>75</v>
      </c>
      <c r="S168" s="6" t="n">
        <v>45876</v>
      </c>
      <c r="T168" s="6" t="n">
        <v>46064</v>
      </c>
      <c r="U168" s="2" t="s">
        <v>76</v>
      </c>
      <c r="V168" s="2" t="s">
        <v>85</v>
      </c>
      <c r="W168" s="6" t="n">
        <v>47889</v>
      </c>
      <c r="X168" s="6"/>
      <c r="Y168" s="2"/>
      <c r="Z168" s="2" t="n">
        <v>0</v>
      </c>
      <c r="AA168" s="2" t="n">
        <v>0</v>
      </c>
      <c r="AB168" s="6"/>
      <c r="AC168" s="2" t="n">
        <v>0</v>
      </c>
      <c r="AD168" s="2" t="n">
        <v>0</v>
      </c>
      <c r="AE168" s="7" t="n">
        <v>0.514715947980835</v>
      </c>
      <c r="AF168" s="7"/>
      <c r="AG168" s="7"/>
      <c r="AH168" s="7"/>
      <c r="AI168" s="2" t="s">
        <v>86</v>
      </c>
      <c r="AJ168" s="2" t="s">
        <v>87</v>
      </c>
      <c r="AK168" s="2"/>
      <c r="AL168" s="2"/>
      <c r="AM168" s="2"/>
      <c r="AN168" s="2"/>
      <c r="AO168" s="2"/>
      <c r="AP168" s="2"/>
      <c r="AQ168" s="2"/>
    </row>
    <row r="169" customFormat="false" ht="15" hidden="false" customHeight="false" outlineLevel="0" collapsed="false">
      <c r="A169" s="2" t="s">
        <v>645</v>
      </c>
      <c r="B169" s="2" t="s">
        <v>645</v>
      </c>
      <c r="C169" s="2" t="s">
        <v>64</v>
      </c>
      <c r="D169" s="2" t="s">
        <v>646</v>
      </c>
      <c r="E169" s="2" t="s">
        <v>647</v>
      </c>
      <c r="F169" s="2" t="s">
        <v>648</v>
      </c>
      <c r="G169" s="2" t="s">
        <v>635</v>
      </c>
      <c r="H169" s="2" t="s">
        <v>636</v>
      </c>
      <c r="I169" s="2" t="n">
        <v>52.629687577304</v>
      </c>
      <c r="J169" s="2" t="n">
        <v>-8.67738681327131</v>
      </c>
      <c r="K169" s="2" t="n">
        <v>250</v>
      </c>
      <c r="L169" s="2" t="s">
        <v>292</v>
      </c>
      <c r="M169" s="2" t="s">
        <v>71</v>
      </c>
      <c r="N169" s="2" t="s">
        <v>96</v>
      </c>
      <c r="O169" s="2" t="s">
        <v>97</v>
      </c>
      <c r="P169" s="2" t="s">
        <v>98</v>
      </c>
      <c r="Q169" s="2" t="s">
        <v>102</v>
      </c>
      <c r="R169" s="2" t="s">
        <v>103</v>
      </c>
      <c r="S169" s="6" t="n">
        <v>44230</v>
      </c>
      <c r="T169" s="6" t="n">
        <v>44390</v>
      </c>
      <c r="U169" s="2" t="s">
        <v>85</v>
      </c>
      <c r="V169" s="2" t="s">
        <v>85</v>
      </c>
      <c r="W169" s="6"/>
      <c r="X169" s="6" t="n">
        <v>46232</v>
      </c>
      <c r="Y169" s="2" t="s">
        <v>104</v>
      </c>
      <c r="Z169" s="2" t="n">
        <v>1</v>
      </c>
      <c r="AA169" s="2" t="n">
        <v>99</v>
      </c>
      <c r="AB169" s="6"/>
      <c r="AC169" s="2" t="n">
        <v>0</v>
      </c>
      <c r="AD169" s="2" t="n">
        <v>0</v>
      </c>
      <c r="AE169" s="7" t="n">
        <v>0.438056125941136</v>
      </c>
      <c r="AF169" s="7" t="n">
        <v>5.04312114989733</v>
      </c>
      <c r="AG169" s="7"/>
      <c r="AH169" s="7"/>
      <c r="AI169" s="2" t="s">
        <v>86</v>
      </c>
      <c r="AJ169" s="2" t="s">
        <v>87</v>
      </c>
      <c r="AK169" s="2" t="s">
        <v>174</v>
      </c>
      <c r="AL169" s="2"/>
      <c r="AM169" s="2"/>
      <c r="AN169" s="2"/>
      <c r="AO169" s="2"/>
      <c r="AP169" s="2"/>
      <c r="AQ169" s="2"/>
    </row>
    <row r="170" customFormat="false" ht="15" hidden="false" customHeight="false" outlineLevel="0" collapsed="false">
      <c r="A170" s="2" t="s">
        <v>649</v>
      </c>
      <c r="B170" s="2" t="s">
        <v>649</v>
      </c>
      <c r="C170" s="2" t="s">
        <v>64</v>
      </c>
      <c r="D170" s="2" t="s">
        <v>650</v>
      </c>
      <c r="E170" s="2" t="s">
        <v>651</v>
      </c>
      <c r="F170" s="2" t="s">
        <v>648</v>
      </c>
      <c r="G170" s="2" t="s">
        <v>635</v>
      </c>
      <c r="H170" s="2" t="s">
        <v>636</v>
      </c>
      <c r="I170" s="2" t="n">
        <v>52.6311570306477</v>
      </c>
      <c r="J170" s="2" t="n">
        <v>-8.69029876927336</v>
      </c>
      <c r="K170" s="2" t="n">
        <v>182</v>
      </c>
      <c r="L170" s="2" t="s">
        <v>292</v>
      </c>
      <c r="M170" s="2" t="s">
        <v>71</v>
      </c>
      <c r="N170" s="2" t="s">
        <v>293</v>
      </c>
      <c r="O170" s="2" t="s">
        <v>73</v>
      </c>
      <c r="P170" s="2" t="s">
        <v>73</v>
      </c>
      <c r="Q170" s="2" t="s">
        <v>74</v>
      </c>
      <c r="R170" s="2" t="s">
        <v>75</v>
      </c>
      <c r="S170" s="6" t="n">
        <v>46120</v>
      </c>
      <c r="T170" s="6" t="n">
        <v>46280</v>
      </c>
      <c r="U170" s="2" t="s">
        <v>76</v>
      </c>
      <c r="V170" s="2" t="s">
        <v>85</v>
      </c>
      <c r="W170" s="6" t="n">
        <v>48106</v>
      </c>
      <c r="X170" s="6"/>
      <c r="Y170" s="2"/>
      <c r="Z170" s="2" t="n">
        <v>0</v>
      </c>
      <c r="AA170" s="2" t="n">
        <v>0</v>
      </c>
      <c r="AB170" s="6"/>
      <c r="AC170" s="2" t="n">
        <v>0</v>
      </c>
      <c r="AD170" s="2" t="n">
        <v>0</v>
      </c>
      <c r="AE170" s="7" t="n">
        <v>0.438056125941136</v>
      </c>
      <c r="AF170" s="7"/>
      <c r="AG170" s="7"/>
      <c r="AH170" s="7"/>
      <c r="AI170" s="2" t="s">
        <v>86</v>
      </c>
      <c r="AJ170" s="2" t="s">
        <v>87</v>
      </c>
      <c r="AK170" s="2"/>
      <c r="AL170" s="2"/>
      <c r="AM170" s="2"/>
      <c r="AN170" s="2"/>
      <c r="AO170" s="2"/>
      <c r="AP170" s="2"/>
      <c r="AQ170" s="2"/>
    </row>
    <row r="171" customFormat="false" ht="15" hidden="false" customHeight="false" outlineLevel="0" collapsed="false">
      <c r="A171" s="2" t="s">
        <v>652</v>
      </c>
      <c r="B171" s="2" t="s">
        <v>652</v>
      </c>
      <c r="C171" s="2" t="s">
        <v>64</v>
      </c>
      <c r="D171" s="2" t="s">
        <v>646</v>
      </c>
      <c r="E171" s="2" t="s">
        <v>653</v>
      </c>
      <c r="F171" s="2" t="s">
        <v>648</v>
      </c>
      <c r="G171" s="2" t="s">
        <v>635</v>
      </c>
      <c r="H171" s="2" t="s">
        <v>636</v>
      </c>
      <c r="I171" s="2" t="n">
        <v>52.6285370886678</v>
      </c>
      <c r="J171" s="2" t="n">
        <v>-8.67852113679766</v>
      </c>
      <c r="K171" s="2" t="n">
        <v>169</v>
      </c>
      <c r="L171" s="2" t="s">
        <v>292</v>
      </c>
      <c r="M171" s="2" t="s">
        <v>71</v>
      </c>
      <c r="N171" s="2" t="s">
        <v>293</v>
      </c>
      <c r="O171" s="2" t="s">
        <v>73</v>
      </c>
      <c r="P171" s="2" t="s">
        <v>73</v>
      </c>
      <c r="Q171" s="2" t="s">
        <v>74</v>
      </c>
      <c r="R171" s="2" t="s">
        <v>75</v>
      </c>
      <c r="S171" s="6" t="n">
        <v>45986</v>
      </c>
      <c r="T171" s="6" t="n">
        <v>46233</v>
      </c>
      <c r="U171" s="2" t="s">
        <v>76</v>
      </c>
      <c r="V171" s="2" t="s">
        <v>85</v>
      </c>
      <c r="W171" s="6" t="n">
        <v>48059</v>
      </c>
      <c r="X171" s="6"/>
      <c r="Y171" s="2"/>
      <c r="Z171" s="2" t="n">
        <v>0</v>
      </c>
      <c r="AA171" s="2" t="n">
        <v>0</v>
      </c>
      <c r="AB171" s="6"/>
      <c r="AC171" s="2" t="n">
        <v>0</v>
      </c>
      <c r="AD171" s="2" t="n">
        <v>0</v>
      </c>
      <c r="AE171" s="7" t="n">
        <v>0.676249144421629</v>
      </c>
      <c r="AF171" s="7"/>
      <c r="AG171" s="7"/>
      <c r="AH171" s="7"/>
      <c r="AI171" s="2" t="s">
        <v>77</v>
      </c>
      <c r="AJ171" s="2" t="s">
        <v>78</v>
      </c>
      <c r="AK171" s="2"/>
      <c r="AL171" s="2"/>
      <c r="AM171" s="2"/>
      <c r="AN171" s="2"/>
      <c r="AO171" s="2"/>
      <c r="AP171" s="2"/>
      <c r="AQ171" s="2"/>
    </row>
    <row r="172" customFormat="false" ht="15" hidden="false" customHeight="false" outlineLevel="0" collapsed="false">
      <c r="A172" s="2" t="s">
        <v>654</v>
      </c>
      <c r="B172" s="2" t="s">
        <v>654</v>
      </c>
      <c r="C172" s="2" t="s">
        <v>64</v>
      </c>
      <c r="D172" s="2" t="s">
        <v>655</v>
      </c>
      <c r="E172" s="2" t="s">
        <v>656</v>
      </c>
      <c r="F172" s="2" t="s">
        <v>648</v>
      </c>
      <c r="G172" s="2" t="s">
        <v>635</v>
      </c>
      <c r="H172" s="2" t="s">
        <v>636</v>
      </c>
      <c r="I172" s="2" t="n">
        <v>52.6363509588369</v>
      </c>
      <c r="J172" s="2" t="n">
        <v>-8.69753632662881</v>
      </c>
      <c r="K172" s="2" t="n">
        <v>139</v>
      </c>
      <c r="L172" s="2" t="s">
        <v>292</v>
      </c>
      <c r="M172" s="2" t="s">
        <v>71</v>
      </c>
      <c r="N172" s="2" t="s">
        <v>293</v>
      </c>
      <c r="O172" s="2" t="s">
        <v>73</v>
      </c>
      <c r="P172" s="2" t="s">
        <v>73</v>
      </c>
      <c r="Q172" s="2" t="s">
        <v>74</v>
      </c>
      <c r="R172" s="2" t="s">
        <v>75</v>
      </c>
      <c r="S172" s="6" t="n">
        <v>45645</v>
      </c>
      <c r="T172" s="6" t="n">
        <v>45924</v>
      </c>
      <c r="U172" s="2" t="s">
        <v>76</v>
      </c>
      <c r="V172" s="2" t="s">
        <v>76</v>
      </c>
      <c r="W172" s="6" t="n">
        <v>47749</v>
      </c>
      <c r="X172" s="6"/>
      <c r="Y172" s="2"/>
      <c r="Z172" s="2" t="n">
        <v>0</v>
      </c>
      <c r="AA172" s="2" t="n">
        <v>0</v>
      </c>
      <c r="AB172" s="6"/>
      <c r="AC172" s="2" t="n">
        <v>0</v>
      </c>
      <c r="AD172" s="2" t="n">
        <v>0</v>
      </c>
      <c r="AE172" s="7" t="n">
        <v>0.763860369609856</v>
      </c>
      <c r="AF172" s="7"/>
      <c r="AG172" s="7"/>
      <c r="AH172" s="7"/>
      <c r="AI172" s="2" t="s">
        <v>86</v>
      </c>
      <c r="AJ172" s="2" t="s">
        <v>87</v>
      </c>
      <c r="AK172" s="2"/>
      <c r="AL172" s="2"/>
      <c r="AM172" s="2"/>
      <c r="AN172" s="2"/>
      <c r="AO172" s="2"/>
      <c r="AP172" s="2"/>
      <c r="AQ172" s="2"/>
    </row>
    <row r="173" customFormat="false" ht="15" hidden="false" customHeight="false" outlineLevel="0" collapsed="false">
      <c r="A173" s="2" t="s">
        <v>657</v>
      </c>
      <c r="B173" s="2" t="s">
        <v>657</v>
      </c>
      <c r="C173" s="2" t="s">
        <v>64</v>
      </c>
      <c r="D173" s="2" t="s">
        <v>658</v>
      </c>
      <c r="E173" s="2" t="s">
        <v>659</v>
      </c>
      <c r="F173" s="2" t="s">
        <v>289</v>
      </c>
      <c r="G173" s="2" t="s">
        <v>635</v>
      </c>
      <c r="H173" s="2" t="s">
        <v>636</v>
      </c>
      <c r="I173" s="2" t="n">
        <v>52.6282417276837</v>
      </c>
      <c r="J173" s="2" t="n">
        <v>-8.66363605733817</v>
      </c>
      <c r="K173" s="2" t="n">
        <v>104</v>
      </c>
      <c r="L173" s="2" t="s">
        <v>292</v>
      </c>
      <c r="M173" s="2" t="s">
        <v>95</v>
      </c>
      <c r="N173" s="2" t="s">
        <v>72</v>
      </c>
      <c r="O173" s="2" t="s">
        <v>73</v>
      </c>
      <c r="P173" s="2" t="s">
        <v>73</v>
      </c>
      <c r="Q173" s="2" t="s">
        <v>188</v>
      </c>
      <c r="R173" s="2" t="s">
        <v>75</v>
      </c>
      <c r="S173" s="6" t="n">
        <v>45194</v>
      </c>
      <c r="T173" s="6" t="n">
        <v>45761</v>
      </c>
      <c r="U173" s="2" t="s">
        <v>76</v>
      </c>
      <c r="V173" s="2" t="s">
        <v>76</v>
      </c>
      <c r="W173" s="6" t="n">
        <v>47586</v>
      </c>
      <c r="X173" s="6"/>
      <c r="Y173" s="2"/>
      <c r="Z173" s="2" t="n">
        <v>0</v>
      </c>
      <c r="AA173" s="2" t="n">
        <v>0</v>
      </c>
      <c r="AB173" s="6"/>
      <c r="AC173" s="2" t="n">
        <v>0</v>
      </c>
      <c r="AD173" s="2" t="n">
        <v>0</v>
      </c>
      <c r="AE173" s="7" t="n">
        <v>1.5523613963039</v>
      </c>
      <c r="AF173" s="7"/>
      <c r="AG173" s="7"/>
      <c r="AH173" s="7"/>
      <c r="AI173" s="2" t="s">
        <v>86</v>
      </c>
      <c r="AJ173" s="2" t="s">
        <v>87</v>
      </c>
      <c r="AK173" s="2"/>
      <c r="AL173" s="2"/>
      <c r="AM173" s="2"/>
      <c r="AN173" s="2"/>
      <c r="AO173" s="2"/>
      <c r="AP173" s="2"/>
      <c r="AQ173" s="2"/>
    </row>
    <row r="174" customFormat="false" ht="15" hidden="false" customHeight="false" outlineLevel="0" collapsed="false">
      <c r="A174" s="2" t="s">
        <v>660</v>
      </c>
      <c r="B174" s="2" t="s">
        <v>660</v>
      </c>
      <c r="C174" s="2" t="s">
        <v>64</v>
      </c>
      <c r="D174" s="2" t="s">
        <v>661</v>
      </c>
      <c r="E174" s="2" t="s">
        <v>662</v>
      </c>
      <c r="F174" s="2" t="s">
        <v>648</v>
      </c>
      <c r="G174" s="2" t="s">
        <v>635</v>
      </c>
      <c r="H174" s="2" t="s">
        <v>636</v>
      </c>
      <c r="I174" s="2" t="n">
        <v>52.6309513616349</v>
      </c>
      <c r="J174" s="2" t="n">
        <v>-8.67369828026406</v>
      </c>
      <c r="K174" s="2" t="n">
        <v>101</v>
      </c>
      <c r="L174" s="2" t="s">
        <v>292</v>
      </c>
      <c r="M174" s="2" t="s">
        <v>71</v>
      </c>
      <c r="N174" s="2" t="s">
        <v>72</v>
      </c>
      <c r="O174" s="2" t="s">
        <v>73</v>
      </c>
      <c r="P174" s="2" t="s">
        <v>73</v>
      </c>
      <c r="Q174" s="2" t="s">
        <v>102</v>
      </c>
      <c r="R174" s="2" t="s">
        <v>103</v>
      </c>
      <c r="S174" s="6" t="n">
        <v>44438</v>
      </c>
      <c r="T174" s="6" t="n">
        <v>45135</v>
      </c>
      <c r="U174" s="2" t="s">
        <v>76</v>
      </c>
      <c r="V174" s="2" t="s">
        <v>76</v>
      </c>
      <c r="W174" s="6" t="n">
        <v>46961</v>
      </c>
      <c r="X174" s="6" t="n">
        <v>45335</v>
      </c>
      <c r="Y174" s="2" t="s">
        <v>104</v>
      </c>
      <c r="Z174" s="2" t="n">
        <v>9</v>
      </c>
      <c r="AA174" s="2" t="n">
        <v>106</v>
      </c>
      <c r="AB174" s="6"/>
      <c r="AC174" s="2" t="n">
        <v>11</v>
      </c>
      <c r="AD174" s="2" t="n">
        <v>12</v>
      </c>
      <c r="AE174" s="7" t="n">
        <v>1.90828199863108</v>
      </c>
      <c r="AF174" s="7" t="n">
        <v>0.54757015742642</v>
      </c>
      <c r="AG174" s="7"/>
      <c r="AH174" s="7"/>
      <c r="AI174" s="2" t="s">
        <v>77</v>
      </c>
      <c r="AJ174" s="2" t="s">
        <v>78</v>
      </c>
      <c r="AK174" s="2"/>
      <c r="AL174" s="2"/>
      <c r="AM174" s="2"/>
      <c r="AN174" s="2"/>
      <c r="AO174" s="2"/>
      <c r="AP174" s="2"/>
      <c r="AQ174" s="2"/>
    </row>
    <row r="175" customFormat="false" ht="15" hidden="false" customHeight="false" outlineLevel="0" collapsed="false">
      <c r="A175" s="2" t="s">
        <v>663</v>
      </c>
      <c r="B175" s="2" t="s">
        <v>663</v>
      </c>
      <c r="C175" s="2" t="s">
        <v>64</v>
      </c>
      <c r="D175" s="2" t="s">
        <v>661</v>
      </c>
      <c r="E175" s="2" t="s">
        <v>664</v>
      </c>
      <c r="F175" s="2" t="s">
        <v>648</v>
      </c>
      <c r="G175" s="2" t="s">
        <v>635</v>
      </c>
      <c r="H175" s="2" t="s">
        <v>636</v>
      </c>
      <c r="I175" s="2" t="n">
        <v>52.6303189607185</v>
      </c>
      <c r="J175" s="2" t="n">
        <v>-8.67222517041046</v>
      </c>
      <c r="K175" s="2" t="n">
        <v>99</v>
      </c>
      <c r="L175" s="2" t="s">
        <v>70</v>
      </c>
      <c r="M175" s="2" t="s">
        <v>71</v>
      </c>
      <c r="N175" s="2" t="s">
        <v>72</v>
      </c>
      <c r="O175" s="2" t="s">
        <v>73</v>
      </c>
      <c r="P175" s="2" t="s">
        <v>73</v>
      </c>
      <c r="Q175" s="2" t="s">
        <v>330</v>
      </c>
      <c r="R175" s="2" t="s">
        <v>103</v>
      </c>
      <c r="S175" s="6" t="n">
        <v>44438</v>
      </c>
      <c r="T175" s="6" t="n">
        <v>45135</v>
      </c>
      <c r="U175" s="2" t="s">
        <v>76</v>
      </c>
      <c r="V175" s="2" t="s">
        <v>76</v>
      </c>
      <c r="W175" s="6" t="n">
        <v>46961</v>
      </c>
      <c r="X175" s="6" t="n">
        <v>45402</v>
      </c>
      <c r="Y175" s="2" t="s">
        <v>104</v>
      </c>
      <c r="Z175" s="2" t="n">
        <v>7</v>
      </c>
      <c r="AA175" s="2" t="n">
        <v>99</v>
      </c>
      <c r="AB175" s="6"/>
      <c r="AC175" s="2" t="n">
        <v>3</v>
      </c>
      <c r="AD175" s="2" t="n">
        <v>5</v>
      </c>
      <c r="AE175" s="7" t="n">
        <v>1.90828199863108</v>
      </c>
      <c r="AF175" s="7" t="n">
        <v>0.731006160164271</v>
      </c>
      <c r="AG175" s="7"/>
      <c r="AH175" s="7"/>
      <c r="AI175" s="2" t="s">
        <v>77</v>
      </c>
      <c r="AJ175" s="2" t="s">
        <v>78</v>
      </c>
      <c r="AK175" s="2"/>
      <c r="AL175" s="2"/>
      <c r="AM175" s="2"/>
      <c r="AN175" s="2"/>
      <c r="AO175" s="2"/>
      <c r="AP175" s="2"/>
      <c r="AQ175" s="2"/>
    </row>
    <row r="176" customFormat="false" ht="15" hidden="false" customHeight="false" outlineLevel="0" collapsed="false">
      <c r="A176" s="2" t="s">
        <v>665</v>
      </c>
      <c r="B176" s="2" t="s">
        <v>665</v>
      </c>
      <c r="C176" s="2" t="s">
        <v>64</v>
      </c>
      <c r="D176" s="2" t="s">
        <v>666</v>
      </c>
      <c r="E176" s="2" t="s">
        <v>667</v>
      </c>
      <c r="F176" s="2" t="s">
        <v>648</v>
      </c>
      <c r="G176" s="2" t="s">
        <v>635</v>
      </c>
      <c r="H176" s="2" t="s">
        <v>636</v>
      </c>
      <c r="I176" s="2" t="n">
        <v>52.6359095903037</v>
      </c>
      <c r="J176" s="2" t="n">
        <v>-8.67934826473946</v>
      </c>
      <c r="K176" s="2" t="n">
        <v>96</v>
      </c>
      <c r="L176" s="2" t="s">
        <v>70</v>
      </c>
      <c r="M176" s="2" t="s">
        <v>71</v>
      </c>
      <c r="N176" s="2" t="s">
        <v>72</v>
      </c>
      <c r="O176" s="2" t="s">
        <v>73</v>
      </c>
      <c r="P176" s="2" t="s">
        <v>73</v>
      </c>
      <c r="Q176" s="2" t="s">
        <v>102</v>
      </c>
      <c r="R176" s="2" t="s">
        <v>103</v>
      </c>
      <c r="S176" s="6" t="n">
        <v>44134</v>
      </c>
      <c r="T176" s="6" t="n">
        <v>44343</v>
      </c>
      <c r="U176" s="2" t="s">
        <v>76</v>
      </c>
      <c r="V176" s="2" t="s">
        <v>85</v>
      </c>
      <c r="W176" s="6" t="n">
        <v>47308</v>
      </c>
      <c r="X176" s="6" t="n">
        <v>46119</v>
      </c>
      <c r="Y176" s="2" t="s">
        <v>136</v>
      </c>
      <c r="Z176" s="2" t="n">
        <v>0</v>
      </c>
      <c r="AA176" s="2" t="n">
        <v>0</v>
      </c>
      <c r="AB176" s="6"/>
      <c r="AC176" s="2" t="n">
        <v>0</v>
      </c>
      <c r="AD176" s="2" t="n">
        <v>0</v>
      </c>
      <c r="AE176" s="7" t="n">
        <v>0.572210814510609</v>
      </c>
      <c r="AF176" s="7" t="n">
        <v>4.86242299794661</v>
      </c>
      <c r="AG176" s="7"/>
      <c r="AH176" s="7"/>
      <c r="AI176" s="2" t="s">
        <v>77</v>
      </c>
      <c r="AJ176" s="2" t="s">
        <v>78</v>
      </c>
      <c r="AK176" s="2"/>
      <c r="AL176" s="2"/>
      <c r="AM176" s="2"/>
      <c r="AN176" s="2"/>
      <c r="AO176" s="2"/>
      <c r="AP176" s="2"/>
      <c r="AQ176" s="2"/>
    </row>
    <row r="177" customFormat="false" ht="15" hidden="false" customHeight="false" outlineLevel="0" collapsed="false">
      <c r="A177" s="2" t="s">
        <v>668</v>
      </c>
      <c r="B177" s="2" t="s">
        <v>668</v>
      </c>
      <c r="C177" s="2" t="s">
        <v>64</v>
      </c>
      <c r="D177" s="2" t="s">
        <v>666</v>
      </c>
      <c r="E177" s="2" t="s">
        <v>669</v>
      </c>
      <c r="F177" s="2" t="s">
        <v>648</v>
      </c>
      <c r="G177" s="2" t="s">
        <v>635</v>
      </c>
      <c r="H177" s="2" t="s">
        <v>636</v>
      </c>
      <c r="I177" s="2" t="n">
        <v>52.638449237406</v>
      </c>
      <c r="J177" s="2" t="n">
        <v>-8.67827215696795</v>
      </c>
      <c r="K177" s="2" t="n">
        <v>96</v>
      </c>
      <c r="L177" s="2" t="s">
        <v>70</v>
      </c>
      <c r="M177" s="2" t="s">
        <v>71</v>
      </c>
      <c r="N177" s="2" t="s">
        <v>72</v>
      </c>
      <c r="O177" s="2" t="s">
        <v>73</v>
      </c>
      <c r="P177" s="2" t="s">
        <v>73</v>
      </c>
      <c r="Q177" s="2" t="s">
        <v>263</v>
      </c>
      <c r="R177" s="2" t="s">
        <v>103</v>
      </c>
      <c r="S177" s="6" t="n">
        <v>44134</v>
      </c>
      <c r="T177" s="6" t="n">
        <v>44343</v>
      </c>
      <c r="U177" s="2" t="s">
        <v>76</v>
      </c>
      <c r="V177" s="2" t="s">
        <v>85</v>
      </c>
      <c r="W177" s="6" t="n">
        <v>46168</v>
      </c>
      <c r="X177" s="6" t="n">
        <v>44613</v>
      </c>
      <c r="Y177" s="2" t="s">
        <v>104</v>
      </c>
      <c r="Z177" s="2" t="n">
        <v>1</v>
      </c>
      <c r="AA177" s="2" t="n">
        <v>26</v>
      </c>
      <c r="AB177" s="6"/>
      <c r="AC177" s="2" t="n">
        <v>2</v>
      </c>
      <c r="AD177" s="2" t="n">
        <v>2</v>
      </c>
      <c r="AE177" s="7" t="n">
        <v>0.572210814510609</v>
      </c>
      <c r="AF177" s="7" t="n">
        <v>0.739219712525667</v>
      </c>
      <c r="AG177" s="7"/>
      <c r="AH177" s="7"/>
      <c r="AI177" s="2" t="s">
        <v>77</v>
      </c>
      <c r="AJ177" s="2" t="s">
        <v>78</v>
      </c>
      <c r="AK177" s="2"/>
      <c r="AL177" s="2"/>
      <c r="AM177" s="2"/>
      <c r="AN177" s="2"/>
      <c r="AO177" s="2"/>
      <c r="AP177" s="2"/>
      <c r="AQ177" s="2"/>
    </row>
    <row r="178" customFormat="false" ht="15" hidden="false" customHeight="false" outlineLevel="0" collapsed="false">
      <c r="A178" s="2" t="s">
        <v>670</v>
      </c>
      <c r="B178" s="2" t="s">
        <v>670</v>
      </c>
      <c r="C178" s="2" t="s">
        <v>64</v>
      </c>
      <c r="D178" s="2" t="s">
        <v>671</v>
      </c>
      <c r="E178" s="2" t="s">
        <v>672</v>
      </c>
      <c r="F178" s="2" t="s">
        <v>82</v>
      </c>
      <c r="G178" s="2" t="s">
        <v>635</v>
      </c>
      <c r="H178" s="2" t="s">
        <v>406</v>
      </c>
      <c r="I178" s="2" t="n">
        <v>52.6601636014867</v>
      </c>
      <c r="J178" s="2" t="n">
        <v>-8.62937170220944</v>
      </c>
      <c r="K178" s="2" t="n">
        <v>76</v>
      </c>
      <c r="L178" s="2" t="s">
        <v>70</v>
      </c>
      <c r="M178" s="2" t="s">
        <v>95</v>
      </c>
      <c r="N178" s="2" t="s">
        <v>72</v>
      </c>
      <c r="O178" s="2" t="s">
        <v>73</v>
      </c>
      <c r="P178" s="2" t="s">
        <v>73</v>
      </c>
      <c r="Q178" s="2" t="s">
        <v>74</v>
      </c>
      <c r="R178" s="2" t="s">
        <v>75</v>
      </c>
      <c r="S178" s="6" t="n">
        <v>45989</v>
      </c>
      <c r="T178" s="6" t="n">
        <v>46183</v>
      </c>
      <c r="U178" s="2" t="s">
        <v>76</v>
      </c>
      <c r="V178" s="2" t="s">
        <v>85</v>
      </c>
      <c r="W178" s="6" t="n">
        <v>48008</v>
      </c>
      <c r="X178" s="6"/>
      <c r="Y178" s="2"/>
      <c r="Z178" s="2" t="n">
        <v>0</v>
      </c>
      <c r="AA178" s="2" t="n">
        <v>0</v>
      </c>
      <c r="AB178" s="6"/>
      <c r="AC178" s="2" t="n">
        <v>0</v>
      </c>
      <c r="AD178" s="2" t="n">
        <v>0</v>
      </c>
      <c r="AE178" s="7" t="n">
        <v>0.531143052703628</v>
      </c>
      <c r="AF178" s="7"/>
      <c r="AG178" s="7"/>
      <c r="AH178" s="7"/>
      <c r="AI178" s="2" t="s">
        <v>77</v>
      </c>
      <c r="AJ178" s="2" t="s">
        <v>78</v>
      </c>
      <c r="AK178" s="2"/>
      <c r="AL178" s="2"/>
      <c r="AM178" s="2"/>
      <c r="AN178" s="2"/>
      <c r="AO178" s="2"/>
      <c r="AP178" s="2"/>
      <c r="AQ178" s="2"/>
    </row>
    <row r="179" customFormat="false" ht="15" hidden="false" customHeight="false" outlineLevel="0" collapsed="false">
      <c r="A179" s="2" t="s">
        <v>673</v>
      </c>
      <c r="B179" s="2" t="s">
        <v>673</v>
      </c>
      <c r="C179" s="2" t="s">
        <v>64</v>
      </c>
      <c r="D179" s="2" t="s">
        <v>674</v>
      </c>
      <c r="E179" s="2" t="s">
        <v>675</v>
      </c>
      <c r="F179" s="2" t="s">
        <v>289</v>
      </c>
      <c r="G179" s="2" t="s">
        <v>635</v>
      </c>
      <c r="H179" s="2" t="s">
        <v>636</v>
      </c>
      <c r="I179" s="2" t="n">
        <v>52.635943586934</v>
      </c>
      <c r="J179" s="2" t="n">
        <v>-8.6774305615687</v>
      </c>
      <c r="K179" s="2" t="n">
        <v>66</v>
      </c>
      <c r="L179" s="2" t="s">
        <v>70</v>
      </c>
      <c r="M179" s="2" t="s">
        <v>83</v>
      </c>
      <c r="N179" s="2" t="s">
        <v>72</v>
      </c>
      <c r="O179" s="2" t="s">
        <v>73</v>
      </c>
      <c r="P179" s="2" t="s">
        <v>73</v>
      </c>
      <c r="Q179" s="2" t="s">
        <v>102</v>
      </c>
      <c r="R179" s="2" t="s">
        <v>103</v>
      </c>
      <c r="S179" s="6" t="n">
        <v>45163</v>
      </c>
      <c r="T179" s="6" t="n">
        <v>45306</v>
      </c>
      <c r="U179" s="2" t="s">
        <v>76</v>
      </c>
      <c r="V179" s="2" t="s">
        <v>85</v>
      </c>
      <c r="W179" s="6" t="n">
        <v>47132</v>
      </c>
      <c r="X179" s="6" t="n">
        <v>45404</v>
      </c>
      <c r="Y179" s="2" t="s">
        <v>104</v>
      </c>
      <c r="Z179" s="2" t="n">
        <v>4</v>
      </c>
      <c r="AA179" s="2" t="n">
        <v>66</v>
      </c>
      <c r="AB179" s="6"/>
      <c r="AC179" s="2" t="n">
        <v>8</v>
      </c>
      <c r="AD179" s="2" t="n">
        <v>9</v>
      </c>
      <c r="AE179" s="7" t="n">
        <v>0.391512662559891</v>
      </c>
      <c r="AF179" s="7" t="n">
        <v>0.268309377138946</v>
      </c>
      <c r="AG179" s="7"/>
      <c r="AH179" s="7"/>
      <c r="AI179" s="2" t="s">
        <v>86</v>
      </c>
      <c r="AJ179" s="2" t="s">
        <v>87</v>
      </c>
      <c r="AK179" s="2"/>
      <c r="AL179" s="2"/>
      <c r="AM179" s="2"/>
      <c r="AN179" s="2"/>
      <c r="AO179" s="2"/>
      <c r="AP179" s="2"/>
      <c r="AQ179" s="2"/>
    </row>
    <row r="180" customFormat="false" ht="15" hidden="false" customHeight="false" outlineLevel="0" collapsed="false">
      <c r="A180" s="2" t="s">
        <v>676</v>
      </c>
      <c r="B180" s="2" t="s">
        <v>676</v>
      </c>
      <c r="C180" s="2" t="s">
        <v>64</v>
      </c>
      <c r="D180" s="2" t="s">
        <v>661</v>
      </c>
      <c r="E180" s="2" t="s">
        <v>677</v>
      </c>
      <c r="F180" s="2" t="s">
        <v>648</v>
      </c>
      <c r="G180" s="2" t="s">
        <v>635</v>
      </c>
      <c r="H180" s="2" t="s">
        <v>636</v>
      </c>
      <c r="I180" s="2" t="n">
        <v>52.6318622427054</v>
      </c>
      <c r="J180" s="2" t="n">
        <v>-8.67002866584337</v>
      </c>
      <c r="K180" s="2" t="n">
        <v>66</v>
      </c>
      <c r="L180" s="2" t="s">
        <v>70</v>
      </c>
      <c r="M180" s="2" t="s">
        <v>71</v>
      </c>
      <c r="N180" s="2" t="s">
        <v>72</v>
      </c>
      <c r="O180" s="2" t="s">
        <v>73</v>
      </c>
      <c r="P180" s="2" t="s">
        <v>73</v>
      </c>
      <c r="Q180" s="2" t="s">
        <v>120</v>
      </c>
      <c r="R180" s="2" t="s">
        <v>120</v>
      </c>
      <c r="S180" s="6" t="n">
        <v>44154</v>
      </c>
      <c r="T180" s="6" t="n">
        <v>44370</v>
      </c>
      <c r="U180" s="2" t="s">
        <v>76</v>
      </c>
      <c r="V180" s="2" t="s">
        <v>85</v>
      </c>
      <c r="W180" s="6" t="n">
        <v>46195</v>
      </c>
      <c r="X180" s="6" t="n">
        <v>44659</v>
      </c>
      <c r="Y180" s="2" t="s">
        <v>104</v>
      </c>
      <c r="Z180" s="2" t="n">
        <v>2</v>
      </c>
      <c r="AA180" s="2" t="n">
        <v>66</v>
      </c>
      <c r="AB180" s="6" t="n">
        <v>45232</v>
      </c>
      <c r="AC180" s="2" t="n">
        <v>5</v>
      </c>
      <c r="AD180" s="2" t="n">
        <v>28</v>
      </c>
      <c r="AE180" s="7" t="n">
        <v>0.591375770020534</v>
      </c>
      <c r="AF180" s="7" t="n">
        <v>0.791238877481177</v>
      </c>
      <c r="AG180" s="7" t="n">
        <v>1.56878850102669</v>
      </c>
      <c r="AH180" s="7" t="n">
        <v>42.0706806282723</v>
      </c>
      <c r="AI180" s="2" t="s">
        <v>77</v>
      </c>
      <c r="AJ180" s="2" t="s">
        <v>78</v>
      </c>
      <c r="AK180" s="2"/>
      <c r="AL180" s="2" t="s">
        <v>64</v>
      </c>
      <c r="AM180" s="2"/>
      <c r="AN180" s="2"/>
      <c r="AO180" s="2"/>
      <c r="AP180" s="2"/>
      <c r="AQ180" s="2"/>
    </row>
    <row r="181" customFormat="false" ht="15" hidden="false" customHeight="false" outlineLevel="0" collapsed="false">
      <c r="A181" s="2" t="s">
        <v>678</v>
      </c>
      <c r="B181" s="2" t="s">
        <v>678</v>
      </c>
      <c r="C181" s="2" t="s">
        <v>64</v>
      </c>
      <c r="D181" s="2" t="s">
        <v>679</v>
      </c>
      <c r="E181" s="2" t="s">
        <v>680</v>
      </c>
      <c r="F181" s="2" t="s">
        <v>681</v>
      </c>
      <c r="G181" s="2" t="s">
        <v>635</v>
      </c>
      <c r="H181" s="2" t="s">
        <v>69</v>
      </c>
      <c r="I181" s="2" t="n">
        <v>52.6005277619347</v>
      </c>
      <c r="J181" s="2" t="n">
        <v>-8.70514580090515</v>
      </c>
      <c r="K181" s="2" t="n">
        <v>63</v>
      </c>
      <c r="L181" s="2" t="s">
        <v>70</v>
      </c>
      <c r="M181" s="2" t="s">
        <v>83</v>
      </c>
      <c r="N181" s="2" t="s">
        <v>72</v>
      </c>
      <c r="O181" s="2" t="s">
        <v>73</v>
      </c>
      <c r="P181" s="2" t="s">
        <v>73</v>
      </c>
      <c r="Q181" s="2" t="s">
        <v>74</v>
      </c>
      <c r="R181" s="2" t="s">
        <v>75</v>
      </c>
      <c r="S181" s="6" t="n">
        <v>45713</v>
      </c>
      <c r="T181" s="6" t="n">
        <v>45972</v>
      </c>
      <c r="U181" s="2" t="s">
        <v>76</v>
      </c>
      <c r="V181" s="2" t="s">
        <v>76</v>
      </c>
      <c r="W181" s="6" t="n">
        <v>47797</v>
      </c>
      <c r="X181" s="6"/>
      <c r="Y181" s="2"/>
      <c r="Z181" s="2" t="n">
        <v>0</v>
      </c>
      <c r="AA181" s="2" t="n">
        <v>0</v>
      </c>
      <c r="AB181" s="6"/>
      <c r="AC181" s="2" t="n">
        <v>0</v>
      </c>
      <c r="AD181" s="2" t="n">
        <v>0</v>
      </c>
      <c r="AE181" s="7" t="n">
        <v>0.709103353867214</v>
      </c>
      <c r="AF181" s="7"/>
      <c r="AG181" s="7"/>
      <c r="AH181" s="7"/>
      <c r="AI181" s="2" t="s">
        <v>77</v>
      </c>
      <c r="AJ181" s="2" t="s">
        <v>78</v>
      </c>
      <c r="AK181" s="2"/>
      <c r="AL181" s="2"/>
      <c r="AM181" s="2"/>
      <c r="AN181" s="2"/>
      <c r="AO181" s="2"/>
      <c r="AP181" s="2"/>
      <c r="AQ181" s="2"/>
    </row>
    <row r="182" customFormat="false" ht="15" hidden="false" customHeight="false" outlineLevel="0" collapsed="false">
      <c r="A182" s="2" t="s">
        <v>682</v>
      </c>
      <c r="B182" s="2" t="s">
        <v>682</v>
      </c>
      <c r="C182" s="2" t="s">
        <v>64</v>
      </c>
      <c r="D182" s="2" t="s">
        <v>683</v>
      </c>
      <c r="E182" s="2" t="s">
        <v>684</v>
      </c>
      <c r="F182" s="2" t="s">
        <v>681</v>
      </c>
      <c r="G182" s="2" t="s">
        <v>635</v>
      </c>
      <c r="H182" s="2" t="s">
        <v>69</v>
      </c>
      <c r="I182" s="2" t="n">
        <v>52.5994385834214</v>
      </c>
      <c r="J182" s="2" t="n">
        <v>-8.71224968914897</v>
      </c>
      <c r="K182" s="2" t="n">
        <v>58</v>
      </c>
      <c r="L182" s="2" t="s">
        <v>70</v>
      </c>
      <c r="M182" s="2" t="s">
        <v>83</v>
      </c>
      <c r="N182" s="2" t="s">
        <v>72</v>
      </c>
      <c r="O182" s="2" t="s">
        <v>73</v>
      </c>
      <c r="P182" s="2" t="s">
        <v>73</v>
      </c>
      <c r="Q182" s="2" t="s">
        <v>330</v>
      </c>
      <c r="R182" s="2" t="s">
        <v>103</v>
      </c>
      <c r="S182" s="6" t="n">
        <v>43441</v>
      </c>
      <c r="T182" s="6" t="n">
        <v>43613</v>
      </c>
      <c r="U182" s="2" t="s">
        <v>76</v>
      </c>
      <c r="V182" s="2" t="s">
        <v>85</v>
      </c>
      <c r="W182" s="6" t="n">
        <v>46533</v>
      </c>
      <c r="X182" s="6" t="n">
        <v>45406</v>
      </c>
      <c r="Y182" s="2" t="s">
        <v>104</v>
      </c>
      <c r="Z182" s="2" t="n">
        <v>2</v>
      </c>
      <c r="AA182" s="2" t="n">
        <v>63</v>
      </c>
      <c r="AB182" s="6"/>
      <c r="AC182" s="2" t="n">
        <v>4</v>
      </c>
      <c r="AD182" s="2" t="n">
        <v>7</v>
      </c>
      <c r="AE182" s="7" t="n">
        <v>0.470910335386721</v>
      </c>
      <c r="AF182" s="7" t="n">
        <v>4.90896646132786</v>
      </c>
      <c r="AG182" s="7"/>
      <c r="AH182" s="7"/>
      <c r="AI182" s="2" t="s">
        <v>77</v>
      </c>
      <c r="AJ182" s="2" t="s">
        <v>78</v>
      </c>
      <c r="AK182" s="2"/>
      <c r="AL182" s="2"/>
      <c r="AM182" s="2"/>
      <c r="AN182" s="2"/>
      <c r="AO182" s="2"/>
      <c r="AP182" s="2"/>
      <c r="AQ182" s="2"/>
    </row>
    <row r="183" customFormat="false" ht="15" hidden="false" customHeight="false" outlineLevel="0" collapsed="false">
      <c r="A183" s="2" t="s">
        <v>685</v>
      </c>
      <c r="B183" s="2" t="s">
        <v>685</v>
      </c>
      <c r="C183" s="2" t="s">
        <v>64</v>
      </c>
      <c r="D183" s="2" t="s">
        <v>679</v>
      </c>
      <c r="E183" s="2" t="s">
        <v>686</v>
      </c>
      <c r="F183" s="2" t="s">
        <v>681</v>
      </c>
      <c r="G183" s="2" t="s">
        <v>635</v>
      </c>
      <c r="H183" s="2" t="s">
        <v>69</v>
      </c>
      <c r="I183" s="2" t="n">
        <v>52.6020284161449</v>
      </c>
      <c r="J183" s="2" t="n">
        <v>-8.69916947998682</v>
      </c>
      <c r="K183" s="2" t="n">
        <v>54</v>
      </c>
      <c r="L183" s="2" t="s">
        <v>70</v>
      </c>
      <c r="M183" s="2" t="s">
        <v>83</v>
      </c>
      <c r="N183" s="2" t="s">
        <v>72</v>
      </c>
      <c r="O183" s="2" t="s">
        <v>73</v>
      </c>
      <c r="P183" s="2" t="s">
        <v>73</v>
      </c>
      <c r="Q183" s="2" t="s">
        <v>102</v>
      </c>
      <c r="R183" s="2" t="s">
        <v>103</v>
      </c>
      <c r="S183" s="6" t="n">
        <v>45985</v>
      </c>
      <c r="T183" s="6" t="n">
        <v>46148</v>
      </c>
      <c r="U183" s="2" t="s">
        <v>76</v>
      </c>
      <c r="V183" s="2" t="s">
        <v>85</v>
      </c>
      <c r="W183" s="6" t="n">
        <v>47973</v>
      </c>
      <c r="X183" s="6" t="n">
        <v>46217</v>
      </c>
      <c r="Y183" s="2" t="s">
        <v>104</v>
      </c>
      <c r="Z183" s="2" t="n">
        <v>1</v>
      </c>
      <c r="AA183" s="2" t="n">
        <v>20</v>
      </c>
      <c r="AB183" s="6"/>
      <c r="AC183" s="2" t="n">
        <v>0</v>
      </c>
      <c r="AD183" s="2" t="n">
        <v>0</v>
      </c>
      <c r="AE183" s="7" t="n">
        <v>0.446269678302533</v>
      </c>
      <c r="AF183" s="7" t="n">
        <v>0.188911704312115</v>
      </c>
      <c r="AG183" s="7"/>
      <c r="AH183" s="7"/>
      <c r="AI183" s="2" t="s">
        <v>77</v>
      </c>
      <c r="AJ183" s="2" t="s">
        <v>78</v>
      </c>
      <c r="AK183" s="2"/>
      <c r="AL183" s="2"/>
      <c r="AM183" s="2"/>
      <c r="AN183" s="2"/>
      <c r="AO183" s="2"/>
      <c r="AP183" s="2"/>
      <c r="AQ183" s="2"/>
    </row>
    <row r="184" customFormat="false" ht="15" hidden="false" customHeight="false" outlineLevel="0" collapsed="false">
      <c r="A184" s="2" t="s">
        <v>687</v>
      </c>
      <c r="B184" s="2" t="s">
        <v>687</v>
      </c>
      <c r="C184" s="2" t="s">
        <v>64</v>
      </c>
      <c r="D184" s="2" t="s">
        <v>688</v>
      </c>
      <c r="E184" s="2" t="s">
        <v>689</v>
      </c>
      <c r="F184" s="2" t="s">
        <v>681</v>
      </c>
      <c r="G184" s="2" t="s">
        <v>635</v>
      </c>
      <c r="H184" s="2" t="s">
        <v>69</v>
      </c>
      <c r="I184" s="2" t="n">
        <v>52.6029075246949</v>
      </c>
      <c r="J184" s="2" t="n">
        <v>-8.7105348424143</v>
      </c>
      <c r="K184" s="2" t="n">
        <v>52</v>
      </c>
      <c r="L184" s="2" t="s">
        <v>70</v>
      </c>
      <c r="M184" s="2" t="s">
        <v>83</v>
      </c>
      <c r="N184" s="2" t="s">
        <v>72</v>
      </c>
      <c r="O184" s="2" t="s">
        <v>73</v>
      </c>
      <c r="P184" s="2" t="s">
        <v>73</v>
      </c>
      <c r="Q184" s="2" t="s">
        <v>102</v>
      </c>
      <c r="R184" s="2" t="s">
        <v>103</v>
      </c>
      <c r="S184" s="6" t="n">
        <v>44904</v>
      </c>
      <c r="T184" s="6" t="n">
        <v>45223</v>
      </c>
      <c r="U184" s="2" t="s">
        <v>76</v>
      </c>
      <c r="V184" s="2" t="s">
        <v>85</v>
      </c>
      <c r="W184" s="6" t="n">
        <v>47049</v>
      </c>
      <c r="X184" s="6" t="n">
        <v>45693</v>
      </c>
      <c r="Y184" s="2" t="s">
        <v>104</v>
      </c>
      <c r="Z184" s="2" t="n">
        <v>1</v>
      </c>
      <c r="AA184" s="2" t="n">
        <v>51</v>
      </c>
      <c r="AB184" s="6"/>
      <c r="AC184" s="2" t="n">
        <v>0</v>
      </c>
      <c r="AD184" s="2" t="n">
        <v>0</v>
      </c>
      <c r="AE184" s="7" t="n">
        <v>0.87337440109514</v>
      </c>
      <c r="AF184" s="7" t="n">
        <v>1.28678986995209</v>
      </c>
      <c r="AG184" s="7"/>
      <c r="AH184" s="7"/>
      <c r="AI184" s="2" t="s">
        <v>86</v>
      </c>
      <c r="AJ184" s="2" t="s">
        <v>87</v>
      </c>
      <c r="AK184" s="2"/>
      <c r="AL184" s="2"/>
      <c r="AM184" s="2"/>
      <c r="AN184" s="2"/>
      <c r="AO184" s="2"/>
      <c r="AP184" s="2"/>
      <c r="AQ184" s="2"/>
    </row>
    <row r="185" customFormat="false" ht="15" hidden="false" customHeight="false" outlineLevel="0" collapsed="false">
      <c r="A185" s="2" t="s">
        <v>690</v>
      </c>
      <c r="B185" s="2" t="s">
        <v>690</v>
      </c>
      <c r="C185" s="2" t="s">
        <v>64</v>
      </c>
      <c r="D185" s="2" t="s">
        <v>683</v>
      </c>
      <c r="E185" s="2" t="s">
        <v>691</v>
      </c>
      <c r="F185" s="2" t="s">
        <v>681</v>
      </c>
      <c r="G185" s="2" t="s">
        <v>635</v>
      </c>
      <c r="H185" s="2" t="s">
        <v>69</v>
      </c>
      <c r="I185" s="2" t="n">
        <v>52.5994158603928</v>
      </c>
      <c r="J185" s="2" t="n">
        <v>-8.70976905647641</v>
      </c>
      <c r="K185" s="2" t="n">
        <v>49</v>
      </c>
      <c r="L185" s="2" t="s">
        <v>91</v>
      </c>
      <c r="M185" s="2" t="s">
        <v>92</v>
      </c>
      <c r="N185" s="2" t="s">
        <v>72</v>
      </c>
      <c r="O185" s="2" t="s">
        <v>73</v>
      </c>
      <c r="P185" s="2" t="s">
        <v>73</v>
      </c>
      <c r="Q185" s="2" t="s">
        <v>102</v>
      </c>
      <c r="R185" s="2" t="s">
        <v>103</v>
      </c>
      <c r="S185" s="6" t="n">
        <v>43165</v>
      </c>
      <c r="T185" s="6" t="n">
        <v>43445</v>
      </c>
      <c r="U185" s="2" t="s">
        <v>76</v>
      </c>
      <c r="V185" s="2" t="s">
        <v>85</v>
      </c>
      <c r="W185" s="6" t="n">
        <v>46364</v>
      </c>
      <c r="X185" s="6" t="n">
        <v>44904</v>
      </c>
      <c r="Y185" s="2" t="s">
        <v>104</v>
      </c>
      <c r="Z185" s="2" t="n">
        <v>3</v>
      </c>
      <c r="AA185" s="2" t="n">
        <v>48</v>
      </c>
      <c r="AB185" s="6"/>
      <c r="AC185" s="2" t="n">
        <v>11</v>
      </c>
      <c r="AD185" s="2" t="n">
        <v>11</v>
      </c>
      <c r="AE185" s="7" t="n">
        <v>0.766598220396988</v>
      </c>
      <c r="AF185" s="7" t="n">
        <v>3.99452429842574</v>
      </c>
      <c r="AG185" s="7"/>
      <c r="AH185" s="7"/>
      <c r="AI185" s="2" t="s">
        <v>86</v>
      </c>
      <c r="AJ185" s="2" t="s">
        <v>87</v>
      </c>
      <c r="AK185" s="2"/>
      <c r="AL185" s="2"/>
      <c r="AM185" s="2"/>
      <c r="AN185" s="2"/>
      <c r="AO185" s="2"/>
      <c r="AP185" s="2"/>
      <c r="AQ185" s="2"/>
    </row>
    <row r="186" customFormat="false" ht="15" hidden="false" customHeight="false" outlineLevel="0" collapsed="false">
      <c r="A186" s="2" t="s">
        <v>692</v>
      </c>
      <c r="B186" s="2" t="s">
        <v>692</v>
      </c>
      <c r="C186" s="2" t="s">
        <v>64</v>
      </c>
      <c r="D186" s="2" t="s">
        <v>679</v>
      </c>
      <c r="E186" s="2" t="s">
        <v>693</v>
      </c>
      <c r="F186" s="2" t="s">
        <v>681</v>
      </c>
      <c r="G186" s="2" t="s">
        <v>635</v>
      </c>
      <c r="H186" s="2" t="s">
        <v>69</v>
      </c>
      <c r="I186" s="2" t="n">
        <v>52.6016742068932</v>
      </c>
      <c r="J186" s="2" t="n">
        <v>-8.70577711729883</v>
      </c>
      <c r="K186" s="2" t="n">
        <v>49</v>
      </c>
      <c r="L186" s="2" t="s">
        <v>91</v>
      </c>
      <c r="M186" s="2" t="s">
        <v>83</v>
      </c>
      <c r="N186" s="2" t="s">
        <v>72</v>
      </c>
      <c r="O186" s="2" t="s">
        <v>73</v>
      </c>
      <c r="P186" s="2" t="s">
        <v>73</v>
      </c>
      <c r="Q186" s="2" t="s">
        <v>74</v>
      </c>
      <c r="R186" s="2" t="s">
        <v>156</v>
      </c>
      <c r="S186" s="6" t="n">
        <v>43201</v>
      </c>
      <c r="T186" s="6" t="n">
        <v>43396</v>
      </c>
      <c r="U186" s="2" t="s">
        <v>76</v>
      </c>
      <c r="V186" s="2" t="s">
        <v>85</v>
      </c>
      <c r="W186" s="6" t="n">
        <v>45221</v>
      </c>
      <c r="X186" s="6"/>
      <c r="Y186" s="2"/>
      <c r="Z186" s="2" t="n">
        <v>0</v>
      </c>
      <c r="AA186" s="2" t="n">
        <v>0</v>
      </c>
      <c r="AB186" s="6"/>
      <c r="AC186" s="2" t="n">
        <v>0</v>
      </c>
      <c r="AD186" s="2" t="n">
        <v>0</v>
      </c>
      <c r="AE186" s="7" t="n">
        <v>0.53388090349076</v>
      </c>
      <c r="AF186" s="7"/>
      <c r="AG186" s="7"/>
      <c r="AH186" s="7"/>
      <c r="AI186" s="2" t="s">
        <v>86</v>
      </c>
      <c r="AJ186" s="2" t="s">
        <v>87</v>
      </c>
      <c r="AK186" s="2" t="s">
        <v>694</v>
      </c>
      <c r="AL186" s="2"/>
      <c r="AM186" s="2"/>
      <c r="AN186" s="2"/>
      <c r="AO186" s="2"/>
      <c r="AP186" s="2"/>
      <c r="AQ186" s="2"/>
    </row>
    <row r="187" customFormat="false" ht="15" hidden="false" customHeight="false" outlineLevel="0" collapsed="false">
      <c r="A187" s="2" t="s">
        <v>695</v>
      </c>
      <c r="B187" s="2" t="s">
        <v>695</v>
      </c>
      <c r="C187" s="2" t="s">
        <v>64</v>
      </c>
      <c r="D187" s="2" t="s">
        <v>696</v>
      </c>
      <c r="E187" s="2" t="s">
        <v>697</v>
      </c>
      <c r="F187" s="2" t="s">
        <v>289</v>
      </c>
      <c r="G187" s="2" t="s">
        <v>635</v>
      </c>
      <c r="H187" s="2" t="s">
        <v>406</v>
      </c>
      <c r="I187" s="2" t="n">
        <v>52.6575110989144</v>
      </c>
      <c r="J187" s="2" t="n">
        <v>-8.63555063229777</v>
      </c>
      <c r="K187" s="2" t="n">
        <v>48</v>
      </c>
      <c r="L187" s="2" t="s">
        <v>91</v>
      </c>
      <c r="M187" s="2" t="s">
        <v>95</v>
      </c>
      <c r="N187" s="2" t="s">
        <v>72</v>
      </c>
      <c r="O187" s="2" t="s">
        <v>73</v>
      </c>
      <c r="P187" s="2" t="s">
        <v>73</v>
      </c>
      <c r="Q187" s="2" t="s">
        <v>74</v>
      </c>
      <c r="R187" s="2" t="s">
        <v>75</v>
      </c>
      <c r="S187" s="6" t="n">
        <v>45815</v>
      </c>
      <c r="T187" s="6" t="n">
        <v>45971</v>
      </c>
      <c r="U187" s="2" t="s">
        <v>76</v>
      </c>
      <c r="V187" s="2" t="s">
        <v>85</v>
      </c>
      <c r="W187" s="6" t="n">
        <v>47796</v>
      </c>
      <c r="X187" s="6"/>
      <c r="Y187" s="2"/>
      <c r="Z187" s="2" t="n">
        <v>0</v>
      </c>
      <c r="AA187" s="2" t="n">
        <v>0</v>
      </c>
      <c r="AB187" s="6"/>
      <c r="AC187" s="2" t="n">
        <v>0</v>
      </c>
      <c r="AD187" s="2" t="n">
        <v>0</v>
      </c>
      <c r="AE187" s="7" t="n">
        <v>0.427104722792608</v>
      </c>
      <c r="AF187" s="7"/>
      <c r="AG187" s="7"/>
      <c r="AH187" s="7"/>
      <c r="AI187" s="2" t="s">
        <v>86</v>
      </c>
      <c r="AJ187" s="2" t="s">
        <v>87</v>
      </c>
      <c r="AK187" s="2"/>
      <c r="AL187" s="2"/>
      <c r="AM187" s="2"/>
      <c r="AN187" s="2"/>
      <c r="AO187" s="2"/>
      <c r="AP187" s="2"/>
      <c r="AQ187" s="2"/>
    </row>
    <row r="188" customFormat="false" ht="15" hidden="false" customHeight="false" outlineLevel="0" collapsed="false">
      <c r="A188" s="2" t="s">
        <v>698</v>
      </c>
      <c r="B188" s="2" t="s">
        <v>698</v>
      </c>
      <c r="C188" s="2" t="s">
        <v>64</v>
      </c>
      <c r="D188" s="2" t="s">
        <v>699</v>
      </c>
      <c r="E188" s="2" t="s">
        <v>700</v>
      </c>
      <c r="F188" s="2" t="s">
        <v>681</v>
      </c>
      <c r="G188" s="2" t="s">
        <v>635</v>
      </c>
      <c r="H188" s="2" t="s">
        <v>69</v>
      </c>
      <c r="I188" s="2" t="n">
        <v>52.6009214319764</v>
      </c>
      <c r="J188" s="2" t="n">
        <v>-8.71174807914525</v>
      </c>
      <c r="K188" s="2" t="n">
        <v>41</v>
      </c>
      <c r="L188" s="2" t="s">
        <v>91</v>
      </c>
      <c r="M188" s="2" t="s">
        <v>83</v>
      </c>
      <c r="N188" s="2" t="s">
        <v>72</v>
      </c>
      <c r="O188" s="2" t="s">
        <v>73</v>
      </c>
      <c r="P188" s="2" t="s">
        <v>73</v>
      </c>
      <c r="Q188" s="2" t="s">
        <v>84</v>
      </c>
      <c r="R188" s="2" t="s">
        <v>75</v>
      </c>
      <c r="S188" s="6" t="n">
        <v>44998</v>
      </c>
      <c r="T188" s="6" t="n">
        <v>45245</v>
      </c>
      <c r="U188" s="2" t="s">
        <v>76</v>
      </c>
      <c r="V188" s="2" t="s">
        <v>85</v>
      </c>
      <c r="W188" s="6" t="n">
        <v>47071</v>
      </c>
      <c r="X188" s="6"/>
      <c r="Y188" s="2"/>
      <c r="Z188" s="2" t="n">
        <v>0</v>
      </c>
      <c r="AA188" s="2" t="n">
        <v>0</v>
      </c>
      <c r="AB188" s="6"/>
      <c r="AC188" s="2" t="n">
        <v>0</v>
      </c>
      <c r="AD188" s="2" t="n">
        <v>0</v>
      </c>
      <c r="AE188" s="7" t="n">
        <v>0.676249144421629</v>
      </c>
      <c r="AF188" s="7"/>
      <c r="AG188" s="7"/>
      <c r="AH188" s="7"/>
      <c r="AI188" s="2" t="s">
        <v>77</v>
      </c>
      <c r="AJ188" s="2" t="s">
        <v>78</v>
      </c>
      <c r="AK188" s="2"/>
      <c r="AL188" s="2"/>
      <c r="AM188" s="2"/>
      <c r="AN188" s="2"/>
      <c r="AO188" s="2"/>
      <c r="AP188" s="2"/>
      <c r="AQ188" s="2"/>
    </row>
    <row r="189" customFormat="false" ht="15" hidden="false" customHeight="false" outlineLevel="0" collapsed="false">
      <c r="A189" s="2" t="s">
        <v>701</v>
      </c>
      <c r="B189" s="2" t="s">
        <v>701</v>
      </c>
      <c r="C189" s="2" t="s">
        <v>64</v>
      </c>
      <c r="D189" s="2" t="s">
        <v>702</v>
      </c>
      <c r="E189" s="2" t="s">
        <v>703</v>
      </c>
      <c r="F189" s="2" t="s">
        <v>289</v>
      </c>
      <c r="G189" s="2" t="s">
        <v>635</v>
      </c>
      <c r="H189" s="2" t="s">
        <v>406</v>
      </c>
      <c r="I189" s="2" t="n">
        <v>52.6647626584402</v>
      </c>
      <c r="J189" s="2" t="n">
        <v>-8.62031843876948</v>
      </c>
      <c r="K189" s="2" t="n">
        <v>40</v>
      </c>
      <c r="L189" s="2" t="s">
        <v>91</v>
      </c>
      <c r="M189" s="2" t="s">
        <v>95</v>
      </c>
      <c r="N189" s="2" t="s">
        <v>72</v>
      </c>
      <c r="O189" s="2" t="s">
        <v>73</v>
      </c>
      <c r="P189" s="2" t="s">
        <v>73</v>
      </c>
      <c r="Q189" s="2" t="s">
        <v>74</v>
      </c>
      <c r="R189" s="2" t="s">
        <v>75</v>
      </c>
      <c r="S189" s="6" t="n">
        <v>45452</v>
      </c>
      <c r="T189" s="6" t="n">
        <v>45694</v>
      </c>
      <c r="U189" s="2" t="s">
        <v>76</v>
      </c>
      <c r="V189" s="2" t="s">
        <v>85</v>
      </c>
      <c r="W189" s="6" t="n">
        <v>47519</v>
      </c>
      <c r="X189" s="6"/>
      <c r="Y189" s="2"/>
      <c r="Z189" s="2" t="n">
        <v>0</v>
      </c>
      <c r="AA189" s="2" t="n">
        <v>0</v>
      </c>
      <c r="AB189" s="6"/>
      <c r="AC189" s="2" t="n">
        <v>0</v>
      </c>
      <c r="AD189" s="2" t="n">
        <v>0</v>
      </c>
      <c r="AE189" s="7" t="n">
        <v>0.662559890485969</v>
      </c>
      <c r="AF189" s="7"/>
      <c r="AG189" s="7"/>
      <c r="AH189" s="7"/>
      <c r="AI189" s="2" t="s">
        <v>86</v>
      </c>
      <c r="AJ189" s="2" t="s">
        <v>87</v>
      </c>
      <c r="AK189" s="2"/>
      <c r="AL189" s="2"/>
      <c r="AM189" s="2"/>
      <c r="AN189" s="2"/>
      <c r="AO189" s="2"/>
      <c r="AP189" s="2"/>
      <c r="AQ189" s="2"/>
    </row>
    <row r="190" customFormat="false" ht="15" hidden="false" customHeight="false" outlineLevel="0" collapsed="false">
      <c r="A190" s="2" t="s">
        <v>704</v>
      </c>
      <c r="B190" s="2" t="s">
        <v>704</v>
      </c>
      <c r="C190" s="2" t="s">
        <v>64</v>
      </c>
      <c r="D190" s="2" t="s">
        <v>679</v>
      </c>
      <c r="E190" s="2" t="s">
        <v>705</v>
      </c>
      <c r="F190" s="2" t="s">
        <v>681</v>
      </c>
      <c r="G190" s="2" t="s">
        <v>635</v>
      </c>
      <c r="H190" s="2" t="s">
        <v>69</v>
      </c>
      <c r="I190" s="2" t="n">
        <v>52.6018578648429</v>
      </c>
      <c r="J190" s="2" t="n">
        <v>-8.70750287445646</v>
      </c>
      <c r="K190" s="2" t="n">
        <v>40</v>
      </c>
      <c r="L190" s="2" t="s">
        <v>91</v>
      </c>
      <c r="M190" s="2" t="s">
        <v>83</v>
      </c>
      <c r="N190" s="2" t="s">
        <v>72</v>
      </c>
      <c r="O190" s="2" t="s">
        <v>73</v>
      </c>
      <c r="P190" s="2" t="s">
        <v>73</v>
      </c>
      <c r="Q190" s="2" t="s">
        <v>173</v>
      </c>
      <c r="R190" s="2" t="s">
        <v>75</v>
      </c>
      <c r="S190" s="6" t="n">
        <v>45841</v>
      </c>
      <c r="T190" s="6" t="n">
        <v>46042</v>
      </c>
      <c r="U190" s="2" t="s">
        <v>76</v>
      </c>
      <c r="V190" s="2" t="s">
        <v>85</v>
      </c>
      <c r="W190" s="6" t="n">
        <v>47867</v>
      </c>
      <c r="X190" s="6"/>
      <c r="Y190" s="2"/>
      <c r="Z190" s="2" t="n">
        <v>0</v>
      </c>
      <c r="AA190" s="2" t="n">
        <v>0</v>
      </c>
      <c r="AB190" s="6"/>
      <c r="AC190" s="2" t="n">
        <v>0</v>
      </c>
      <c r="AD190" s="2" t="n">
        <v>0</v>
      </c>
      <c r="AE190" s="7" t="n">
        <v>0.550308008213552</v>
      </c>
      <c r="AF190" s="7"/>
      <c r="AG190" s="7"/>
      <c r="AH190" s="7"/>
      <c r="AI190" s="2" t="s">
        <v>77</v>
      </c>
      <c r="AJ190" s="2" t="s">
        <v>78</v>
      </c>
      <c r="AK190" s="2" t="s">
        <v>174</v>
      </c>
      <c r="AL190" s="2"/>
      <c r="AM190" s="2"/>
      <c r="AN190" s="2"/>
      <c r="AO190" s="2"/>
      <c r="AP190" s="2"/>
      <c r="AQ190" s="2"/>
    </row>
    <row r="191" customFormat="false" ht="15" hidden="false" customHeight="false" outlineLevel="0" collapsed="false">
      <c r="A191" s="2" t="s">
        <v>706</v>
      </c>
      <c r="B191" s="2" t="s">
        <v>706</v>
      </c>
      <c r="C191" s="2" t="s">
        <v>64</v>
      </c>
      <c r="D191" s="2" t="s">
        <v>707</v>
      </c>
      <c r="E191" s="2" t="s">
        <v>708</v>
      </c>
      <c r="F191" s="2" t="s">
        <v>82</v>
      </c>
      <c r="G191" s="2" t="s">
        <v>635</v>
      </c>
      <c r="H191" s="2" t="s">
        <v>406</v>
      </c>
      <c r="I191" s="2" t="n">
        <v>52.6598387337392</v>
      </c>
      <c r="J191" s="2" t="n">
        <v>-8.6252278980239</v>
      </c>
      <c r="K191" s="2" t="n">
        <v>37</v>
      </c>
      <c r="L191" s="2" t="s">
        <v>91</v>
      </c>
      <c r="M191" s="2" t="s">
        <v>95</v>
      </c>
      <c r="N191" s="2" t="s">
        <v>72</v>
      </c>
      <c r="O191" s="2" t="s">
        <v>73</v>
      </c>
      <c r="P191" s="2" t="s">
        <v>73</v>
      </c>
      <c r="Q191" s="2" t="s">
        <v>74</v>
      </c>
      <c r="R191" s="2" t="s">
        <v>75</v>
      </c>
      <c r="S191" s="6" t="n">
        <v>44518</v>
      </c>
      <c r="T191" s="6" t="n">
        <v>44706</v>
      </c>
      <c r="U191" s="2" t="s">
        <v>76</v>
      </c>
      <c r="V191" s="2" t="s">
        <v>85</v>
      </c>
      <c r="W191" s="6" t="n">
        <v>46531</v>
      </c>
      <c r="X191" s="6"/>
      <c r="Y191" s="2"/>
      <c r="Z191" s="2" t="n">
        <v>0</v>
      </c>
      <c r="AA191" s="2" t="n">
        <v>0</v>
      </c>
      <c r="AB191" s="6"/>
      <c r="AC191" s="2" t="n">
        <v>0</v>
      </c>
      <c r="AD191" s="2" t="n">
        <v>0</v>
      </c>
      <c r="AE191" s="7" t="n">
        <v>0.514715947980835</v>
      </c>
      <c r="AF191" s="7"/>
      <c r="AG191" s="7"/>
      <c r="AH191" s="7"/>
      <c r="AI191" s="2" t="s">
        <v>86</v>
      </c>
      <c r="AJ191" s="2" t="s">
        <v>87</v>
      </c>
      <c r="AK191" s="2"/>
      <c r="AL191" s="2"/>
      <c r="AM191" s="2"/>
      <c r="AN191" s="2"/>
      <c r="AO191" s="2"/>
      <c r="AP191" s="2"/>
      <c r="AQ191" s="2"/>
    </row>
    <row r="192" customFormat="false" ht="15" hidden="false" customHeight="false" outlineLevel="0" collapsed="false">
      <c r="A192" s="2" t="s">
        <v>709</v>
      </c>
      <c r="B192" s="2" t="s">
        <v>709</v>
      </c>
      <c r="C192" s="2" t="s">
        <v>64</v>
      </c>
      <c r="D192" s="2" t="s">
        <v>707</v>
      </c>
      <c r="E192" s="2" t="s">
        <v>710</v>
      </c>
      <c r="F192" s="2" t="s">
        <v>82</v>
      </c>
      <c r="G192" s="2" t="s">
        <v>635</v>
      </c>
      <c r="H192" s="2" t="s">
        <v>406</v>
      </c>
      <c r="I192" s="2" t="n">
        <v>52.6598334115447</v>
      </c>
      <c r="J192" s="2" t="n">
        <v>-8.62524107993891</v>
      </c>
      <c r="K192" s="2" t="n">
        <v>37</v>
      </c>
      <c r="L192" s="2" t="s">
        <v>91</v>
      </c>
      <c r="M192" s="2" t="s">
        <v>95</v>
      </c>
      <c r="N192" s="2" t="s">
        <v>72</v>
      </c>
      <c r="O192" s="2" t="s">
        <v>73</v>
      </c>
      <c r="P192" s="2" t="s">
        <v>73</v>
      </c>
      <c r="Q192" s="2" t="s">
        <v>74</v>
      </c>
      <c r="R192" s="2" t="s">
        <v>75</v>
      </c>
      <c r="S192" s="6" t="n">
        <v>45818</v>
      </c>
      <c r="T192" s="6" t="n">
        <v>45904</v>
      </c>
      <c r="U192" s="2" t="s">
        <v>85</v>
      </c>
      <c r="V192" s="2" t="s">
        <v>85</v>
      </c>
      <c r="W192" s="6" t="n">
        <v>47729</v>
      </c>
      <c r="X192" s="6"/>
      <c r="Y192" s="2"/>
      <c r="Z192" s="2" t="n">
        <v>0</v>
      </c>
      <c r="AA192" s="2" t="n">
        <v>0</v>
      </c>
      <c r="AB192" s="6"/>
      <c r="AC192" s="2" t="n">
        <v>0</v>
      </c>
      <c r="AD192" s="2" t="n">
        <v>0</v>
      </c>
      <c r="AE192" s="7" t="n">
        <v>0.235455167693361</v>
      </c>
      <c r="AF192" s="7"/>
      <c r="AG192" s="7"/>
      <c r="AH192" s="7"/>
      <c r="AI192" s="2" t="s">
        <v>77</v>
      </c>
      <c r="AJ192" s="2" t="s">
        <v>78</v>
      </c>
      <c r="AK192" s="2"/>
      <c r="AL192" s="2"/>
      <c r="AM192" s="2"/>
      <c r="AN192" s="2"/>
      <c r="AO192" s="2"/>
      <c r="AP192" s="2"/>
      <c r="AQ192" s="2"/>
    </row>
    <row r="193" customFormat="false" ht="15" hidden="false" customHeight="false" outlineLevel="0" collapsed="false">
      <c r="A193" s="2" t="s">
        <v>711</v>
      </c>
      <c r="B193" s="2" t="s">
        <v>711</v>
      </c>
      <c r="C193" s="2" t="s">
        <v>64</v>
      </c>
      <c r="D193" s="2" t="s">
        <v>679</v>
      </c>
      <c r="E193" s="2" t="s">
        <v>712</v>
      </c>
      <c r="F193" s="2" t="s">
        <v>681</v>
      </c>
      <c r="G193" s="2" t="s">
        <v>635</v>
      </c>
      <c r="H193" s="2" t="s">
        <v>69</v>
      </c>
      <c r="I193" s="2" t="n">
        <v>52.6023410289343</v>
      </c>
      <c r="J193" s="2" t="n">
        <v>-8.69969199331544</v>
      </c>
      <c r="K193" s="2" t="n">
        <v>36</v>
      </c>
      <c r="L193" s="2" t="s">
        <v>91</v>
      </c>
      <c r="M193" s="2" t="s">
        <v>83</v>
      </c>
      <c r="N193" s="2" t="s">
        <v>72</v>
      </c>
      <c r="O193" s="2" t="s">
        <v>73</v>
      </c>
      <c r="P193" s="2" t="s">
        <v>73</v>
      </c>
      <c r="Q193" s="2" t="s">
        <v>263</v>
      </c>
      <c r="R193" s="2" t="s">
        <v>103</v>
      </c>
      <c r="S193" s="6" t="n">
        <v>43923</v>
      </c>
      <c r="T193" s="6" t="n">
        <v>44211</v>
      </c>
      <c r="U193" s="2" t="s">
        <v>76</v>
      </c>
      <c r="V193" s="2" t="s">
        <v>85</v>
      </c>
      <c r="W193" s="6" t="n">
        <v>45992</v>
      </c>
      <c r="X193" s="6" t="n">
        <v>45086</v>
      </c>
      <c r="Y193" s="2" t="s">
        <v>104</v>
      </c>
      <c r="Z193" s="2" t="n">
        <v>2</v>
      </c>
      <c r="AA193" s="2" t="n">
        <v>50</v>
      </c>
      <c r="AB193" s="6"/>
      <c r="AC193" s="2" t="n">
        <v>0</v>
      </c>
      <c r="AD193" s="2" t="n">
        <v>0</v>
      </c>
      <c r="AE193" s="7" t="n">
        <v>0.788501026694045</v>
      </c>
      <c r="AF193" s="7" t="n">
        <v>2.39561943874059</v>
      </c>
      <c r="AG193" s="7"/>
      <c r="AH193" s="7"/>
      <c r="AI193" s="2" t="s">
        <v>77</v>
      </c>
      <c r="AJ193" s="2" t="s">
        <v>78</v>
      </c>
      <c r="AK193" s="2"/>
      <c r="AL193" s="2"/>
      <c r="AM193" s="2"/>
      <c r="AN193" s="2"/>
      <c r="AO193" s="2"/>
      <c r="AP193" s="2"/>
      <c r="AQ193" s="2"/>
    </row>
    <row r="194" customFormat="false" ht="15" hidden="false" customHeight="false" outlineLevel="0" collapsed="false">
      <c r="A194" s="2" t="s">
        <v>713</v>
      </c>
      <c r="B194" s="2" t="s">
        <v>713</v>
      </c>
      <c r="C194" s="2" t="s">
        <v>64</v>
      </c>
      <c r="D194" s="2" t="s">
        <v>714</v>
      </c>
      <c r="E194" s="2" t="s">
        <v>715</v>
      </c>
      <c r="F194" s="2" t="s">
        <v>82</v>
      </c>
      <c r="G194" s="2" t="s">
        <v>635</v>
      </c>
      <c r="H194" s="2" t="s">
        <v>406</v>
      </c>
      <c r="I194" s="2" t="n">
        <v>52.6570836408476</v>
      </c>
      <c r="J194" s="2" t="n">
        <v>-8.62580973467803</v>
      </c>
      <c r="K194" s="2" t="n">
        <v>36</v>
      </c>
      <c r="L194" s="2" t="s">
        <v>91</v>
      </c>
      <c r="M194" s="2" t="s">
        <v>95</v>
      </c>
      <c r="N194" s="2" t="s">
        <v>96</v>
      </c>
      <c r="O194" s="2" t="s">
        <v>97</v>
      </c>
      <c r="P194" s="2" t="s">
        <v>98</v>
      </c>
      <c r="Q194" s="2" t="s">
        <v>102</v>
      </c>
      <c r="R194" s="2" t="s">
        <v>103</v>
      </c>
      <c r="S194" s="6" t="n">
        <v>44792</v>
      </c>
      <c r="T194" s="6" t="n">
        <v>44886</v>
      </c>
      <c r="U194" s="2" t="s">
        <v>85</v>
      </c>
      <c r="V194" s="2" t="s">
        <v>85</v>
      </c>
      <c r="W194" s="6"/>
      <c r="X194" s="6" t="n">
        <v>45560</v>
      </c>
      <c r="Y194" s="2" t="s">
        <v>104</v>
      </c>
      <c r="Z194" s="2" t="n">
        <v>1</v>
      </c>
      <c r="AA194" s="2" t="n">
        <v>36</v>
      </c>
      <c r="AB194" s="6"/>
      <c r="AC194" s="2" t="n">
        <v>0</v>
      </c>
      <c r="AD194" s="2" t="n">
        <v>0</v>
      </c>
      <c r="AE194" s="7" t="n">
        <v>0.257357973990418</v>
      </c>
      <c r="AF194" s="7" t="n">
        <v>1.84531143052704</v>
      </c>
      <c r="AG194" s="7"/>
      <c r="AH194" s="7"/>
      <c r="AI194" s="2" t="s">
        <v>77</v>
      </c>
      <c r="AJ194" s="2" t="s">
        <v>78</v>
      </c>
      <c r="AK194" s="2"/>
      <c r="AL194" s="2"/>
      <c r="AM194" s="2"/>
      <c r="AN194" s="2"/>
      <c r="AO194" s="2"/>
      <c r="AP194" s="2"/>
      <c r="AQ194" s="2"/>
    </row>
    <row r="195" customFormat="false" ht="15" hidden="false" customHeight="false" outlineLevel="0" collapsed="false">
      <c r="A195" s="2" t="s">
        <v>716</v>
      </c>
      <c r="B195" s="2" t="s">
        <v>716</v>
      </c>
      <c r="C195" s="2" t="s">
        <v>64</v>
      </c>
      <c r="D195" s="2" t="s">
        <v>717</v>
      </c>
      <c r="E195" s="2" t="s">
        <v>718</v>
      </c>
      <c r="F195" s="2" t="s">
        <v>289</v>
      </c>
      <c r="G195" s="2" t="s">
        <v>635</v>
      </c>
      <c r="H195" s="2" t="s">
        <v>406</v>
      </c>
      <c r="I195" s="2" t="n">
        <v>52.6624867469279</v>
      </c>
      <c r="J195" s="2" t="n">
        <v>-8.63118063259147</v>
      </c>
      <c r="K195" s="2" t="n">
        <v>35</v>
      </c>
      <c r="L195" s="2" t="s">
        <v>91</v>
      </c>
      <c r="M195" s="2" t="s">
        <v>92</v>
      </c>
      <c r="N195" s="2" t="s">
        <v>72</v>
      </c>
      <c r="O195" s="2" t="s">
        <v>73</v>
      </c>
      <c r="P195" s="2" t="s">
        <v>73</v>
      </c>
      <c r="Q195" s="2" t="s">
        <v>120</v>
      </c>
      <c r="R195" s="2" t="s">
        <v>120</v>
      </c>
      <c r="S195" s="6" t="n">
        <v>43763</v>
      </c>
      <c r="T195" s="6" t="n">
        <v>43894</v>
      </c>
      <c r="U195" s="2" t="s">
        <v>76</v>
      </c>
      <c r="V195" s="2" t="s">
        <v>85</v>
      </c>
      <c r="W195" s="6" t="n">
        <v>44730</v>
      </c>
      <c r="X195" s="6" t="n">
        <v>44732</v>
      </c>
      <c r="Y195" s="2" t="s">
        <v>104</v>
      </c>
      <c r="Z195" s="2" t="n">
        <v>1</v>
      </c>
      <c r="AA195" s="2" t="n">
        <v>34</v>
      </c>
      <c r="AB195" s="6" t="n">
        <v>45448</v>
      </c>
      <c r="AC195" s="2" t="n">
        <v>1</v>
      </c>
      <c r="AD195" s="2" t="n">
        <v>1</v>
      </c>
      <c r="AE195" s="7" t="n">
        <v>0.358658453114305</v>
      </c>
      <c r="AF195" s="7" t="n">
        <v>2.2943189596167</v>
      </c>
      <c r="AG195" s="7" t="n">
        <v>1.96030116358659</v>
      </c>
      <c r="AH195" s="7" t="n">
        <v>17.8543994413408</v>
      </c>
      <c r="AI195" s="2" t="s">
        <v>86</v>
      </c>
      <c r="AJ195" s="2" t="s">
        <v>87</v>
      </c>
      <c r="AK195" s="2" t="s">
        <v>174</v>
      </c>
      <c r="AL195" s="2" t="s">
        <v>64</v>
      </c>
      <c r="AM195" s="2"/>
      <c r="AN195" s="2"/>
      <c r="AO195" s="2"/>
      <c r="AP195" s="2"/>
      <c r="AQ195" s="2"/>
    </row>
    <row r="196" customFormat="false" ht="15" hidden="false" customHeight="false" outlineLevel="0" collapsed="false">
      <c r="A196" s="2" t="s">
        <v>719</v>
      </c>
      <c r="B196" s="2" t="s">
        <v>719</v>
      </c>
      <c r="C196" s="2" t="s">
        <v>64</v>
      </c>
      <c r="D196" s="2" t="s">
        <v>720</v>
      </c>
      <c r="E196" s="2" t="s">
        <v>721</v>
      </c>
      <c r="F196" s="2" t="s">
        <v>289</v>
      </c>
      <c r="G196" s="2" t="s">
        <v>635</v>
      </c>
      <c r="H196" s="2" t="s">
        <v>636</v>
      </c>
      <c r="I196" s="2" t="n">
        <v>52.6399546299466</v>
      </c>
      <c r="J196" s="2" t="n">
        <v>-8.65046206024242</v>
      </c>
      <c r="K196" s="2" t="n">
        <v>30</v>
      </c>
      <c r="L196" s="2" t="s">
        <v>91</v>
      </c>
      <c r="M196" s="2" t="s">
        <v>95</v>
      </c>
      <c r="N196" s="2" t="s">
        <v>72</v>
      </c>
      <c r="O196" s="2" t="s">
        <v>73</v>
      </c>
      <c r="P196" s="2" t="s">
        <v>73</v>
      </c>
      <c r="Q196" s="2" t="s">
        <v>74</v>
      </c>
      <c r="R196" s="2" t="s">
        <v>75</v>
      </c>
      <c r="S196" s="6" t="n">
        <v>44848</v>
      </c>
      <c r="T196" s="6" t="n">
        <v>45091</v>
      </c>
      <c r="U196" s="2" t="s">
        <v>76</v>
      </c>
      <c r="V196" s="2" t="s">
        <v>85</v>
      </c>
      <c r="W196" s="6" t="n">
        <v>46917</v>
      </c>
      <c r="X196" s="6"/>
      <c r="Y196" s="2"/>
      <c r="Z196" s="2" t="n">
        <v>0</v>
      </c>
      <c r="AA196" s="2" t="n">
        <v>0</v>
      </c>
      <c r="AB196" s="6"/>
      <c r="AC196" s="2" t="n">
        <v>0</v>
      </c>
      <c r="AD196" s="2" t="n">
        <v>0</v>
      </c>
      <c r="AE196" s="7" t="n">
        <v>0.665297741273101</v>
      </c>
      <c r="AF196" s="7"/>
      <c r="AG196" s="7"/>
      <c r="AH196" s="7"/>
      <c r="AI196" s="2" t="s">
        <v>86</v>
      </c>
      <c r="AJ196" s="2" t="s">
        <v>87</v>
      </c>
      <c r="AK196" s="2"/>
      <c r="AL196" s="2"/>
      <c r="AM196" s="2"/>
      <c r="AN196" s="2"/>
      <c r="AO196" s="2"/>
      <c r="AP196" s="2"/>
      <c r="AQ196" s="2"/>
    </row>
    <row r="197" customFormat="false" ht="15" hidden="false" customHeight="false" outlineLevel="0" collapsed="false">
      <c r="A197" s="2" t="s">
        <v>722</v>
      </c>
      <c r="B197" s="2" t="s">
        <v>722</v>
      </c>
      <c r="C197" s="2" t="s">
        <v>64</v>
      </c>
      <c r="D197" s="2" t="s">
        <v>723</v>
      </c>
      <c r="E197" s="2" t="s">
        <v>724</v>
      </c>
      <c r="F197" s="2" t="s">
        <v>648</v>
      </c>
      <c r="G197" s="2" t="s">
        <v>635</v>
      </c>
      <c r="H197" s="2" t="s">
        <v>636</v>
      </c>
      <c r="I197" s="2" t="n">
        <v>52.6360362040572</v>
      </c>
      <c r="J197" s="2" t="n">
        <v>-8.67481737684092</v>
      </c>
      <c r="K197" s="2" t="n">
        <v>29</v>
      </c>
      <c r="L197" s="2" t="s">
        <v>91</v>
      </c>
      <c r="M197" s="2" t="s">
        <v>71</v>
      </c>
      <c r="N197" s="2" t="s">
        <v>72</v>
      </c>
      <c r="O197" s="2" t="s">
        <v>73</v>
      </c>
      <c r="P197" s="2" t="s">
        <v>73</v>
      </c>
      <c r="Q197" s="2" t="s">
        <v>102</v>
      </c>
      <c r="R197" s="2" t="s">
        <v>103</v>
      </c>
      <c r="S197" s="6" t="n">
        <v>43987</v>
      </c>
      <c r="T197" s="6" t="n">
        <v>44225</v>
      </c>
      <c r="U197" s="2" t="s">
        <v>76</v>
      </c>
      <c r="V197" s="2" t="s">
        <v>85</v>
      </c>
      <c r="W197" s="6" t="n">
        <v>47189</v>
      </c>
      <c r="X197" s="6" t="n">
        <v>44480</v>
      </c>
      <c r="Y197" s="2" t="s">
        <v>104</v>
      </c>
      <c r="Z197" s="2" t="n">
        <v>1</v>
      </c>
      <c r="AA197" s="2" t="n">
        <v>17</v>
      </c>
      <c r="AB197" s="6"/>
      <c r="AC197" s="2" t="n">
        <v>2</v>
      </c>
      <c r="AD197" s="2" t="n">
        <v>13</v>
      </c>
      <c r="AE197" s="7" t="n">
        <v>0.65160848733744</v>
      </c>
      <c r="AF197" s="7" t="n">
        <v>0.698151950718686</v>
      </c>
      <c r="AG197" s="7"/>
      <c r="AH197" s="7"/>
      <c r="AI197" s="2" t="s">
        <v>111</v>
      </c>
      <c r="AJ197" s="2" t="s">
        <v>78</v>
      </c>
      <c r="AK197" s="2"/>
      <c r="AL197" s="2"/>
      <c r="AM197" s="2"/>
      <c r="AN197" s="2"/>
      <c r="AO197" s="2"/>
      <c r="AP197" s="2"/>
      <c r="AQ197" s="2"/>
    </row>
    <row r="198" customFormat="false" ht="15" hidden="false" customHeight="false" outlineLevel="0" collapsed="false">
      <c r="A198" s="2" t="s">
        <v>725</v>
      </c>
      <c r="B198" s="2" t="s">
        <v>725</v>
      </c>
      <c r="C198" s="2" t="s">
        <v>64</v>
      </c>
      <c r="D198" s="2" t="s">
        <v>726</v>
      </c>
      <c r="E198" s="2" t="s">
        <v>727</v>
      </c>
      <c r="F198" s="2" t="s">
        <v>289</v>
      </c>
      <c r="G198" s="2" t="s">
        <v>635</v>
      </c>
      <c r="H198" s="2" t="s">
        <v>406</v>
      </c>
      <c r="I198" s="2" t="n">
        <v>52.6593384001648</v>
      </c>
      <c r="J198" s="2" t="n">
        <v>-8.63543065903305</v>
      </c>
      <c r="K198" s="2" t="n">
        <v>29</v>
      </c>
      <c r="L198" s="2" t="s">
        <v>91</v>
      </c>
      <c r="M198" s="2" t="s">
        <v>95</v>
      </c>
      <c r="N198" s="2" t="s">
        <v>72</v>
      </c>
      <c r="O198" s="2" t="s">
        <v>73</v>
      </c>
      <c r="P198" s="2" t="s">
        <v>73</v>
      </c>
      <c r="Q198" s="2" t="s">
        <v>74</v>
      </c>
      <c r="R198" s="2" t="s">
        <v>75</v>
      </c>
      <c r="S198" s="6" t="n">
        <v>44819</v>
      </c>
      <c r="T198" s="6" t="n">
        <v>45119</v>
      </c>
      <c r="U198" s="2" t="s">
        <v>76</v>
      </c>
      <c r="V198" s="2" t="s">
        <v>85</v>
      </c>
      <c r="W198" s="6" t="n">
        <v>46945</v>
      </c>
      <c r="X198" s="6"/>
      <c r="Y198" s="2"/>
      <c r="Z198" s="2" t="n">
        <v>0</v>
      </c>
      <c r="AA198" s="2" t="n">
        <v>0</v>
      </c>
      <c r="AB198" s="6"/>
      <c r="AC198" s="2" t="n">
        <v>0</v>
      </c>
      <c r="AD198" s="2" t="n">
        <v>0</v>
      </c>
      <c r="AE198" s="7" t="n">
        <v>0.82135523613963</v>
      </c>
      <c r="AF198" s="7"/>
      <c r="AG198" s="7"/>
      <c r="AH198" s="7"/>
      <c r="AI198" s="2" t="s">
        <v>77</v>
      </c>
      <c r="AJ198" s="2" t="s">
        <v>78</v>
      </c>
      <c r="AK198" s="2"/>
      <c r="AL198" s="2"/>
      <c r="AM198" s="2"/>
      <c r="AN198" s="2"/>
      <c r="AO198" s="2"/>
      <c r="AP198" s="2"/>
      <c r="AQ198" s="2"/>
    </row>
    <row r="199" customFormat="false" ht="15" hidden="false" customHeight="false" outlineLevel="0" collapsed="false">
      <c r="A199" s="2" t="s">
        <v>728</v>
      </c>
      <c r="B199" s="2" t="s">
        <v>728</v>
      </c>
      <c r="C199" s="2" t="s">
        <v>64</v>
      </c>
      <c r="D199" s="2" t="s">
        <v>729</v>
      </c>
      <c r="E199" s="2" t="s">
        <v>730</v>
      </c>
      <c r="F199" s="2" t="s">
        <v>82</v>
      </c>
      <c r="G199" s="2" t="s">
        <v>635</v>
      </c>
      <c r="H199" s="2" t="s">
        <v>406</v>
      </c>
      <c r="I199" s="2" t="n">
        <v>52.6590396404586</v>
      </c>
      <c r="J199" s="2" t="n">
        <v>-8.62568446240315</v>
      </c>
      <c r="K199" s="2" t="n">
        <v>25</v>
      </c>
      <c r="L199" s="2" t="s">
        <v>91</v>
      </c>
      <c r="M199" s="2" t="s">
        <v>297</v>
      </c>
      <c r="N199" s="2" t="s">
        <v>72</v>
      </c>
      <c r="O199" s="2" t="s">
        <v>73</v>
      </c>
      <c r="P199" s="2" t="s">
        <v>73</v>
      </c>
      <c r="Q199" s="2" t="s">
        <v>74</v>
      </c>
      <c r="R199" s="2" t="s">
        <v>75</v>
      </c>
      <c r="S199" s="6" t="n">
        <v>44866</v>
      </c>
      <c r="T199" s="6" t="n">
        <v>45442</v>
      </c>
      <c r="U199" s="2" t="s">
        <v>76</v>
      </c>
      <c r="V199" s="2" t="s">
        <v>76</v>
      </c>
      <c r="W199" s="6" t="n">
        <v>47267</v>
      </c>
      <c r="X199" s="6"/>
      <c r="Y199" s="2"/>
      <c r="Z199" s="2" t="n">
        <v>0</v>
      </c>
      <c r="AA199" s="2" t="n">
        <v>0</v>
      </c>
      <c r="AB199" s="6"/>
      <c r="AC199" s="2" t="n">
        <v>0</v>
      </c>
      <c r="AD199" s="2" t="n">
        <v>0</v>
      </c>
      <c r="AE199" s="7" t="n">
        <v>1.57700205338809</v>
      </c>
      <c r="AF199" s="7"/>
      <c r="AG199" s="7"/>
      <c r="AH199" s="7"/>
      <c r="AI199" s="2" t="s">
        <v>77</v>
      </c>
      <c r="AJ199" s="2" t="s">
        <v>78</v>
      </c>
      <c r="AK199" s="2"/>
      <c r="AL199" s="2"/>
      <c r="AM199" s="2"/>
      <c r="AN199" s="2"/>
      <c r="AO199" s="2"/>
      <c r="AP199" s="2"/>
      <c r="AQ199" s="2"/>
    </row>
    <row r="200" customFormat="false" ht="15" hidden="false" customHeight="false" outlineLevel="0" collapsed="false">
      <c r="A200" s="2" t="s">
        <v>731</v>
      </c>
      <c r="B200" s="2" t="s">
        <v>731</v>
      </c>
      <c r="C200" s="2" t="s">
        <v>64</v>
      </c>
      <c r="D200" s="2" t="s">
        <v>723</v>
      </c>
      <c r="E200" s="2" t="s">
        <v>732</v>
      </c>
      <c r="F200" s="2" t="s">
        <v>648</v>
      </c>
      <c r="G200" s="2" t="s">
        <v>635</v>
      </c>
      <c r="H200" s="2" t="s">
        <v>636</v>
      </c>
      <c r="I200" s="2" t="n">
        <v>52.6367173692932</v>
      </c>
      <c r="J200" s="2" t="n">
        <v>-8.67631004162826</v>
      </c>
      <c r="K200" s="2" t="n">
        <v>25</v>
      </c>
      <c r="L200" s="2" t="s">
        <v>91</v>
      </c>
      <c r="M200" s="2" t="s">
        <v>83</v>
      </c>
      <c r="N200" s="2" t="s">
        <v>72</v>
      </c>
      <c r="O200" s="2" t="s">
        <v>73</v>
      </c>
      <c r="P200" s="2" t="s">
        <v>73</v>
      </c>
      <c r="Q200" s="2" t="s">
        <v>120</v>
      </c>
      <c r="R200" s="2" t="s">
        <v>120</v>
      </c>
      <c r="S200" s="6" t="n">
        <v>43231</v>
      </c>
      <c r="T200" s="6" t="n">
        <v>43361</v>
      </c>
      <c r="U200" s="2" t="s">
        <v>76</v>
      </c>
      <c r="V200" s="2" t="s">
        <v>85</v>
      </c>
      <c r="W200" s="6" t="n">
        <v>45186</v>
      </c>
      <c r="X200" s="6" t="n">
        <v>44028</v>
      </c>
      <c r="Y200" s="2" t="s">
        <v>104</v>
      </c>
      <c r="Z200" s="2" t="n">
        <v>1</v>
      </c>
      <c r="AA200" s="2" t="n">
        <v>19</v>
      </c>
      <c r="AB200" s="6" t="n">
        <v>44545</v>
      </c>
      <c r="AC200" s="2" t="n">
        <v>2</v>
      </c>
      <c r="AD200" s="2" t="n">
        <v>6</v>
      </c>
      <c r="AE200" s="7" t="n">
        <v>0.355920602327173</v>
      </c>
      <c r="AF200" s="7" t="n">
        <v>1.82614647501711</v>
      </c>
      <c r="AG200" s="7" t="n">
        <v>1.4154688569473</v>
      </c>
      <c r="AH200" s="7" t="n">
        <v>17.6619922630561</v>
      </c>
      <c r="AI200" s="2" t="s">
        <v>111</v>
      </c>
      <c r="AJ200" s="2" t="s">
        <v>78</v>
      </c>
      <c r="AK200" s="2"/>
      <c r="AL200" s="2" t="s">
        <v>64</v>
      </c>
      <c r="AM200" s="2"/>
      <c r="AN200" s="2"/>
      <c r="AO200" s="2"/>
      <c r="AP200" s="2"/>
      <c r="AQ200" s="2"/>
    </row>
    <row r="201" customFormat="false" ht="15" hidden="false" customHeight="false" outlineLevel="0" collapsed="false">
      <c r="A201" s="2" t="s">
        <v>733</v>
      </c>
      <c r="B201" s="2" t="s">
        <v>733</v>
      </c>
      <c r="C201" s="2" t="s">
        <v>64</v>
      </c>
      <c r="D201" s="2" t="s">
        <v>679</v>
      </c>
      <c r="E201" s="2" t="s">
        <v>734</v>
      </c>
      <c r="F201" s="2" t="s">
        <v>681</v>
      </c>
      <c r="G201" s="2" t="s">
        <v>635</v>
      </c>
      <c r="H201" s="2" t="s">
        <v>69</v>
      </c>
      <c r="I201" s="2" t="n">
        <v>52.6012797907767</v>
      </c>
      <c r="J201" s="2" t="n">
        <v>-8.70801401091266</v>
      </c>
      <c r="K201" s="2" t="n">
        <v>24</v>
      </c>
      <c r="L201" s="2" t="s">
        <v>118</v>
      </c>
      <c r="M201" s="2" t="s">
        <v>92</v>
      </c>
      <c r="N201" s="2" t="s">
        <v>96</v>
      </c>
      <c r="O201" s="2" t="s">
        <v>97</v>
      </c>
      <c r="P201" s="2" t="s">
        <v>98</v>
      </c>
      <c r="Q201" s="2" t="s">
        <v>102</v>
      </c>
      <c r="R201" s="2" t="s">
        <v>103</v>
      </c>
      <c r="S201" s="6" t="n">
        <v>44809</v>
      </c>
      <c r="T201" s="6" t="n">
        <v>44907</v>
      </c>
      <c r="U201" s="2" t="s">
        <v>85</v>
      </c>
      <c r="V201" s="2" t="s">
        <v>85</v>
      </c>
      <c r="W201" s="6"/>
      <c r="X201" s="6" t="n">
        <v>46220</v>
      </c>
      <c r="Y201" s="2" t="s">
        <v>104</v>
      </c>
      <c r="Z201" s="2" t="n">
        <v>1</v>
      </c>
      <c r="AA201" s="2" t="n">
        <v>24</v>
      </c>
      <c r="AB201" s="6"/>
      <c r="AC201" s="2" t="n">
        <v>0</v>
      </c>
      <c r="AD201" s="2" t="n">
        <v>0</v>
      </c>
      <c r="AE201" s="7" t="n">
        <v>0.268309377138946</v>
      </c>
      <c r="AF201" s="7" t="n">
        <v>3.59479808350445</v>
      </c>
      <c r="AG201" s="7"/>
      <c r="AH201" s="7"/>
      <c r="AI201" s="2" t="s">
        <v>77</v>
      </c>
      <c r="AJ201" s="2" t="s">
        <v>78</v>
      </c>
      <c r="AK201" s="2"/>
      <c r="AL201" s="2"/>
      <c r="AM201" s="2"/>
      <c r="AN201" s="2"/>
      <c r="AO201" s="2"/>
      <c r="AP201" s="2"/>
      <c r="AQ201" s="2"/>
    </row>
    <row r="202" customFormat="false" ht="15" hidden="false" customHeight="false" outlineLevel="0" collapsed="false">
      <c r="A202" s="2" t="s">
        <v>735</v>
      </c>
      <c r="B202" s="2" t="s">
        <v>735</v>
      </c>
      <c r="C202" s="2" t="s">
        <v>64</v>
      </c>
      <c r="D202" s="2" t="s">
        <v>679</v>
      </c>
      <c r="E202" s="2" t="s">
        <v>736</v>
      </c>
      <c r="F202" s="2" t="s">
        <v>681</v>
      </c>
      <c r="G202" s="2" t="s">
        <v>635</v>
      </c>
      <c r="H202" s="2" t="s">
        <v>69</v>
      </c>
      <c r="I202" s="2" t="n">
        <v>52.5982214</v>
      </c>
      <c r="J202" s="2" t="n">
        <v>-8.7068627</v>
      </c>
      <c r="K202" s="2" t="n">
        <v>24</v>
      </c>
      <c r="L202" s="2" t="s">
        <v>118</v>
      </c>
      <c r="M202" s="2" t="s">
        <v>92</v>
      </c>
      <c r="N202" s="2" t="s">
        <v>96</v>
      </c>
      <c r="O202" s="2" t="s">
        <v>97</v>
      </c>
      <c r="P202" s="2" t="s">
        <v>98</v>
      </c>
      <c r="Q202" s="2" t="s">
        <v>74</v>
      </c>
      <c r="R202" s="2" t="s">
        <v>75</v>
      </c>
      <c r="S202" s="6" t="n">
        <v>44809</v>
      </c>
      <c r="T202" s="6" t="n">
        <v>44950</v>
      </c>
      <c r="U202" s="2" t="s">
        <v>85</v>
      </c>
      <c r="V202" s="2" t="s">
        <v>85</v>
      </c>
      <c r="W202" s="6"/>
      <c r="X202" s="6"/>
      <c r="Y202" s="2"/>
      <c r="Z202" s="2" t="n">
        <v>0</v>
      </c>
      <c r="AA202" s="2" t="n">
        <v>0</v>
      </c>
      <c r="AB202" s="6"/>
      <c r="AC202" s="2" t="n">
        <v>0</v>
      </c>
      <c r="AD202" s="2" t="n">
        <v>0</v>
      </c>
      <c r="AE202" s="7" t="n">
        <v>0.386036960985626</v>
      </c>
      <c r="AF202" s="7"/>
      <c r="AG202" s="7"/>
      <c r="AH202" s="7"/>
      <c r="AI202" s="2" t="s">
        <v>77</v>
      </c>
      <c r="AJ202" s="2" t="s">
        <v>78</v>
      </c>
      <c r="AK202" s="2"/>
      <c r="AL202" s="2"/>
      <c r="AM202" s="2"/>
      <c r="AN202" s="2"/>
      <c r="AO202" s="2"/>
      <c r="AP202" s="2"/>
      <c r="AQ202" s="2"/>
    </row>
    <row r="203" customFormat="false" ht="15" hidden="false" customHeight="false" outlineLevel="0" collapsed="false">
      <c r="A203" s="2" t="s">
        <v>737</v>
      </c>
      <c r="B203" s="2" t="s">
        <v>737</v>
      </c>
      <c r="C203" s="2" t="s">
        <v>64</v>
      </c>
      <c r="D203" s="2" t="s">
        <v>671</v>
      </c>
      <c r="E203" s="2" t="s">
        <v>738</v>
      </c>
      <c r="F203" s="2" t="s">
        <v>82</v>
      </c>
      <c r="G203" s="2" t="s">
        <v>635</v>
      </c>
      <c r="H203" s="2" t="s">
        <v>406</v>
      </c>
      <c r="I203" s="2" t="n">
        <v>52.6601798117102</v>
      </c>
      <c r="J203" s="2" t="n">
        <v>-8.62920967613434</v>
      </c>
      <c r="K203" s="2" t="n">
        <v>24</v>
      </c>
      <c r="L203" s="2" t="s">
        <v>118</v>
      </c>
      <c r="M203" s="2" t="s">
        <v>95</v>
      </c>
      <c r="N203" s="2" t="s">
        <v>72</v>
      </c>
      <c r="O203" s="2" t="s">
        <v>73</v>
      </c>
      <c r="P203" s="2" t="s">
        <v>73</v>
      </c>
      <c r="Q203" s="2" t="s">
        <v>74</v>
      </c>
      <c r="R203" s="2" t="s">
        <v>156</v>
      </c>
      <c r="S203" s="6" t="n">
        <v>43903</v>
      </c>
      <c r="T203" s="6" t="n">
        <v>44202</v>
      </c>
      <c r="U203" s="2" t="s">
        <v>76</v>
      </c>
      <c r="V203" s="2" t="s">
        <v>85</v>
      </c>
      <c r="W203" s="6" t="n">
        <v>46027</v>
      </c>
      <c r="X203" s="6"/>
      <c r="Y203" s="2"/>
      <c r="Z203" s="2" t="n">
        <v>0</v>
      </c>
      <c r="AA203" s="2" t="n">
        <v>0</v>
      </c>
      <c r="AB203" s="6"/>
      <c r="AC203" s="2" t="n">
        <v>0</v>
      </c>
      <c r="AD203" s="2" t="n">
        <v>0</v>
      </c>
      <c r="AE203" s="7" t="n">
        <v>0.818617385352498</v>
      </c>
      <c r="AF203" s="7"/>
      <c r="AG203" s="7"/>
      <c r="AH203" s="7"/>
      <c r="AI203" s="2" t="s">
        <v>86</v>
      </c>
      <c r="AJ203" s="2" t="s">
        <v>87</v>
      </c>
      <c r="AK203" s="2"/>
      <c r="AL203" s="2"/>
      <c r="AM203" s="2"/>
      <c r="AN203" s="2"/>
      <c r="AO203" s="2"/>
      <c r="AP203" s="2"/>
      <c r="AQ203" s="2"/>
    </row>
    <row r="204" customFormat="false" ht="15" hidden="false" customHeight="false" outlineLevel="0" collapsed="false">
      <c r="A204" s="2" t="s">
        <v>739</v>
      </c>
      <c r="B204" s="2" t="s">
        <v>739</v>
      </c>
      <c r="C204" s="2" t="s">
        <v>64</v>
      </c>
      <c r="D204" s="2" t="s">
        <v>740</v>
      </c>
      <c r="E204" s="2" t="s">
        <v>741</v>
      </c>
      <c r="F204" s="2" t="s">
        <v>82</v>
      </c>
      <c r="G204" s="2" t="s">
        <v>635</v>
      </c>
      <c r="H204" s="2" t="s">
        <v>406</v>
      </c>
      <c r="I204" s="2" t="n">
        <v>52.661041190405</v>
      </c>
      <c r="J204" s="2" t="n">
        <v>-8.63039443408274</v>
      </c>
      <c r="K204" s="2" t="n">
        <v>24</v>
      </c>
      <c r="L204" s="2" t="s">
        <v>118</v>
      </c>
      <c r="M204" s="2" t="s">
        <v>95</v>
      </c>
      <c r="N204" s="2" t="s">
        <v>72</v>
      </c>
      <c r="O204" s="2" t="s">
        <v>73</v>
      </c>
      <c r="P204" s="2" t="s">
        <v>73</v>
      </c>
      <c r="Q204" s="2" t="s">
        <v>74</v>
      </c>
      <c r="R204" s="2" t="s">
        <v>75</v>
      </c>
      <c r="S204" s="6" t="n">
        <v>44914</v>
      </c>
      <c r="T204" s="6" t="n">
        <v>45182</v>
      </c>
      <c r="U204" s="2" t="s">
        <v>76</v>
      </c>
      <c r="V204" s="2" t="s">
        <v>85</v>
      </c>
      <c r="W204" s="6" t="n">
        <v>47008</v>
      </c>
      <c r="X204" s="6"/>
      <c r="Y204" s="2"/>
      <c r="Z204" s="2" t="n">
        <v>0</v>
      </c>
      <c r="AA204" s="2" t="n">
        <v>0</v>
      </c>
      <c r="AB204" s="6"/>
      <c r="AC204" s="2" t="n">
        <v>0</v>
      </c>
      <c r="AD204" s="2" t="n">
        <v>0</v>
      </c>
      <c r="AE204" s="7" t="n">
        <v>0.733744010951403</v>
      </c>
      <c r="AF204" s="7"/>
      <c r="AG204" s="7"/>
      <c r="AH204" s="7"/>
      <c r="AI204" s="2" t="s">
        <v>86</v>
      </c>
      <c r="AJ204" s="2" t="s">
        <v>87</v>
      </c>
      <c r="AK204" s="2" t="s">
        <v>165</v>
      </c>
      <c r="AL204" s="2"/>
      <c r="AM204" s="2"/>
      <c r="AN204" s="2"/>
      <c r="AO204" s="2"/>
      <c r="AP204" s="2"/>
      <c r="AQ204" s="2"/>
    </row>
    <row r="205" customFormat="false" ht="15" hidden="false" customHeight="false" outlineLevel="0" collapsed="false">
      <c r="A205" s="2" t="s">
        <v>742</v>
      </c>
      <c r="B205" s="2" t="s">
        <v>742</v>
      </c>
      <c r="C205" s="2" t="s">
        <v>64</v>
      </c>
      <c r="D205" s="2" t="s">
        <v>743</v>
      </c>
      <c r="E205" s="2" t="s">
        <v>744</v>
      </c>
      <c r="F205" s="2" t="s">
        <v>289</v>
      </c>
      <c r="G205" s="2" t="s">
        <v>635</v>
      </c>
      <c r="H205" s="2" t="s">
        <v>636</v>
      </c>
      <c r="I205" s="2" t="n">
        <v>52.6257930867625</v>
      </c>
      <c r="J205" s="2" t="n">
        <v>-8.65377474246563</v>
      </c>
      <c r="K205" s="2" t="n">
        <v>24</v>
      </c>
      <c r="L205" s="2" t="s">
        <v>118</v>
      </c>
      <c r="M205" s="2" t="s">
        <v>95</v>
      </c>
      <c r="N205" s="2" t="s">
        <v>72</v>
      </c>
      <c r="O205" s="2" t="s">
        <v>73</v>
      </c>
      <c r="P205" s="2" t="s">
        <v>73</v>
      </c>
      <c r="Q205" s="2" t="s">
        <v>74</v>
      </c>
      <c r="R205" s="2" t="s">
        <v>75</v>
      </c>
      <c r="S205" s="6" t="n">
        <v>45786</v>
      </c>
      <c r="T205" s="6" t="n">
        <v>46126</v>
      </c>
      <c r="U205" s="2" t="s">
        <v>76</v>
      </c>
      <c r="V205" s="2" t="s">
        <v>76</v>
      </c>
      <c r="W205" s="6" t="n">
        <v>47951</v>
      </c>
      <c r="X205" s="6"/>
      <c r="Y205" s="2"/>
      <c r="Z205" s="2" t="n">
        <v>0</v>
      </c>
      <c r="AA205" s="2" t="n">
        <v>0</v>
      </c>
      <c r="AB205" s="6"/>
      <c r="AC205" s="2" t="n">
        <v>0</v>
      </c>
      <c r="AD205" s="2" t="n">
        <v>0</v>
      </c>
      <c r="AE205" s="7" t="n">
        <v>0.930869267624914</v>
      </c>
      <c r="AF205" s="7"/>
      <c r="AG205" s="7"/>
      <c r="AH205" s="7"/>
      <c r="AI205" s="2" t="s">
        <v>77</v>
      </c>
      <c r="AJ205" s="2" t="s">
        <v>78</v>
      </c>
      <c r="AK205" s="2"/>
      <c r="AL205" s="2"/>
      <c r="AM205" s="2"/>
      <c r="AN205" s="2"/>
      <c r="AO205" s="2"/>
      <c r="AP205" s="2"/>
      <c r="AQ205" s="2"/>
    </row>
    <row r="206" customFormat="false" ht="15" hidden="false" customHeight="false" outlineLevel="0" collapsed="false">
      <c r="A206" s="2" t="s">
        <v>745</v>
      </c>
      <c r="B206" s="2" t="s">
        <v>745</v>
      </c>
      <c r="C206" s="2" t="s">
        <v>64</v>
      </c>
      <c r="D206" s="2" t="s">
        <v>746</v>
      </c>
      <c r="E206" s="2" t="s">
        <v>747</v>
      </c>
      <c r="F206" s="2" t="s">
        <v>289</v>
      </c>
      <c r="G206" s="2" t="s">
        <v>635</v>
      </c>
      <c r="H206" s="2" t="s">
        <v>406</v>
      </c>
      <c r="I206" s="2" t="n">
        <v>52.6580310662053</v>
      </c>
      <c r="J206" s="2" t="n">
        <v>-8.63140161980703</v>
      </c>
      <c r="K206" s="2" t="n">
        <v>24</v>
      </c>
      <c r="L206" s="2" t="s">
        <v>118</v>
      </c>
      <c r="M206" s="2" t="s">
        <v>95</v>
      </c>
      <c r="N206" s="2" t="s">
        <v>72</v>
      </c>
      <c r="O206" s="2" t="s">
        <v>73</v>
      </c>
      <c r="P206" s="2" t="s">
        <v>73</v>
      </c>
      <c r="Q206" s="2" t="s">
        <v>102</v>
      </c>
      <c r="R206" s="2" t="s">
        <v>103</v>
      </c>
      <c r="S206" s="6" t="n">
        <v>45001</v>
      </c>
      <c r="T206" s="6" t="n">
        <v>45160</v>
      </c>
      <c r="U206" s="2" t="s">
        <v>76</v>
      </c>
      <c r="V206" s="2" t="s">
        <v>85</v>
      </c>
      <c r="W206" s="6" t="n">
        <v>46986</v>
      </c>
      <c r="X206" s="6" t="n">
        <v>45992</v>
      </c>
      <c r="Y206" s="2" t="s">
        <v>104</v>
      </c>
      <c r="Z206" s="2" t="n">
        <v>1</v>
      </c>
      <c r="AA206" s="2" t="n">
        <v>24</v>
      </c>
      <c r="AB206" s="6"/>
      <c r="AC206" s="2" t="n">
        <v>0</v>
      </c>
      <c r="AD206" s="2" t="n">
        <v>0</v>
      </c>
      <c r="AE206" s="7" t="n">
        <v>0.435318275154004</v>
      </c>
      <c r="AF206" s="7" t="n">
        <v>2.27789185489391</v>
      </c>
      <c r="AG206" s="7"/>
      <c r="AH206" s="7"/>
      <c r="AI206" s="2" t="s">
        <v>86</v>
      </c>
      <c r="AJ206" s="2" t="s">
        <v>87</v>
      </c>
      <c r="AK206" s="2"/>
      <c r="AL206" s="2"/>
      <c r="AM206" s="2"/>
      <c r="AN206" s="2"/>
      <c r="AO206" s="2"/>
      <c r="AP206" s="2"/>
      <c r="AQ206" s="2"/>
    </row>
    <row r="207" customFormat="false" ht="15" hidden="false" customHeight="false" outlineLevel="0" collapsed="false">
      <c r="A207" s="2" t="s">
        <v>748</v>
      </c>
      <c r="B207" s="2" t="s">
        <v>748</v>
      </c>
      <c r="C207" s="2" t="s">
        <v>404</v>
      </c>
      <c r="D207" s="2"/>
      <c r="E207" s="2" t="s">
        <v>749</v>
      </c>
      <c r="F207" s="2" t="s">
        <v>681</v>
      </c>
      <c r="G207" s="2" t="s">
        <v>635</v>
      </c>
      <c r="H207" s="2" t="s">
        <v>69</v>
      </c>
      <c r="I207" s="2" t="n">
        <v>52.6012106085365</v>
      </c>
      <c r="J207" s="2" t="n">
        <v>-8.70819574284229</v>
      </c>
      <c r="K207" s="2" t="n">
        <v>24</v>
      </c>
      <c r="L207" s="2" t="s">
        <v>118</v>
      </c>
      <c r="M207" s="2" t="s">
        <v>92</v>
      </c>
      <c r="N207" s="2" t="s">
        <v>96</v>
      </c>
      <c r="O207" s="2" t="s">
        <v>97</v>
      </c>
      <c r="P207" s="2" t="s">
        <v>98</v>
      </c>
      <c r="Q207" s="2" t="s">
        <v>102</v>
      </c>
      <c r="R207" s="2" t="s">
        <v>103</v>
      </c>
      <c r="S207" s="6" t="n">
        <v>43319</v>
      </c>
      <c r="T207" s="6" t="n">
        <v>43384</v>
      </c>
      <c r="U207" s="2" t="s">
        <v>85</v>
      </c>
      <c r="V207" s="2" t="s">
        <v>85</v>
      </c>
      <c r="W207" s="6"/>
      <c r="X207" s="6"/>
      <c r="Y207" s="2" t="s">
        <v>750</v>
      </c>
      <c r="Z207" s="2" t="n">
        <v>0</v>
      </c>
      <c r="AA207" s="2" t="n">
        <v>0</v>
      </c>
      <c r="AB207" s="6"/>
      <c r="AC207" s="2" t="n">
        <v>0</v>
      </c>
      <c r="AD207" s="2" t="n">
        <v>0</v>
      </c>
      <c r="AE207" s="7" t="n">
        <v>0.177960301163587</v>
      </c>
      <c r="AF207" s="7"/>
      <c r="AG207" s="7"/>
      <c r="AH207" s="7"/>
      <c r="AI207" s="2" t="s">
        <v>86</v>
      </c>
      <c r="AJ207" s="2"/>
      <c r="AK207" s="2"/>
      <c r="AL207" s="2"/>
      <c r="AM207" s="2" t="s">
        <v>751</v>
      </c>
      <c r="AN207" s="2" t="s">
        <v>196</v>
      </c>
      <c r="AO207" s="2" t="s">
        <v>102</v>
      </c>
      <c r="AP207" s="2" t="s">
        <v>752</v>
      </c>
      <c r="AQ207" s="2" t="s">
        <v>125</v>
      </c>
    </row>
    <row r="208" customFormat="false" ht="15" hidden="false" customHeight="false" outlineLevel="0" collapsed="false">
      <c r="A208" s="2" t="s">
        <v>753</v>
      </c>
      <c r="B208" s="2" t="s">
        <v>753</v>
      </c>
      <c r="C208" s="2" t="s">
        <v>64</v>
      </c>
      <c r="D208" s="2" t="s">
        <v>754</v>
      </c>
      <c r="E208" s="2" t="s">
        <v>755</v>
      </c>
      <c r="F208" s="2" t="s">
        <v>289</v>
      </c>
      <c r="G208" s="2" t="s">
        <v>635</v>
      </c>
      <c r="H208" s="2" t="s">
        <v>406</v>
      </c>
      <c r="I208" s="2" t="n">
        <v>52.6652626638506</v>
      </c>
      <c r="J208" s="2" t="n">
        <v>-8.62259877942965</v>
      </c>
      <c r="K208" s="2" t="n">
        <v>22</v>
      </c>
      <c r="L208" s="2" t="s">
        <v>118</v>
      </c>
      <c r="M208" s="2" t="s">
        <v>95</v>
      </c>
      <c r="N208" s="2" t="s">
        <v>72</v>
      </c>
      <c r="O208" s="2" t="s">
        <v>73</v>
      </c>
      <c r="P208" s="2" t="s">
        <v>73</v>
      </c>
      <c r="Q208" s="2" t="s">
        <v>74</v>
      </c>
      <c r="R208" s="2" t="s">
        <v>75</v>
      </c>
      <c r="S208" s="6" t="n">
        <v>45874</v>
      </c>
      <c r="T208" s="6" t="n">
        <v>46181</v>
      </c>
      <c r="U208" s="2" t="s">
        <v>76</v>
      </c>
      <c r="V208" s="2" t="s">
        <v>85</v>
      </c>
      <c r="W208" s="6" t="n">
        <v>48006</v>
      </c>
      <c r="X208" s="6"/>
      <c r="Y208" s="2"/>
      <c r="Z208" s="2" t="n">
        <v>0</v>
      </c>
      <c r="AA208" s="2" t="n">
        <v>0</v>
      </c>
      <c r="AB208" s="6"/>
      <c r="AC208" s="2" t="n">
        <v>0</v>
      </c>
      <c r="AD208" s="2" t="n">
        <v>0</v>
      </c>
      <c r="AE208" s="7" t="n">
        <v>0.840520191649555</v>
      </c>
      <c r="AF208" s="7"/>
      <c r="AG208" s="7"/>
      <c r="AH208" s="7"/>
      <c r="AI208" s="2" t="s">
        <v>77</v>
      </c>
      <c r="AJ208" s="2" t="s">
        <v>78</v>
      </c>
      <c r="AK208" s="2"/>
      <c r="AL208" s="2"/>
      <c r="AM208" s="2"/>
      <c r="AN208" s="2"/>
      <c r="AO208" s="2"/>
      <c r="AP208" s="2"/>
      <c r="AQ208" s="2"/>
    </row>
    <row r="209" customFormat="false" ht="15" hidden="false" customHeight="false" outlineLevel="0" collapsed="false">
      <c r="A209" s="2" t="s">
        <v>756</v>
      </c>
      <c r="B209" s="2" t="s">
        <v>756</v>
      </c>
      <c r="C209" s="2" t="s">
        <v>64</v>
      </c>
      <c r="D209" s="2" t="s">
        <v>757</v>
      </c>
      <c r="E209" s="2" t="s">
        <v>758</v>
      </c>
      <c r="F209" s="2" t="s">
        <v>289</v>
      </c>
      <c r="G209" s="2" t="s">
        <v>635</v>
      </c>
      <c r="H209" s="2" t="s">
        <v>406</v>
      </c>
      <c r="I209" s="2" t="n">
        <v>52.6590241840338</v>
      </c>
      <c r="J209" s="2" t="n">
        <v>-8.62705439944824</v>
      </c>
      <c r="K209" s="2" t="n">
        <v>21</v>
      </c>
      <c r="L209" s="2" t="s">
        <v>118</v>
      </c>
      <c r="M209" s="2" t="s">
        <v>95</v>
      </c>
      <c r="N209" s="2" t="s">
        <v>72</v>
      </c>
      <c r="O209" s="2" t="s">
        <v>73</v>
      </c>
      <c r="P209" s="2" t="s">
        <v>73</v>
      </c>
      <c r="Q209" s="2" t="s">
        <v>74</v>
      </c>
      <c r="R209" s="2" t="s">
        <v>75</v>
      </c>
      <c r="S209" s="6" t="n">
        <v>45069</v>
      </c>
      <c r="T209" s="6" t="n">
        <v>45482</v>
      </c>
      <c r="U209" s="2" t="s">
        <v>85</v>
      </c>
      <c r="V209" s="2" t="s">
        <v>76</v>
      </c>
      <c r="W209" s="6" t="n">
        <v>47307</v>
      </c>
      <c r="X209" s="6"/>
      <c r="Y209" s="2"/>
      <c r="Z209" s="2" t="n">
        <v>0</v>
      </c>
      <c r="AA209" s="2" t="n">
        <v>0</v>
      </c>
      <c r="AB209" s="6"/>
      <c r="AC209" s="2" t="n">
        <v>0</v>
      </c>
      <c r="AD209" s="2" t="n">
        <v>0</v>
      </c>
      <c r="AE209" s="7" t="n">
        <v>1.13073237508556</v>
      </c>
      <c r="AF209" s="7"/>
      <c r="AG209" s="7"/>
      <c r="AH209" s="7"/>
      <c r="AI209" s="2" t="s">
        <v>77</v>
      </c>
      <c r="AJ209" s="2" t="s">
        <v>78</v>
      </c>
      <c r="AK209" s="2"/>
      <c r="AL209" s="2"/>
      <c r="AM209" s="2"/>
      <c r="AN209" s="2"/>
      <c r="AO209" s="2"/>
      <c r="AP209" s="2"/>
      <c r="AQ209" s="2"/>
    </row>
    <row r="210" customFormat="false" ht="15" hidden="false" customHeight="false" outlineLevel="0" collapsed="false">
      <c r="A210" s="2" t="s">
        <v>759</v>
      </c>
      <c r="B210" s="2" t="s">
        <v>759</v>
      </c>
      <c r="C210" s="2" t="s">
        <v>64</v>
      </c>
      <c r="D210" s="2" t="s">
        <v>760</v>
      </c>
      <c r="E210" s="2" t="s">
        <v>761</v>
      </c>
      <c r="F210" s="2" t="s">
        <v>82</v>
      </c>
      <c r="G210" s="2" t="s">
        <v>635</v>
      </c>
      <c r="H210" s="2" t="s">
        <v>640</v>
      </c>
      <c r="I210" s="2" t="n">
        <v>52.6479334958377</v>
      </c>
      <c r="J210" s="2" t="n">
        <v>-8.63307590934186</v>
      </c>
      <c r="K210" s="2" t="n">
        <v>21</v>
      </c>
      <c r="L210" s="2" t="s">
        <v>118</v>
      </c>
      <c r="M210" s="2" t="s">
        <v>95</v>
      </c>
      <c r="N210" s="2" t="s">
        <v>72</v>
      </c>
      <c r="O210" s="2" t="s">
        <v>119</v>
      </c>
      <c r="P210" s="2" t="s">
        <v>98</v>
      </c>
      <c r="Q210" s="2" t="s">
        <v>102</v>
      </c>
      <c r="R210" s="2" t="s">
        <v>103</v>
      </c>
      <c r="S210" s="6" t="n">
        <v>44952</v>
      </c>
      <c r="T210" s="6" t="n">
        <v>45532</v>
      </c>
      <c r="U210" s="2" t="s">
        <v>85</v>
      </c>
      <c r="V210" s="2" t="s">
        <v>76</v>
      </c>
      <c r="W210" s="6" t="n">
        <v>47357</v>
      </c>
      <c r="X210" s="6" t="n">
        <v>45953</v>
      </c>
      <c r="Y210" s="2" t="s">
        <v>104</v>
      </c>
      <c r="Z210" s="2" t="n">
        <v>1</v>
      </c>
      <c r="AA210" s="2" t="n">
        <v>19</v>
      </c>
      <c r="AB210" s="6"/>
      <c r="AC210" s="2" t="n">
        <v>0</v>
      </c>
      <c r="AD210" s="2" t="n">
        <v>0</v>
      </c>
      <c r="AE210" s="7" t="n">
        <v>1.58795345653662</v>
      </c>
      <c r="AF210" s="7" t="n">
        <v>1.15263518138262</v>
      </c>
      <c r="AG210" s="7"/>
      <c r="AH210" s="7"/>
      <c r="AI210" s="2" t="s">
        <v>86</v>
      </c>
      <c r="AJ210" s="2" t="s">
        <v>87</v>
      </c>
      <c r="AK210" s="2"/>
      <c r="AL210" s="2"/>
      <c r="AM210" s="2" t="s">
        <v>762</v>
      </c>
      <c r="AN210" s="2" t="s">
        <v>376</v>
      </c>
      <c r="AO210" s="2" t="s">
        <v>102</v>
      </c>
      <c r="AP210" s="2" t="s">
        <v>124</v>
      </c>
      <c r="AQ210" s="2" t="s">
        <v>215</v>
      </c>
    </row>
    <row r="211" customFormat="false" ht="15" hidden="false" customHeight="false" outlineLevel="0" collapsed="false">
      <c r="A211" s="2" t="s">
        <v>763</v>
      </c>
      <c r="B211" s="2" t="s">
        <v>763</v>
      </c>
      <c r="C211" s="2" t="s">
        <v>64</v>
      </c>
      <c r="D211" s="2" t="s">
        <v>764</v>
      </c>
      <c r="E211" s="2" t="s">
        <v>765</v>
      </c>
      <c r="F211" s="2" t="s">
        <v>648</v>
      </c>
      <c r="G211" s="2" t="s">
        <v>635</v>
      </c>
      <c r="H211" s="2" t="s">
        <v>636</v>
      </c>
      <c r="I211" s="2" t="n">
        <v>52.6328575898982</v>
      </c>
      <c r="J211" s="2" t="n">
        <v>-8.69834851099838</v>
      </c>
      <c r="K211" s="2" t="n">
        <v>21</v>
      </c>
      <c r="L211" s="2" t="s">
        <v>118</v>
      </c>
      <c r="M211" s="2" t="s">
        <v>83</v>
      </c>
      <c r="N211" s="2" t="s">
        <v>72</v>
      </c>
      <c r="O211" s="2" t="s">
        <v>73</v>
      </c>
      <c r="P211" s="2" t="s">
        <v>73</v>
      </c>
      <c r="Q211" s="2" t="s">
        <v>74</v>
      </c>
      <c r="R211" s="2" t="s">
        <v>75</v>
      </c>
      <c r="S211" s="6" t="n">
        <v>44678</v>
      </c>
      <c r="T211" s="6" t="n">
        <v>45313</v>
      </c>
      <c r="U211" s="2" t="s">
        <v>85</v>
      </c>
      <c r="V211" s="2" t="s">
        <v>76</v>
      </c>
      <c r="W211" s="6" t="n">
        <v>47139</v>
      </c>
      <c r="X211" s="6"/>
      <c r="Y211" s="2"/>
      <c r="Z211" s="2" t="n">
        <v>0</v>
      </c>
      <c r="AA211" s="2" t="n">
        <v>0</v>
      </c>
      <c r="AB211" s="6"/>
      <c r="AC211" s="2" t="n">
        <v>0</v>
      </c>
      <c r="AD211" s="2" t="n">
        <v>0</v>
      </c>
      <c r="AE211" s="7" t="n">
        <v>1.73853524982888</v>
      </c>
      <c r="AF211" s="7"/>
      <c r="AG211" s="7"/>
      <c r="AH211" s="7"/>
      <c r="AI211" s="2" t="s">
        <v>86</v>
      </c>
      <c r="AJ211" s="2" t="s">
        <v>87</v>
      </c>
      <c r="AK211" s="2"/>
      <c r="AL211" s="2"/>
      <c r="AM211" s="2"/>
      <c r="AN211" s="2"/>
      <c r="AO211" s="2"/>
      <c r="AP211" s="2"/>
      <c r="AQ211" s="2"/>
    </row>
    <row r="212" customFormat="false" ht="15" hidden="false" customHeight="false" outlineLevel="0" collapsed="false">
      <c r="A212" s="2" t="s">
        <v>766</v>
      </c>
      <c r="B212" s="2" t="s">
        <v>766</v>
      </c>
      <c r="C212" s="2" t="s">
        <v>64</v>
      </c>
      <c r="D212" s="2" t="s">
        <v>743</v>
      </c>
      <c r="E212" s="2" t="s">
        <v>767</v>
      </c>
      <c r="F212" s="2" t="s">
        <v>289</v>
      </c>
      <c r="G212" s="2" t="s">
        <v>635</v>
      </c>
      <c r="H212" s="2" t="s">
        <v>636</v>
      </c>
      <c r="I212" s="2" t="n">
        <v>52.6241402861154</v>
      </c>
      <c r="J212" s="2" t="n">
        <v>-8.65193417411706</v>
      </c>
      <c r="K212" s="2" t="n">
        <v>20</v>
      </c>
      <c r="L212" s="2" t="s">
        <v>118</v>
      </c>
      <c r="M212" s="2" t="s">
        <v>95</v>
      </c>
      <c r="N212" s="2" t="s">
        <v>96</v>
      </c>
      <c r="O212" s="2" t="s">
        <v>97</v>
      </c>
      <c r="P212" s="2" t="s">
        <v>98</v>
      </c>
      <c r="Q212" s="2" t="s">
        <v>74</v>
      </c>
      <c r="R212" s="2" t="s">
        <v>75</v>
      </c>
      <c r="S212" s="6" t="n">
        <v>45579</v>
      </c>
      <c r="T212" s="6" t="n">
        <v>45677</v>
      </c>
      <c r="U212" s="2" t="s">
        <v>85</v>
      </c>
      <c r="V212" s="2" t="s">
        <v>85</v>
      </c>
      <c r="W212" s="6"/>
      <c r="X212" s="6"/>
      <c r="Y212" s="2"/>
      <c r="Z212" s="2" t="n">
        <v>0</v>
      </c>
      <c r="AA212" s="2" t="n">
        <v>0</v>
      </c>
      <c r="AB212" s="6"/>
      <c r="AC212" s="2" t="n">
        <v>0</v>
      </c>
      <c r="AD212" s="2" t="n">
        <v>0</v>
      </c>
      <c r="AE212" s="7" t="n">
        <v>0.268309377138946</v>
      </c>
      <c r="AF212" s="7"/>
      <c r="AG212" s="7"/>
      <c r="AH212" s="7"/>
      <c r="AI212" s="2" t="s">
        <v>249</v>
      </c>
      <c r="AJ212" s="2" t="s">
        <v>112</v>
      </c>
      <c r="AK212" s="2"/>
      <c r="AL212" s="2"/>
      <c r="AM212" s="2"/>
      <c r="AN212" s="2"/>
      <c r="AO212" s="2"/>
      <c r="AP212" s="2"/>
      <c r="AQ212" s="2"/>
    </row>
    <row r="213" customFormat="false" ht="15" hidden="false" customHeight="false" outlineLevel="0" collapsed="false">
      <c r="A213" s="2"/>
      <c r="B213" s="2"/>
      <c r="C213" s="2" t="s">
        <v>64</v>
      </c>
      <c r="D213" s="2" t="s">
        <v>768</v>
      </c>
      <c r="E213" s="2" t="s">
        <v>769</v>
      </c>
      <c r="F213" s="2" t="s">
        <v>82</v>
      </c>
      <c r="G213" s="2" t="s">
        <v>635</v>
      </c>
      <c r="H213" s="2" t="s">
        <v>69</v>
      </c>
      <c r="I213" s="2" t="n">
        <v>52.6343412017013</v>
      </c>
      <c r="J213" s="2" t="n">
        <v>-8.73234084844157</v>
      </c>
      <c r="K213" s="2" t="n">
        <v>17</v>
      </c>
      <c r="L213" s="2" t="s">
        <v>118</v>
      </c>
      <c r="M213" s="2" t="s">
        <v>92</v>
      </c>
      <c r="N213" s="2" t="s">
        <v>72</v>
      </c>
      <c r="O213" s="2" t="s">
        <v>73</v>
      </c>
      <c r="P213" s="2" t="s">
        <v>73</v>
      </c>
      <c r="Q213" s="2" t="s">
        <v>74</v>
      </c>
      <c r="R213" s="2" t="s">
        <v>156</v>
      </c>
      <c r="S213" s="6" t="n">
        <v>43398</v>
      </c>
      <c r="T213" s="6" t="n">
        <v>43735</v>
      </c>
      <c r="U213" s="2" t="s">
        <v>85</v>
      </c>
      <c r="V213" s="2" t="s">
        <v>85</v>
      </c>
      <c r="W213" s="6" t="n">
        <v>45562</v>
      </c>
      <c r="X213" s="6"/>
      <c r="Y213" s="2"/>
      <c r="Z213" s="2" t="n">
        <v>0</v>
      </c>
      <c r="AA213" s="2" t="n">
        <v>0</v>
      </c>
      <c r="AB213" s="6"/>
      <c r="AC213" s="2" t="n">
        <v>0</v>
      </c>
      <c r="AD213" s="2" t="n">
        <v>0</v>
      </c>
      <c r="AE213" s="7" t="n">
        <v>0.922655715263518</v>
      </c>
      <c r="AF213" s="7"/>
      <c r="AG213" s="7"/>
      <c r="AH213" s="7"/>
      <c r="AI213" s="2" t="s">
        <v>86</v>
      </c>
      <c r="AJ213" s="2" t="s">
        <v>87</v>
      </c>
      <c r="AK213" s="2"/>
      <c r="AL213" s="2"/>
      <c r="AM213" s="2"/>
      <c r="AN213" s="2"/>
      <c r="AO213" s="2"/>
      <c r="AP213" s="2"/>
      <c r="AQ213" s="2"/>
    </row>
    <row r="214" customFormat="false" ht="15" hidden="false" customHeight="false" outlineLevel="0" collapsed="false">
      <c r="A214" s="2" t="s">
        <v>770</v>
      </c>
      <c r="B214" s="2" t="s">
        <v>770</v>
      </c>
      <c r="C214" s="2" t="s">
        <v>64</v>
      </c>
      <c r="D214" s="2" t="s">
        <v>771</v>
      </c>
      <c r="E214" s="2" t="s">
        <v>772</v>
      </c>
      <c r="F214" s="2" t="s">
        <v>82</v>
      </c>
      <c r="G214" s="2" t="s">
        <v>635</v>
      </c>
      <c r="H214" s="2" t="s">
        <v>640</v>
      </c>
      <c r="I214" s="2" t="n">
        <v>52.6492030086578</v>
      </c>
      <c r="J214" s="2" t="n">
        <v>-8.63374746197833</v>
      </c>
      <c r="K214" s="2" t="n">
        <v>17</v>
      </c>
      <c r="L214" s="2" t="s">
        <v>118</v>
      </c>
      <c r="M214" s="2" t="s">
        <v>71</v>
      </c>
      <c r="N214" s="2" t="s">
        <v>96</v>
      </c>
      <c r="O214" s="2" t="s">
        <v>97</v>
      </c>
      <c r="P214" s="2" t="s">
        <v>98</v>
      </c>
      <c r="Q214" s="2" t="s">
        <v>120</v>
      </c>
      <c r="R214" s="2" t="s">
        <v>120</v>
      </c>
      <c r="S214" s="6" t="n">
        <v>43395</v>
      </c>
      <c r="T214" s="6" t="n">
        <v>43445</v>
      </c>
      <c r="U214" s="2" t="s">
        <v>85</v>
      </c>
      <c r="V214" s="2" t="s">
        <v>85</v>
      </c>
      <c r="W214" s="6"/>
      <c r="X214" s="6" t="n">
        <v>44141</v>
      </c>
      <c r="Y214" s="2" t="s">
        <v>104</v>
      </c>
      <c r="Z214" s="2" t="n">
        <v>1</v>
      </c>
      <c r="AA214" s="2" t="n">
        <v>17</v>
      </c>
      <c r="AB214" s="6" t="n">
        <v>45014</v>
      </c>
      <c r="AC214" s="2" t="n">
        <v>1</v>
      </c>
      <c r="AD214" s="2" t="n">
        <v>1</v>
      </c>
      <c r="AE214" s="7" t="n">
        <v>0.136892539356605</v>
      </c>
      <c r="AF214" s="7" t="n">
        <v>1.90554414784394</v>
      </c>
      <c r="AG214" s="7" t="n">
        <v>2.39014373716633</v>
      </c>
      <c r="AH214" s="7" t="n">
        <v>7.11254295532646</v>
      </c>
      <c r="AI214" s="2" t="s">
        <v>86</v>
      </c>
      <c r="AJ214" s="2" t="s">
        <v>87</v>
      </c>
      <c r="AK214" s="2"/>
      <c r="AL214" s="2" t="s">
        <v>64</v>
      </c>
      <c r="AM214" s="2" t="s">
        <v>773</v>
      </c>
      <c r="AN214" s="2" t="s">
        <v>196</v>
      </c>
      <c r="AO214" s="2" t="s">
        <v>123</v>
      </c>
      <c r="AP214" s="2" t="s">
        <v>220</v>
      </c>
      <c r="AQ214" s="2" t="s">
        <v>125</v>
      </c>
    </row>
    <row r="215" customFormat="false" ht="15" hidden="false" customHeight="false" outlineLevel="0" collapsed="false">
      <c r="A215" s="2" t="s">
        <v>774</v>
      </c>
      <c r="B215" s="2" t="s">
        <v>774</v>
      </c>
      <c r="C215" s="2" t="s">
        <v>64</v>
      </c>
      <c r="D215" s="2" t="s">
        <v>775</v>
      </c>
      <c r="E215" s="2" t="s">
        <v>776</v>
      </c>
      <c r="F215" s="2" t="s">
        <v>82</v>
      </c>
      <c r="G215" s="2" t="s">
        <v>635</v>
      </c>
      <c r="H215" s="2" t="s">
        <v>406</v>
      </c>
      <c r="I215" s="2" t="n">
        <v>52.6637687022183</v>
      </c>
      <c r="J215" s="2" t="n">
        <v>-8.62354484858622</v>
      </c>
      <c r="K215" s="2" t="n">
        <v>16</v>
      </c>
      <c r="L215" s="2" t="s">
        <v>118</v>
      </c>
      <c r="M215" s="2" t="s">
        <v>95</v>
      </c>
      <c r="N215" s="2" t="s">
        <v>72</v>
      </c>
      <c r="O215" s="2" t="s">
        <v>73</v>
      </c>
      <c r="P215" s="2" t="s">
        <v>73</v>
      </c>
      <c r="Q215" s="2" t="s">
        <v>74</v>
      </c>
      <c r="R215" s="2" t="s">
        <v>75</v>
      </c>
      <c r="S215" s="6" t="n">
        <v>45772</v>
      </c>
      <c r="T215" s="6" t="n">
        <v>46189</v>
      </c>
      <c r="U215" s="2" t="s">
        <v>76</v>
      </c>
      <c r="V215" s="2" t="s">
        <v>76</v>
      </c>
      <c r="W215" s="6" t="n">
        <v>48014</v>
      </c>
      <c r="X215" s="6"/>
      <c r="Y215" s="2"/>
      <c r="Z215" s="2" t="n">
        <v>0</v>
      </c>
      <c r="AA215" s="2" t="n">
        <v>0</v>
      </c>
      <c r="AB215" s="6"/>
      <c r="AC215" s="2" t="n">
        <v>0</v>
      </c>
      <c r="AD215" s="2" t="n">
        <v>0</v>
      </c>
      <c r="AE215" s="7" t="n">
        <v>1.14168377823409</v>
      </c>
      <c r="AF215" s="7"/>
      <c r="AG215" s="7"/>
      <c r="AH215" s="7"/>
      <c r="AI215" s="2" t="s">
        <v>77</v>
      </c>
      <c r="AJ215" s="2" t="s">
        <v>78</v>
      </c>
      <c r="AK215" s="2"/>
      <c r="AL215" s="2"/>
      <c r="AM215" s="2"/>
      <c r="AN215" s="2"/>
      <c r="AO215" s="2"/>
      <c r="AP215" s="2"/>
      <c r="AQ215" s="2"/>
    </row>
    <row r="216" customFormat="false" ht="15" hidden="false" customHeight="false" outlineLevel="0" collapsed="false">
      <c r="A216" s="2" t="s">
        <v>777</v>
      </c>
      <c r="B216" s="2" t="s">
        <v>777</v>
      </c>
      <c r="C216" s="2" t="s">
        <v>404</v>
      </c>
      <c r="D216" s="2"/>
      <c r="E216" s="2" t="s">
        <v>778</v>
      </c>
      <c r="F216" s="2" t="s">
        <v>681</v>
      </c>
      <c r="G216" s="2" t="s">
        <v>635</v>
      </c>
      <c r="H216" s="2" t="s">
        <v>69</v>
      </c>
      <c r="I216" s="2" t="n">
        <v>52.6027981527315</v>
      </c>
      <c r="J216" s="2" t="n">
        <v>-8.71489198153396</v>
      </c>
      <c r="K216" s="2" t="n">
        <v>16</v>
      </c>
      <c r="L216" s="2" t="s">
        <v>118</v>
      </c>
      <c r="M216" s="2" t="s">
        <v>92</v>
      </c>
      <c r="N216" s="2" t="s">
        <v>96</v>
      </c>
      <c r="O216" s="2" t="s">
        <v>97</v>
      </c>
      <c r="P216" s="2" t="s">
        <v>98</v>
      </c>
      <c r="Q216" s="2" t="s">
        <v>407</v>
      </c>
      <c r="R216" s="2" t="s">
        <v>103</v>
      </c>
      <c r="S216" s="6" t="n">
        <v>43024</v>
      </c>
      <c r="T216" s="6" t="n">
        <v>43082</v>
      </c>
      <c r="U216" s="2" t="s">
        <v>85</v>
      </c>
      <c r="V216" s="2" t="s">
        <v>85</v>
      </c>
      <c r="W216" s="6"/>
      <c r="X216" s="6" t="n">
        <v>43567</v>
      </c>
      <c r="Y216" s="2" t="s">
        <v>104</v>
      </c>
      <c r="Z216" s="2" t="n">
        <v>1</v>
      </c>
      <c r="AA216" s="2" t="n">
        <v>16</v>
      </c>
      <c r="AB216" s="6"/>
      <c r="AC216" s="2" t="n">
        <v>1</v>
      </c>
      <c r="AD216" s="2" t="n">
        <v>9</v>
      </c>
      <c r="AE216" s="7" t="n">
        <v>0.158795345653662</v>
      </c>
      <c r="AF216" s="7" t="n">
        <v>1.32785763175907</v>
      </c>
      <c r="AG216" s="7"/>
      <c r="AH216" s="7"/>
      <c r="AI216" s="2" t="s">
        <v>86</v>
      </c>
      <c r="AJ216" s="2"/>
      <c r="AK216" s="2"/>
      <c r="AL216" s="2"/>
      <c r="AM216" s="2"/>
      <c r="AN216" s="2"/>
      <c r="AO216" s="2"/>
      <c r="AP216" s="2"/>
      <c r="AQ216" s="2"/>
    </row>
    <row r="217" customFormat="false" ht="15" hidden="false" customHeight="false" outlineLevel="0" collapsed="false">
      <c r="A217" s="2" t="s">
        <v>779</v>
      </c>
      <c r="B217" s="2" t="s">
        <v>779</v>
      </c>
      <c r="C217" s="2" t="s">
        <v>64</v>
      </c>
      <c r="D217" s="2" t="s">
        <v>780</v>
      </c>
      <c r="E217" s="2" t="s">
        <v>781</v>
      </c>
      <c r="F217" s="2" t="s">
        <v>82</v>
      </c>
      <c r="G217" s="2" t="s">
        <v>635</v>
      </c>
      <c r="H217" s="2" t="s">
        <v>406</v>
      </c>
      <c r="I217" s="2" t="n">
        <v>52.6601338780199</v>
      </c>
      <c r="J217" s="2" t="n">
        <v>-8.63161954966897</v>
      </c>
      <c r="K217" s="2" t="n">
        <v>15</v>
      </c>
      <c r="L217" s="2" t="s">
        <v>118</v>
      </c>
      <c r="M217" s="2" t="s">
        <v>95</v>
      </c>
      <c r="N217" s="2" t="s">
        <v>72</v>
      </c>
      <c r="O217" s="2" t="s">
        <v>73</v>
      </c>
      <c r="P217" s="2" t="s">
        <v>73</v>
      </c>
      <c r="Q217" s="2" t="s">
        <v>74</v>
      </c>
      <c r="R217" s="2" t="s">
        <v>156</v>
      </c>
      <c r="S217" s="6" t="n">
        <v>44022</v>
      </c>
      <c r="T217" s="6" t="n">
        <v>44111</v>
      </c>
      <c r="U217" s="2" t="s">
        <v>85</v>
      </c>
      <c r="V217" s="2" t="s">
        <v>85</v>
      </c>
      <c r="W217" s="6" t="n">
        <v>45936</v>
      </c>
      <c r="X217" s="6"/>
      <c r="Y217" s="2"/>
      <c r="Z217" s="2" t="n">
        <v>0</v>
      </c>
      <c r="AA217" s="2" t="n">
        <v>0</v>
      </c>
      <c r="AB217" s="6"/>
      <c r="AC217" s="2" t="n">
        <v>0</v>
      </c>
      <c r="AD217" s="2" t="n">
        <v>0</v>
      </c>
      <c r="AE217" s="7" t="n">
        <v>0.243668720054757</v>
      </c>
      <c r="AF217" s="7"/>
      <c r="AG217" s="7"/>
      <c r="AH217" s="7"/>
      <c r="AI217" s="2" t="s">
        <v>86</v>
      </c>
      <c r="AJ217" s="2" t="s">
        <v>87</v>
      </c>
      <c r="AK217" s="2"/>
      <c r="AL217" s="2"/>
      <c r="AM217" s="2"/>
      <c r="AN217" s="2"/>
      <c r="AO217" s="2"/>
      <c r="AP217" s="2"/>
      <c r="AQ217" s="2"/>
    </row>
    <row r="218" customFormat="false" ht="15" hidden="false" customHeight="false" outlineLevel="0" collapsed="false">
      <c r="A218" s="2" t="s">
        <v>782</v>
      </c>
      <c r="B218" s="2" t="s">
        <v>782</v>
      </c>
      <c r="C218" s="2" t="s">
        <v>64</v>
      </c>
      <c r="D218" s="2" t="s">
        <v>783</v>
      </c>
      <c r="E218" s="2" t="s">
        <v>784</v>
      </c>
      <c r="F218" s="2" t="s">
        <v>82</v>
      </c>
      <c r="G218" s="2" t="s">
        <v>635</v>
      </c>
      <c r="H218" s="2" t="s">
        <v>406</v>
      </c>
      <c r="I218" s="2" t="n">
        <v>52.6593903802724</v>
      </c>
      <c r="J218" s="2" t="n">
        <v>-8.63477871245981</v>
      </c>
      <c r="K218" s="2" t="n">
        <v>14</v>
      </c>
      <c r="L218" s="2" t="s">
        <v>118</v>
      </c>
      <c r="M218" s="2" t="s">
        <v>95</v>
      </c>
      <c r="N218" s="2" t="s">
        <v>72</v>
      </c>
      <c r="O218" s="2" t="s">
        <v>73</v>
      </c>
      <c r="P218" s="2" t="s">
        <v>73</v>
      </c>
      <c r="Q218" s="2" t="s">
        <v>74</v>
      </c>
      <c r="R218" s="2" t="s">
        <v>75</v>
      </c>
      <c r="S218" s="6" t="n">
        <v>44484</v>
      </c>
      <c r="T218" s="6" t="n">
        <v>44825</v>
      </c>
      <c r="U218" s="2" t="s">
        <v>76</v>
      </c>
      <c r="V218" s="2" t="s">
        <v>85</v>
      </c>
      <c r="W218" s="6" t="n">
        <v>46650</v>
      </c>
      <c r="X218" s="6"/>
      <c r="Y218" s="2"/>
      <c r="Z218" s="2" t="n">
        <v>0</v>
      </c>
      <c r="AA218" s="2" t="n">
        <v>0</v>
      </c>
      <c r="AB218" s="6"/>
      <c r="AC218" s="2" t="n">
        <v>0</v>
      </c>
      <c r="AD218" s="2" t="n">
        <v>0</v>
      </c>
      <c r="AE218" s="7" t="n">
        <v>0.933607118412047</v>
      </c>
      <c r="AF218" s="7"/>
      <c r="AG218" s="7"/>
      <c r="AH218" s="7"/>
      <c r="AI218" s="2" t="s">
        <v>86</v>
      </c>
      <c r="AJ218" s="2" t="s">
        <v>87</v>
      </c>
      <c r="AK218" s="2"/>
      <c r="AL218" s="2"/>
      <c r="AM218" s="2"/>
      <c r="AN218" s="2"/>
      <c r="AO218" s="2"/>
      <c r="AP218" s="2"/>
      <c r="AQ218" s="2"/>
    </row>
    <row r="219" customFormat="false" ht="15" hidden="false" customHeight="false" outlineLevel="0" collapsed="false">
      <c r="A219" s="2" t="s">
        <v>785</v>
      </c>
      <c r="B219" s="2" t="s">
        <v>785</v>
      </c>
      <c r="C219" s="2" t="s">
        <v>64</v>
      </c>
      <c r="D219" s="2" t="s">
        <v>786</v>
      </c>
      <c r="E219" s="2" t="s">
        <v>128</v>
      </c>
      <c r="F219" s="2" t="s">
        <v>82</v>
      </c>
      <c r="G219" s="2" t="s">
        <v>635</v>
      </c>
      <c r="H219" s="2" t="s">
        <v>406</v>
      </c>
      <c r="I219" s="2" t="n">
        <v>52.6602927552924</v>
      </c>
      <c r="J219" s="2" t="n">
        <v>-8.63561140871973</v>
      </c>
      <c r="K219" s="2" t="n">
        <v>14</v>
      </c>
      <c r="L219" s="2" t="s">
        <v>118</v>
      </c>
      <c r="M219" s="2" t="s">
        <v>95</v>
      </c>
      <c r="N219" s="2" t="s">
        <v>72</v>
      </c>
      <c r="O219" s="2" t="s">
        <v>73</v>
      </c>
      <c r="P219" s="2" t="s">
        <v>73</v>
      </c>
      <c r="Q219" s="2" t="s">
        <v>120</v>
      </c>
      <c r="R219" s="2" t="s">
        <v>120</v>
      </c>
      <c r="S219" s="6" t="n">
        <v>43167</v>
      </c>
      <c r="T219" s="6" t="n">
        <v>43354</v>
      </c>
      <c r="U219" s="2" t="s">
        <v>85</v>
      </c>
      <c r="V219" s="2" t="s">
        <v>76</v>
      </c>
      <c r="W219" s="6" t="n">
        <v>45179</v>
      </c>
      <c r="X219" s="6" t="n">
        <v>43613</v>
      </c>
      <c r="Y219" s="2" t="s">
        <v>104</v>
      </c>
      <c r="Z219" s="2" t="n">
        <v>1</v>
      </c>
      <c r="AA219" s="2" t="n">
        <v>14</v>
      </c>
      <c r="AB219" s="6" t="n">
        <v>44089</v>
      </c>
      <c r="AC219" s="2" t="n">
        <v>1</v>
      </c>
      <c r="AD219" s="2" t="n">
        <v>1</v>
      </c>
      <c r="AE219" s="7" t="n">
        <v>0.511978097193703</v>
      </c>
      <c r="AF219" s="7" t="n">
        <v>0.709103353867214</v>
      </c>
      <c r="AG219" s="7" t="n">
        <v>1.30321697467488</v>
      </c>
      <c r="AH219" s="7" t="n">
        <v>10.7426470588235</v>
      </c>
      <c r="AI219" s="2" t="s">
        <v>86</v>
      </c>
      <c r="AJ219" s="2" t="s">
        <v>87</v>
      </c>
      <c r="AK219" s="2"/>
      <c r="AL219" s="2" t="s">
        <v>64</v>
      </c>
      <c r="AM219" s="2"/>
      <c r="AN219" s="2"/>
      <c r="AO219" s="2"/>
      <c r="AP219" s="2"/>
      <c r="AQ219" s="2"/>
    </row>
    <row r="220" customFormat="false" ht="15" hidden="false" customHeight="false" outlineLevel="0" collapsed="false">
      <c r="A220" s="2" t="s">
        <v>787</v>
      </c>
      <c r="B220" s="2" t="s">
        <v>787</v>
      </c>
      <c r="C220" s="2" t="s">
        <v>64</v>
      </c>
      <c r="D220" s="2" t="s">
        <v>788</v>
      </c>
      <c r="E220" s="2" t="s">
        <v>789</v>
      </c>
      <c r="F220" s="2" t="s">
        <v>82</v>
      </c>
      <c r="G220" s="2" t="s">
        <v>635</v>
      </c>
      <c r="H220" s="2" t="s">
        <v>406</v>
      </c>
      <c r="I220" s="2" t="n">
        <v>52.662030308979</v>
      </c>
      <c r="J220" s="2" t="n">
        <v>-8.62381831488659</v>
      </c>
      <c r="K220" s="2" t="n">
        <v>13</v>
      </c>
      <c r="L220" s="2" t="s">
        <v>118</v>
      </c>
      <c r="M220" s="2" t="s">
        <v>95</v>
      </c>
      <c r="N220" s="2" t="s">
        <v>96</v>
      </c>
      <c r="O220" s="2" t="s">
        <v>97</v>
      </c>
      <c r="P220" s="2" t="s">
        <v>98</v>
      </c>
      <c r="Q220" s="2" t="s">
        <v>102</v>
      </c>
      <c r="R220" s="2" t="s">
        <v>103</v>
      </c>
      <c r="S220" s="6" t="n">
        <v>44915</v>
      </c>
      <c r="T220" s="6" t="n">
        <v>45005</v>
      </c>
      <c r="U220" s="2" t="s">
        <v>85</v>
      </c>
      <c r="V220" s="2" t="s">
        <v>85</v>
      </c>
      <c r="W220" s="6"/>
      <c r="X220" s="6" t="n">
        <v>46062</v>
      </c>
      <c r="Y220" s="2" t="s">
        <v>136</v>
      </c>
      <c r="Z220" s="2" t="n">
        <v>0</v>
      </c>
      <c r="AA220" s="2" t="n">
        <v>0</v>
      </c>
      <c r="AB220" s="6"/>
      <c r="AC220" s="2" t="n">
        <v>0</v>
      </c>
      <c r="AD220" s="2" t="n">
        <v>0</v>
      </c>
      <c r="AE220" s="7" t="n">
        <v>0.246406570841889</v>
      </c>
      <c r="AF220" s="7" t="n">
        <v>2.89390828199863</v>
      </c>
      <c r="AG220" s="7"/>
      <c r="AH220" s="7"/>
      <c r="AI220" s="2" t="s">
        <v>86</v>
      </c>
      <c r="AJ220" s="2" t="s">
        <v>87</v>
      </c>
      <c r="AK220" s="2"/>
      <c r="AL220" s="2"/>
      <c r="AM220" s="2"/>
      <c r="AN220" s="2"/>
      <c r="AO220" s="2"/>
      <c r="AP220" s="2"/>
      <c r="AQ220" s="2"/>
    </row>
    <row r="221" customFormat="false" ht="15" hidden="false" customHeight="false" outlineLevel="0" collapsed="false">
      <c r="A221" s="2" t="s">
        <v>790</v>
      </c>
      <c r="B221" s="2" t="s">
        <v>790</v>
      </c>
      <c r="C221" s="2" t="s">
        <v>64</v>
      </c>
      <c r="D221" s="2" t="s">
        <v>791</v>
      </c>
      <c r="E221" s="2" t="s">
        <v>792</v>
      </c>
      <c r="F221" s="2" t="s">
        <v>648</v>
      </c>
      <c r="G221" s="2" t="s">
        <v>635</v>
      </c>
      <c r="H221" s="2" t="s">
        <v>636</v>
      </c>
      <c r="I221" s="2" t="n">
        <v>52.6359317594785</v>
      </c>
      <c r="J221" s="2" t="n">
        <v>-8.6902517131775</v>
      </c>
      <c r="K221" s="2" t="n">
        <v>12</v>
      </c>
      <c r="L221" s="2" t="s">
        <v>118</v>
      </c>
      <c r="M221" s="2" t="s">
        <v>83</v>
      </c>
      <c r="N221" s="2" t="s">
        <v>72</v>
      </c>
      <c r="O221" s="2" t="s">
        <v>73</v>
      </c>
      <c r="P221" s="2" t="s">
        <v>73</v>
      </c>
      <c r="Q221" s="2" t="s">
        <v>102</v>
      </c>
      <c r="R221" s="2" t="s">
        <v>103</v>
      </c>
      <c r="S221" s="6" t="n">
        <v>44280</v>
      </c>
      <c r="T221" s="6" t="n">
        <v>45099</v>
      </c>
      <c r="U221" s="2" t="s">
        <v>76</v>
      </c>
      <c r="V221" s="2" t="s">
        <v>76</v>
      </c>
      <c r="W221" s="6" t="n">
        <v>46925</v>
      </c>
      <c r="X221" s="6" t="n">
        <v>45406</v>
      </c>
      <c r="Y221" s="2" t="s">
        <v>104</v>
      </c>
      <c r="Z221" s="2" t="n">
        <v>2</v>
      </c>
      <c r="AA221" s="2" t="n">
        <v>12</v>
      </c>
      <c r="AB221" s="6"/>
      <c r="AC221" s="2" t="n">
        <v>6</v>
      </c>
      <c r="AD221" s="2" t="n">
        <v>10</v>
      </c>
      <c r="AE221" s="7" t="n">
        <v>2.24229979466119</v>
      </c>
      <c r="AF221" s="7" t="n">
        <v>0.840520191649555</v>
      </c>
      <c r="AG221" s="7"/>
      <c r="AH221" s="7"/>
      <c r="AI221" s="2" t="s">
        <v>86</v>
      </c>
      <c r="AJ221" s="2" t="s">
        <v>87</v>
      </c>
      <c r="AK221" s="2"/>
      <c r="AL221" s="2"/>
      <c r="AM221" s="2"/>
      <c r="AN221" s="2"/>
      <c r="AO221" s="2"/>
      <c r="AP221" s="2"/>
      <c r="AQ221" s="2"/>
    </row>
    <row r="222" customFormat="false" ht="15" hidden="false" customHeight="false" outlineLevel="0" collapsed="false">
      <c r="A222" s="2" t="s">
        <v>793</v>
      </c>
      <c r="B222" s="2" t="s">
        <v>793</v>
      </c>
      <c r="C222" s="2" t="s">
        <v>64</v>
      </c>
      <c r="D222" s="2" t="s">
        <v>679</v>
      </c>
      <c r="E222" s="2" t="s">
        <v>794</v>
      </c>
      <c r="F222" s="2" t="s">
        <v>681</v>
      </c>
      <c r="G222" s="2" t="s">
        <v>635</v>
      </c>
      <c r="H222" s="2" t="s">
        <v>69</v>
      </c>
      <c r="I222" s="2" t="n">
        <v>52.597921826545</v>
      </c>
      <c r="J222" s="2" t="n">
        <v>-8.70611061293357</v>
      </c>
      <c r="K222" s="2" t="n">
        <v>9</v>
      </c>
      <c r="L222" s="2" t="s">
        <v>145</v>
      </c>
      <c r="M222" s="2" t="s">
        <v>83</v>
      </c>
      <c r="N222" s="2" t="s">
        <v>72</v>
      </c>
      <c r="O222" s="2" t="s">
        <v>73</v>
      </c>
      <c r="P222" s="2" t="s">
        <v>73</v>
      </c>
      <c r="Q222" s="2" t="s">
        <v>102</v>
      </c>
      <c r="R222" s="2" t="s">
        <v>103</v>
      </c>
      <c r="S222" s="6" t="n">
        <v>43657</v>
      </c>
      <c r="T222" s="6" t="n">
        <v>43888</v>
      </c>
      <c r="U222" s="2" t="s">
        <v>76</v>
      </c>
      <c r="V222" s="2" t="s">
        <v>85</v>
      </c>
      <c r="W222" s="6" t="n">
        <v>46270</v>
      </c>
      <c r="X222" s="6" t="n">
        <v>45372</v>
      </c>
      <c r="Y222" s="2" t="s">
        <v>104</v>
      </c>
      <c r="Z222" s="2" t="n">
        <v>1</v>
      </c>
      <c r="AA222" s="2" t="n">
        <v>8</v>
      </c>
      <c r="AB222" s="6"/>
      <c r="AC222" s="2" t="n">
        <v>8</v>
      </c>
      <c r="AD222" s="2" t="n">
        <v>2</v>
      </c>
      <c r="AE222" s="7" t="n">
        <v>0.632443531827515</v>
      </c>
      <c r="AF222" s="7" t="n">
        <v>4.06297056810404</v>
      </c>
      <c r="AG222" s="7"/>
      <c r="AH222" s="7"/>
      <c r="AI222" s="2" t="s">
        <v>77</v>
      </c>
      <c r="AJ222" s="2" t="s">
        <v>78</v>
      </c>
      <c r="AK222" s="2"/>
      <c r="AL222" s="2"/>
      <c r="AM222" s="2"/>
      <c r="AN222" s="2"/>
      <c r="AO222" s="2"/>
      <c r="AP222" s="2"/>
      <c r="AQ222" s="2"/>
    </row>
    <row r="223" customFormat="false" ht="15" hidden="false" customHeight="false" outlineLevel="0" collapsed="false">
      <c r="A223" s="2" t="s">
        <v>795</v>
      </c>
      <c r="B223" s="2" t="s">
        <v>795</v>
      </c>
      <c r="C223" s="2" t="s">
        <v>64</v>
      </c>
      <c r="D223" s="2" t="s">
        <v>679</v>
      </c>
      <c r="E223" s="2" t="s">
        <v>796</v>
      </c>
      <c r="F223" s="2" t="s">
        <v>681</v>
      </c>
      <c r="G223" s="2" t="s">
        <v>635</v>
      </c>
      <c r="H223" s="2" t="s">
        <v>69</v>
      </c>
      <c r="I223" s="2" t="n">
        <v>52.599527028755</v>
      </c>
      <c r="J223" s="2" t="n">
        <v>-8.70725295585781</v>
      </c>
      <c r="K223" s="2" t="n">
        <v>9</v>
      </c>
      <c r="L223" s="2" t="s">
        <v>145</v>
      </c>
      <c r="M223" s="2" t="s">
        <v>83</v>
      </c>
      <c r="N223" s="2" t="s">
        <v>72</v>
      </c>
      <c r="O223" s="2" t="s">
        <v>73</v>
      </c>
      <c r="P223" s="2" t="s">
        <v>73</v>
      </c>
      <c r="Q223" s="2" t="s">
        <v>120</v>
      </c>
      <c r="R223" s="2" t="s">
        <v>120</v>
      </c>
      <c r="S223" s="6" t="n">
        <v>44368</v>
      </c>
      <c r="T223" s="6" t="n">
        <v>44756</v>
      </c>
      <c r="U223" s="2" t="s">
        <v>76</v>
      </c>
      <c r="V223" s="2" t="s">
        <v>85</v>
      </c>
      <c r="W223" s="6" t="n">
        <v>46581</v>
      </c>
      <c r="X223" s="6" t="n">
        <v>45369</v>
      </c>
      <c r="Y223" s="2" t="s">
        <v>104</v>
      </c>
      <c r="Z223" s="2" t="n">
        <v>1</v>
      </c>
      <c r="AA223" s="2" t="n">
        <v>5</v>
      </c>
      <c r="AB223" s="6" t="n">
        <v>46185</v>
      </c>
      <c r="AC223" s="2" t="n">
        <v>2</v>
      </c>
      <c r="AD223" s="2" t="n">
        <v>2</v>
      </c>
      <c r="AE223" s="7" t="n">
        <v>1.06228610540726</v>
      </c>
      <c r="AF223" s="7" t="n">
        <v>1.67830253251198</v>
      </c>
      <c r="AG223" s="7" t="n">
        <v>2.23408624229979</v>
      </c>
      <c r="AH223" s="7" t="n">
        <v>4.02849264705882</v>
      </c>
      <c r="AI223" s="2" t="s">
        <v>77</v>
      </c>
      <c r="AJ223" s="2" t="s">
        <v>78</v>
      </c>
      <c r="AK223" s="2"/>
      <c r="AL223" s="2" t="s">
        <v>64</v>
      </c>
      <c r="AM223" s="2"/>
      <c r="AN223" s="2"/>
      <c r="AO223" s="2"/>
      <c r="AP223" s="2"/>
      <c r="AQ223" s="2"/>
    </row>
    <row r="224" customFormat="false" ht="15" hidden="false" customHeight="false" outlineLevel="0" collapsed="false">
      <c r="A224" s="2" t="s">
        <v>797</v>
      </c>
      <c r="B224" s="2" t="s">
        <v>797</v>
      </c>
      <c r="C224" s="2" t="s">
        <v>64</v>
      </c>
      <c r="D224" s="2" t="s">
        <v>798</v>
      </c>
      <c r="E224" s="2" t="s">
        <v>799</v>
      </c>
      <c r="F224" s="2" t="s">
        <v>82</v>
      </c>
      <c r="G224" s="2" t="s">
        <v>635</v>
      </c>
      <c r="H224" s="2" t="s">
        <v>406</v>
      </c>
      <c r="I224" s="2" t="n">
        <v>52.6563097193429</v>
      </c>
      <c r="J224" s="2" t="n">
        <v>-8.62570568131829</v>
      </c>
      <c r="K224" s="2" t="n">
        <v>9</v>
      </c>
      <c r="L224" s="2" t="s">
        <v>145</v>
      </c>
      <c r="M224" s="2" t="s">
        <v>95</v>
      </c>
      <c r="N224" s="2" t="s">
        <v>72</v>
      </c>
      <c r="O224" s="2" t="s">
        <v>73</v>
      </c>
      <c r="P224" s="2" t="s">
        <v>73</v>
      </c>
      <c r="Q224" s="2" t="s">
        <v>120</v>
      </c>
      <c r="R224" s="2" t="s">
        <v>120</v>
      </c>
      <c r="S224" s="6" t="n">
        <v>44916</v>
      </c>
      <c r="T224" s="6" t="n">
        <v>45167</v>
      </c>
      <c r="U224" s="2" t="s">
        <v>76</v>
      </c>
      <c r="V224" s="2" t="s">
        <v>85</v>
      </c>
      <c r="W224" s="6" t="n">
        <v>46993</v>
      </c>
      <c r="X224" s="6" t="n">
        <v>45397</v>
      </c>
      <c r="Y224" s="2" t="s">
        <v>104</v>
      </c>
      <c r="Z224" s="2" t="n">
        <v>1</v>
      </c>
      <c r="AA224" s="2" t="n">
        <v>9</v>
      </c>
      <c r="AB224" s="6" t="n">
        <v>45707</v>
      </c>
      <c r="AC224" s="2" t="n">
        <v>1</v>
      </c>
      <c r="AD224" s="2" t="n">
        <v>1</v>
      </c>
      <c r="AE224" s="7" t="n">
        <v>0.687200547570158</v>
      </c>
      <c r="AF224" s="7" t="n">
        <v>0.629705681040383</v>
      </c>
      <c r="AG224" s="7" t="n">
        <v>0.848733744010951</v>
      </c>
      <c r="AH224" s="7" t="n">
        <v>10.6040322580645</v>
      </c>
      <c r="AI224" s="2" t="s">
        <v>77</v>
      </c>
      <c r="AJ224" s="2" t="s">
        <v>78</v>
      </c>
      <c r="AK224" s="2"/>
      <c r="AL224" s="2" t="s">
        <v>64</v>
      </c>
      <c r="AM224" s="2"/>
      <c r="AN224" s="2"/>
      <c r="AO224" s="2"/>
      <c r="AP224" s="2"/>
      <c r="AQ224" s="2"/>
    </row>
    <row r="225" customFormat="false" ht="15" hidden="false" customHeight="false" outlineLevel="0" collapsed="false">
      <c r="A225" s="2" t="s">
        <v>800</v>
      </c>
      <c r="B225" s="2" t="s">
        <v>800</v>
      </c>
      <c r="C225" s="2" t="s">
        <v>64</v>
      </c>
      <c r="D225" s="2" t="s">
        <v>801</v>
      </c>
      <c r="E225" s="2" t="s">
        <v>802</v>
      </c>
      <c r="F225" s="2" t="s">
        <v>82</v>
      </c>
      <c r="G225" s="2" t="s">
        <v>635</v>
      </c>
      <c r="H225" s="2" t="s">
        <v>406</v>
      </c>
      <c r="I225" s="2" t="n">
        <v>52.6577952126045</v>
      </c>
      <c r="J225" s="2" t="n">
        <v>-8.63409498213069</v>
      </c>
      <c r="K225" s="2" t="n">
        <v>8</v>
      </c>
      <c r="L225" s="2" t="s">
        <v>145</v>
      </c>
      <c r="M225" s="2" t="s">
        <v>95</v>
      </c>
      <c r="N225" s="2" t="s">
        <v>72</v>
      </c>
      <c r="O225" s="2" t="s">
        <v>73</v>
      </c>
      <c r="P225" s="2" t="s">
        <v>73</v>
      </c>
      <c r="Q225" s="2" t="s">
        <v>74</v>
      </c>
      <c r="R225" s="2" t="s">
        <v>75</v>
      </c>
      <c r="S225" s="6" t="n">
        <v>45322</v>
      </c>
      <c r="T225" s="6" t="n">
        <v>45490</v>
      </c>
      <c r="U225" s="2" t="s">
        <v>76</v>
      </c>
      <c r="V225" s="2" t="s">
        <v>85</v>
      </c>
      <c r="W225" s="6" t="n">
        <v>47315</v>
      </c>
      <c r="X225" s="6"/>
      <c r="Y225" s="2"/>
      <c r="Z225" s="2" t="n">
        <v>0</v>
      </c>
      <c r="AA225" s="2" t="n">
        <v>0</v>
      </c>
      <c r="AB225" s="6"/>
      <c r="AC225" s="2" t="n">
        <v>0</v>
      </c>
      <c r="AD225" s="2" t="n">
        <v>0</v>
      </c>
      <c r="AE225" s="7" t="n">
        <v>0.459958932238193</v>
      </c>
      <c r="AF225" s="7"/>
      <c r="AG225" s="7"/>
      <c r="AH225" s="7"/>
      <c r="AI225" s="2" t="s">
        <v>77</v>
      </c>
      <c r="AJ225" s="2" t="s">
        <v>78</v>
      </c>
      <c r="AK225" s="2"/>
      <c r="AL225" s="2"/>
      <c r="AM225" s="2"/>
      <c r="AN225" s="2"/>
      <c r="AO225" s="2"/>
      <c r="AP225" s="2"/>
      <c r="AQ225" s="2"/>
    </row>
    <row r="226" customFormat="false" ht="15" hidden="false" customHeight="false" outlineLevel="0" collapsed="false">
      <c r="A226" s="2" t="s">
        <v>803</v>
      </c>
      <c r="B226" s="2" t="s">
        <v>803</v>
      </c>
      <c r="C226" s="2" t="s">
        <v>64</v>
      </c>
      <c r="D226" s="2" t="s">
        <v>804</v>
      </c>
      <c r="E226" s="2" t="s">
        <v>805</v>
      </c>
      <c r="F226" s="2" t="s">
        <v>82</v>
      </c>
      <c r="G226" s="2" t="s">
        <v>635</v>
      </c>
      <c r="H226" s="2" t="s">
        <v>406</v>
      </c>
      <c r="I226" s="2" t="n">
        <v>52.6643788726021</v>
      </c>
      <c r="J226" s="2" t="n">
        <v>-8.6227144538304</v>
      </c>
      <c r="K226" s="2" t="n">
        <v>8</v>
      </c>
      <c r="L226" s="2" t="s">
        <v>145</v>
      </c>
      <c r="M226" s="2" t="s">
        <v>95</v>
      </c>
      <c r="N226" s="2" t="s">
        <v>72</v>
      </c>
      <c r="O226" s="2" t="s">
        <v>73</v>
      </c>
      <c r="P226" s="2" t="s">
        <v>73</v>
      </c>
      <c r="Q226" s="2" t="s">
        <v>74</v>
      </c>
      <c r="R226" s="2" t="s">
        <v>156</v>
      </c>
      <c r="S226" s="6" t="n">
        <v>43157</v>
      </c>
      <c r="T226" s="6" t="n">
        <v>43300</v>
      </c>
      <c r="U226" s="2" t="s">
        <v>76</v>
      </c>
      <c r="V226" s="2" t="s">
        <v>85</v>
      </c>
      <c r="W226" s="6" t="n">
        <v>45125</v>
      </c>
      <c r="X226" s="6"/>
      <c r="Y226" s="2"/>
      <c r="Z226" s="2" t="n">
        <v>0</v>
      </c>
      <c r="AA226" s="2" t="n">
        <v>0</v>
      </c>
      <c r="AB226" s="6"/>
      <c r="AC226" s="2" t="n">
        <v>0</v>
      </c>
      <c r="AD226" s="2" t="n">
        <v>0</v>
      </c>
      <c r="AE226" s="7" t="n">
        <v>0.391512662559891</v>
      </c>
      <c r="AF226" s="7"/>
      <c r="AG226" s="7"/>
      <c r="AH226" s="7"/>
      <c r="AI226" s="2" t="s">
        <v>86</v>
      </c>
      <c r="AJ226" s="2" t="s">
        <v>87</v>
      </c>
      <c r="AK226" s="2"/>
      <c r="AL226" s="2"/>
      <c r="AM226" s="2"/>
      <c r="AN226" s="2"/>
      <c r="AO226" s="2"/>
      <c r="AP226" s="2"/>
      <c r="AQ226" s="2"/>
    </row>
    <row r="227" customFormat="false" ht="15" hidden="false" customHeight="false" outlineLevel="0" collapsed="false">
      <c r="A227" s="2" t="s">
        <v>806</v>
      </c>
      <c r="B227" s="2" t="s">
        <v>806</v>
      </c>
      <c r="C227" s="2" t="s">
        <v>64</v>
      </c>
      <c r="D227" s="2" t="s">
        <v>798</v>
      </c>
      <c r="E227" s="2" t="s">
        <v>807</v>
      </c>
      <c r="F227" s="2" t="s">
        <v>82</v>
      </c>
      <c r="G227" s="2" t="s">
        <v>635</v>
      </c>
      <c r="H227" s="2" t="s">
        <v>406</v>
      </c>
      <c r="I227" s="2" t="n">
        <v>52.6562979003596</v>
      </c>
      <c r="J227" s="2" t="n">
        <v>-8.62576637938615</v>
      </c>
      <c r="K227" s="2" t="n">
        <v>8</v>
      </c>
      <c r="L227" s="2" t="s">
        <v>145</v>
      </c>
      <c r="M227" s="2" t="s">
        <v>95</v>
      </c>
      <c r="N227" s="2" t="s">
        <v>72</v>
      </c>
      <c r="O227" s="2" t="s">
        <v>73</v>
      </c>
      <c r="P227" s="2" t="s">
        <v>73</v>
      </c>
      <c r="Q227" s="2" t="s">
        <v>74</v>
      </c>
      <c r="R227" s="2" t="s">
        <v>156</v>
      </c>
      <c r="S227" s="6" t="n">
        <v>43987</v>
      </c>
      <c r="T227" s="6" t="n">
        <v>44306</v>
      </c>
      <c r="U227" s="2" t="s">
        <v>76</v>
      </c>
      <c r="V227" s="2" t="s">
        <v>76</v>
      </c>
      <c r="W227" s="6" t="n">
        <v>46131</v>
      </c>
      <c r="X227" s="6"/>
      <c r="Y227" s="2"/>
      <c r="Z227" s="2" t="n">
        <v>0</v>
      </c>
      <c r="AA227" s="2" t="n">
        <v>0</v>
      </c>
      <c r="AB227" s="6"/>
      <c r="AC227" s="2" t="n">
        <v>0</v>
      </c>
      <c r="AD227" s="2" t="n">
        <v>0</v>
      </c>
      <c r="AE227" s="7" t="n">
        <v>0.87337440109514</v>
      </c>
      <c r="AF227" s="7"/>
      <c r="AG227" s="7"/>
      <c r="AH227" s="7"/>
      <c r="AI227" s="2" t="s">
        <v>86</v>
      </c>
      <c r="AJ227" s="2" t="s">
        <v>87</v>
      </c>
      <c r="AK227" s="2"/>
      <c r="AL227" s="2"/>
      <c r="AM227" s="2"/>
      <c r="AN227" s="2"/>
      <c r="AO227" s="2"/>
      <c r="AP227" s="2"/>
      <c r="AQ227" s="2"/>
    </row>
    <row r="228" customFormat="false" ht="15" hidden="false" customHeight="false" outlineLevel="0" collapsed="false">
      <c r="A228" s="2" t="s">
        <v>808</v>
      </c>
      <c r="B228" s="2" t="s">
        <v>808</v>
      </c>
      <c r="C228" s="2" t="s">
        <v>64</v>
      </c>
      <c r="D228" s="2" t="s">
        <v>740</v>
      </c>
      <c r="E228" s="2" t="s">
        <v>809</v>
      </c>
      <c r="F228" s="2" t="s">
        <v>82</v>
      </c>
      <c r="G228" s="2" t="s">
        <v>635</v>
      </c>
      <c r="H228" s="2" t="s">
        <v>406</v>
      </c>
      <c r="I228" s="2" t="n">
        <v>52.6605112</v>
      </c>
      <c r="J228" s="2" t="n">
        <v>-8.6298788</v>
      </c>
      <c r="K228" s="2" t="n">
        <v>8</v>
      </c>
      <c r="L228" s="2" t="s">
        <v>145</v>
      </c>
      <c r="M228" s="2" t="s">
        <v>92</v>
      </c>
      <c r="N228" s="2" t="s">
        <v>96</v>
      </c>
      <c r="O228" s="2" t="s">
        <v>97</v>
      </c>
      <c r="P228" s="2" t="s">
        <v>98</v>
      </c>
      <c r="Q228" s="2" t="s">
        <v>74</v>
      </c>
      <c r="R228" s="2" t="s">
        <v>75</v>
      </c>
      <c r="S228" s="6" t="n">
        <v>44917</v>
      </c>
      <c r="T228" s="6" t="n">
        <v>44659</v>
      </c>
      <c r="U228" s="2" t="s">
        <v>85</v>
      </c>
      <c r="V228" s="2" t="s">
        <v>85</v>
      </c>
      <c r="W228" s="6"/>
      <c r="X228" s="6"/>
      <c r="Y228" s="2"/>
      <c r="Z228" s="2" t="n">
        <v>0</v>
      </c>
      <c r="AA228" s="2" t="n">
        <v>0</v>
      </c>
      <c r="AB228" s="6"/>
      <c r="AC228" s="2" t="n">
        <v>0</v>
      </c>
      <c r="AD228" s="2" t="n">
        <v>0</v>
      </c>
      <c r="AE228" s="7"/>
      <c r="AF228" s="7"/>
      <c r="AG228" s="7"/>
      <c r="AH228" s="7"/>
      <c r="AI228" s="2" t="s">
        <v>77</v>
      </c>
      <c r="AJ228" s="2" t="s">
        <v>78</v>
      </c>
      <c r="AK228" s="2"/>
      <c r="AL228" s="2"/>
      <c r="AM228" s="2"/>
      <c r="AN228" s="2"/>
      <c r="AO228" s="2"/>
      <c r="AP228" s="2"/>
      <c r="AQ228" s="2"/>
    </row>
    <row r="229" customFormat="false" ht="15" hidden="false" customHeight="false" outlineLevel="0" collapsed="false">
      <c r="A229" s="2" t="s">
        <v>810</v>
      </c>
      <c r="B229" s="2" t="s">
        <v>810</v>
      </c>
      <c r="C229" s="2" t="s">
        <v>64</v>
      </c>
      <c r="D229" s="2" t="s">
        <v>811</v>
      </c>
      <c r="E229" s="2" t="s">
        <v>812</v>
      </c>
      <c r="F229" s="2" t="s">
        <v>82</v>
      </c>
      <c r="G229" s="2" t="s">
        <v>635</v>
      </c>
      <c r="H229" s="2" t="s">
        <v>406</v>
      </c>
      <c r="I229" s="2" t="n">
        <v>52.6610739172903</v>
      </c>
      <c r="J229" s="2" t="n">
        <v>-8.62730564621315</v>
      </c>
      <c r="K229" s="2" t="n">
        <v>8</v>
      </c>
      <c r="L229" s="2" t="s">
        <v>145</v>
      </c>
      <c r="M229" s="2" t="s">
        <v>95</v>
      </c>
      <c r="N229" s="2" t="s">
        <v>72</v>
      </c>
      <c r="O229" s="2" t="s">
        <v>73</v>
      </c>
      <c r="P229" s="2" t="s">
        <v>73</v>
      </c>
      <c r="Q229" s="2" t="s">
        <v>102</v>
      </c>
      <c r="R229" s="2" t="s">
        <v>103</v>
      </c>
      <c r="S229" s="6" t="n">
        <v>45303</v>
      </c>
      <c r="T229" s="6" t="n">
        <v>45386</v>
      </c>
      <c r="U229" s="2" t="s">
        <v>85</v>
      </c>
      <c r="V229" s="2" t="s">
        <v>85</v>
      </c>
      <c r="W229" s="6" t="n">
        <v>47211</v>
      </c>
      <c r="X229" s="6" t="n">
        <v>45784</v>
      </c>
      <c r="Y229" s="2" t="s">
        <v>104</v>
      </c>
      <c r="Z229" s="2" t="n">
        <v>1</v>
      </c>
      <c r="AA229" s="2" t="n">
        <v>8</v>
      </c>
      <c r="AB229" s="6"/>
      <c r="AC229" s="2" t="n">
        <v>0</v>
      </c>
      <c r="AD229" s="2" t="n">
        <v>0</v>
      </c>
      <c r="AE229" s="7" t="n">
        <v>0.227241615331964</v>
      </c>
      <c r="AF229" s="7" t="n">
        <v>1.08966461327858</v>
      </c>
      <c r="AG229" s="7"/>
      <c r="AH229" s="7"/>
      <c r="AI229" s="2" t="s">
        <v>77</v>
      </c>
      <c r="AJ229" s="2" t="s">
        <v>78</v>
      </c>
      <c r="AK229" s="2"/>
      <c r="AL229" s="2"/>
      <c r="AM229" s="2"/>
      <c r="AN229" s="2"/>
      <c r="AO229" s="2"/>
      <c r="AP229" s="2"/>
      <c r="AQ229" s="2"/>
    </row>
    <row r="230" customFormat="false" ht="15" hidden="false" customHeight="false" outlineLevel="0" collapsed="false">
      <c r="A230" s="2" t="s">
        <v>813</v>
      </c>
      <c r="B230" s="2" t="s">
        <v>813</v>
      </c>
      <c r="C230" s="2" t="s">
        <v>64</v>
      </c>
      <c r="D230" s="2" t="s">
        <v>814</v>
      </c>
      <c r="E230" s="2" t="s">
        <v>815</v>
      </c>
      <c r="F230" s="2" t="s">
        <v>289</v>
      </c>
      <c r="G230" s="2" t="s">
        <v>635</v>
      </c>
      <c r="H230" s="2" t="s">
        <v>406</v>
      </c>
      <c r="I230" s="2" t="n">
        <v>52.6598826055585</v>
      </c>
      <c r="J230" s="2" t="n">
        <v>-8.63059431146838</v>
      </c>
      <c r="K230" s="2" t="n">
        <v>7</v>
      </c>
      <c r="L230" s="2" t="s">
        <v>145</v>
      </c>
      <c r="M230" s="2" t="s">
        <v>95</v>
      </c>
      <c r="N230" s="2" t="s">
        <v>72</v>
      </c>
      <c r="O230" s="2" t="s">
        <v>73</v>
      </c>
      <c r="P230" s="2" t="s">
        <v>73</v>
      </c>
      <c r="Q230" s="2" t="s">
        <v>102</v>
      </c>
      <c r="R230" s="2" t="s">
        <v>103</v>
      </c>
      <c r="S230" s="6" t="n">
        <v>45345</v>
      </c>
      <c r="T230" s="6" t="n">
        <v>45524</v>
      </c>
      <c r="U230" s="2" t="s">
        <v>76</v>
      </c>
      <c r="V230" s="2" t="s">
        <v>85</v>
      </c>
      <c r="W230" s="6" t="n">
        <v>47349</v>
      </c>
      <c r="X230" s="6" t="n">
        <v>46136</v>
      </c>
      <c r="Y230" s="2" t="s">
        <v>104</v>
      </c>
      <c r="Z230" s="2" t="n">
        <v>1</v>
      </c>
      <c r="AA230" s="2" t="n">
        <v>9</v>
      </c>
      <c r="AB230" s="6"/>
      <c r="AC230" s="2" t="n">
        <v>0</v>
      </c>
      <c r="AD230" s="2" t="n">
        <v>0</v>
      </c>
      <c r="AE230" s="7" t="n">
        <v>0.490075290896646</v>
      </c>
      <c r="AF230" s="7" t="n">
        <v>1.67556468172485</v>
      </c>
      <c r="AG230" s="7"/>
      <c r="AH230" s="7"/>
      <c r="AI230" s="2" t="s">
        <v>77</v>
      </c>
      <c r="AJ230" s="2" t="s">
        <v>78</v>
      </c>
      <c r="AK230" s="2"/>
      <c r="AL230" s="2"/>
      <c r="AM230" s="2"/>
      <c r="AN230" s="2"/>
      <c r="AO230" s="2"/>
      <c r="AP230" s="2"/>
      <c r="AQ230" s="2"/>
    </row>
    <row r="231" customFormat="false" ht="15" hidden="false" customHeight="false" outlineLevel="0" collapsed="false">
      <c r="A231" s="2" t="s">
        <v>816</v>
      </c>
      <c r="B231" s="2" t="s">
        <v>816</v>
      </c>
      <c r="C231" s="2" t="s">
        <v>64</v>
      </c>
      <c r="D231" s="2" t="s">
        <v>661</v>
      </c>
      <c r="E231" s="2" t="s">
        <v>817</v>
      </c>
      <c r="F231" s="2" t="s">
        <v>648</v>
      </c>
      <c r="G231" s="2" t="s">
        <v>635</v>
      </c>
      <c r="H231" s="2" t="s">
        <v>636</v>
      </c>
      <c r="I231" s="2" t="n">
        <v>52.6349372677602</v>
      </c>
      <c r="J231" s="2" t="n">
        <v>-8.67197643723614</v>
      </c>
      <c r="K231" s="2" t="n">
        <v>7</v>
      </c>
      <c r="L231" s="2" t="s">
        <v>145</v>
      </c>
      <c r="M231" s="2" t="s">
        <v>83</v>
      </c>
      <c r="N231" s="2" t="s">
        <v>72</v>
      </c>
      <c r="O231" s="2" t="s">
        <v>73</v>
      </c>
      <c r="P231" s="2" t="s">
        <v>73</v>
      </c>
      <c r="Q231" s="2" t="s">
        <v>120</v>
      </c>
      <c r="R231" s="2" t="s">
        <v>120</v>
      </c>
      <c r="S231" s="6" t="n">
        <v>44309</v>
      </c>
      <c r="T231" s="6" t="n">
        <v>44574</v>
      </c>
      <c r="U231" s="2" t="s">
        <v>76</v>
      </c>
      <c r="V231" s="2" t="s">
        <v>85</v>
      </c>
      <c r="W231" s="6" t="n">
        <v>46399</v>
      </c>
      <c r="X231" s="6" t="n">
        <v>44650</v>
      </c>
      <c r="Y231" s="2" t="s">
        <v>104</v>
      </c>
      <c r="Z231" s="2" t="n">
        <v>1</v>
      </c>
      <c r="AA231" s="2" t="n">
        <v>7</v>
      </c>
      <c r="AB231" s="6" t="n">
        <v>44867</v>
      </c>
      <c r="AC231" s="2" t="n">
        <v>7</v>
      </c>
      <c r="AD231" s="2" t="n">
        <v>7</v>
      </c>
      <c r="AE231" s="7" t="n">
        <v>0.725530458590007</v>
      </c>
      <c r="AF231" s="7" t="n">
        <v>0.20807665982204</v>
      </c>
      <c r="AG231" s="7" t="n">
        <v>0.594113620807666</v>
      </c>
      <c r="AH231" s="7" t="n">
        <v>11.7822580645161</v>
      </c>
      <c r="AI231" s="2" t="s">
        <v>77</v>
      </c>
      <c r="AJ231" s="2" t="s">
        <v>78</v>
      </c>
      <c r="AK231" s="2"/>
      <c r="AL231" s="2" t="s">
        <v>64</v>
      </c>
      <c r="AM231" s="2"/>
      <c r="AN231" s="2"/>
      <c r="AO231" s="2"/>
      <c r="AP231" s="2"/>
      <c r="AQ231" s="2"/>
    </row>
    <row r="232" customFormat="false" ht="15" hidden="false" customHeight="false" outlineLevel="0" collapsed="false">
      <c r="A232" s="2" t="s">
        <v>818</v>
      </c>
      <c r="B232" s="2" t="s">
        <v>818</v>
      </c>
      <c r="C232" s="2" t="s">
        <v>64</v>
      </c>
      <c r="D232" s="2" t="s">
        <v>819</v>
      </c>
      <c r="E232" s="2" t="s">
        <v>820</v>
      </c>
      <c r="F232" s="2" t="s">
        <v>82</v>
      </c>
      <c r="G232" s="2" t="s">
        <v>635</v>
      </c>
      <c r="H232" s="2" t="s">
        <v>640</v>
      </c>
      <c r="I232" s="2" t="n">
        <v>52.6533269204263</v>
      </c>
      <c r="J232" s="2" t="n">
        <v>-8.64713384785289</v>
      </c>
      <c r="K232" s="2" t="n">
        <v>6</v>
      </c>
      <c r="L232" s="2" t="s">
        <v>145</v>
      </c>
      <c r="M232" s="2" t="s">
        <v>95</v>
      </c>
      <c r="N232" s="2" t="s">
        <v>72</v>
      </c>
      <c r="O232" s="2" t="s">
        <v>73</v>
      </c>
      <c r="P232" s="2" t="s">
        <v>73</v>
      </c>
      <c r="Q232" s="2" t="s">
        <v>102</v>
      </c>
      <c r="R232" s="2" t="s">
        <v>103</v>
      </c>
      <c r="S232" s="6" t="n">
        <v>43356</v>
      </c>
      <c r="T232" s="6" t="n">
        <v>43522</v>
      </c>
      <c r="U232" s="2" t="s">
        <v>76</v>
      </c>
      <c r="V232" s="2" t="s">
        <v>85</v>
      </c>
      <c r="W232" s="6" t="n">
        <v>45347</v>
      </c>
      <c r="X232" s="6" t="n">
        <v>43707</v>
      </c>
      <c r="Y232" s="2" t="s">
        <v>104</v>
      </c>
      <c r="Z232" s="2" t="n">
        <v>1</v>
      </c>
      <c r="AA232" s="2" t="n">
        <v>2</v>
      </c>
      <c r="AB232" s="6"/>
      <c r="AC232" s="2" t="n">
        <v>1</v>
      </c>
      <c r="AD232" s="2" t="n">
        <v>1</v>
      </c>
      <c r="AE232" s="7" t="n">
        <v>0.454483230663929</v>
      </c>
      <c r="AF232" s="7" t="n">
        <v>0.506502395619439</v>
      </c>
      <c r="AG232" s="7"/>
      <c r="AH232" s="7"/>
      <c r="AI232" s="2" t="s">
        <v>86</v>
      </c>
      <c r="AJ232" s="2" t="s">
        <v>87</v>
      </c>
      <c r="AK232" s="2"/>
      <c r="AL232" s="2"/>
      <c r="AM232" s="2"/>
      <c r="AN232" s="2"/>
      <c r="AO232" s="2"/>
      <c r="AP232" s="2"/>
      <c r="AQ232" s="2"/>
    </row>
    <row r="233" customFormat="false" ht="15" hidden="false" customHeight="false" outlineLevel="0" collapsed="false">
      <c r="A233" s="2" t="s">
        <v>821</v>
      </c>
      <c r="B233" s="2" t="s">
        <v>821</v>
      </c>
      <c r="C233" s="2" t="s">
        <v>64</v>
      </c>
      <c r="D233" s="2" t="s">
        <v>822</v>
      </c>
      <c r="E233" s="2" t="s">
        <v>823</v>
      </c>
      <c r="F233" s="2" t="s">
        <v>82</v>
      </c>
      <c r="G233" s="2" t="s">
        <v>635</v>
      </c>
      <c r="H233" s="2" t="s">
        <v>406</v>
      </c>
      <c r="I233" s="2" t="n">
        <v>52.663588494994</v>
      </c>
      <c r="J233" s="2" t="n">
        <v>-8.62575386421723</v>
      </c>
      <c r="K233" s="2" t="n">
        <v>6</v>
      </c>
      <c r="L233" s="2" t="s">
        <v>145</v>
      </c>
      <c r="M233" s="2" t="s">
        <v>95</v>
      </c>
      <c r="N233" s="2" t="s">
        <v>72</v>
      </c>
      <c r="O233" s="2" t="s">
        <v>73</v>
      </c>
      <c r="P233" s="2" t="s">
        <v>73</v>
      </c>
      <c r="Q233" s="2" t="s">
        <v>102</v>
      </c>
      <c r="R233" s="2" t="s">
        <v>103</v>
      </c>
      <c r="S233" s="6" t="n">
        <v>45646</v>
      </c>
      <c r="T233" s="6" t="n">
        <v>45832</v>
      </c>
      <c r="U233" s="2" t="s">
        <v>76</v>
      </c>
      <c r="V233" s="2" t="s">
        <v>85</v>
      </c>
      <c r="W233" s="6" t="n">
        <v>47657</v>
      </c>
      <c r="X233" s="6" t="n">
        <v>46076</v>
      </c>
      <c r="Y233" s="2" t="s">
        <v>104</v>
      </c>
      <c r="Z233" s="2" t="n">
        <v>1</v>
      </c>
      <c r="AA233" s="2" t="n">
        <v>6</v>
      </c>
      <c r="AB233" s="6"/>
      <c r="AC233" s="2" t="n">
        <v>0</v>
      </c>
      <c r="AD233" s="2" t="n">
        <v>0</v>
      </c>
      <c r="AE233" s="7" t="n">
        <v>0.509240246406571</v>
      </c>
      <c r="AF233" s="7" t="n">
        <v>0.668035592060233</v>
      </c>
      <c r="AG233" s="7"/>
      <c r="AH233" s="7"/>
      <c r="AI233" s="2" t="s">
        <v>86</v>
      </c>
      <c r="AJ233" s="2" t="s">
        <v>87</v>
      </c>
      <c r="AK233" s="2"/>
      <c r="AL233" s="2"/>
      <c r="AM233" s="2"/>
      <c r="AN233" s="2"/>
      <c r="AO233" s="2"/>
      <c r="AP233" s="2"/>
      <c r="AQ233" s="2"/>
    </row>
    <row r="234" customFormat="false" ht="15" hidden="false" customHeight="false" outlineLevel="0" collapsed="false">
      <c r="A234" s="2" t="s">
        <v>824</v>
      </c>
      <c r="B234" s="2" t="s">
        <v>824</v>
      </c>
      <c r="C234" s="2" t="s">
        <v>64</v>
      </c>
      <c r="D234" s="2" t="s">
        <v>679</v>
      </c>
      <c r="E234" s="2" t="s">
        <v>825</v>
      </c>
      <c r="F234" s="2" t="s">
        <v>681</v>
      </c>
      <c r="G234" s="2" t="s">
        <v>635</v>
      </c>
      <c r="H234" s="2" t="s">
        <v>69</v>
      </c>
      <c r="I234" s="2" t="n">
        <v>52.6002784905634</v>
      </c>
      <c r="J234" s="2" t="n">
        <v>-8.70661820390099</v>
      </c>
      <c r="K234" s="2" t="n">
        <v>6</v>
      </c>
      <c r="L234" s="2" t="s">
        <v>145</v>
      </c>
      <c r="M234" s="2" t="s">
        <v>83</v>
      </c>
      <c r="N234" s="2" t="s">
        <v>72</v>
      </c>
      <c r="O234" s="2" t="s">
        <v>73</v>
      </c>
      <c r="P234" s="2" t="s">
        <v>73</v>
      </c>
      <c r="Q234" s="2" t="s">
        <v>74</v>
      </c>
      <c r="R234" s="2" t="s">
        <v>75</v>
      </c>
      <c r="S234" s="6" t="n">
        <v>45838</v>
      </c>
      <c r="T234" s="6" t="n">
        <v>46113</v>
      </c>
      <c r="U234" s="2" t="s">
        <v>76</v>
      </c>
      <c r="V234" s="2" t="s">
        <v>85</v>
      </c>
      <c r="W234" s="6" t="n">
        <v>47938</v>
      </c>
      <c r="X234" s="6"/>
      <c r="Y234" s="2"/>
      <c r="Z234" s="2" t="n">
        <v>0</v>
      </c>
      <c r="AA234" s="2" t="n">
        <v>0</v>
      </c>
      <c r="AB234" s="6"/>
      <c r="AC234" s="2" t="n">
        <v>0</v>
      </c>
      <c r="AD234" s="2" t="n">
        <v>0</v>
      </c>
      <c r="AE234" s="7" t="n">
        <v>0.752908966461328</v>
      </c>
      <c r="AF234" s="7"/>
      <c r="AG234" s="7"/>
      <c r="AH234" s="7"/>
      <c r="AI234" s="2" t="s">
        <v>77</v>
      </c>
      <c r="AJ234" s="2" t="s">
        <v>78</v>
      </c>
      <c r="AK234" s="2"/>
      <c r="AL234" s="2"/>
      <c r="AM234" s="2"/>
      <c r="AN234" s="2"/>
      <c r="AO234" s="2"/>
      <c r="AP234" s="2"/>
      <c r="AQ234" s="2"/>
    </row>
    <row r="235" customFormat="false" ht="15" hidden="false" customHeight="false" outlineLevel="0" collapsed="false">
      <c r="A235" s="2" t="s">
        <v>826</v>
      </c>
      <c r="B235" s="2" t="s">
        <v>826</v>
      </c>
      <c r="C235" s="2" t="s">
        <v>64</v>
      </c>
      <c r="D235" s="2" t="s">
        <v>788</v>
      </c>
      <c r="E235" s="2" t="s">
        <v>827</v>
      </c>
      <c r="F235" s="2" t="s">
        <v>82</v>
      </c>
      <c r="G235" s="2" t="s">
        <v>635</v>
      </c>
      <c r="H235" s="2" t="s">
        <v>406</v>
      </c>
      <c r="I235" s="2" t="n">
        <v>52.6621490039591</v>
      </c>
      <c r="J235" s="2" t="n">
        <v>-8.62409167737581</v>
      </c>
      <c r="K235" s="2" t="n">
        <v>6</v>
      </c>
      <c r="L235" s="2" t="s">
        <v>145</v>
      </c>
      <c r="M235" s="2" t="s">
        <v>95</v>
      </c>
      <c r="N235" s="2" t="s">
        <v>72</v>
      </c>
      <c r="O235" s="2" t="s">
        <v>73</v>
      </c>
      <c r="P235" s="2" t="s">
        <v>73</v>
      </c>
      <c r="Q235" s="2" t="s">
        <v>74</v>
      </c>
      <c r="R235" s="2" t="s">
        <v>75</v>
      </c>
      <c r="S235" s="6" t="n">
        <v>45830</v>
      </c>
      <c r="T235" s="6" t="n">
        <v>46064</v>
      </c>
      <c r="U235" s="2" t="s">
        <v>76</v>
      </c>
      <c r="V235" s="2" t="s">
        <v>85</v>
      </c>
      <c r="W235" s="6" t="n">
        <v>47889</v>
      </c>
      <c r="X235" s="6"/>
      <c r="Y235" s="2"/>
      <c r="Z235" s="2" t="n">
        <v>0</v>
      </c>
      <c r="AA235" s="2" t="n">
        <v>0</v>
      </c>
      <c r="AB235" s="6"/>
      <c r="AC235" s="2" t="n">
        <v>0</v>
      </c>
      <c r="AD235" s="2" t="n">
        <v>0</v>
      </c>
      <c r="AE235" s="7" t="n">
        <v>0.640657084188912</v>
      </c>
      <c r="AF235" s="7"/>
      <c r="AG235" s="7"/>
      <c r="AH235" s="7"/>
      <c r="AI235" s="2" t="s">
        <v>77</v>
      </c>
      <c r="AJ235" s="2" t="s">
        <v>78</v>
      </c>
      <c r="AK235" s="2"/>
      <c r="AL235" s="2"/>
      <c r="AM235" s="2"/>
      <c r="AN235" s="2"/>
      <c r="AO235" s="2"/>
      <c r="AP235" s="2"/>
      <c r="AQ235" s="2"/>
    </row>
    <row r="236" customFormat="false" ht="15" hidden="false" customHeight="false" outlineLevel="0" collapsed="false">
      <c r="A236" s="2" t="s">
        <v>828</v>
      </c>
      <c r="B236" s="2" t="s">
        <v>828</v>
      </c>
      <c r="C236" s="2" t="s">
        <v>64</v>
      </c>
      <c r="D236" s="2" t="s">
        <v>683</v>
      </c>
      <c r="E236" s="2" t="s">
        <v>829</v>
      </c>
      <c r="F236" s="2" t="s">
        <v>681</v>
      </c>
      <c r="G236" s="2" t="s">
        <v>635</v>
      </c>
      <c r="H236" s="2" t="s">
        <v>69</v>
      </c>
      <c r="I236" s="2" t="n">
        <v>52.6002635791429</v>
      </c>
      <c r="J236" s="2" t="n">
        <v>-8.71163929562638</v>
      </c>
      <c r="K236" s="2" t="n">
        <v>5</v>
      </c>
      <c r="L236" s="2" t="s">
        <v>145</v>
      </c>
      <c r="M236" s="2" t="s">
        <v>83</v>
      </c>
      <c r="N236" s="2" t="s">
        <v>72</v>
      </c>
      <c r="O236" s="2" t="s">
        <v>73</v>
      </c>
      <c r="P236" s="2" t="s">
        <v>73</v>
      </c>
      <c r="Q236" s="2" t="s">
        <v>102</v>
      </c>
      <c r="R236" s="2" t="s">
        <v>103</v>
      </c>
      <c r="S236" s="6" t="n">
        <v>43588</v>
      </c>
      <c r="T236" s="6" t="n">
        <v>43774</v>
      </c>
      <c r="U236" s="2" t="s">
        <v>76</v>
      </c>
      <c r="V236" s="2" t="s">
        <v>85</v>
      </c>
      <c r="W236" s="6" t="n">
        <v>45600</v>
      </c>
      <c r="X236" s="6" t="n">
        <v>45406</v>
      </c>
      <c r="Y236" s="2" t="s">
        <v>104</v>
      </c>
      <c r="Z236" s="2" t="n">
        <v>2</v>
      </c>
      <c r="AA236" s="2" t="n">
        <v>63</v>
      </c>
      <c r="AB236" s="6"/>
      <c r="AC236" s="2" t="n">
        <v>4</v>
      </c>
      <c r="AD236" s="2" t="n">
        <v>7</v>
      </c>
      <c r="AE236" s="7" t="n">
        <v>0.509240246406571</v>
      </c>
      <c r="AF236" s="7" t="n">
        <v>4.46817248459959</v>
      </c>
      <c r="AG236" s="7"/>
      <c r="AH236" s="7"/>
      <c r="AI236" s="2" t="s">
        <v>77</v>
      </c>
      <c r="AJ236" s="2" t="s">
        <v>78</v>
      </c>
      <c r="AK236" s="2"/>
      <c r="AL236" s="2"/>
      <c r="AM236" s="2"/>
      <c r="AN236" s="2"/>
      <c r="AO236" s="2"/>
      <c r="AP236" s="2"/>
      <c r="AQ236" s="2"/>
    </row>
    <row r="237" customFormat="false" ht="15" hidden="false" customHeight="false" outlineLevel="0" collapsed="false">
      <c r="A237" s="2" t="s">
        <v>830</v>
      </c>
      <c r="B237" s="2" t="s">
        <v>830</v>
      </c>
      <c r="C237" s="2" t="s">
        <v>64</v>
      </c>
      <c r="D237" s="2" t="s">
        <v>831</v>
      </c>
      <c r="E237" s="2" t="s">
        <v>832</v>
      </c>
      <c r="F237" s="2" t="s">
        <v>82</v>
      </c>
      <c r="G237" s="2" t="s">
        <v>635</v>
      </c>
      <c r="H237" s="2" t="s">
        <v>406</v>
      </c>
      <c r="I237" s="2" t="n">
        <v>52.6582419783233</v>
      </c>
      <c r="J237" s="2" t="n">
        <v>-8.6340384370829</v>
      </c>
      <c r="K237" s="2" t="n">
        <v>5</v>
      </c>
      <c r="L237" s="2" t="s">
        <v>145</v>
      </c>
      <c r="M237" s="2" t="s">
        <v>95</v>
      </c>
      <c r="N237" s="2" t="s">
        <v>72</v>
      </c>
      <c r="O237" s="2" t="s">
        <v>119</v>
      </c>
      <c r="P237" s="2" t="s">
        <v>98</v>
      </c>
      <c r="Q237" s="2" t="s">
        <v>102</v>
      </c>
      <c r="R237" s="2" t="s">
        <v>103</v>
      </c>
      <c r="S237" s="6" t="n">
        <v>43679</v>
      </c>
      <c r="T237" s="6" t="n">
        <v>43768</v>
      </c>
      <c r="U237" s="2" t="s">
        <v>85</v>
      </c>
      <c r="V237" s="2" t="s">
        <v>85</v>
      </c>
      <c r="W237" s="6" t="n">
        <v>45958</v>
      </c>
      <c r="X237" s="6" t="n">
        <v>44277</v>
      </c>
      <c r="Y237" s="2" t="s">
        <v>104</v>
      </c>
      <c r="Z237" s="2" t="n">
        <v>2</v>
      </c>
      <c r="AA237" s="2" t="n">
        <v>10</v>
      </c>
      <c r="AB237" s="6"/>
      <c r="AC237" s="2" t="n">
        <v>0</v>
      </c>
      <c r="AD237" s="2" t="n">
        <v>0</v>
      </c>
      <c r="AE237" s="7" t="n">
        <v>0.243668720054757</v>
      </c>
      <c r="AF237" s="7" t="n">
        <v>1.39356605065024</v>
      </c>
      <c r="AG237" s="7"/>
      <c r="AH237" s="7"/>
      <c r="AI237" s="2" t="s">
        <v>86</v>
      </c>
      <c r="AJ237" s="2" t="s">
        <v>87</v>
      </c>
      <c r="AK237" s="2"/>
      <c r="AL237" s="2"/>
      <c r="AM237" s="2" t="s">
        <v>833</v>
      </c>
      <c r="AN237" s="2" t="s">
        <v>122</v>
      </c>
      <c r="AO237" s="2" t="s">
        <v>102</v>
      </c>
      <c r="AP237" s="2" t="s">
        <v>834</v>
      </c>
      <c r="AQ237" s="2" t="s">
        <v>125</v>
      </c>
    </row>
    <row r="238" customFormat="false" ht="15" hidden="false" customHeight="false" outlineLevel="0" collapsed="false">
      <c r="A238" s="2" t="s">
        <v>835</v>
      </c>
      <c r="B238" s="2" t="s">
        <v>835</v>
      </c>
      <c r="C238" s="2" t="s">
        <v>64</v>
      </c>
      <c r="D238" s="2" t="s">
        <v>811</v>
      </c>
      <c r="E238" s="2" t="s">
        <v>836</v>
      </c>
      <c r="F238" s="2" t="s">
        <v>82</v>
      </c>
      <c r="G238" s="2" t="s">
        <v>635</v>
      </c>
      <c r="H238" s="2" t="s">
        <v>406</v>
      </c>
      <c r="I238" s="2" t="n">
        <v>52.6613695740086</v>
      </c>
      <c r="J238" s="2" t="n">
        <v>-8.62815853596214</v>
      </c>
      <c r="K238" s="2" t="n">
        <v>3</v>
      </c>
      <c r="L238" s="2" t="s">
        <v>145</v>
      </c>
      <c r="M238" s="2" t="s">
        <v>95</v>
      </c>
      <c r="N238" s="2" t="s">
        <v>72</v>
      </c>
      <c r="O238" s="2" t="s">
        <v>73</v>
      </c>
      <c r="P238" s="2" t="s">
        <v>73</v>
      </c>
      <c r="Q238" s="2" t="s">
        <v>102</v>
      </c>
      <c r="R238" s="2" t="s">
        <v>103</v>
      </c>
      <c r="S238" s="6" t="n">
        <v>45293</v>
      </c>
      <c r="T238" s="6" t="n">
        <v>45378</v>
      </c>
      <c r="U238" s="2" t="s">
        <v>85</v>
      </c>
      <c r="V238" s="2" t="s">
        <v>85</v>
      </c>
      <c r="W238" s="6" t="n">
        <v>47203</v>
      </c>
      <c r="X238" s="6" t="n">
        <v>45656</v>
      </c>
      <c r="Y238" s="2" t="s">
        <v>104</v>
      </c>
      <c r="Z238" s="2" t="n">
        <v>2</v>
      </c>
      <c r="AA238" s="2" t="n">
        <v>6</v>
      </c>
      <c r="AB238" s="6"/>
      <c r="AC238" s="2" t="n">
        <v>0</v>
      </c>
      <c r="AD238" s="2" t="n">
        <v>0</v>
      </c>
      <c r="AE238" s="7" t="n">
        <v>0.232717316906229</v>
      </c>
      <c r="AF238" s="7" t="n">
        <v>0.761122518822724</v>
      </c>
      <c r="AG238" s="7"/>
      <c r="AH238" s="7"/>
      <c r="AI238" s="2" t="s">
        <v>86</v>
      </c>
      <c r="AJ238" s="2" t="s">
        <v>87</v>
      </c>
      <c r="AK238" s="2"/>
      <c r="AL238" s="2"/>
      <c r="AM238" s="2"/>
      <c r="AN238" s="2"/>
      <c r="AO238" s="2"/>
      <c r="AP238" s="2"/>
      <c r="AQ238" s="2"/>
    </row>
    <row r="239" customFormat="false" ht="15" hidden="false" customHeight="false" outlineLevel="0" collapsed="false">
      <c r="A239" s="2" t="s">
        <v>837</v>
      </c>
      <c r="B239" s="2" t="s">
        <v>837</v>
      </c>
      <c r="C239" s="2" t="s">
        <v>64</v>
      </c>
      <c r="D239" s="2" t="s">
        <v>838</v>
      </c>
      <c r="E239" s="2" t="s">
        <v>839</v>
      </c>
      <c r="F239" s="2" t="s">
        <v>82</v>
      </c>
      <c r="G239" s="2" t="s">
        <v>635</v>
      </c>
      <c r="H239" s="2" t="s">
        <v>406</v>
      </c>
      <c r="I239" s="2" t="n">
        <v>52.6559566582576</v>
      </c>
      <c r="J239" s="2" t="n">
        <v>-8.62838691710396</v>
      </c>
      <c r="K239" s="2" t="n">
        <v>2</v>
      </c>
      <c r="L239" s="2" t="s">
        <v>145</v>
      </c>
      <c r="M239" s="2" t="s">
        <v>95</v>
      </c>
      <c r="N239" s="2" t="s">
        <v>72</v>
      </c>
      <c r="O239" s="2" t="s">
        <v>73</v>
      </c>
      <c r="P239" s="2" t="s">
        <v>73</v>
      </c>
      <c r="Q239" s="2" t="s">
        <v>102</v>
      </c>
      <c r="R239" s="2" t="s">
        <v>103</v>
      </c>
      <c r="S239" s="6" t="n">
        <v>43704</v>
      </c>
      <c r="T239" s="6" t="n">
        <v>44090</v>
      </c>
      <c r="U239" s="2" t="s">
        <v>76</v>
      </c>
      <c r="V239" s="2" t="s">
        <v>85</v>
      </c>
      <c r="W239" s="6" t="n">
        <v>45915</v>
      </c>
      <c r="X239" s="6" t="n">
        <v>45174</v>
      </c>
      <c r="Y239" s="2" t="s">
        <v>104</v>
      </c>
      <c r="Z239" s="2" t="n">
        <v>1</v>
      </c>
      <c r="AA239" s="2" t="n">
        <v>4</v>
      </c>
      <c r="AB239" s="6"/>
      <c r="AC239" s="2" t="n">
        <v>0</v>
      </c>
      <c r="AD239" s="2" t="n">
        <v>0</v>
      </c>
      <c r="AE239" s="7" t="n">
        <v>1.05681040383299</v>
      </c>
      <c r="AF239" s="7" t="n">
        <v>2.9678302532512</v>
      </c>
      <c r="AG239" s="7"/>
      <c r="AH239" s="7"/>
      <c r="AI239" s="2" t="s">
        <v>86</v>
      </c>
      <c r="AJ239" s="2" t="s">
        <v>87</v>
      </c>
      <c r="AK239" s="2"/>
      <c r="AL239" s="2"/>
      <c r="AM239" s="2"/>
      <c r="AN239" s="2"/>
      <c r="AO239" s="2"/>
      <c r="AP239" s="2"/>
      <c r="AQ239" s="2"/>
    </row>
    <row r="240" customFormat="false" ht="15" hidden="false" customHeight="false" outlineLevel="0" collapsed="false">
      <c r="A240" s="2" t="s">
        <v>840</v>
      </c>
      <c r="B240" s="2" t="s">
        <v>840</v>
      </c>
      <c r="C240" s="2" t="s">
        <v>64</v>
      </c>
      <c r="D240" s="2" t="s">
        <v>666</v>
      </c>
      <c r="E240" s="2" t="s">
        <v>841</v>
      </c>
      <c r="F240" s="2" t="s">
        <v>648</v>
      </c>
      <c r="G240" s="2" t="s">
        <v>635</v>
      </c>
      <c r="H240" s="2" t="s">
        <v>636</v>
      </c>
      <c r="I240" s="2" t="n">
        <v>52.6381011887187</v>
      </c>
      <c r="J240" s="2" t="n">
        <v>-8.67669636279446</v>
      </c>
      <c r="K240" s="2" t="n">
        <v>0</v>
      </c>
      <c r="L240" s="2" t="s">
        <v>92</v>
      </c>
      <c r="M240" s="2" t="s">
        <v>83</v>
      </c>
      <c r="N240" s="2" t="s">
        <v>72</v>
      </c>
      <c r="O240" s="2" t="s">
        <v>73</v>
      </c>
      <c r="P240" s="2" t="s">
        <v>73</v>
      </c>
      <c r="Q240" s="2" t="s">
        <v>74</v>
      </c>
      <c r="R240" s="2" t="s">
        <v>75</v>
      </c>
      <c r="S240" s="6" t="n">
        <v>43109</v>
      </c>
      <c r="T240" s="6" t="n">
        <v>43200</v>
      </c>
      <c r="U240" s="2" t="s">
        <v>76</v>
      </c>
      <c r="V240" s="2" t="s">
        <v>85</v>
      </c>
      <c r="W240" s="6" t="n">
        <v>47189</v>
      </c>
      <c r="X240" s="6"/>
      <c r="Y240" s="2"/>
      <c r="Z240" s="2" t="n">
        <v>0</v>
      </c>
      <c r="AA240" s="2" t="n">
        <v>0</v>
      </c>
      <c r="AB240" s="6"/>
      <c r="AC240" s="2" t="n">
        <v>0</v>
      </c>
      <c r="AD240" s="2" t="n">
        <v>0</v>
      </c>
      <c r="AE240" s="7" t="n">
        <v>0.249144421629021</v>
      </c>
      <c r="AF240" s="7"/>
      <c r="AG240" s="7"/>
      <c r="AH240" s="7"/>
      <c r="AI240" s="2" t="s">
        <v>152</v>
      </c>
      <c r="AJ240" s="2" t="s">
        <v>78</v>
      </c>
      <c r="AK240" s="2"/>
      <c r="AL240" s="2"/>
      <c r="AM240" s="2"/>
      <c r="AN240" s="2"/>
      <c r="AO240" s="2"/>
      <c r="AP240" s="2"/>
      <c r="AQ240" s="2"/>
    </row>
    <row r="241" customFormat="false" ht="15" hidden="false" customHeight="false" outlineLevel="0" collapsed="false">
      <c r="A241" s="2" t="s">
        <v>842</v>
      </c>
      <c r="B241" s="2" t="s">
        <v>842</v>
      </c>
      <c r="C241" s="2" t="s">
        <v>64</v>
      </c>
      <c r="D241" s="2" t="s">
        <v>661</v>
      </c>
      <c r="E241" s="2" t="s">
        <v>843</v>
      </c>
      <c r="F241" s="2" t="s">
        <v>648</v>
      </c>
      <c r="G241" s="2" t="s">
        <v>635</v>
      </c>
      <c r="H241" s="2" t="s">
        <v>636</v>
      </c>
      <c r="I241" s="2" t="n">
        <v>52.6343010763582</v>
      </c>
      <c r="J241" s="2" t="n">
        <v>-8.67143335753515</v>
      </c>
      <c r="K241" s="2" t="n">
        <v>0</v>
      </c>
      <c r="L241" s="2" t="s">
        <v>92</v>
      </c>
      <c r="M241" s="2" t="s">
        <v>83</v>
      </c>
      <c r="N241" s="2" t="s">
        <v>72</v>
      </c>
      <c r="O241" s="2" t="s">
        <v>73</v>
      </c>
      <c r="P241" s="2" t="s">
        <v>73</v>
      </c>
      <c r="Q241" s="2" t="s">
        <v>120</v>
      </c>
      <c r="R241" s="2" t="s">
        <v>120</v>
      </c>
      <c r="S241" s="6" t="n">
        <v>43742</v>
      </c>
      <c r="T241" s="6" t="n">
        <v>43840</v>
      </c>
      <c r="U241" s="2" t="s">
        <v>85</v>
      </c>
      <c r="V241" s="2" t="s">
        <v>85</v>
      </c>
      <c r="W241" s="6" t="n">
        <v>44983</v>
      </c>
      <c r="X241" s="6" t="n">
        <v>44169</v>
      </c>
      <c r="Y241" s="2" t="s">
        <v>104</v>
      </c>
      <c r="Z241" s="2" t="n">
        <v>1</v>
      </c>
      <c r="AA241" s="2" t="n">
        <v>8</v>
      </c>
      <c r="AB241" s="6" t="n">
        <v>44349</v>
      </c>
      <c r="AC241" s="2" t="n">
        <v>1</v>
      </c>
      <c r="AD241" s="2" t="n">
        <v>8</v>
      </c>
      <c r="AE241" s="7" t="n">
        <v>0.268309377138946</v>
      </c>
      <c r="AF241" s="7" t="n">
        <v>0.900752908966461</v>
      </c>
      <c r="AG241" s="7" t="n">
        <v>0.492813141683778</v>
      </c>
      <c r="AH241" s="7" t="n">
        <v>0</v>
      </c>
      <c r="AI241" s="2" t="s">
        <v>86</v>
      </c>
      <c r="AJ241" s="2" t="s">
        <v>87</v>
      </c>
      <c r="AK241" s="2"/>
      <c r="AL241" s="2" t="s">
        <v>64</v>
      </c>
      <c r="AM241" s="2"/>
      <c r="AN241" s="2"/>
      <c r="AO241" s="2"/>
      <c r="AP241" s="2"/>
      <c r="AQ241" s="2"/>
    </row>
    <row r="242" customFormat="false" ht="15" hidden="false" customHeight="false" outlineLevel="0" collapsed="false">
      <c r="A242" s="2" t="s">
        <v>844</v>
      </c>
      <c r="B242" s="2" t="s">
        <v>844</v>
      </c>
      <c r="C242" s="2" t="s">
        <v>64</v>
      </c>
      <c r="D242" s="2" t="s">
        <v>845</v>
      </c>
      <c r="E242" s="2" t="s">
        <v>846</v>
      </c>
      <c r="F242" s="2" t="s">
        <v>82</v>
      </c>
      <c r="G242" s="2" t="s">
        <v>635</v>
      </c>
      <c r="H242" s="2" t="s">
        <v>406</v>
      </c>
      <c r="I242" s="2" t="n">
        <v>52.6568265279582</v>
      </c>
      <c r="J242" s="2" t="n">
        <v>-8.63437176270638</v>
      </c>
      <c r="K242" s="2"/>
      <c r="L242" s="2" t="s">
        <v>92</v>
      </c>
      <c r="M242" s="2" t="s">
        <v>297</v>
      </c>
      <c r="N242" s="2" t="s">
        <v>72</v>
      </c>
      <c r="O242" s="2" t="s">
        <v>73</v>
      </c>
      <c r="P242" s="2" t="s">
        <v>73</v>
      </c>
      <c r="Q242" s="2" t="s">
        <v>74</v>
      </c>
      <c r="R242" s="2" t="s">
        <v>156</v>
      </c>
      <c r="S242" s="6" t="n">
        <v>44144</v>
      </c>
      <c r="T242" s="6" t="n">
        <v>44460</v>
      </c>
      <c r="U242" s="2" t="s">
        <v>76</v>
      </c>
      <c r="V242" s="2" t="s">
        <v>85</v>
      </c>
      <c r="W242" s="6" t="n">
        <v>46285</v>
      </c>
      <c r="X242" s="6"/>
      <c r="Y242" s="2"/>
      <c r="Z242" s="2" t="n">
        <v>0</v>
      </c>
      <c r="AA242" s="2" t="n">
        <v>0</v>
      </c>
      <c r="AB242" s="6"/>
      <c r="AC242" s="2" t="n">
        <v>0</v>
      </c>
      <c r="AD242" s="2" t="n">
        <v>0</v>
      </c>
      <c r="AE242" s="7" t="n">
        <v>0.865160848733744</v>
      </c>
      <c r="AF242" s="7"/>
      <c r="AG242" s="7"/>
      <c r="AH242" s="7"/>
      <c r="AI242" s="2" t="s">
        <v>86</v>
      </c>
      <c r="AJ242" s="2" t="s">
        <v>87</v>
      </c>
      <c r="AK242" s="2"/>
      <c r="AL242" s="2"/>
      <c r="AM242" s="2"/>
      <c r="AN242" s="2"/>
      <c r="AO242" s="2"/>
      <c r="AP242" s="2"/>
      <c r="AQ242" s="2"/>
    </row>
    <row r="243" customFormat="false" ht="15" hidden="false" customHeight="false" outlineLevel="0" collapsed="false">
      <c r="A243" s="2" t="s">
        <v>847</v>
      </c>
      <c r="B243" s="2" t="s">
        <v>847</v>
      </c>
      <c r="C243" s="2" t="s">
        <v>64</v>
      </c>
      <c r="D243" s="2" t="s">
        <v>848</v>
      </c>
      <c r="E243" s="2" t="s">
        <v>849</v>
      </c>
      <c r="F243" s="2" t="s">
        <v>850</v>
      </c>
      <c r="G243" s="2" t="s">
        <v>850</v>
      </c>
      <c r="H243" s="2" t="s">
        <v>69</v>
      </c>
      <c r="I243" s="2" t="n">
        <v>52.4573433664476</v>
      </c>
      <c r="J243" s="2" t="n">
        <v>-9.06285964052425</v>
      </c>
      <c r="K243" s="2" t="n">
        <v>93</v>
      </c>
      <c r="L243" s="2" t="s">
        <v>70</v>
      </c>
      <c r="M243" s="2" t="s">
        <v>71</v>
      </c>
      <c r="N243" s="2" t="s">
        <v>72</v>
      </c>
      <c r="O243" s="2" t="s">
        <v>73</v>
      </c>
      <c r="P243" s="2" t="s">
        <v>73</v>
      </c>
      <c r="Q243" s="2" t="s">
        <v>330</v>
      </c>
      <c r="R243" s="2" t="s">
        <v>103</v>
      </c>
      <c r="S243" s="6" t="n">
        <v>44771</v>
      </c>
      <c r="T243" s="6" t="n">
        <v>45103</v>
      </c>
      <c r="U243" s="2" t="s">
        <v>76</v>
      </c>
      <c r="V243" s="2" t="s">
        <v>85</v>
      </c>
      <c r="W243" s="6" t="n">
        <v>46929</v>
      </c>
      <c r="X243" s="6" t="n">
        <v>45322</v>
      </c>
      <c r="Y243" s="2" t="s">
        <v>104</v>
      </c>
      <c r="Z243" s="2" t="n">
        <v>7</v>
      </c>
      <c r="AA243" s="2" t="n">
        <v>79</v>
      </c>
      <c r="AB243" s="6"/>
      <c r="AC243" s="2" t="n">
        <v>1</v>
      </c>
      <c r="AD243" s="2" t="n">
        <v>1</v>
      </c>
      <c r="AE243" s="7" t="n">
        <v>0.908966461327858</v>
      </c>
      <c r="AF243" s="7" t="n">
        <v>0.59958932238193</v>
      </c>
      <c r="AG243" s="7"/>
      <c r="AH243" s="7"/>
      <c r="AI243" s="2" t="s">
        <v>86</v>
      </c>
      <c r="AJ243" s="2" t="s">
        <v>87</v>
      </c>
      <c r="AK243" s="2"/>
      <c r="AL243" s="2"/>
      <c r="AM243" s="2"/>
      <c r="AN243" s="2"/>
      <c r="AO243" s="2"/>
      <c r="AP243" s="2"/>
      <c r="AQ243" s="2"/>
    </row>
    <row r="244" customFormat="false" ht="15" hidden="false" customHeight="false" outlineLevel="0" collapsed="false">
      <c r="A244" s="2" t="s">
        <v>851</v>
      </c>
      <c r="B244" s="2" t="s">
        <v>851</v>
      </c>
      <c r="C244" s="2" t="s">
        <v>64</v>
      </c>
      <c r="D244" s="2" t="s">
        <v>852</v>
      </c>
      <c r="E244" s="2" t="s">
        <v>853</v>
      </c>
      <c r="F244" s="2" t="s">
        <v>854</v>
      </c>
      <c r="G244" s="2" t="s">
        <v>850</v>
      </c>
      <c r="H244" s="2" t="s">
        <v>69</v>
      </c>
      <c r="I244" s="2" t="n">
        <v>52.3820358210501</v>
      </c>
      <c r="J244" s="2" t="n">
        <v>-9.29829557711754</v>
      </c>
      <c r="K244" s="2" t="n">
        <v>68</v>
      </c>
      <c r="L244" s="2" t="s">
        <v>70</v>
      </c>
      <c r="M244" s="2" t="s">
        <v>95</v>
      </c>
      <c r="N244" s="2" t="s">
        <v>72</v>
      </c>
      <c r="O244" s="2" t="s">
        <v>73</v>
      </c>
      <c r="P244" s="2" t="s">
        <v>73</v>
      </c>
      <c r="Q244" s="2" t="s">
        <v>84</v>
      </c>
      <c r="R244" s="2" t="s">
        <v>75</v>
      </c>
      <c r="S244" s="6" t="n">
        <v>44321</v>
      </c>
      <c r="T244" s="6" t="n">
        <v>44810</v>
      </c>
      <c r="U244" s="2" t="s">
        <v>76</v>
      </c>
      <c r="V244" s="2" t="s">
        <v>76</v>
      </c>
      <c r="W244" s="6" t="n">
        <v>46635</v>
      </c>
      <c r="X244" s="6"/>
      <c r="Y244" s="2"/>
      <c r="Z244" s="2" t="n">
        <v>0</v>
      </c>
      <c r="AA244" s="2" t="n">
        <v>0</v>
      </c>
      <c r="AB244" s="6"/>
      <c r="AC244" s="2" t="n">
        <v>0</v>
      </c>
      <c r="AD244" s="2" t="n">
        <v>0</v>
      </c>
      <c r="AE244" s="7" t="n">
        <v>1.3388090349076</v>
      </c>
      <c r="AF244" s="7"/>
      <c r="AG244" s="7"/>
      <c r="AH244" s="7"/>
      <c r="AI244" s="2" t="s">
        <v>86</v>
      </c>
      <c r="AJ244" s="2" t="s">
        <v>87</v>
      </c>
      <c r="AK244" s="2" t="s">
        <v>174</v>
      </c>
      <c r="AL244" s="2"/>
      <c r="AM244" s="2"/>
      <c r="AN244" s="2"/>
      <c r="AO244" s="2"/>
      <c r="AP244" s="2"/>
      <c r="AQ244" s="2"/>
    </row>
    <row r="245" customFormat="false" ht="15" hidden="false" customHeight="false" outlineLevel="0" collapsed="false">
      <c r="A245" s="2" t="s">
        <v>855</v>
      </c>
      <c r="B245" s="2" t="s">
        <v>855</v>
      </c>
      <c r="C245" s="2" t="s">
        <v>64</v>
      </c>
      <c r="D245" s="2" t="s">
        <v>856</v>
      </c>
      <c r="E245" s="2" t="s">
        <v>857</v>
      </c>
      <c r="F245" s="2" t="s">
        <v>850</v>
      </c>
      <c r="G245" s="2" t="s">
        <v>850</v>
      </c>
      <c r="H245" s="2" t="s">
        <v>69</v>
      </c>
      <c r="I245" s="2" t="n">
        <v>52.4425730921793</v>
      </c>
      <c r="J245" s="2" t="n">
        <v>-9.05203665829991</v>
      </c>
      <c r="K245" s="2" t="n">
        <v>61</v>
      </c>
      <c r="L245" s="2" t="s">
        <v>70</v>
      </c>
      <c r="M245" s="2" t="s">
        <v>95</v>
      </c>
      <c r="N245" s="2" t="s">
        <v>72</v>
      </c>
      <c r="O245" s="2" t="s">
        <v>73</v>
      </c>
      <c r="P245" s="2" t="s">
        <v>73</v>
      </c>
      <c r="Q245" s="2" t="s">
        <v>263</v>
      </c>
      <c r="R245" s="2" t="s">
        <v>103</v>
      </c>
      <c r="S245" s="6" t="n">
        <v>44309</v>
      </c>
      <c r="T245" s="6" t="n">
        <v>44684</v>
      </c>
      <c r="U245" s="2" t="s">
        <v>76</v>
      </c>
      <c r="V245" s="2" t="s">
        <v>85</v>
      </c>
      <c r="W245" s="6" t="n">
        <v>46509</v>
      </c>
      <c r="X245" s="6" t="n">
        <v>44820</v>
      </c>
      <c r="Y245" s="2" t="s">
        <v>104</v>
      </c>
      <c r="Z245" s="2" t="n">
        <v>4</v>
      </c>
      <c r="AA245" s="2" t="n">
        <v>51</v>
      </c>
      <c r="AB245" s="6"/>
      <c r="AC245" s="2" t="n">
        <v>6</v>
      </c>
      <c r="AD245" s="2" t="n">
        <v>15</v>
      </c>
      <c r="AE245" s="7" t="n">
        <v>1.02669404517454</v>
      </c>
      <c r="AF245" s="7" t="n">
        <v>0.372347707049966</v>
      </c>
      <c r="AG245" s="7"/>
      <c r="AH245" s="7"/>
      <c r="AI245" s="2" t="s">
        <v>86</v>
      </c>
      <c r="AJ245" s="2" t="s">
        <v>87</v>
      </c>
      <c r="AK245" s="2"/>
      <c r="AL245" s="2"/>
      <c r="AM245" s="2"/>
      <c r="AN245" s="2"/>
      <c r="AO245" s="2"/>
      <c r="AP245" s="2"/>
      <c r="AQ245" s="2"/>
    </row>
    <row r="246" customFormat="false" ht="15" hidden="false" customHeight="false" outlineLevel="0" collapsed="false">
      <c r="A246" s="2" t="s">
        <v>858</v>
      </c>
      <c r="B246" s="2" t="s">
        <v>858</v>
      </c>
      <c r="C246" s="2" t="s">
        <v>64</v>
      </c>
      <c r="D246" s="2" t="s">
        <v>859</v>
      </c>
      <c r="E246" s="2" t="s">
        <v>860</v>
      </c>
      <c r="F246" s="2" t="s">
        <v>850</v>
      </c>
      <c r="G246" s="2" t="s">
        <v>850</v>
      </c>
      <c r="H246" s="2" t="s">
        <v>69</v>
      </c>
      <c r="I246" s="2" t="n">
        <v>52.4542757997914</v>
      </c>
      <c r="J246" s="2" t="n">
        <v>-9.06660700243448</v>
      </c>
      <c r="K246" s="2" t="n">
        <v>53</v>
      </c>
      <c r="L246" s="2" t="s">
        <v>70</v>
      </c>
      <c r="M246" s="2" t="s">
        <v>83</v>
      </c>
      <c r="N246" s="2" t="s">
        <v>72</v>
      </c>
      <c r="O246" s="2" t="s">
        <v>73</v>
      </c>
      <c r="P246" s="2" t="s">
        <v>73</v>
      </c>
      <c r="Q246" s="2" t="s">
        <v>173</v>
      </c>
      <c r="R246" s="2" t="s">
        <v>75</v>
      </c>
      <c r="S246" s="6" t="n">
        <v>45194</v>
      </c>
      <c r="T246" s="6" t="n">
        <v>45482</v>
      </c>
      <c r="U246" s="2" t="s">
        <v>76</v>
      </c>
      <c r="V246" s="2" t="s">
        <v>85</v>
      </c>
      <c r="W246" s="6" t="n">
        <v>47307</v>
      </c>
      <c r="X246" s="6"/>
      <c r="Y246" s="2"/>
      <c r="Z246" s="2" t="n">
        <v>0</v>
      </c>
      <c r="AA246" s="2" t="n">
        <v>0</v>
      </c>
      <c r="AB246" s="6"/>
      <c r="AC246" s="2" t="n">
        <v>0</v>
      </c>
      <c r="AD246" s="2" t="n">
        <v>0</v>
      </c>
      <c r="AE246" s="7" t="n">
        <v>0.788501026694045</v>
      </c>
      <c r="AF246" s="7"/>
      <c r="AG246" s="7"/>
      <c r="AH246" s="7"/>
      <c r="AI246" s="2" t="s">
        <v>86</v>
      </c>
      <c r="AJ246" s="2" t="s">
        <v>87</v>
      </c>
      <c r="AK246" s="2" t="s">
        <v>174</v>
      </c>
      <c r="AL246" s="2"/>
      <c r="AM246" s="2"/>
      <c r="AN246" s="2"/>
      <c r="AO246" s="2"/>
      <c r="AP246" s="2"/>
      <c r="AQ246" s="2"/>
    </row>
    <row r="247" customFormat="false" ht="15" hidden="false" customHeight="false" outlineLevel="0" collapsed="false">
      <c r="A247" s="2" t="s">
        <v>861</v>
      </c>
      <c r="B247" s="2" t="s">
        <v>861</v>
      </c>
      <c r="C247" s="2" t="s">
        <v>64</v>
      </c>
      <c r="D247" s="2" t="s">
        <v>862</v>
      </c>
      <c r="E247" s="2" t="s">
        <v>863</v>
      </c>
      <c r="F247" s="2" t="s">
        <v>854</v>
      </c>
      <c r="G247" s="2" t="s">
        <v>850</v>
      </c>
      <c r="H247" s="2" t="s">
        <v>69</v>
      </c>
      <c r="I247" s="2" t="n">
        <v>52.3821287452019</v>
      </c>
      <c r="J247" s="2" t="n">
        <v>-9.29838414378331</v>
      </c>
      <c r="K247" s="2" t="n">
        <v>48</v>
      </c>
      <c r="L247" s="2" t="s">
        <v>91</v>
      </c>
      <c r="M247" s="2" t="s">
        <v>95</v>
      </c>
      <c r="N247" s="2" t="s">
        <v>72</v>
      </c>
      <c r="O247" s="2" t="s">
        <v>73</v>
      </c>
      <c r="P247" s="2" t="s">
        <v>73</v>
      </c>
      <c r="Q247" s="2" t="s">
        <v>272</v>
      </c>
      <c r="R247" s="2" t="s">
        <v>273</v>
      </c>
      <c r="S247" s="6" t="n">
        <v>46084</v>
      </c>
      <c r="T247" s="6"/>
      <c r="U247" s="2" t="s">
        <v>76</v>
      </c>
      <c r="V247" s="2" t="s">
        <v>85</v>
      </c>
      <c r="W247" s="6"/>
      <c r="X247" s="6"/>
      <c r="Y247" s="2"/>
      <c r="Z247" s="2" t="n">
        <v>0</v>
      </c>
      <c r="AA247" s="2" t="n">
        <v>0</v>
      </c>
      <c r="AB247" s="6"/>
      <c r="AC247" s="2" t="n">
        <v>0</v>
      </c>
      <c r="AD247" s="2" t="n">
        <v>0</v>
      </c>
      <c r="AE247" s="7"/>
      <c r="AF247" s="7"/>
      <c r="AG247" s="7"/>
      <c r="AH247" s="7"/>
      <c r="AI247" s="2" t="s">
        <v>77</v>
      </c>
      <c r="AJ247" s="2" t="s">
        <v>78</v>
      </c>
      <c r="AK247" s="2"/>
      <c r="AL247" s="2"/>
      <c r="AM247" s="2"/>
      <c r="AN247" s="2"/>
      <c r="AO247" s="2"/>
      <c r="AP247" s="2"/>
      <c r="AQ247" s="2"/>
    </row>
    <row r="248" customFormat="false" ht="15" hidden="false" customHeight="false" outlineLevel="0" collapsed="false">
      <c r="A248" s="2" t="s">
        <v>864</v>
      </c>
      <c r="B248" s="2" t="s">
        <v>864</v>
      </c>
      <c r="C248" s="2" t="s">
        <v>64</v>
      </c>
      <c r="D248" s="2" t="s">
        <v>865</v>
      </c>
      <c r="E248" s="2" t="s">
        <v>866</v>
      </c>
      <c r="F248" s="2" t="s">
        <v>850</v>
      </c>
      <c r="G248" s="2" t="s">
        <v>850</v>
      </c>
      <c r="H248" s="2" t="s">
        <v>69</v>
      </c>
      <c r="I248" s="2" t="n">
        <v>52.4585086873793</v>
      </c>
      <c r="J248" s="2" t="n">
        <v>-9.05060969607402</v>
      </c>
      <c r="K248" s="2" t="n">
        <v>31</v>
      </c>
      <c r="L248" s="2" t="s">
        <v>91</v>
      </c>
      <c r="M248" s="2" t="s">
        <v>92</v>
      </c>
      <c r="N248" s="2" t="s">
        <v>96</v>
      </c>
      <c r="O248" s="2" t="s">
        <v>97</v>
      </c>
      <c r="P248" s="2" t="s">
        <v>98</v>
      </c>
      <c r="Q248" s="2" t="s">
        <v>74</v>
      </c>
      <c r="R248" s="2" t="s">
        <v>75</v>
      </c>
      <c r="S248" s="6" t="n">
        <v>44879</v>
      </c>
      <c r="T248" s="6" t="n">
        <v>44967</v>
      </c>
      <c r="U248" s="2" t="s">
        <v>85</v>
      </c>
      <c r="V248" s="2" t="s">
        <v>85</v>
      </c>
      <c r="W248" s="6"/>
      <c r="X248" s="6"/>
      <c r="Y248" s="2"/>
      <c r="Z248" s="2" t="n">
        <v>0</v>
      </c>
      <c r="AA248" s="2" t="n">
        <v>0</v>
      </c>
      <c r="AB248" s="6"/>
      <c r="AC248" s="2" t="n">
        <v>0</v>
      </c>
      <c r="AD248" s="2" t="n">
        <v>0</v>
      </c>
      <c r="AE248" s="7" t="n">
        <v>0.240930869267625</v>
      </c>
      <c r="AF248" s="7"/>
      <c r="AG248" s="7"/>
      <c r="AH248" s="7"/>
      <c r="AI248" s="2" t="s">
        <v>86</v>
      </c>
      <c r="AJ248" s="2" t="s">
        <v>87</v>
      </c>
      <c r="AK248" s="2"/>
      <c r="AL248" s="2"/>
      <c r="AM248" s="2"/>
      <c r="AN248" s="2"/>
      <c r="AO248" s="2"/>
      <c r="AP248" s="2"/>
      <c r="AQ248" s="2"/>
    </row>
    <row r="249" customFormat="false" ht="15" hidden="false" customHeight="false" outlineLevel="0" collapsed="false">
      <c r="A249" s="2" t="s">
        <v>867</v>
      </c>
      <c r="B249" s="2" t="s">
        <v>867</v>
      </c>
      <c r="C249" s="2" t="s">
        <v>64</v>
      </c>
      <c r="D249" s="2" t="s">
        <v>868</v>
      </c>
      <c r="E249" s="2" t="s">
        <v>869</v>
      </c>
      <c r="F249" s="2" t="s">
        <v>850</v>
      </c>
      <c r="G249" s="2" t="s">
        <v>850</v>
      </c>
      <c r="H249" s="2" t="s">
        <v>69</v>
      </c>
      <c r="I249" s="2" t="n">
        <v>52.4534651828913</v>
      </c>
      <c r="J249" s="2" t="n">
        <v>-9.05413128805592</v>
      </c>
      <c r="K249" s="2" t="n">
        <v>30</v>
      </c>
      <c r="L249" s="2" t="s">
        <v>91</v>
      </c>
      <c r="M249" s="2" t="s">
        <v>95</v>
      </c>
      <c r="N249" s="2" t="s">
        <v>72</v>
      </c>
      <c r="O249" s="2" t="s">
        <v>73</v>
      </c>
      <c r="P249" s="2" t="s">
        <v>73</v>
      </c>
      <c r="Q249" s="2" t="s">
        <v>272</v>
      </c>
      <c r="R249" s="2" t="s">
        <v>273</v>
      </c>
      <c r="S249" s="6" t="n">
        <v>46164</v>
      </c>
      <c r="T249" s="6"/>
      <c r="U249" s="2" t="s">
        <v>76</v>
      </c>
      <c r="V249" s="2" t="s">
        <v>85</v>
      </c>
      <c r="W249" s="6"/>
      <c r="X249" s="6"/>
      <c r="Y249" s="2"/>
      <c r="Z249" s="2" t="n">
        <v>0</v>
      </c>
      <c r="AA249" s="2" t="n">
        <v>0</v>
      </c>
      <c r="AB249" s="6"/>
      <c r="AC249" s="2" t="n">
        <v>0</v>
      </c>
      <c r="AD249" s="2" t="n">
        <v>0</v>
      </c>
      <c r="AE249" s="7"/>
      <c r="AF249" s="7"/>
      <c r="AG249" s="7"/>
      <c r="AH249" s="7"/>
      <c r="AI249" s="2" t="s">
        <v>86</v>
      </c>
      <c r="AJ249" s="2" t="s">
        <v>87</v>
      </c>
      <c r="AK249" s="2"/>
      <c r="AL249" s="2"/>
      <c r="AM249" s="2"/>
      <c r="AN249" s="2"/>
      <c r="AO249" s="2"/>
      <c r="AP249" s="2"/>
      <c r="AQ249" s="2"/>
    </row>
    <row r="250" customFormat="false" ht="15" hidden="false" customHeight="false" outlineLevel="0" collapsed="false">
      <c r="A250" s="2" t="s">
        <v>870</v>
      </c>
      <c r="B250" s="2" t="s">
        <v>870</v>
      </c>
      <c r="C250" s="2" t="s">
        <v>64</v>
      </c>
      <c r="D250" s="2" t="s">
        <v>871</v>
      </c>
      <c r="E250" s="2" t="s">
        <v>872</v>
      </c>
      <c r="F250" s="2" t="s">
        <v>82</v>
      </c>
      <c r="G250" s="2" t="s">
        <v>850</v>
      </c>
      <c r="H250" s="2" t="s">
        <v>69</v>
      </c>
      <c r="I250" s="2" t="n">
        <v>52.431086779168</v>
      </c>
      <c r="J250" s="2" t="n">
        <v>-9.01089931783045</v>
      </c>
      <c r="K250" s="2" t="n">
        <v>18</v>
      </c>
      <c r="L250" s="2" t="s">
        <v>118</v>
      </c>
      <c r="M250" s="2" t="s">
        <v>95</v>
      </c>
      <c r="N250" s="2" t="s">
        <v>72</v>
      </c>
      <c r="O250" s="2" t="s">
        <v>73</v>
      </c>
      <c r="P250" s="2" t="s">
        <v>73</v>
      </c>
      <c r="Q250" s="2" t="s">
        <v>263</v>
      </c>
      <c r="R250" s="2" t="s">
        <v>103</v>
      </c>
      <c r="S250" s="6" t="n">
        <v>45450</v>
      </c>
      <c r="T250" s="6" t="n">
        <v>45723</v>
      </c>
      <c r="U250" s="2" t="s">
        <v>76</v>
      </c>
      <c r="V250" s="2" t="s">
        <v>85</v>
      </c>
      <c r="W250" s="6" t="n">
        <v>47548</v>
      </c>
      <c r="X250" s="6" t="n">
        <v>45939</v>
      </c>
      <c r="Y250" s="2" t="s">
        <v>104</v>
      </c>
      <c r="Z250" s="2" t="n">
        <v>2</v>
      </c>
      <c r="AA250" s="2" t="n">
        <v>16</v>
      </c>
      <c r="AB250" s="6"/>
      <c r="AC250" s="2" t="n">
        <v>0</v>
      </c>
      <c r="AD250" s="2" t="n">
        <v>0</v>
      </c>
      <c r="AE250" s="7" t="n">
        <v>0.747433264887064</v>
      </c>
      <c r="AF250" s="7" t="n">
        <v>0.591375770020534</v>
      </c>
      <c r="AG250" s="7"/>
      <c r="AH250" s="7"/>
      <c r="AI250" s="2" t="s">
        <v>86</v>
      </c>
      <c r="AJ250" s="2" t="s">
        <v>87</v>
      </c>
      <c r="AK250" s="2"/>
      <c r="AL250" s="2"/>
      <c r="AM250" s="2"/>
      <c r="AN250" s="2"/>
      <c r="AO250" s="2"/>
      <c r="AP250" s="2"/>
      <c r="AQ250" s="2"/>
    </row>
    <row r="251" customFormat="false" ht="15" hidden="false" customHeight="false" outlineLevel="0" collapsed="false">
      <c r="A251" s="2" t="s">
        <v>873</v>
      </c>
      <c r="B251" s="2" t="s">
        <v>873</v>
      </c>
      <c r="C251" s="2" t="s">
        <v>64</v>
      </c>
      <c r="D251" s="2" t="s">
        <v>874</v>
      </c>
      <c r="E251" s="2" t="s">
        <v>875</v>
      </c>
      <c r="F251" s="2" t="s">
        <v>82</v>
      </c>
      <c r="G251" s="2" t="s">
        <v>850</v>
      </c>
      <c r="H251" s="2" t="s">
        <v>69</v>
      </c>
      <c r="I251" s="2" t="n">
        <v>52.3446459767132</v>
      </c>
      <c r="J251" s="2" t="n">
        <v>-8.97393215570397</v>
      </c>
      <c r="K251" s="2" t="n">
        <v>18</v>
      </c>
      <c r="L251" s="2" t="s">
        <v>118</v>
      </c>
      <c r="M251" s="2" t="s">
        <v>92</v>
      </c>
      <c r="N251" s="2" t="s">
        <v>96</v>
      </c>
      <c r="O251" s="2" t="s">
        <v>97</v>
      </c>
      <c r="P251" s="2" t="s">
        <v>98</v>
      </c>
      <c r="Q251" s="2" t="s">
        <v>330</v>
      </c>
      <c r="R251" s="2" t="s">
        <v>103</v>
      </c>
      <c r="S251" s="6" t="n">
        <v>44536</v>
      </c>
      <c r="T251" s="6" t="n">
        <v>44617</v>
      </c>
      <c r="U251" s="2" t="s">
        <v>85</v>
      </c>
      <c r="V251" s="2" t="s">
        <v>85</v>
      </c>
      <c r="W251" s="6"/>
      <c r="X251" s="6" t="n">
        <v>45834</v>
      </c>
      <c r="Y251" s="2" t="s">
        <v>104</v>
      </c>
      <c r="Z251" s="2" t="n">
        <v>1</v>
      </c>
      <c r="AA251" s="2" t="n">
        <v>11</v>
      </c>
      <c r="AB251" s="6"/>
      <c r="AC251" s="2" t="n">
        <v>1</v>
      </c>
      <c r="AD251" s="2" t="n">
        <v>11</v>
      </c>
      <c r="AE251" s="7" t="n">
        <v>0.2217659137577</v>
      </c>
      <c r="AF251" s="7" t="n">
        <v>3.33196440793977</v>
      </c>
      <c r="AG251" s="7"/>
      <c r="AH251" s="7"/>
      <c r="AI251" s="2" t="s">
        <v>77</v>
      </c>
      <c r="AJ251" s="2" t="s">
        <v>78</v>
      </c>
      <c r="AK251" s="2"/>
      <c r="AL251" s="2"/>
      <c r="AM251" s="2"/>
      <c r="AN251" s="2"/>
      <c r="AO251" s="2"/>
      <c r="AP251" s="2"/>
      <c r="AQ251" s="2"/>
    </row>
    <row r="252" customFormat="false" ht="15" hidden="false" customHeight="false" outlineLevel="0" collapsed="false">
      <c r="A252" s="2" t="s">
        <v>876</v>
      </c>
      <c r="B252" s="2" t="s">
        <v>876</v>
      </c>
      <c r="C252" s="2" t="s">
        <v>64</v>
      </c>
      <c r="D252" s="2" t="s">
        <v>877</v>
      </c>
      <c r="E252" s="2" t="s">
        <v>878</v>
      </c>
      <c r="F252" s="2" t="s">
        <v>850</v>
      </c>
      <c r="G252" s="2" t="s">
        <v>850</v>
      </c>
      <c r="H252" s="2" t="s">
        <v>69</v>
      </c>
      <c r="I252" s="2" t="n">
        <v>52.4599735881</v>
      </c>
      <c r="J252" s="2" t="n">
        <v>-9.06421740657097</v>
      </c>
      <c r="K252" s="2" t="n">
        <v>14</v>
      </c>
      <c r="L252" s="2" t="s">
        <v>118</v>
      </c>
      <c r="M252" s="2" t="s">
        <v>83</v>
      </c>
      <c r="N252" s="2" t="s">
        <v>72</v>
      </c>
      <c r="O252" s="2" t="s">
        <v>73</v>
      </c>
      <c r="P252" s="2" t="s">
        <v>73</v>
      </c>
      <c r="Q252" s="2" t="s">
        <v>74</v>
      </c>
      <c r="R252" s="2" t="s">
        <v>75</v>
      </c>
      <c r="S252" s="6" t="n">
        <v>45244</v>
      </c>
      <c r="T252" s="6" t="n">
        <v>45427</v>
      </c>
      <c r="U252" s="2" t="s">
        <v>76</v>
      </c>
      <c r="V252" s="2" t="s">
        <v>85</v>
      </c>
      <c r="W252" s="6" t="n">
        <v>47252</v>
      </c>
      <c r="X252" s="6"/>
      <c r="Y252" s="2"/>
      <c r="Z252" s="2" t="n">
        <v>0</v>
      </c>
      <c r="AA252" s="2" t="n">
        <v>0</v>
      </c>
      <c r="AB252" s="6"/>
      <c r="AC252" s="2" t="n">
        <v>0</v>
      </c>
      <c r="AD252" s="2" t="n">
        <v>0</v>
      </c>
      <c r="AE252" s="7" t="n">
        <v>0.501026694045175</v>
      </c>
      <c r="AF252" s="7"/>
      <c r="AG252" s="7"/>
      <c r="AH252" s="7"/>
      <c r="AI252" s="2" t="s">
        <v>86</v>
      </c>
      <c r="AJ252" s="2" t="s">
        <v>87</v>
      </c>
      <c r="AK252" s="2"/>
      <c r="AL252" s="2"/>
      <c r="AM252" s="2"/>
      <c r="AN252" s="2"/>
      <c r="AO252" s="2"/>
      <c r="AP252" s="2"/>
      <c r="AQ252" s="2"/>
    </row>
    <row r="253" customFormat="false" ht="15" hidden="false" customHeight="false" outlineLevel="0" collapsed="false">
      <c r="A253" s="2" t="s">
        <v>879</v>
      </c>
      <c r="B253" s="2" t="s">
        <v>879</v>
      </c>
      <c r="C253" s="2" t="s">
        <v>64</v>
      </c>
      <c r="D253" s="2" t="s">
        <v>856</v>
      </c>
      <c r="E253" s="2" t="s">
        <v>880</v>
      </c>
      <c r="F253" s="2" t="s">
        <v>850</v>
      </c>
      <c r="G253" s="2" t="s">
        <v>850</v>
      </c>
      <c r="H253" s="2" t="s">
        <v>69</v>
      </c>
      <c r="I253" s="2" t="n">
        <v>52.4425745272377</v>
      </c>
      <c r="J253" s="2" t="n">
        <v>-9.05277971831985</v>
      </c>
      <c r="K253" s="2" t="n">
        <v>12</v>
      </c>
      <c r="L253" s="2" t="s">
        <v>118</v>
      </c>
      <c r="M253" s="2" t="s">
        <v>95</v>
      </c>
      <c r="N253" s="2" t="s">
        <v>72</v>
      </c>
      <c r="O253" s="2" t="s">
        <v>73</v>
      </c>
      <c r="P253" s="2" t="s">
        <v>73</v>
      </c>
      <c r="Q253" s="2" t="s">
        <v>102</v>
      </c>
      <c r="R253" s="2" t="s">
        <v>103</v>
      </c>
      <c r="S253" s="6" t="n">
        <v>45324</v>
      </c>
      <c r="T253" s="6" t="n">
        <v>45413</v>
      </c>
      <c r="U253" s="2" t="s">
        <v>85</v>
      </c>
      <c r="V253" s="2" t="s">
        <v>85</v>
      </c>
      <c r="W253" s="6" t="n">
        <v>46509</v>
      </c>
      <c r="X253" s="6" t="n">
        <v>45565</v>
      </c>
      <c r="Y253" s="2" t="s">
        <v>104</v>
      </c>
      <c r="Z253" s="2" t="n">
        <v>1</v>
      </c>
      <c r="AA253" s="2" t="n">
        <v>12</v>
      </c>
      <c r="AB253" s="6"/>
      <c r="AC253" s="2" t="n">
        <v>0</v>
      </c>
      <c r="AD253" s="2" t="n">
        <v>0</v>
      </c>
      <c r="AE253" s="7" t="n">
        <v>0.243668720054757</v>
      </c>
      <c r="AF253" s="7" t="n">
        <v>0.416153319644079</v>
      </c>
      <c r="AG253" s="7"/>
      <c r="AH253" s="7"/>
      <c r="AI253" s="2" t="s">
        <v>77</v>
      </c>
      <c r="AJ253" s="2" t="s">
        <v>78</v>
      </c>
      <c r="AK253" s="2"/>
      <c r="AL253" s="2"/>
      <c r="AM253" s="2"/>
      <c r="AN253" s="2"/>
      <c r="AO253" s="2"/>
      <c r="AP253" s="2"/>
      <c r="AQ253" s="2"/>
    </row>
    <row r="254" customFormat="false" ht="15" hidden="false" customHeight="false" outlineLevel="0" collapsed="false">
      <c r="A254" s="2" t="s">
        <v>881</v>
      </c>
      <c r="B254" s="2" t="s">
        <v>881</v>
      </c>
      <c r="C254" s="2" t="s">
        <v>64</v>
      </c>
      <c r="D254" s="2" t="s">
        <v>882</v>
      </c>
      <c r="E254" s="2" t="s">
        <v>883</v>
      </c>
      <c r="F254" s="2" t="s">
        <v>854</v>
      </c>
      <c r="G254" s="2" t="s">
        <v>850</v>
      </c>
      <c r="H254" s="2" t="s">
        <v>69</v>
      </c>
      <c r="I254" s="2" t="n">
        <v>52.3830149434526</v>
      </c>
      <c r="J254" s="2" t="n">
        <v>-9.28357991781578</v>
      </c>
      <c r="K254" s="2" t="n">
        <v>12</v>
      </c>
      <c r="L254" s="2" t="s">
        <v>118</v>
      </c>
      <c r="M254" s="2" t="s">
        <v>83</v>
      </c>
      <c r="N254" s="2" t="s">
        <v>96</v>
      </c>
      <c r="O254" s="2" t="s">
        <v>119</v>
      </c>
      <c r="P254" s="2" t="s">
        <v>98</v>
      </c>
      <c r="Q254" s="2" t="s">
        <v>188</v>
      </c>
      <c r="R254" s="2" t="s">
        <v>75</v>
      </c>
      <c r="S254" s="6" t="n">
        <v>45936</v>
      </c>
      <c r="T254" s="6"/>
      <c r="U254" s="2" t="s">
        <v>85</v>
      </c>
      <c r="V254" s="2" t="s">
        <v>85</v>
      </c>
      <c r="W254" s="6"/>
      <c r="X254" s="6"/>
      <c r="Y254" s="2"/>
      <c r="Z254" s="2" t="n">
        <v>0</v>
      </c>
      <c r="AA254" s="2" t="n">
        <v>0</v>
      </c>
      <c r="AB254" s="6"/>
      <c r="AC254" s="2" t="n">
        <v>0</v>
      </c>
      <c r="AD254" s="2" t="n">
        <v>0</v>
      </c>
      <c r="AE254" s="7"/>
      <c r="AF254" s="7"/>
      <c r="AG254" s="7"/>
      <c r="AH254" s="7"/>
      <c r="AI254" s="2" t="s">
        <v>86</v>
      </c>
      <c r="AJ254" s="2" t="s">
        <v>87</v>
      </c>
      <c r="AK254" s="2"/>
      <c r="AL254" s="2"/>
      <c r="AM254" s="2" t="s">
        <v>884</v>
      </c>
      <c r="AN254" s="2" t="s">
        <v>207</v>
      </c>
      <c r="AO254" s="2" t="s">
        <v>202</v>
      </c>
      <c r="AP254" s="2" t="s">
        <v>443</v>
      </c>
      <c r="AQ254" s="2" t="s">
        <v>125</v>
      </c>
    </row>
    <row r="255" customFormat="false" ht="15" hidden="false" customHeight="false" outlineLevel="0" collapsed="false">
      <c r="A255" s="2" t="s">
        <v>885</v>
      </c>
      <c r="B255" s="2" t="s">
        <v>885</v>
      </c>
      <c r="C255" s="2" t="s">
        <v>64</v>
      </c>
      <c r="D255" s="2" t="s">
        <v>886</v>
      </c>
      <c r="E255" s="2" t="s">
        <v>887</v>
      </c>
      <c r="F255" s="2" t="s">
        <v>82</v>
      </c>
      <c r="G255" s="2" t="s">
        <v>850</v>
      </c>
      <c r="H255" s="2" t="s">
        <v>69</v>
      </c>
      <c r="I255" s="2" t="n">
        <v>52.4959985530279</v>
      </c>
      <c r="J255" s="2" t="n">
        <v>-9.06339883667179</v>
      </c>
      <c r="K255" s="2" t="n">
        <v>10</v>
      </c>
      <c r="L255" s="2" t="s">
        <v>118</v>
      </c>
      <c r="M255" s="2" t="s">
        <v>92</v>
      </c>
      <c r="N255" s="2" t="s">
        <v>96</v>
      </c>
      <c r="O255" s="2" t="s">
        <v>97</v>
      </c>
      <c r="P255" s="2" t="s">
        <v>98</v>
      </c>
      <c r="Q255" s="2" t="s">
        <v>102</v>
      </c>
      <c r="R255" s="2" t="s">
        <v>103</v>
      </c>
      <c r="S255" s="6" t="n">
        <v>44736</v>
      </c>
      <c r="T255" s="6" t="n">
        <v>44802</v>
      </c>
      <c r="U255" s="2" t="s">
        <v>85</v>
      </c>
      <c r="V255" s="2" t="s">
        <v>85</v>
      </c>
      <c r="W255" s="6"/>
      <c r="X255" s="6" t="n">
        <v>45943</v>
      </c>
      <c r="Y255" s="2" t="s">
        <v>104</v>
      </c>
      <c r="Z255" s="2" t="n">
        <v>3</v>
      </c>
      <c r="AA255" s="2" t="n">
        <v>10</v>
      </c>
      <c r="AB255" s="6"/>
      <c r="AC255" s="2" t="n">
        <v>0</v>
      </c>
      <c r="AD255" s="2" t="n">
        <v>0</v>
      </c>
      <c r="AE255" s="7" t="n">
        <v>0.180698151950719</v>
      </c>
      <c r="AF255" s="7" t="n">
        <v>3.12388774811773</v>
      </c>
      <c r="AG255" s="7"/>
      <c r="AH255" s="7"/>
      <c r="AI255" s="2" t="s">
        <v>86</v>
      </c>
      <c r="AJ255" s="2" t="s">
        <v>87</v>
      </c>
      <c r="AK255" s="2"/>
      <c r="AL255" s="2"/>
      <c r="AM255" s="2" t="s">
        <v>888</v>
      </c>
      <c r="AN255" s="2" t="s">
        <v>196</v>
      </c>
      <c r="AO255" s="2" t="s">
        <v>102</v>
      </c>
      <c r="AP255" s="2" t="s">
        <v>834</v>
      </c>
      <c r="AQ255" s="2" t="s">
        <v>125</v>
      </c>
    </row>
    <row r="256" customFormat="false" ht="15" hidden="false" customHeight="false" outlineLevel="0" collapsed="false">
      <c r="A256" s="2" t="s">
        <v>889</v>
      </c>
      <c r="B256" s="2" t="s">
        <v>889</v>
      </c>
      <c r="C256" s="2" t="s">
        <v>64</v>
      </c>
      <c r="D256" s="2" t="s">
        <v>890</v>
      </c>
      <c r="E256" s="2" t="s">
        <v>891</v>
      </c>
      <c r="F256" s="2" t="s">
        <v>82</v>
      </c>
      <c r="G256" s="2" t="s">
        <v>850</v>
      </c>
      <c r="H256" s="2" t="s">
        <v>69</v>
      </c>
      <c r="I256" s="2" t="n">
        <v>52.5697995634291</v>
      </c>
      <c r="J256" s="2" t="n">
        <v>-9.28060949055726</v>
      </c>
      <c r="K256" s="2" t="n">
        <v>10</v>
      </c>
      <c r="L256" s="2" t="s">
        <v>118</v>
      </c>
      <c r="M256" s="2" t="s">
        <v>83</v>
      </c>
      <c r="N256" s="2" t="s">
        <v>72</v>
      </c>
      <c r="O256" s="2" t="s">
        <v>119</v>
      </c>
      <c r="P256" s="2" t="s">
        <v>98</v>
      </c>
      <c r="Q256" s="2" t="s">
        <v>188</v>
      </c>
      <c r="R256" s="2" t="s">
        <v>75</v>
      </c>
      <c r="S256" s="6" t="n">
        <v>45308</v>
      </c>
      <c r="T256" s="6" t="n">
        <v>45537</v>
      </c>
      <c r="U256" s="2" t="s">
        <v>76</v>
      </c>
      <c r="V256" s="2" t="s">
        <v>85</v>
      </c>
      <c r="W256" s="6" t="n">
        <v>47362</v>
      </c>
      <c r="X256" s="6"/>
      <c r="Y256" s="2"/>
      <c r="Z256" s="2" t="n">
        <v>0</v>
      </c>
      <c r="AA256" s="2" t="n">
        <v>0</v>
      </c>
      <c r="AB256" s="6"/>
      <c r="AC256" s="2" t="n">
        <v>0</v>
      </c>
      <c r="AD256" s="2" t="n">
        <v>0</v>
      </c>
      <c r="AE256" s="7" t="n">
        <v>0.626967830253251</v>
      </c>
      <c r="AF256" s="7"/>
      <c r="AG256" s="7"/>
      <c r="AH256" s="7"/>
      <c r="AI256" s="2" t="s">
        <v>86</v>
      </c>
      <c r="AJ256" s="2" t="s">
        <v>87</v>
      </c>
      <c r="AK256" s="2"/>
      <c r="AL256" s="2"/>
      <c r="AM256" s="2" t="s">
        <v>892</v>
      </c>
      <c r="AN256" s="2" t="s">
        <v>122</v>
      </c>
      <c r="AO256" s="2" t="s">
        <v>190</v>
      </c>
      <c r="AP256" s="2" t="s">
        <v>124</v>
      </c>
      <c r="AQ256" s="2" t="s">
        <v>125</v>
      </c>
    </row>
    <row r="257" customFormat="false" ht="15" hidden="false" customHeight="false" outlineLevel="0" collapsed="false">
      <c r="A257" s="2" t="s">
        <v>893</v>
      </c>
      <c r="B257" s="2" t="s">
        <v>893</v>
      </c>
      <c r="C257" s="2" t="s">
        <v>64</v>
      </c>
      <c r="D257" s="2" t="s">
        <v>894</v>
      </c>
      <c r="E257" s="2" t="s">
        <v>895</v>
      </c>
      <c r="F257" s="2" t="s">
        <v>850</v>
      </c>
      <c r="G257" s="2" t="s">
        <v>850</v>
      </c>
      <c r="H257" s="2" t="s">
        <v>69</v>
      </c>
      <c r="I257" s="2" t="n">
        <v>52.4526059408511</v>
      </c>
      <c r="J257" s="2" t="n">
        <v>-9.058376774059</v>
      </c>
      <c r="K257" s="2" t="n">
        <v>10</v>
      </c>
      <c r="L257" s="2" t="s">
        <v>118</v>
      </c>
      <c r="M257" s="2" t="s">
        <v>95</v>
      </c>
      <c r="N257" s="2" t="s">
        <v>72</v>
      </c>
      <c r="O257" s="2" t="s">
        <v>73</v>
      </c>
      <c r="P257" s="2" t="s">
        <v>73</v>
      </c>
      <c r="Q257" s="2" t="s">
        <v>84</v>
      </c>
      <c r="R257" s="2" t="s">
        <v>75</v>
      </c>
      <c r="S257" s="6" t="n">
        <v>45982</v>
      </c>
      <c r="T257" s="6" t="n">
        <v>46079</v>
      </c>
      <c r="U257" s="2" t="s">
        <v>85</v>
      </c>
      <c r="V257" s="2" t="s">
        <v>85</v>
      </c>
      <c r="W257" s="6" t="n">
        <v>47904</v>
      </c>
      <c r="X257" s="6"/>
      <c r="Y257" s="2"/>
      <c r="Z257" s="2" t="n">
        <v>0</v>
      </c>
      <c r="AA257" s="2" t="n">
        <v>0</v>
      </c>
      <c r="AB257" s="6"/>
      <c r="AC257" s="2" t="n">
        <v>0</v>
      </c>
      <c r="AD257" s="2" t="n">
        <v>0</v>
      </c>
      <c r="AE257" s="7" t="n">
        <v>0.265571526351814</v>
      </c>
      <c r="AF257" s="7"/>
      <c r="AG257" s="7"/>
      <c r="AH257" s="7"/>
      <c r="AI257" s="2" t="s">
        <v>86</v>
      </c>
      <c r="AJ257" s="2" t="s">
        <v>87</v>
      </c>
      <c r="AK257" s="2"/>
      <c r="AL257" s="2"/>
      <c r="AM257" s="2"/>
      <c r="AN257" s="2"/>
      <c r="AO257" s="2"/>
      <c r="AP257" s="2"/>
      <c r="AQ257" s="2"/>
    </row>
    <row r="258" customFormat="false" ht="15" hidden="false" customHeight="false" outlineLevel="0" collapsed="false">
      <c r="A258" s="2" t="s">
        <v>896</v>
      </c>
      <c r="B258" s="2" t="s">
        <v>896</v>
      </c>
      <c r="C258" s="2" t="s">
        <v>64</v>
      </c>
      <c r="D258" s="2" t="s">
        <v>897</v>
      </c>
      <c r="E258" s="2" t="s">
        <v>898</v>
      </c>
      <c r="F258" s="2" t="s">
        <v>82</v>
      </c>
      <c r="G258" s="2" t="s">
        <v>850</v>
      </c>
      <c r="H258" s="2" t="s">
        <v>69</v>
      </c>
      <c r="I258" s="2" t="n">
        <v>52.390146448753</v>
      </c>
      <c r="J258" s="2" t="n">
        <v>-8.87956639372565</v>
      </c>
      <c r="K258" s="2" t="n">
        <v>8</v>
      </c>
      <c r="L258" s="2" t="s">
        <v>145</v>
      </c>
      <c r="M258" s="2" t="s">
        <v>71</v>
      </c>
      <c r="N258" s="2" t="s">
        <v>72</v>
      </c>
      <c r="O258" s="2" t="s">
        <v>119</v>
      </c>
      <c r="P258" s="2" t="s">
        <v>98</v>
      </c>
      <c r="Q258" s="2" t="s">
        <v>272</v>
      </c>
      <c r="R258" s="2" t="s">
        <v>273</v>
      </c>
      <c r="S258" s="6" t="n">
        <v>46048</v>
      </c>
      <c r="T258" s="6"/>
      <c r="U258" s="2" t="s">
        <v>76</v>
      </c>
      <c r="V258" s="2" t="s">
        <v>85</v>
      </c>
      <c r="W258" s="6"/>
      <c r="X258" s="6"/>
      <c r="Y258" s="2"/>
      <c r="Z258" s="2" t="n">
        <v>0</v>
      </c>
      <c r="AA258" s="2" t="n">
        <v>0</v>
      </c>
      <c r="AB258" s="6"/>
      <c r="AC258" s="2" t="n">
        <v>0</v>
      </c>
      <c r="AD258" s="2" t="n">
        <v>0</v>
      </c>
      <c r="AE258" s="7"/>
      <c r="AF258" s="7"/>
      <c r="AG258" s="7"/>
      <c r="AH258" s="7"/>
      <c r="AI258" s="2" t="s">
        <v>86</v>
      </c>
      <c r="AJ258" s="2" t="s">
        <v>87</v>
      </c>
      <c r="AK258" s="2"/>
      <c r="AL258" s="2"/>
      <c r="AM258" s="2" t="s">
        <v>899</v>
      </c>
      <c r="AN258" s="2" t="s">
        <v>122</v>
      </c>
      <c r="AO258" s="2" t="s">
        <v>422</v>
      </c>
      <c r="AP258" s="2" t="s">
        <v>900</v>
      </c>
      <c r="AQ258" s="2" t="s">
        <v>125</v>
      </c>
    </row>
    <row r="259" customFormat="false" ht="15" hidden="false" customHeight="false" outlineLevel="0" collapsed="false">
      <c r="A259" s="2" t="s">
        <v>901</v>
      </c>
      <c r="B259" s="2" t="s">
        <v>901</v>
      </c>
      <c r="C259" s="2" t="s">
        <v>64</v>
      </c>
      <c r="D259" s="2" t="s">
        <v>902</v>
      </c>
      <c r="E259" s="2" t="s">
        <v>903</v>
      </c>
      <c r="F259" s="2" t="s">
        <v>854</v>
      </c>
      <c r="G259" s="2" t="s">
        <v>850</v>
      </c>
      <c r="H259" s="2" t="s">
        <v>69</v>
      </c>
      <c r="I259" s="2" t="n">
        <v>52.3867552041204</v>
      </c>
      <c r="J259" s="2" t="n">
        <v>-9.30110030464874</v>
      </c>
      <c r="K259" s="2" t="n">
        <v>7</v>
      </c>
      <c r="L259" s="2" t="s">
        <v>145</v>
      </c>
      <c r="M259" s="2" t="s">
        <v>83</v>
      </c>
      <c r="N259" s="2" t="s">
        <v>96</v>
      </c>
      <c r="O259" s="2" t="s">
        <v>97</v>
      </c>
      <c r="P259" s="2" t="s">
        <v>98</v>
      </c>
      <c r="Q259" s="2" t="s">
        <v>74</v>
      </c>
      <c r="R259" s="2" t="s">
        <v>75</v>
      </c>
      <c r="S259" s="6" t="n">
        <v>43339</v>
      </c>
      <c r="T259" s="6" t="n">
        <v>43368</v>
      </c>
      <c r="U259" s="2" t="s">
        <v>85</v>
      </c>
      <c r="V259" s="2" t="s">
        <v>85</v>
      </c>
      <c r="W259" s="6"/>
      <c r="X259" s="6"/>
      <c r="Y259" s="2"/>
      <c r="Z259" s="2" t="n">
        <v>0</v>
      </c>
      <c r="AA259" s="2" t="n">
        <v>0</v>
      </c>
      <c r="AB259" s="6"/>
      <c r="AC259" s="2" t="n">
        <v>0</v>
      </c>
      <c r="AD259" s="2" t="n">
        <v>0</v>
      </c>
      <c r="AE259" s="7" t="n">
        <v>0.0793976728268309</v>
      </c>
      <c r="AF259" s="7"/>
      <c r="AG259" s="7"/>
      <c r="AH259" s="7"/>
      <c r="AI259" s="2" t="s">
        <v>86</v>
      </c>
      <c r="AJ259" s="2" t="s">
        <v>87</v>
      </c>
      <c r="AK259" s="2"/>
      <c r="AL259" s="2"/>
      <c r="AM259" s="2"/>
      <c r="AN259" s="2"/>
      <c r="AO259" s="2"/>
      <c r="AP259" s="2"/>
      <c r="AQ259" s="2"/>
    </row>
    <row r="260" customFormat="false" ht="15" hidden="false" customHeight="false" outlineLevel="0" collapsed="false">
      <c r="A260" s="2" t="s">
        <v>904</v>
      </c>
      <c r="B260" s="2" t="s">
        <v>904</v>
      </c>
      <c r="C260" s="2" t="s">
        <v>64</v>
      </c>
      <c r="D260" s="2" t="s">
        <v>905</v>
      </c>
      <c r="E260" s="2" t="s">
        <v>906</v>
      </c>
      <c r="F260" s="2" t="s">
        <v>82</v>
      </c>
      <c r="G260" s="2" t="s">
        <v>850</v>
      </c>
      <c r="H260" s="2" t="s">
        <v>69</v>
      </c>
      <c r="I260" s="2" t="n">
        <v>52.3458621840098</v>
      </c>
      <c r="J260" s="2" t="n">
        <v>-8.97448855554765</v>
      </c>
      <c r="K260" s="2" t="n">
        <v>7</v>
      </c>
      <c r="L260" s="2" t="s">
        <v>145</v>
      </c>
      <c r="M260" s="2" t="s">
        <v>83</v>
      </c>
      <c r="N260" s="2" t="s">
        <v>72</v>
      </c>
      <c r="O260" s="2" t="s">
        <v>119</v>
      </c>
      <c r="P260" s="2" t="s">
        <v>98</v>
      </c>
      <c r="Q260" s="2" t="s">
        <v>188</v>
      </c>
      <c r="R260" s="2" t="s">
        <v>75</v>
      </c>
      <c r="S260" s="6" t="n">
        <v>45315</v>
      </c>
      <c r="T260" s="6" t="n">
        <v>45520</v>
      </c>
      <c r="U260" s="2" t="s">
        <v>76</v>
      </c>
      <c r="V260" s="2" t="s">
        <v>85</v>
      </c>
      <c r="W260" s="6" t="n">
        <v>47345</v>
      </c>
      <c r="X260" s="6"/>
      <c r="Y260" s="2"/>
      <c r="Z260" s="2" t="n">
        <v>0</v>
      </c>
      <c r="AA260" s="2" t="n">
        <v>0</v>
      </c>
      <c r="AB260" s="6"/>
      <c r="AC260" s="2" t="n">
        <v>0</v>
      </c>
      <c r="AD260" s="2" t="n">
        <v>0</v>
      </c>
      <c r="AE260" s="7" t="n">
        <v>0.561259411362081</v>
      </c>
      <c r="AF260" s="7"/>
      <c r="AG260" s="7"/>
      <c r="AH260" s="7"/>
      <c r="AI260" s="2" t="s">
        <v>77</v>
      </c>
      <c r="AJ260" s="2" t="s">
        <v>78</v>
      </c>
      <c r="AK260" s="2"/>
      <c r="AL260" s="2"/>
      <c r="AM260" s="2"/>
      <c r="AN260" s="2"/>
      <c r="AO260" s="2"/>
      <c r="AP260" s="2"/>
      <c r="AQ260" s="2"/>
    </row>
    <row r="261" customFormat="false" ht="15" hidden="false" customHeight="false" outlineLevel="0" collapsed="false">
      <c r="A261" s="2" t="s">
        <v>907</v>
      </c>
      <c r="B261" s="2" t="s">
        <v>907</v>
      </c>
      <c r="C261" s="2" t="s">
        <v>64</v>
      </c>
      <c r="D261" s="2" t="s">
        <v>908</v>
      </c>
      <c r="E261" s="2" t="s">
        <v>909</v>
      </c>
      <c r="F261" s="2" t="s">
        <v>850</v>
      </c>
      <c r="G261" s="2" t="s">
        <v>850</v>
      </c>
      <c r="H261" s="2" t="s">
        <v>69</v>
      </c>
      <c r="I261" s="2" t="n">
        <v>52.4565525648999</v>
      </c>
      <c r="J261" s="2" t="n">
        <v>-9.04802829207922</v>
      </c>
      <c r="K261" s="2" t="n">
        <v>6</v>
      </c>
      <c r="L261" s="2" t="s">
        <v>145</v>
      </c>
      <c r="M261" s="2" t="s">
        <v>83</v>
      </c>
      <c r="N261" s="2" t="s">
        <v>72</v>
      </c>
      <c r="O261" s="2" t="s">
        <v>73</v>
      </c>
      <c r="P261" s="2" t="s">
        <v>73</v>
      </c>
      <c r="Q261" s="2" t="s">
        <v>120</v>
      </c>
      <c r="R261" s="2" t="s">
        <v>120</v>
      </c>
      <c r="S261" s="6" t="n">
        <v>43385</v>
      </c>
      <c r="T261" s="6" t="n">
        <v>43782</v>
      </c>
      <c r="U261" s="2" t="s">
        <v>76</v>
      </c>
      <c r="V261" s="2" t="s">
        <v>85</v>
      </c>
      <c r="W261" s="6" t="n">
        <v>45608</v>
      </c>
      <c r="X261" s="6" t="n">
        <v>45119</v>
      </c>
      <c r="Y261" s="2" t="s">
        <v>104</v>
      </c>
      <c r="Z261" s="2" t="n">
        <v>1</v>
      </c>
      <c r="AA261" s="2" t="n">
        <v>6</v>
      </c>
      <c r="AB261" s="6" t="n">
        <v>46170</v>
      </c>
      <c r="AC261" s="2" t="n">
        <v>2</v>
      </c>
      <c r="AD261" s="2" t="n">
        <v>6</v>
      </c>
      <c r="AE261" s="7" t="n">
        <v>1.08692676249144</v>
      </c>
      <c r="AF261" s="7" t="n">
        <v>3.66050650239562</v>
      </c>
      <c r="AG261" s="7" t="n">
        <v>2.87748117727584</v>
      </c>
      <c r="AH261" s="7" t="n">
        <v>2.08515699333968</v>
      </c>
      <c r="AI261" s="2" t="s">
        <v>86</v>
      </c>
      <c r="AJ261" s="2" t="s">
        <v>87</v>
      </c>
      <c r="AK261" s="2"/>
      <c r="AL261" s="2" t="s">
        <v>64</v>
      </c>
      <c r="AM261" s="2"/>
      <c r="AN261" s="2"/>
      <c r="AO261" s="2"/>
      <c r="AP261" s="2"/>
      <c r="AQ261" s="2"/>
    </row>
    <row r="262" customFormat="false" ht="15" hidden="false" customHeight="false" outlineLevel="0" collapsed="false">
      <c r="A262" s="2" t="s">
        <v>910</v>
      </c>
      <c r="B262" s="2" t="s">
        <v>910</v>
      </c>
      <c r="C262" s="2" t="s">
        <v>64</v>
      </c>
      <c r="D262" s="2" t="s">
        <v>911</v>
      </c>
      <c r="E262" s="2" t="s">
        <v>912</v>
      </c>
      <c r="F262" s="2" t="s">
        <v>82</v>
      </c>
      <c r="G262" s="2" t="s">
        <v>850</v>
      </c>
      <c r="H262" s="2" t="s">
        <v>69</v>
      </c>
      <c r="I262" s="2" t="n">
        <v>52.3669591728499</v>
      </c>
      <c r="J262" s="2" t="n">
        <v>-9.14615467049841</v>
      </c>
      <c r="K262" s="2" t="n">
        <v>4</v>
      </c>
      <c r="L262" s="2" t="s">
        <v>145</v>
      </c>
      <c r="M262" s="2" t="s">
        <v>83</v>
      </c>
      <c r="N262" s="2" t="s">
        <v>72</v>
      </c>
      <c r="O262" s="2" t="s">
        <v>73</v>
      </c>
      <c r="P262" s="2" t="s">
        <v>73</v>
      </c>
      <c r="Q262" s="2" t="s">
        <v>102</v>
      </c>
      <c r="R262" s="2" t="s">
        <v>103</v>
      </c>
      <c r="S262" s="6" t="n">
        <v>44029</v>
      </c>
      <c r="T262" s="6" t="n">
        <v>44399</v>
      </c>
      <c r="U262" s="2" t="s">
        <v>76</v>
      </c>
      <c r="V262" s="2" t="s">
        <v>85</v>
      </c>
      <c r="W262" s="6" t="n">
        <v>46224</v>
      </c>
      <c r="X262" s="6" t="n">
        <v>44506</v>
      </c>
      <c r="Y262" s="2" t="s">
        <v>104</v>
      </c>
      <c r="Z262" s="2" t="n">
        <v>1</v>
      </c>
      <c r="AA262" s="2" t="n">
        <v>1</v>
      </c>
      <c r="AB262" s="6"/>
      <c r="AC262" s="2" t="n">
        <v>0</v>
      </c>
      <c r="AD262" s="2" t="n">
        <v>0</v>
      </c>
      <c r="AE262" s="7" t="n">
        <v>1.01300479123888</v>
      </c>
      <c r="AF262" s="7" t="n">
        <v>0.292950034223135</v>
      </c>
      <c r="AG262" s="7"/>
      <c r="AH262" s="7"/>
      <c r="AI262" s="2" t="s">
        <v>86</v>
      </c>
      <c r="AJ262" s="2" t="s">
        <v>87</v>
      </c>
      <c r="AK262" s="2"/>
      <c r="AL262" s="2"/>
      <c r="AM262" s="2"/>
      <c r="AN262" s="2"/>
      <c r="AO262" s="2"/>
      <c r="AP262" s="2"/>
      <c r="AQ262" s="2"/>
    </row>
    <row r="263" customFormat="false" ht="15" hidden="false" customHeight="false" outlineLevel="0" collapsed="false">
      <c r="A263" s="2" t="s">
        <v>913</v>
      </c>
      <c r="B263" s="2" t="s">
        <v>913</v>
      </c>
      <c r="C263" s="2" t="s">
        <v>64</v>
      </c>
      <c r="D263" s="2" t="s">
        <v>914</v>
      </c>
      <c r="E263" s="2" t="s">
        <v>915</v>
      </c>
      <c r="F263" s="2" t="s">
        <v>82</v>
      </c>
      <c r="G263" s="2" t="s">
        <v>850</v>
      </c>
      <c r="H263" s="2" t="s">
        <v>69</v>
      </c>
      <c r="I263" s="2" t="n">
        <v>52.3187448</v>
      </c>
      <c r="J263" s="2" t="n">
        <v>-9.2332914</v>
      </c>
      <c r="K263" s="2" t="n">
        <v>4</v>
      </c>
      <c r="L263" s="2" t="s">
        <v>145</v>
      </c>
      <c r="M263" s="2" t="s">
        <v>92</v>
      </c>
      <c r="N263" s="2" t="s">
        <v>96</v>
      </c>
      <c r="O263" s="2" t="s">
        <v>97</v>
      </c>
      <c r="P263" s="2" t="s">
        <v>98</v>
      </c>
      <c r="Q263" s="2" t="s">
        <v>188</v>
      </c>
      <c r="R263" s="2" t="s">
        <v>75</v>
      </c>
      <c r="S263" s="6" t="n">
        <v>45226</v>
      </c>
      <c r="T263" s="6" t="n">
        <v>45335</v>
      </c>
      <c r="U263" s="2" t="s">
        <v>85</v>
      </c>
      <c r="V263" s="2" t="s">
        <v>85</v>
      </c>
      <c r="W263" s="6"/>
      <c r="X263" s="6"/>
      <c r="Y263" s="2"/>
      <c r="Z263" s="2" t="n">
        <v>0</v>
      </c>
      <c r="AA263" s="2" t="n">
        <v>0</v>
      </c>
      <c r="AB263" s="6"/>
      <c r="AC263" s="2" t="n">
        <v>0</v>
      </c>
      <c r="AD263" s="2" t="n">
        <v>0</v>
      </c>
      <c r="AE263" s="7" t="n">
        <v>0.298425735797399</v>
      </c>
      <c r="AF263" s="7"/>
      <c r="AG263" s="7"/>
      <c r="AH263" s="7"/>
      <c r="AI263" s="2" t="s">
        <v>86</v>
      </c>
      <c r="AJ263" s="2" t="s">
        <v>87</v>
      </c>
      <c r="AK263" s="2"/>
      <c r="AL263" s="2"/>
      <c r="AM263" s="2"/>
      <c r="AN263" s="2"/>
      <c r="AO263" s="2"/>
      <c r="AP263" s="2"/>
      <c r="AQ263" s="2"/>
    </row>
    <row r="264" customFormat="false" ht="15" hidden="false" customHeight="false" outlineLevel="0" collapsed="false">
      <c r="A264" s="2" t="s">
        <v>916</v>
      </c>
      <c r="B264" s="2" t="s">
        <v>916</v>
      </c>
      <c r="C264" s="2" t="s">
        <v>64</v>
      </c>
      <c r="D264" s="2" t="s">
        <v>917</v>
      </c>
      <c r="E264" s="2" t="s">
        <v>918</v>
      </c>
      <c r="F264" s="2" t="s">
        <v>82</v>
      </c>
      <c r="G264" s="2" t="s">
        <v>850</v>
      </c>
      <c r="H264" s="2" t="s">
        <v>69</v>
      </c>
      <c r="I264" s="2" t="n">
        <v>52.4559816168641</v>
      </c>
      <c r="J264" s="2" t="n">
        <v>-9.28367541510064</v>
      </c>
      <c r="K264" s="2" t="n">
        <v>2</v>
      </c>
      <c r="L264" s="2" t="s">
        <v>145</v>
      </c>
      <c r="M264" s="2" t="s">
        <v>83</v>
      </c>
      <c r="N264" s="2" t="s">
        <v>72</v>
      </c>
      <c r="O264" s="2" t="s">
        <v>73</v>
      </c>
      <c r="P264" s="2" t="s">
        <v>73</v>
      </c>
      <c r="Q264" s="2" t="s">
        <v>263</v>
      </c>
      <c r="R264" s="2" t="s">
        <v>103</v>
      </c>
      <c r="S264" s="6" t="n">
        <v>44075</v>
      </c>
      <c r="T264" s="6" t="n">
        <v>44160</v>
      </c>
      <c r="U264" s="2" t="s">
        <v>85</v>
      </c>
      <c r="V264" s="2" t="s">
        <v>85</v>
      </c>
      <c r="W264" s="6" t="n">
        <v>45985</v>
      </c>
      <c r="X264" s="6" t="n">
        <v>44869</v>
      </c>
      <c r="Y264" s="2" t="s">
        <v>104</v>
      </c>
      <c r="Z264" s="2" t="n">
        <v>4</v>
      </c>
      <c r="AA264" s="2" t="n">
        <v>4</v>
      </c>
      <c r="AB264" s="6"/>
      <c r="AC264" s="2" t="n">
        <v>0</v>
      </c>
      <c r="AD264" s="2" t="n">
        <v>0</v>
      </c>
      <c r="AE264" s="7" t="n">
        <v>0.232717316906229</v>
      </c>
      <c r="AF264" s="7" t="n">
        <v>1.94113620807666</v>
      </c>
      <c r="AG264" s="7"/>
      <c r="AH264" s="7"/>
      <c r="AI264" s="2" t="s">
        <v>86</v>
      </c>
      <c r="AJ264" s="2" t="s">
        <v>87</v>
      </c>
      <c r="AK264" s="2"/>
      <c r="AL264" s="2"/>
      <c r="AM264" s="2"/>
      <c r="AN264" s="2"/>
      <c r="AO264" s="2"/>
      <c r="AP264" s="2"/>
      <c r="AQ264" s="2"/>
    </row>
    <row r="265" customFormat="false" ht="15" hidden="false" customHeight="false" outlineLevel="0" collapsed="false">
      <c r="A265" s="2"/>
      <c r="B265" s="2"/>
      <c r="C265" s="2" t="s">
        <v>64</v>
      </c>
      <c r="D265" s="2" t="s">
        <v>919</v>
      </c>
      <c r="E265" s="2" t="s">
        <v>920</v>
      </c>
      <c r="F265" s="2" t="s">
        <v>289</v>
      </c>
      <c r="G265" s="2" t="s">
        <v>92</v>
      </c>
      <c r="H265" s="2" t="s">
        <v>92</v>
      </c>
      <c r="I265" s="2"/>
      <c r="J265" s="2"/>
      <c r="K265" s="2" t="n">
        <v>0</v>
      </c>
      <c r="L265" s="2" t="s">
        <v>92</v>
      </c>
      <c r="M265" s="2" t="s">
        <v>92</v>
      </c>
      <c r="N265" s="2" t="s">
        <v>72</v>
      </c>
      <c r="O265" s="2" t="s">
        <v>97</v>
      </c>
      <c r="P265" s="2" t="s">
        <v>98</v>
      </c>
      <c r="Q265" s="2" t="s">
        <v>188</v>
      </c>
      <c r="R265" s="2" t="s">
        <v>75</v>
      </c>
      <c r="S265" s="6"/>
      <c r="T265" s="6"/>
      <c r="U265" s="2" t="s">
        <v>85</v>
      </c>
      <c r="V265" s="2" t="s">
        <v>85</v>
      </c>
      <c r="W265" s="6"/>
      <c r="X265" s="6"/>
      <c r="Y265" s="2"/>
      <c r="Z265" s="2" t="n">
        <v>0</v>
      </c>
      <c r="AA265" s="2" t="n">
        <v>0</v>
      </c>
      <c r="AB265" s="6"/>
      <c r="AC265" s="2" t="n">
        <v>0</v>
      </c>
      <c r="AD265" s="2" t="n">
        <v>0</v>
      </c>
      <c r="AE265" s="7"/>
      <c r="AF265" s="7"/>
      <c r="AG265" s="7"/>
      <c r="AH265" s="7"/>
      <c r="AI265" s="2" t="s">
        <v>86</v>
      </c>
      <c r="AJ265" s="2" t="s">
        <v>87</v>
      </c>
      <c r="AK265" s="2"/>
      <c r="AL265" s="2"/>
      <c r="AM265" s="2"/>
      <c r="AN265" s="2"/>
      <c r="AO265" s="2"/>
      <c r="AP265" s="2"/>
      <c r="AQ265" s="2"/>
    </row>
    <row r="266" customFormat="false" ht="15" hidden="false" customHeight="false" outlineLevel="0" collapsed="false">
      <c r="A266" s="2"/>
      <c r="B266" s="2"/>
      <c r="C266" s="2" t="s">
        <v>64</v>
      </c>
      <c r="D266" s="2" t="s">
        <v>921</v>
      </c>
      <c r="E266" s="2" t="s">
        <v>922</v>
      </c>
      <c r="F266" s="2" t="s">
        <v>289</v>
      </c>
      <c r="G266" s="2" t="s">
        <v>92</v>
      </c>
      <c r="H266" s="2" t="s">
        <v>92</v>
      </c>
      <c r="I266" s="2"/>
      <c r="J266" s="2"/>
      <c r="K266" s="2"/>
      <c r="L266" s="2" t="s">
        <v>92</v>
      </c>
      <c r="M266" s="2" t="s">
        <v>92</v>
      </c>
      <c r="N266" s="2" t="s">
        <v>72</v>
      </c>
      <c r="O266" s="2" t="s">
        <v>97</v>
      </c>
      <c r="P266" s="2" t="s">
        <v>98</v>
      </c>
      <c r="Q266" s="2" t="s">
        <v>188</v>
      </c>
      <c r="R266" s="2" t="s">
        <v>75</v>
      </c>
      <c r="S266" s="6"/>
      <c r="T266" s="6"/>
      <c r="U266" s="2" t="s">
        <v>85</v>
      </c>
      <c r="V266" s="2" t="s">
        <v>85</v>
      </c>
      <c r="W266" s="6"/>
      <c r="X266" s="6"/>
      <c r="Y266" s="2"/>
      <c r="Z266" s="2" t="n">
        <v>0</v>
      </c>
      <c r="AA266" s="2" t="n">
        <v>0</v>
      </c>
      <c r="AB266" s="6"/>
      <c r="AC266" s="2" t="n">
        <v>0</v>
      </c>
      <c r="AD266" s="2" t="n">
        <v>0</v>
      </c>
      <c r="AE266" s="7"/>
      <c r="AF266" s="7"/>
      <c r="AG266" s="7"/>
      <c r="AH266" s="7"/>
      <c r="AI266" s="2" t="s">
        <v>86</v>
      </c>
      <c r="AJ266" s="2" t="s">
        <v>87</v>
      </c>
      <c r="AK266" s="2"/>
      <c r="AL266" s="2"/>
      <c r="AM266" s="2"/>
      <c r="AN266" s="2"/>
      <c r="AO266" s="2"/>
      <c r="AP266" s="2"/>
      <c r="AQ266" s="2"/>
    </row>
  </sheetData>
  <autoFilter ref="A1:AQ2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7" min="2" style="0" width="16"/>
  </cols>
  <sheetData>
    <row r="1" customFormat="false" ht="15" hidden="false" customHeight="false" outlineLevel="0" collapsed="false">
      <c r="A1" s="8" t="s">
        <v>923</v>
      </c>
      <c r="B1" s="2"/>
      <c r="C1" s="2"/>
      <c r="D1" s="2"/>
      <c r="E1" s="2"/>
      <c r="F1" s="2"/>
      <c r="G1" s="2"/>
    </row>
    <row r="2" customFormat="false" ht="23.85" hidden="false" customHeight="false" outlineLevel="0" collapsed="false">
      <c r="A2" s="5" t="s">
        <v>33</v>
      </c>
      <c r="B2" s="5" t="s">
        <v>924</v>
      </c>
      <c r="C2" s="5" t="s">
        <v>120</v>
      </c>
      <c r="D2" s="5" t="s">
        <v>103</v>
      </c>
      <c r="E2" s="5" t="s">
        <v>75</v>
      </c>
      <c r="F2" s="5" t="s">
        <v>156</v>
      </c>
      <c r="G2" s="5" t="s">
        <v>925</v>
      </c>
    </row>
    <row r="3" customFormat="false" ht="15" hidden="false" customHeight="false" outlineLevel="0" collapsed="false">
      <c r="A3" s="2" t="s">
        <v>145</v>
      </c>
      <c r="B3" s="9" t="n">
        <f aca="false">COUNTIFS(Schemes!$L$2:$L$266,$A3,Schemes!$R$2:$R$266,"&lt;&gt;In planning")</f>
        <v>69</v>
      </c>
      <c r="C3" s="9" t="n">
        <f aca="false">SUMIFS(Schemes!$K$2:$K$266,Schemes!$L$2:$L$266,$A3,Schemes!$R$2:$R$266,"Complete")</f>
        <v>110</v>
      </c>
      <c r="D3" s="9" t="n">
        <f aca="false">SUMIFS(Schemes!$K$2:$K$266,Schemes!$L$2:$L$266,$A3,Schemes!$R$2:$R$266,"Under construction")</f>
        <v>154</v>
      </c>
      <c r="E3" s="9" t="n">
        <f aca="false">SUMIFS(Schemes!$K$2:$K$266,Schemes!$L$2:$L$266,$A3,Schemes!$R$2:$R$266,"Not started – permission live")</f>
        <v>93</v>
      </c>
      <c r="F3" s="9" t="n">
        <f aca="false">SUMIFS(Schemes!$K$2:$K$266,Schemes!$L$2:$L$266,$A3,Schemes!$R$2:$R$266,"Not started – past expiry")</f>
        <v>24</v>
      </c>
      <c r="G3" s="9" t="n">
        <f aca="false">SUM(C3:F3)</f>
        <v>381</v>
      </c>
    </row>
    <row r="4" customFormat="false" ht="15" hidden="false" customHeight="false" outlineLevel="0" collapsed="false">
      <c r="A4" s="2" t="s">
        <v>118</v>
      </c>
      <c r="B4" s="9" t="n">
        <f aca="false">COUNTIFS(Schemes!$L$2:$L$266,$A4,Schemes!$R$2:$R$266,"&lt;&gt;In planning")</f>
        <v>69</v>
      </c>
      <c r="C4" s="9" t="n">
        <f aca="false">SUMIFS(Schemes!$K$2:$K$266,Schemes!$L$2:$L$266,$A4,Schemes!$R$2:$R$266,"Complete")</f>
        <v>230</v>
      </c>
      <c r="D4" s="9" t="n">
        <f aca="false">SUMIFS(Schemes!$K$2:$K$266,Schemes!$L$2:$L$266,$A4,Schemes!$R$2:$R$266,"Under construction")</f>
        <v>382</v>
      </c>
      <c r="E4" s="9" t="n">
        <f aca="false">SUMIFS(Schemes!$K$2:$K$266,Schemes!$L$2:$L$266,$A4,Schemes!$R$2:$R$266,"Not started – permission live")</f>
        <v>396</v>
      </c>
      <c r="F4" s="9" t="n">
        <f aca="false">SUMIFS(Schemes!$K$2:$K$266,Schemes!$L$2:$L$266,$A4,Schemes!$R$2:$R$266,"Not started – past expiry")</f>
        <v>101</v>
      </c>
      <c r="G4" s="9" t="n">
        <f aca="false">SUM(C4:F4)</f>
        <v>1109</v>
      </c>
    </row>
    <row r="5" customFormat="false" ht="15" hidden="false" customHeight="false" outlineLevel="0" collapsed="false">
      <c r="A5" s="2" t="s">
        <v>91</v>
      </c>
      <c r="B5" s="9" t="n">
        <f aca="false">COUNTIFS(Schemes!$L$2:$L$266,$A5,Schemes!$R$2:$R$266,"&lt;&gt;In planning")</f>
        <v>47</v>
      </c>
      <c r="C5" s="9" t="n">
        <f aca="false">SUMIFS(Schemes!$K$2:$K$266,Schemes!$L$2:$L$266,$A5,Schemes!$R$2:$R$266,"Complete")</f>
        <v>221</v>
      </c>
      <c r="D5" s="9" t="n">
        <f aca="false">SUMIFS(Schemes!$K$2:$K$266,Schemes!$L$2:$L$266,$A5,Schemes!$R$2:$R$266,"Under construction")</f>
        <v>562</v>
      </c>
      <c r="E5" s="9" t="n">
        <f aca="false">SUMIFS(Schemes!$K$2:$K$266,Schemes!$L$2:$L$266,$A5,Schemes!$R$2:$R$266,"Not started – permission live")</f>
        <v>745</v>
      </c>
      <c r="F5" s="9" t="n">
        <f aca="false">SUMIFS(Schemes!$K$2:$K$266,Schemes!$L$2:$L$266,$A5,Schemes!$R$2:$R$266,"Not started – past expiry")</f>
        <v>49</v>
      </c>
      <c r="G5" s="9" t="n">
        <f aca="false">SUM(C5:F5)</f>
        <v>1577</v>
      </c>
    </row>
    <row r="6" customFormat="false" ht="15" hidden="false" customHeight="false" outlineLevel="0" collapsed="false">
      <c r="A6" s="2" t="s">
        <v>70</v>
      </c>
      <c r="B6" s="9" t="n">
        <f aca="false">COUNTIFS(Schemes!$L$2:$L$266,$A6,Schemes!$R$2:$R$266,"&lt;&gt;In planning")</f>
        <v>36</v>
      </c>
      <c r="C6" s="9" t="n">
        <f aca="false">SUMIFS(Schemes!$K$2:$K$266,Schemes!$L$2:$L$266,$A6,Schemes!$R$2:$R$266,"Complete")</f>
        <v>276</v>
      </c>
      <c r="D6" s="9" t="n">
        <f aca="false">SUMIFS(Schemes!$K$2:$K$266,Schemes!$L$2:$L$266,$A6,Schemes!$R$2:$R$266,"Under construction")</f>
        <v>1456</v>
      </c>
      <c r="E6" s="9" t="n">
        <f aca="false">SUMIFS(Schemes!$K$2:$K$266,Schemes!$L$2:$L$266,$A6,Schemes!$R$2:$R$266,"Not started – permission live")</f>
        <v>952</v>
      </c>
      <c r="F6" s="9" t="n">
        <f aca="false">SUMIFS(Schemes!$K$2:$K$266,Schemes!$L$2:$L$266,$A6,Schemes!$R$2:$R$266,"Not started – past expiry")</f>
        <v>0</v>
      </c>
      <c r="G6" s="9" t="n">
        <f aca="false">SUM(C6:F6)</f>
        <v>2684</v>
      </c>
    </row>
    <row r="7" customFormat="false" ht="15" hidden="false" customHeight="false" outlineLevel="0" collapsed="false">
      <c r="A7" s="2" t="s">
        <v>292</v>
      </c>
      <c r="B7" s="9" t="n">
        <f aca="false">COUNTIFS(Schemes!$L$2:$L$266,$A7,Schemes!$R$2:$R$266,"&lt;&gt;In planning")</f>
        <v>23</v>
      </c>
      <c r="C7" s="9" t="n">
        <f aca="false">SUMIFS(Schemes!$K$2:$K$266,Schemes!$L$2:$L$266,$A7,Schemes!$R$2:$R$266,"Complete")</f>
        <v>438</v>
      </c>
      <c r="D7" s="9" t="n">
        <f aca="false">SUMIFS(Schemes!$K$2:$K$266,Schemes!$L$2:$L$266,$A7,Schemes!$R$2:$R$266,"Under construction")</f>
        <v>1510</v>
      </c>
      <c r="E7" s="9" t="n">
        <f aca="false">SUMIFS(Schemes!$K$2:$K$266,Schemes!$L$2:$L$266,$A7,Schemes!$R$2:$R$266,"Not started – permission live")</f>
        <v>2957</v>
      </c>
      <c r="F7" s="9" t="n">
        <f aca="false">SUMIFS(Schemes!$K$2:$K$266,Schemes!$L$2:$L$266,$A7,Schemes!$R$2:$R$266,"Not started – past expiry")</f>
        <v>137</v>
      </c>
      <c r="G7" s="9" t="n">
        <f aca="false">SUM(C7:F7)</f>
        <v>5042</v>
      </c>
    </row>
    <row r="8" customFormat="false" ht="15" hidden="false" customHeight="false" outlineLevel="0" collapsed="false">
      <c r="A8" s="8" t="s">
        <v>926</v>
      </c>
      <c r="B8" s="10" t="n">
        <f aca="false">SUM(B3:B7)</f>
        <v>244</v>
      </c>
      <c r="C8" s="10" t="n">
        <f aca="false">SUM(C3:C7)</f>
        <v>1275</v>
      </c>
      <c r="D8" s="10" t="n">
        <f aca="false">SUM(D3:D7)</f>
        <v>4064</v>
      </c>
      <c r="E8" s="10" t="n">
        <f aca="false">SUM(E3:E7)</f>
        <v>5143</v>
      </c>
      <c r="F8" s="10" t="n">
        <f aca="false">SUM(F3:F7)</f>
        <v>311</v>
      </c>
      <c r="G8" s="10" t="n">
        <f aca="false">SUM(G3:G7)</f>
        <v>10793</v>
      </c>
    </row>
    <row r="9" customFormat="false" ht="15" hidden="false" customHeight="false" outlineLevel="0" collapsed="false">
      <c r="A9" s="2"/>
      <c r="B9" s="2"/>
      <c r="C9" s="2"/>
      <c r="D9" s="2"/>
      <c r="E9" s="2"/>
      <c r="F9" s="2"/>
      <c r="G9" s="2"/>
    </row>
    <row r="10" customFormat="false" ht="15" hidden="false" customHeight="false" outlineLevel="0" collapsed="false">
      <c r="A10" s="2"/>
      <c r="B10" s="2"/>
      <c r="C10" s="2"/>
      <c r="D10" s="2"/>
      <c r="E10" s="2"/>
      <c r="F10" s="2"/>
      <c r="G10" s="2"/>
    </row>
    <row r="11" customFormat="false" ht="15" hidden="false" customHeight="false" outlineLevel="0" collapsed="false">
      <c r="A11" s="8" t="s">
        <v>927</v>
      </c>
      <c r="B11" s="2"/>
      <c r="C11" s="2"/>
      <c r="D11" s="2"/>
      <c r="E11" s="2"/>
      <c r="F11" s="2"/>
      <c r="G11" s="2"/>
    </row>
    <row r="12" customFormat="false" ht="23.85" hidden="false" customHeight="false" outlineLevel="0" collapsed="false">
      <c r="A12" s="5" t="s">
        <v>17</v>
      </c>
      <c r="B12" s="5" t="s">
        <v>924</v>
      </c>
      <c r="C12" s="5" t="s">
        <v>120</v>
      </c>
      <c r="D12" s="5" t="s">
        <v>103</v>
      </c>
      <c r="E12" s="5" t="s">
        <v>75</v>
      </c>
      <c r="F12" s="5" t="s">
        <v>156</v>
      </c>
      <c r="G12" s="5" t="s">
        <v>925</v>
      </c>
    </row>
    <row r="13" customFormat="false" ht="15" hidden="false" customHeight="false" outlineLevel="0" collapsed="false">
      <c r="A13" s="2" t="s">
        <v>290</v>
      </c>
      <c r="B13" s="9" t="n">
        <f aca="false">COUNTIFS(Schemes!$G$2:$G$266,$A13,Schemes!$R$2:$R$266,"&lt;&gt;In planning")</f>
        <v>56</v>
      </c>
      <c r="C13" s="9" t="n">
        <f aca="false">SUMIFS(Schemes!$K$2:$K$266,Schemes!$G$2:$G$266,$A13,Schemes!$R$2:$R$266,"Complete")</f>
        <v>797</v>
      </c>
      <c r="D13" s="9" t="n">
        <f aca="false">SUMIFS(Schemes!$K$2:$K$266,Schemes!$G$2:$G$266,$A13,Schemes!$R$2:$R$266,"Under construction")</f>
        <v>943</v>
      </c>
      <c r="E13" s="9" t="n">
        <f aca="false">SUMIFS(Schemes!$K$2:$K$266,Schemes!$G$2:$G$266,$A13,Schemes!$R$2:$R$266,"Not started – permission live")</f>
        <v>2089</v>
      </c>
      <c r="F13" s="9" t="n">
        <f aca="false">SUMIFS(Schemes!$K$2:$K$266,Schemes!$G$2:$G$266,$A13,Schemes!$R$2:$R$266,"Not started – past expiry")</f>
        <v>149</v>
      </c>
      <c r="G13" s="9" t="n">
        <f aca="false">SUM(C13:F13)</f>
        <v>3978</v>
      </c>
    </row>
    <row r="14" customFormat="false" ht="15" hidden="false" customHeight="false" outlineLevel="0" collapsed="false">
      <c r="A14" s="2" t="s">
        <v>473</v>
      </c>
      <c r="B14" s="9" t="n">
        <f aca="false">COUNTIFS(Schemes!$G$2:$G$266,$A14,Schemes!$R$2:$R$266,"&lt;&gt;In planning")</f>
        <v>48</v>
      </c>
      <c r="C14" s="9" t="n">
        <f aca="false">SUMIFS(Schemes!$K$2:$K$266,Schemes!$G$2:$G$266,$A14,Schemes!$R$2:$R$266,"Complete")</f>
        <v>170</v>
      </c>
      <c r="D14" s="9" t="n">
        <f aca="false">SUMIFS(Schemes!$K$2:$K$266,Schemes!$G$2:$G$266,$A14,Schemes!$R$2:$R$266,"Under construction")</f>
        <v>717</v>
      </c>
      <c r="E14" s="9" t="n">
        <f aca="false">SUMIFS(Schemes!$K$2:$K$266,Schemes!$G$2:$G$266,$A14,Schemes!$R$2:$R$266,"Not started – permission live")</f>
        <v>793</v>
      </c>
      <c r="F14" s="9" t="n">
        <f aca="false">SUMIFS(Schemes!$K$2:$K$266,Schemes!$G$2:$G$266,$A14,Schemes!$R$2:$R$266,"Not started – past expiry")</f>
        <v>16</v>
      </c>
      <c r="G14" s="9" t="n">
        <f aca="false">SUM(C14:F14)</f>
        <v>1696</v>
      </c>
    </row>
    <row r="15" customFormat="false" ht="15" hidden="false" customHeight="false" outlineLevel="0" collapsed="false">
      <c r="A15" s="2" t="s">
        <v>635</v>
      </c>
      <c r="B15" s="9" t="n">
        <f aca="false">COUNTIFS(Schemes!$G$2:$G$266,$A15,Schemes!$R$2:$R$266,"&lt;&gt;In planning")</f>
        <v>77</v>
      </c>
      <c r="C15" s="9" t="n">
        <f aca="false">SUMIFS(Schemes!$K$2:$K$266,Schemes!$G$2:$G$266,$A15,Schemes!$R$2:$R$266,"Complete")</f>
        <v>182</v>
      </c>
      <c r="D15" s="9" t="n">
        <f aca="false">SUMIFS(Schemes!$K$2:$K$266,Schemes!$G$2:$G$266,$A15,Schemes!$R$2:$R$266,"Under construction")</f>
        <v>1962</v>
      </c>
      <c r="E15" s="9" t="n">
        <f aca="false">SUMIFS(Schemes!$K$2:$K$266,Schemes!$G$2:$G$266,$A15,Schemes!$R$2:$R$266,"Not started – permission live")</f>
        <v>1559</v>
      </c>
      <c r="F15" s="9" t="n">
        <f aca="false">SUMIFS(Schemes!$K$2:$K$266,Schemes!$G$2:$G$266,$A15,Schemes!$R$2:$R$266,"Not started – past expiry")</f>
        <v>121</v>
      </c>
      <c r="G15" s="9" t="n">
        <f aca="false">SUM(C15:F15)</f>
        <v>3824</v>
      </c>
    </row>
    <row r="16" customFormat="false" ht="15" hidden="false" customHeight="false" outlineLevel="0" collapsed="false">
      <c r="A16" s="2" t="s">
        <v>68</v>
      </c>
      <c r="B16" s="9" t="n">
        <f aca="false">COUNTIFS(Schemes!$G$2:$G$266,$A16,Schemes!$R$2:$R$266,"&lt;&gt;In planning")</f>
        <v>19</v>
      </c>
      <c r="C16" s="9" t="n">
        <f aca="false">SUMIFS(Schemes!$K$2:$K$266,Schemes!$G$2:$G$266,$A16,Schemes!$R$2:$R$266,"Complete")</f>
        <v>16</v>
      </c>
      <c r="D16" s="9" t="n">
        <f aca="false">SUMIFS(Schemes!$K$2:$K$266,Schemes!$G$2:$G$266,$A16,Schemes!$R$2:$R$266,"Under construction")</f>
        <v>66</v>
      </c>
      <c r="E16" s="9" t="n">
        <f aca="false">SUMIFS(Schemes!$K$2:$K$266,Schemes!$G$2:$G$266,$A16,Schemes!$R$2:$R$266,"Not started – permission live")</f>
        <v>335</v>
      </c>
      <c r="F16" s="9" t="n">
        <f aca="false">SUMIFS(Schemes!$K$2:$K$266,Schemes!$G$2:$G$266,$A16,Schemes!$R$2:$R$266,"Not started – past expiry")</f>
        <v>3</v>
      </c>
      <c r="G16" s="9" t="n">
        <f aca="false">SUM(C16:F16)</f>
        <v>420</v>
      </c>
    </row>
    <row r="17" customFormat="false" ht="15" hidden="false" customHeight="false" outlineLevel="0" collapsed="false">
      <c r="A17" s="2" t="s">
        <v>164</v>
      </c>
      <c r="B17" s="9" t="n">
        <f aca="false">COUNTIFS(Schemes!$G$2:$G$266,$A17,Schemes!$R$2:$R$266,"&lt;&gt;In planning")</f>
        <v>30</v>
      </c>
      <c r="C17" s="9" t="n">
        <f aca="false">SUMIFS(Schemes!$K$2:$K$266,Schemes!$G$2:$G$266,$A17,Schemes!$R$2:$R$266,"Complete")</f>
        <v>104</v>
      </c>
      <c r="D17" s="9" t="n">
        <f aca="false">SUMIFS(Schemes!$K$2:$K$266,Schemes!$G$2:$G$266,$A17,Schemes!$R$2:$R$266,"Under construction")</f>
        <v>158</v>
      </c>
      <c r="E17" s="9" t="n">
        <f aca="false">SUMIFS(Schemes!$K$2:$K$266,Schemes!$G$2:$G$266,$A17,Schemes!$R$2:$R$266,"Not started – permission live")</f>
        <v>151</v>
      </c>
      <c r="F17" s="9" t="n">
        <f aca="false">SUMIFS(Schemes!$K$2:$K$266,Schemes!$G$2:$G$266,$A17,Schemes!$R$2:$R$266,"Not started – past expiry")</f>
        <v>22</v>
      </c>
      <c r="G17" s="9" t="n">
        <f aca="false">SUM(C17:F17)</f>
        <v>435</v>
      </c>
    </row>
    <row r="18" customFormat="false" ht="15" hidden="false" customHeight="false" outlineLevel="0" collapsed="false">
      <c r="A18" s="2" t="s">
        <v>850</v>
      </c>
      <c r="B18" s="9" t="n">
        <f aca="false">COUNTIFS(Schemes!$G$2:$G$266,$A18,Schemes!$R$2:$R$266,"&lt;&gt;In planning")</f>
        <v>19</v>
      </c>
      <c r="C18" s="9" t="n">
        <f aca="false">SUMIFS(Schemes!$K$2:$K$266,Schemes!$G$2:$G$266,$A18,Schemes!$R$2:$R$266,"Complete")</f>
        <v>6</v>
      </c>
      <c r="D18" s="9" t="n">
        <f aca="false">SUMIFS(Schemes!$K$2:$K$266,Schemes!$G$2:$G$266,$A18,Schemes!$R$2:$R$266,"Under construction")</f>
        <v>218</v>
      </c>
      <c r="E18" s="9" t="n">
        <f aca="false">SUMIFS(Schemes!$K$2:$K$266,Schemes!$G$2:$G$266,$A18,Schemes!$R$2:$R$266,"Not started – permission live")</f>
        <v>216</v>
      </c>
      <c r="F18" s="9" t="n">
        <f aca="false">SUMIFS(Schemes!$K$2:$K$266,Schemes!$G$2:$G$266,$A18,Schemes!$R$2:$R$266,"Not started – past expiry")</f>
        <v>0</v>
      </c>
      <c r="G18" s="9" t="n">
        <f aca="false">SUM(C18:F18)</f>
        <v>440</v>
      </c>
    </row>
    <row r="19" customFormat="false" ht="15" hidden="false" customHeight="false" outlineLevel="0" collapsed="false">
      <c r="A19" s="2"/>
      <c r="B19" s="2"/>
      <c r="C19" s="2"/>
      <c r="D19" s="2"/>
      <c r="E19" s="2"/>
      <c r="F19" s="2"/>
      <c r="G19" s="2"/>
    </row>
    <row r="20" customFormat="false" ht="15" hidden="false" customHeight="false" outlineLevel="0" collapsed="false">
      <c r="A20" s="2"/>
      <c r="B20" s="2"/>
      <c r="C20" s="2"/>
      <c r="D20" s="2"/>
      <c r="E20" s="2"/>
      <c r="F20" s="2"/>
      <c r="G20" s="2"/>
    </row>
    <row r="21" customFormat="false" ht="15" hidden="false" customHeight="false" outlineLevel="0" collapsed="false">
      <c r="A21" s="8" t="s">
        <v>928</v>
      </c>
      <c r="B21" s="2"/>
      <c r="C21" s="2"/>
      <c r="D21" s="2"/>
      <c r="E21" s="2"/>
      <c r="F21" s="2"/>
      <c r="G21" s="2"/>
    </row>
    <row r="22" customFormat="false" ht="23.85" hidden="false" customHeight="false" outlineLevel="0" collapsed="false">
      <c r="A22" s="5" t="s">
        <v>929</v>
      </c>
      <c r="B22" s="5" t="s">
        <v>924</v>
      </c>
      <c r="C22" s="5" t="s">
        <v>120</v>
      </c>
      <c r="D22" s="5" t="s">
        <v>103</v>
      </c>
      <c r="E22" s="5" t="s">
        <v>75</v>
      </c>
      <c r="F22" s="5" t="s">
        <v>156</v>
      </c>
      <c r="G22" s="5" t="s">
        <v>925</v>
      </c>
    </row>
    <row r="23" customFormat="false" ht="15" hidden="false" customHeight="false" outlineLevel="0" collapsed="false">
      <c r="A23" s="2" t="s">
        <v>406</v>
      </c>
      <c r="B23" s="9" t="n">
        <f aca="false">COUNTIFS(Schemes!$H$2:$H$266,$A23,Schemes!$R$2:$R$266,"&lt;&gt;In planning")</f>
        <v>40</v>
      </c>
      <c r="C23" s="9" t="n">
        <f aca="false">SUMIFS(Schemes!$K$2:$K$266,Schemes!$H$2:$H$266,$A23,Schemes!$R$2:$R$266,"Complete")</f>
        <v>83</v>
      </c>
      <c r="D23" s="9" t="n">
        <f aca="false">SUMIFS(Schemes!$K$2:$K$266,Schemes!$H$2:$H$266,$A23,Schemes!$R$2:$R$266,"Under construction")</f>
        <v>127</v>
      </c>
      <c r="E23" s="9" t="n">
        <f aca="false">SUMIFS(Schemes!$K$2:$K$266,Schemes!$H$2:$H$266,$A23,Schemes!$R$2:$R$266,"Not started – permission live")</f>
        <v>715</v>
      </c>
      <c r="F23" s="9" t="n">
        <f aca="false">SUMIFS(Schemes!$K$2:$K$266,Schemes!$H$2:$H$266,$A23,Schemes!$R$2:$R$266,"Not started – past expiry")</f>
        <v>55</v>
      </c>
      <c r="G23" s="9" t="n">
        <f aca="false">SUM(C23:F23)</f>
        <v>980</v>
      </c>
    </row>
    <row r="24" customFormat="false" ht="15" hidden="false" customHeight="false" outlineLevel="0" collapsed="false">
      <c r="A24" s="2" t="s">
        <v>520</v>
      </c>
      <c r="B24" s="9" t="n">
        <f aca="false">COUNTIFS(Schemes!$H$2:$H$266,$A24,Schemes!$R$2:$R$266,"&lt;&gt;In planning")</f>
        <v>2</v>
      </c>
      <c r="C24" s="9" t="n">
        <f aca="false">SUMIFS(Schemes!$K$2:$K$266,Schemes!$H$2:$H$266,$A24,Schemes!$R$2:$R$266,"Complete")</f>
        <v>0</v>
      </c>
      <c r="D24" s="9" t="n">
        <f aca="false">SUMIFS(Schemes!$K$2:$K$266,Schemes!$H$2:$H$266,$A24,Schemes!$R$2:$R$266,"Under construction")</f>
        <v>0</v>
      </c>
      <c r="E24" s="9" t="n">
        <f aca="false">SUMIFS(Schemes!$K$2:$K$266,Schemes!$H$2:$H$266,$A24,Schemes!$R$2:$R$266,"Not started – permission live")</f>
        <v>50</v>
      </c>
      <c r="F24" s="9" t="n">
        <f aca="false">SUMIFS(Schemes!$K$2:$K$266,Schemes!$H$2:$H$266,$A24,Schemes!$R$2:$R$266,"Not started – past expiry")</f>
        <v>0</v>
      </c>
      <c r="G24" s="9" t="n">
        <f aca="false">SUM(C24:F24)</f>
        <v>50</v>
      </c>
    </row>
    <row r="25" customFormat="false" ht="15" hidden="false" customHeight="false" outlineLevel="0" collapsed="false">
      <c r="A25" s="2" t="s">
        <v>537</v>
      </c>
      <c r="B25" s="9" t="n">
        <f aca="false">COUNTIFS(Schemes!$H$2:$H$266,$A25,Schemes!$R$2:$R$266,"&lt;&gt;In planning")</f>
        <v>4</v>
      </c>
      <c r="C25" s="9" t="n">
        <f aca="false">SUMIFS(Schemes!$K$2:$K$266,Schemes!$H$2:$H$266,$A25,Schemes!$R$2:$R$266,"Complete")</f>
        <v>24</v>
      </c>
      <c r="D25" s="9" t="n">
        <f aca="false">SUMIFS(Schemes!$K$2:$K$266,Schemes!$H$2:$H$266,$A25,Schemes!$R$2:$R$266,"Under construction")</f>
        <v>26</v>
      </c>
      <c r="E25" s="9" t="n">
        <f aca="false">SUMIFS(Schemes!$K$2:$K$266,Schemes!$H$2:$H$266,$A25,Schemes!$R$2:$R$266,"Not started – permission live")</f>
        <v>40</v>
      </c>
      <c r="F25" s="9" t="n">
        <f aca="false">SUMIFS(Schemes!$K$2:$K$266,Schemes!$H$2:$H$266,$A25,Schemes!$R$2:$R$266,"Not started – past expiry")</f>
        <v>0</v>
      </c>
      <c r="G25" s="9" t="n">
        <f aca="false">SUM(C25:F25)</f>
        <v>90</v>
      </c>
    </row>
    <row r="26" customFormat="false" ht="15" hidden="false" customHeight="false" outlineLevel="0" collapsed="false">
      <c r="A26" s="2" t="s">
        <v>355</v>
      </c>
      <c r="B26" s="9" t="n">
        <f aca="false">COUNTIFS(Schemes!$H$2:$H$266,$A26,Schemes!$R$2:$R$266,"&lt;&gt;In planning")</f>
        <v>16</v>
      </c>
      <c r="C26" s="9" t="n">
        <f aca="false">SUMIFS(Schemes!$K$2:$K$266,Schemes!$H$2:$H$266,$A26,Schemes!$R$2:$R$266,"Complete")</f>
        <v>22</v>
      </c>
      <c r="D26" s="9" t="n">
        <f aca="false">SUMIFS(Schemes!$K$2:$K$266,Schemes!$H$2:$H$266,$A26,Schemes!$R$2:$R$266,"Under construction")</f>
        <v>146</v>
      </c>
      <c r="E26" s="9" t="n">
        <f aca="false">SUMIFS(Schemes!$K$2:$K$266,Schemes!$H$2:$H$266,$A26,Schemes!$R$2:$R$266,"Not started – permission live")</f>
        <v>132</v>
      </c>
      <c r="F26" s="9" t="n">
        <f aca="false">SUMIFS(Schemes!$K$2:$K$266,Schemes!$H$2:$H$266,$A26,Schemes!$R$2:$R$266,"Not started – past expiry")</f>
        <v>4</v>
      </c>
      <c r="G26" s="9" t="n">
        <f aca="false">SUM(C26:F26)</f>
        <v>304</v>
      </c>
    </row>
    <row r="27" customFormat="false" ht="15" hidden="false" customHeight="false" outlineLevel="0" collapsed="false">
      <c r="A27" s="2" t="s">
        <v>291</v>
      </c>
      <c r="B27" s="9" t="n">
        <f aca="false">COUNTIFS(Schemes!$H$2:$H$266,$A27,Schemes!$R$2:$R$266,"&lt;&gt;In planning")</f>
        <v>32</v>
      </c>
      <c r="C27" s="9" t="n">
        <f aca="false">SUMIFS(Schemes!$K$2:$K$266,Schemes!$H$2:$H$266,$A27,Schemes!$R$2:$R$266,"Complete")</f>
        <v>474</v>
      </c>
      <c r="D27" s="9" t="n">
        <f aca="false">SUMIFS(Schemes!$K$2:$K$266,Schemes!$H$2:$H$266,$A27,Schemes!$R$2:$R$266,"Under construction")</f>
        <v>746</v>
      </c>
      <c r="E27" s="9" t="n">
        <f aca="false">SUMIFS(Schemes!$K$2:$K$266,Schemes!$H$2:$H$266,$A27,Schemes!$R$2:$R$266,"Not started – permission live")</f>
        <v>1590</v>
      </c>
      <c r="F27" s="9" t="n">
        <f aca="false">SUMIFS(Schemes!$K$2:$K$266,Schemes!$H$2:$H$266,$A27,Schemes!$R$2:$R$266,"Not started – past expiry")</f>
        <v>149</v>
      </c>
      <c r="G27" s="9" t="n">
        <f aca="false">SUM(C27:F27)</f>
        <v>2959</v>
      </c>
    </row>
    <row r="28" customFormat="false" ht="15" hidden="false" customHeight="false" outlineLevel="0" collapsed="false">
      <c r="A28" s="2" t="s">
        <v>301</v>
      </c>
      <c r="B28" s="9" t="n">
        <f aca="false">COUNTIFS(Schemes!$H$2:$H$266,$A28,Schemes!$R$2:$R$266,"&lt;&gt;In planning")</f>
        <v>12</v>
      </c>
      <c r="C28" s="9" t="n">
        <f aca="false">SUMIFS(Schemes!$K$2:$K$266,Schemes!$H$2:$H$266,$A28,Schemes!$R$2:$R$266,"Complete")</f>
        <v>284</v>
      </c>
      <c r="D28" s="9" t="n">
        <f aca="false">SUMIFS(Schemes!$K$2:$K$266,Schemes!$H$2:$H$266,$A28,Schemes!$R$2:$R$266,"Under construction")</f>
        <v>21</v>
      </c>
      <c r="E28" s="9" t="n">
        <f aca="false">SUMIFS(Schemes!$K$2:$K$266,Schemes!$H$2:$H$266,$A28,Schemes!$R$2:$R$266,"Not started – permission live")</f>
        <v>418</v>
      </c>
      <c r="F28" s="9" t="n">
        <f aca="false">SUMIFS(Schemes!$K$2:$K$266,Schemes!$H$2:$H$266,$A28,Schemes!$R$2:$R$266,"Not started – past expiry")</f>
        <v>0</v>
      </c>
      <c r="G28" s="9" t="n">
        <f aca="false">SUM(C28:F28)</f>
        <v>723</v>
      </c>
    </row>
    <row r="29" customFormat="false" ht="15" hidden="false" customHeight="false" outlineLevel="0" collapsed="false">
      <c r="A29" s="2" t="s">
        <v>636</v>
      </c>
      <c r="B29" s="9" t="n">
        <f aca="false">COUNTIFS(Schemes!$H$2:$H$266,$A29,Schemes!$R$2:$R$266,"&lt;&gt;In planning")</f>
        <v>22</v>
      </c>
      <c r="C29" s="9" t="n">
        <f aca="false">SUMIFS(Schemes!$K$2:$K$266,Schemes!$H$2:$H$266,$A29,Schemes!$R$2:$R$266,"Complete")</f>
        <v>98</v>
      </c>
      <c r="D29" s="9" t="n">
        <f aca="false">SUMIFS(Schemes!$K$2:$K$266,Schemes!$H$2:$H$266,$A29,Schemes!$R$2:$R$266,"Under construction")</f>
        <v>1133</v>
      </c>
      <c r="E29" s="9" t="n">
        <f aca="false">SUMIFS(Schemes!$K$2:$K$266,Schemes!$H$2:$H$266,$A29,Schemes!$R$2:$R$266,"Not started – permission live")</f>
        <v>689</v>
      </c>
      <c r="F29" s="9" t="n">
        <f aca="false">SUMIFS(Schemes!$K$2:$K$266,Schemes!$H$2:$H$266,$A29,Schemes!$R$2:$R$266,"Not started – past expiry")</f>
        <v>0</v>
      </c>
      <c r="G29" s="9" t="n">
        <f aca="false">SUM(C29:F29)</f>
        <v>1920</v>
      </c>
    </row>
    <row r="30" customFormat="false" ht="15" hidden="false" customHeight="false" outlineLevel="0" collapsed="false">
      <c r="A30" s="2" t="s">
        <v>640</v>
      </c>
      <c r="B30" s="9" t="n">
        <f aca="false">COUNTIFS(Schemes!$H$2:$H$266,$A30,Schemes!$R$2:$R$266,"&lt;&gt;In planning")</f>
        <v>4</v>
      </c>
      <c r="C30" s="9" t="n">
        <f aca="false">SUMIFS(Schemes!$K$2:$K$266,Schemes!$H$2:$H$266,$A30,Schemes!$R$2:$R$266,"Complete")</f>
        <v>17</v>
      </c>
      <c r="D30" s="9" t="n">
        <f aca="false">SUMIFS(Schemes!$K$2:$K$266,Schemes!$H$2:$H$266,$A30,Schemes!$R$2:$R$266,"Under construction")</f>
        <v>398</v>
      </c>
      <c r="E30" s="9" t="n">
        <f aca="false">SUMIFS(Schemes!$K$2:$K$266,Schemes!$H$2:$H$266,$A30,Schemes!$R$2:$R$266,"Not started – permission live")</f>
        <v>0</v>
      </c>
      <c r="F30" s="9" t="n">
        <f aca="false">SUMIFS(Schemes!$K$2:$K$266,Schemes!$H$2:$H$266,$A30,Schemes!$R$2:$R$266,"Not started – past expiry")</f>
        <v>0</v>
      </c>
      <c r="G30" s="9" t="n">
        <f aca="false">SUM(C30:F30)</f>
        <v>415</v>
      </c>
    </row>
    <row r="31" customFormat="false" ht="15" hidden="false" customHeight="false" outlineLevel="0" collapsed="false">
      <c r="A31" s="2" t="s">
        <v>474</v>
      </c>
      <c r="B31" s="9" t="n">
        <f aca="false">COUNTIFS(Schemes!$H$2:$H$266,$A31,Schemes!$R$2:$R$266,"&lt;&gt;In planning")</f>
        <v>24</v>
      </c>
      <c r="C31" s="9" t="n">
        <f aca="false">SUMIFS(Schemes!$K$2:$K$266,Schemes!$H$2:$H$266,$A31,Schemes!$R$2:$R$266,"Complete")</f>
        <v>125</v>
      </c>
      <c r="D31" s="9" t="n">
        <f aca="false">SUMIFS(Schemes!$K$2:$K$266,Schemes!$H$2:$H$266,$A31,Schemes!$R$2:$R$266,"Under construction")</f>
        <v>566</v>
      </c>
      <c r="E31" s="9" t="n">
        <f aca="false">SUMIFS(Schemes!$K$2:$K$266,Schemes!$H$2:$H$266,$A31,Schemes!$R$2:$R$266,"Not started – permission live")</f>
        <v>607</v>
      </c>
      <c r="F31" s="9" t="n">
        <f aca="false">SUMIFS(Schemes!$K$2:$K$266,Schemes!$H$2:$H$266,$A31,Schemes!$R$2:$R$266,"Not started – past expiry")</f>
        <v>12</v>
      </c>
      <c r="G31" s="9" t="n">
        <f aca="false">SUM(C31:F31)</f>
        <v>1310</v>
      </c>
    </row>
    <row r="32" customFormat="false" ht="15" hidden="false" customHeight="false" outlineLevel="0" collapsed="false">
      <c r="A32" s="2" t="s">
        <v>69</v>
      </c>
      <c r="B32" s="9" t="n">
        <f aca="false">COUNTIFS(Schemes!$H$2:$H$266,$A32,Schemes!$R$2:$R$266,"&lt;&gt;In planning")</f>
        <v>93</v>
      </c>
      <c r="C32" s="9" t="n">
        <f aca="false">SUMIFS(Schemes!$K$2:$K$266,Schemes!$H$2:$H$266,$A32,Schemes!$R$2:$R$266,"Complete")</f>
        <v>148</v>
      </c>
      <c r="D32" s="9" t="n">
        <f aca="false">SUMIFS(Schemes!$K$2:$K$266,Schemes!$H$2:$H$266,$A32,Schemes!$R$2:$R$266,"Under construction")</f>
        <v>901</v>
      </c>
      <c r="E32" s="9" t="n">
        <f aca="false">SUMIFS(Schemes!$K$2:$K$266,Schemes!$H$2:$H$266,$A32,Schemes!$R$2:$R$266,"Not started – permission live")</f>
        <v>902</v>
      </c>
      <c r="F32" s="9" t="n">
        <f aca="false">SUMIFS(Schemes!$K$2:$K$266,Schemes!$H$2:$H$266,$A32,Schemes!$R$2:$R$266,"Not started – past expiry")</f>
        <v>91</v>
      </c>
      <c r="G32" s="9" t="n">
        <f aca="false">SUM(C32:F32)</f>
        <v>2042</v>
      </c>
    </row>
    <row r="33" customFormat="false" ht="15" hidden="false" customHeight="false" outlineLevel="0" collapsed="false">
      <c r="A33" s="2"/>
      <c r="B33" s="2"/>
      <c r="C33" s="2"/>
      <c r="D33" s="2"/>
      <c r="E33" s="2"/>
      <c r="F33" s="2"/>
      <c r="G33" s="2"/>
    </row>
    <row r="34" customFormat="false" ht="15" hidden="false" customHeight="false" outlineLevel="0" collapsed="false">
      <c r="A34" s="2"/>
      <c r="B34" s="2"/>
      <c r="C34" s="2"/>
      <c r="D34" s="2"/>
      <c r="E34" s="2"/>
      <c r="F34" s="2"/>
      <c r="G34" s="2"/>
    </row>
    <row r="35" customFormat="false" ht="15" hidden="false" customHeight="false" outlineLevel="0" collapsed="false">
      <c r="A35" s="8" t="s">
        <v>930</v>
      </c>
      <c r="B35" s="2"/>
      <c r="C35" s="2"/>
      <c r="D35" s="2"/>
      <c r="E35" s="2"/>
      <c r="F35" s="2"/>
      <c r="G35" s="2"/>
    </row>
    <row r="36" customFormat="false" ht="23.85" hidden="false" customHeight="false" outlineLevel="0" collapsed="false">
      <c r="A36" s="5" t="s">
        <v>37</v>
      </c>
      <c r="B36" s="5" t="s">
        <v>924</v>
      </c>
      <c r="C36" s="5" t="s">
        <v>120</v>
      </c>
      <c r="D36" s="5" t="s">
        <v>103</v>
      </c>
      <c r="E36" s="5" t="s">
        <v>75</v>
      </c>
      <c r="F36" s="5" t="s">
        <v>156</v>
      </c>
      <c r="G36" s="5" t="s">
        <v>925</v>
      </c>
    </row>
    <row r="37" customFormat="false" ht="15" hidden="false" customHeight="false" outlineLevel="0" collapsed="false">
      <c r="A37" s="2" t="s">
        <v>98</v>
      </c>
      <c r="B37" s="9" t="n">
        <f aca="false">COUNTIFS(Schemes!$P$2:$P$266,$A37,Schemes!$R$2:$R$266,"&lt;&gt;In planning")</f>
        <v>65</v>
      </c>
      <c r="C37" s="9" t="n">
        <f aca="false">SUMIFS(Schemes!$K$2:$K$266,Schemes!$P$2:$P$266,$A37,Schemes!$R$2:$R$266,"Complete")</f>
        <v>301</v>
      </c>
      <c r="D37" s="9" t="n">
        <f aca="false">SUMIFS(Schemes!$K$2:$K$266,Schemes!$P$2:$P$266,$A37,Schemes!$R$2:$R$266,"Under construction")</f>
        <v>717</v>
      </c>
      <c r="E37" s="9" t="n">
        <f aca="false">SUMIFS(Schemes!$K$2:$K$266,Schemes!$P$2:$P$266,$A37,Schemes!$R$2:$R$266,"Not started – permission live")</f>
        <v>518</v>
      </c>
      <c r="F37" s="9" t="n">
        <f aca="false">SUMIFS(Schemes!$K$2:$K$266,Schemes!$P$2:$P$266,$A37,Schemes!$R$2:$R$266,"Not started – past expiry")</f>
        <v>33</v>
      </c>
      <c r="G37" s="9" t="n">
        <f aca="false">SUM(C37:F37)</f>
        <v>1569</v>
      </c>
    </row>
    <row r="38" customFormat="false" ht="15" hidden="false" customHeight="false" outlineLevel="0" collapsed="false">
      <c r="A38" s="2" t="s">
        <v>73</v>
      </c>
      <c r="B38" s="9" t="n">
        <f aca="false">COUNTIFS(Schemes!$P$2:$P$266,$A38,Schemes!$R$2:$R$266,"&lt;&gt;In planning")</f>
        <v>186</v>
      </c>
      <c r="C38" s="9" t="n">
        <f aca="false">SUMIFS(Schemes!$K$2:$K$266,Schemes!$P$2:$P$266,$A38,Schemes!$R$2:$R$266,"Complete")</f>
        <v>974</v>
      </c>
      <c r="D38" s="9" t="n">
        <f aca="false">SUMIFS(Schemes!$K$2:$K$266,Schemes!$P$2:$P$266,$A38,Schemes!$R$2:$R$266,"Under construction")</f>
        <v>3347</v>
      </c>
      <c r="E38" s="9" t="n">
        <f aca="false">SUMIFS(Schemes!$K$2:$K$266,Schemes!$P$2:$P$266,$A38,Schemes!$R$2:$R$266,"Not started – permission live")</f>
        <v>4625</v>
      </c>
      <c r="F38" s="9" t="n">
        <f aca="false">SUMIFS(Schemes!$K$2:$K$266,Schemes!$P$2:$P$266,$A38,Schemes!$R$2:$R$266,"Not started – past expiry")</f>
        <v>278</v>
      </c>
      <c r="G38" s="9" t="n">
        <f aca="false">SUM(C38:F38)</f>
        <v>9224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5.3"/>
    <col collapsed="false" customWidth="true" hidden="false" outlineLevel="0" max="3" min="2" style="0" width="12"/>
    <col collapsed="false" customWidth="true" hidden="false" outlineLevel="0" max="4" min="4" style="0" width="16.2"/>
    <col collapsed="false" customWidth="true" hidden="false" outlineLevel="0" max="6" min="5" style="0" width="22"/>
    <col collapsed="false" customWidth="true" hidden="false" outlineLevel="0" max="7" min="7" style="0" width="12"/>
  </cols>
  <sheetData>
    <row r="1" customFormat="false" ht="42" hidden="false" customHeight="true" outlineLevel="0" collapsed="false">
      <c r="A1" s="5" t="s">
        <v>931</v>
      </c>
      <c r="B1" s="5" t="s">
        <v>924</v>
      </c>
      <c r="C1" s="5" t="s">
        <v>120</v>
      </c>
      <c r="D1" s="5" t="s">
        <v>103</v>
      </c>
      <c r="E1" s="5" t="s">
        <v>75</v>
      </c>
      <c r="F1" s="5" t="s">
        <v>156</v>
      </c>
      <c r="G1" s="5" t="s">
        <v>925</v>
      </c>
    </row>
    <row r="2" customFormat="false" ht="15" hidden="false" customHeight="false" outlineLevel="0" collapsed="false">
      <c r="A2" s="2" t="s">
        <v>145</v>
      </c>
      <c r="B2" s="2" t="n">
        <v>69</v>
      </c>
      <c r="C2" s="2" t="n">
        <v>110</v>
      </c>
      <c r="D2" s="2" t="n">
        <v>154</v>
      </c>
      <c r="E2" s="2" t="n">
        <v>93</v>
      </c>
      <c r="F2" s="2" t="n">
        <v>24</v>
      </c>
      <c r="G2" s="2" t="n">
        <v>381</v>
      </c>
    </row>
    <row r="3" customFormat="false" ht="15" hidden="false" customHeight="false" outlineLevel="0" collapsed="false">
      <c r="A3" s="2" t="s">
        <v>118</v>
      </c>
      <c r="B3" s="2" t="n">
        <v>69</v>
      </c>
      <c r="C3" s="2" t="n">
        <v>230</v>
      </c>
      <c r="D3" s="2" t="n">
        <v>382</v>
      </c>
      <c r="E3" s="2" t="n">
        <v>396</v>
      </c>
      <c r="F3" s="2" t="n">
        <v>101</v>
      </c>
      <c r="G3" s="2" t="n">
        <v>1109</v>
      </c>
    </row>
    <row r="4" customFormat="false" ht="15" hidden="false" customHeight="false" outlineLevel="0" collapsed="false">
      <c r="A4" s="2" t="s">
        <v>91</v>
      </c>
      <c r="B4" s="2" t="n">
        <v>47</v>
      </c>
      <c r="C4" s="2" t="n">
        <v>221</v>
      </c>
      <c r="D4" s="2" t="n">
        <v>562</v>
      </c>
      <c r="E4" s="2" t="n">
        <v>745</v>
      </c>
      <c r="F4" s="2" t="n">
        <v>49</v>
      </c>
      <c r="G4" s="2" t="n">
        <v>1577</v>
      </c>
    </row>
    <row r="5" customFormat="false" ht="15" hidden="false" customHeight="false" outlineLevel="0" collapsed="false">
      <c r="A5" s="2" t="s">
        <v>70</v>
      </c>
      <c r="B5" s="2" t="n">
        <v>36</v>
      </c>
      <c r="C5" s="2" t="n">
        <v>276</v>
      </c>
      <c r="D5" s="2" t="n">
        <v>1456</v>
      </c>
      <c r="E5" s="2" t="n">
        <v>952</v>
      </c>
      <c r="F5" s="2" t="n">
        <v>0</v>
      </c>
      <c r="G5" s="2" t="n">
        <v>2684</v>
      </c>
    </row>
    <row r="6" customFormat="false" ht="15" hidden="false" customHeight="false" outlineLevel="0" collapsed="false">
      <c r="A6" s="2" t="s">
        <v>292</v>
      </c>
      <c r="B6" s="2" t="n">
        <v>23</v>
      </c>
      <c r="C6" s="2" t="n">
        <v>438</v>
      </c>
      <c r="D6" s="2" t="n">
        <v>1510</v>
      </c>
      <c r="E6" s="2" t="n">
        <v>2957</v>
      </c>
      <c r="F6" s="2" t="n">
        <v>137</v>
      </c>
      <c r="G6" s="2" t="n">
        <v>5042</v>
      </c>
    </row>
    <row r="7" customFormat="false" ht="15" hidden="false" customHeight="false" outlineLevel="0" collapsed="false">
      <c r="A7" s="2" t="s">
        <v>926</v>
      </c>
      <c r="B7" s="2" t="n">
        <v>244</v>
      </c>
      <c r="C7" s="2" t="n">
        <v>1275</v>
      </c>
      <c r="D7" s="2" t="n">
        <v>4064</v>
      </c>
      <c r="E7" s="2" t="n">
        <v>5143</v>
      </c>
      <c r="F7" s="2" t="n">
        <v>311</v>
      </c>
      <c r="G7" s="2" t="n">
        <v>10793</v>
      </c>
    </row>
    <row r="8" customFormat="false" ht="15" hidden="false" customHeight="false" outlineLevel="0" collapsed="false">
      <c r="A8" s="2"/>
      <c r="B8" s="2"/>
      <c r="C8" s="2"/>
      <c r="D8" s="2"/>
      <c r="E8" s="2"/>
      <c r="F8" s="2"/>
      <c r="G8" s="2"/>
    </row>
    <row r="9" customFormat="false" ht="15" hidden="false" customHeight="false" outlineLevel="0" collapsed="false">
      <c r="A9" s="11" t="s">
        <v>932</v>
      </c>
      <c r="B9" s="2"/>
      <c r="C9" s="2"/>
      <c r="D9" s="2"/>
      <c r="E9" s="2"/>
      <c r="F9" s="2"/>
      <c r="G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5.3"/>
    <col collapsed="false" customWidth="true" hidden="false" outlineLevel="0" max="3" min="2" style="0" width="12"/>
    <col collapsed="false" customWidth="true" hidden="false" outlineLevel="0" max="4" min="4" style="0" width="14.4"/>
    <col collapsed="false" customWidth="true" hidden="false" outlineLevel="0" max="5" min="5" style="0" width="12"/>
    <col collapsed="false" customWidth="true" hidden="false" outlineLevel="0" max="6" min="6" style="0" width="15.3"/>
    <col collapsed="false" customWidth="true" hidden="false" outlineLevel="0" max="7" min="7" style="0" width="16.2"/>
    <col collapsed="false" customWidth="true" hidden="false" outlineLevel="0" max="8" min="8" style="0" width="19.8"/>
    <col collapsed="false" customWidth="true" hidden="false" outlineLevel="0" max="9" min="9" style="0" width="16.2"/>
    <col collapsed="false" customWidth="true" hidden="false" outlineLevel="0" max="10" min="10" style="0" width="19.8"/>
    <col collapsed="false" customWidth="true" hidden="false" outlineLevel="0" max="11" min="11" style="0" width="22"/>
    <col collapsed="false" customWidth="true" hidden="false" outlineLevel="0" max="12" min="12" style="0" width="21.6"/>
  </cols>
  <sheetData>
    <row r="1" customFormat="false" ht="42" hidden="false" customHeight="true" outlineLevel="0" collapsed="false">
      <c r="A1" s="5" t="s">
        <v>931</v>
      </c>
      <c r="B1" s="5" t="s">
        <v>933</v>
      </c>
      <c r="C1" s="5" t="s">
        <v>934</v>
      </c>
      <c r="D1" s="5" t="s">
        <v>935</v>
      </c>
      <c r="E1" s="5" t="s">
        <v>936</v>
      </c>
      <c r="F1" s="5" t="s">
        <v>937</v>
      </c>
      <c r="G1" s="5" t="s">
        <v>938</v>
      </c>
      <c r="H1" s="5" t="s">
        <v>939</v>
      </c>
      <c r="I1" s="5" t="s">
        <v>940</v>
      </c>
      <c r="J1" s="5" t="s">
        <v>941</v>
      </c>
      <c r="K1" s="5" t="s">
        <v>942</v>
      </c>
      <c r="L1" s="5" t="s">
        <v>943</v>
      </c>
    </row>
    <row r="2" customFormat="false" ht="15" hidden="false" customHeight="false" outlineLevel="0" collapsed="false">
      <c r="A2" s="2" t="s">
        <v>145</v>
      </c>
      <c r="B2" s="2" t="n">
        <v>65</v>
      </c>
      <c r="C2" s="2" t="n">
        <v>0.2</v>
      </c>
      <c r="D2" s="2" t="n">
        <v>0.5</v>
      </c>
      <c r="E2" s="2" t="n">
        <v>0.8</v>
      </c>
      <c r="F2" s="2" t="n">
        <v>45</v>
      </c>
      <c r="G2" s="2" t="n">
        <v>0.7</v>
      </c>
      <c r="H2" s="2" t="n">
        <v>1.3</v>
      </c>
      <c r="I2" s="2" t="n">
        <v>2.1</v>
      </c>
      <c r="J2" s="2" t="n">
        <v>18</v>
      </c>
      <c r="K2" s="2" t="n">
        <v>1.7</v>
      </c>
      <c r="L2" s="2" t="n">
        <v>4.1</v>
      </c>
    </row>
    <row r="3" customFormat="false" ht="15" hidden="false" customHeight="false" outlineLevel="0" collapsed="false">
      <c r="A3" s="2" t="s">
        <v>118</v>
      </c>
      <c r="B3" s="2" t="n">
        <v>65</v>
      </c>
      <c r="C3" s="2" t="n">
        <v>0.3</v>
      </c>
      <c r="D3" s="2" t="n">
        <v>0.6</v>
      </c>
      <c r="E3" s="2" t="n">
        <v>0.9</v>
      </c>
      <c r="F3" s="2" t="n">
        <v>34</v>
      </c>
      <c r="G3" s="2" t="n">
        <v>0.6</v>
      </c>
      <c r="H3" s="2" t="n">
        <v>1.4</v>
      </c>
      <c r="I3" s="2" t="n">
        <v>2</v>
      </c>
      <c r="J3" s="2" t="n">
        <v>15</v>
      </c>
      <c r="K3" s="2" t="n">
        <v>1.8</v>
      </c>
      <c r="L3" s="2" t="n">
        <v>8.3</v>
      </c>
    </row>
    <row r="4" customFormat="false" ht="15" hidden="false" customHeight="false" outlineLevel="0" collapsed="false">
      <c r="A4" s="2" t="s">
        <v>91</v>
      </c>
      <c r="B4" s="2" t="n">
        <v>47</v>
      </c>
      <c r="C4" s="2" t="n">
        <v>0.3</v>
      </c>
      <c r="D4" s="2" t="n">
        <v>0.6</v>
      </c>
      <c r="E4" s="2" t="n">
        <v>0.9</v>
      </c>
      <c r="F4" s="2" t="n">
        <v>23</v>
      </c>
      <c r="G4" s="2" t="n">
        <v>0.8</v>
      </c>
      <c r="H4" s="2" t="n">
        <v>1.6</v>
      </c>
      <c r="I4" s="2" t="n">
        <v>2.1</v>
      </c>
      <c r="J4" s="2" t="n">
        <v>6</v>
      </c>
      <c r="K4" s="2" t="n">
        <v>1.4</v>
      </c>
      <c r="L4" s="2" t="n">
        <v>21.5</v>
      </c>
    </row>
    <row r="5" customFormat="false" ht="15" hidden="false" customHeight="false" outlineLevel="0" collapsed="false">
      <c r="A5" s="2" t="s">
        <v>70</v>
      </c>
      <c r="B5" s="2" t="n">
        <v>36</v>
      </c>
      <c r="C5" s="2" t="n">
        <v>0.6</v>
      </c>
      <c r="D5" s="2" t="n">
        <v>0.7</v>
      </c>
      <c r="E5" s="2" t="n">
        <v>1.2</v>
      </c>
      <c r="F5" s="2" t="n">
        <v>23</v>
      </c>
      <c r="G5" s="2" t="n">
        <v>0.7</v>
      </c>
      <c r="H5" s="2" t="n">
        <v>1.1</v>
      </c>
      <c r="I5" s="2" t="n">
        <v>2.1</v>
      </c>
      <c r="J5" s="2" t="n">
        <v>4</v>
      </c>
      <c r="K5" s="2" t="n">
        <v>2.3</v>
      </c>
      <c r="L5" s="2" t="n">
        <v>34</v>
      </c>
    </row>
    <row r="6" customFormat="false" ht="15" hidden="false" customHeight="false" outlineLevel="0" collapsed="false">
      <c r="A6" s="2" t="s">
        <v>292</v>
      </c>
      <c r="B6" s="2" t="n">
        <v>23</v>
      </c>
      <c r="C6" s="2" t="n">
        <v>0.3</v>
      </c>
      <c r="D6" s="2" t="n">
        <v>0.5</v>
      </c>
      <c r="E6" s="2" t="n">
        <v>0.7</v>
      </c>
      <c r="F6" s="2" t="n">
        <v>10</v>
      </c>
      <c r="G6" s="2" t="n">
        <v>1.1</v>
      </c>
      <c r="H6" s="2" t="n">
        <v>1.7</v>
      </c>
      <c r="I6" s="2" t="n">
        <v>1.9</v>
      </c>
      <c r="J6" s="2" t="n">
        <v>3</v>
      </c>
      <c r="K6" s="2" t="n">
        <v>2.1</v>
      </c>
      <c r="L6" s="2" t="n">
        <v>50.3</v>
      </c>
    </row>
    <row r="7" customFormat="false" ht="15" hidden="false" customHeight="false" outlineLevel="0" collapsed="false">
      <c r="A7" s="2" t="s">
        <v>926</v>
      </c>
      <c r="B7" s="2" t="n">
        <v>240</v>
      </c>
      <c r="C7" s="2" t="n">
        <v>0.3</v>
      </c>
      <c r="D7" s="2" t="n">
        <v>0.6</v>
      </c>
      <c r="E7" s="2" t="n">
        <v>0.9</v>
      </c>
      <c r="F7" s="2" t="n">
        <v>136</v>
      </c>
      <c r="G7" s="2" t="n">
        <v>0.7</v>
      </c>
      <c r="H7" s="2" t="n">
        <v>1.3</v>
      </c>
      <c r="I7" s="2" t="n">
        <v>2.1</v>
      </c>
      <c r="J7" s="2" t="n">
        <v>47</v>
      </c>
      <c r="K7" s="2" t="n">
        <v>1.8</v>
      </c>
      <c r="L7" s="2" t="n">
        <v>8</v>
      </c>
    </row>
    <row r="8" customFormat="false" ht="15" hidden="false" customHeight="false" outlineLevel="0" collapsed="false">
      <c r="A8" s="2"/>
      <c r="B8" s="2"/>
      <c r="C8" s="2"/>
      <c r="D8" s="2"/>
      <c r="E8" s="2"/>
      <c r="F8" s="2"/>
      <c r="G8" s="2"/>
      <c r="H8" s="2"/>
      <c r="I8" s="2"/>
      <c r="J8" s="2"/>
      <c r="K8" s="2"/>
      <c r="L8" s="2"/>
    </row>
    <row r="9" customFormat="false" ht="15" hidden="false" customHeight="false" outlineLevel="0" collapsed="false">
      <c r="A9" s="11" t="s">
        <v>932</v>
      </c>
      <c r="B9" s="2"/>
      <c r="C9" s="2"/>
      <c r="D9" s="2"/>
      <c r="E9" s="2"/>
      <c r="F9" s="2"/>
      <c r="G9" s="2"/>
      <c r="H9" s="2"/>
      <c r="I9" s="2"/>
      <c r="J9" s="2"/>
      <c r="K9" s="2"/>
      <c r="L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0.7"/>
    <col collapsed="false" customWidth="true" hidden="false" outlineLevel="0" max="3" min="3" style="0" width="12"/>
    <col collapsed="false" customWidth="true" hidden="false" outlineLevel="0" max="4" min="4" style="0" width="20.7"/>
    <col collapsed="false" customWidth="true" hidden="false" outlineLevel="0" max="5" min="5" style="0" width="12"/>
    <col collapsed="false" customWidth="true" hidden="false" outlineLevel="0" max="6" min="6" style="0" width="20.7"/>
    <col collapsed="false" customWidth="true" hidden="false" outlineLevel="0" max="7" min="7" style="0" width="12"/>
    <col collapsed="false" customWidth="true" hidden="false" outlineLevel="0" max="8" min="8" style="0" width="20.7"/>
    <col collapsed="false" customWidth="true" hidden="false" outlineLevel="0" max="9" min="9" style="0" width="12"/>
    <col collapsed="false" customWidth="true" hidden="false" outlineLevel="0" max="10" min="10" style="0" width="20.7"/>
    <col collapsed="false" customWidth="true" hidden="false" outlineLevel="0" max="11" min="11" style="0" width="12"/>
  </cols>
  <sheetData>
    <row r="1" customFormat="false" ht="42" hidden="false" customHeight="true" outlineLevel="0" collapsed="false">
      <c r="A1" s="5" t="s">
        <v>944</v>
      </c>
      <c r="B1" s="5" t="s">
        <v>945</v>
      </c>
      <c r="C1" s="5" t="s">
        <v>946</v>
      </c>
      <c r="D1" s="5" t="s">
        <v>947</v>
      </c>
      <c r="E1" s="5" t="s">
        <v>948</v>
      </c>
      <c r="F1" s="5" t="s">
        <v>949</v>
      </c>
      <c r="G1" s="5" t="s">
        <v>950</v>
      </c>
      <c r="H1" s="5" t="s">
        <v>951</v>
      </c>
      <c r="I1" s="5" t="s">
        <v>952</v>
      </c>
      <c r="J1" s="5" t="s">
        <v>953</v>
      </c>
      <c r="K1" s="5" t="s">
        <v>954</v>
      </c>
    </row>
    <row r="2" customFormat="false" ht="15" hidden="false" customHeight="false" outlineLevel="0" collapsed="false">
      <c r="A2" s="2" t="s">
        <v>955</v>
      </c>
      <c r="B2" s="2" t="n">
        <v>27</v>
      </c>
      <c r="C2" s="2" t="n">
        <v>119</v>
      </c>
      <c r="D2" s="2" t="n">
        <v>47</v>
      </c>
      <c r="E2" s="2" t="n">
        <v>106</v>
      </c>
      <c r="F2" s="2" t="n">
        <v>54</v>
      </c>
      <c r="G2" s="2" t="n">
        <v>82</v>
      </c>
      <c r="H2" s="2" t="n">
        <v>64</v>
      </c>
      <c r="I2" s="2" t="n">
        <v>70</v>
      </c>
      <c r="J2" s="2" t="n">
        <v>68</v>
      </c>
      <c r="K2" s="2" t="n">
        <v>50</v>
      </c>
    </row>
    <row r="3" customFormat="false" ht="15" hidden="false" customHeight="false" outlineLevel="0" collapsed="false">
      <c r="A3" s="2" t="s">
        <v>956</v>
      </c>
      <c r="B3" s="2" t="n">
        <v>22</v>
      </c>
      <c r="C3" s="2" t="n">
        <v>72</v>
      </c>
      <c r="D3" s="2" t="n">
        <v>47</v>
      </c>
      <c r="E3" s="2" t="n">
        <v>60</v>
      </c>
      <c r="F3" s="2" t="n">
        <v>65</v>
      </c>
      <c r="G3" s="2" t="n">
        <v>48</v>
      </c>
      <c r="H3" s="2" t="n">
        <v>71</v>
      </c>
      <c r="I3" s="2" t="n">
        <v>38</v>
      </c>
      <c r="J3" s="2" t="n">
        <v>84</v>
      </c>
      <c r="K3" s="2" t="n">
        <v>31</v>
      </c>
    </row>
    <row r="4" customFormat="false" ht="15" hidden="false" customHeight="false" outlineLevel="0" collapsed="false">
      <c r="A4" s="2" t="s">
        <v>957</v>
      </c>
      <c r="B4" s="2" t="n">
        <v>14</v>
      </c>
      <c r="C4" s="2" t="n">
        <v>14</v>
      </c>
      <c r="D4" s="2" t="n">
        <v>67</v>
      </c>
      <c r="E4" s="2" t="n">
        <v>12</v>
      </c>
      <c r="F4" s="2" t="n">
        <v>67</v>
      </c>
      <c r="G4" s="2" t="n">
        <v>9</v>
      </c>
      <c r="H4" s="2" t="n">
        <v>62</v>
      </c>
      <c r="I4" s="2" t="n">
        <v>8</v>
      </c>
      <c r="J4" s="2"/>
      <c r="K4" s="2" t="n">
        <v>4</v>
      </c>
    </row>
    <row r="5" customFormat="false" ht="15" hidden="false" customHeight="false" outlineLevel="0" collapsed="false">
      <c r="A5" s="2" t="s">
        <v>926</v>
      </c>
      <c r="B5" s="2" t="n">
        <v>25</v>
      </c>
      <c r="C5" s="2" t="n">
        <v>208</v>
      </c>
      <c r="D5" s="2" t="n">
        <v>48</v>
      </c>
      <c r="E5" s="2" t="n">
        <v>181</v>
      </c>
      <c r="F5" s="2" t="n">
        <v>58</v>
      </c>
      <c r="G5" s="2" t="n">
        <v>142</v>
      </c>
      <c r="H5" s="2" t="n">
        <v>66</v>
      </c>
      <c r="I5" s="2" t="n">
        <v>119</v>
      </c>
      <c r="J5" s="2" t="n">
        <v>72</v>
      </c>
      <c r="K5" s="2" t="n">
        <v>88</v>
      </c>
    </row>
    <row r="6" customFormat="false" ht="15" hidden="false" customHeight="false" outlineLevel="0" collapsed="false">
      <c r="A6" s="2"/>
      <c r="B6" s="2"/>
      <c r="C6" s="2"/>
      <c r="D6" s="2"/>
      <c r="E6" s="2"/>
      <c r="F6" s="2"/>
      <c r="G6" s="2"/>
      <c r="H6" s="2"/>
      <c r="I6" s="2"/>
      <c r="J6" s="2"/>
      <c r="K6" s="2"/>
    </row>
    <row r="7" customFormat="false" ht="15" hidden="false" customHeight="false" outlineLevel="0" collapsed="false">
      <c r="A7" s="11" t="s">
        <v>932</v>
      </c>
      <c r="B7" s="2"/>
      <c r="C7" s="2"/>
      <c r="D7" s="2"/>
      <c r="E7" s="2"/>
      <c r="F7" s="2"/>
      <c r="G7" s="2"/>
      <c r="H7" s="2"/>
      <c r="I7" s="2"/>
      <c r="J7" s="2"/>
      <c r="K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3.5"/>
    <col collapsed="false" customWidth="true" hidden="false" outlineLevel="0" max="4" min="4" style="0" width="12"/>
    <col collapsed="false" customWidth="true" hidden="false" outlineLevel="0" max="5" min="5" style="0" width="13.5"/>
    <col collapsed="false" customWidth="true" hidden="false" outlineLevel="0" max="6" min="6" style="0" width="15.3"/>
    <col collapsed="false" customWidth="true" hidden="false" outlineLevel="0" max="7" min="7" style="0" width="17.1"/>
    <col collapsed="false" customWidth="true" hidden="false" outlineLevel="0" max="8" min="8" style="0" width="22"/>
  </cols>
  <sheetData>
    <row r="1" customFormat="false" ht="42" hidden="false" customHeight="true" outlineLevel="0" collapsed="false">
      <c r="A1" s="5" t="s">
        <v>958</v>
      </c>
      <c r="B1" s="5" t="s">
        <v>924</v>
      </c>
      <c r="C1" s="5" t="s">
        <v>959</v>
      </c>
      <c r="D1" s="5" t="s">
        <v>960</v>
      </c>
      <c r="E1" s="5" t="s">
        <v>961</v>
      </c>
      <c r="F1" s="5" t="s">
        <v>962</v>
      </c>
      <c r="G1" s="5" t="s">
        <v>963</v>
      </c>
      <c r="H1" s="5" t="s">
        <v>964</v>
      </c>
    </row>
    <row r="2" customFormat="false" ht="15" hidden="false" customHeight="false" outlineLevel="0" collapsed="false">
      <c r="A2" s="2" t="s">
        <v>290</v>
      </c>
      <c r="B2" s="2" t="n">
        <v>39</v>
      </c>
      <c r="C2" s="2" t="n">
        <v>1834</v>
      </c>
      <c r="D2" s="2" t="n">
        <v>1673</v>
      </c>
      <c r="E2" s="2" t="n">
        <v>36</v>
      </c>
      <c r="F2" s="2" t="n">
        <v>91</v>
      </c>
      <c r="G2" s="2" t="n">
        <v>92</v>
      </c>
      <c r="H2" s="2" t="n">
        <v>1.2</v>
      </c>
    </row>
    <row r="3" customFormat="false" ht="15" hidden="false" customHeight="false" outlineLevel="0" collapsed="false">
      <c r="A3" s="2" t="s">
        <v>473</v>
      </c>
      <c r="B3" s="2" t="n">
        <v>34</v>
      </c>
      <c r="C3" s="2" t="n">
        <v>1362</v>
      </c>
      <c r="D3" s="2" t="n">
        <v>838</v>
      </c>
      <c r="E3" s="2" t="n">
        <v>20</v>
      </c>
      <c r="F3" s="2" t="n">
        <v>62</v>
      </c>
      <c r="G3" s="2" t="n">
        <v>59</v>
      </c>
      <c r="H3" s="2" t="n">
        <v>1.4</v>
      </c>
    </row>
    <row r="4" customFormat="false" ht="15" hidden="false" customHeight="false" outlineLevel="0" collapsed="false">
      <c r="A4" s="2" t="s">
        <v>635</v>
      </c>
      <c r="B4" s="2" t="n">
        <v>58</v>
      </c>
      <c r="C4" s="2" t="n">
        <v>2487</v>
      </c>
      <c r="D4" s="2" t="n">
        <v>2084</v>
      </c>
      <c r="E4" s="2" t="n">
        <v>38</v>
      </c>
      <c r="F4" s="2" t="n">
        <v>84</v>
      </c>
      <c r="G4" s="2" t="n">
        <v>66</v>
      </c>
      <c r="H4" s="2" t="n">
        <v>1.4</v>
      </c>
    </row>
    <row r="5" customFormat="false" ht="15" hidden="false" customHeight="false" outlineLevel="0" collapsed="false">
      <c r="A5" s="2" t="s">
        <v>68</v>
      </c>
      <c r="B5" s="2" t="n">
        <v>11</v>
      </c>
      <c r="C5" s="2" t="n">
        <v>179</v>
      </c>
      <c r="D5" s="2" t="n">
        <v>31</v>
      </c>
      <c r="E5" s="2" t="n">
        <v>4</v>
      </c>
      <c r="F5" s="2" t="n">
        <v>17</v>
      </c>
      <c r="G5" s="2" t="n">
        <v>36</v>
      </c>
      <c r="H5" s="2" t="n">
        <v>2.1</v>
      </c>
    </row>
    <row r="6" customFormat="false" ht="15" hidden="false" customHeight="false" outlineLevel="0" collapsed="false">
      <c r="A6" s="2" t="s">
        <v>164</v>
      </c>
      <c r="B6" s="2" t="n">
        <v>23</v>
      </c>
      <c r="C6" s="2" t="n">
        <v>323</v>
      </c>
      <c r="D6" s="2" t="n">
        <v>192</v>
      </c>
      <c r="E6" s="2" t="n">
        <v>18</v>
      </c>
      <c r="F6" s="2" t="n">
        <v>59</v>
      </c>
      <c r="G6" s="2" t="n">
        <v>78</v>
      </c>
      <c r="H6" s="2" t="n">
        <v>1.8</v>
      </c>
    </row>
    <row r="7" customFormat="false" ht="15" hidden="false" customHeight="false" outlineLevel="0" collapsed="false">
      <c r="A7" s="2" t="s">
        <v>850</v>
      </c>
      <c r="B7" s="2" t="n">
        <v>16</v>
      </c>
      <c r="C7" s="2" t="n">
        <v>400</v>
      </c>
      <c r="D7" s="2" t="n">
        <v>206</v>
      </c>
      <c r="E7" s="2" t="n">
        <v>8</v>
      </c>
      <c r="F7" s="2" t="n">
        <v>52</v>
      </c>
      <c r="G7" s="2" t="n">
        <v>50</v>
      </c>
      <c r="H7" s="2" t="n">
        <v>1.3</v>
      </c>
    </row>
    <row r="8" customFormat="false" ht="15" hidden="false" customHeight="false" outlineLevel="0" collapsed="false">
      <c r="A8" s="2"/>
      <c r="B8" s="2"/>
      <c r="C8" s="2"/>
      <c r="D8" s="2"/>
      <c r="E8" s="2"/>
      <c r="F8" s="2"/>
      <c r="G8" s="2"/>
      <c r="H8" s="2"/>
    </row>
    <row r="9" customFormat="false" ht="15" hidden="false" customHeight="false" outlineLevel="0" collapsed="false">
      <c r="A9" s="11" t="s">
        <v>932</v>
      </c>
      <c r="B9" s="2"/>
      <c r="C9" s="2"/>
      <c r="D9" s="2"/>
      <c r="E9" s="2"/>
      <c r="F9" s="2"/>
      <c r="G9" s="2"/>
      <c r="H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3.5"/>
    <col collapsed="false" customWidth="true" hidden="false" outlineLevel="0" max="4" min="4" style="0" width="12"/>
    <col collapsed="false" customWidth="true" hidden="false" outlineLevel="0" max="5" min="5" style="0" width="13.5"/>
    <col collapsed="false" customWidth="true" hidden="false" outlineLevel="0" max="6" min="6" style="0" width="15.3"/>
    <col collapsed="false" customWidth="true" hidden="false" outlineLevel="0" max="7" min="7" style="0" width="17.1"/>
    <col collapsed="false" customWidth="true" hidden="false" outlineLevel="0" max="8" min="8" style="0" width="22"/>
  </cols>
  <sheetData>
    <row r="1" customFormat="false" ht="42" hidden="false" customHeight="true" outlineLevel="0" collapsed="false">
      <c r="A1" s="5" t="s">
        <v>965</v>
      </c>
      <c r="B1" s="5" t="s">
        <v>924</v>
      </c>
      <c r="C1" s="5" t="s">
        <v>959</v>
      </c>
      <c r="D1" s="5" t="s">
        <v>960</v>
      </c>
      <c r="E1" s="5" t="s">
        <v>961</v>
      </c>
      <c r="F1" s="5" t="s">
        <v>962</v>
      </c>
      <c r="G1" s="5" t="s">
        <v>963</v>
      </c>
      <c r="H1" s="5" t="s">
        <v>964</v>
      </c>
    </row>
    <row r="2" customFormat="false" ht="15" hidden="false" customHeight="false" outlineLevel="0" collapsed="false">
      <c r="A2" s="2" t="s">
        <v>145</v>
      </c>
      <c r="B2" s="2" t="n">
        <v>55</v>
      </c>
      <c r="C2" s="2" t="n">
        <v>297</v>
      </c>
      <c r="D2" s="2" t="n">
        <v>216</v>
      </c>
      <c r="E2" s="2" t="n">
        <v>40</v>
      </c>
      <c r="F2" s="2" t="n">
        <v>73</v>
      </c>
      <c r="G2" s="2" t="n">
        <v>73</v>
      </c>
      <c r="H2" s="2" t="n">
        <v>1.4</v>
      </c>
    </row>
    <row r="3" customFormat="false" ht="15" hidden="false" customHeight="false" outlineLevel="0" collapsed="false">
      <c r="A3" s="2" t="s">
        <v>118</v>
      </c>
      <c r="B3" s="2" t="n">
        <v>51</v>
      </c>
      <c r="C3" s="2" t="n">
        <v>836</v>
      </c>
      <c r="D3" s="2" t="n">
        <v>530</v>
      </c>
      <c r="E3" s="2" t="n">
        <v>32</v>
      </c>
      <c r="F3" s="2" t="n">
        <v>63</v>
      </c>
      <c r="G3" s="2" t="n">
        <v>63</v>
      </c>
      <c r="H3" s="2" t="n">
        <v>1.5</v>
      </c>
    </row>
    <row r="4" customFormat="false" ht="15" hidden="false" customHeight="false" outlineLevel="0" collapsed="false">
      <c r="A4" s="2" t="s">
        <v>91</v>
      </c>
      <c r="B4" s="2" t="n">
        <v>32</v>
      </c>
      <c r="C4" s="2" t="n">
        <v>1093</v>
      </c>
      <c r="D4" s="2" t="n">
        <v>652</v>
      </c>
      <c r="E4" s="2" t="n">
        <v>19</v>
      </c>
      <c r="F4" s="2" t="n">
        <v>60</v>
      </c>
      <c r="G4" s="2" t="n">
        <v>59</v>
      </c>
      <c r="H4" s="2" t="n">
        <v>1.8</v>
      </c>
    </row>
    <row r="5" customFormat="false" ht="15" hidden="false" customHeight="false" outlineLevel="0" collapsed="false">
      <c r="A5" s="2" t="s">
        <v>70</v>
      </c>
      <c r="B5" s="2" t="n">
        <v>28</v>
      </c>
      <c r="C5" s="2" t="n">
        <v>2109</v>
      </c>
      <c r="D5" s="2" t="n">
        <v>1678</v>
      </c>
      <c r="E5" s="2" t="n">
        <v>22</v>
      </c>
      <c r="F5" s="2" t="n">
        <v>80</v>
      </c>
      <c r="G5" s="2" t="n">
        <v>79</v>
      </c>
      <c r="H5" s="2" t="n">
        <v>1.2</v>
      </c>
    </row>
    <row r="6" customFormat="false" ht="15" hidden="false" customHeight="false" outlineLevel="0" collapsed="false">
      <c r="A6" s="2" t="s">
        <v>292</v>
      </c>
      <c r="B6" s="2" t="n">
        <v>12</v>
      </c>
      <c r="C6" s="2" t="n">
        <v>2250</v>
      </c>
      <c r="D6" s="2" t="n">
        <v>1948</v>
      </c>
      <c r="E6" s="2" t="n">
        <v>10</v>
      </c>
      <c r="F6" s="2" t="n">
        <v>87</v>
      </c>
      <c r="G6" s="2" t="n">
        <v>83</v>
      </c>
      <c r="H6" s="2" t="n">
        <v>1.7</v>
      </c>
    </row>
    <row r="7" customFormat="false" ht="15" hidden="false" customHeight="false" outlineLevel="0" collapsed="false">
      <c r="A7" s="2"/>
      <c r="B7" s="2"/>
      <c r="C7" s="2"/>
      <c r="D7" s="2"/>
      <c r="E7" s="2"/>
      <c r="F7" s="2"/>
      <c r="G7" s="2"/>
      <c r="H7" s="2"/>
    </row>
    <row r="8" customFormat="false" ht="15" hidden="false" customHeight="false" outlineLevel="0" collapsed="false">
      <c r="A8" s="11" t="s">
        <v>932</v>
      </c>
      <c r="B8" s="2"/>
      <c r="C8" s="2"/>
      <c r="D8" s="2"/>
      <c r="E8" s="2"/>
      <c r="F8" s="2"/>
      <c r="G8" s="2"/>
      <c r="H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3.5"/>
    <col collapsed="false" customWidth="true" hidden="false" outlineLevel="0" max="4" min="4" style="0" width="12"/>
    <col collapsed="false" customWidth="true" hidden="false" outlineLevel="0" max="5" min="5" style="0" width="13.5"/>
    <col collapsed="false" customWidth="true" hidden="false" outlineLevel="0" max="6" min="6" style="0" width="15.3"/>
    <col collapsed="false" customWidth="true" hidden="false" outlineLevel="0" max="7" min="7" style="0" width="17.1"/>
    <col collapsed="false" customWidth="true" hidden="false" outlineLevel="0" max="8" min="8" style="0" width="22"/>
  </cols>
  <sheetData>
    <row r="1" customFormat="false" ht="42" hidden="false" customHeight="true" outlineLevel="0" collapsed="false">
      <c r="A1" s="5" t="s">
        <v>966</v>
      </c>
      <c r="B1" s="5" t="s">
        <v>924</v>
      </c>
      <c r="C1" s="5" t="s">
        <v>959</v>
      </c>
      <c r="D1" s="5" t="s">
        <v>960</v>
      </c>
      <c r="E1" s="5" t="s">
        <v>961</v>
      </c>
      <c r="F1" s="5" t="s">
        <v>962</v>
      </c>
      <c r="G1" s="5" t="s">
        <v>963</v>
      </c>
      <c r="H1" s="5" t="s">
        <v>964</v>
      </c>
    </row>
    <row r="2" customFormat="false" ht="15" hidden="false" customHeight="false" outlineLevel="0" collapsed="false">
      <c r="A2" s="2" t="s">
        <v>83</v>
      </c>
      <c r="B2" s="2" t="n">
        <v>75</v>
      </c>
      <c r="C2" s="2" t="n">
        <v>1381</v>
      </c>
      <c r="D2" s="2" t="n">
        <v>954</v>
      </c>
      <c r="E2" s="2" t="n">
        <v>54</v>
      </c>
      <c r="F2" s="2" t="n">
        <v>69</v>
      </c>
      <c r="G2" s="2" t="n">
        <v>72</v>
      </c>
      <c r="H2" s="2" t="n">
        <v>1.3</v>
      </c>
    </row>
    <row r="3" customFormat="false" ht="15" hidden="false" customHeight="false" outlineLevel="0" collapsed="false">
      <c r="A3" s="2" t="s">
        <v>71</v>
      </c>
      <c r="B3" s="2" t="n">
        <v>28</v>
      </c>
      <c r="C3" s="2" t="n">
        <v>3260</v>
      </c>
      <c r="D3" s="2" t="n">
        <v>2773</v>
      </c>
      <c r="E3" s="2" t="n">
        <v>24</v>
      </c>
      <c r="F3" s="2" t="n">
        <v>85</v>
      </c>
      <c r="G3" s="2" t="n">
        <v>86</v>
      </c>
      <c r="H3" s="2" t="n">
        <v>1.7</v>
      </c>
    </row>
    <row r="4" customFormat="false" ht="15" hidden="false" customHeight="false" outlineLevel="0" collapsed="false">
      <c r="A4" s="2" t="s">
        <v>95</v>
      </c>
      <c r="B4" s="2" t="n">
        <v>52</v>
      </c>
      <c r="C4" s="2" t="n">
        <v>1452</v>
      </c>
      <c r="D4" s="2" t="n">
        <v>978</v>
      </c>
      <c r="E4" s="2" t="n">
        <v>30</v>
      </c>
      <c r="F4" s="2" t="n">
        <v>67</v>
      </c>
      <c r="G4" s="2" t="n">
        <v>58</v>
      </c>
      <c r="H4" s="2" t="n">
        <v>1.7</v>
      </c>
    </row>
    <row r="5" customFormat="false" ht="15" hidden="false" customHeight="false" outlineLevel="0" collapsed="false">
      <c r="A5" s="2" t="s">
        <v>297</v>
      </c>
      <c r="B5" s="2" t="n">
        <v>4</v>
      </c>
      <c r="C5" s="2" t="n">
        <v>82</v>
      </c>
      <c r="D5" s="2" t="n">
        <v>26</v>
      </c>
      <c r="E5" s="2" t="n">
        <v>1</v>
      </c>
      <c r="F5" s="2" t="n">
        <v>32</v>
      </c>
      <c r="G5" s="2" t="n">
        <v>25</v>
      </c>
      <c r="H5" s="2" t="n">
        <v>1.6</v>
      </c>
    </row>
    <row r="6" customFormat="false" ht="15" hidden="false" customHeight="false" outlineLevel="0" collapsed="false">
      <c r="A6" s="2" t="s">
        <v>92</v>
      </c>
      <c r="B6" s="2" t="n">
        <v>22</v>
      </c>
      <c r="C6" s="2" t="n">
        <v>410</v>
      </c>
      <c r="D6" s="2" t="n">
        <v>293</v>
      </c>
      <c r="E6" s="2" t="n">
        <v>15</v>
      </c>
      <c r="F6" s="2" t="n">
        <v>71</v>
      </c>
      <c r="G6" s="2" t="n">
        <v>68</v>
      </c>
      <c r="H6" s="2" t="n">
        <v>1.8</v>
      </c>
    </row>
    <row r="7" customFormat="false" ht="15" hidden="false" customHeight="false" outlineLevel="0" collapsed="false">
      <c r="A7" s="2"/>
      <c r="B7" s="2"/>
      <c r="C7" s="2"/>
      <c r="D7" s="2"/>
      <c r="E7" s="2"/>
      <c r="F7" s="2"/>
      <c r="G7" s="2"/>
      <c r="H7" s="2"/>
    </row>
    <row r="8" customFormat="false" ht="15" hidden="false" customHeight="false" outlineLevel="0" collapsed="false">
      <c r="A8" s="11" t="s">
        <v>932</v>
      </c>
      <c r="B8" s="2"/>
      <c r="C8" s="2"/>
      <c r="D8" s="2"/>
      <c r="E8" s="2"/>
      <c r="F8" s="2"/>
      <c r="G8" s="2"/>
      <c r="H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3.5"/>
    <col collapsed="false" customWidth="true" hidden="false" outlineLevel="0" max="4" min="4" style="0" width="12"/>
    <col collapsed="false" customWidth="true" hidden="false" outlineLevel="0" max="5" min="5" style="0" width="13.5"/>
    <col collapsed="false" customWidth="true" hidden="false" outlineLevel="0" max="6" min="6" style="0" width="15.3"/>
    <col collapsed="false" customWidth="true" hidden="false" outlineLevel="0" max="7" min="7" style="0" width="17.1"/>
    <col collapsed="false" customWidth="true" hidden="false" outlineLevel="0" max="8" min="8" style="0" width="22"/>
  </cols>
  <sheetData>
    <row r="1" customFormat="false" ht="42" hidden="false" customHeight="true" outlineLevel="0" collapsed="false">
      <c r="A1" s="5" t="s">
        <v>967</v>
      </c>
      <c r="B1" s="5" t="s">
        <v>924</v>
      </c>
      <c r="C1" s="5" t="s">
        <v>959</v>
      </c>
      <c r="D1" s="5" t="s">
        <v>960</v>
      </c>
      <c r="E1" s="5" t="s">
        <v>961</v>
      </c>
      <c r="F1" s="5" t="s">
        <v>962</v>
      </c>
      <c r="G1" s="5" t="s">
        <v>963</v>
      </c>
      <c r="H1" s="5" t="s">
        <v>964</v>
      </c>
    </row>
    <row r="2" customFormat="false" ht="15" hidden="false" customHeight="false" outlineLevel="0" collapsed="false">
      <c r="A2" s="2" t="s">
        <v>72</v>
      </c>
      <c r="B2" s="2" t="n">
        <v>138</v>
      </c>
      <c r="C2" s="2" t="n">
        <v>4178</v>
      </c>
      <c r="D2" s="2" t="n">
        <v>3071</v>
      </c>
      <c r="E2" s="2" t="n">
        <v>93</v>
      </c>
      <c r="F2" s="2" t="n">
        <v>74</v>
      </c>
      <c r="G2" s="2" t="n">
        <v>67</v>
      </c>
      <c r="H2" s="2" t="n">
        <v>1.3</v>
      </c>
    </row>
    <row r="3" customFormat="false" ht="15" hidden="false" customHeight="false" outlineLevel="0" collapsed="false">
      <c r="A3" s="2" t="s">
        <v>293</v>
      </c>
      <c r="B3" s="2" t="n">
        <v>3</v>
      </c>
      <c r="C3" s="2" t="n">
        <v>315</v>
      </c>
      <c r="D3" s="2" t="n">
        <v>315</v>
      </c>
      <c r="E3" s="2" t="n">
        <v>3</v>
      </c>
      <c r="F3" s="2" t="n">
        <v>100</v>
      </c>
      <c r="G3" s="2" t="n">
        <v>100</v>
      </c>
      <c r="H3" s="2" t="n">
        <v>1</v>
      </c>
    </row>
    <row r="4" customFormat="false" ht="15" hidden="false" customHeight="false" outlineLevel="0" collapsed="false">
      <c r="A4" s="2" t="s">
        <v>308</v>
      </c>
      <c r="B4" s="2" t="n">
        <v>5</v>
      </c>
      <c r="C4" s="2" t="n">
        <v>1257</v>
      </c>
      <c r="D4" s="2" t="n">
        <v>955</v>
      </c>
      <c r="E4" s="2" t="n">
        <v>3</v>
      </c>
      <c r="F4" s="2" t="n">
        <v>76</v>
      </c>
      <c r="G4" s="2" t="n">
        <v>60</v>
      </c>
      <c r="H4" s="2" t="n">
        <v>1.8</v>
      </c>
    </row>
    <row r="5" customFormat="false" ht="15" hidden="false" customHeight="false" outlineLevel="0" collapsed="false">
      <c r="A5" s="2" t="s">
        <v>96</v>
      </c>
      <c r="B5" s="2" t="n">
        <v>35</v>
      </c>
      <c r="C5" s="2" t="n">
        <v>835</v>
      </c>
      <c r="D5" s="2" t="n">
        <v>683</v>
      </c>
      <c r="E5" s="2" t="n">
        <v>25</v>
      </c>
      <c r="F5" s="2" t="n">
        <v>82</v>
      </c>
      <c r="G5" s="2" t="n">
        <v>71</v>
      </c>
      <c r="H5" s="2" t="n">
        <v>1.8</v>
      </c>
    </row>
    <row r="6" customFormat="false" ht="15" hidden="false" customHeight="false" outlineLevel="0" collapsed="false">
      <c r="A6" s="2"/>
      <c r="B6" s="2"/>
      <c r="C6" s="2"/>
      <c r="D6" s="2"/>
      <c r="E6" s="2"/>
      <c r="F6" s="2"/>
      <c r="G6" s="2"/>
      <c r="H6" s="2"/>
    </row>
    <row r="7" customFormat="false" ht="15" hidden="false" customHeight="false" outlineLevel="0" collapsed="false">
      <c r="A7" s="11" t="s">
        <v>932</v>
      </c>
      <c r="B7" s="2"/>
      <c r="C7" s="2"/>
      <c r="D7" s="2"/>
      <c r="E7" s="2"/>
      <c r="F7" s="2"/>
      <c r="G7" s="2"/>
      <c r="H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3.5"/>
    <col collapsed="false" customWidth="true" hidden="false" outlineLevel="0" max="4" min="4" style="0" width="12"/>
    <col collapsed="false" customWidth="true" hidden="false" outlineLevel="0" max="5" min="5" style="0" width="13.5"/>
    <col collapsed="false" customWidth="true" hidden="false" outlineLevel="0" max="6" min="6" style="0" width="15.3"/>
    <col collapsed="false" customWidth="true" hidden="false" outlineLevel="0" max="7" min="7" style="0" width="17.1"/>
    <col collapsed="false" customWidth="true" hidden="false" outlineLevel="0" max="8" min="8" style="0" width="22"/>
  </cols>
  <sheetData>
    <row r="1" customFormat="false" ht="42" hidden="false" customHeight="true" outlineLevel="0" collapsed="false">
      <c r="A1" s="5" t="s">
        <v>968</v>
      </c>
      <c r="B1" s="5" t="s">
        <v>924</v>
      </c>
      <c r="C1" s="5" t="s">
        <v>959</v>
      </c>
      <c r="D1" s="5" t="s">
        <v>960</v>
      </c>
      <c r="E1" s="5" t="s">
        <v>961</v>
      </c>
      <c r="F1" s="5" t="s">
        <v>962</v>
      </c>
      <c r="G1" s="5" t="s">
        <v>963</v>
      </c>
      <c r="H1" s="5" t="s">
        <v>964</v>
      </c>
    </row>
    <row r="2" customFormat="false" ht="15" hidden="false" customHeight="false" outlineLevel="0" collapsed="false">
      <c r="A2" s="2" t="s">
        <v>82</v>
      </c>
      <c r="B2" s="2" t="n">
        <v>87</v>
      </c>
      <c r="C2" s="2" t="n">
        <v>2526</v>
      </c>
      <c r="D2" s="2" t="n">
        <v>1649</v>
      </c>
      <c r="E2" s="2" t="n">
        <v>51</v>
      </c>
      <c r="F2" s="2" t="n">
        <v>65</v>
      </c>
      <c r="G2" s="2" t="n">
        <v>59</v>
      </c>
      <c r="H2" s="2" t="n">
        <v>1.6</v>
      </c>
    </row>
    <row r="3" customFormat="false" ht="15" hidden="false" customHeight="false" outlineLevel="0" collapsed="false">
      <c r="A3" s="2" t="s">
        <v>289</v>
      </c>
      <c r="B3" s="2" t="n">
        <v>40</v>
      </c>
      <c r="C3" s="2" t="n">
        <v>1958</v>
      </c>
      <c r="D3" s="2" t="n">
        <v>1838</v>
      </c>
      <c r="E3" s="2" t="n">
        <v>33</v>
      </c>
      <c r="F3" s="2" t="n">
        <v>94</v>
      </c>
      <c r="G3" s="2" t="n">
        <v>82</v>
      </c>
      <c r="H3" s="2" t="n">
        <v>1.4</v>
      </c>
    </row>
    <row r="4" customFormat="false" ht="15" hidden="false" customHeight="false" outlineLevel="0" collapsed="false">
      <c r="A4" s="2" t="s">
        <v>648</v>
      </c>
      <c r="B4" s="2" t="n">
        <v>13</v>
      </c>
      <c r="C4" s="2" t="n">
        <v>802</v>
      </c>
      <c r="D4" s="2" t="n">
        <v>781</v>
      </c>
      <c r="E4" s="2" t="n">
        <v>11</v>
      </c>
      <c r="F4" s="2" t="n">
        <v>97</v>
      </c>
      <c r="G4" s="2" t="n">
        <v>85</v>
      </c>
      <c r="H4" s="2" t="n">
        <v>0.8</v>
      </c>
    </row>
    <row r="5" customFormat="false" ht="15" hidden="false" customHeight="false" outlineLevel="0" collapsed="false">
      <c r="A5" s="2" t="s">
        <v>681</v>
      </c>
      <c r="B5" s="2" t="n">
        <v>13</v>
      </c>
      <c r="C5" s="2" t="n">
        <v>396</v>
      </c>
      <c r="D5" s="2" t="n">
        <v>282</v>
      </c>
      <c r="E5" s="2" t="n">
        <v>10</v>
      </c>
      <c r="F5" s="2" t="n">
        <v>71</v>
      </c>
      <c r="G5" s="2" t="n">
        <v>77</v>
      </c>
      <c r="H5" s="2" t="n">
        <v>3.6</v>
      </c>
    </row>
    <row r="6" customFormat="false" ht="15" hidden="false" customHeight="false" outlineLevel="0" collapsed="false">
      <c r="A6" s="2" t="s">
        <v>850</v>
      </c>
      <c r="B6" s="2" t="n">
        <v>7</v>
      </c>
      <c r="C6" s="2" t="n">
        <v>270</v>
      </c>
      <c r="D6" s="2" t="n">
        <v>172</v>
      </c>
      <c r="E6" s="2" t="n">
        <v>4</v>
      </c>
      <c r="F6" s="2" t="n">
        <v>64</v>
      </c>
      <c r="G6" s="2" t="n">
        <v>57</v>
      </c>
      <c r="H6" s="2" t="n">
        <v>0.5</v>
      </c>
    </row>
    <row r="7" customFormat="false" ht="15" hidden="false" customHeight="false" outlineLevel="0" collapsed="false">
      <c r="A7" s="2" t="s">
        <v>315</v>
      </c>
      <c r="B7" s="2" t="n">
        <v>2</v>
      </c>
      <c r="C7" s="2" t="n">
        <v>149</v>
      </c>
      <c r="D7" s="2" t="n">
        <v>12</v>
      </c>
      <c r="E7" s="2" t="n">
        <v>1</v>
      </c>
      <c r="F7" s="2" t="n">
        <v>8</v>
      </c>
      <c r="G7" s="2" t="n">
        <v>50</v>
      </c>
      <c r="H7" s="2" t="n">
        <v>0.6</v>
      </c>
    </row>
    <row r="8" customFormat="false" ht="15" hidden="false" customHeight="false" outlineLevel="0" collapsed="false">
      <c r="A8" s="2" t="s">
        <v>343</v>
      </c>
      <c r="B8" s="2" t="n">
        <v>3</v>
      </c>
      <c r="C8" s="2" t="n">
        <v>129</v>
      </c>
      <c r="D8" s="2" t="n">
        <v>129</v>
      </c>
      <c r="E8" s="2" t="n">
        <v>3</v>
      </c>
      <c r="F8" s="2" t="n">
        <v>100</v>
      </c>
      <c r="G8" s="2" t="n">
        <v>100</v>
      </c>
      <c r="H8" s="2" t="n">
        <v>1.1</v>
      </c>
    </row>
    <row r="9" customFormat="false" ht="15" hidden="false" customHeight="false" outlineLevel="0" collapsed="false">
      <c r="A9" s="2" t="s">
        <v>169</v>
      </c>
      <c r="B9" s="2" t="n">
        <v>5</v>
      </c>
      <c r="C9" s="2" t="n">
        <v>92</v>
      </c>
      <c r="D9" s="2" t="n">
        <v>92</v>
      </c>
      <c r="E9" s="2" t="n">
        <v>5</v>
      </c>
      <c r="F9" s="2" t="n">
        <v>100</v>
      </c>
      <c r="G9" s="2" t="n">
        <v>100</v>
      </c>
      <c r="H9" s="2" t="n">
        <v>2.1</v>
      </c>
    </row>
    <row r="10" customFormat="false" ht="15" hidden="false" customHeight="false" outlineLevel="0" collapsed="false">
      <c r="A10" s="2" t="s">
        <v>854</v>
      </c>
      <c r="B10" s="2" t="n">
        <v>2</v>
      </c>
      <c r="C10" s="2" t="n">
        <v>75</v>
      </c>
      <c r="D10" s="2" t="n">
        <v>0</v>
      </c>
      <c r="E10" s="2" t="n">
        <v>0</v>
      </c>
      <c r="F10" s="2" t="n">
        <v>0</v>
      </c>
      <c r="G10" s="2" t="n">
        <v>0</v>
      </c>
      <c r="H10" s="2"/>
    </row>
    <row r="11" customFormat="false" ht="15" hidden="false" customHeight="false" outlineLevel="0" collapsed="false">
      <c r="A11" s="2" t="s">
        <v>163</v>
      </c>
      <c r="B11" s="2" t="n">
        <v>1</v>
      </c>
      <c r="C11" s="2" t="n">
        <v>74</v>
      </c>
      <c r="D11" s="2" t="n">
        <v>0</v>
      </c>
      <c r="E11" s="2" t="n">
        <v>0</v>
      </c>
      <c r="F11" s="2" t="n">
        <v>0</v>
      </c>
      <c r="G11" s="2" t="n">
        <v>0</v>
      </c>
      <c r="H11" s="2"/>
    </row>
    <row r="12" customFormat="false" ht="15" hidden="false" customHeight="false" outlineLevel="0" collapsed="false">
      <c r="A12" s="2" t="s">
        <v>184</v>
      </c>
      <c r="B12" s="2" t="n">
        <v>3</v>
      </c>
      <c r="C12" s="2" t="n">
        <v>49</v>
      </c>
      <c r="D12" s="2" t="n">
        <v>49</v>
      </c>
      <c r="E12" s="2" t="n">
        <v>3</v>
      </c>
      <c r="F12" s="2" t="n">
        <v>100</v>
      </c>
      <c r="G12" s="2" t="n">
        <v>100</v>
      </c>
      <c r="H12" s="2" t="n">
        <v>1.7</v>
      </c>
    </row>
    <row r="13" customFormat="false" ht="15" hidden="false" customHeight="false" outlineLevel="0" collapsed="false">
      <c r="A13" s="2" t="s">
        <v>67</v>
      </c>
      <c r="B13" s="2" t="n">
        <v>1</v>
      </c>
      <c r="C13" s="2" t="n">
        <v>31</v>
      </c>
      <c r="D13" s="2" t="n">
        <v>0</v>
      </c>
      <c r="E13" s="2" t="n">
        <v>0</v>
      </c>
      <c r="F13" s="2" t="n">
        <v>0</v>
      </c>
      <c r="G13" s="2" t="n">
        <v>0</v>
      </c>
      <c r="H13" s="2"/>
    </row>
    <row r="14" customFormat="false" ht="15" hidden="false" customHeight="false" outlineLevel="0" collapsed="false">
      <c r="A14" s="2" t="s">
        <v>132</v>
      </c>
      <c r="B14" s="2" t="n">
        <v>1</v>
      </c>
      <c r="C14" s="2" t="n">
        <v>14</v>
      </c>
      <c r="D14" s="2" t="n">
        <v>0</v>
      </c>
      <c r="E14" s="2" t="n">
        <v>0</v>
      </c>
      <c r="F14" s="2" t="n">
        <v>0</v>
      </c>
      <c r="G14" s="2" t="n">
        <v>0</v>
      </c>
      <c r="H14" s="2"/>
    </row>
    <row r="15" customFormat="false" ht="15" hidden="false" customHeight="false" outlineLevel="0" collapsed="false">
      <c r="A15" s="2" t="s">
        <v>108</v>
      </c>
      <c r="B15" s="2" t="n">
        <v>2</v>
      </c>
      <c r="C15" s="2" t="n">
        <v>11</v>
      </c>
      <c r="D15" s="2" t="n">
        <v>11</v>
      </c>
      <c r="E15" s="2" t="n">
        <v>2</v>
      </c>
      <c r="F15" s="2" t="n">
        <v>100</v>
      </c>
      <c r="G15" s="2" t="n">
        <v>100</v>
      </c>
      <c r="H15" s="2" t="n">
        <v>2.3</v>
      </c>
    </row>
    <row r="16" customFormat="false" ht="15" hidden="false" customHeight="false" outlineLevel="0" collapsed="false">
      <c r="A16" s="2" t="s">
        <v>236</v>
      </c>
      <c r="B16" s="2" t="n">
        <v>1</v>
      </c>
      <c r="C16" s="2" t="n">
        <v>9</v>
      </c>
      <c r="D16" s="2" t="n">
        <v>9</v>
      </c>
      <c r="E16" s="2" t="n">
        <v>1</v>
      </c>
      <c r="F16" s="2" t="n">
        <v>100</v>
      </c>
      <c r="G16" s="2" t="n">
        <v>100</v>
      </c>
      <c r="H16" s="2" t="n">
        <v>2.1</v>
      </c>
    </row>
    <row r="17" customFormat="false" ht="15" hidden="false" customHeight="false" outlineLevel="0" collapsed="false">
      <c r="A17" s="2"/>
      <c r="B17" s="2"/>
      <c r="C17" s="2"/>
      <c r="D17" s="2"/>
      <c r="E17" s="2"/>
      <c r="F17" s="2"/>
      <c r="G17" s="2"/>
      <c r="H17" s="2"/>
    </row>
    <row r="18" customFormat="false" ht="15" hidden="false" customHeight="false" outlineLevel="0" collapsed="false">
      <c r="A18" s="11" t="s">
        <v>932</v>
      </c>
      <c r="B18" s="2"/>
      <c r="C18" s="2"/>
      <c r="D18" s="2"/>
      <c r="E18" s="2"/>
      <c r="F18" s="2"/>
      <c r="G18" s="2"/>
      <c r="H1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3.5"/>
    <col collapsed="false" customWidth="true" hidden="false" outlineLevel="0" max="4" min="4" style="0" width="12"/>
    <col collapsed="false" customWidth="true" hidden="false" outlineLevel="0" max="5" min="5" style="0" width="13.5"/>
    <col collapsed="false" customWidth="true" hidden="false" outlineLevel="0" max="6" min="6" style="0" width="15.3"/>
    <col collapsed="false" customWidth="true" hidden="false" outlineLevel="0" max="7" min="7" style="0" width="17.1"/>
    <col collapsed="false" customWidth="true" hidden="false" outlineLevel="0" max="8" min="8" style="0" width="22"/>
  </cols>
  <sheetData>
    <row r="1" customFormat="false" ht="42" hidden="false" customHeight="true" outlineLevel="0" collapsed="false">
      <c r="A1" s="5" t="s">
        <v>969</v>
      </c>
      <c r="B1" s="5" t="s">
        <v>924</v>
      </c>
      <c r="C1" s="5" t="s">
        <v>959</v>
      </c>
      <c r="D1" s="5" t="s">
        <v>960</v>
      </c>
      <c r="E1" s="5" t="s">
        <v>961</v>
      </c>
      <c r="F1" s="5" t="s">
        <v>962</v>
      </c>
      <c r="G1" s="5" t="s">
        <v>963</v>
      </c>
      <c r="H1" s="5" t="s">
        <v>964</v>
      </c>
    </row>
    <row r="2" customFormat="false" ht="15" hidden="false" customHeight="false" outlineLevel="0" collapsed="false">
      <c r="A2" s="2" t="s">
        <v>97</v>
      </c>
      <c r="B2" s="2" t="n">
        <v>36</v>
      </c>
      <c r="C2" s="2" t="n">
        <v>838</v>
      </c>
      <c r="D2" s="2" t="n">
        <v>686</v>
      </c>
      <c r="E2" s="2" t="n">
        <v>26</v>
      </c>
      <c r="F2" s="2" t="n">
        <v>82</v>
      </c>
      <c r="G2" s="2" t="n">
        <v>72</v>
      </c>
      <c r="H2" s="2" t="n">
        <v>1.7</v>
      </c>
    </row>
    <row r="3" customFormat="false" ht="15" hidden="false" customHeight="false" outlineLevel="0" collapsed="false">
      <c r="A3" s="2" t="s">
        <v>119</v>
      </c>
      <c r="B3" s="2" t="n">
        <v>14</v>
      </c>
      <c r="C3" s="2" t="n">
        <v>319</v>
      </c>
      <c r="D3" s="2" t="n">
        <v>265</v>
      </c>
      <c r="E3" s="2" t="n">
        <v>9</v>
      </c>
      <c r="F3" s="2" t="n">
        <v>83</v>
      </c>
      <c r="G3" s="2" t="n">
        <v>64</v>
      </c>
      <c r="H3" s="2" t="n">
        <v>2</v>
      </c>
    </row>
    <row r="4" customFormat="false" ht="15" hidden="false" customHeight="false" outlineLevel="0" collapsed="false">
      <c r="A4" s="2" t="s">
        <v>73</v>
      </c>
      <c r="B4" s="2" t="n">
        <v>131</v>
      </c>
      <c r="C4" s="2" t="n">
        <v>5428</v>
      </c>
      <c r="D4" s="2" t="n">
        <v>4073</v>
      </c>
      <c r="E4" s="2" t="n">
        <v>89</v>
      </c>
      <c r="F4" s="2" t="n">
        <v>75</v>
      </c>
      <c r="G4" s="2" t="n">
        <v>68</v>
      </c>
      <c r="H4" s="2" t="n">
        <v>1.2</v>
      </c>
    </row>
    <row r="5" customFormat="false" ht="15" hidden="false" customHeight="false" outlineLevel="0" collapsed="false">
      <c r="A5" s="2"/>
      <c r="B5" s="2"/>
      <c r="C5" s="2"/>
      <c r="D5" s="2"/>
      <c r="E5" s="2"/>
      <c r="F5" s="2"/>
      <c r="G5" s="2"/>
      <c r="H5" s="2"/>
    </row>
    <row r="6" customFormat="false" ht="15" hidden="false" customHeight="false" outlineLevel="0" collapsed="false">
      <c r="A6" s="11" t="s">
        <v>932</v>
      </c>
      <c r="B6" s="2"/>
      <c r="C6" s="2"/>
      <c r="D6" s="2"/>
      <c r="E6" s="2"/>
      <c r="F6" s="2"/>
      <c r="G6" s="2"/>
      <c r="H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3.5"/>
    <col collapsed="false" customWidth="true" hidden="false" outlineLevel="0" max="4" min="4" style="0" width="12"/>
    <col collapsed="false" customWidth="true" hidden="false" outlineLevel="0" max="5" min="5" style="0" width="13.5"/>
    <col collapsed="false" customWidth="true" hidden="false" outlineLevel="0" max="6" min="6" style="0" width="15.3"/>
    <col collapsed="false" customWidth="true" hidden="false" outlineLevel="0" max="7" min="7" style="0" width="17.1"/>
    <col collapsed="false" customWidth="true" hidden="false" outlineLevel="0" max="8" min="8" style="0" width="22"/>
  </cols>
  <sheetData>
    <row r="1" customFormat="false" ht="42" hidden="false" customHeight="true" outlineLevel="0" collapsed="false">
      <c r="A1" s="5" t="s">
        <v>970</v>
      </c>
      <c r="B1" s="5" t="s">
        <v>924</v>
      </c>
      <c r="C1" s="5" t="s">
        <v>959</v>
      </c>
      <c r="D1" s="5" t="s">
        <v>960</v>
      </c>
      <c r="E1" s="5" t="s">
        <v>961</v>
      </c>
      <c r="F1" s="5" t="s">
        <v>962</v>
      </c>
      <c r="G1" s="5" t="s">
        <v>963</v>
      </c>
      <c r="H1" s="5" t="s">
        <v>964</v>
      </c>
    </row>
    <row r="2" customFormat="false" ht="15" hidden="false" customHeight="false" outlineLevel="0" collapsed="false">
      <c r="A2" s="2" t="s">
        <v>98</v>
      </c>
      <c r="B2" s="2" t="n">
        <v>50</v>
      </c>
      <c r="C2" s="2" t="n">
        <v>1157</v>
      </c>
      <c r="D2" s="2" t="n">
        <v>951</v>
      </c>
      <c r="E2" s="2" t="n">
        <v>35</v>
      </c>
      <c r="F2" s="2" t="n">
        <v>82</v>
      </c>
      <c r="G2" s="2" t="n">
        <v>70</v>
      </c>
      <c r="H2" s="2" t="n">
        <v>1.8</v>
      </c>
    </row>
    <row r="3" customFormat="false" ht="15" hidden="false" customHeight="false" outlineLevel="0" collapsed="false">
      <c r="A3" s="2" t="s">
        <v>73</v>
      </c>
      <c r="B3" s="2" t="n">
        <v>131</v>
      </c>
      <c r="C3" s="2" t="n">
        <v>5428</v>
      </c>
      <c r="D3" s="2" t="n">
        <v>4073</v>
      </c>
      <c r="E3" s="2" t="n">
        <v>89</v>
      </c>
      <c r="F3" s="2" t="n">
        <v>75</v>
      </c>
      <c r="G3" s="2" t="n">
        <v>68</v>
      </c>
      <c r="H3" s="2" t="n">
        <v>1.2</v>
      </c>
    </row>
    <row r="4" customFormat="false" ht="15" hidden="false" customHeight="false" outlineLevel="0" collapsed="false">
      <c r="A4" s="2"/>
      <c r="B4" s="2"/>
      <c r="C4" s="2"/>
      <c r="D4" s="2"/>
      <c r="E4" s="2"/>
      <c r="F4" s="2"/>
      <c r="G4" s="2"/>
      <c r="H4" s="2"/>
    </row>
    <row r="5" customFormat="false" ht="15" hidden="false" customHeight="false" outlineLevel="0" collapsed="false">
      <c r="A5" s="11" t="s">
        <v>932</v>
      </c>
      <c r="B5" s="2"/>
      <c r="C5" s="2"/>
      <c r="D5" s="2"/>
      <c r="E5" s="2"/>
      <c r="F5" s="2"/>
      <c r="G5" s="2"/>
      <c r="H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3.5"/>
    <col collapsed="false" customWidth="true" hidden="false" outlineLevel="0" max="4" min="4" style="0" width="12"/>
    <col collapsed="false" customWidth="true" hidden="false" outlineLevel="0" max="5" min="5" style="0" width="13.5"/>
    <col collapsed="false" customWidth="true" hidden="false" outlineLevel="0" max="6" min="6" style="0" width="15.3"/>
    <col collapsed="false" customWidth="true" hidden="false" outlineLevel="0" max="7" min="7" style="0" width="17.1"/>
    <col collapsed="false" customWidth="true" hidden="false" outlineLevel="0" max="8" min="8" style="0" width="22"/>
  </cols>
  <sheetData>
    <row r="1" customFormat="false" ht="42" hidden="false" customHeight="true" outlineLevel="0" collapsed="false">
      <c r="A1" s="5" t="s">
        <v>971</v>
      </c>
      <c r="B1" s="5" t="s">
        <v>924</v>
      </c>
      <c r="C1" s="5" t="s">
        <v>959</v>
      </c>
      <c r="D1" s="5" t="s">
        <v>960</v>
      </c>
      <c r="E1" s="5" t="s">
        <v>961</v>
      </c>
      <c r="F1" s="5" t="s">
        <v>962</v>
      </c>
      <c r="G1" s="5" t="s">
        <v>963</v>
      </c>
      <c r="H1" s="5" t="s">
        <v>964</v>
      </c>
    </row>
    <row r="2" customFormat="false" ht="15" hidden="false" customHeight="false" outlineLevel="0" collapsed="false">
      <c r="A2" s="2" t="s">
        <v>406</v>
      </c>
      <c r="B2" s="2" t="n">
        <v>28</v>
      </c>
      <c r="C2" s="2" t="n">
        <v>409</v>
      </c>
      <c r="D2" s="2" t="n">
        <v>184</v>
      </c>
      <c r="E2" s="2" t="n">
        <v>14</v>
      </c>
      <c r="F2" s="2" t="n">
        <v>45</v>
      </c>
      <c r="G2" s="2" t="n">
        <v>50</v>
      </c>
      <c r="H2" s="2" t="n">
        <v>1.6</v>
      </c>
    </row>
    <row r="3" customFormat="false" ht="15" hidden="false" customHeight="false" outlineLevel="0" collapsed="false">
      <c r="A3" s="2" t="s">
        <v>520</v>
      </c>
      <c r="B3" s="2" t="n">
        <v>1</v>
      </c>
      <c r="C3" s="2" t="n">
        <v>27</v>
      </c>
      <c r="D3" s="2" t="n">
        <v>0</v>
      </c>
      <c r="E3" s="2" t="n">
        <v>0</v>
      </c>
      <c r="F3" s="2" t="n">
        <v>0</v>
      </c>
      <c r="G3" s="2" t="n">
        <v>0</v>
      </c>
      <c r="H3" s="2"/>
    </row>
    <row r="4" customFormat="false" ht="15" hidden="false" customHeight="false" outlineLevel="0" collapsed="false">
      <c r="A4" s="2" t="s">
        <v>537</v>
      </c>
      <c r="B4" s="2" t="n">
        <v>2</v>
      </c>
      <c r="C4" s="2" t="n">
        <v>50</v>
      </c>
      <c r="D4" s="2" t="n">
        <v>50</v>
      </c>
      <c r="E4" s="2" t="n">
        <v>2</v>
      </c>
      <c r="F4" s="2" t="n">
        <v>100</v>
      </c>
      <c r="G4" s="2" t="n">
        <v>100</v>
      </c>
      <c r="H4" s="2" t="n">
        <v>0.6</v>
      </c>
    </row>
    <row r="5" customFormat="false" ht="15" hidden="false" customHeight="false" outlineLevel="0" collapsed="false">
      <c r="A5" s="2" t="s">
        <v>355</v>
      </c>
      <c r="B5" s="2" t="n">
        <v>9</v>
      </c>
      <c r="C5" s="2" t="n">
        <v>149</v>
      </c>
      <c r="D5" s="2" t="n">
        <v>123</v>
      </c>
      <c r="E5" s="2" t="n">
        <v>6</v>
      </c>
      <c r="F5" s="2" t="n">
        <v>83</v>
      </c>
      <c r="G5" s="2" t="n">
        <v>67</v>
      </c>
      <c r="H5" s="2" t="n">
        <v>1.7</v>
      </c>
    </row>
    <row r="6" customFormat="false" ht="15" hidden="false" customHeight="false" outlineLevel="0" collapsed="false">
      <c r="A6" s="2" t="s">
        <v>291</v>
      </c>
      <c r="B6" s="2" t="n">
        <v>24</v>
      </c>
      <c r="C6" s="2" t="n">
        <v>1363</v>
      </c>
      <c r="D6" s="2" t="n">
        <v>1214</v>
      </c>
      <c r="E6" s="2" t="n">
        <v>22</v>
      </c>
      <c r="F6" s="2" t="n">
        <v>89</v>
      </c>
      <c r="G6" s="2" t="n">
        <v>92</v>
      </c>
      <c r="H6" s="2" t="n">
        <v>1.5</v>
      </c>
    </row>
    <row r="7" customFormat="false" ht="15" hidden="false" customHeight="false" outlineLevel="0" collapsed="false">
      <c r="A7" s="2" t="s">
        <v>301</v>
      </c>
      <c r="B7" s="2" t="n">
        <v>7</v>
      </c>
      <c r="C7" s="2" t="n">
        <v>288</v>
      </c>
      <c r="D7" s="2" t="n">
        <v>288</v>
      </c>
      <c r="E7" s="2" t="n">
        <v>7</v>
      </c>
      <c r="F7" s="2" t="n">
        <v>100</v>
      </c>
      <c r="G7" s="2" t="n">
        <v>100</v>
      </c>
      <c r="H7" s="2" t="n">
        <v>1.6</v>
      </c>
    </row>
    <row r="8" customFormat="false" ht="15" hidden="false" customHeight="false" outlineLevel="0" collapsed="false">
      <c r="A8" s="2" t="s">
        <v>636</v>
      </c>
      <c r="B8" s="2" t="n">
        <v>16</v>
      </c>
      <c r="C8" s="2" t="n">
        <v>1282</v>
      </c>
      <c r="D8" s="2" t="n">
        <v>1231</v>
      </c>
      <c r="E8" s="2" t="n">
        <v>13</v>
      </c>
      <c r="F8" s="2" t="n">
        <v>96</v>
      </c>
      <c r="G8" s="2" t="n">
        <v>81</v>
      </c>
      <c r="H8" s="2" t="n">
        <v>0.8</v>
      </c>
    </row>
    <row r="9" customFormat="false" ht="15" hidden="false" customHeight="false" outlineLevel="0" collapsed="false">
      <c r="A9" s="2" t="s">
        <v>640</v>
      </c>
      <c r="B9" s="2" t="n">
        <v>4</v>
      </c>
      <c r="C9" s="2" t="n">
        <v>415</v>
      </c>
      <c r="D9" s="2" t="n">
        <v>415</v>
      </c>
      <c r="E9" s="2" t="n">
        <v>4</v>
      </c>
      <c r="F9" s="2" t="n">
        <v>100</v>
      </c>
      <c r="G9" s="2" t="n">
        <v>100</v>
      </c>
      <c r="H9" s="2" t="n">
        <v>1.2</v>
      </c>
    </row>
    <row r="10" customFormat="false" ht="15" hidden="false" customHeight="false" outlineLevel="0" collapsed="false">
      <c r="A10" s="2" t="s">
        <v>474</v>
      </c>
      <c r="B10" s="2" t="n">
        <v>20</v>
      </c>
      <c r="C10" s="2" t="n">
        <v>1130</v>
      </c>
      <c r="D10" s="2" t="n">
        <v>663</v>
      </c>
      <c r="E10" s="2" t="n">
        <v>11</v>
      </c>
      <c r="F10" s="2" t="n">
        <v>59</v>
      </c>
      <c r="G10" s="2" t="n">
        <v>55</v>
      </c>
      <c r="H10" s="2" t="n">
        <v>1.1</v>
      </c>
    </row>
    <row r="11" customFormat="false" ht="15" hidden="false" customHeight="false" outlineLevel="0" collapsed="false">
      <c r="A11" s="2" t="s">
        <v>69</v>
      </c>
      <c r="B11" s="2" t="n">
        <v>70</v>
      </c>
      <c r="C11" s="2" t="n">
        <v>1472</v>
      </c>
      <c r="D11" s="2" t="n">
        <v>856</v>
      </c>
      <c r="E11" s="2" t="n">
        <v>45</v>
      </c>
      <c r="F11" s="2" t="n">
        <v>58</v>
      </c>
      <c r="G11" s="2" t="n">
        <v>64</v>
      </c>
      <c r="H11" s="2" t="n">
        <v>1.8</v>
      </c>
    </row>
    <row r="12" customFormat="false" ht="15" hidden="false" customHeight="false" outlineLevel="0" collapsed="false">
      <c r="A12" s="2"/>
      <c r="B12" s="2"/>
      <c r="C12" s="2"/>
      <c r="D12" s="2"/>
      <c r="E12" s="2"/>
      <c r="F12" s="2"/>
      <c r="G12" s="2"/>
      <c r="H12" s="2"/>
    </row>
    <row r="13" customFormat="false" ht="15" hidden="false" customHeight="false" outlineLevel="0" collapsed="false">
      <c r="A13" s="11" t="s">
        <v>932</v>
      </c>
      <c r="B13" s="2"/>
      <c r="C13" s="2"/>
      <c r="D13" s="2"/>
      <c r="E13" s="2"/>
      <c r="F13" s="2"/>
      <c r="G13" s="2"/>
      <c r="H1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3" min="1" style="0" width="12"/>
    <col collapsed="false" customWidth="true" hidden="false" outlineLevel="0" max="4" min="4" style="0" width="16.2"/>
    <col collapsed="false" customWidth="true" hidden="false" outlineLevel="0" max="6" min="5" style="0" width="22"/>
    <col collapsed="false" customWidth="true" hidden="false" outlineLevel="0" max="8" min="7" style="0" width="12"/>
    <col collapsed="false" customWidth="true" hidden="false" outlineLevel="0" max="9" min="9" style="0" width="14.4"/>
  </cols>
  <sheetData>
    <row r="1" customFormat="false" ht="42" hidden="false" customHeight="true" outlineLevel="0" collapsed="false">
      <c r="A1" s="5" t="s">
        <v>929</v>
      </c>
      <c r="B1" s="5" t="s">
        <v>924</v>
      </c>
      <c r="C1" s="5" t="s">
        <v>120</v>
      </c>
      <c r="D1" s="5" t="s">
        <v>103</v>
      </c>
      <c r="E1" s="5" t="s">
        <v>75</v>
      </c>
      <c r="F1" s="5" t="s">
        <v>156</v>
      </c>
      <c r="G1" s="5" t="s">
        <v>925</v>
      </c>
      <c r="H1" s="5" t="s">
        <v>972</v>
      </c>
      <c r="I1" s="5" t="s">
        <v>973</v>
      </c>
    </row>
    <row r="2" customFormat="false" ht="15" hidden="false" customHeight="false" outlineLevel="0" collapsed="false">
      <c r="A2" s="2" t="s">
        <v>406</v>
      </c>
      <c r="B2" s="2" t="n">
        <v>40</v>
      </c>
      <c r="C2" s="2" t="n">
        <v>83</v>
      </c>
      <c r="D2" s="2" t="n">
        <v>127</v>
      </c>
      <c r="E2" s="2" t="n">
        <v>715</v>
      </c>
      <c r="F2" s="2" t="n">
        <v>55</v>
      </c>
      <c r="G2" s="2" t="n">
        <v>980</v>
      </c>
      <c r="H2" s="2" t="n">
        <v>392</v>
      </c>
      <c r="I2" s="2" t="n">
        <v>40</v>
      </c>
    </row>
    <row r="3" customFormat="false" ht="15" hidden="false" customHeight="false" outlineLevel="0" collapsed="false">
      <c r="A3" s="2" t="s">
        <v>520</v>
      </c>
      <c r="B3" s="2" t="n">
        <v>2</v>
      </c>
      <c r="C3" s="2" t="n">
        <v>0</v>
      </c>
      <c r="D3" s="2" t="n">
        <v>0</v>
      </c>
      <c r="E3" s="2" t="n">
        <v>50</v>
      </c>
      <c r="F3" s="2" t="n">
        <v>0</v>
      </c>
      <c r="G3" s="2" t="n">
        <v>50</v>
      </c>
      <c r="H3" s="2" t="n">
        <v>50</v>
      </c>
      <c r="I3" s="2" t="n">
        <v>100</v>
      </c>
    </row>
    <row r="4" customFormat="false" ht="15" hidden="false" customHeight="false" outlineLevel="0" collapsed="false">
      <c r="A4" s="2" t="s">
        <v>537</v>
      </c>
      <c r="B4" s="2" t="n">
        <v>4</v>
      </c>
      <c r="C4" s="2" t="n">
        <v>24</v>
      </c>
      <c r="D4" s="2" t="n">
        <v>26</v>
      </c>
      <c r="E4" s="2" t="n">
        <v>40</v>
      </c>
      <c r="F4" s="2" t="n">
        <v>0</v>
      </c>
      <c r="G4" s="2" t="n">
        <v>90</v>
      </c>
      <c r="H4" s="2" t="n">
        <v>0</v>
      </c>
      <c r="I4" s="2" t="n">
        <v>0</v>
      </c>
    </row>
    <row r="5" customFormat="false" ht="15" hidden="false" customHeight="false" outlineLevel="0" collapsed="false">
      <c r="A5" s="2" t="s">
        <v>355</v>
      </c>
      <c r="B5" s="2" t="n">
        <v>16</v>
      </c>
      <c r="C5" s="2" t="n">
        <v>22</v>
      </c>
      <c r="D5" s="2" t="n">
        <v>146</v>
      </c>
      <c r="E5" s="2" t="n">
        <v>132</v>
      </c>
      <c r="F5" s="2" t="n">
        <v>4</v>
      </c>
      <c r="G5" s="2" t="n">
        <v>304</v>
      </c>
      <c r="H5" s="2" t="n">
        <v>59</v>
      </c>
      <c r="I5" s="2" t="n">
        <v>19</v>
      </c>
    </row>
    <row r="6" customFormat="false" ht="15" hidden="false" customHeight="false" outlineLevel="0" collapsed="false">
      <c r="A6" s="2" t="s">
        <v>291</v>
      </c>
      <c r="B6" s="2" t="n">
        <v>32</v>
      </c>
      <c r="C6" s="2" t="n">
        <v>474</v>
      </c>
      <c r="D6" s="2" t="n">
        <v>746</v>
      </c>
      <c r="E6" s="2" t="n">
        <v>1590</v>
      </c>
      <c r="F6" s="2" t="n">
        <v>149</v>
      </c>
      <c r="G6" s="2" t="n">
        <v>2959</v>
      </c>
      <c r="H6" s="2" t="n">
        <v>6</v>
      </c>
      <c r="I6" s="2" t="n">
        <v>0</v>
      </c>
    </row>
    <row r="7" customFormat="false" ht="15" hidden="false" customHeight="false" outlineLevel="0" collapsed="false">
      <c r="A7" s="2" t="s">
        <v>301</v>
      </c>
      <c r="B7" s="2" t="n">
        <v>12</v>
      </c>
      <c r="C7" s="2" t="n">
        <v>284</v>
      </c>
      <c r="D7" s="2" t="n">
        <v>21</v>
      </c>
      <c r="E7" s="2" t="n">
        <v>418</v>
      </c>
      <c r="F7" s="2" t="n">
        <v>0</v>
      </c>
      <c r="G7" s="2" t="n">
        <v>723</v>
      </c>
      <c r="H7" s="2" t="n">
        <v>104</v>
      </c>
      <c r="I7" s="2" t="n">
        <v>14</v>
      </c>
    </row>
    <row r="8" customFormat="false" ht="15" hidden="false" customHeight="false" outlineLevel="0" collapsed="false">
      <c r="A8" s="2" t="s">
        <v>636</v>
      </c>
      <c r="B8" s="2" t="n">
        <v>22</v>
      </c>
      <c r="C8" s="2" t="n">
        <v>98</v>
      </c>
      <c r="D8" s="2" t="n">
        <v>1133</v>
      </c>
      <c r="E8" s="2" t="n">
        <v>689</v>
      </c>
      <c r="F8" s="2" t="n">
        <v>0</v>
      </c>
      <c r="G8" s="2" t="n">
        <v>1920</v>
      </c>
      <c r="H8" s="2" t="n">
        <v>270</v>
      </c>
      <c r="I8" s="2" t="n">
        <v>14</v>
      </c>
    </row>
    <row r="9" customFormat="false" ht="15" hidden="false" customHeight="false" outlineLevel="0" collapsed="false">
      <c r="A9" s="2" t="s">
        <v>640</v>
      </c>
      <c r="B9" s="2" t="n">
        <v>4</v>
      </c>
      <c r="C9" s="2" t="n">
        <v>17</v>
      </c>
      <c r="D9" s="2" t="n">
        <v>398</v>
      </c>
      <c r="E9" s="2" t="n">
        <v>0</v>
      </c>
      <c r="F9" s="2" t="n">
        <v>0</v>
      </c>
      <c r="G9" s="2" t="n">
        <v>415</v>
      </c>
      <c r="H9" s="2" t="n">
        <v>38</v>
      </c>
      <c r="I9" s="2" t="n">
        <v>9</v>
      </c>
    </row>
    <row r="10" customFormat="false" ht="15" hidden="false" customHeight="false" outlineLevel="0" collapsed="false">
      <c r="A10" s="2" t="s">
        <v>474</v>
      </c>
      <c r="B10" s="2" t="n">
        <v>24</v>
      </c>
      <c r="C10" s="2" t="n">
        <v>125</v>
      </c>
      <c r="D10" s="2" t="n">
        <v>566</v>
      </c>
      <c r="E10" s="2" t="n">
        <v>607</v>
      </c>
      <c r="F10" s="2" t="n">
        <v>12</v>
      </c>
      <c r="G10" s="2" t="n">
        <v>1310</v>
      </c>
      <c r="H10" s="2" t="n">
        <v>251</v>
      </c>
      <c r="I10" s="2" t="n">
        <v>19</v>
      </c>
    </row>
    <row r="11" customFormat="false" ht="15" hidden="false" customHeight="false" outlineLevel="0" collapsed="false">
      <c r="A11" s="2" t="s">
        <v>69</v>
      </c>
      <c r="B11" s="2" t="n">
        <v>93</v>
      </c>
      <c r="C11" s="2" t="n">
        <v>148</v>
      </c>
      <c r="D11" s="2" t="n">
        <v>901</v>
      </c>
      <c r="E11" s="2" t="n">
        <v>902</v>
      </c>
      <c r="F11" s="2" t="n">
        <v>91</v>
      </c>
      <c r="G11" s="2" t="n">
        <v>2042</v>
      </c>
      <c r="H11" s="2" t="n">
        <v>399</v>
      </c>
      <c r="I11" s="2" t="n">
        <v>20</v>
      </c>
    </row>
    <row r="12" customFormat="false" ht="15" hidden="false" customHeight="false" outlineLevel="0" collapsed="false">
      <c r="A12" s="2"/>
      <c r="B12" s="2"/>
      <c r="C12" s="2"/>
      <c r="D12" s="2"/>
      <c r="E12" s="2"/>
      <c r="F12" s="2"/>
      <c r="G12" s="2"/>
      <c r="H12" s="2"/>
      <c r="I12" s="2"/>
    </row>
    <row r="13" customFormat="false" ht="15" hidden="false" customHeight="false" outlineLevel="0" collapsed="false">
      <c r="A13" s="11" t="s">
        <v>932</v>
      </c>
      <c r="B13" s="2"/>
      <c r="C13" s="2"/>
      <c r="D13" s="2"/>
      <c r="E13" s="2"/>
      <c r="F13" s="2"/>
      <c r="G13" s="2"/>
      <c r="H13" s="2"/>
      <c r="I1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3" min="1" style="0" width="12"/>
    <col collapsed="false" customWidth="true" hidden="false" outlineLevel="0" max="4" min="4" style="0" width="14.4"/>
    <col collapsed="false" customWidth="true" hidden="false" outlineLevel="0" max="5" min="5" style="0" width="19.8"/>
    <col collapsed="false" customWidth="true" hidden="false" outlineLevel="0" max="6" min="6" style="0" width="15.3"/>
    <col collapsed="false" customWidth="true" hidden="false" outlineLevel="0" max="7" min="7" style="0" width="22"/>
    <col collapsed="false" customWidth="true" hidden="false" outlineLevel="0" max="8" min="8" style="0" width="19.8"/>
    <col collapsed="false" customWidth="true" hidden="false" outlineLevel="0" max="9" min="9" style="0" width="21.6"/>
  </cols>
  <sheetData>
    <row r="1" customFormat="false" ht="42" hidden="false" customHeight="true" outlineLevel="0" collapsed="false">
      <c r="A1" s="5" t="s">
        <v>37</v>
      </c>
      <c r="B1" s="5" t="s">
        <v>924</v>
      </c>
      <c r="C1" s="5" t="s">
        <v>32</v>
      </c>
      <c r="D1" s="5" t="s">
        <v>935</v>
      </c>
      <c r="E1" s="5" t="s">
        <v>939</v>
      </c>
      <c r="F1" s="5" t="s">
        <v>937</v>
      </c>
      <c r="G1" s="5" t="s">
        <v>942</v>
      </c>
      <c r="H1" s="5" t="s">
        <v>941</v>
      </c>
      <c r="I1" s="5" t="s">
        <v>943</v>
      </c>
    </row>
    <row r="2" customFormat="false" ht="15" hidden="false" customHeight="false" outlineLevel="0" collapsed="false">
      <c r="A2" s="2" t="s">
        <v>98</v>
      </c>
      <c r="B2" s="2" t="n">
        <v>76</v>
      </c>
      <c r="C2" s="2" t="n">
        <v>1737</v>
      </c>
      <c r="D2" s="2" t="n">
        <v>0.3</v>
      </c>
      <c r="E2" s="2" t="n">
        <v>1.7</v>
      </c>
      <c r="F2" s="2" t="n">
        <v>36</v>
      </c>
      <c r="G2" s="2" t="n">
        <v>1.5</v>
      </c>
      <c r="H2" s="2" t="n">
        <v>18</v>
      </c>
      <c r="I2" s="2" t="n">
        <v>7.6</v>
      </c>
    </row>
    <row r="3" customFormat="false" ht="15" hidden="false" customHeight="false" outlineLevel="0" collapsed="false">
      <c r="A3" s="2" t="s">
        <v>73</v>
      </c>
      <c r="B3" s="2" t="n">
        <v>189</v>
      </c>
      <c r="C3" s="2" t="n">
        <v>9306</v>
      </c>
      <c r="D3" s="2" t="n">
        <v>0.7</v>
      </c>
      <c r="E3" s="2" t="n">
        <v>1</v>
      </c>
      <c r="F3" s="2" t="n">
        <v>100</v>
      </c>
      <c r="G3" s="2" t="n">
        <v>1.8</v>
      </c>
      <c r="H3" s="2" t="n">
        <v>29</v>
      </c>
      <c r="I3" s="2" t="n">
        <v>10.6</v>
      </c>
    </row>
    <row r="4" customFormat="false" ht="15" hidden="false" customHeight="false" outlineLevel="0" collapsed="false">
      <c r="A4" s="2"/>
      <c r="B4" s="2"/>
      <c r="C4" s="2"/>
      <c r="D4" s="2"/>
      <c r="E4" s="2"/>
      <c r="F4" s="2"/>
      <c r="G4" s="2"/>
      <c r="H4" s="2"/>
      <c r="I4" s="2"/>
    </row>
    <row r="5" customFormat="false" ht="15" hidden="false" customHeight="false" outlineLevel="0" collapsed="false">
      <c r="A5" s="11" t="s">
        <v>932</v>
      </c>
      <c r="B5" s="2"/>
      <c r="C5" s="2"/>
      <c r="D5" s="2"/>
      <c r="E5" s="2"/>
      <c r="F5" s="2"/>
      <c r="G5" s="2"/>
      <c r="H5" s="2"/>
      <c r="I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0.7"/>
    <col collapsed="false" customWidth="true" hidden="false" outlineLevel="0" max="3" min="3" style="0" width="12"/>
    <col collapsed="false" customWidth="true" hidden="false" outlineLevel="0" max="4" min="4" style="0" width="20.7"/>
    <col collapsed="false" customWidth="true" hidden="false" outlineLevel="0" max="5" min="5" style="0" width="12"/>
    <col collapsed="false" customWidth="true" hidden="false" outlineLevel="0" max="6" min="6" style="0" width="20.7"/>
    <col collapsed="false" customWidth="true" hidden="false" outlineLevel="0" max="7" min="7" style="0" width="12"/>
    <col collapsed="false" customWidth="true" hidden="false" outlineLevel="0" max="8" min="8" style="0" width="20.7"/>
    <col collapsed="false" customWidth="true" hidden="false" outlineLevel="0" max="9" min="9" style="0" width="12"/>
    <col collapsed="false" customWidth="true" hidden="false" outlineLevel="0" max="10" min="10" style="0" width="20.7"/>
    <col collapsed="false" customWidth="true" hidden="false" outlineLevel="0" max="11" min="11" style="0" width="12"/>
  </cols>
  <sheetData>
    <row r="1" customFormat="false" ht="42" hidden="false" customHeight="true" outlineLevel="0" collapsed="false">
      <c r="A1" s="5" t="s">
        <v>37</v>
      </c>
      <c r="B1" s="5" t="s">
        <v>945</v>
      </c>
      <c r="C1" s="5" t="s">
        <v>946</v>
      </c>
      <c r="D1" s="5" t="s">
        <v>947</v>
      </c>
      <c r="E1" s="5" t="s">
        <v>948</v>
      </c>
      <c r="F1" s="5" t="s">
        <v>949</v>
      </c>
      <c r="G1" s="5" t="s">
        <v>950</v>
      </c>
      <c r="H1" s="5" t="s">
        <v>951</v>
      </c>
      <c r="I1" s="5" t="s">
        <v>952</v>
      </c>
      <c r="J1" s="5" t="s">
        <v>953</v>
      </c>
      <c r="K1" s="5" t="s">
        <v>954</v>
      </c>
    </row>
    <row r="2" customFormat="false" ht="15" hidden="false" customHeight="false" outlineLevel="0" collapsed="false">
      <c r="A2" s="2" t="s">
        <v>98</v>
      </c>
      <c r="B2" s="2" t="n">
        <v>8</v>
      </c>
      <c r="C2" s="2" t="n">
        <v>53</v>
      </c>
      <c r="D2" s="2" t="n">
        <v>44</v>
      </c>
      <c r="E2" s="2" t="n">
        <v>50</v>
      </c>
      <c r="F2" s="2" t="n">
        <v>58</v>
      </c>
      <c r="G2" s="2" t="n">
        <v>43</v>
      </c>
      <c r="H2" s="2" t="n">
        <v>69</v>
      </c>
      <c r="I2" s="2" t="n">
        <v>35</v>
      </c>
      <c r="J2" s="2" t="n">
        <v>60</v>
      </c>
      <c r="K2" s="2" t="n">
        <v>25</v>
      </c>
    </row>
    <row r="3" customFormat="false" ht="15" hidden="false" customHeight="false" outlineLevel="0" collapsed="false">
      <c r="A3" s="2" t="s">
        <v>73</v>
      </c>
      <c r="B3" s="2" t="n">
        <v>30</v>
      </c>
      <c r="C3" s="2" t="n">
        <v>155</v>
      </c>
      <c r="D3" s="2" t="n">
        <v>50</v>
      </c>
      <c r="E3" s="2" t="n">
        <v>131</v>
      </c>
      <c r="F3" s="2" t="n">
        <v>58</v>
      </c>
      <c r="G3" s="2" t="n">
        <v>99</v>
      </c>
      <c r="H3" s="2" t="n">
        <v>64</v>
      </c>
      <c r="I3" s="2" t="n">
        <v>84</v>
      </c>
      <c r="J3" s="2" t="n">
        <v>76</v>
      </c>
      <c r="K3" s="2" t="n">
        <v>63</v>
      </c>
    </row>
    <row r="4" customFormat="false" ht="15" hidden="false" customHeight="false" outlineLevel="0" collapsed="false">
      <c r="A4" s="2"/>
      <c r="B4" s="2"/>
      <c r="C4" s="2"/>
      <c r="D4" s="2"/>
      <c r="E4" s="2"/>
      <c r="F4" s="2"/>
      <c r="G4" s="2"/>
      <c r="H4" s="2"/>
      <c r="I4" s="2"/>
      <c r="J4" s="2"/>
      <c r="K4" s="2"/>
    </row>
    <row r="5" customFormat="false" ht="15" hidden="false" customHeight="false" outlineLevel="0" collapsed="false">
      <c r="A5" s="11" t="s">
        <v>932</v>
      </c>
      <c r="B5" s="2"/>
      <c r="C5" s="2"/>
      <c r="D5" s="2"/>
      <c r="E5" s="2"/>
      <c r="F5" s="2"/>
      <c r="G5" s="2"/>
      <c r="H5" s="2"/>
      <c r="I5" s="2"/>
      <c r="J5" s="2"/>
      <c r="K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8.9"/>
    <col collapsed="false" customWidth="true" hidden="false" outlineLevel="0" max="6" min="4" style="0" width="12"/>
  </cols>
  <sheetData>
    <row r="1" customFormat="false" ht="42" hidden="false" customHeight="true" outlineLevel="0" collapsed="false">
      <c r="A1" s="5" t="s">
        <v>974</v>
      </c>
      <c r="B1" s="5" t="s">
        <v>924</v>
      </c>
      <c r="C1" s="5" t="s">
        <v>975</v>
      </c>
      <c r="D1" s="5" t="s">
        <v>976</v>
      </c>
      <c r="E1" s="5" t="s">
        <v>977</v>
      </c>
      <c r="F1" s="5" t="s">
        <v>32</v>
      </c>
    </row>
    <row r="2" customFormat="false" ht="15" hidden="false" customHeight="false" outlineLevel="0" collapsed="false">
      <c r="A2" s="2" t="s">
        <v>978</v>
      </c>
      <c r="B2" s="2" t="n">
        <v>31</v>
      </c>
      <c r="C2" s="2" t="n">
        <v>0.2</v>
      </c>
      <c r="D2" s="2" t="n">
        <v>0.2</v>
      </c>
      <c r="E2" s="2" t="n">
        <v>0.2</v>
      </c>
      <c r="F2" s="2" t="n">
        <v>1441</v>
      </c>
    </row>
    <row r="3" customFormat="false" ht="15" hidden="false" customHeight="false" outlineLevel="0" collapsed="false">
      <c r="A3" s="2" t="s">
        <v>979</v>
      </c>
      <c r="B3" s="2" t="n">
        <v>126</v>
      </c>
      <c r="C3" s="2" t="n">
        <v>0.7</v>
      </c>
      <c r="D3" s="2" t="n">
        <v>0.5</v>
      </c>
      <c r="E3" s="2" t="n">
        <v>0.8</v>
      </c>
      <c r="F3" s="2" t="n">
        <v>4543</v>
      </c>
    </row>
    <row r="4" customFormat="false" ht="15" hidden="false" customHeight="false" outlineLevel="0" collapsed="false">
      <c r="A4" s="2" t="s">
        <v>42</v>
      </c>
      <c r="B4" s="2" t="n">
        <v>48</v>
      </c>
      <c r="C4" s="2" t="n">
        <v>1.3</v>
      </c>
      <c r="D4" s="2" t="n">
        <v>0.9</v>
      </c>
      <c r="E4" s="2" t="n">
        <v>1.7</v>
      </c>
      <c r="F4" s="2" t="n">
        <v>2703</v>
      </c>
    </row>
    <row r="5" customFormat="false" ht="15" hidden="false" customHeight="false" outlineLevel="0" collapsed="false">
      <c r="A5" s="2"/>
      <c r="B5" s="2"/>
      <c r="C5" s="2"/>
      <c r="D5" s="2"/>
      <c r="E5" s="2"/>
      <c r="F5" s="2"/>
    </row>
    <row r="6" customFormat="false" ht="15" hidden="false" customHeight="false" outlineLevel="0" collapsed="false">
      <c r="A6" s="11" t="s">
        <v>932</v>
      </c>
      <c r="B6" s="2"/>
      <c r="C6" s="2"/>
      <c r="D6" s="2"/>
      <c r="E6" s="2"/>
      <c r="F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13.5"/>
    <col collapsed="false" customWidth="true" hidden="false" outlineLevel="0" max="4" min="4" style="0" width="18"/>
    <col collapsed="false" customWidth="true" hidden="false" outlineLevel="0" max="5" min="5" style="0" width="16.2"/>
    <col collapsed="false" customWidth="true" hidden="false" outlineLevel="0" max="6" min="6" style="0" width="17.1"/>
    <col collapsed="false" customWidth="true" hidden="false" outlineLevel="0" max="7" min="7" style="0" width="16.2"/>
    <col collapsed="false" customWidth="true" hidden="false" outlineLevel="0" max="8" min="8" style="0" width="12.6"/>
    <col collapsed="false" customWidth="true" hidden="false" outlineLevel="0" max="9" min="9" style="0" width="12"/>
  </cols>
  <sheetData>
    <row r="1" customFormat="false" ht="42" hidden="false" customHeight="true" outlineLevel="0" collapsed="false">
      <c r="A1" s="5" t="s">
        <v>980</v>
      </c>
      <c r="B1" s="5" t="s">
        <v>924</v>
      </c>
      <c r="C1" s="5" t="s">
        <v>68</v>
      </c>
      <c r="D1" s="5" t="s">
        <v>164</v>
      </c>
      <c r="E1" s="5" t="s">
        <v>290</v>
      </c>
      <c r="F1" s="5" t="s">
        <v>473</v>
      </c>
      <c r="G1" s="5" t="s">
        <v>635</v>
      </c>
      <c r="H1" s="5" t="s">
        <v>850</v>
      </c>
      <c r="I1" s="5" t="s">
        <v>925</v>
      </c>
    </row>
    <row r="2" customFormat="false" ht="15" hidden="false" customHeight="false" outlineLevel="0" collapsed="false">
      <c r="A2" s="2" t="s">
        <v>981</v>
      </c>
      <c r="B2" s="2" t="n">
        <v>14</v>
      </c>
      <c r="C2" s="2" t="n">
        <v>3</v>
      </c>
      <c r="D2" s="2" t="n">
        <v>22</v>
      </c>
      <c r="E2" s="2" t="n">
        <v>149</v>
      </c>
      <c r="F2" s="2" t="n">
        <v>16</v>
      </c>
      <c r="G2" s="2" t="n">
        <v>121</v>
      </c>
      <c r="H2" s="2" t="n">
        <v>0</v>
      </c>
      <c r="I2" s="2" t="n">
        <v>311</v>
      </c>
    </row>
    <row r="3" customFormat="false" ht="15" hidden="false" customHeight="false" outlineLevel="0" collapsed="false">
      <c r="A3" s="2" t="s">
        <v>982</v>
      </c>
      <c r="B3" s="2" t="n">
        <v>8</v>
      </c>
      <c r="C3" s="2" t="n">
        <v>65</v>
      </c>
      <c r="D3" s="2" t="n">
        <v>0</v>
      </c>
      <c r="E3" s="2" t="n">
        <v>0</v>
      </c>
      <c r="F3" s="2" t="n">
        <v>190</v>
      </c>
      <c r="G3" s="2" t="n">
        <v>51</v>
      </c>
      <c r="H3" s="2" t="n">
        <v>68</v>
      </c>
      <c r="I3" s="2" t="n">
        <v>374</v>
      </c>
    </row>
    <row r="4" customFormat="false" ht="15" hidden="false" customHeight="false" outlineLevel="0" collapsed="false">
      <c r="A4" s="2" t="s">
        <v>983</v>
      </c>
      <c r="B4" s="2" t="n">
        <v>6</v>
      </c>
      <c r="C4" s="2" t="n">
        <v>32</v>
      </c>
      <c r="D4" s="2" t="n">
        <v>0</v>
      </c>
      <c r="E4" s="2" t="n">
        <v>0</v>
      </c>
      <c r="F4" s="2" t="n">
        <v>90</v>
      </c>
      <c r="G4" s="2" t="n">
        <v>83</v>
      </c>
      <c r="H4" s="2" t="n">
        <v>0</v>
      </c>
      <c r="I4" s="2" t="n">
        <v>205</v>
      </c>
    </row>
    <row r="5" customFormat="false" ht="15" hidden="false" customHeight="false" outlineLevel="0" collapsed="false">
      <c r="A5" s="2" t="s">
        <v>984</v>
      </c>
      <c r="B5" s="2" t="n">
        <v>20</v>
      </c>
      <c r="C5" s="2" t="n">
        <v>17</v>
      </c>
      <c r="D5" s="2" t="n">
        <v>113</v>
      </c>
      <c r="E5" s="2" t="n">
        <v>0</v>
      </c>
      <c r="F5" s="2" t="n">
        <v>196</v>
      </c>
      <c r="G5" s="2" t="n">
        <v>116</v>
      </c>
      <c r="H5" s="2" t="n">
        <v>84</v>
      </c>
      <c r="I5" s="2" t="n">
        <v>526</v>
      </c>
    </row>
    <row r="6" customFormat="false" ht="15" hidden="false" customHeight="false" outlineLevel="0" collapsed="false">
      <c r="A6" s="2" t="s">
        <v>985</v>
      </c>
      <c r="B6" s="2" t="n">
        <v>43</v>
      </c>
      <c r="C6" s="2" t="n">
        <v>190</v>
      </c>
      <c r="D6" s="2" t="n">
        <v>35</v>
      </c>
      <c r="E6" s="2" t="n">
        <v>2072</v>
      </c>
      <c r="F6" s="2" t="n">
        <v>262</v>
      </c>
      <c r="G6" s="2" t="n">
        <v>1257</v>
      </c>
      <c r="H6" s="2" t="n">
        <v>10</v>
      </c>
      <c r="I6" s="2" t="n">
        <v>3826</v>
      </c>
    </row>
    <row r="7" customFormat="false" ht="15" hidden="false" customHeight="false" outlineLevel="0" collapsed="false">
      <c r="A7" s="2" t="s">
        <v>986</v>
      </c>
      <c r="B7" s="2" t="n">
        <v>17</v>
      </c>
      <c r="C7" s="2" t="n">
        <v>31</v>
      </c>
      <c r="D7" s="2" t="n">
        <v>3</v>
      </c>
      <c r="E7" s="2" t="n">
        <v>17</v>
      </c>
      <c r="F7" s="2" t="n">
        <v>55</v>
      </c>
      <c r="G7" s="2" t="n">
        <v>52</v>
      </c>
      <c r="H7" s="2" t="n">
        <v>54</v>
      </c>
      <c r="I7" s="2" t="n">
        <v>212</v>
      </c>
    </row>
    <row r="8" customFormat="false" ht="15" hidden="false" customHeight="false" outlineLevel="0" collapsed="false">
      <c r="A8" s="2"/>
      <c r="B8" s="2"/>
      <c r="C8" s="2"/>
      <c r="D8" s="2"/>
      <c r="E8" s="2"/>
      <c r="F8" s="2"/>
      <c r="G8" s="2"/>
      <c r="H8" s="2"/>
      <c r="I8" s="2"/>
    </row>
    <row r="9" customFormat="false" ht="15" hidden="false" customHeight="false" outlineLevel="0" collapsed="false">
      <c r="A9" s="11" t="s">
        <v>932</v>
      </c>
      <c r="B9" s="2"/>
      <c r="C9" s="2"/>
      <c r="D9" s="2"/>
      <c r="E9" s="2"/>
      <c r="F9" s="2"/>
      <c r="G9" s="2"/>
      <c r="H9" s="2"/>
      <c r="I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0" min="1" style="0" width="12"/>
    <col collapsed="false" customWidth="true" hidden="false" outlineLevel="0" max="11" min="11" style="0" width="16.2"/>
    <col collapsed="false" customWidth="true" hidden="false" outlineLevel="0" max="14" min="12" style="0" width="12"/>
    <col collapsed="false" customWidth="true" hidden="false" outlineLevel="0" max="15" min="15" style="0" width="13.5"/>
    <col collapsed="false" customWidth="true" hidden="false" outlineLevel="0" max="16" min="16" style="0" width="12"/>
  </cols>
  <sheetData>
    <row r="1" customFormat="false" ht="42" hidden="false" customHeight="true" outlineLevel="0" collapsed="false">
      <c r="A1" s="5" t="s">
        <v>25</v>
      </c>
      <c r="B1" s="5" t="s">
        <v>28</v>
      </c>
      <c r="C1" s="5" t="s">
        <v>1</v>
      </c>
      <c r="D1" s="5" t="s">
        <v>29</v>
      </c>
      <c r="E1" s="5" t="s">
        <v>17</v>
      </c>
      <c r="F1" s="5" t="s">
        <v>929</v>
      </c>
      <c r="G1" s="5" t="s">
        <v>36</v>
      </c>
      <c r="H1" s="5" t="s">
        <v>32</v>
      </c>
      <c r="I1" s="5" t="s">
        <v>33</v>
      </c>
      <c r="J1" s="5" t="s">
        <v>34</v>
      </c>
      <c r="K1" s="5" t="s">
        <v>40</v>
      </c>
      <c r="L1" s="5" t="s">
        <v>43</v>
      </c>
      <c r="M1" s="5" t="s">
        <v>980</v>
      </c>
      <c r="N1" s="5" t="s">
        <v>38</v>
      </c>
      <c r="O1" s="5" t="s">
        <v>987</v>
      </c>
      <c r="P1" s="5" t="s">
        <v>988</v>
      </c>
    </row>
    <row r="2" customFormat="false" ht="15" hidden="false" customHeight="false" outlineLevel="0" collapsed="false">
      <c r="A2" s="2" t="s">
        <v>803</v>
      </c>
      <c r="B2" s="2" t="s">
        <v>804</v>
      </c>
      <c r="C2" s="2" t="s">
        <v>805</v>
      </c>
      <c r="D2" s="2" t="s">
        <v>82</v>
      </c>
      <c r="E2" s="2" t="s">
        <v>635</v>
      </c>
      <c r="F2" s="2" t="s">
        <v>406</v>
      </c>
      <c r="G2" s="2" t="s">
        <v>73</v>
      </c>
      <c r="H2" s="2" t="n">
        <v>8</v>
      </c>
      <c r="I2" s="2" t="s">
        <v>145</v>
      </c>
      <c r="J2" s="2" t="s">
        <v>95</v>
      </c>
      <c r="K2" s="6" t="n">
        <v>43300</v>
      </c>
      <c r="L2" s="6" t="n">
        <v>45125</v>
      </c>
      <c r="M2" s="2" t="s">
        <v>981</v>
      </c>
      <c r="N2" s="2" t="s">
        <v>74</v>
      </c>
      <c r="O2" s="6" t="n">
        <v>43271.6349877662</v>
      </c>
      <c r="P2" s="2"/>
    </row>
    <row r="3" customFormat="false" ht="15" hidden="false" customHeight="false" outlineLevel="0" collapsed="false">
      <c r="A3" s="2" t="s">
        <v>692</v>
      </c>
      <c r="B3" s="2" t="s">
        <v>679</v>
      </c>
      <c r="C3" s="2" t="s">
        <v>693</v>
      </c>
      <c r="D3" s="2" t="s">
        <v>681</v>
      </c>
      <c r="E3" s="2" t="s">
        <v>635</v>
      </c>
      <c r="F3" s="2" t="s">
        <v>69</v>
      </c>
      <c r="G3" s="2" t="s">
        <v>73</v>
      </c>
      <c r="H3" s="2" t="n">
        <v>49</v>
      </c>
      <c r="I3" s="2" t="s">
        <v>91</v>
      </c>
      <c r="J3" s="2" t="s">
        <v>83</v>
      </c>
      <c r="K3" s="6" t="n">
        <v>43396</v>
      </c>
      <c r="L3" s="6" t="n">
        <v>45221</v>
      </c>
      <c r="M3" s="2" t="s">
        <v>981</v>
      </c>
      <c r="N3" s="2" t="s">
        <v>74</v>
      </c>
      <c r="O3" s="6" t="n">
        <v>45187.6110681366</v>
      </c>
      <c r="P3" s="2" t="s">
        <v>694</v>
      </c>
    </row>
    <row r="4" customFormat="false" ht="15" hidden="false" customHeight="false" outlineLevel="0" collapsed="false">
      <c r="A4" s="2" t="s">
        <v>578</v>
      </c>
      <c r="B4" s="2" t="s">
        <v>579</v>
      </c>
      <c r="C4" s="2" t="s">
        <v>580</v>
      </c>
      <c r="D4" s="2" t="s">
        <v>289</v>
      </c>
      <c r="E4" s="2" t="s">
        <v>473</v>
      </c>
      <c r="F4" s="2" t="s">
        <v>474</v>
      </c>
      <c r="G4" s="2" t="s">
        <v>119</v>
      </c>
      <c r="H4" s="2" t="n">
        <v>12</v>
      </c>
      <c r="I4" s="2" t="s">
        <v>118</v>
      </c>
      <c r="J4" s="2" t="s">
        <v>95</v>
      </c>
      <c r="K4" s="6" t="n">
        <v>43635</v>
      </c>
      <c r="L4" s="6" t="n">
        <v>45461</v>
      </c>
      <c r="M4" s="2" t="s">
        <v>981</v>
      </c>
      <c r="N4" s="2" t="s">
        <v>188</v>
      </c>
      <c r="O4" s="6" t="n">
        <v>43738.4086684375</v>
      </c>
      <c r="P4" s="2"/>
    </row>
    <row r="5" customFormat="false" ht="15" hidden="false" customHeight="false" outlineLevel="0" collapsed="false">
      <c r="A5" s="2" t="s">
        <v>185</v>
      </c>
      <c r="B5" s="2" t="s">
        <v>186</v>
      </c>
      <c r="C5" s="2" t="s">
        <v>187</v>
      </c>
      <c r="D5" s="2" t="s">
        <v>82</v>
      </c>
      <c r="E5" s="2" t="s">
        <v>164</v>
      </c>
      <c r="F5" s="2" t="s">
        <v>69</v>
      </c>
      <c r="G5" s="2" t="s">
        <v>119</v>
      </c>
      <c r="H5" s="2" t="n">
        <v>21</v>
      </c>
      <c r="I5" s="2" t="s">
        <v>118</v>
      </c>
      <c r="J5" s="2" t="s">
        <v>95</v>
      </c>
      <c r="K5" s="6" t="n">
        <v>43719</v>
      </c>
      <c r="L5" s="6" t="n">
        <v>45545</v>
      </c>
      <c r="M5" s="2" t="s">
        <v>981</v>
      </c>
      <c r="N5" s="2" t="s">
        <v>188</v>
      </c>
      <c r="O5" s="6" t="n">
        <v>45251.3958996528</v>
      </c>
      <c r="P5" s="2"/>
    </row>
    <row r="6" customFormat="false" ht="15" hidden="false" customHeight="false" outlineLevel="0" collapsed="false">
      <c r="A6" s="2"/>
      <c r="B6" s="2" t="s">
        <v>768</v>
      </c>
      <c r="C6" s="2" t="s">
        <v>769</v>
      </c>
      <c r="D6" s="2" t="s">
        <v>82</v>
      </c>
      <c r="E6" s="2" t="s">
        <v>635</v>
      </c>
      <c r="F6" s="2" t="s">
        <v>69</v>
      </c>
      <c r="G6" s="2" t="s">
        <v>73</v>
      </c>
      <c r="H6" s="2" t="n">
        <v>17</v>
      </c>
      <c r="I6" s="2" t="s">
        <v>118</v>
      </c>
      <c r="J6" s="2" t="s">
        <v>92</v>
      </c>
      <c r="K6" s="6" t="n">
        <v>43735</v>
      </c>
      <c r="L6" s="6" t="n">
        <v>45562</v>
      </c>
      <c r="M6" s="2" t="s">
        <v>981</v>
      </c>
      <c r="N6" s="2" t="s">
        <v>74</v>
      </c>
      <c r="O6" s="6" t="n">
        <v>43403.5030211806</v>
      </c>
      <c r="P6" s="2"/>
    </row>
    <row r="7" customFormat="false" ht="15" hidden="false" customHeight="false" outlineLevel="0" collapsed="false">
      <c r="A7" s="2" t="s">
        <v>416</v>
      </c>
      <c r="B7" s="2" t="s">
        <v>417</v>
      </c>
      <c r="C7" s="2" t="s">
        <v>418</v>
      </c>
      <c r="D7" s="2" t="s">
        <v>289</v>
      </c>
      <c r="E7" s="2" t="s">
        <v>290</v>
      </c>
      <c r="F7" s="2" t="s">
        <v>291</v>
      </c>
      <c r="G7" s="2" t="s">
        <v>73</v>
      </c>
      <c r="H7" s="2" t="n">
        <v>12</v>
      </c>
      <c r="I7" s="2" t="s">
        <v>118</v>
      </c>
      <c r="J7" s="2" t="s">
        <v>83</v>
      </c>
      <c r="K7" s="6" t="n">
        <v>43868</v>
      </c>
      <c r="L7" s="6" t="n">
        <v>45627</v>
      </c>
      <c r="M7" s="2" t="s">
        <v>981</v>
      </c>
      <c r="N7" s="2" t="s">
        <v>74</v>
      </c>
      <c r="O7" s="6" t="n">
        <v>43914.34214375</v>
      </c>
      <c r="P7" s="2"/>
    </row>
    <row r="8" customFormat="false" ht="15" hidden="false" customHeight="false" outlineLevel="0" collapsed="false">
      <c r="A8" s="2" t="s">
        <v>283</v>
      </c>
      <c r="B8" s="2" t="s">
        <v>284</v>
      </c>
      <c r="C8" s="2" t="s">
        <v>285</v>
      </c>
      <c r="D8" s="2" t="s">
        <v>82</v>
      </c>
      <c r="E8" s="2" t="s">
        <v>164</v>
      </c>
      <c r="F8" s="2" t="s">
        <v>69</v>
      </c>
      <c r="G8" s="2" t="s">
        <v>73</v>
      </c>
      <c r="H8" s="2" t="n">
        <v>1</v>
      </c>
      <c r="I8" s="2" t="s">
        <v>145</v>
      </c>
      <c r="J8" s="2" t="s">
        <v>92</v>
      </c>
      <c r="K8" s="6" t="n">
        <v>44098</v>
      </c>
      <c r="L8" s="6" t="n">
        <v>45923</v>
      </c>
      <c r="M8" s="2" t="s">
        <v>981</v>
      </c>
      <c r="N8" s="2" t="s">
        <v>74</v>
      </c>
      <c r="O8" s="6" t="n">
        <v>44064.5652425579</v>
      </c>
      <c r="P8" s="2"/>
    </row>
    <row r="9" customFormat="false" ht="15" hidden="false" customHeight="false" outlineLevel="0" collapsed="false">
      <c r="A9" s="2" t="s">
        <v>779</v>
      </c>
      <c r="B9" s="2" t="s">
        <v>780</v>
      </c>
      <c r="C9" s="2" t="s">
        <v>781</v>
      </c>
      <c r="D9" s="2" t="s">
        <v>82</v>
      </c>
      <c r="E9" s="2" t="s">
        <v>635</v>
      </c>
      <c r="F9" s="2" t="s">
        <v>406</v>
      </c>
      <c r="G9" s="2" t="s">
        <v>73</v>
      </c>
      <c r="H9" s="2" t="n">
        <v>15</v>
      </c>
      <c r="I9" s="2" t="s">
        <v>118</v>
      </c>
      <c r="J9" s="2" t="s">
        <v>95</v>
      </c>
      <c r="K9" s="6" t="n">
        <v>44111</v>
      </c>
      <c r="L9" s="6" t="n">
        <v>45936</v>
      </c>
      <c r="M9" s="2" t="s">
        <v>981</v>
      </c>
      <c r="N9" s="2" t="s">
        <v>74</v>
      </c>
      <c r="O9" s="6" t="n">
        <v>44081.3395054745</v>
      </c>
      <c r="P9" s="2"/>
    </row>
    <row r="10" customFormat="false" ht="15" hidden="false" customHeight="false" outlineLevel="0" collapsed="false">
      <c r="A10" s="2" t="s">
        <v>737</v>
      </c>
      <c r="B10" s="2" t="s">
        <v>671</v>
      </c>
      <c r="C10" s="2" t="s">
        <v>738</v>
      </c>
      <c r="D10" s="2" t="s">
        <v>82</v>
      </c>
      <c r="E10" s="2" t="s">
        <v>635</v>
      </c>
      <c r="F10" s="2" t="s">
        <v>406</v>
      </c>
      <c r="G10" s="2" t="s">
        <v>73</v>
      </c>
      <c r="H10" s="2" t="n">
        <v>24</v>
      </c>
      <c r="I10" s="2" t="s">
        <v>118</v>
      </c>
      <c r="J10" s="2" t="s">
        <v>95</v>
      </c>
      <c r="K10" s="6" t="n">
        <v>44202</v>
      </c>
      <c r="L10" s="6" t="n">
        <v>46027</v>
      </c>
      <c r="M10" s="2" t="s">
        <v>981</v>
      </c>
      <c r="N10" s="2" t="s">
        <v>74</v>
      </c>
      <c r="O10" s="6" t="n">
        <v>44166.4846238426</v>
      </c>
      <c r="P10" s="2"/>
    </row>
    <row r="11" customFormat="false" ht="15" hidden="false" customHeight="false" outlineLevel="0" collapsed="false">
      <c r="A11" s="2" t="s">
        <v>806</v>
      </c>
      <c r="B11" s="2" t="s">
        <v>798</v>
      </c>
      <c r="C11" s="2" t="s">
        <v>807</v>
      </c>
      <c r="D11" s="2" t="s">
        <v>82</v>
      </c>
      <c r="E11" s="2" t="s">
        <v>635</v>
      </c>
      <c r="F11" s="2" t="s">
        <v>406</v>
      </c>
      <c r="G11" s="2" t="s">
        <v>73</v>
      </c>
      <c r="H11" s="2" t="n">
        <v>8</v>
      </c>
      <c r="I11" s="2" t="s">
        <v>145</v>
      </c>
      <c r="J11" s="2" t="s">
        <v>95</v>
      </c>
      <c r="K11" s="6" t="n">
        <v>44306</v>
      </c>
      <c r="L11" s="6" t="n">
        <v>46131</v>
      </c>
      <c r="M11" s="2" t="s">
        <v>981</v>
      </c>
      <c r="N11" s="2" t="s">
        <v>74</v>
      </c>
      <c r="O11" s="6" t="n">
        <v>44315.5968548958</v>
      </c>
      <c r="P11" s="2"/>
    </row>
    <row r="12" customFormat="false" ht="15" hidden="false" customHeight="false" outlineLevel="0" collapsed="false">
      <c r="A12" s="2" t="s">
        <v>312</v>
      </c>
      <c r="B12" s="2" t="s">
        <v>313</v>
      </c>
      <c r="C12" s="2" t="s">
        <v>314</v>
      </c>
      <c r="D12" s="2" t="s">
        <v>315</v>
      </c>
      <c r="E12" s="2" t="s">
        <v>290</v>
      </c>
      <c r="F12" s="2" t="s">
        <v>291</v>
      </c>
      <c r="G12" s="2" t="s">
        <v>73</v>
      </c>
      <c r="H12" s="2" t="n">
        <v>137</v>
      </c>
      <c r="I12" s="2" t="s">
        <v>292</v>
      </c>
      <c r="J12" s="2" t="s">
        <v>71</v>
      </c>
      <c r="K12" s="6" t="n">
        <v>44413</v>
      </c>
      <c r="L12" s="6" t="n">
        <v>46238</v>
      </c>
      <c r="M12" s="2" t="s">
        <v>981</v>
      </c>
      <c r="N12" s="2" t="s">
        <v>74</v>
      </c>
      <c r="O12" s="6" t="n">
        <v>45226.4849832176</v>
      </c>
      <c r="P12" s="2" t="s">
        <v>174</v>
      </c>
    </row>
    <row r="13" customFormat="false" ht="15" hidden="false" customHeight="false" outlineLevel="0" collapsed="false">
      <c r="A13" s="2" t="s">
        <v>619</v>
      </c>
      <c r="B13" s="2" t="s">
        <v>620</v>
      </c>
      <c r="C13" s="2" t="s">
        <v>621</v>
      </c>
      <c r="D13" s="2" t="s">
        <v>82</v>
      </c>
      <c r="E13" s="2" t="s">
        <v>473</v>
      </c>
      <c r="F13" s="2" t="s">
        <v>355</v>
      </c>
      <c r="G13" s="2" t="s">
        <v>73</v>
      </c>
      <c r="H13" s="2" t="n">
        <v>4</v>
      </c>
      <c r="I13" s="2" t="s">
        <v>145</v>
      </c>
      <c r="J13" s="2" t="s">
        <v>83</v>
      </c>
      <c r="K13" s="6" t="n">
        <v>44434</v>
      </c>
      <c r="L13" s="6" t="n">
        <v>46259</v>
      </c>
      <c r="M13" s="2" t="s">
        <v>981</v>
      </c>
      <c r="N13" s="2" t="s">
        <v>74</v>
      </c>
      <c r="O13" s="6" t="n">
        <v>44404.4646961806</v>
      </c>
      <c r="P13" s="2"/>
    </row>
    <row r="14" customFormat="false" ht="15" hidden="false" customHeight="false" outlineLevel="0" collapsed="false">
      <c r="A14" s="2" t="s">
        <v>153</v>
      </c>
      <c r="B14" s="2" t="s">
        <v>154</v>
      </c>
      <c r="C14" s="2" t="s">
        <v>155</v>
      </c>
      <c r="D14" s="2" t="s">
        <v>82</v>
      </c>
      <c r="E14" s="2" t="s">
        <v>68</v>
      </c>
      <c r="F14" s="2" t="s">
        <v>69</v>
      </c>
      <c r="G14" s="2" t="s">
        <v>73</v>
      </c>
      <c r="H14" s="2" t="n">
        <v>3</v>
      </c>
      <c r="I14" s="2" t="s">
        <v>145</v>
      </c>
      <c r="J14" s="2" t="s">
        <v>83</v>
      </c>
      <c r="K14" s="6" t="n">
        <v>45187</v>
      </c>
      <c r="L14" s="6" t="n">
        <v>46282</v>
      </c>
      <c r="M14" s="2" t="s">
        <v>981</v>
      </c>
      <c r="N14" s="2" t="s">
        <v>74</v>
      </c>
      <c r="O14" s="6" t="n">
        <v>45155.4608758102</v>
      </c>
      <c r="P14" s="2"/>
    </row>
    <row r="15" customFormat="false" ht="15" hidden="false" customHeight="false" outlineLevel="0" collapsed="false">
      <c r="A15" s="2" t="s">
        <v>844</v>
      </c>
      <c r="B15" s="2" t="s">
        <v>845</v>
      </c>
      <c r="C15" s="2" t="s">
        <v>846</v>
      </c>
      <c r="D15" s="2" t="s">
        <v>82</v>
      </c>
      <c r="E15" s="2" t="s">
        <v>635</v>
      </c>
      <c r="F15" s="2" t="s">
        <v>406</v>
      </c>
      <c r="G15" s="2" t="s">
        <v>73</v>
      </c>
      <c r="H15" s="2"/>
      <c r="I15" s="2" t="s">
        <v>92</v>
      </c>
      <c r="J15" s="2" t="s">
        <v>297</v>
      </c>
      <c r="K15" s="6" t="n">
        <v>44460</v>
      </c>
      <c r="L15" s="6" t="n">
        <v>46285</v>
      </c>
      <c r="M15" s="2" t="s">
        <v>981</v>
      </c>
      <c r="N15" s="2" t="s">
        <v>74</v>
      </c>
      <c r="O15" s="6" t="n">
        <v>44428.4794711458</v>
      </c>
      <c r="P15" s="2"/>
    </row>
    <row r="16" customFormat="false" ht="15" hidden="false" customHeight="false" outlineLevel="0" collapsed="false">
      <c r="A16" s="2" t="s">
        <v>129</v>
      </c>
      <c r="B16" s="2"/>
      <c r="C16" s="2" t="s">
        <v>131</v>
      </c>
      <c r="D16" s="2" t="s">
        <v>132</v>
      </c>
      <c r="E16" s="2" t="s">
        <v>68</v>
      </c>
      <c r="F16" s="2" t="s">
        <v>69</v>
      </c>
      <c r="G16" s="2" t="s">
        <v>73</v>
      </c>
      <c r="H16" s="2" t="n">
        <v>14</v>
      </c>
      <c r="I16" s="2" t="s">
        <v>118</v>
      </c>
      <c r="J16" s="2" t="s">
        <v>83</v>
      </c>
      <c r="K16" s="6" t="n">
        <v>44532</v>
      </c>
      <c r="L16" s="6" t="n">
        <v>46357</v>
      </c>
      <c r="M16" s="2" t="s">
        <v>982</v>
      </c>
      <c r="N16" s="2" t="s">
        <v>74</v>
      </c>
      <c r="O16" s="2"/>
      <c r="P16" s="2"/>
    </row>
    <row r="17" customFormat="false" ht="15" hidden="false" customHeight="false" outlineLevel="0" collapsed="false">
      <c r="A17" s="2" t="s">
        <v>581</v>
      </c>
      <c r="B17" s="2" t="s">
        <v>582</v>
      </c>
      <c r="C17" s="2" t="s">
        <v>218</v>
      </c>
      <c r="D17" s="2" t="s">
        <v>289</v>
      </c>
      <c r="E17" s="2" t="s">
        <v>473</v>
      </c>
      <c r="F17" s="2" t="s">
        <v>474</v>
      </c>
      <c r="G17" s="2" t="s">
        <v>73</v>
      </c>
      <c r="H17" s="2" t="n">
        <v>11</v>
      </c>
      <c r="I17" s="2" t="s">
        <v>118</v>
      </c>
      <c r="J17" s="2" t="s">
        <v>95</v>
      </c>
      <c r="K17" s="6" t="n">
        <v>44599</v>
      </c>
      <c r="L17" s="6" t="n">
        <v>46424</v>
      </c>
      <c r="M17" s="2" t="s">
        <v>982</v>
      </c>
      <c r="N17" s="2" t="s">
        <v>74</v>
      </c>
      <c r="O17" s="6" t="n">
        <v>44565.3068393866</v>
      </c>
      <c r="P17" s="2"/>
    </row>
    <row r="18" customFormat="false" ht="15" hidden="false" customHeight="false" outlineLevel="0" collapsed="false">
      <c r="A18" s="2" t="s">
        <v>569</v>
      </c>
      <c r="B18" s="2" t="s">
        <v>570</v>
      </c>
      <c r="C18" s="2" t="s">
        <v>571</v>
      </c>
      <c r="D18" s="2" t="s">
        <v>82</v>
      </c>
      <c r="E18" s="2" t="s">
        <v>473</v>
      </c>
      <c r="F18" s="2" t="s">
        <v>355</v>
      </c>
      <c r="G18" s="2" t="s">
        <v>73</v>
      </c>
      <c r="H18" s="2" t="n">
        <v>14</v>
      </c>
      <c r="I18" s="2" t="s">
        <v>118</v>
      </c>
      <c r="J18" s="2" t="s">
        <v>95</v>
      </c>
      <c r="K18" s="6" t="n">
        <v>44609</v>
      </c>
      <c r="L18" s="6" t="n">
        <v>46434</v>
      </c>
      <c r="M18" s="2" t="s">
        <v>982</v>
      </c>
      <c r="N18" s="2" t="s">
        <v>74</v>
      </c>
      <c r="O18" s="6" t="n">
        <v>44574.6485856481</v>
      </c>
      <c r="P18" s="2"/>
    </row>
    <row r="19" customFormat="false" ht="15" hidden="false" customHeight="false" outlineLevel="0" collapsed="false">
      <c r="A19" s="2" t="s">
        <v>79</v>
      </c>
      <c r="B19" s="2" t="s">
        <v>80</v>
      </c>
      <c r="C19" s="2" t="s">
        <v>81</v>
      </c>
      <c r="D19" s="2" t="s">
        <v>82</v>
      </c>
      <c r="E19" s="2" t="s">
        <v>68</v>
      </c>
      <c r="F19" s="2" t="s">
        <v>69</v>
      </c>
      <c r="G19" s="2" t="s">
        <v>73</v>
      </c>
      <c r="H19" s="2" t="n">
        <v>51</v>
      </c>
      <c r="I19" s="2" t="s">
        <v>70</v>
      </c>
      <c r="J19" s="2" t="s">
        <v>83</v>
      </c>
      <c r="K19" s="6" t="n">
        <v>44693</v>
      </c>
      <c r="L19" s="6" t="n">
        <v>46518</v>
      </c>
      <c r="M19" s="2" t="s">
        <v>982</v>
      </c>
      <c r="N19" s="2" t="s">
        <v>84</v>
      </c>
      <c r="O19" s="6" t="n">
        <v>45461.5869479514</v>
      </c>
      <c r="P19" s="2"/>
    </row>
    <row r="20" customFormat="false" ht="15" hidden="false" customHeight="false" outlineLevel="0" collapsed="false">
      <c r="A20" s="2" t="s">
        <v>706</v>
      </c>
      <c r="B20" s="2" t="s">
        <v>707</v>
      </c>
      <c r="C20" s="2" t="s">
        <v>708</v>
      </c>
      <c r="D20" s="2" t="s">
        <v>82</v>
      </c>
      <c r="E20" s="2" t="s">
        <v>635</v>
      </c>
      <c r="F20" s="2" t="s">
        <v>406</v>
      </c>
      <c r="G20" s="2" t="s">
        <v>73</v>
      </c>
      <c r="H20" s="2" t="n">
        <v>37</v>
      </c>
      <c r="I20" s="2" t="s">
        <v>91</v>
      </c>
      <c r="J20" s="2" t="s">
        <v>95</v>
      </c>
      <c r="K20" s="6" t="n">
        <v>44706</v>
      </c>
      <c r="L20" s="6" t="n">
        <v>46531</v>
      </c>
      <c r="M20" s="2" t="s">
        <v>982</v>
      </c>
      <c r="N20" s="2" t="s">
        <v>74</v>
      </c>
      <c r="O20" s="6" t="n">
        <v>44672.5064946759</v>
      </c>
      <c r="P20" s="2"/>
    </row>
    <row r="21" customFormat="false" ht="15" hidden="false" customHeight="false" outlineLevel="0" collapsed="false">
      <c r="A21" s="2" t="s">
        <v>475</v>
      </c>
      <c r="B21" s="2" t="s">
        <v>476</v>
      </c>
      <c r="C21" s="2" t="s">
        <v>477</v>
      </c>
      <c r="D21" s="2" t="s">
        <v>82</v>
      </c>
      <c r="E21" s="2" t="s">
        <v>473</v>
      </c>
      <c r="F21" s="2" t="s">
        <v>474</v>
      </c>
      <c r="G21" s="2" t="s">
        <v>73</v>
      </c>
      <c r="H21" s="2" t="n">
        <v>165</v>
      </c>
      <c r="I21" s="2" t="s">
        <v>292</v>
      </c>
      <c r="J21" s="2" t="s">
        <v>71</v>
      </c>
      <c r="K21" s="6" t="n">
        <v>44707</v>
      </c>
      <c r="L21" s="6" t="n">
        <v>46532</v>
      </c>
      <c r="M21" s="2" t="s">
        <v>982</v>
      </c>
      <c r="N21" s="2" t="s">
        <v>74</v>
      </c>
      <c r="O21" s="6" t="n">
        <v>46078.3591001157</v>
      </c>
      <c r="P21" s="2"/>
    </row>
    <row r="22" customFormat="false" ht="15" hidden="false" customHeight="false" outlineLevel="0" collapsed="false">
      <c r="A22" s="2" t="s">
        <v>851</v>
      </c>
      <c r="B22" s="2" t="s">
        <v>852</v>
      </c>
      <c r="C22" s="2" t="s">
        <v>853</v>
      </c>
      <c r="D22" s="2" t="s">
        <v>854</v>
      </c>
      <c r="E22" s="2" t="s">
        <v>850</v>
      </c>
      <c r="F22" s="2" t="s">
        <v>69</v>
      </c>
      <c r="G22" s="2" t="s">
        <v>73</v>
      </c>
      <c r="H22" s="2" t="n">
        <v>68</v>
      </c>
      <c r="I22" s="2" t="s">
        <v>70</v>
      </c>
      <c r="J22" s="2" t="s">
        <v>95</v>
      </c>
      <c r="K22" s="6" t="n">
        <v>44810</v>
      </c>
      <c r="L22" s="6" t="n">
        <v>46635</v>
      </c>
      <c r="M22" s="2" t="s">
        <v>982</v>
      </c>
      <c r="N22" s="2" t="s">
        <v>84</v>
      </c>
      <c r="O22" s="6" t="n">
        <v>45217.478456713</v>
      </c>
      <c r="P22" s="2" t="s">
        <v>174</v>
      </c>
    </row>
    <row r="23" customFormat="false" ht="15" hidden="false" customHeight="false" outlineLevel="0" collapsed="false">
      <c r="A23" s="2" t="s">
        <v>782</v>
      </c>
      <c r="B23" s="2" t="s">
        <v>783</v>
      </c>
      <c r="C23" s="2" t="s">
        <v>784</v>
      </c>
      <c r="D23" s="2" t="s">
        <v>82</v>
      </c>
      <c r="E23" s="2" t="s">
        <v>635</v>
      </c>
      <c r="F23" s="2" t="s">
        <v>406</v>
      </c>
      <c r="G23" s="2" t="s">
        <v>73</v>
      </c>
      <c r="H23" s="2" t="n">
        <v>14</v>
      </c>
      <c r="I23" s="2" t="s">
        <v>118</v>
      </c>
      <c r="J23" s="2" t="s">
        <v>95</v>
      </c>
      <c r="K23" s="6" t="n">
        <v>44825</v>
      </c>
      <c r="L23" s="6" t="n">
        <v>46650</v>
      </c>
      <c r="M23" s="2" t="s">
        <v>982</v>
      </c>
      <c r="N23" s="2" t="s">
        <v>74</v>
      </c>
      <c r="O23" s="6" t="n">
        <v>44797.6065082176</v>
      </c>
      <c r="P23" s="2"/>
    </row>
    <row r="24" customFormat="false" ht="15" hidden="false" customHeight="false" outlineLevel="0" collapsed="false">
      <c r="A24" s="2" t="s">
        <v>88</v>
      </c>
      <c r="B24" s="2" t="s">
        <v>89</v>
      </c>
      <c r="C24" s="2" t="s">
        <v>90</v>
      </c>
      <c r="D24" s="2" t="s">
        <v>82</v>
      </c>
      <c r="E24" s="2" t="s">
        <v>68</v>
      </c>
      <c r="F24" s="2" t="s">
        <v>69</v>
      </c>
      <c r="G24" s="2" t="s">
        <v>73</v>
      </c>
      <c r="H24" s="2" t="n">
        <v>32</v>
      </c>
      <c r="I24" s="2" t="s">
        <v>91</v>
      </c>
      <c r="J24" s="2" t="s">
        <v>92</v>
      </c>
      <c r="K24" s="6" t="n">
        <v>44977</v>
      </c>
      <c r="L24" s="6" t="n">
        <v>46802</v>
      </c>
      <c r="M24" s="2" t="s">
        <v>983</v>
      </c>
      <c r="N24" s="2" t="s">
        <v>74</v>
      </c>
      <c r="O24" s="6" t="n">
        <v>44945.4898602199</v>
      </c>
      <c r="P24" s="2"/>
    </row>
    <row r="25" customFormat="false" ht="15" hidden="false" customHeight="false" outlineLevel="0" collapsed="false">
      <c r="A25" s="2" t="s">
        <v>719</v>
      </c>
      <c r="B25" s="2" t="s">
        <v>720</v>
      </c>
      <c r="C25" s="2" t="s">
        <v>721</v>
      </c>
      <c r="D25" s="2" t="s">
        <v>289</v>
      </c>
      <c r="E25" s="2" t="s">
        <v>635</v>
      </c>
      <c r="F25" s="2" t="s">
        <v>636</v>
      </c>
      <c r="G25" s="2" t="s">
        <v>73</v>
      </c>
      <c r="H25" s="2" t="n">
        <v>30</v>
      </c>
      <c r="I25" s="2" t="s">
        <v>91</v>
      </c>
      <c r="J25" s="2" t="s">
        <v>95</v>
      </c>
      <c r="K25" s="6" t="n">
        <v>45091</v>
      </c>
      <c r="L25" s="6" t="n">
        <v>46917</v>
      </c>
      <c r="M25" s="2" t="s">
        <v>983</v>
      </c>
      <c r="N25" s="2" t="s">
        <v>74</v>
      </c>
      <c r="O25" s="6" t="n">
        <v>45062</v>
      </c>
      <c r="P25" s="2"/>
    </row>
    <row r="26" customFormat="false" ht="15" hidden="false" customHeight="false" outlineLevel="0" collapsed="false">
      <c r="A26" s="2" t="s">
        <v>491</v>
      </c>
      <c r="B26" s="2" t="s">
        <v>492</v>
      </c>
      <c r="C26" s="2" t="s">
        <v>493</v>
      </c>
      <c r="D26" s="2" t="s">
        <v>82</v>
      </c>
      <c r="E26" s="2" t="s">
        <v>473</v>
      </c>
      <c r="F26" s="2" t="s">
        <v>474</v>
      </c>
      <c r="G26" s="2" t="s">
        <v>73</v>
      </c>
      <c r="H26" s="2" t="n">
        <v>86</v>
      </c>
      <c r="I26" s="2" t="s">
        <v>70</v>
      </c>
      <c r="J26" s="2" t="s">
        <v>71</v>
      </c>
      <c r="K26" s="6" t="n">
        <v>45111</v>
      </c>
      <c r="L26" s="6" t="n">
        <v>46937</v>
      </c>
      <c r="M26" s="2" t="s">
        <v>983</v>
      </c>
      <c r="N26" s="2" t="s">
        <v>74</v>
      </c>
      <c r="O26" s="6" t="n">
        <v>45078.4572454861</v>
      </c>
      <c r="P26" s="2"/>
    </row>
    <row r="27" customFormat="false" ht="15" hidden="false" customHeight="false" outlineLevel="0" collapsed="false">
      <c r="A27" s="2" t="s">
        <v>725</v>
      </c>
      <c r="B27" s="2" t="s">
        <v>726</v>
      </c>
      <c r="C27" s="2" t="s">
        <v>727</v>
      </c>
      <c r="D27" s="2" t="s">
        <v>289</v>
      </c>
      <c r="E27" s="2" t="s">
        <v>635</v>
      </c>
      <c r="F27" s="2" t="s">
        <v>406</v>
      </c>
      <c r="G27" s="2" t="s">
        <v>73</v>
      </c>
      <c r="H27" s="2" t="n">
        <v>29</v>
      </c>
      <c r="I27" s="2" t="s">
        <v>91</v>
      </c>
      <c r="J27" s="2" t="s">
        <v>95</v>
      </c>
      <c r="K27" s="6" t="n">
        <v>45119</v>
      </c>
      <c r="L27" s="6" t="n">
        <v>46945</v>
      </c>
      <c r="M27" s="2" t="s">
        <v>983</v>
      </c>
      <c r="N27" s="2" t="s">
        <v>74</v>
      </c>
      <c r="O27" s="6" t="n">
        <v>45090</v>
      </c>
      <c r="P27" s="2"/>
    </row>
    <row r="28" customFormat="false" ht="15" hidden="false" customHeight="false" outlineLevel="0" collapsed="false">
      <c r="A28" s="2" t="s">
        <v>622</v>
      </c>
      <c r="B28" s="2" t="s">
        <v>623</v>
      </c>
      <c r="C28" s="2" t="s">
        <v>624</v>
      </c>
      <c r="D28" s="2" t="s">
        <v>82</v>
      </c>
      <c r="E28" s="2" t="s">
        <v>473</v>
      </c>
      <c r="F28" s="2" t="s">
        <v>406</v>
      </c>
      <c r="G28" s="2" t="s">
        <v>119</v>
      </c>
      <c r="H28" s="2" t="n">
        <v>4</v>
      </c>
      <c r="I28" s="2" t="s">
        <v>145</v>
      </c>
      <c r="J28" s="2" t="s">
        <v>95</v>
      </c>
      <c r="K28" s="6" t="n">
        <v>45154</v>
      </c>
      <c r="L28" s="6" t="n">
        <v>46980</v>
      </c>
      <c r="M28" s="2" t="s">
        <v>983</v>
      </c>
      <c r="N28" s="2" t="s">
        <v>74</v>
      </c>
      <c r="O28" s="6" t="n">
        <v>45125.4528006945</v>
      </c>
      <c r="P28" s="2"/>
    </row>
    <row r="29" customFormat="false" ht="15" hidden="false" customHeight="false" outlineLevel="0" collapsed="false">
      <c r="A29" s="2" t="s">
        <v>739</v>
      </c>
      <c r="B29" s="2" t="s">
        <v>740</v>
      </c>
      <c r="C29" s="2" t="s">
        <v>741</v>
      </c>
      <c r="D29" s="2" t="s">
        <v>82</v>
      </c>
      <c r="E29" s="2" t="s">
        <v>635</v>
      </c>
      <c r="F29" s="2" t="s">
        <v>406</v>
      </c>
      <c r="G29" s="2" t="s">
        <v>73</v>
      </c>
      <c r="H29" s="2" t="n">
        <v>24</v>
      </c>
      <c r="I29" s="2" t="s">
        <v>118</v>
      </c>
      <c r="J29" s="2" t="s">
        <v>95</v>
      </c>
      <c r="K29" s="6" t="n">
        <v>45182</v>
      </c>
      <c r="L29" s="6" t="n">
        <v>47008</v>
      </c>
      <c r="M29" s="2" t="s">
        <v>983</v>
      </c>
      <c r="N29" s="2" t="s">
        <v>74</v>
      </c>
      <c r="O29" s="6" t="n">
        <v>45153.4147362616</v>
      </c>
      <c r="P29" s="2" t="s">
        <v>165</v>
      </c>
    </row>
    <row r="30" customFormat="false" ht="15" hidden="false" customHeight="false" outlineLevel="0" collapsed="false">
      <c r="A30" s="2" t="s">
        <v>576</v>
      </c>
      <c r="B30" s="2" t="s">
        <v>482</v>
      </c>
      <c r="C30" s="2" t="s">
        <v>577</v>
      </c>
      <c r="D30" s="2" t="s">
        <v>82</v>
      </c>
      <c r="E30" s="2" t="s">
        <v>473</v>
      </c>
      <c r="F30" s="2" t="s">
        <v>474</v>
      </c>
      <c r="G30" s="2" t="s">
        <v>73</v>
      </c>
      <c r="H30" s="2" t="n">
        <v>12</v>
      </c>
      <c r="I30" s="2" t="s">
        <v>118</v>
      </c>
      <c r="J30" s="2" t="s">
        <v>83</v>
      </c>
      <c r="K30" s="6" t="n">
        <v>45202</v>
      </c>
      <c r="L30" s="6" t="n">
        <v>47028</v>
      </c>
      <c r="M30" s="2" t="s">
        <v>984</v>
      </c>
      <c r="N30" s="2" t="s">
        <v>74</v>
      </c>
      <c r="O30" s="6" t="n">
        <v>45169.451518831</v>
      </c>
      <c r="P30" s="2"/>
    </row>
    <row r="31" customFormat="false" ht="15" hidden="false" customHeight="false" outlineLevel="0" collapsed="false">
      <c r="A31" s="2" t="s">
        <v>247</v>
      </c>
      <c r="B31" s="2" t="s">
        <v>204</v>
      </c>
      <c r="C31" s="2" t="s">
        <v>248</v>
      </c>
      <c r="D31" s="2" t="s">
        <v>184</v>
      </c>
      <c r="E31" s="2" t="s">
        <v>164</v>
      </c>
      <c r="F31" s="2" t="s">
        <v>69</v>
      </c>
      <c r="G31" s="2" t="s">
        <v>73</v>
      </c>
      <c r="H31" s="2" t="n">
        <v>7</v>
      </c>
      <c r="I31" s="2" t="s">
        <v>145</v>
      </c>
      <c r="J31" s="2" t="s">
        <v>83</v>
      </c>
      <c r="K31" s="6" t="n">
        <v>45868</v>
      </c>
      <c r="L31" s="6" t="n">
        <v>47042</v>
      </c>
      <c r="M31" s="2" t="s">
        <v>984</v>
      </c>
      <c r="N31" s="2" t="s">
        <v>74</v>
      </c>
      <c r="O31" s="6" t="n">
        <v>45845.3652574421</v>
      </c>
      <c r="P31" s="2"/>
    </row>
    <row r="32" customFormat="false" ht="15" hidden="false" customHeight="false" outlineLevel="0" collapsed="false">
      <c r="A32" s="2" t="s">
        <v>126</v>
      </c>
      <c r="B32" s="2" t="s">
        <v>127</v>
      </c>
      <c r="C32" s="2" t="s">
        <v>128</v>
      </c>
      <c r="D32" s="2" t="s">
        <v>82</v>
      </c>
      <c r="E32" s="2" t="s">
        <v>68</v>
      </c>
      <c r="F32" s="2" t="s">
        <v>69</v>
      </c>
      <c r="G32" s="2" t="s">
        <v>73</v>
      </c>
      <c r="H32" s="2" t="n">
        <v>14</v>
      </c>
      <c r="I32" s="2" t="s">
        <v>118</v>
      </c>
      <c r="J32" s="2" t="s">
        <v>95</v>
      </c>
      <c r="K32" s="6" t="n">
        <v>44148</v>
      </c>
      <c r="L32" s="6" t="n">
        <v>47070</v>
      </c>
      <c r="M32" s="2" t="s">
        <v>984</v>
      </c>
      <c r="N32" s="2" t="s">
        <v>74</v>
      </c>
      <c r="O32" s="6" t="n">
        <v>44153.4441989236</v>
      </c>
      <c r="P32" s="2"/>
    </row>
    <row r="33" customFormat="false" ht="15" hidden="false" customHeight="false" outlineLevel="0" collapsed="false">
      <c r="A33" s="2" t="s">
        <v>698</v>
      </c>
      <c r="B33" s="2" t="s">
        <v>699</v>
      </c>
      <c r="C33" s="2" t="s">
        <v>700</v>
      </c>
      <c r="D33" s="2" t="s">
        <v>681</v>
      </c>
      <c r="E33" s="2" t="s">
        <v>635</v>
      </c>
      <c r="F33" s="2" t="s">
        <v>69</v>
      </c>
      <c r="G33" s="2" t="s">
        <v>73</v>
      </c>
      <c r="H33" s="2" t="n">
        <v>41</v>
      </c>
      <c r="I33" s="2" t="s">
        <v>91</v>
      </c>
      <c r="J33" s="2" t="s">
        <v>83</v>
      </c>
      <c r="K33" s="6" t="n">
        <v>45245</v>
      </c>
      <c r="L33" s="6" t="n">
        <v>47071</v>
      </c>
      <c r="M33" s="2" t="s">
        <v>984</v>
      </c>
      <c r="N33" s="2" t="s">
        <v>84</v>
      </c>
      <c r="O33" s="6" t="n">
        <v>45831.3737283218</v>
      </c>
      <c r="P33" s="2"/>
    </row>
    <row r="34" customFormat="false" ht="15" hidden="false" customHeight="false" outlineLevel="0" collapsed="false">
      <c r="A34" s="2" t="s">
        <v>170</v>
      </c>
      <c r="B34" s="2" t="s">
        <v>171</v>
      </c>
      <c r="C34" s="2" t="s">
        <v>172</v>
      </c>
      <c r="D34" s="2" t="s">
        <v>82</v>
      </c>
      <c r="E34" s="2" t="s">
        <v>164</v>
      </c>
      <c r="F34" s="2" t="s">
        <v>69</v>
      </c>
      <c r="G34" s="2" t="s">
        <v>73</v>
      </c>
      <c r="H34" s="2" t="n">
        <v>32</v>
      </c>
      <c r="I34" s="2" t="s">
        <v>91</v>
      </c>
      <c r="J34" s="2" t="s">
        <v>83</v>
      </c>
      <c r="K34" s="6" t="n">
        <v>44161</v>
      </c>
      <c r="L34" s="6" t="n">
        <v>47082</v>
      </c>
      <c r="M34" s="2" t="s">
        <v>984</v>
      </c>
      <c r="N34" s="2" t="s">
        <v>173</v>
      </c>
      <c r="O34" s="6" t="n">
        <v>45212.6117243403</v>
      </c>
      <c r="P34" s="2" t="s">
        <v>174</v>
      </c>
    </row>
    <row r="35" customFormat="false" ht="15" hidden="false" customHeight="false" outlineLevel="0" collapsed="false">
      <c r="A35" s="2" t="s">
        <v>763</v>
      </c>
      <c r="B35" s="2" t="s">
        <v>764</v>
      </c>
      <c r="C35" s="2" t="s">
        <v>765</v>
      </c>
      <c r="D35" s="2" t="s">
        <v>648</v>
      </c>
      <c r="E35" s="2" t="s">
        <v>635</v>
      </c>
      <c r="F35" s="2" t="s">
        <v>636</v>
      </c>
      <c r="G35" s="2" t="s">
        <v>73</v>
      </c>
      <c r="H35" s="2" t="n">
        <v>21</v>
      </c>
      <c r="I35" s="2" t="s">
        <v>118</v>
      </c>
      <c r="J35" s="2" t="s">
        <v>83</v>
      </c>
      <c r="K35" s="6" t="n">
        <v>45313</v>
      </c>
      <c r="L35" s="6" t="n">
        <v>47139</v>
      </c>
      <c r="M35" s="2" t="s">
        <v>984</v>
      </c>
      <c r="N35" s="2" t="s">
        <v>74</v>
      </c>
      <c r="O35" s="6" t="n">
        <v>45316</v>
      </c>
      <c r="P35" s="2"/>
    </row>
    <row r="36" customFormat="false" ht="15" hidden="false" customHeight="false" outlineLevel="0" collapsed="false">
      <c r="A36" s="2" t="s">
        <v>840</v>
      </c>
      <c r="B36" s="2" t="s">
        <v>666</v>
      </c>
      <c r="C36" s="2" t="s">
        <v>841</v>
      </c>
      <c r="D36" s="2" t="s">
        <v>648</v>
      </c>
      <c r="E36" s="2" t="s">
        <v>635</v>
      </c>
      <c r="F36" s="2" t="s">
        <v>636</v>
      </c>
      <c r="G36" s="2" t="s">
        <v>73</v>
      </c>
      <c r="H36" s="2" t="n">
        <v>0</v>
      </c>
      <c r="I36" s="2" t="s">
        <v>92</v>
      </c>
      <c r="J36" s="2" t="s">
        <v>83</v>
      </c>
      <c r="K36" s="6" t="n">
        <v>43200</v>
      </c>
      <c r="L36" s="6" t="n">
        <v>47189</v>
      </c>
      <c r="M36" s="2" t="s">
        <v>984</v>
      </c>
      <c r="N36" s="2" t="s">
        <v>74</v>
      </c>
      <c r="O36" s="6" t="n">
        <v>43201.6932942477</v>
      </c>
      <c r="P36" s="2"/>
    </row>
    <row r="37" customFormat="false" ht="15" hidden="false" customHeight="false" outlineLevel="0" collapsed="false">
      <c r="A37" s="2" t="s">
        <v>508</v>
      </c>
      <c r="B37" s="2" t="s">
        <v>509</v>
      </c>
      <c r="C37" s="2" t="s">
        <v>510</v>
      </c>
      <c r="D37" s="2" t="s">
        <v>82</v>
      </c>
      <c r="E37" s="2" t="s">
        <v>473</v>
      </c>
      <c r="F37" s="2" t="s">
        <v>474</v>
      </c>
      <c r="G37" s="2" t="s">
        <v>73</v>
      </c>
      <c r="H37" s="2" t="n">
        <v>31</v>
      </c>
      <c r="I37" s="2" t="s">
        <v>91</v>
      </c>
      <c r="J37" s="2" t="s">
        <v>297</v>
      </c>
      <c r="K37" s="6" t="n">
        <v>44270</v>
      </c>
      <c r="L37" s="6" t="n">
        <v>47190</v>
      </c>
      <c r="M37" s="2" t="s">
        <v>984</v>
      </c>
      <c r="N37" s="2" t="s">
        <v>173</v>
      </c>
      <c r="O37" s="6" t="n">
        <v>44799.4114971412</v>
      </c>
      <c r="P37" s="2" t="s">
        <v>174</v>
      </c>
    </row>
    <row r="38" customFormat="false" ht="15" hidden="false" customHeight="false" outlineLevel="0" collapsed="false">
      <c r="A38" s="2" t="s">
        <v>481</v>
      </c>
      <c r="B38" s="2" t="s">
        <v>482</v>
      </c>
      <c r="C38" s="2" t="s">
        <v>483</v>
      </c>
      <c r="D38" s="2" t="s">
        <v>82</v>
      </c>
      <c r="E38" s="2" t="s">
        <v>473</v>
      </c>
      <c r="F38" s="2" t="s">
        <v>474</v>
      </c>
      <c r="G38" s="2" t="s">
        <v>73</v>
      </c>
      <c r="H38" s="2" t="n">
        <v>99</v>
      </c>
      <c r="I38" s="2" t="s">
        <v>70</v>
      </c>
      <c r="J38" s="2" t="s">
        <v>71</v>
      </c>
      <c r="K38" s="6" t="n">
        <v>45390</v>
      </c>
      <c r="L38" s="6" t="n">
        <v>47215</v>
      </c>
      <c r="M38" s="2" t="s">
        <v>984</v>
      </c>
      <c r="N38" s="2" t="s">
        <v>74</v>
      </c>
      <c r="O38" s="6" t="n">
        <v>45425.223790162</v>
      </c>
      <c r="P38" s="2"/>
    </row>
    <row r="39" customFormat="false" ht="15" hidden="false" customHeight="false" outlineLevel="0" collapsed="false">
      <c r="A39" s="2" t="s">
        <v>160</v>
      </c>
      <c r="B39" s="2" t="s">
        <v>161</v>
      </c>
      <c r="C39" s="2" t="s">
        <v>162</v>
      </c>
      <c r="D39" s="2" t="s">
        <v>163</v>
      </c>
      <c r="E39" s="2" t="s">
        <v>164</v>
      </c>
      <c r="F39" s="2" t="s">
        <v>69</v>
      </c>
      <c r="G39" s="2" t="s">
        <v>73</v>
      </c>
      <c r="H39" s="2" t="n">
        <v>74</v>
      </c>
      <c r="I39" s="2" t="s">
        <v>70</v>
      </c>
      <c r="J39" s="2" t="s">
        <v>83</v>
      </c>
      <c r="K39" s="6" t="n">
        <v>45419</v>
      </c>
      <c r="L39" s="6" t="n">
        <v>47244</v>
      </c>
      <c r="M39" s="2" t="s">
        <v>984</v>
      </c>
      <c r="N39" s="2" t="s">
        <v>74</v>
      </c>
      <c r="O39" s="6" t="n">
        <v>45532.3781452546</v>
      </c>
      <c r="P39" s="2" t="s">
        <v>165</v>
      </c>
    </row>
    <row r="40" customFormat="false" ht="15" hidden="false" customHeight="false" outlineLevel="0" collapsed="false">
      <c r="A40" s="2" t="s">
        <v>876</v>
      </c>
      <c r="B40" s="2" t="s">
        <v>877</v>
      </c>
      <c r="C40" s="2" t="s">
        <v>878</v>
      </c>
      <c r="D40" s="2" t="s">
        <v>850</v>
      </c>
      <c r="E40" s="2" t="s">
        <v>850</v>
      </c>
      <c r="F40" s="2" t="s">
        <v>69</v>
      </c>
      <c r="G40" s="2" t="s">
        <v>73</v>
      </c>
      <c r="H40" s="2" t="n">
        <v>14</v>
      </c>
      <c r="I40" s="2" t="s">
        <v>118</v>
      </c>
      <c r="J40" s="2" t="s">
        <v>83</v>
      </c>
      <c r="K40" s="6" t="n">
        <v>45427</v>
      </c>
      <c r="L40" s="6" t="n">
        <v>47252</v>
      </c>
      <c r="M40" s="2" t="s">
        <v>984</v>
      </c>
      <c r="N40" s="2" t="s">
        <v>74</v>
      </c>
      <c r="O40" s="6" t="n">
        <v>45398.408582257</v>
      </c>
      <c r="P40" s="2"/>
    </row>
    <row r="41" customFormat="false" ht="15" hidden="false" customHeight="false" outlineLevel="0" collapsed="false">
      <c r="A41" s="2" t="s">
        <v>728</v>
      </c>
      <c r="B41" s="2" t="s">
        <v>729</v>
      </c>
      <c r="C41" s="2" t="s">
        <v>730</v>
      </c>
      <c r="D41" s="2" t="s">
        <v>82</v>
      </c>
      <c r="E41" s="2" t="s">
        <v>635</v>
      </c>
      <c r="F41" s="2" t="s">
        <v>406</v>
      </c>
      <c r="G41" s="2" t="s">
        <v>73</v>
      </c>
      <c r="H41" s="2" t="n">
        <v>25</v>
      </c>
      <c r="I41" s="2" t="s">
        <v>91</v>
      </c>
      <c r="J41" s="2" t="s">
        <v>297</v>
      </c>
      <c r="K41" s="6" t="n">
        <v>45442</v>
      </c>
      <c r="L41" s="6" t="n">
        <v>47267</v>
      </c>
      <c r="M41" s="2" t="s">
        <v>984</v>
      </c>
      <c r="N41" s="2" t="s">
        <v>74</v>
      </c>
      <c r="O41" s="6" t="n">
        <v>45450.297363044</v>
      </c>
      <c r="P41" s="2"/>
    </row>
    <row r="42" customFormat="false" ht="15" hidden="false" customHeight="false" outlineLevel="0" collapsed="false">
      <c r="A42" s="2" t="s">
        <v>157</v>
      </c>
      <c r="B42" s="2" t="s">
        <v>158</v>
      </c>
      <c r="C42" s="2" t="s">
        <v>159</v>
      </c>
      <c r="D42" s="2" t="s">
        <v>82</v>
      </c>
      <c r="E42" s="2" t="s">
        <v>68</v>
      </c>
      <c r="F42" s="2" t="s">
        <v>69</v>
      </c>
      <c r="G42" s="2" t="s">
        <v>73</v>
      </c>
      <c r="H42" s="2" t="n">
        <v>3</v>
      </c>
      <c r="I42" s="2" t="s">
        <v>145</v>
      </c>
      <c r="J42" s="2" t="s">
        <v>83</v>
      </c>
      <c r="K42" s="6" t="n">
        <v>45475</v>
      </c>
      <c r="L42" s="6" t="n">
        <v>47300</v>
      </c>
      <c r="M42" s="2" t="s">
        <v>984</v>
      </c>
      <c r="N42" s="2" t="s">
        <v>74</v>
      </c>
      <c r="O42" s="6" t="n">
        <v>45443.3947533218</v>
      </c>
      <c r="P42" s="2"/>
    </row>
    <row r="43" customFormat="false" ht="15" hidden="false" customHeight="false" outlineLevel="0" collapsed="false">
      <c r="A43" s="2" t="s">
        <v>858</v>
      </c>
      <c r="B43" s="2" t="s">
        <v>859</v>
      </c>
      <c r="C43" s="2" t="s">
        <v>860</v>
      </c>
      <c r="D43" s="2" t="s">
        <v>850</v>
      </c>
      <c r="E43" s="2" t="s">
        <v>850</v>
      </c>
      <c r="F43" s="2" t="s">
        <v>69</v>
      </c>
      <c r="G43" s="2" t="s">
        <v>73</v>
      </c>
      <c r="H43" s="2" t="n">
        <v>53</v>
      </c>
      <c r="I43" s="2" t="s">
        <v>70</v>
      </c>
      <c r="J43" s="2" t="s">
        <v>83</v>
      </c>
      <c r="K43" s="6" t="n">
        <v>45482</v>
      </c>
      <c r="L43" s="6" t="n">
        <v>47307</v>
      </c>
      <c r="M43" s="2" t="s">
        <v>984</v>
      </c>
      <c r="N43" s="2" t="s">
        <v>173</v>
      </c>
      <c r="O43" s="6" t="n">
        <v>45554.4933328704</v>
      </c>
      <c r="P43" s="2" t="s">
        <v>174</v>
      </c>
    </row>
    <row r="44" customFormat="false" ht="15" hidden="false" customHeight="false" outlineLevel="0" collapsed="false">
      <c r="A44" s="2" t="s">
        <v>756</v>
      </c>
      <c r="B44" s="2" t="s">
        <v>757</v>
      </c>
      <c r="C44" s="2" t="s">
        <v>758</v>
      </c>
      <c r="D44" s="2" t="s">
        <v>289</v>
      </c>
      <c r="E44" s="2" t="s">
        <v>635</v>
      </c>
      <c r="F44" s="2" t="s">
        <v>406</v>
      </c>
      <c r="G44" s="2" t="s">
        <v>73</v>
      </c>
      <c r="H44" s="2" t="n">
        <v>21</v>
      </c>
      <c r="I44" s="2" t="s">
        <v>118</v>
      </c>
      <c r="J44" s="2" t="s">
        <v>95</v>
      </c>
      <c r="K44" s="6" t="n">
        <v>45482</v>
      </c>
      <c r="L44" s="6" t="n">
        <v>47307</v>
      </c>
      <c r="M44" s="2" t="s">
        <v>984</v>
      </c>
      <c r="N44" s="2" t="s">
        <v>74</v>
      </c>
      <c r="O44" s="6" t="n">
        <v>45162.4339488426</v>
      </c>
      <c r="P44" s="2"/>
    </row>
    <row r="45" customFormat="false" ht="15" hidden="false" customHeight="false" outlineLevel="0" collapsed="false">
      <c r="A45" s="2" t="s">
        <v>800</v>
      </c>
      <c r="B45" s="2" t="s">
        <v>801</v>
      </c>
      <c r="C45" s="2" t="s">
        <v>802</v>
      </c>
      <c r="D45" s="2" t="s">
        <v>82</v>
      </c>
      <c r="E45" s="2" t="s">
        <v>635</v>
      </c>
      <c r="F45" s="2" t="s">
        <v>406</v>
      </c>
      <c r="G45" s="2" t="s">
        <v>73</v>
      </c>
      <c r="H45" s="2" t="n">
        <v>8</v>
      </c>
      <c r="I45" s="2" t="s">
        <v>145</v>
      </c>
      <c r="J45" s="2" t="s">
        <v>95</v>
      </c>
      <c r="K45" s="6" t="n">
        <v>45490</v>
      </c>
      <c r="L45" s="6" t="n">
        <v>47315</v>
      </c>
      <c r="M45" s="2" t="s">
        <v>984</v>
      </c>
      <c r="N45" s="2" t="s">
        <v>74</v>
      </c>
      <c r="O45" s="6" t="n">
        <v>45461.4422104977</v>
      </c>
      <c r="P45" s="2"/>
    </row>
    <row r="46" customFormat="false" ht="15" hidden="false" customHeight="false" outlineLevel="0" collapsed="false">
      <c r="A46" s="2" t="s">
        <v>583</v>
      </c>
      <c r="B46" s="2" t="s">
        <v>570</v>
      </c>
      <c r="C46" s="2" t="s">
        <v>584</v>
      </c>
      <c r="D46" s="2" t="s">
        <v>82</v>
      </c>
      <c r="E46" s="2" t="s">
        <v>473</v>
      </c>
      <c r="F46" s="2" t="s">
        <v>355</v>
      </c>
      <c r="G46" s="2" t="s">
        <v>73</v>
      </c>
      <c r="H46" s="2" t="n">
        <v>8</v>
      </c>
      <c r="I46" s="2" t="s">
        <v>145</v>
      </c>
      <c r="J46" s="2" t="s">
        <v>95</v>
      </c>
      <c r="K46" s="6" t="n">
        <v>45490</v>
      </c>
      <c r="L46" s="6" t="n">
        <v>47315</v>
      </c>
      <c r="M46" s="2" t="s">
        <v>984</v>
      </c>
      <c r="N46" s="2" t="s">
        <v>74</v>
      </c>
      <c r="O46" s="6" t="n">
        <v>45461.4429717245</v>
      </c>
      <c r="P46" s="2"/>
    </row>
    <row r="47" customFormat="false" ht="15" hidden="false" customHeight="false" outlineLevel="0" collapsed="false">
      <c r="A47" s="2" t="s">
        <v>498</v>
      </c>
      <c r="B47" s="2" t="s">
        <v>499</v>
      </c>
      <c r="C47" s="2" t="s">
        <v>500</v>
      </c>
      <c r="D47" s="2" t="s">
        <v>82</v>
      </c>
      <c r="E47" s="2" t="s">
        <v>473</v>
      </c>
      <c r="F47" s="2" t="s">
        <v>474</v>
      </c>
      <c r="G47" s="2" t="s">
        <v>73</v>
      </c>
      <c r="H47" s="2" t="n">
        <v>46</v>
      </c>
      <c r="I47" s="2" t="s">
        <v>91</v>
      </c>
      <c r="J47" s="2" t="s">
        <v>95</v>
      </c>
      <c r="K47" s="6" t="n">
        <v>45499</v>
      </c>
      <c r="L47" s="6" t="n">
        <v>47324</v>
      </c>
      <c r="M47" s="2" t="s">
        <v>984</v>
      </c>
      <c r="N47" s="2" t="s">
        <v>74</v>
      </c>
      <c r="O47" s="6" t="n">
        <v>45505.3952739931</v>
      </c>
      <c r="P47" s="2"/>
    </row>
    <row r="48" customFormat="false" ht="15" hidden="false" customHeight="false" outlineLevel="0" collapsed="false">
      <c r="A48" s="2" t="s">
        <v>904</v>
      </c>
      <c r="B48" s="2" t="s">
        <v>905</v>
      </c>
      <c r="C48" s="2" t="s">
        <v>906</v>
      </c>
      <c r="D48" s="2" t="s">
        <v>82</v>
      </c>
      <c r="E48" s="2" t="s">
        <v>850</v>
      </c>
      <c r="F48" s="2" t="s">
        <v>69</v>
      </c>
      <c r="G48" s="2" t="s">
        <v>119</v>
      </c>
      <c r="H48" s="2" t="n">
        <v>7</v>
      </c>
      <c r="I48" s="2" t="s">
        <v>145</v>
      </c>
      <c r="J48" s="2" t="s">
        <v>83</v>
      </c>
      <c r="K48" s="6" t="n">
        <v>45520</v>
      </c>
      <c r="L48" s="6" t="n">
        <v>47345</v>
      </c>
      <c r="M48" s="2" t="s">
        <v>984</v>
      </c>
      <c r="N48" s="2" t="s">
        <v>188</v>
      </c>
      <c r="O48" s="6" t="n">
        <v>46111.3219848727</v>
      </c>
      <c r="P48" s="2"/>
    </row>
    <row r="49" customFormat="false" ht="15" hidden="false" customHeight="false" outlineLevel="0" collapsed="false">
      <c r="A49" s="2" t="s">
        <v>889</v>
      </c>
      <c r="B49" s="2" t="s">
        <v>890</v>
      </c>
      <c r="C49" s="2" t="s">
        <v>891</v>
      </c>
      <c r="D49" s="2" t="s">
        <v>82</v>
      </c>
      <c r="E49" s="2" t="s">
        <v>850</v>
      </c>
      <c r="F49" s="2" t="s">
        <v>69</v>
      </c>
      <c r="G49" s="2" t="s">
        <v>119</v>
      </c>
      <c r="H49" s="2" t="n">
        <v>10</v>
      </c>
      <c r="I49" s="2" t="s">
        <v>118</v>
      </c>
      <c r="J49" s="2" t="s">
        <v>83</v>
      </c>
      <c r="K49" s="6" t="n">
        <v>45537</v>
      </c>
      <c r="L49" s="6" t="n">
        <v>47362</v>
      </c>
      <c r="M49" s="2" t="s">
        <v>984</v>
      </c>
      <c r="N49" s="2" t="s">
        <v>188</v>
      </c>
      <c r="O49" s="6" t="n">
        <v>46136.4837268866</v>
      </c>
      <c r="P49" s="2"/>
    </row>
    <row r="50" customFormat="false" ht="15" hidden="false" customHeight="false" outlineLevel="0" collapsed="false">
      <c r="A50" s="2" t="s">
        <v>496</v>
      </c>
      <c r="B50" s="2" t="s">
        <v>482</v>
      </c>
      <c r="C50" s="2" t="s">
        <v>497</v>
      </c>
      <c r="D50" s="2" t="s">
        <v>82</v>
      </c>
      <c r="E50" s="2" t="s">
        <v>473</v>
      </c>
      <c r="F50" s="2" t="s">
        <v>474</v>
      </c>
      <c r="G50" s="2" t="s">
        <v>73</v>
      </c>
      <c r="H50" s="2" t="n">
        <v>54</v>
      </c>
      <c r="I50" s="2" t="s">
        <v>70</v>
      </c>
      <c r="J50" s="2" t="s">
        <v>83</v>
      </c>
      <c r="K50" s="6" t="n">
        <v>45583</v>
      </c>
      <c r="L50" s="6" t="n">
        <v>47408</v>
      </c>
      <c r="M50" s="2" t="s">
        <v>985</v>
      </c>
      <c r="N50" s="2" t="s">
        <v>74</v>
      </c>
      <c r="O50" s="6" t="n">
        <v>45589.4015884607</v>
      </c>
      <c r="P50" s="2"/>
    </row>
    <row r="51" customFormat="false" ht="15" hidden="false" customHeight="false" outlineLevel="0" collapsed="false">
      <c r="A51" s="2" t="s">
        <v>486</v>
      </c>
      <c r="B51" s="2" t="s">
        <v>482</v>
      </c>
      <c r="C51" s="2" t="s">
        <v>487</v>
      </c>
      <c r="D51" s="2" t="s">
        <v>82</v>
      </c>
      <c r="E51" s="2" t="s">
        <v>473</v>
      </c>
      <c r="F51" s="2" t="s">
        <v>474</v>
      </c>
      <c r="G51" s="2" t="s">
        <v>73</v>
      </c>
      <c r="H51" s="2" t="n">
        <v>98</v>
      </c>
      <c r="I51" s="2" t="s">
        <v>70</v>
      </c>
      <c r="J51" s="2" t="s">
        <v>83</v>
      </c>
      <c r="K51" s="6" t="n">
        <v>45617</v>
      </c>
      <c r="L51" s="6" t="n">
        <v>47442</v>
      </c>
      <c r="M51" s="2" t="s">
        <v>985</v>
      </c>
      <c r="N51" s="2" t="s">
        <v>74</v>
      </c>
      <c r="O51" s="6" t="n">
        <v>45624.4321619213</v>
      </c>
      <c r="P51" s="2"/>
    </row>
    <row r="52" customFormat="false" ht="15" hidden="false" customHeight="false" outlineLevel="0" collapsed="false">
      <c r="A52" s="2" t="s">
        <v>140</v>
      </c>
      <c r="B52" s="2"/>
      <c r="C52" s="2" t="s">
        <v>141</v>
      </c>
      <c r="D52" s="2" t="s">
        <v>132</v>
      </c>
      <c r="E52" s="2" t="s">
        <v>68</v>
      </c>
      <c r="F52" s="2" t="s">
        <v>69</v>
      </c>
      <c r="G52" s="2" t="s">
        <v>73</v>
      </c>
      <c r="H52" s="2" t="n">
        <v>10</v>
      </c>
      <c r="I52" s="2" t="s">
        <v>118</v>
      </c>
      <c r="J52" s="2" t="s">
        <v>83</v>
      </c>
      <c r="K52" s="6" t="n">
        <v>45672</v>
      </c>
      <c r="L52" s="6" t="n">
        <v>47497</v>
      </c>
      <c r="M52" s="2" t="s">
        <v>985</v>
      </c>
      <c r="N52" s="2" t="s">
        <v>74</v>
      </c>
      <c r="O52" s="2"/>
      <c r="P52" s="2"/>
    </row>
    <row r="53" customFormat="false" ht="15" hidden="false" customHeight="false" outlineLevel="0" collapsed="false">
      <c r="A53" s="2" t="s">
        <v>701</v>
      </c>
      <c r="B53" s="2" t="s">
        <v>702</v>
      </c>
      <c r="C53" s="2" t="s">
        <v>703</v>
      </c>
      <c r="D53" s="2" t="s">
        <v>289</v>
      </c>
      <c r="E53" s="2" t="s">
        <v>635</v>
      </c>
      <c r="F53" s="2" t="s">
        <v>406</v>
      </c>
      <c r="G53" s="2" t="s">
        <v>73</v>
      </c>
      <c r="H53" s="2" t="n">
        <v>40</v>
      </c>
      <c r="I53" s="2" t="s">
        <v>91</v>
      </c>
      <c r="J53" s="2" t="s">
        <v>95</v>
      </c>
      <c r="K53" s="6" t="n">
        <v>45694</v>
      </c>
      <c r="L53" s="6" t="n">
        <v>47519</v>
      </c>
      <c r="M53" s="2" t="s">
        <v>985</v>
      </c>
      <c r="N53" s="2" t="s">
        <v>74</v>
      </c>
      <c r="O53" s="6" t="n">
        <v>45695.4693575232</v>
      </c>
      <c r="P53" s="2"/>
    </row>
    <row r="54" customFormat="false" ht="15" hidden="false" customHeight="false" outlineLevel="0" collapsed="false">
      <c r="A54" s="2" t="s">
        <v>63</v>
      </c>
      <c r="B54" s="2" t="s">
        <v>65</v>
      </c>
      <c r="C54" s="2" t="s">
        <v>66</v>
      </c>
      <c r="D54" s="2" t="s">
        <v>67</v>
      </c>
      <c r="E54" s="2" t="s">
        <v>68</v>
      </c>
      <c r="F54" s="2" t="s">
        <v>69</v>
      </c>
      <c r="G54" s="2" t="s">
        <v>73</v>
      </c>
      <c r="H54" s="2" t="n">
        <v>99</v>
      </c>
      <c r="I54" s="2" t="s">
        <v>70</v>
      </c>
      <c r="J54" s="2" t="s">
        <v>71</v>
      </c>
      <c r="K54" s="6" t="n">
        <v>45713</v>
      </c>
      <c r="L54" s="6" t="n">
        <v>47538</v>
      </c>
      <c r="M54" s="2" t="s">
        <v>985</v>
      </c>
      <c r="N54" s="2" t="s">
        <v>74</v>
      </c>
      <c r="O54" s="6" t="n">
        <v>45723.6213548958</v>
      </c>
      <c r="P54" s="2"/>
    </row>
    <row r="55" customFormat="false" ht="15" hidden="false" customHeight="false" outlineLevel="0" collapsed="false">
      <c r="A55" s="2" t="s">
        <v>398</v>
      </c>
      <c r="B55" s="2" t="s">
        <v>363</v>
      </c>
      <c r="C55" s="2" t="s">
        <v>399</v>
      </c>
      <c r="D55" s="2" t="s">
        <v>343</v>
      </c>
      <c r="E55" s="2" t="s">
        <v>290</v>
      </c>
      <c r="F55" s="2" t="s">
        <v>69</v>
      </c>
      <c r="G55" s="2" t="s">
        <v>73</v>
      </c>
      <c r="H55" s="2" t="n">
        <v>14</v>
      </c>
      <c r="I55" s="2" t="s">
        <v>118</v>
      </c>
      <c r="J55" s="2" t="s">
        <v>83</v>
      </c>
      <c r="K55" s="6" t="n">
        <v>45728</v>
      </c>
      <c r="L55" s="6" t="n">
        <v>47553</v>
      </c>
      <c r="M55" s="2" t="s">
        <v>985</v>
      </c>
      <c r="N55" s="2" t="s">
        <v>74</v>
      </c>
      <c r="O55" s="6" t="n">
        <v>45740.395778125</v>
      </c>
      <c r="P55" s="2"/>
    </row>
    <row r="56" customFormat="false" ht="15" hidden="false" customHeight="false" outlineLevel="0" collapsed="false">
      <c r="A56" s="2" t="s">
        <v>109</v>
      </c>
      <c r="B56" s="2" t="s">
        <v>65</v>
      </c>
      <c r="C56" s="2" t="s">
        <v>110</v>
      </c>
      <c r="D56" s="2" t="s">
        <v>67</v>
      </c>
      <c r="E56" s="2" t="s">
        <v>68</v>
      </c>
      <c r="F56" s="2" t="s">
        <v>69</v>
      </c>
      <c r="G56" s="2" t="s">
        <v>73</v>
      </c>
      <c r="H56" s="2" t="n">
        <v>28</v>
      </c>
      <c r="I56" s="2" t="s">
        <v>91</v>
      </c>
      <c r="J56" s="2" t="s">
        <v>71</v>
      </c>
      <c r="K56" s="6" t="n">
        <v>45737</v>
      </c>
      <c r="L56" s="6" t="n">
        <v>47562</v>
      </c>
      <c r="M56" s="2" t="s">
        <v>985</v>
      </c>
      <c r="N56" s="2" t="s">
        <v>74</v>
      </c>
      <c r="O56" s="6" t="n">
        <v>45951.3114055903</v>
      </c>
      <c r="P56" s="2"/>
    </row>
    <row r="57" customFormat="false" ht="15" hidden="false" customHeight="false" outlineLevel="0" collapsed="false">
      <c r="A57" s="2" t="s">
        <v>113</v>
      </c>
      <c r="B57" s="2" t="s">
        <v>65</v>
      </c>
      <c r="C57" s="2" t="s">
        <v>114</v>
      </c>
      <c r="D57" s="2" t="s">
        <v>67</v>
      </c>
      <c r="E57" s="2" t="s">
        <v>68</v>
      </c>
      <c r="F57" s="2" t="s">
        <v>69</v>
      </c>
      <c r="G57" s="2" t="s">
        <v>73</v>
      </c>
      <c r="H57" s="2" t="n">
        <v>25</v>
      </c>
      <c r="I57" s="2" t="s">
        <v>91</v>
      </c>
      <c r="J57" s="2" t="s">
        <v>83</v>
      </c>
      <c r="K57" s="6" t="n">
        <v>45737</v>
      </c>
      <c r="L57" s="6" t="n">
        <v>47562</v>
      </c>
      <c r="M57" s="2" t="s">
        <v>985</v>
      </c>
      <c r="N57" s="2" t="s">
        <v>74</v>
      </c>
      <c r="O57" s="6" t="n">
        <v>45470.3860335648</v>
      </c>
      <c r="P57" s="2"/>
    </row>
    <row r="58" customFormat="false" ht="15" hidden="false" customHeight="false" outlineLevel="0" collapsed="false">
      <c r="A58" s="2" t="s">
        <v>657</v>
      </c>
      <c r="B58" s="2" t="s">
        <v>658</v>
      </c>
      <c r="C58" s="2" t="s">
        <v>659</v>
      </c>
      <c r="D58" s="2" t="s">
        <v>289</v>
      </c>
      <c r="E58" s="2" t="s">
        <v>635</v>
      </c>
      <c r="F58" s="2" t="s">
        <v>636</v>
      </c>
      <c r="G58" s="2" t="s">
        <v>73</v>
      </c>
      <c r="H58" s="2" t="n">
        <v>104</v>
      </c>
      <c r="I58" s="2" t="s">
        <v>292</v>
      </c>
      <c r="J58" s="2" t="s">
        <v>95</v>
      </c>
      <c r="K58" s="6" t="n">
        <v>45761</v>
      </c>
      <c r="L58" s="6" t="n">
        <v>47586</v>
      </c>
      <c r="M58" s="2" t="s">
        <v>985</v>
      </c>
      <c r="N58" s="2" t="s">
        <v>188</v>
      </c>
      <c r="O58" s="6" t="n">
        <v>46227.4262467245</v>
      </c>
      <c r="P58" s="2"/>
    </row>
    <row r="59" customFormat="false" ht="15" hidden="false" customHeight="false" outlineLevel="0" collapsed="false">
      <c r="A59" s="2" t="s">
        <v>560</v>
      </c>
      <c r="B59" s="2" t="s">
        <v>561</v>
      </c>
      <c r="C59" s="2" t="s">
        <v>562</v>
      </c>
      <c r="D59" s="2" t="s">
        <v>289</v>
      </c>
      <c r="E59" s="2" t="s">
        <v>473</v>
      </c>
      <c r="F59" s="2" t="s">
        <v>406</v>
      </c>
      <c r="G59" s="2" t="s">
        <v>73</v>
      </c>
      <c r="H59" s="2" t="n">
        <v>15</v>
      </c>
      <c r="I59" s="2" t="s">
        <v>118</v>
      </c>
      <c r="J59" s="2" t="s">
        <v>95</v>
      </c>
      <c r="K59" s="6" t="n">
        <v>45771</v>
      </c>
      <c r="L59" s="6" t="n">
        <v>47596</v>
      </c>
      <c r="M59" s="2" t="s">
        <v>985</v>
      </c>
      <c r="N59" s="2" t="s">
        <v>74</v>
      </c>
      <c r="O59" s="6" t="n">
        <v>45742</v>
      </c>
      <c r="P59" s="2"/>
    </row>
    <row r="60" customFormat="false" ht="15" hidden="false" customHeight="false" outlineLevel="0" collapsed="false">
      <c r="A60" s="2" t="s">
        <v>352</v>
      </c>
      <c r="B60" s="2" t="s">
        <v>353</v>
      </c>
      <c r="C60" s="2" t="s">
        <v>354</v>
      </c>
      <c r="D60" s="2" t="s">
        <v>289</v>
      </c>
      <c r="E60" s="2" t="s">
        <v>290</v>
      </c>
      <c r="F60" s="2" t="s">
        <v>355</v>
      </c>
      <c r="G60" s="2" t="s">
        <v>73</v>
      </c>
      <c r="H60" s="2" t="n">
        <v>55</v>
      </c>
      <c r="I60" s="2" t="s">
        <v>70</v>
      </c>
      <c r="J60" s="2" t="s">
        <v>71</v>
      </c>
      <c r="K60" s="6" t="n">
        <v>45790</v>
      </c>
      <c r="L60" s="6" t="n">
        <v>47615</v>
      </c>
      <c r="M60" s="2" t="s">
        <v>985</v>
      </c>
      <c r="N60" s="2" t="s">
        <v>84</v>
      </c>
      <c r="O60" s="6" t="n">
        <v>45800.3549672801</v>
      </c>
      <c r="P60" s="2"/>
    </row>
    <row r="61" customFormat="false" ht="15" hidden="false" customHeight="false" outlineLevel="0" collapsed="false">
      <c r="A61" s="2" t="s">
        <v>514</v>
      </c>
      <c r="B61" s="2" t="s">
        <v>515</v>
      </c>
      <c r="C61" s="2" t="s">
        <v>516</v>
      </c>
      <c r="D61" s="2" t="s">
        <v>289</v>
      </c>
      <c r="E61" s="2" t="s">
        <v>473</v>
      </c>
      <c r="F61" s="2" t="s">
        <v>355</v>
      </c>
      <c r="G61" s="2" t="s">
        <v>73</v>
      </c>
      <c r="H61" s="2" t="n">
        <v>30</v>
      </c>
      <c r="I61" s="2" t="s">
        <v>91</v>
      </c>
      <c r="J61" s="2" t="s">
        <v>95</v>
      </c>
      <c r="K61" s="6" t="n">
        <v>45882</v>
      </c>
      <c r="L61" s="6" t="n">
        <v>47707</v>
      </c>
      <c r="M61" s="2" t="s">
        <v>985</v>
      </c>
      <c r="N61" s="2" t="s">
        <v>74</v>
      </c>
      <c r="O61" s="6" t="n">
        <v>45868</v>
      </c>
      <c r="P61" s="2"/>
    </row>
    <row r="62" customFormat="false" ht="15" hidden="false" customHeight="false" outlineLevel="0" collapsed="false">
      <c r="A62" s="2" t="s">
        <v>709</v>
      </c>
      <c r="B62" s="2" t="s">
        <v>707</v>
      </c>
      <c r="C62" s="2" t="s">
        <v>710</v>
      </c>
      <c r="D62" s="2" t="s">
        <v>82</v>
      </c>
      <c r="E62" s="2" t="s">
        <v>635</v>
      </c>
      <c r="F62" s="2" t="s">
        <v>406</v>
      </c>
      <c r="G62" s="2" t="s">
        <v>73</v>
      </c>
      <c r="H62" s="2" t="n">
        <v>37</v>
      </c>
      <c r="I62" s="2" t="s">
        <v>91</v>
      </c>
      <c r="J62" s="2" t="s">
        <v>95</v>
      </c>
      <c r="K62" s="6" t="n">
        <v>45904</v>
      </c>
      <c r="L62" s="6" t="n">
        <v>47729</v>
      </c>
      <c r="M62" s="2" t="s">
        <v>985</v>
      </c>
      <c r="N62" s="2" t="s">
        <v>74</v>
      </c>
      <c r="O62" s="6" t="n">
        <v>46121.315244132</v>
      </c>
      <c r="P62" s="2"/>
    </row>
    <row r="63" customFormat="false" ht="15" hidden="false" customHeight="false" outlineLevel="0" collapsed="false">
      <c r="A63" s="2" t="s">
        <v>563</v>
      </c>
      <c r="B63" s="2" t="s">
        <v>564</v>
      </c>
      <c r="C63" s="2" t="s">
        <v>565</v>
      </c>
      <c r="D63" s="2" t="s">
        <v>289</v>
      </c>
      <c r="E63" s="2" t="s">
        <v>473</v>
      </c>
      <c r="F63" s="2" t="s">
        <v>537</v>
      </c>
      <c r="G63" s="2" t="s">
        <v>73</v>
      </c>
      <c r="H63" s="2" t="n">
        <v>15</v>
      </c>
      <c r="I63" s="2" t="s">
        <v>118</v>
      </c>
      <c r="J63" s="2" t="s">
        <v>83</v>
      </c>
      <c r="K63" s="6" t="n">
        <v>45918</v>
      </c>
      <c r="L63" s="6" t="n">
        <v>47743</v>
      </c>
      <c r="M63" s="2" t="s">
        <v>985</v>
      </c>
      <c r="N63" s="2" t="s">
        <v>74</v>
      </c>
      <c r="O63" s="6" t="n">
        <v>45537</v>
      </c>
      <c r="P63" s="2"/>
    </row>
    <row r="64" customFormat="false" ht="15" hidden="false" customHeight="false" outlineLevel="0" collapsed="false">
      <c r="A64" s="2" t="s">
        <v>654</v>
      </c>
      <c r="B64" s="2" t="s">
        <v>655</v>
      </c>
      <c r="C64" s="2" t="s">
        <v>656</v>
      </c>
      <c r="D64" s="2" t="s">
        <v>648</v>
      </c>
      <c r="E64" s="2" t="s">
        <v>635</v>
      </c>
      <c r="F64" s="2" t="s">
        <v>636</v>
      </c>
      <c r="G64" s="2" t="s">
        <v>73</v>
      </c>
      <c r="H64" s="2" t="n">
        <v>139</v>
      </c>
      <c r="I64" s="2" t="s">
        <v>292</v>
      </c>
      <c r="J64" s="2" t="s">
        <v>71</v>
      </c>
      <c r="K64" s="6" t="n">
        <v>45924</v>
      </c>
      <c r="L64" s="6" t="n">
        <v>47749</v>
      </c>
      <c r="M64" s="2" t="s">
        <v>985</v>
      </c>
      <c r="N64" s="2" t="s">
        <v>74</v>
      </c>
      <c r="O64" s="6" t="n">
        <v>45945.3960582176</v>
      </c>
      <c r="P64" s="2"/>
    </row>
    <row r="65" customFormat="false" ht="15" hidden="false" customHeight="false" outlineLevel="0" collapsed="false">
      <c r="A65" s="2" t="s">
        <v>309</v>
      </c>
      <c r="B65" s="2" t="s">
        <v>310</v>
      </c>
      <c r="C65" s="2" t="s">
        <v>311</v>
      </c>
      <c r="D65" s="2" t="s">
        <v>289</v>
      </c>
      <c r="E65" s="2" t="s">
        <v>290</v>
      </c>
      <c r="F65" s="2" t="s">
        <v>291</v>
      </c>
      <c r="G65" s="2" t="s">
        <v>73</v>
      </c>
      <c r="H65" s="2" t="n">
        <v>196</v>
      </c>
      <c r="I65" s="2" t="s">
        <v>292</v>
      </c>
      <c r="J65" s="2" t="s">
        <v>297</v>
      </c>
      <c r="K65" s="6" t="n">
        <v>45959</v>
      </c>
      <c r="L65" s="6" t="n">
        <v>47784</v>
      </c>
      <c r="M65" s="2" t="s">
        <v>985</v>
      </c>
      <c r="N65" s="2" t="s">
        <v>263</v>
      </c>
      <c r="O65" s="6" t="n">
        <v>46140.3322208681</v>
      </c>
      <c r="P65" s="2"/>
    </row>
    <row r="66" customFormat="false" ht="15" hidden="false" customHeight="false" outlineLevel="0" collapsed="false">
      <c r="A66" s="2" t="s">
        <v>541</v>
      </c>
      <c r="B66" s="2" t="s">
        <v>542</v>
      </c>
      <c r="C66" s="2" t="s">
        <v>543</v>
      </c>
      <c r="D66" s="2" t="s">
        <v>289</v>
      </c>
      <c r="E66" s="2" t="s">
        <v>473</v>
      </c>
      <c r="F66" s="2" t="s">
        <v>355</v>
      </c>
      <c r="G66" s="2" t="s">
        <v>73</v>
      </c>
      <c r="H66" s="2" t="n">
        <v>25</v>
      </c>
      <c r="I66" s="2" t="s">
        <v>91</v>
      </c>
      <c r="J66" s="2" t="s">
        <v>95</v>
      </c>
      <c r="K66" s="6" t="n">
        <v>45961</v>
      </c>
      <c r="L66" s="6" t="n">
        <v>47786</v>
      </c>
      <c r="M66" s="2" t="s">
        <v>985</v>
      </c>
      <c r="N66" s="2" t="s">
        <v>74</v>
      </c>
      <c r="O66" s="6" t="n">
        <v>45968.3493209144</v>
      </c>
      <c r="P66" s="2"/>
    </row>
    <row r="67" customFormat="false" ht="15" hidden="false" customHeight="false" outlineLevel="0" collapsed="false">
      <c r="A67" s="2" t="s">
        <v>695</v>
      </c>
      <c r="B67" s="2" t="s">
        <v>696</v>
      </c>
      <c r="C67" s="2" t="s">
        <v>697</v>
      </c>
      <c r="D67" s="2" t="s">
        <v>289</v>
      </c>
      <c r="E67" s="2" t="s">
        <v>635</v>
      </c>
      <c r="F67" s="2" t="s">
        <v>406</v>
      </c>
      <c r="G67" s="2" t="s">
        <v>73</v>
      </c>
      <c r="H67" s="2" t="n">
        <v>48</v>
      </c>
      <c r="I67" s="2" t="s">
        <v>91</v>
      </c>
      <c r="J67" s="2" t="s">
        <v>95</v>
      </c>
      <c r="K67" s="6" t="n">
        <v>45971</v>
      </c>
      <c r="L67" s="6" t="n">
        <v>47796</v>
      </c>
      <c r="M67" s="2" t="s">
        <v>985</v>
      </c>
      <c r="N67" s="2" t="s">
        <v>74</v>
      </c>
      <c r="O67" s="6" t="n">
        <v>46034</v>
      </c>
      <c r="P67" s="2"/>
    </row>
    <row r="68" customFormat="false" ht="15" hidden="false" customHeight="false" outlineLevel="0" collapsed="false">
      <c r="A68" s="2" t="s">
        <v>678</v>
      </c>
      <c r="B68" s="2" t="s">
        <v>679</v>
      </c>
      <c r="C68" s="2" t="s">
        <v>680</v>
      </c>
      <c r="D68" s="2" t="s">
        <v>681</v>
      </c>
      <c r="E68" s="2" t="s">
        <v>635</v>
      </c>
      <c r="F68" s="2" t="s">
        <v>69</v>
      </c>
      <c r="G68" s="2" t="s">
        <v>73</v>
      </c>
      <c r="H68" s="2" t="n">
        <v>63</v>
      </c>
      <c r="I68" s="2" t="s">
        <v>70</v>
      </c>
      <c r="J68" s="2" t="s">
        <v>83</v>
      </c>
      <c r="K68" s="6" t="n">
        <v>45972</v>
      </c>
      <c r="L68" s="6" t="n">
        <v>47797</v>
      </c>
      <c r="M68" s="2" t="s">
        <v>985</v>
      </c>
      <c r="N68" s="2" t="s">
        <v>74</v>
      </c>
      <c r="O68" s="6" t="n">
        <v>45982.5703578357</v>
      </c>
      <c r="P68" s="2"/>
    </row>
    <row r="69" customFormat="false" ht="15" hidden="false" customHeight="false" outlineLevel="0" collapsed="false">
      <c r="A69" s="2" t="s">
        <v>704</v>
      </c>
      <c r="B69" s="2" t="s">
        <v>679</v>
      </c>
      <c r="C69" s="2" t="s">
        <v>705</v>
      </c>
      <c r="D69" s="2" t="s">
        <v>681</v>
      </c>
      <c r="E69" s="2" t="s">
        <v>635</v>
      </c>
      <c r="F69" s="2" t="s">
        <v>69</v>
      </c>
      <c r="G69" s="2" t="s">
        <v>73</v>
      </c>
      <c r="H69" s="2" t="n">
        <v>40</v>
      </c>
      <c r="I69" s="2" t="s">
        <v>91</v>
      </c>
      <c r="J69" s="2" t="s">
        <v>83</v>
      </c>
      <c r="K69" s="6" t="n">
        <v>46042</v>
      </c>
      <c r="L69" s="6" t="n">
        <v>47867</v>
      </c>
      <c r="M69" s="2" t="s">
        <v>985</v>
      </c>
      <c r="N69" s="2" t="s">
        <v>173</v>
      </c>
      <c r="O69" s="6" t="n">
        <v>46273.295202662</v>
      </c>
      <c r="P69" s="2" t="s">
        <v>174</v>
      </c>
    </row>
    <row r="70" customFormat="false" ht="15" hidden="false" customHeight="false" outlineLevel="0" collapsed="false">
      <c r="A70" s="2" t="s">
        <v>641</v>
      </c>
      <c r="B70" s="2" t="s">
        <v>642</v>
      </c>
      <c r="C70" s="2" t="s">
        <v>643</v>
      </c>
      <c r="D70" s="2" t="s">
        <v>289</v>
      </c>
      <c r="E70" s="2" t="s">
        <v>635</v>
      </c>
      <c r="F70" s="2" t="s">
        <v>406</v>
      </c>
      <c r="G70" s="2" t="s">
        <v>644</v>
      </c>
      <c r="H70" s="2" t="n">
        <v>285</v>
      </c>
      <c r="I70" s="2" t="s">
        <v>292</v>
      </c>
      <c r="J70" s="2" t="s">
        <v>95</v>
      </c>
      <c r="K70" s="6" t="n">
        <v>46064</v>
      </c>
      <c r="L70" s="6" t="n">
        <v>47889</v>
      </c>
      <c r="M70" s="2" t="s">
        <v>985</v>
      </c>
      <c r="N70" s="2" t="s">
        <v>188</v>
      </c>
      <c r="O70" s="6" t="n">
        <v>46272.4251808218</v>
      </c>
      <c r="P70" s="2"/>
    </row>
    <row r="71" customFormat="false" ht="15" hidden="false" customHeight="false" outlineLevel="0" collapsed="false">
      <c r="A71" s="2" t="s">
        <v>826</v>
      </c>
      <c r="B71" s="2" t="s">
        <v>788</v>
      </c>
      <c r="C71" s="2" t="s">
        <v>827</v>
      </c>
      <c r="D71" s="2" t="s">
        <v>82</v>
      </c>
      <c r="E71" s="2" t="s">
        <v>635</v>
      </c>
      <c r="F71" s="2" t="s">
        <v>406</v>
      </c>
      <c r="G71" s="2" t="s">
        <v>73</v>
      </c>
      <c r="H71" s="2" t="n">
        <v>6</v>
      </c>
      <c r="I71" s="2" t="s">
        <v>145</v>
      </c>
      <c r="J71" s="2" t="s">
        <v>95</v>
      </c>
      <c r="K71" s="6" t="n">
        <v>46064</v>
      </c>
      <c r="L71" s="6" t="n">
        <v>47889</v>
      </c>
      <c r="M71" s="2" t="s">
        <v>985</v>
      </c>
      <c r="N71" s="2" t="s">
        <v>74</v>
      </c>
      <c r="O71" s="6" t="n">
        <v>46086.3701175116</v>
      </c>
      <c r="P71" s="2"/>
    </row>
    <row r="72" customFormat="false" ht="15" hidden="false" customHeight="false" outlineLevel="0" collapsed="false">
      <c r="A72" s="2" t="s">
        <v>427</v>
      </c>
      <c r="B72" s="2" t="s">
        <v>428</v>
      </c>
      <c r="C72" s="2" t="s">
        <v>429</v>
      </c>
      <c r="D72" s="2" t="s">
        <v>169</v>
      </c>
      <c r="E72" s="2" t="s">
        <v>290</v>
      </c>
      <c r="F72" s="2" t="s">
        <v>301</v>
      </c>
      <c r="G72" s="2" t="s">
        <v>73</v>
      </c>
      <c r="H72" s="2" t="n">
        <v>10</v>
      </c>
      <c r="I72" s="2" t="s">
        <v>118</v>
      </c>
      <c r="J72" s="2" t="s">
        <v>83</v>
      </c>
      <c r="K72" s="6" t="n">
        <v>46077</v>
      </c>
      <c r="L72" s="6" t="n">
        <v>47902</v>
      </c>
      <c r="M72" s="2" t="s">
        <v>985</v>
      </c>
      <c r="N72" s="2" t="s">
        <v>84</v>
      </c>
      <c r="O72" s="6" t="n">
        <v>46217.2677342245</v>
      </c>
      <c r="P72" s="2"/>
    </row>
    <row r="73" customFormat="false" ht="15" hidden="false" customHeight="false" outlineLevel="0" collapsed="false">
      <c r="A73" s="2" t="s">
        <v>893</v>
      </c>
      <c r="B73" s="2" t="s">
        <v>894</v>
      </c>
      <c r="C73" s="2" t="s">
        <v>895</v>
      </c>
      <c r="D73" s="2" t="s">
        <v>850</v>
      </c>
      <c r="E73" s="2" t="s">
        <v>850</v>
      </c>
      <c r="F73" s="2" t="s">
        <v>69</v>
      </c>
      <c r="G73" s="2" t="s">
        <v>73</v>
      </c>
      <c r="H73" s="2" t="n">
        <v>10</v>
      </c>
      <c r="I73" s="2" t="s">
        <v>118</v>
      </c>
      <c r="J73" s="2" t="s">
        <v>95</v>
      </c>
      <c r="K73" s="6" t="n">
        <v>46079</v>
      </c>
      <c r="L73" s="6" t="n">
        <v>47904</v>
      </c>
      <c r="M73" s="2" t="s">
        <v>985</v>
      </c>
      <c r="N73" s="2" t="s">
        <v>84</v>
      </c>
      <c r="O73" s="6" t="n">
        <v>46274.314983912</v>
      </c>
      <c r="P73" s="2"/>
    </row>
    <row r="74" customFormat="false" ht="15" hidden="false" customHeight="false" outlineLevel="0" collapsed="false">
      <c r="A74" s="2" t="s">
        <v>178</v>
      </c>
      <c r="B74" s="2" t="s">
        <v>179</v>
      </c>
      <c r="C74" s="2" t="s">
        <v>180</v>
      </c>
      <c r="D74" s="2" t="s">
        <v>82</v>
      </c>
      <c r="E74" s="2" t="s">
        <v>164</v>
      </c>
      <c r="F74" s="2" t="s">
        <v>69</v>
      </c>
      <c r="G74" s="2" t="s">
        <v>73</v>
      </c>
      <c r="H74" s="2" t="n">
        <v>27</v>
      </c>
      <c r="I74" s="2" t="s">
        <v>91</v>
      </c>
      <c r="J74" s="2" t="s">
        <v>71</v>
      </c>
      <c r="K74" s="6" t="n">
        <v>46111</v>
      </c>
      <c r="L74" s="6" t="n">
        <v>47936</v>
      </c>
      <c r="M74" s="2" t="s">
        <v>985</v>
      </c>
      <c r="N74" s="2" t="s">
        <v>74</v>
      </c>
      <c r="O74" s="6" t="n">
        <v>46129.3191565972</v>
      </c>
      <c r="P74" s="2"/>
    </row>
    <row r="75" customFormat="false" ht="15" hidden="false" customHeight="false" outlineLevel="0" collapsed="false">
      <c r="A75" s="2" t="s">
        <v>824</v>
      </c>
      <c r="B75" s="2" t="s">
        <v>679</v>
      </c>
      <c r="C75" s="2" t="s">
        <v>825</v>
      </c>
      <c r="D75" s="2" t="s">
        <v>681</v>
      </c>
      <c r="E75" s="2" t="s">
        <v>635</v>
      </c>
      <c r="F75" s="2" t="s">
        <v>69</v>
      </c>
      <c r="G75" s="2" t="s">
        <v>73</v>
      </c>
      <c r="H75" s="2" t="n">
        <v>6</v>
      </c>
      <c r="I75" s="2" t="s">
        <v>145</v>
      </c>
      <c r="J75" s="2" t="s">
        <v>83</v>
      </c>
      <c r="K75" s="6" t="n">
        <v>46113</v>
      </c>
      <c r="L75" s="6" t="n">
        <v>47938</v>
      </c>
      <c r="M75" s="2" t="s">
        <v>985</v>
      </c>
      <c r="N75" s="2" t="s">
        <v>74</v>
      </c>
      <c r="O75" s="6" t="n">
        <v>46085.359544757</v>
      </c>
      <c r="P75" s="2"/>
    </row>
    <row r="76" customFormat="false" ht="15" hidden="false" customHeight="false" outlineLevel="0" collapsed="false">
      <c r="A76" s="2" t="s">
        <v>742</v>
      </c>
      <c r="B76" s="2" t="s">
        <v>743</v>
      </c>
      <c r="C76" s="2" t="s">
        <v>744</v>
      </c>
      <c r="D76" s="2" t="s">
        <v>289</v>
      </c>
      <c r="E76" s="2" t="s">
        <v>635</v>
      </c>
      <c r="F76" s="2" t="s">
        <v>636</v>
      </c>
      <c r="G76" s="2" t="s">
        <v>73</v>
      </c>
      <c r="H76" s="2" t="n">
        <v>24</v>
      </c>
      <c r="I76" s="2" t="s">
        <v>118</v>
      </c>
      <c r="J76" s="2" t="s">
        <v>95</v>
      </c>
      <c r="K76" s="6" t="n">
        <v>46126</v>
      </c>
      <c r="L76" s="6" t="n">
        <v>47951</v>
      </c>
      <c r="M76" s="2" t="s">
        <v>985</v>
      </c>
      <c r="N76" s="2" t="s">
        <v>74</v>
      </c>
      <c r="O76" s="6" t="n">
        <v>46135.5851678588</v>
      </c>
      <c r="P76" s="2"/>
    </row>
    <row r="77" customFormat="false" ht="15" hidden="false" customHeight="false" outlineLevel="0" collapsed="false">
      <c r="A77" s="2" t="s">
        <v>322</v>
      </c>
      <c r="B77" s="2" t="s">
        <v>323</v>
      </c>
      <c r="C77" s="2" t="s">
        <v>324</v>
      </c>
      <c r="D77" s="2" t="s">
        <v>289</v>
      </c>
      <c r="E77" s="2" t="s">
        <v>290</v>
      </c>
      <c r="F77" s="2" t="s">
        <v>291</v>
      </c>
      <c r="G77" s="2" t="s">
        <v>73</v>
      </c>
      <c r="H77" s="2" t="n">
        <v>114</v>
      </c>
      <c r="I77" s="2" t="s">
        <v>292</v>
      </c>
      <c r="J77" s="2" t="s">
        <v>71</v>
      </c>
      <c r="K77" s="6" t="n">
        <v>46127</v>
      </c>
      <c r="L77" s="6" t="n">
        <v>47952</v>
      </c>
      <c r="M77" s="2" t="s">
        <v>985</v>
      </c>
      <c r="N77" s="2" t="s">
        <v>74</v>
      </c>
      <c r="O77" s="6" t="n">
        <v>46136.3136655093</v>
      </c>
      <c r="P77" s="2"/>
    </row>
    <row r="78" customFormat="false" ht="15" hidden="false" customHeight="false" outlineLevel="0" collapsed="false">
      <c r="A78" s="2" t="s">
        <v>544</v>
      </c>
      <c r="B78" s="2" t="s">
        <v>545</v>
      </c>
      <c r="C78" s="2" t="s">
        <v>546</v>
      </c>
      <c r="D78" s="2" t="s">
        <v>289</v>
      </c>
      <c r="E78" s="2" t="s">
        <v>473</v>
      </c>
      <c r="F78" s="2" t="s">
        <v>537</v>
      </c>
      <c r="G78" s="2" t="s">
        <v>73</v>
      </c>
      <c r="H78" s="2" t="n">
        <v>25</v>
      </c>
      <c r="I78" s="2" t="s">
        <v>91</v>
      </c>
      <c r="J78" s="2" t="s">
        <v>71</v>
      </c>
      <c r="K78" s="6" t="n">
        <v>46141</v>
      </c>
      <c r="L78" s="6" t="n">
        <v>47966</v>
      </c>
      <c r="M78" s="2" t="s">
        <v>985</v>
      </c>
      <c r="N78" s="2" t="s">
        <v>74</v>
      </c>
      <c r="O78" s="6" t="n">
        <v>46114.4701051273</v>
      </c>
      <c r="P78" s="2"/>
    </row>
    <row r="79" customFormat="false" ht="15" hidden="false" customHeight="false" outlineLevel="0" collapsed="false">
      <c r="A79" s="2" t="s">
        <v>753</v>
      </c>
      <c r="B79" s="2" t="s">
        <v>754</v>
      </c>
      <c r="C79" s="2" t="s">
        <v>755</v>
      </c>
      <c r="D79" s="2" t="s">
        <v>289</v>
      </c>
      <c r="E79" s="2" t="s">
        <v>635</v>
      </c>
      <c r="F79" s="2" t="s">
        <v>406</v>
      </c>
      <c r="G79" s="2" t="s">
        <v>73</v>
      </c>
      <c r="H79" s="2" t="n">
        <v>22</v>
      </c>
      <c r="I79" s="2" t="s">
        <v>118</v>
      </c>
      <c r="J79" s="2" t="s">
        <v>95</v>
      </c>
      <c r="K79" s="6" t="n">
        <v>46181</v>
      </c>
      <c r="L79" s="6" t="n">
        <v>48006</v>
      </c>
      <c r="M79" s="2" t="s">
        <v>985</v>
      </c>
      <c r="N79" s="2" t="s">
        <v>74</v>
      </c>
      <c r="O79" s="6" t="n">
        <v>46148.2698654282</v>
      </c>
      <c r="P79" s="2"/>
    </row>
    <row r="80" customFormat="false" ht="15" hidden="false" customHeight="false" outlineLevel="0" collapsed="false">
      <c r="A80" s="2" t="s">
        <v>670</v>
      </c>
      <c r="B80" s="2" t="s">
        <v>671</v>
      </c>
      <c r="C80" s="2" t="s">
        <v>672</v>
      </c>
      <c r="D80" s="2" t="s">
        <v>82</v>
      </c>
      <c r="E80" s="2" t="s">
        <v>635</v>
      </c>
      <c r="F80" s="2" t="s">
        <v>406</v>
      </c>
      <c r="G80" s="2" t="s">
        <v>73</v>
      </c>
      <c r="H80" s="2" t="n">
        <v>76</v>
      </c>
      <c r="I80" s="2" t="s">
        <v>70</v>
      </c>
      <c r="J80" s="2" t="s">
        <v>95</v>
      </c>
      <c r="K80" s="6" t="n">
        <v>46183</v>
      </c>
      <c r="L80" s="6" t="n">
        <v>48008</v>
      </c>
      <c r="M80" s="2" t="s">
        <v>985</v>
      </c>
      <c r="N80" s="2" t="s">
        <v>74</v>
      </c>
      <c r="O80" s="6" t="n">
        <v>46154.3202430903</v>
      </c>
      <c r="P80" s="2"/>
    </row>
    <row r="81" customFormat="false" ht="15" hidden="false" customHeight="false" outlineLevel="0" collapsed="false">
      <c r="A81" s="2" t="s">
        <v>774</v>
      </c>
      <c r="B81" s="2" t="s">
        <v>775</v>
      </c>
      <c r="C81" s="2" t="s">
        <v>776</v>
      </c>
      <c r="D81" s="2" t="s">
        <v>82</v>
      </c>
      <c r="E81" s="2" t="s">
        <v>635</v>
      </c>
      <c r="F81" s="2" t="s">
        <v>406</v>
      </c>
      <c r="G81" s="2" t="s">
        <v>73</v>
      </c>
      <c r="H81" s="2" t="n">
        <v>16</v>
      </c>
      <c r="I81" s="2" t="s">
        <v>118</v>
      </c>
      <c r="J81" s="2" t="s">
        <v>95</v>
      </c>
      <c r="K81" s="6" t="n">
        <v>46189</v>
      </c>
      <c r="L81" s="6" t="n">
        <v>48014</v>
      </c>
      <c r="M81" s="2" t="s">
        <v>985</v>
      </c>
      <c r="N81" s="2" t="s">
        <v>74</v>
      </c>
      <c r="O81" s="6" t="n">
        <v>45776.2530918634</v>
      </c>
      <c r="P81" s="2"/>
    </row>
    <row r="82" customFormat="false" ht="15" hidden="false" customHeight="false" outlineLevel="0" collapsed="false">
      <c r="A82" s="2" t="s">
        <v>337</v>
      </c>
      <c r="B82" s="2" t="s">
        <v>338</v>
      </c>
      <c r="C82" s="2" t="s">
        <v>339</v>
      </c>
      <c r="D82" s="2" t="s">
        <v>315</v>
      </c>
      <c r="E82" s="2" t="s">
        <v>290</v>
      </c>
      <c r="F82" s="2" t="s">
        <v>291</v>
      </c>
      <c r="G82" s="2" t="s">
        <v>73</v>
      </c>
      <c r="H82" s="2" t="n">
        <v>76</v>
      </c>
      <c r="I82" s="2" t="s">
        <v>70</v>
      </c>
      <c r="J82" s="2" t="s">
        <v>71</v>
      </c>
      <c r="K82" s="6" t="n">
        <v>46216</v>
      </c>
      <c r="L82" s="6" t="n">
        <v>48041</v>
      </c>
      <c r="M82" s="2" t="s">
        <v>985</v>
      </c>
      <c r="N82" s="2" t="s">
        <v>74</v>
      </c>
      <c r="O82" s="6" t="n">
        <v>46227.3210200579</v>
      </c>
      <c r="P82" s="2"/>
    </row>
    <row r="83" customFormat="false" ht="15" hidden="false" customHeight="false" outlineLevel="0" collapsed="false">
      <c r="A83" s="2" t="s">
        <v>294</v>
      </c>
      <c r="B83" s="2" t="s">
        <v>295</v>
      </c>
      <c r="C83" s="2" t="s">
        <v>296</v>
      </c>
      <c r="D83" s="2" t="s">
        <v>289</v>
      </c>
      <c r="E83" s="2" t="s">
        <v>290</v>
      </c>
      <c r="F83" s="2" t="s">
        <v>291</v>
      </c>
      <c r="G83" s="2" t="s">
        <v>73</v>
      </c>
      <c r="H83" s="2" t="n">
        <v>465</v>
      </c>
      <c r="I83" s="2" t="s">
        <v>292</v>
      </c>
      <c r="J83" s="2" t="s">
        <v>297</v>
      </c>
      <c r="K83" s="6" t="n">
        <v>46225</v>
      </c>
      <c r="L83" s="6" t="n">
        <v>48050</v>
      </c>
      <c r="M83" s="2" t="s">
        <v>985</v>
      </c>
      <c r="N83" s="2" t="s">
        <v>74</v>
      </c>
      <c r="O83" s="6" t="n">
        <v>46239.5817488426</v>
      </c>
      <c r="P83" s="2"/>
    </row>
    <row r="84" customFormat="false" ht="15" hidden="false" customHeight="false" outlineLevel="0" collapsed="false">
      <c r="A84" s="2" t="s">
        <v>298</v>
      </c>
      <c r="B84" s="2" t="s">
        <v>299</v>
      </c>
      <c r="C84" s="2" t="s">
        <v>300</v>
      </c>
      <c r="D84" s="2" t="s">
        <v>82</v>
      </c>
      <c r="E84" s="2" t="s">
        <v>290</v>
      </c>
      <c r="F84" s="2" t="s">
        <v>301</v>
      </c>
      <c r="G84" s="2" t="s">
        <v>73</v>
      </c>
      <c r="H84" s="2" t="n">
        <v>403</v>
      </c>
      <c r="I84" s="2" t="s">
        <v>292</v>
      </c>
      <c r="J84" s="2" t="s">
        <v>95</v>
      </c>
      <c r="K84" s="6" t="n">
        <v>46225</v>
      </c>
      <c r="L84" s="6" t="n">
        <v>48051</v>
      </c>
      <c r="M84" s="2" t="s">
        <v>985</v>
      </c>
      <c r="N84" s="2" t="s">
        <v>74</v>
      </c>
      <c r="O84" s="6" t="n">
        <v>46262.3033036227</v>
      </c>
      <c r="P84" s="2"/>
    </row>
    <row r="85" customFormat="false" ht="15" hidden="false" customHeight="false" outlineLevel="0" collapsed="false">
      <c r="A85" s="2" t="s">
        <v>629</v>
      </c>
      <c r="B85" s="2" t="s">
        <v>630</v>
      </c>
      <c r="C85" s="2" t="s">
        <v>631</v>
      </c>
      <c r="D85" s="2" t="s">
        <v>82</v>
      </c>
      <c r="E85" s="2" t="s">
        <v>473</v>
      </c>
      <c r="F85" s="2" t="s">
        <v>355</v>
      </c>
      <c r="G85" s="2" t="s">
        <v>73</v>
      </c>
      <c r="H85" s="2"/>
      <c r="I85" s="2" t="s">
        <v>92</v>
      </c>
      <c r="J85" s="2" t="s">
        <v>297</v>
      </c>
      <c r="K85" s="6" t="n">
        <v>46231</v>
      </c>
      <c r="L85" s="6" t="n">
        <v>48056</v>
      </c>
      <c r="M85" s="2" t="s">
        <v>985</v>
      </c>
      <c r="N85" s="2" t="s">
        <v>74</v>
      </c>
      <c r="O85" s="6" t="n">
        <v>46119.288997257</v>
      </c>
      <c r="P85" s="2"/>
    </row>
    <row r="86" customFormat="false" ht="15" hidden="false" customHeight="false" outlineLevel="0" collapsed="false">
      <c r="A86" s="2" t="s">
        <v>652</v>
      </c>
      <c r="B86" s="2" t="s">
        <v>646</v>
      </c>
      <c r="C86" s="2" t="s">
        <v>653</v>
      </c>
      <c r="D86" s="2" t="s">
        <v>648</v>
      </c>
      <c r="E86" s="2" t="s">
        <v>635</v>
      </c>
      <c r="F86" s="2" t="s">
        <v>636</v>
      </c>
      <c r="G86" s="2" t="s">
        <v>73</v>
      </c>
      <c r="H86" s="2" t="n">
        <v>169</v>
      </c>
      <c r="I86" s="2" t="s">
        <v>292</v>
      </c>
      <c r="J86" s="2" t="s">
        <v>71</v>
      </c>
      <c r="K86" s="6" t="n">
        <v>46233</v>
      </c>
      <c r="L86" s="6" t="n">
        <v>48059</v>
      </c>
      <c r="M86" s="2" t="s">
        <v>985</v>
      </c>
      <c r="N86" s="2" t="s">
        <v>74</v>
      </c>
      <c r="O86" s="6" t="n">
        <v>46255.5401911227</v>
      </c>
      <c r="P86" s="2"/>
    </row>
    <row r="87" customFormat="false" ht="15" hidden="false" customHeight="false" outlineLevel="0" collapsed="false">
      <c r="A87" s="2" t="s">
        <v>451</v>
      </c>
      <c r="B87" s="2" t="s">
        <v>306</v>
      </c>
      <c r="C87" s="2" t="s">
        <v>452</v>
      </c>
      <c r="D87" s="2" t="s">
        <v>289</v>
      </c>
      <c r="E87" s="2" t="s">
        <v>290</v>
      </c>
      <c r="F87" s="2" t="s">
        <v>291</v>
      </c>
      <c r="G87" s="2" t="s">
        <v>73</v>
      </c>
      <c r="H87" s="2" t="n">
        <v>4</v>
      </c>
      <c r="I87" s="2" t="s">
        <v>145</v>
      </c>
      <c r="J87" s="2" t="s">
        <v>95</v>
      </c>
      <c r="K87" s="6" t="n">
        <v>46233</v>
      </c>
      <c r="L87" s="6" t="n">
        <v>48059</v>
      </c>
      <c r="M87" s="2" t="s">
        <v>985</v>
      </c>
      <c r="N87" s="2" t="s">
        <v>74</v>
      </c>
      <c r="O87" s="6" t="n">
        <v>46262.3497116551</v>
      </c>
      <c r="P87" s="2"/>
    </row>
    <row r="88" customFormat="false" ht="15" hidden="false" customHeight="false" outlineLevel="0" collapsed="false">
      <c r="A88" s="2" t="s">
        <v>286</v>
      </c>
      <c r="B88" s="2" t="s">
        <v>287</v>
      </c>
      <c r="C88" s="2" t="s">
        <v>288</v>
      </c>
      <c r="D88" s="2" t="s">
        <v>289</v>
      </c>
      <c r="E88" s="2" t="s">
        <v>290</v>
      </c>
      <c r="F88" s="2" t="s">
        <v>291</v>
      </c>
      <c r="G88" s="2" t="s">
        <v>73</v>
      </c>
      <c r="H88" s="2" t="n">
        <v>523</v>
      </c>
      <c r="I88" s="2" t="s">
        <v>292</v>
      </c>
      <c r="J88" s="2" t="s">
        <v>95</v>
      </c>
      <c r="K88" s="6" t="n">
        <v>46140</v>
      </c>
      <c r="L88" s="6" t="n">
        <v>48092</v>
      </c>
      <c r="M88" s="2" t="s">
        <v>985</v>
      </c>
      <c r="N88" s="2" t="s">
        <v>74</v>
      </c>
      <c r="O88" s="6" t="n">
        <v>46276.3218122685</v>
      </c>
      <c r="P88" s="2"/>
    </row>
    <row r="89" customFormat="false" ht="15" hidden="false" customHeight="false" outlineLevel="0" collapsed="false">
      <c r="A89" s="2" t="s">
        <v>105</v>
      </c>
      <c r="B89" s="2" t="s">
        <v>106</v>
      </c>
      <c r="C89" s="2" t="s">
        <v>107</v>
      </c>
      <c r="D89" s="2" t="s">
        <v>108</v>
      </c>
      <c r="E89" s="2" t="s">
        <v>68</v>
      </c>
      <c r="F89" s="2" t="s">
        <v>69</v>
      </c>
      <c r="G89" s="2" t="s">
        <v>73</v>
      </c>
      <c r="H89" s="2" t="n">
        <v>28</v>
      </c>
      <c r="I89" s="2" t="s">
        <v>91</v>
      </c>
      <c r="J89" s="2" t="s">
        <v>95</v>
      </c>
      <c r="K89" s="6" t="n">
        <v>46267</v>
      </c>
      <c r="L89" s="6" t="n">
        <v>48093</v>
      </c>
      <c r="M89" s="2" t="s">
        <v>985</v>
      </c>
      <c r="N89" s="2" t="s">
        <v>74</v>
      </c>
      <c r="O89" s="6" t="n">
        <v>46272.3580336458</v>
      </c>
      <c r="P89" s="2"/>
    </row>
    <row r="90" customFormat="false" ht="15" hidden="false" customHeight="false" outlineLevel="0" collapsed="false">
      <c r="A90" s="2" t="s">
        <v>241</v>
      </c>
      <c r="B90" s="2" t="s">
        <v>242</v>
      </c>
      <c r="C90" s="2" t="s">
        <v>243</v>
      </c>
      <c r="D90" s="2" t="s">
        <v>163</v>
      </c>
      <c r="E90" s="2" t="s">
        <v>164</v>
      </c>
      <c r="F90" s="2" t="s">
        <v>69</v>
      </c>
      <c r="G90" s="2" t="s">
        <v>73</v>
      </c>
      <c r="H90" s="2" t="n">
        <v>8</v>
      </c>
      <c r="I90" s="2" t="s">
        <v>145</v>
      </c>
      <c r="J90" s="2" t="s">
        <v>83</v>
      </c>
      <c r="K90" s="6" t="n">
        <v>46267</v>
      </c>
      <c r="L90" s="6" t="n">
        <v>48093</v>
      </c>
      <c r="M90" s="2" t="s">
        <v>985</v>
      </c>
      <c r="N90" s="2" t="s">
        <v>74</v>
      </c>
      <c r="O90" s="6" t="n">
        <v>46272.3276997338</v>
      </c>
      <c r="P90" s="2"/>
    </row>
    <row r="91" customFormat="false" ht="15" hidden="false" customHeight="false" outlineLevel="0" collapsed="false">
      <c r="A91" s="2" t="s">
        <v>649</v>
      </c>
      <c r="B91" s="2" t="s">
        <v>650</v>
      </c>
      <c r="C91" s="2" t="s">
        <v>651</v>
      </c>
      <c r="D91" s="2" t="s">
        <v>648</v>
      </c>
      <c r="E91" s="2" t="s">
        <v>635</v>
      </c>
      <c r="F91" s="2" t="s">
        <v>636</v>
      </c>
      <c r="G91" s="2" t="s">
        <v>73</v>
      </c>
      <c r="H91" s="2" t="n">
        <v>182</v>
      </c>
      <c r="I91" s="2" t="s">
        <v>292</v>
      </c>
      <c r="J91" s="2" t="s">
        <v>71</v>
      </c>
      <c r="K91" s="6" t="n">
        <v>46280</v>
      </c>
      <c r="L91" s="6" t="n">
        <v>48106</v>
      </c>
      <c r="M91" s="2" t="s">
        <v>985</v>
      </c>
      <c r="N91" s="2" t="s">
        <v>74</v>
      </c>
      <c r="O91" s="6" t="n">
        <v>46286.3485868866</v>
      </c>
      <c r="P91" s="2"/>
    </row>
    <row r="92" customFormat="false" ht="15" hidden="false" customHeight="false" outlineLevel="0" collapsed="false">
      <c r="A92" s="2" t="s">
        <v>302</v>
      </c>
      <c r="B92" s="2" t="s">
        <v>303</v>
      </c>
      <c r="C92" s="2" t="s">
        <v>304</v>
      </c>
      <c r="D92" s="2" t="s">
        <v>289</v>
      </c>
      <c r="E92" s="2" t="s">
        <v>290</v>
      </c>
      <c r="F92" s="2" t="s">
        <v>291</v>
      </c>
      <c r="G92" s="2" t="s">
        <v>73</v>
      </c>
      <c r="H92" s="2" t="n">
        <v>212</v>
      </c>
      <c r="I92" s="2" t="s">
        <v>292</v>
      </c>
      <c r="J92" s="2" t="s">
        <v>71</v>
      </c>
      <c r="K92" s="6" t="n">
        <v>46288</v>
      </c>
      <c r="L92" s="6" t="n">
        <v>48113</v>
      </c>
      <c r="M92" s="2" t="s">
        <v>985</v>
      </c>
      <c r="N92" s="2" t="s">
        <v>74</v>
      </c>
      <c r="O92" s="6" t="n">
        <v>46258.3403008912</v>
      </c>
      <c r="P92" s="2"/>
    </row>
    <row r="93" customFormat="false" ht="15" hidden="false" customHeight="false" outlineLevel="0" collapsed="false">
      <c r="A93" s="2" t="s">
        <v>864</v>
      </c>
      <c r="B93" s="2" t="s">
        <v>865</v>
      </c>
      <c r="C93" s="2" t="s">
        <v>866</v>
      </c>
      <c r="D93" s="2" t="s">
        <v>850</v>
      </c>
      <c r="E93" s="2" t="s">
        <v>850</v>
      </c>
      <c r="F93" s="2" t="s">
        <v>69</v>
      </c>
      <c r="G93" s="2" t="s">
        <v>97</v>
      </c>
      <c r="H93" s="2" t="n">
        <v>31</v>
      </c>
      <c r="I93" s="2" t="s">
        <v>91</v>
      </c>
      <c r="J93" s="2" t="s">
        <v>92</v>
      </c>
      <c r="K93" s="6" t="n">
        <v>44967</v>
      </c>
      <c r="L93" s="2"/>
      <c r="M93" s="2" t="s">
        <v>986</v>
      </c>
      <c r="N93" s="2" t="s">
        <v>74</v>
      </c>
      <c r="O93" s="6" t="n">
        <v>44979.4748903125</v>
      </c>
      <c r="P93" s="2"/>
    </row>
    <row r="94" customFormat="false" ht="15" hidden="false" customHeight="false" outlineLevel="0" collapsed="false">
      <c r="A94" s="2" t="s">
        <v>93</v>
      </c>
      <c r="B94" s="2" t="s">
        <v>65</v>
      </c>
      <c r="C94" s="2" t="s">
        <v>94</v>
      </c>
      <c r="D94" s="2" t="s">
        <v>67</v>
      </c>
      <c r="E94" s="2" t="s">
        <v>68</v>
      </c>
      <c r="F94" s="2" t="s">
        <v>69</v>
      </c>
      <c r="G94" s="2" t="s">
        <v>97</v>
      </c>
      <c r="H94" s="2" t="n">
        <v>31</v>
      </c>
      <c r="I94" s="2" t="s">
        <v>91</v>
      </c>
      <c r="J94" s="2" t="s">
        <v>95</v>
      </c>
      <c r="K94" s="6" t="n">
        <v>43857</v>
      </c>
      <c r="L94" s="2"/>
      <c r="M94" s="2" t="s">
        <v>986</v>
      </c>
      <c r="N94" s="2" t="s">
        <v>74</v>
      </c>
      <c r="O94" s="6" t="n">
        <v>43781.6000934838</v>
      </c>
      <c r="P94" s="2"/>
    </row>
    <row r="95" customFormat="false" ht="15" hidden="false" customHeight="false" outlineLevel="0" collapsed="false">
      <c r="A95" s="2" t="s">
        <v>528</v>
      </c>
      <c r="B95" s="2" t="s">
        <v>529</v>
      </c>
      <c r="C95" s="2" t="s">
        <v>530</v>
      </c>
      <c r="D95" s="2" t="s">
        <v>82</v>
      </c>
      <c r="E95" s="2" t="s">
        <v>473</v>
      </c>
      <c r="F95" s="2" t="s">
        <v>520</v>
      </c>
      <c r="G95" s="2" t="s">
        <v>97</v>
      </c>
      <c r="H95" s="2" t="n">
        <v>27</v>
      </c>
      <c r="I95" s="2" t="s">
        <v>91</v>
      </c>
      <c r="J95" s="2" t="s">
        <v>95</v>
      </c>
      <c r="K95" s="6" t="n">
        <v>43740</v>
      </c>
      <c r="L95" s="2"/>
      <c r="M95" s="2" t="s">
        <v>986</v>
      </c>
      <c r="N95" s="2" t="s">
        <v>74</v>
      </c>
      <c r="O95" s="6" t="n">
        <v>44998.4572684838</v>
      </c>
      <c r="P95" s="2"/>
    </row>
    <row r="96" customFormat="false" ht="15" hidden="false" customHeight="false" outlineLevel="0" collapsed="false">
      <c r="A96" s="2" t="s">
        <v>735</v>
      </c>
      <c r="B96" s="2" t="s">
        <v>679</v>
      </c>
      <c r="C96" s="2" t="s">
        <v>736</v>
      </c>
      <c r="D96" s="2" t="s">
        <v>681</v>
      </c>
      <c r="E96" s="2" t="s">
        <v>635</v>
      </c>
      <c r="F96" s="2" t="s">
        <v>69</v>
      </c>
      <c r="G96" s="2" t="s">
        <v>97</v>
      </c>
      <c r="H96" s="2" t="n">
        <v>24</v>
      </c>
      <c r="I96" s="2" t="s">
        <v>118</v>
      </c>
      <c r="J96" s="2" t="s">
        <v>92</v>
      </c>
      <c r="K96" s="6" t="n">
        <v>44950</v>
      </c>
      <c r="L96" s="2"/>
      <c r="M96" s="2" t="s">
        <v>986</v>
      </c>
      <c r="N96" s="2" t="s">
        <v>74</v>
      </c>
      <c r="O96" s="6" t="n">
        <v>44987.4668805903</v>
      </c>
      <c r="P96" s="2"/>
    </row>
    <row r="97" customFormat="false" ht="15" hidden="false" customHeight="false" outlineLevel="0" collapsed="false">
      <c r="A97" s="2"/>
      <c r="B97" s="2" t="s">
        <v>550</v>
      </c>
      <c r="C97" s="2" t="s">
        <v>551</v>
      </c>
      <c r="D97" s="2" t="s">
        <v>289</v>
      </c>
      <c r="E97" s="2" t="s">
        <v>473</v>
      </c>
      <c r="F97" s="2" t="s">
        <v>520</v>
      </c>
      <c r="G97" s="2" t="s">
        <v>97</v>
      </c>
      <c r="H97" s="2" t="n">
        <v>23</v>
      </c>
      <c r="I97" s="2" t="s">
        <v>118</v>
      </c>
      <c r="J97" s="2" t="s">
        <v>92</v>
      </c>
      <c r="K97" s="2"/>
      <c r="L97" s="2"/>
      <c r="M97" s="2" t="s">
        <v>986</v>
      </c>
      <c r="N97" s="2" t="s">
        <v>84</v>
      </c>
      <c r="O97" s="6" t="n">
        <v>46203.387381794</v>
      </c>
      <c r="P97" s="2"/>
    </row>
    <row r="98" customFormat="false" ht="15" hidden="false" customHeight="false" outlineLevel="0" collapsed="false">
      <c r="A98" s="2" t="s">
        <v>766</v>
      </c>
      <c r="B98" s="2" t="s">
        <v>743</v>
      </c>
      <c r="C98" s="2" t="s">
        <v>767</v>
      </c>
      <c r="D98" s="2" t="s">
        <v>289</v>
      </c>
      <c r="E98" s="2" t="s">
        <v>635</v>
      </c>
      <c r="F98" s="2" t="s">
        <v>636</v>
      </c>
      <c r="G98" s="2" t="s">
        <v>97</v>
      </c>
      <c r="H98" s="2" t="n">
        <v>20</v>
      </c>
      <c r="I98" s="2" t="s">
        <v>118</v>
      </c>
      <c r="J98" s="2" t="s">
        <v>95</v>
      </c>
      <c r="K98" s="6" t="n">
        <v>45677</v>
      </c>
      <c r="L98" s="2"/>
      <c r="M98" s="2" t="s">
        <v>986</v>
      </c>
      <c r="N98" s="2" t="s">
        <v>74</v>
      </c>
      <c r="O98" s="6" t="n">
        <v>45693.580934456</v>
      </c>
      <c r="P98" s="2"/>
    </row>
    <row r="99" customFormat="false" ht="15" hidden="false" customHeight="false" outlineLevel="0" collapsed="false">
      <c r="A99" s="2" t="s">
        <v>408</v>
      </c>
      <c r="B99" s="2" t="s">
        <v>409</v>
      </c>
      <c r="C99" s="2" t="s">
        <v>410</v>
      </c>
      <c r="D99" s="2" t="s">
        <v>82</v>
      </c>
      <c r="E99" s="2" t="s">
        <v>290</v>
      </c>
      <c r="F99" s="2" t="s">
        <v>69</v>
      </c>
      <c r="G99" s="2" t="s">
        <v>97</v>
      </c>
      <c r="H99" s="2" t="n">
        <v>12</v>
      </c>
      <c r="I99" s="2" t="s">
        <v>118</v>
      </c>
      <c r="J99" s="2" t="s">
        <v>83</v>
      </c>
      <c r="K99" s="6" t="n">
        <v>43811</v>
      </c>
      <c r="L99" s="2"/>
      <c r="M99" s="2" t="s">
        <v>986</v>
      </c>
      <c r="N99" s="2" t="s">
        <v>74</v>
      </c>
      <c r="O99" s="6" t="n">
        <v>43780.5776577546</v>
      </c>
      <c r="P99" s="2"/>
    </row>
    <row r="100" customFormat="false" ht="15" hidden="false" customHeight="false" outlineLevel="0" collapsed="false">
      <c r="A100" s="2" t="s">
        <v>881</v>
      </c>
      <c r="B100" s="2" t="s">
        <v>882</v>
      </c>
      <c r="C100" s="2" t="s">
        <v>883</v>
      </c>
      <c r="D100" s="2" t="s">
        <v>854</v>
      </c>
      <c r="E100" s="2" t="s">
        <v>850</v>
      </c>
      <c r="F100" s="2" t="s">
        <v>69</v>
      </c>
      <c r="G100" s="2" t="s">
        <v>119</v>
      </c>
      <c r="H100" s="2" t="n">
        <v>12</v>
      </c>
      <c r="I100" s="2" t="s">
        <v>118</v>
      </c>
      <c r="J100" s="2" t="s">
        <v>83</v>
      </c>
      <c r="K100" s="2"/>
      <c r="L100" s="2"/>
      <c r="M100" s="2" t="s">
        <v>986</v>
      </c>
      <c r="N100" s="2" t="s">
        <v>188</v>
      </c>
      <c r="O100" s="6" t="n">
        <v>46181.3513474884</v>
      </c>
      <c r="P100" s="2"/>
    </row>
    <row r="101" customFormat="false" ht="15" hidden="false" customHeight="false" outlineLevel="0" collapsed="false">
      <c r="A101" s="2" t="s">
        <v>808</v>
      </c>
      <c r="B101" s="2" t="s">
        <v>740</v>
      </c>
      <c r="C101" s="2" t="s">
        <v>809</v>
      </c>
      <c r="D101" s="2" t="s">
        <v>82</v>
      </c>
      <c r="E101" s="2" t="s">
        <v>635</v>
      </c>
      <c r="F101" s="2" t="s">
        <v>406</v>
      </c>
      <c r="G101" s="2" t="s">
        <v>97</v>
      </c>
      <c r="H101" s="2" t="n">
        <v>8</v>
      </c>
      <c r="I101" s="2" t="s">
        <v>145</v>
      </c>
      <c r="J101" s="2" t="s">
        <v>92</v>
      </c>
      <c r="K101" s="6" t="n">
        <v>44659</v>
      </c>
      <c r="L101" s="2"/>
      <c r="M101" s="2" t="s">
        <v>986</v>
      </c>
      <c r="N101" s="2" t="s">
        <v>74</v>
      </c>
      <c r="O101" s="6" t="n">
        <v>44917.5037965278</v>
      </c>
      <c r="P101" s="2"/>
    </row>
    <row r="102" customFormat="false" ht="15" hidden="false" customHeight="false" outlineLevel="0" collapsed="false">
      <c r="A102" s="2" t="s">
        <v>901</v>
      </c>
      <c r="B102" s="2" t="s">
        <v>902</v>
      </c>
      <c r="C102" s="2" t="s">
        <v>903</v>
      </c>
      <c r="D102" s="2" t="s">
        <v>854</v>
      </c>
      <c r="E102" s="2" t="s">
        <v>850</v>
      </c>
      <c r="F102" s="2" t="s">
        <v>69</v>
      </c>
      <c r="G102" s="2" t="s">
        <v>97</v>
      </c>
      <c r="H102" s="2" t="n">
        <v>7</v>
      </c>
      <c r="I102" s="2" t="s">
        <v>145</v>
      </c>
      <c r="J102" s="2" t="s">
        <v>83</v>
      </c>
      <c r="K102" s="6" t="n">
        <v>43368</v>
      </c>
      <c r="L102" s="2"/>
      <c r="M102" s="2" t="s">
        <v>986</v>
      </c>
      <c r="N102" s="2" t="s">
        <v>74</v>
      </c>
      <c r="O102" s="6" t="n">
        <v>43346.6208667824</v>
      </c>
      <c r="P102" s="2"/>
    </row>
    <row r="103" customFormat="false" ht="15" hidden="false" customHeight="false" outlineLevel="0" collapsed="false">
      <c r="A103" s="2" t="s">
        <v>439</v>
      </c>
      <c r="B103" s="2" t="s">
        <v>440</v>
      </c>
      <c r="C103" s="2" t="s">
        <v>441</v>
      </c>
      <c r="D103" s="2" t="s">
        <v>289</v>
      </c>
      <c r="E103" s="2" t="s">
        <v>290</v>
      </c>
      <c r="F103" s="2" t="s">
        <v>301</v>
      </c>
      <c r="G103" s="2" t="s">
        <v>97</v>
      </c>
      <c r="H103" s="2" t="n">
        <v>5</v>
      </c>
      <c r="I103" s="2" t="s">
        <v>145</v>
      </c>
      <c r="J103" s="2" t="s">
        <v>92</v>
      </c>
      <c r="K103" s="6" t="n">
        <v>46006</v>
      </c>
      <c r="L103" s="2"/>
      <c r="M103" s="2" t="s">
        <v>986</v>
      </c>
      <c r="N103" s="2" t="s">
        <v>188</v>
      </c>
      <c r="O103" s="6" t="n">
        <v>46148.4278019329</v>
      </c>
      <c r="P103" s="2"/>
    </row>
    <row r="104" customFormat="false" ht="15" hidden="false" customHeight="false" outlineLevel="0" collapsed="false">
      <c r="A104" s="2" t="s">
        <v>617</v>
      </c>
      <c r="B104" s="2"/>
      <c r="C104" s="2" t="s">
        <v>618</v>
      </c>
      <c r="D104" s="2" t="s">
        <v>289</v>
      </c>
      <c r="E104" s="2" t="s">
        <v>473</v>
      </c>
      <c r="F104" s="2" t="s">
        <v>474</v>
      </c>
      <c r="G104" s="2" t="s">
        <v>97</v>
      </c>
      <c r="H104" s="2" t="n">
        <v>5</v>
      </c>
      <c r="I104" s="2" t="s">
        <v>145</v>
      </c>
      <c r="J104" s="2" t="s">
        <v>83</v>
      </c>
      <c r="K104" s="6" t="n">
        <v>43264</v>
      </c>
      <c r="L104" s="2"/>
      <c r="M104" s="2" t="s">
        <v>986</v>
      </c>
      <c r="N104" s="2" t="s">
        <v>74</v>
      </c>
      <c r="O104" s="2"/>
      <c r="P104" s="2"/>
    </row>
    <row r="105" customFormat="false" ht="15" hidden="false" customHeight="false" outlineLevel="0" collapsed="false">
      <c r="A105" s="2" t="s">
        <v>913</v>
      </c>
      <c r="B105" s="2" t="s">
        <v>914</v>
      </c>
      <c r="C105" s="2" t="s">
        <v>915</v>
      </c>
      <c r="D105" s="2" t="s">
        <v>82</v>
      </c>
      <c r="E105" s="2" t="s">
        <v>850</v>
      </c>
      <c r="F105" s="2" t="s">
        <v>69</v>
      </c>
      <c r="G105" s="2" t="s">
        <v>97</v>
      </c>
      <c r="H105" s="2" t="n">
        <v>4</v>
      </c>
      <c r="I105" s="2" t="s">
        <v>145</v>
      </c>
      <c r="J105" s="2" t="s">
        <v>92</v>
      </c>
      <c r="K105" s="6" t="n">
        <v>45335</v>
      </c>
      <c r="L105" s="2"/>
      <c r="M105" s="2" t="s">
        <v>986</v>
      </c>
      <c r="N105" s="2" t="s">
        <v>188</v>
      </c>
      <c r="O105" s="6" t="n">
        <v>45912.3574854514</v>
      </c>
      <c r="P105" s="2"/>
    </row>
    <row r="106" customFormat="false" ht="15" hidden="false" customHeight="false" outlineLevel="0" collapsed="false">
      <c r="A106" s="2" t="s">
        <v>277</v>
      </c>
      <c r="B106" s="2" t="s">
        <v>278</v>
      </c>
      <c r="C106" s="2" t="s">
        <v>279</v>
      </c>
      <c r="D106" s="2" t="s">
        <v>82</v>
      </c>
      <c r="E106" s="2" t="s">
        <v>164</v>
      </c>
      <c r="F106" s="2" t="s">
        <v>69</v>
      </c>
      <c r="G106" s="2" t="s">
        <v>97</v>
      </c>
      <c r="H106" s="2" t="n">
        <v>3</v>
      </c>
      <c r="I106" s="2" t="s">
        <v>145</v>
      </c>
      <c r="J106" s="2" t="s">
        <v>83</v>
      </c>
      <c r="K106" s="6" t="n">
        <v>42256</v>
      </c>
      <c r="L106" s="2"/>
      <c r="M106" s="2" t="s">
        <v>986</v>
      </c>
      <c r="N106" s="2" t="s">
        <v>188</v>
      </c>
      <c r="O106" s="6" t="n">
        <v>42807.4205058681</v>
      </c>
      <c r="P106" s="2"/>
    </row>
    <row r="107" customFormat="false" ht="15" hidden="false" customHeight="false" outlineLevel="0" collapsed="false">
      <c r="A107" s="2"/>
      <c r="B107" s="2" t="s">
        <v>627</v>
      </c>
      <c r="C107" s="2" t="s">
        <v>628</v>
      </c>
      <c r="D107" s="2" t="s">
        <v>289</v>
      </c>
      <c r="E107" s="2" t="s">
        <v>473</v>
      </c>
      <c r="F107" s="2" t="s">
        <v>474</v>
      </c>
      <c r="G107" s="2" t="s">
        <v>97</v>
      </c>
      <c r="H107" s="2" t="n">
        <v>0</v>
      </c>
      <c r="I107" s="2" t="s">
        <v>92</v>
      </c>
      <c r="J107" s="2" t="s">
        <v>92</v>
      </c>
      <c r="K107" s="2"/>
      <c r="L107" s="2"/>
      <c r="M107" s="2" t="s">
        <v>986</v>
      </c>
      <c r="N107" s="2" t="s">
        <v>84</v>
      </c>
      <c r="O107" s="6" t="n">
        <v>46213.41174375</v>
      </c>
      <c r="P107" s="2"/>
    </row>
    <row r="108" customFormat="false" ht="15" hidden="false" customHeight="false" outlineLevel="0" collapsed="false">
      <c r="A108" s="2"/>
      <c r="B108" s="2" t="s">
        <v>919</v>
      </c>
      <c r="C108" s="2" t="s">
        <v>920</v>
      </c>
      <c r="D108" s="2" t="s">
        <v>289</v>
      </c>
      <c r="E108" s="2" t="s">
        <v>92</v>
      </c>
      <c r="F108" s="2" t="s">
        <v>92</v>
      </c>
      <c r="G108" s="2" t="s">
        <v>97</v>
      </c>
      <c r="H108" s="2" t="n">
        <v>0</v>
      </c>
      <c r="I108" s="2" t="s">
        <v>92</v>
      </c>
      <c r="J108" s="2" t="s">
        <v>92</v>
      </c>
      <c r="K108" s="2"/>
      <c r="L108" s="2"/>
      <c r="M108" s="2" t="s">
        <v>986</v>
      </c>
      <c r="N108" s="2" t="s">
        <v>188</v>
      </c>
      <c r="O108" s="6" t="n">
        <v>46079.3742551273</v>
      </c>
      <c r="P108" s="2"/>
    </row>
    <row r="109" customFormat="false" ht="15" hidden="false" customHeight="false" outlineLevel="0" collapsed="false">
      <c r="A109" s="2"/>
      <c r="B109" s="2" t="s">
        <v>921</v>
      </c>
      <c r="C109" s="2" t="s">
        <v>922</v>
      </c>
      <c r="D109" s="2" t="s">
        <v>289</v>
      </c>
      <c r="E109" s="2" t="s">
        <v>92</v>
      </c>
      <c r="F109" s="2" t="s">
        <v>92</v>
      </c>
      <c r="G109" s="2" t="s">
        <v>97</v>
      </c>
      <c r="H109" s="2"/>
      <c r="I109" s="2" t="s">
        <v>92</v>
      </c>
      <c r="J109" s="2" t="s">
        <v>92</v>
      </c>
      <c r="K109" s="2"/>
      <c r="L109" s="2"/>
      <c r="M109" s="2" t="s">
        <v>986</v>
      </c>
      <c r="N109" s="2" t="s">
        <v>188</v>
      </c>
      <c r="O109" s="6" t="n">
        <v>46190.3328899306</v>
      </c>
      <c r="P109" s="2"/>
    </row>
    <row r="110" customFormat="false" ht="15" hidden="false" customHeight="false" outlineLevel="0" collapsed="false">
      <c r="A110" s="2"/>
      <c r="B110" s="2"/>
      <c r="C110" s="2"/>
      <c r="D110" s="2"/>
      <c r="E110" s="2"/>
      <c r="F110" s="2"/>
      <c r="G110" s="2"/>
      <c r="H110" s="2"/>
      <c r="I110" s="2"/>
      <c r="J110" s="2"/>
      <c r="K110" s="2"/>
      <c r="L110" s="2"/>
      <c r="M110" s="2"/>
      <c r="N110" s="2"/>
      <c r="O110" s="2"/>
      <c r="P110" s="2"/>
    </row>
    <row r="111" customFormat="false" ht="15" hidden="false" customHeight="false" outlineLevel="0" collapsed="false">
      <c r="A111" s="11" t="s">
        <v>932</v>
      </c>
      <c r="B111" s="2"/>
      <c r="C111" s="2"/>
      <c r="D111" s="2"/>
      <c r="E111" s="2"/>
      <c r="F111" s="2"/>
      <c r="G111" s="2"/>
      <c r="H111" s="2"/>
      <c r="I111" s="2"/>
      <c r="J111" s="2"/>
      <c r="K111" s="2"/>
      <c r="L111" s="2"/>
      <c r="M111" s="2"/>
      <c r="N111" s="2"/>
      <c r="O111" s="2"/>
      <c r="P1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3" min="1" style="0" width="12"/>
    <col collapsed="false" customWidth="true" hidden="false" outlineLevel="0" max="4" min="4" style="0" width="18.9"/>
  </cols>
  <sheetData>
    <row r="1" customFormat="false" ht="42" hidden="false" customHeight="true" outlineLevel="0" collapsed="false">
      <c r="A1" s="5" t="s">
        <v>989</v>
      </c>
      <c r="B1" s="5" t="s">
        <v>990</v>
      </c>
      <c r="C1" s="5" t="s">
        <v>960</v>
      </c>
      <c r="D1" s="5" t="s">
        <v>991</v>
      </c>
    </row>
    <row r="2" customFormat="false" ht="15" hidden="false" customHeight="false" outlineLevel="0" collapsed="false">
      <c r="A2" s="2" t="n">
        <v>2018</v>
      </c>
      <c r="B2" s="2" t="n">
        <v>655</v>
      </c>
      <c r="C2" s="2" t="n">
        <v>63</v>
      </c>
      <c r="D2" s="2" t="n">
        <v>0</v>
      </c>
    </row>
    <row r="3" customFormat="false" ht="15" hidden="false" customHeight="false" outlineLevel="0" collapsed="false">
      <c r="A3" s="2" t="n">
        <v>2019</v>
      </c>
      <c r="B3" s="2" t="n">
        <v>481</v>
      </c>
      <c r="C3" s="2" t="n">
        <v>161</v>
      </c>
      <c r="D3" s="2" t="n">
        <v>0</v>
      </c>
    </row>
    <row r="4" customFormat="false" ht="15" hidden="false" customHeight="false" outlineLevel="0" collapsed="false">
      <c r="A4" s="2" t="n">
        <v>2020</v>
      </c>
      <c r="B4" s="2" t="n">
        <v>622</v>
      </c>
      <c r="C4" s="2" t="n">
        <v>301</v>
      </c>
      <c r="D4" s="2" t="n">
        <v>20</v>
      </c>
    </row>
    <row r="5" customFormat="false" ht="15" hidden="false" customHeight="false" outlineLevel="0" collapsed="false">
      <c r="A5" s="2" t="n">
        <v>2021</v>
      </c>
      <c r="B5" s="2" t="n">
        <v>1132</v>
      </c>
      <c r="C5" s="2" t="n">
        <v>247</v>
      </c>
      <c r="D5" s="2" t="n">
        <v>134</v>
      </c>
    </row>
    <row r="6" customFormat="false" ht="15" hidden="false" customHeight="false" outlineLevel="0" collapsed="false">
      <c r="A6" s="2" t="n">
        <v>2022</v>
      </c>
      <c r="B6" s="2" t="n">
        <v>1616</v>
      </c>
      <c r="C6" s="2" t="n">
        <v>965</v>
      </c>
      <c r="D6" s="2" t="n">
        <v>79</v>
      </c>
    </row>
    <row r="7" customFormat="false" ht="15" hidden="false" customHeight="false" outlineLevel="0" collapsed="false">
      <c r="A7" s="2" t="n">
        <v>2023</v>
      </c>
      <c r="B7" s="2" t="n">
        <v>880</v>
      </c>
      <c r="C7" s="2" t="n">
        <v>713</v>
      </c>
      <c r="D7" s="2" t="n">
        <v>185</v>
      </c>
    </row>
    <row r="8" customFormat="false" ht="15" hidden="false" customHeight="false" outlineLevel="0" collapsed="false">
      <c r="A8" s="2" t="n">
        <v>2024</v>
      </c>
      <c r="B8" s="2" t="n">
        <v>1402</v>
      </c>
      <c r="C8" s="2" t="n">
        <v>1607</v>
      </c>
      <c r="D8" s="2" t="n">
        <v>350</v>
      </c>
    </row>
    <row r="9" customFormat="false" ht="15" hidden="false" customHeight="false" outlineLevel="0" collapsed="false">
      <c r="A9" s="2" t="n">
        <v>2025</v>
      </c>
      <c r="B9" s="2" t="n">
        <v>1113</v>
      </c>
      <c r="C9" s="2" t="n">
        <v>513</v>
      </c>
      <c r="D9" s="2" t="n">
        <v>237</v>
      </c>
    </row>
    <row r="10" customFormat="false" ht="15" hidden="false" customHeight="false" outlineLevel="0" collapsed="false">
      <c r="A10" s="2" t="n">
        <v>2026</v>
      </c>
      <c r="B10" s="2" t="n">
        <v>2795</v>
      </c>
      <c r="C10" s="2" t="n">
        <v>745</v>
      </c>
      <c r="D10" s="2" t="n">
        <v>270</v>
      </c>
    </row>
    <row r="11" customFormat="false" ht="15" hidden="false" customHeight="false" outlineLevel="0" collapsed="false">
      <c r="A11" s="2"/>
      <c r="B11" s="2"/>
      <c r="C11" s="2"/>
      <c r="D11" s="2"/>
    </row>
    <row r="12" customFormat="false" ht="15" hidden="false" customHeight="false" outlineLevel="0" collapsed="false">
      <c r="A12" s="11" t="s">
        <v>932</v>
      </c>
      <c r="B12" s="2"/>
      <c r="C12" s="2"/>
      <c r="D1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5.3"/>
    <col collapsed="false" customWidth="true" hidden="false" outlineLevel="0" max="3" min="3" style="0" width="22"/>
    <col collapsed="false" customWidth="true" hidden="false" outlineLevel="0" max="4" min="4" style="0" width="20.7"/>
    <col collapsed="false" customWidth="true" hidden="false" outlineLevel="0" max="6" min="5" style="0" width="12"/>
  </cols>
  <sheetData>
    <row r="1" customFormat="false" ht="42" hidden="false" customHeight="true" outlineLevel="0" collapsed="false">
      <c r="A1" s="5" t="s">
        <v>992</v>
      </c>
      <c r="B1" s="5" t="s">
        <v>993</v>
      </c>
      <c r="C1" s="5" t="s">
        <v>994</v>
      </c>
      <c r="D1" s="5" t="s">
        <v>995</v>
      </c>
      <c r="E1" s="5" t="s">
        <v>996</v>
      </c>
      <c r="F1" s="5" t="s">
        <v>997</v>
      </c>
    </row>
    <row r="2" customFormat="false" ht="15" hidden="false" customHeight="false" outlineLevel="0" collapsed="false">
      <c r="A2" s="2" t="s">
        <v>998</v>
      </c>
      <c r="B2" s="2" t="n">
        <v>47</v>
      </c>
      <c r="C2" s="2" t="n">
        <v>1.8</v>
      </c>
      <c r="D2" s="2" t="n">
        <v>8</v>
      </c>
      <c r="E2" s="2" t="n">
        <v>4.2</v>
      </c>
      <c r="F2" s="2" t="n">
        <v>17.8</v>
      </c>
    </row>
    <row r="3" customFormat="false" ht="15" hidden="false" customHeight="false" outlineLevel="0" collapsed="false">
      <c r="A3" s="2" t="s">
        <v>145</v>
      </c>
      <c r="B3" s="2" t="n">
        <v>18</v>
      </c>
      <c r="C3" s="2" t="n">
        <v>1.7</v>
      </c>
      <c r="D3" s="2" t="n">
        <v>4.1</v>
      </c>
      <c r="E3" s="2" t="n">
        <v>2.3</v>
      </c>
      <c r="F3" s="2" t="n">
        <v>5.8</v>
      </c>
    </row>
    <row r="4" customFormat="false" ht="15" hidden="false" customHeight="false" outlineLevel="0" collapsed="false">
      <c r="A4" s="2" t="s">
        <v>118</v>
      </c>
      <c r="B4" s="2" t="n">
        <v>15</v>
      </c>
      <c r="C4" s="2" t="n">
        <v>1.8</v>
      </c>
      <c r="D4" s="2" t="n">
        <v>8.3</v>
      </c>
      <c r="E4" s="2" t="n">
        <v>6</v>
      </c>
      <c r="F4" s="2" t="n">
        <v>11.2</v>
      </c>
    </row>
    <row r="5" customFormat="false" ht="15" hidden="false" customHeight="false" outlineLevel="0" collapsed="false">
      <c r="A5" s="2" t="s">
        <v>91</v>
      </c>
      <c r="B5" s="2" t="n">
        <v>6</v>
      </c>
      <c r="C5" s="2" t="n">
        <v>1.4</v>
      </c>
      <c r="D5" s="2" t="n">
        <v>21.5</v>
      </c>
      <c r="E5" s="2" t="n">
        <v>17.7</v>
      </c>
      <c r="F5" s="2" t="n">
        <v>26.6</v>
      </c>
    </row>
    <row r="6" customFormat="false" ht="15" hidden="false" customHeight="false" outlineLevel="0" collapsed="false">
      <c r="A6" s="2" t="s">
        <v>70</v>
      </c>
      <c r="B6" s="2" t="n">
        <v>4</v>
      </c>
      <c r="C6" s="2" t="n">
        <v>2.3</v>
      </c>
      <c r="D6" s="2" t="n">
        <v>34</v>
      </c>
      <c r="E6" s="2" t="n">
        <v>24</v>
      </c>
      <c r="F6" s="2" t="n">
        <v>44.2</v>
      </c>
    </row>
    <row r="7" customFormat="false" ht="15" hidden="false" customHeight="false" outlineLevel="0" collapsed="false">
      <c r="A7" s="2" t="s">
        <v>292</v>
      </c>
      <c r="B7" s="2" t="n">
        <v>3</v>
      </c>
      <c r="C7" s="2" t="n">
        <v>2.1</v>
      </c>
      <c r="D7" s="2" t="n">
        <v>50.3</v>
      </c>
      <c r="E7" s="2" t="n">
        <v>38.4</v>
      </c>
      <c r="F7" s="2" t="n">
        <v>73.7</v>
      </c>
    </row>
    <row r="8" customFormat="false" ht="15" hidden="false" customHeight="false" outlineLevel="0" collapsed="false">
      <c r="A8" s="2" t="s">
        <v>83</v>
      </c>
      <c r="B8" s="2" t="n">
        <v>22</v>
      </c>
      <c r="C8" s="2" t="n">
        <v>1.7</v>
      </c>
      <c r="D8" s="2" t="n">
        <v>4.2</v>
      </c>
      <c r="E8" s="2" t="n">
        <v>2.6</v>
      </c>
      <c r="F8" s="2" t="n">
        <v>12.1</v>
      </c>
    </row>
    <row r="9" customFormat="false" ht="15" hidden="false" customHeight="false" outlineLevel="0" collapsed="false">
      <c r="A9" s="2" t="s">
        <v>95</v>
      </c>
      <c r="B9" s="2" t="n">
        <v>9</v>
      </c>
      <c r="C9" s="2" t="n">
        <v>1.8</v>
      </c>
      <c r="D9" s="2" t="n">
        <v>8</v>
      </c>
      <c r="E9" s="2" t="n">
        <v>5.3</v>
      </c>
      <c r="F9" s="2" t="n">
        <v>10.7</v>
      </c>
    </row>
    <row r="10" customFormat="false" ht="15" hidden="false" customHeight="false" outlineLevel="0" collapsed="false">
      <c r="A10" s="2" t="s">
        <v>71</v>
      </c>
      <c r="B10" s="2" t="n">
        <v>8</v>
      </c>
      <c r="C10" s="2" t="n">
        <v>2</v>
      </c>
      <c r="D10" s="2" t="n">
        <v>34.3</v>
      </c>
      <c r="E10" s="2" t="n">
        <v>20.9</v>
      </c>
      <c r="F10" s="2" t="n">
        <v>50.3</v>
      </c>
    </row>
    <row r="11" customFormat="false" ht="15" hidden="false" customHeight="false" outlineLevel="0" collapsed="false">
      <c r="A11" s="2"/>
      <c r="B11" s="2"/>
      <c r="C11" s="2"/>
      <c r="D11" s="2"/>
      <c r="E11" s="2"/>
      <c r="F11" s="2"/>
    </row>
    <row r="12" customFormat="false" ht="15" hidden="false" customHeight="false" outlineLevel="0" collapsed="false">
      <c r="A12" s="11" t="s">
        <v>932</v>
      </c>
      <c r="B12" s="2"/>
      <c r="C12" s="2"/>
      <c r="D12" s="2"/>
      <c r="E12" s="2"/>
      <c r="F1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9.8"/>
    <col collapsed="false" customWidth="true" hidden="false" outlineLevel="0" max="3" min="3" style="0" width="12"/>
  </cols>
  <sheetData>
    <row r="1" customFormat="false" ht="42" hidden="false" customHeight="true" outlineLevel="0" collapsed="false">
      <c r="A1" s="5" t="s">
        <v>999</v>
      </c>
      <c r="B1" s="5" t="s">
        <v>1000</v>
      </c>
      <c r="C1" s="5" t="s">
        <v>32</v>
      </c>
    </row>
    <row r="2" customFormat="false" ht="15" hidden="false" customHeight="false" outlineLevel="0" collapsed="false">
      <c r="A2" s="2" t="s">
        <v>1001</v>
      </c>
      <c r="B2" s="2" t="n">
        <v>94</v>
      </c>
      <c r="C2" s="2" t="n">
        <v>5143</v>
      </c>
    </row>
    <row r="3" customFormat="false" ht="15" hidden="false" customHeight="false" outlineLevel="0" collapsed="false">
      <c r="A3" s="2" t="s">
        <v>1002</v>
      </c>
      <c r="B3" s="2" t="n">
        <v>14</v>
      </c>
      <c r="C3" s="2" t="n">
        <v>311</v>
      </c>
    </row>
    <row r="4" customFormat="false" ht="15" hidden="false" customHeight="false" outlineLevel="0" collapsed="false">
      <c r="A4" s="2" t="s">
        <v>1003</v>
      </c>
      <c r="B4" s="2" t="n">
        <v>4</v>
      </c>
      <c r="C4" s="2" t="n">
        <v>156</v>
      </c>
    </row>
    <row r="5" customFormat="false" ht="15" hidden="false" customHeight="false" outlineLevel="0" collapsed="false">
      <c r="A5" s="2" t="s">
        <v>1004</v>
      </c>
      <c r="B5" s="2" t="n">
        <v>9</v>
      </c>
      <c r="C5" s="2" t="n">
        <v>666</v>
      </c>
    </row>
    <row r="6" customFormat="false" ht="15" hidden="false" customHeight="false" outlineLevel="0" collapsed="false">
      <c r="A6" s="2" t="s">
        <v>1005</v>
      </c>
      <c r="B6" s="2" t="n">
        <v>0</v>
      </c>
      <c r="C6" s="2" t="n">
        <v>0</v>
      </c>
    </row>
    <row r="7" customFormat="false" ht="15" hidden="false" customHeight="false" outlineLevel="0" collapsed="false">
      <c r="A7" s="2" t="s">
        <v>1006</v>
      </c>
      <c r="B7" s="2" t="n">
        <v>2</v>
      </c>
      <c r="C7" s="2" t="n">
        <v>98</v>
      </c>
    </row>
    <row r="8" customFormat="false" ht="15" hidden="false" customHeight="false" outlineLevel="0" collapsed="false">
      <c r="A8" s="2" t="s">
        <v>1007</v>
      </c>
      <c r="B8" s="2" t="n">
        <v>163</v>
      </c>
      <c r="C8" s="2" t="n">
        <v>6478</v>
      </c>
    </row>
    <row r="9" customFormat="false" ht="15" hidden="false" customHeight="false" outlineLevel="0" collapsed="false">
      <c r="A9" s="2" t="s">
        <v>1008</v>
      </c>
      <c r="B9" s="2" t="n">
        <v>48</v>
      </c>
      <c r="C9" s="2" t="n">
        <v>2703</v>
      </c>
    </row>
    <row r="10" customFormat="false" ht="15" hidden="false" customHeight="false" outlineLevel="0" collapsed="false">
      <c r="A10" s="2" t="s">
        <v>1009</v>
      </c>
      <c r="B10" s="2" t="n">
        <v>14</v>
      </c>
      <c r="C10" s="2" t="n">
        <v>518</v>
      </c>
    </row>
    <row r="11" customFormat="false" ht="15" hidden="false" customHeight="false" outlineLevel="0" collapsed="false">
      <c r="A11" s="2" t="s">
        <v>1010</v>
      </c>
      <c r="B11" s="2" t="n">
        <v>3</v>
      </c>
      <c r="C11" s="2" t="n">
        <v>90</v>
      </c>
    </row>
    <row r="12" customFormat="false" ht="15" hidden="false" customHeight="false" outlineLevel="0" collapsed="false">
      <c r="A12" s="2" t="s">
        <v>1011</v>
      </c>
      <c r="B12" s="2" t="n">
        <v>14</v>
      </c>
      <c r="C12" s="2"/>
    </row>
    <row r="13" customFormat="false" ht="15" hidden="false" customHeight="false" outlineLevel="0" collapsed="false">
      <c r="A13" s="2"/>
      <c r="B13" s="2"/>
      <c r="C13" s="2"/>
    </row>
    <row r="14" customFormat="false" ht="15" hidden="false" customHeight="false" outlineLevel="0" collapsed="false">
      <c r="A14" s="11" t="s">
        <v>932</v>
      </c>
      <c r="B14" s="2"/>
      <c r="C14"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s>
  <sheetData>
    <row r="1" customFormat="false" ht="42" hidden="false" customHeight="true" outlineLevel="0" collapsed="false">
      <c r="A1" s="5" t="s">
        <v>1012</v>
      </c>
      <c r="B1" s="5" t="s">
        <v>1013</v>
      </c>
    </row>
    <row r="2" customFormat="false" ht="15" hidden="false" customHeight="false" outlineLevel="0" collapsed="false">
      <c r="A2" s="2" t="s">
        <v>1014</v>
      </c>
      <c r="B2" s="2" t="n">
        <v>265</v>
      </c>
    </row>
    <row r="3" customFormat="false" ht="15" hidden="false" customHeight="false" outlineLevel="0" collapsed="false">
      <c r="A3" s="2" t="s">
        <v>1015</v>
      </c>
      <c r="B3" s="2" t="n">
        <v>251</v>
      </c>
    </row>
    <row r="4" customFormat="false" ht="15" hidden="false" customHeight="false" outlineLevel="0" collapsed="false">
      <c r="A4" s="2" t="s">
        <v>1016</v>
      </c>
      <c r="B4" s="2" t="n">
        <v>132</v>
      </c>
    </row>
    <row r="5" customFormat="false" ht="15" hidden="false" customHeight="false" outlineLevel="0" collapsed="false">
      <c r="A5" s="2" t="s">
        <v>1017</v>
      </c>
      <c r="B5" s="2" t="n">
        <v>10</v>
      </c>
    </row>
    <row r="6" customFormat="false" ht="15" hidden="false" customHeight="false" outlineLevel="0" collapsed="false">
      <c r="A6" s="2" t="s">
        <v>1018</v>
      </c>
      <c r="B6" s="2" t="n">
        <v>47</v>
      </c>
    </row>
    <row r="7" customFormat="false" ht="15" hidden="false" customHeight="false" outlineLevel="0" collapsed="false">
      <c r="A7" s="2" t="s">
        <v>1019</v>
      </c>
      <c r="B7" s="2" t="n">
        <v>44</v>
      </c>
    </row>
    <row r="8" customFormat="false" ht="15" hidden="false" customHeight="false" outlineLevel="0" collapsed="false">
      <c r="A8" s="2" t="s">
        <v>1020</v>
      </c>
      <c r="B8" s="2" t="n">
        <v>1275</v>
      </c>
    </row>
    <row r="9" customFormat="false" ht="15" hidden="false" customHeight="false" outlineLevel="0" collapsed="false">
      <c r="A9" s="2" t="s">
        <v>1021</v>
      </c>
      <c r="B9" s="2" t="n">
        <v>340</v>
      </c>
    </row>
    <row r="10" customFormat="false" ht="15" hidden="false" customHeight="false" outlineLevel="0" collapsed="false">
      <c r="A10" s="2" t="s">
        <v>1022</v>
      </c>
      <c r="B10" s="2" t="n">
        <v>55</v>
      </c>
    </row>
    <row r="11" customFormat="false" ht="15" hidden="false" customHeight="false" outlineLevel="0" collapsed="false">
      <c r="A11" s="2" t="s">
        <v>1023</v>
      </c>
      <c r="B11" s="2" t="n">
        <v>10</v>
      </c>
    </row>
    <row r="12" customFormat="false" ht="15" hidden="false" customHeight="false" outlineLevel="0" collapsed="false">
      <c r="A12" s="2" t="s">
        <v>1024</v>
      </c>
      <c r="B12" s="2" t="n">
        <v>104</v>
      </c>
    </row>
    <row r="13" customFormat="false" ht="15" hidden="false" customHeight="false" outlineLevel="0" collapsed="false">
      <c r="A13" s="2" t="s">
        <v>1025</v>
      </c>
      <c r="B13" s="2" t="n">
        <v>76</v>
      </c>
    </row>
    <row r="14" customFormat="false" ht="15" hidden="false" customHeight="false" outlineLevel="0" collapsed="false">
      <c r="A14" s="2" t="s">
        <v>1026</v>
      </c>
      <c r="B14" s="2" t="n">
        <v>1737</v>
      </c>
    </row>
    <row r="15" customFormat="false" ht="15" hidden="false" customHeight="false" outlineLevel="0" collapsed="false">
      <c r="A15" s="2"/>
      <c r="B15" s="2"/>
    </row>
    <row r="16" customFormat="false" ht="15" hidden="false" customHeight="false" outlineLevel="0" collapsed="false">
      <c r="A16" s="11" t="s">
        <v>932</v>
      </c>
      <c r="B1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2026-10-15T16:03:26Z</dcterms:created>
  <dc:creator>openpyxl</dc:creator>
  <dc:description/>
  <dc:language>en-US</dc:language>
  <cp:lastModifiedBy/>
  <dcterms:modified xsi:type="dcterms:W3CDTF">2026-10-15T16:03:27Z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