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tro" sheetId="1" state="visible" r:id="rId3"/>
    <sheet name="Total" sheetId="2" state="visible" r:id="rId4"/>
    <sheet name="Land" sheetId="3" state="visible" r:id="rId5"/>
    <sheet name="Land at Council density" sheetId="4" state="visible" r:id="rId6"/>
    <sheet name="Zoned land vs need" sheetId="5" state="visible" r:id="rId7"/>
    <sheet name="Opportunity sites &amp; options" sheetId="6" state="visible" r:id="rId8"/>
    <sheet name="Ballinacurra" sheetId="7" state="visible" r:id="rId9"/>
    <sheet name="Caherdavin" sheetId="8" state="visible" r:id="rId10"/>
    <sheet name="Castletroy-Annacotty" sheetId="9" state="visible" r:id="rId11"/>
    <sheet name="City Centre" sheetId="10" state="visible" r:id="rId12"/>
    <sheet name="Corbally-Grove Island" sheetId="11" state="visible" r:id="rId13"/>
    <sheet name="Dooradoyle" sheetId="12" state="visible" r:id="rId14"/>
    <sheet name="Kings Island" sheetId="13" state="visible" r:id="rId15"/>
    <sheet name="Singland-Garryowen" sheetId="14" state="visible" r:id="rId16"/>
    <sheet name="Southhill" sheetId="15" state="visible" r:id="rId17"/>
    <sheet name="Abbeyfeale" sheetId="16" state="visible" r:id="rId18"/>
    <sheet name="Caherconlish" sheetId="17" state="visible" r:id="rId19"/>
    <sheet name="Castleconnell" sheetId="18" state="visible" r:id="rId20"/>
    <sheet name="Kilmallock" sheetId="19" state="visible" r:id="rId21"/>
    <sheet name="Newcastle West" sheetId="20" state="visible" r:id="rId22"/>
    <sheet name="Rathkeale" sheetId="21" state="visible" r:id="rId23"/>
    <sheet name="Adare" sheetId="22" state="visible" r:id="rId24"/>
    <sheet name="Askeaton" sheetId="23" state="visible" r:id="rId25"/>
    <sheet name="Bruff" sheetId="24" state="visible" r:id="rId26"/>
    <sheet name="Cappamore" sheetId="25" state="visible" r:id="rId27"/>
    <sheet name="Croom" sheetId="26" state="visible" r:id="rId28"/>
    <sheet name="Hospital" sheetId="27" state="visible" r:id="rId29"/>
    <sheet name="Kilfinnane" sheetId="28" state="visible" r:id="rId30"/>
    <sheet name="Moroe" sheetId="29" state="visible" r:id="rId31"/>
    <sheet name="Patrickswell" sheetId="30" state="visible" r:id="rId32"/>
    <sheet name="Rest of county" sheetId="31" state="visible" r:id="rId33"/>
    <sheet name="Validation" sheetId="32" state="visible" r:id="rId34"/>
    <sheet name="Model" sheetId="33" state="visible" r:id="rId35"/>
    <sheet name="Data" sheetId="34" state="visible" r:id="rId3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<sst xmlns="http://schemas.openxmlformats.org/spreadsheetml/2006/main" count="2838" uniqueCount="853">
  <si>
    <t xml:space="preserve">Limerick Housing Delivery Strategy 2040 · housing need by catchment</t>
  </si>
  <si>
    <t xml:space="preserve">Spatialis for Limerick City and County Council. The same model as the story dashboard: choose the scenario levers below and every tab updates.</t>
  </si>
  <si>
    <t xml:space="preserve">Yellow cells with blue text are the levers: pick from each drop-down. Everything else is calculated. The Total tab is the sum of the 25 catchment tabs; the Validation tab checks that everything adds up.</t>
  </si>
  <si>
    <t xml:space="preserve">Group</t>
  </si>
  <si>
    <t xml:space="preserve">Lever</t>
  </si>
  <si>
    <t xml:space="preserve">Selection</t>
  </si>
  <si>
    <t xml:space="preserve">What it does</t>
  </si>
  <si>
    <t xml:space="preserve">Timing</t>
  </si>
  <si>
    <t xml:space="preserve">Plan to the end of</t>
  </si>
  <si>
    <t xml:space="preserve">Years after this are zero in every tab. The Council target is front-loaded (4,263 a year to 2030) and meets the HNDA need total in 2040.</t>
  </si>
  <si>
    <t xml:space="preserve">1 · Spatial allocation</t>
  </si>
  <si>
    <t xml:space="preserve">Share homes between places</t>
  </si>
  <si>
    <t xml:space="preserve">S1: Core Strategy (Variation No. 3)</t>
  </si>
  <si>
    <t xml:space="preserve">S1 applies the Core Strategy shares (Variation No. 3, Table 2.6) to the 2026–2040 total; the city figure is split between the 9 neighbourhoods by 2022 population. S2 and S3 use Census 2022 population or households.</t>
  </si>
  <si>
    <t xml:space="preserve">2 · Unit mix</t>
  </si>
  <si>
    <t xml:space="preserve">Bedroom mix scenario</t>
  </si>
  <si>
    <t xml:space="preserve">S1: Moving PPH proxy</t>
  </si>
  <si>
    <t xml:space="preserve">S1: the Council's planned split by year (persons per household read as bedrooms). S2: the bedrooms each catchment's 2022 households need, applied to its new homes.</t>
  </si>
  <si>
    <t xml:space="preserve">2 · Unit mix (S2 modifier)</t>
  </si>
  <si>
    <t xml:space="preserve">Sharing benchmark</t>
  </si>
  <si>
    <t xml:space="preserve">Catchment's own 2011 rate</t>
  </si>
  <si>
    <t xml:space="preserve">Unrelated adults sharing above this rate are counted as people who would live alone, each needing a 1-bed. Only affects S2.</t>
  </si>
  <si>
    <t xml:space="preserve">Children's bedrooms</t>
  </si>
  <si>
    <t xml:space="preserve">One bedroom per child</t>
  </si>
  <si>
    <t xml:space="preserve">Only affects S2.</t>
  </si>
  <si>
    <t xml:space="preserve">Singles and younger couples given a 2-bed</t>
  </si>
  <si>
    <t xml:space="preserve">0% is the minimum rule: one bedroom per single person or couple. Only affects S2.</t>
  </si>
  <si>
    <t xml:space="preserve">Downsizers: older couples given a 2-bed</t>
  </si>
  <si>
    <t xml:space="preserve">Empty-nest and retired couples (CSO family cycle). Only affects S2.</t>
  </si>
  <si>
    <t xml:space="preserve">3 · Tenure mix</t>
  </si>
  <si>
    <t xml:space="preserve">Limerick tenure scenario</t>
  </si>
  <si>
    <t xml:space="preserve">S1: Working position</t>
  </si>
  <si>
    <t xml:space="preserve">Working position and market scenarios A, B and D from the Spatialis Limerick HNDA synopsis.</t>
  </si>
  <si>
    <t xml:space="preserve">3 · Tenure mix (modifier)</t>
  </si>
  <si>
    <t xml:space="preserve">Add housing list need to social</t>
  </si>
  <si>
    <t xml:space="preserve">No</t>
  </si>
  <si>
    <t xml:space="preserve">Moves 1,308 list households not already in the HNDA model (cleared over 2026–2035) into social, taken from private homes so the total stays fixed.</t>
  </si>
  <si>
    <t xml:space="preserve">Affordable homes for purchase</t>
  </si>
  <si>
    <t xml:space="preserve">The rest are cost rental. No source document gives this split; 50% is a placeholder.</t>
  </si>
  <si>
    <t xml:space="preserve">3 · Where social homes go</t>
  </si>
  <si>
    <t xml:space="preserve">Rule</t>
  </si>
  <si>
    <t xml:space="preserve">City first, with a floor and a ceiling</t>
  </si>
  <si>
    <t xml:space="preserve">City first: every area gets at least the floor; the rest of Limerick's social homes go to the city neighbourhoods in proportion to their new homes, without taking any above the ceiling.</t>
  </si>
  <si>
    <t xml:space="preserve">Ceiling: social share of a neighbourhood by the end year</t>
  </si>
  <si>
    <t xml:space="preserve">Counts existing (Census 2022 stated tenure) and new homes. 20% is about twice Limerick's current 9.7%. City-first rule only.</t>
  </si>
  <si>
    <t xml:space="preserve">Floor: social share of new homes everywhere</t>
  </si>
  <si>
    <t xml:space="preserve">10% matches the social part of Part V. City-first rule only.</t>
  </si>
  <si>
    <t xml:space="preserve">4 · Land (Council densities)</t>
  </si>
  <si>
    <t xml:space="preserve">Point in the Council density ranges</t>
  </si>
  <si>
    <t xml:space="preserve">Minimum</t>
  </si>
  <si>
    <t xml:space="preserve">Used by the Land at Council density tab only. Minimum is the lower bound of each range in Variation No. 3, Table 2.5/2.6 (the density that shall generally be applied).</t>
  </si>
  <si>
    <t xml:space="preserve">Defaults match the story dashboard's default settings.</t>
  </si>
  <si>
    <t xml:space="preserve">Headline results for the selected levers</t>
  </si>
  <si>
    <t xml:space="preserve">New homes, 2026 to end year</t>
  </si>
  <si>
    <t xml:space="preserve">Social homes</t>
  </si>
  <si>
    <t xml:space="preserve">Affordable homes (purchase and cost rental)</t>
  </si>
  <si>
    <t xml:space="preserve">Private homes (purchase and rent)</t>
  </si>
  <si>
    <t xml:space="preserve">1-bed share of new homes</t>
  </si>
  <si>
    <t xml:space="preserve">4+ bed share of new homes</t>
  </si>
  <si>
    <t xml:space="preserve">Validation</t>
  </si>
  <si>
    <t xml:space="preserve">Tabs</t>
  </si>
  <si>
    <t xml:space="preserve">Total</t>
  </si>
  <si>
    <t xml:space="preserve">Sum of the 25 catchment tabs, per year, with bedrooms and tenure.</t>
  </si>
  <si>
    <t xml:space="preserve">Land</t>
  </si>
  <si>
    <t xml:space="preserve">New homes by year for every catchment and the land needed at its existing net density (editable).</t>
  </si>
  <si>
    <t xml:space="preserve">Land at Council density</t>
  </si>
  <si>
    <t xml:space="preserve">The same homes at the Council's target densities from Variation No. 3, with the difference from existing densities.</t>
  </si>
  <si>
    <t xml:space="preserve">Zoned land vs need</t>
  </si>
  <si>
    <t xml:space="preserve">Land already identified in the land register against the 2040 need at Council densities: shortfall, additional land to 2040, and with headroom (yellow lever).</t>
  </si>
  <si>
    <t xml:space="preserve">Opportunity sites &amp; options</t>
  </si>
  <si>
    <t xml:space="preserve">What the opportunity sites could add to the shortfall, what is left for infill, and options to close it (city infill density lever).</t>
  </si>
  <si>
    <t xml:space="preserve">25 catchment tabs</t>
  </si>
  <si>
    <t xml:space="preserve">9 city neighbourhoods, 6 key towns, 9 villages and the rest of the county, in that order.</t>
  </si>
  <si>
    <t xml:space="preserve">Checks that homes, bedrooms and tenure add up and match the Limerick totals.</t>
  </si>
  <si>
    <t xml:space="preserve">Model</t>
  </si>
  <si>
    <t xml:space="preserve">Every calculation, one row per catchment.</t>
  </si>
  <si>
    <t xml:space="preserve">Data</t>
  </si>
  <si>
    <t xml:space="preserve">The input data and the drop-down lists.</t>
  </si>
  <si>
    <t xml:space="preserve">Assumptions and sources</t>
  </si>
  <si>
    <t xml:space="preserve">Homes per year</t>
  </si>
  <si>
    <t xml:space="preserve">Council delivery target by year, from the Spatialis Limerick HNDA synopsis (October 2026). It totals 39,864 by 2040, matching the new HNDA need.</t>
  </si>
  <si>
    <t xml:space="preserve">Spatial allocation</t>
  </si>
  <si>
    <t xml:space="preserve">Core Strategy, Variation No. 3 of the Limerick Development Plan 2022–2028 (made 28 September 2026), Table 2.6, housing growth requirement June 2025 to December 2030. Its shares are applied to the 2026–2040 total. The study's town and village groupings differ from the Core Strategy levels.</t>
  </si>
  <si>
    <t xml:space="preserve">S1 unit mix</t>
  </si>
  <si>
    <t xml:space="preserve">The Council's Interim HNDA Bed Split sheet (1-ph to 5+ ph), read as bedrooms, with 4 and 5+ combined. After 2035 the 2026–2035 split is used. The sheet is labelled persons per household; which unit was meant should be confirmed.</t>
  </si>
  <si>
    <t xml:space="preserve">S2 unit mix</t>
  </si>
  <si>
    <t xml:space="preserve">Census 2022 household types (T5_1), children (T4_2) and CSO family cycle (T4_5): a bedroom for each adult, couples share, one per child (or under-15s share). Sharing above the benchmark counts as would-be single households. It plans for households already there, not for in-movers, and does not test affordability.</t>
  </si>
  <si>
    <t xml:space="preserve">Tenure</t>
  </si>
  <si>
    <t xml:space="preserve">Working position and market scenarios A, B and D from the synopsis. Scenarios published as period totals are spread within each period by the annual HNDA need. The affordable purchase / cost rental split is a setting with no source.</t>
  </si>
  <si>
    <t xml:space="preserve">Social by need type</t>
  </si>
  <si>
    <t xml:space="preserve">HDAP 2027–2030 assessed-need shares: disability 490, older people 281, Traveller 29, community 49, of 2,637. The categories can overlap.</t>
  </si>
  <si>
    <t xml:space="preserve">Where social homes go</t>
  </si>
  <si>
    <t xml:space="preserve">Limerick's social total is kept. Each area gets the floor share; the rest goes to the city neighbourhoods in proportion to their new homes, capped so no neighbourhood's social share (existing plus new, Census 2022 stated tenure) passes the ceiling. Existing homes keep their tenure.</t>
  </si>
  <si>
    <t xml:space="preserve">Catchment tenure by year</t>
  </si>
  <si>
    <t xml:space="preserve">Each catchment's tenure shares are set on its totals to the end year and applied to every year, as in the dashboard export. Limerick's year-by-year tenure profile is therefore not reproduced year by year in the Total tab; the period totals match.</t>
  </si>
  <si>
    <t xml:space="preserve">Difference from the dashboard</t>
  </si>
  <si>
    <t xml:space="preserve">The dashboard places city-first social homes in repeated passes and stops within half a home of the total. This workbook solves the same rule exactly, so catchment social figures can differ from the dashboard by less than one home.</t>
  </si>
  <si>
    <t xml:space="preserve">Limerick City and County · total of all catchments</t>
  </si>
  <si>
    <t xml:space="preserve">Catchments summed</t>
  </si>
  <si>
    <t xml:space="preserve">Social share of new homes</t>
  </si>
  <si>
    <t xml:space="preserve">Social rent share of households, 2022</t>
  </si>
  <si>
    <t xml:space="preserve">Social share of all homes at end year (2022 plus new)</t>
  </si>
  <si>
    <t xml:space="preserve">Bedroom mix</t>
  </si>
  <si>
    <t xml:space="preserve">Year</t>
  </si>
  <si>
    <t xml:space="preserve">Homes</t>
  </si>
  <si>
    <t xml:space="preserve">1-bed</t>
  </si>
  <si>
    <t xml:space="preserve">2-bed</t>
  </si>
  <si>
    <t xml:space="preserve">3-bed</t>
  </si>
  <si>
    <t xml:space="preserve">4+ bed</t>
  </si>
  <si>
    <t xml:space="preserve">Private purchase</t>
  </si>
  <si>
    <t xml:space="preserve">Private rent</t>
  </si>
  <si>
    <t xml:space="preserve">Affordable purchase</t>
  </si>
  <si>
    <t xml:space="preserve">Cost rental</t>
  </si>
  <si>
    <t xml:space="preserve">Social: general needs</t>
  </si>
  <si>
    <t xml:space="preserve">Social: disability</t>
  </si>
  <si>
    <t xml:space="preserve">Social: older people</t>
  </si>
  <si>
    <t xml:space="preserve">Social: Traveller</t>
  </si>
  <si>
    <t xml:space="preserve">Social: community</t>
  </si>
  <si>
    <t xml:space="preserve">Total 2026 to end year</t>
  </si>
  <si>
    <t xml:space="preserve">Share of new homes</t>
  </si>
  <si>
    <t xml:space="preserve">Unit mix: existing homes, new homes and the two combined at the end year</t>
  </si>
  <si>
    <t xml:space="preserve">Bedrooms</t>
  </si>
  <si>
    <t xml:space="preserve">Existing homes, 2022</t>
  </si>
  <si>
    <t xml:space="preserve">%</t>
  </si>
  <si>
    <t xml:space="preserve">New homes</t>
  </si>
  <si>
    <t xml:space="preserve">Combined</t>
  </si>
  <si>
    <t xml:space="preserve">Existing homes: Census 2022 households by stated bedrooms (T6_9), with not stated and 0-bed households spread pro rata so the total is all households.</t>
  </si>
  <si>
    <t xml:space="preserve">Every cell is the sum of the same cell on the 25 catchment tabs. Per-year tenure is the sum of the catchments, so it follows each catchment's period shares rather than Limerick's year-by-year scenario profile; totals over the period match Limerick (see Validation).</t>
  </si>
  <si>
    <t xml:space="preserve">Figures are unrounded model outputs shown to the nearest home, so displayed rows can differ from totals by rounding.</t>
  </si>
  <si>
    <t xml:space="preserve">Land needed at existing densities</t>
  </si>
  <si>
    <t xml:space="preserve">Density (column C) is an input: the measured net density on existing residential (R2) land by default. Type a different homes-per-hectare figure to test another density.</t>
  </si>
  <si>
    <t xml:space="preserve">New homes by year</t>
  </si>
  <si>
    <t xml:space="preserve">Catchment</t>
  </si>
  <si>
    <t xml:space="preserve">Type of place</t>
  </si>
  <si>
    <t xml:space="preserve">Existing net density (homes/ha)</t>
  </si>
  <si>
    <t xml:space="preserve">Density basis</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</si>
  <si>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</si>
  <si>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</si>
  <si>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</si>
  <si>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</si>
  <si>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</si>
  <si>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</si>
  <si>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</si>
  <si>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</si>
  <si>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</si>
  <si>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</si>
  <si>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</si>
  <si>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</si>
  <si>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2038</t>
  </si>
  <si>
    <t xml:space="preserve">2039</t>
  </si>
  <si>
    <t xml:space="preserve">2040</t>
  </si>
  <si>
    <t xml:space="preserve">Homes, total</t>
  </si>
  <si>
    <t xml:space="preserve">Land needed (ha)</t>
  </si>
  <si>
    <t xml:space="preserve">Ballinacurra</t>
  </si>
  <si>
    <t xml:space="preserve">City neighbourhood</t>
  </si>
  <si>
    <t xml:space="preserve">R2 land: 1,919 homes on 62.0 ha (84% of its homes)</t>
  </si>
  <si>
    <t xml:space="preserve">Caherdavin</t>
  </si>
  <si>
    <t xml:space="preserve">R2 land: 7,640 homes on 305.5 ha (96% of its homes)</t>
  </si>
  <si>
    <t xml:space="preserve">Castletroy/Annacotty</t>
  </si>
  <si>
    <t xml:space="preserve">R2 land: 6,170 homes on 252.4 ha (71% of its homes)</t>
  </si>
  <si>
    <t xml:space="preserve">City Centre</t>
  </si>
  <si>
    <t xml:space="preserve">R2 land: 3,310 homes on 93.5 ha (37% of its homes)</t>
  </si>
  <si>
    <t xml:space="preserve">Corbally/Grove Island</t>
  </si>
  <si>
    <t xml:space="preserve">R2 land: 1,852 homes on 76.7 ha (100% of its homes)</t>
  </si>
  <si>
    <t xml:space="preserve">Dooradoyle</t>
  </si>
  <si>
    <t xml:space="preserve">R2 land: 7,060 homes on 314.2 ha (90% of its homes)</t>
  </si>
  <si>
    <t xml:space="preserve">Kings Island</t>
  </si>
  <si>
    <t xml:space="preserve">R2 land: 626 homes on 13.6 ha (58% of its homes)</t>
  </si>
  <si>
    <t xml:space="preserve">Singland/Garryowen</t>
  </si>
  <si>
    <t xml:space="preserve">R2 land: 4,232 homes on 119.8 ha (91% of its homes)</t>
  </si>
  <si>
    <t xml:space="preserve">Southhill</t>
  </si>
  <si>
    <t xml:space="preserve">R2 land: 2,401 homes on 98.5 ha (96% of its homes)</t>
  </si>
  <si>
    <t xml:space="preserve">Abbeyfeale</t>
  </si>
  <si>
    <t xml:space="preserve">Key town</t>
  </si>
  <si>
    <t xml:space="preserve">R2 land: 872 homes on 48.3 ha (76% of its homes)</t>
  </si>
  <si>
    <t xml:space="preserve">Caherconlish</t>
  </si>
  <si>
    <t xml:space="preserve">R2 land: 445 homes on 21.9 ha (78% of its homes)</t>
  </si>
  <si>
    <t xml:space="preserve">Castleconnell</t>
  </si>
  <si>
    <t xml:space="preserve">R2 land: 743 homes on 40.4 ha (71% of its homes)</t>
  </si>
  <si>
    <t xml:space="preserve">Kilmallock</t>
  </si>
  <si>
    <t xml:space="preserve">R2 land: 482 homes on 28.0 ha (56% of its homes)</t>
  </si>
  <si>
    <t xml:space="preserve">Newcastle West</t>
  </si>
  <si>
    <t xml:space="preserve">R2 land: 2,778 homes on 121.1 ha (88% of its homes)</t>
  </si>
  <si>
    <t xml:space="preserve">Rathkeale</t>
  </si>
  <si>
    <t xml:space="preserve">R2 land: 705 homes on 42.6 ha (85% of its homes)</t>
  </si>
  <si>
    <t xml:space="preserve">Adare</t>
  </si>
  <si>
    <t xml:space="preserve">Village</t>
  </si>
  <si>
    <t xml:space="preserve">R2 land: 515 homes on 39.9 ha (84% of its homes)</t>
  </si>
  <si>
    <t xml:space="preserve">Askeaton</t>
  </si>
  <si>
    <t xml:space="preserve">No zoning in the dataset for Askeaton: average of the villages with R2 zoning</t>
  </si>
  <si>
    <t xml:space="preserve">Bruff</t>
  </si>
  <si>
    <t xml:space="preserve">R2 land: 285 homes on 20.0 ha (67% of its homes)</t>
  </si>
  <si>
    <t xml:space="preserve">Cappamore</t>
  </si>
  <si>
    <t xml:space="preserve">R2 land: 264 homes on 12.2 ha (74% of its homes)</t>
  </si>
  <si>
    <t xml:space="preserve">Croom</t>
  </si>
  <si>
    <t xml:space="preserve">R2 land: 345 homes on 21.6 ha (64% of its homes)</t>
  </si>
  <si>
    <t xml:space="preserve">Hospital</t>
  </si>
  <si>
    <t xml:space="preserve">R2 land: 259 homes on 15.6 ha (73% of its homes)</t>
  </si>
  <si>
    <t xml:space="preserve">Kilfinnane</t>
  </si>
  <si>
    <t xml:space="preserve">R2 land: 342 homes on 17.7 ha (79% of its homes)</t>
  </si>
  <si>
    <t xml:space="preserve">Moroe</t>
  </si>
  <si>
    <t xml:space="preserve">R2 land: 484 homes on 18.8 ha (90% of its homes)</t>
  </si>
  <si>
    <t xml:space="preserve">Patrickswell</t>
  </si>
  <si>
    <t xml:space="preserve">R2 land: 374 homes on 17.4 ha (81% of its homes)</t>
  </si>
  <si>
    <t xml:space="preserve">Rest of county</t>
  </si>
  <si>
    <t xml:space="preserve">R2 land in the smaller zoned villages. Most homes here are one-off rural houses on unzoned land, at about 0.1 homes/ha gross</t>
  </si>
  <si>
    <t xml:space="preserve">Limerick</t>
  </si>
  <si>
    <t xml:space="preserve">Average density implied by the land total</t>
  </si>
  <si>
    <t xml:space="preserve">By type of place</t>
  </si>
  <si>
    <t xml:space="preserve">Average density (homes/ha)</t>
  </si>
  <si>
    <t xml:space="preserve">City neighbourhoods</t>
  </si>
  <si>
    <t xml:space="preserve">Key towns</t>
  </si>
  <si>
    <t xml:space="preserve">Villages</t>
  </si>
  <si>
    <t xml:space="preserve">Land needed by year (ha)</t>
  </si>
  <si>
    <t xml:space="preserve">Density used (homes/ha)</t>
  </si>
  <si>
    <t xml:space="preserve">Land, total (ha)</t>
  </si>
  <si>
    <t xml:space="preserve">Net density = homes on land zoned Existing Residential (GZT R2) ÷ that zoned area, from GeoDirectory residential addresses (2026 Q2 extract) and the LDP 2022–2028 / LAP zoning. It measures how densely existing residential areas are built, not the density of recent schemes or of town-centre and mixed-use land.</t>
  </si>
  <si>
    <t xml:space="preserve">City Centre: only 37% of its homes are on R2 land; the rest are on city-centre and mixed-use zoning at higher densities, so 35 homes/ha is a low figure for new city-centre schemes.</t>
  </si>
  <si>
    <t xml:space="preserve">Land needed is net residential land at the stated density. It excludes roads, open space, schools and other uses, and does not net off land already zoned, permitted or under construction (see the delivery tracker for identified land).</t>
  </si>
  <si>
    <t xml:space="preserve">Rest of county: most homes are one-off rural houses on unzoned land (30,455 homes on 258,786 ha). Land for those homes is not a density question, so the R2 village density is used as a placeholder; change it in column C.</t>
  </si>
  <si>
    <t xml:space="preserve">Land needed at the Council's target densities</t>
  </si>
  <si>
    <t xml:space="preserve">Densities: Variation No. 3 to the Limerick Development Plan 2022–2028, Section 2.3.5.2, Table 2.5/2.6 (net dwellings per hectare). The Data tab, Table 6, shows the zone and range used for each place.</t>
  </si>
  <si>
    <t xml:space="preserve">Council density used (homes/ha)</t>
  </si>
  <si>
    <t xml:space="preserve">Density zone</t>
  </si>
  <si>
    <t xml:space="preserve">Land at existing density (ha)</t>
  </si>
  <si>
    <t xml:space="preserve">Difference (ha)</t>
  </si>
  <si>
    <t xml:space="preserve">Source: Variation No. 3 to the Limerick Development Plan 2022–2028 (made 28 September 2026), Section 2.3.5.2, density table (Table 2.5, renumbered 2.6). Ranges are net dwellings per hectare. Figures were read from the published proposed variation; the strikethrough marking deleted text could not be checked, so confirm the ranges against the adopted plan.</t>
  </si>
  <si>
    <t xml:space="preserve">City neighbourhoods: Zone 2 (urban neighbourhoods) applies near high-frequency public transport and Zone 3 (suburban / urban extension) elsewhere. Each neighbourhood's density is weighted by the share of its identified housing land (land register, developable ha) in transport Tiers 1–2. City Centre uses Zone 1 for that land. Zone 3 locations that are accessible may be considered for up to 100 per ha; that is not used here.</t>
  </si>
  <si>
    <t xml:space="preserve">Towns and villages use the zone 2 / town-edge range, where most new housing land sits. Town-centre zones carry higher ranges (Castleconnell 50–150, Newcastle West 40–100). The older 80% / 20% serviced-sites rule (22 or 35 per ha, and 10 per ha) is not used.</t>
  </si>
  <si>
    <t xml:space="preserve">Rest of county: the variation sets no density for small villages, rural clusters or open countryside, so the existing density is kept. Land needed is net residential land; it excludes roads, open space and schools and does not net off land already zoned or permitted.</t>
  </si>
  <si>
    <t xml:space="preserve">Zoned land against 2040 need, at Council densities</t>
  </si>
  <si>
    <t xml:space="preserve">Homes needed 2026–2040 by catchment (this model) against the land already identified in the Limerick housing land register, with the identified land valued at the Council density used in the Land at Council density tab.</t>
  </si>
  <si>
    <t xml:space="preserve">Headroom on the 2040 need</t>
  </si>
  <si>
    <t xml:space="preserve">Change to test other headroom levels. The guidelines allow up to 50%.</t>
  </si>
  <si>
    <t xml:space="preserve">From this model</t>
  </si>
  <si>
    <t xml:space="preserve">From the land register</t>
  </si>
  <si>
    <t xml:space="preserve">Council density (homes/ha)</t>
  </si>
  <si>
    <t xml:space="preserve">Homes needed 2026–2040</t>
  </si>
  <si>
    <t xml:space="preserve">Land needed at Council density (ha)</t>
  </si>
  <si>
    <t xml:space="preserve">Consented homes not yet built</t>
  </si>
  <si>
    <t xml:space="preserve">Zoned land without consent (ha)</t>
  </si>
  <si>
    <t xml:space="preserve">Homes on that land at Council density</t>
  </si>
  <si>
    <t xml:space="preserve">Identified supply (homes)</t>
  </si>
  <si>
    <t xml:space="preserve">Identified supply as land (ha)</t>
  </si>
  <si>
    <t xml:space="preserve">Surplus (+) / shortfall (−), homes</t>
  </si>
  <si>
    <t xml:space="preserve">Enough zoned land?</t>
  </si>
  <si>
    <t xml:space="preserve">Additional land needed to 2040 (ha)</t>
  </si>
  <si>
    <t xml:space="preserve">Homes to plan for with headroom</t>
  </si>
  <si>
    <t xml:space="preserve">Additional land needed with headroom (ha)</t>
  </si>
  <si>
    <t xml:space="preserve">Register capacity of the unconsented land (homes)</t>
  </si>
  <si>
    <t xml:space="preserve">Sites with a manually set capacity (homes, unconsented)</t>
  </si>
  <si>
    <t xml:space="preserve">Neighbourhoods and settlements</t>
  </si>
  <si>
    <t xml:space="preserve">Remainder of county (not analysed)</t>
  </si>
  <si>
    <t xml:space="preserve">Outside the scope of this study; not assessed against land</t>
  </si>
  <si>
    <t xml:space="preserve">Homes needed</t>
  </si>
  <si>
    <t xml:space="preserve">Consented not built</t>
  </si>
  <si>
    <t xml:space="preserve">Homes on that land</t>
  </si>
  <si>
    <t xml:space="preserve">Identified supply</t>
  </si>
  <si>
    <t xml:space="preserve">Supply as land (ha)</t>
  </si>
  <si>
    <t xml:space="preserve">Surplus / shortfall</t>
  </si>
  <si>
    <t xml:space="preserve">Catchments short</t>
  </si>
  <si>
    <t xml:space="preserve">Additional land to 2040 (ha)</t>
  </si>
  <si>
    <t xml:space="preserve">Homes with headroom</t>
  </si>
  <si>
    <t xml:space="preserve">Additional land with headroom (ha)</t>
  </si>
  <si>
    <t xml:space="preserve">Register capacity</t>
  </si>
  <si>
    <t xml:space="preserve">Manually set (homes)</t>
  </si>
  <si>
    <t xml:space="preserve">How to read it</t>
  </si>
  <si>
    <t xml:space="preserve">Identified supply = consented homes not yet built + the register’s zoned land without consent valued at the Council density. Surplus or shortfall = identified supply − homes needed 2026–2040.</t>
  </si>
  <si>
    <t xml:space="preserve">Additional land needed = the shortfall ÷ the Council density (net residential ha). With headroom: (homes needed × (1 + headroom) − identified supply) ÷ Council density. A catchment in surplus needs no additional land; its surplus is not moved to other catchments.</t>
  </si>
  <si>
    <t xml:space="preserve">Manually set capacity: where the register holds a capacity set by hand (column Q; e.g. the masterplanned city-centre site CITY-107, 2,500 homes), that figure is used instead of land × Council density, and its land is left out of column G.</t>
  </si>
  <si>
    <t xml:space="preserve">Supply as land = zoned land without consent + consented homes ÷ Council density, for comparison with the land needed column.</t>
  </si>
  <si>
    <t xml:space="preserve">Land register: Limerick_Housing_Land_Register.gpkg, parcels not yet finished (built-out parcels excluded), as at the October 2026 build. Zoned land without consent = developable area × the share of the parcel’s capacity not yet consented. It includes the city and county council audits, the analyst’s zoned-land estimates for towns the county audit does not cover, and council-supplied sites.</t>
  </si>
  <si>
    <t xml:space="preserve">The register’s own capacity for the same land (last column) uses the council audit and site densities, not the Variation No. 3 ranges, so it differs from “Homes on that land at Council density”.</t>
  </si>
  <si>
    <t xml:space="preserve">Homes completed in 2026 count in the need but not in the supply (the register nets them off as built), so shortfalls are slightly overstated for 2026.</t>
  </si>
  <si>
    <t xml:space="preserve">The study covers the city neighbourhoods, key towns and villages. The remainder of the county is shown below the total for completeness only; it has not been assessed against land.</t>
  </si>
  <si>
    <t xml:space="preserve">Land is net residential land; it excludes roads, open space, schools and land that will not activate. See the activation discussion before treating the headroom figures as a zoning target.</t>
  </si>
  <si>
    <t xml:space="preserve">Opportunity sites and options for the 2040 shortfall</t>
  </si>
  <si>
    <t xml:space="preserve">Starts from the shortfall in the Zoned land vs need tab, adds the opportunity sites identified on the desk review, and shows how much infill land would still be needed. Opportunity-site homes are indicative (full site at Council density) and are not supply.</t>
  </si>
  <si>
    <t xml:space="preserve">City infill density (homes/ha)</t>
  </si>
  <si>
    <t xml:space="preserve">Density assumed for the remaining city infill on sites not yet identified. Change to test; Variation No. 3 allows 50–200 in city Zone 2 and 100–250 in the city centre.</t>
  </si>
  <si>
    <t xml:space="preserve">Headroom</t>
  </si>
  <si>
    <t xml:space="preserve">Taken from the Zoned land vs need tab.</t>
  </si>
  <si>
    <t xml:space="preserve">From Zoned land vs need</t>
  </si>
  <si>
    <t xml:space="preserve">From the opportunity sites register</t>
  </si>
  <si>
    <t xml:space="preserve">Analyst input</t>
  </si>
  <si>
    <t xml:space="preserve">Shortfall now (homes)</t>
  </si>
  <si>
    <t xml:space="preserve">Opportunity sites</t>
  </si>
  <si>
    <t xml:space="preserve">Opportunity homes: zoning allows housing</t>
  </si>
  <si>
    <t xml:space="preserve">Opportunity homes: needs rezoning</t>
  </si>
  <si>
    <t xml:space="preserve">Left after sites where zoning allows</t>
  </si>
  <si>
    <t xml:space="preserve">Left after all opportunity sites</t>
  </si>
  <si>
    <t xml:space="preserve">Infill constraint (enter to flag)</t>
  </si>
  <si>
    <t xml:space="preserve">Left in unconstrained catchments</t>
  </si>
  <si>
    <t xml:space="preserve">Left in constrained catchments (to place elsewhere)</t>
  </si>
  <si>
    <t xml:space="preserve">Infill land still needed at Council density (ha)</t>
  </si>
  <si>
    <t xml:space="preserve">Infill land still needed at city infill density (ha)</t>
  </si>
  <si>
    <t xml:space="preserve">Left after all sites, with headroom (homes)</t>
  </si>
  <si>
    <t xml:space="preserve">Severe flood constraint across most of the island (analyst)</t>
  </si>
  <si>
    <t xml:space="preserve">Rail corridor new towns (long term, not counted)</t>
  </si>
  <si>
    <t xml:space="preserve">Beyond 2040; shown for completeness</t>
  </si>
  <si>
    <t xml:space="preserve">Shortfall now</t>
  </si>
  <si>
    <t xml:space="preserve">Zoning allows</t>
  </si>
  <si>
    <t xml:space="preserve">Needs rezoning</t>
  </si>
  <si>
    <t xml:space="preserve">Left after zoning-allows sites</t>
  </si>
  <si>
    <t xml:space="preserve">Left after all sites</t>
  </si>
  <si>
    <t xml:space="preserve">Catchments still short</t>
  </si>
  <si>
    <t xml:space="preserve">Left, unconstrained</t>
  </si>
  <si>
    <t xml:space="preserve">Left, constrained</t>
  </si>
  <si>
    <t xml:space="preserve">Infill ha at Council density</t>
  </si>
  <si>
    <t xml:space="preserve">Infill ha at city infill density</t>
  </si>
  <si>
    <t xml:space="preserve">Left with headroom</t>
  </si>
  <si>
    <t xml:space="preserve">What the numbers say</t>
  </si>
  <si>
    <t xml:space="preserve">Options for closing the shortfall</t>
  </si>
  <si>
    <t xml:space="preserve">1. Bring forward opportunity sites where zoning already allows housing</t>
  </si>
  <si>
    <t xml:space="preserve">Column H. No plan change is needed; the work is ownership, servicing and delivery route. Confirm each site in the opportunity sites register first, because the homes are indicative.</t>
  </si>
  <si>
    <t xml:space="preserve">2. Rezone opportunity sites through the plan review</t>
  </si>
  <si>
    <t xml:space="preserve">Column I. Most of these homes sit on a few large city sites zoned open space, agriculture or education (Caherdavin, Southhill, Dooradoyle). Check whether those are true infill before relying on them.</t>
  </si>
  <si>
    <t xml:space="preserve">3. Higher density on city infill not yet identified</t>
  </si>
  <si>
    <t xml:space="preserve">Columns O–P and the lever in C4. The city shortfall left after the identified land and opportunity sites has to come from smaller infill and brownfield sites at well above current densities.</t>
  </si>
  <si>
    <t xml:space="preserve">4. Vacancy, dereliction and over-the-shop</t>
  </si>
  <si>
    <t xml:space="preserve">Not counted here. Bringing vacant and derelict buildings back into use adds homes without new land, especially in the City Centre and town centres. The register’s GeoDirectory counts cover residential addresses only, so this needs its own survey.</t>
  </si>
  <si>
    <t xml:space="preserve">5. Place constrained neighbourhoods’ share elsewhere</t>
  </si>
  <si>
    <t xml:space="preserve">Column N. Where infill is constrained (e.g. Kings Island, flood risk across most of the island), the remaining homes should be planned for in neighbouring neighbourhoods or the City Centre.</t>
  </si>
  <si>
    <t xml:space="preserve">6. Rail corridor new towns (after 2040)</t>
  </si>
  <si>
    <t xml:space="preserve">Shown below the total and not counted. A longer-term option along the rail lines.</t>
  </si>
  <si>
    <t xml:space="preserve">Settlements outside the city</t>
  </si>
  <si>
    <t xml:space="preserve">Key towns already have more zoned land than they need, except Abbeyfeale (small). Several villages are short by a few hectares; their opportunity sites close part of the gap. See the sentences above.</t>
  </si>
  <si>
    <t xml:space="preserve">Notes</t>
  </si>
  <si>
    <t xml:space="preserve">Opportunity-site homes: site area × 0.91 × the Council density for the catchment, less any part already in the land register. They are an upper bound until each site is investigated; confidence is Low.</t>
  </si>
  <si>
    <t xml:space="preserve">“Zoning allows housing” = the main zoning on the site is residential or mixed use (town or village centre, district or local centre). Everything else needs rezoning.</t>
  </si>
  <si>
    <t xml:space="preserve">Infill constraint: enter a short reason in column L to flag a catchment; its remaining homes then move to column N. Kings Island is flagged by the analyst for flood risk.</t>
  </si>
  <si>
    <t xml:space="preserve">Infill land is net residential land. “City infill density” applies only to city neighbourhoods and never goes below the Council density there.</t>
  </si>
  <si>
    <t xml:space="preserve">Share of Limerick's new homes</t>
  </si>
  <si>
    <t xml:space="preserve">Tenure: the social share comes from the selected rule; the other tenures fill the rest in Limerick proportions. Shares are set on the totals to the end year and applied to every year.</t>
  </si>
  <si>
    <t xml:space="preserve">Validation · does everything add up?</t>
  </si>
  <si>
    <t xml:space="preserve">Each check compares two independent routes to the same number. Tolerance: 0.01 homes (or 0.0001 for shares). Recalculates with the levers.</t>
  </si>
  <si>
    <t xml:space="preserve">Check</t>
  </si>
  <si>
    <t xml:space="preserve">Expected</t>
  </si>
  <si>
    <t xml:space="preserve">Actual</t>
  </si>
  <si>
    <t xml:space="preserve">Difference</t>
  </si>
  <si>
    <t xml:space="preserve">Result</t>
  </si>
  <si>
    <t xml:space="preserve">Summary</t>
  </si>
  <si>
    <t xml:space="preserve">Checks run</t>
  </si>
  <si>
    <t xml:space="preserve">Checks failed</t>
  </si>
  <si>
    <t xml:space="preserve">1 · Homes</t>
  </si>
  <si>
    <t xml:space="preserve">Total tab homes = Council target to end year</t>
  </si>
  <si>
    <t xml:space="preserve">Catchment shares of Limerick homes add to 100%</t>
  </si>
  <si>
    <t xml:space="preserve">2026: Total homes = Council target for the year (zero after the end year)</t>
  </si>
  <si>
    <t xml:space="preserve">2027: Total homes = Council target for the year (zero after the end year)</t>
  </si>
  <si>
    <t xml:space="preserve">2028: Total homes = Council target for the year (zero after the end year)</t>
  </si>
  <si>
    <t xml:space="preserve">2029: Total homes = Council target for the year (zero after the end year)</t>
  </si>
  <si>
    <t xml:space="preserve">2030: Total homes = Council target for the year (zero after the end year)</t>
  </si>
  <si>
    <t xml:space="preserve">2031: Total homes = Council target for the year (zero after the end year)</t>
  </si>
  <si>
    <t xml:space="preserve">2032: Total homes = Council target for the year (zero after the end year)</t>
  </si>
  <si>
    <t xml:space="preserve">2033: Total homes = Council target for the year (zero after the end year)</t>
  </si>
  <si>
    <t xml:space="preserve">2034: Total homes = Council target for the year (zero after the end year)</t>
  </si>
  <si>
    <t xml:space="preserve">2035: Total homes = Council target for the year (zero after the end year)</t>
  </si>
  <si>
    <t xml:space="preserve">2036: Total homes = Council target for the year (zero after the end year)</t>
  </si>
  <si>
    <t xml:space="preserve">2037: Total homes = Council target for the year (zero after the end year)</t>
  </si>
  <si>
    <t xml:space="preserve">2038: Total homes = Council target for the year (zero after the end year)</t>
  </si>
  <si>
    <t xml:space="preserve">2039: Total homes = Council target for the year (zero after the end year)</t>
  </si>
  <si>
    <t xml:space="preserve">2040: Total homes = Council target for the year (zero after the end year)</t>
  </si>
  <si>
    <t xml:space="preserve">Sum of catchment tabs = Total tab (homes, all years)</t>
  </si>
  <si>
    <t xml:space="preserve">2 · Bedrooms and tenure add to homes on every tab</t>
  </si>
  <si>
    <t xml:space="preserve">Total: 1 to 4+ bed = homes</t>
  </si>
  <si>
    <t xml:space="preserve">Total: tenures = homes</t>
  </si>
  <si>
    <t xml:space="preserve">Ballinacurra: 1 to 4+ bed = homes</t>
  </si>
  <si>
    <t xml:space="preserve">Ballinacurra: tenures = homes</t>
  </si>
  <si>
    <t xml:space="preserve">Caherdavin: 1 to 4+ bed = homes</t>
  </si>
  <si>
    <t xml:space="preserve">Caherdavin: tenures = homes</t>
  </si>
  <si>
    <t xml:space="preserve">Castletroy-Annacotty: 1 to 4+ bed = homes</t>
  </si>
  <si>
    <t xml:space="preserve">Castletroy-Annacotty: tenures = homes</t>
  </si>
  <si>
    <t xml:space="preserve">City Centre: 1 to 4+ bed = homes</t>
  </si>
  <si>
    <t xml:space="preserve">City Centre: tenures = homes</t>
  </si>
  <si>
    <t xml:space="preserve">Corbally-Grove Island: 1 to 4+ bed = homes</t>
  </si>
  <si>
    <t xml:space="preserve">Corbally-Grove Island: tenures = homes</t>
  </si>
  <si>
    <t xml:space="preserve">Dooradoyle: 1 to 4+ bed = homes</t>
  </si>
  <si>
    <t xml:space="preserve">Dooradoyle: tenures = homes</t>
  </si>
  <si>
    <t xml:space="preserve">Kings Island: 1 to 4+ bed = homes</t>
  </si>
  <si>
    <t xml:space="preserve">Kings Island: tenures = homes</t>
  </si>
  <si>
    <t xml:space="preserve">Singland-Garryowen: 1 to 4+ bed = homes</t>
  </si>
  <si>
    <t xml:space="preserve">Singland-Garryowen: tenures = homes</t>
  </si>
  <si>
    <t xml:space="preserve">Southhill: 1 to 4+ bed = homes</t>
  </si>
  <si>
    <t xml:space="preserve">Southhill: tenures = homes</t>
  </si>
  <si>
    <t xml:space="preserve">Abbeyfeale: 1 to 4+ bed = homes</t>
  </si>
  <si>
    <t xml:space="preserve">Abbeyfeale: tenures = homes</t>
  </si>
  <si>
    <t xml:space="preserve">Caherconlish: 1 to 4+ bed = homes</t>
  </si>
  <si>
    <t xml:space="preserve">Caherconlish: tenures = homes</t>
  </si>
  <si>
    <t xml:space="preserve">Castleconnell: 1 to 4+ bed = homes</t>
  </si>
  <si>
    <t xml:space="preserve">Castleconnell: tenures = homes</t>
  </si>
  <si>
    <t xml:space="preserve">Kilmallock: 1 to 4+ bed = homes</t>
  </si>
  <si>
    <t xml:space="preserve">Kilmallock: tenures = homes</t>
  </si>
  <si>
    <t xml:space="preserve">Newcastle West: 1 to 4+ bed = homes</t>
  </si>
  <si>
    <t xml:space="preserve">Newcastle West: tenures = homes</t>
  </si>
  <si>
    <t xml:space="preserve">Rathkeale: 1 to 4+ bed = homes</t>
  </si>
  <si>
    <t xml:space="preserve">Rathkeale: tenures = homes</t>
  </si>
  <si>
    <t xml:space="preserve">Adare: 1 to 4+ bed = homes</t>
  </si>
  <si>
    <t xml:space="preserve">Adare: tenures = homes</t>
  </si>
  <si>
    <t xml:space="preserve">Askeaton: 1 to 4+ bed = homes</t>
  </si>
  <si>
    <t xml:space="preserve">Askeaton: tenures = homes</t>
  </si>
  <si>
    <t xml:space="preserve">Bruff: 1 to 4+ bed = homes</t>
  </si>
  <si>
    <t xml:space="preserve">Bruff: tenures = homes</t>
  </si>
  <si>
    <t xml:space="preserve">Cappamore: 1 to 4+ bed = homes</t>
  </si>
  <si>
    <t xml:space="preserve">Cappamore: tenures = homes</t>
  </si>
  <si>
    <t xml:space="preserve">Croom: 1 to 4+ bed = homes</t>
  </si>
  <si>
    <t xml:space="preserve">Croom: tenures = homes</t>
  </si>
  <si>
    <t xml:space="preserve">Hospital: 1 to 4+ bed = homes</t>
  </si>
  <si>
    <t xml:space="preserve">Hospital: tenures = homes</t>
  </si>
  <si>
    <t xml:space="preserve">Kilfinnane: 1 to 4+ bed = homes</t>
  </si>
  <si>
    <t xml:space="preserve">Kilfinnane: tenures = homes</t>
  </si>
  <si>
    <t xml:space="preserve">Moroe: 1 to 4+ bed = homes</t>
  </si>
  <si>
    <t xml:space="preserve">Moroe: tenures = homes</t>
  </si>
  <si>
    <t xml:space="preserve">Patrickswell: 1 to 4+ bed = homes</t>
  </si>
  <si>
    <t xml:space="preserve">Patrickswell: tenures = homes</t>
  </si>
  <si>
    <t xml:space="preserve">Rest of county: 1 to 4+ bed = homes</t>
  </si>
  <si>
    <t xml:space="preserve">Rest of county: tenures = homes</t>
  </si>
  <si>
    <t xml:space="preserve">3 · Tenure totals match the Limerick scenario</t>
  </si>
  <si>
    <t xml:space="preserve">Social homes (all five types) = Limerick social share × homes</t>
  </si>
  <si>
    <t xml:space="preserve">Private purchase = Limerick scenario share × homes</t>
  </si>
  <si>
    <t xml:space="preserve">Private rent = Limerick scenario share × homes</t>
  </si>
  <si>
    <t xml:space="preserve">Affordable purchase = Limerick affordable × purchase setting</t>
  </si>
  <si>
    <t xml:space="preserve">Cost rental = Limerick affordable × (1 − purchase setting)</t>
  </si>
  <si>
    <t xml:space="preserve">Specialist social = HDAP shares of social</t>
  </si>
  <si>
    <t xml:space="preserve">Social homes placed in the catchments = social homes to allocate</t>
  </si>
  <si>
    <t xml:space="preserve">4 · Where social homes go (city-first rule)</t>
  </si>
  <si>
    <t xml:space="preserve">Areas below the floor (count; the floor is only scaled down if it needs more than all social homes)</t>
  </si>
  <si>
    <t xml:space="preserve">City neighbourhoods over the ceiling at end year (count; 0 unless overflow &gt; 0)</t>
  </si>
  <si>
    <t xml:space="preserve">Overflow above every ceiling (informational: homes that could not fit under the ceilings)</t>
  </si>
  <si>
    <t xml:space="preserve">5 · Bedroom mix</t>
  </si>
  <si>
    <t xml:space="preserve">Total 1-bed = Σ catchment homes × catchment 1-bed share (S2) or Council split by year (S1)</t>
  </si>
  <si>
    <t xml:space="preserve">Total 4+ bed, same test</t>
  </si>
  <si>
    <t xml:space="preserve">S1 bedroom shares add to 100% in every year (sum of 15 years)</t>
  </si>
  <si>
    <t xml:space="preserve">S2 bedroom shares add to 100% in every catchment (sum of 25)</t>
  </si>
  <si>
    <t xml:space="preserve">Existing homes in the catchments = Limerick households, 2022 (T6_9)</t>
  </si>
  <si>
    <t xml:space="preserve">6 · Land</t>
  </si>
  <si>
    <t xml:space="preserve">Land tab homes = Total tab homes</t>
  </si>
  <si>
    <t xml:space="preserve">Land by year total = land total</t>
  </si>
  <si>
    <t xml:space="preserve">Every catchment has a density above zero (count of blanks or zeros)</t>
  </si>
  <si>
    <t xml:space="preserve">Land at Council density: homes = Total tab homes</t>
  </si>
  <si>
    <t xml:space="preserve">Land at Council density: by-year total = land total</t>
  </si>
  <si>
    <t xml:space="preserve">Council densities within each range (count of places outside their zone min–max)</t>
  </si>
  <si>
    <t xml:space="preserve">Model · calculations behind every tab (do not edit)</t>
  </si>
  <si>
    <t xml:space="preserve">End year</t>
  </si>
  <si>
    <t xml:space="preserve">Spatial allocation (1 Core Strategy, 2 population, 3 households)</t>
  </si>
  <si>
    <t xml:space="preserve">Unit mix (1 S1, 2 S2)</t>
  </si>
  <si>
    <t xml:space="preserve">Sharing benchmark (1 own 2011, 2 State 2011, 3 zero, 4 none)</t>
  </si>
  <si>
    <t xml:space="preserve">Children's bedrooms (1 one each, 2 under-15s share)</t>
  </si>
  <si>
    <t xml:space="preserve">Older couples given a 2-bed</t>
  </si>
  <si>
    <t xml:space="preserve">Tenure scenario (1 working, 2 A, 3 B, 4 D)</t>
  </si>
  <si>
    <t xml:space="preserve">Housing list added (1 yes)</t>
  </si>
  <si>
    <t xml:space="preserve">Social rule (1 city first, 2 same split everywhere)</t>
  </si>
  <si>
    <t xml:space="preserve">Ceiling</t>
  </si>
  <si>
    <t xml:space="preserve">Floor</t>
  </si>
  <si>
    <t xml:space="preserve">Point in Council density ranges (1 min, 2 mid, 3 max)</t>
  </si>
  <si>
    <t xml:space="preserve">Limerick homes 2026 to end year (Council target)</t>
  </si>
  <si>
    <t xml:space="preserve">Scenario social, to end year</t>
  </si>
  <si>
    <t xml:space="preserve">Scenario affordable, to end year</t>
  </si>
  <si>
    <t xml:space="preserve">Scenario private rent, to end year</t>
  </si>
  <si>
    <t xml:space="preserve">Scenario private purchase, to end year</t>
  </si>
  <si>
    <t xml:space="preserve">Housing list homes moved to social</t>
  </si>
  <si>
    <t xml:space="preserve">Private rent after housing list</t>
  </si>
  <si>
    <t xml:space="preserve">Private purchase after housing list</t>
  </si>
  <si>
    <t xml:space="preserve">Social after housing list</t>
  </si>
  <si>
    <t xml:space="preserve">Scenario total</t>
  </si>
  <si>
    <t xml:space="preserve">Limerick social share of new homes</t>
  </si>
  <si>
    <t xml:space="preserve">Limerick social homes to allocate</t>
  </si>
  <si>
    <t xml:space="preserve">Scenario non-social total</t>
  </si>
  <si>
    <t xml:space="preserve">Floor homes before scaling (sum)</t>
  </si>
  <si>
    <t xml:space="preserve">Social homes left after the floor</t>
  </si>
  <si>
    <t xml:space="preserve">If the floor needs more than Limerick's social total, every area's floor is scaled down to fit.</t>
  </si>
  <si>
    <t xml:space="preserve">Room under the ceiling in the city neighbourhoods (sum)</t>
  </si>
  <si>
    <t xml:space="preserve">New homes in the city neighbourhoods (sum)</t>
  </si>
  <si>
    <t xml:space="preserve">Fill level reached by capped neighbourhoods</t>
  </si>
  <si>
    <t xml:space="preserve">Fill level: extra social homes per new home in uncapped neighbourhoods</t>
  </si>
  <si>
    <t xml:space="preserve">Closed form of the dashboard's repeated pass: each uncapped neighbourhood gets the same extra share of its new homes; capped ones stop at the ceiling.</t>
  </si>
  <si>
    <t xml:space="preserve">Overflow: social homes above every ceiling</t>
  </si>
  <si>
    <t xml:space="preserve">Shared over the city neighbourhoods by new homes when every ceiling is reached.</t>
  </si>
  <si>
    <t xml:space="preserve">Social: general needs share</t>
  </si>
  <si>
    <t xml:space="preserve">Remainder after the HDAP specialist shares</t>
  </si>
  <si>
    <t xml:space="preserve">Social: disability share</t>
  </si>
  <si>
    <t xml:space="preserve">Social: older people share</t>
  </si>
  <si>
    <t xml:space="preserve">Social: Traveller share</t>
  </si>
  <si>
    <t xml:space="preserve">Social: community share</t>
  </si>
  <si>
    <t xml:space="preserve">City (1)</t>
  </si>
  <si>
    <t xml:space="preserve">Share of Limerick homes</t>
  </si>
  <si>
    <t xml:space="preserve">New homes to end year</t>
  </si>
  <si>
    <t xml:space="preserve">Households (stated tenure)</t>
  </si>
  <si>
    <t xml:space="preserve">Social share 2022</t>
  </si>
  <si>
    <t xml:space="preserve">Floor social homes</t>
  </si>
  <si>
    <t xml:space="preserve">Floor after scaling</t>
  </si>
  <si>
    <t xml:space="preserve">Room under ceiling</t>
  </si>
  <si>
    <t xml:space="preserve">City new homes</t>
  </si>
  <si>
    <t xml:space="preserve">Fill level at ceiling</t>
  </si>
  <si>
    <t xml:space="preserve">Social homes placed if all reach this fill level</t>
  </si>
  <si>
    <t xml:space="preserve">Fill level if affordable (candidate)</t>
  </si>
  <si>
    <t xml:space="preserve">Extra social homes above the floor</t>
  </si>
  <si>
    <t xml:space="preserve">Social share of all homes, end year</t>
  </si>
  <si>
    <t xml:space="preserve">Private purchase share</t>
  </si>
  <si>
    <t xml:space="preserve">Private rent share</t>
  </si>
  <si>
    <t xml:space="preserve">Affordable purchase share</t>
  </si>
  <si>
    <t xml:space="preserve">Cost rental share</t>
  </si>
  <si>
    <t xml:space="preserve">Social general share</t>
  </si>
  <si>
    <t xml:space="preserve">Social disability share</t>
  </si>
  <si>
    <t xml:space="preserve">Social older share</t>
  </si>
  <si>
    <t xml:space="preserve">Social Traveller share</t>
  </si>
  <si>
    <t xml:space="preserve">Social community share</t>
  </si>
  <si>
    <t xml:space="preserve">S2 need row</t>
  </si>
  <si>
    <t xml:space="preserve">S2 1-bed</t>
  </si>
  <si>
    <t xml:space="preserve">S2 2-bed</t>
  </si>
  <si>
    <t xml:space="preserve">S2 3-bed</t>
  </si>
  <si>
    <t xml:space="preserve">S2 4+ bed</t>
  </si>
  <si>
    <t xml:space="preserve">Input data (values from the story dashboard data; do not edit)</t>
  </si>
  <si>
    <t xml:space="preserve">Table 1 · Limerick by year: Council delivery target, HNDA need, S1 bedroom split, housing-list homes and tenure by scenario</t>
  </si>
  <si>
    <t xml:space="preserve">List: year</t>
  </si>
  <si>
    <t xml:space="preserve">List: spatial</t>
  </si>
  <si>
    <t xml:space="preserve">List: mix</t>
  </si>
  <si>
    <t xml:space="preserve">List: share</t>
  </si>
  <si>
    <t xml:space="preserve">List: kids</t>
  </si>
  <si>
    <t xml:space="preserve">List: pct5</t>
  </si>
  <si>
    <t xml:space="preserve">List: scn</t>
  </si>
  <si>
    <t xml:space="preserve">List: yn</t>
  </si>
  <si>
    <t xml:space="preserve">List: rule</t>
  </si>
  <si>
    <t xml:space="preserve">List: ceil</t>
  </si>
  <si>
    <t xml:space="preserve">List: floor</t>
  </si>
  <si>
    <t xml:space="preserve">List: dpt</t>
  </si>
  <si>
    <t xml:space="preserve">Council target</t>
  </si>
  <si>
    <t xml:space="preserve">HNDA need</t>
  </si>
  <si>
    <t xml:space="preserve">S1 1-bed share</t>
  </si>
  <si>
    <t xml:space="preserve">S1 2-bed share</t>
  </si>
  <si>
    <t xml:space="preserve">S1 3-bed share</t>
  </si>
  <si>
    <t xml:space="preserve">S1 4+ bed share</t>
  </si>
  <si>
    <t xml:space="preserve">Housing list homes</t>
  </si>
  <si>
    <t xml:space="preserve">S1 Working: social</t>
  </si>
  <si>
    <t xml:space="preserve">S1 Working: affordable</t>
  </si>
  <si>
    <t xml:space="preserve">S1 Working: private rent</t>
  </si>
  <si>
    <t xml:space="preserve">S1 Working: private purchase</t>
  </si>
  <si>
    <t xml:space="preserve">S2 HNDA as supplied: social</t>
  </si>
  <si>
    <t xml:space="preserve">S2 HNDA as supplied: affordable</t>
  </si>
  <si>
    <t xml:space="preserve">S2 HNDA as supplied: private rent</t>
  </si>
  <si>
    <t xml:space="preserve">S2 HNDA as supplied: private purchase</t>
  </si>
  <si>
    <t xml:space="preserve">S3 Market rents: social</t>
  </si>
  <si>
    <t xml:space="preserve">S3 Market rents: affordable</t>
  </si>
  <si>
    <t xml:space="preserve">S3 Market rents: private rent</t>
  </si>
  <si>
    <t xml:space="preserve">S3 Market rents: private purchase</t>
  </si>
  <si>
    <t xml:space="preserve">S4 Rents +6% a yr: social</t>
  </si>
  <si>
    <t xml:space="preserve">S4 Rents +6% a yr: affordable</t>
  </si>
  <si>
    <t xml:space="preserve">S4 Rents +6% a yr: private rent</t>
  </si>
  <si>
    <t xml:space="preserve">S4 Rents +6% a yr: private purchase</t>
  </si>
  <si>
    <t xml:space="preserve">S2: Population, 2022</t>
  </si>
  <si>
    <t xml:space="preserve">S2: Balancing communities</t>
  </si>
  <si>
    <t xml:space="preserve">State 2011 rate</t>
  </si>
  <si>
    <t xml:space="preserve">Under-15s share in pairs, 15+ own room</t>
  </si>
  <si>
    <t xml:space="preserve">S2: HNDA model as supplied</t>
  </si>
  <si>
    <t xml:space="preserve">Yes</t>
  </si>
  <si>
    <t xml:space="preserve">Same Limerick split everywhere</t>
  </si>
  <si>
    <t xml:space="preserve">Mid-point</t>
  </si>
  <si>
    <t xml:space="preserve">S3: Households, 2022</t>
  </si>
  <si>
    <t xml:space="preserve">Zero: no sharing</t>
  </si>
  <si>
    <t xml:space="preserve">S3: Rebased to market rents</t>
  </si>
  <si>
    <t xml:space="preserve">Maximum</t>
  </si>
  <si>
    <t xml:space="preserve">No benchmark: keep today's sharing</t>
  </si>
  <si>
    <t xml:space="preserve">S4: Market rents, 6% a year growth</t>
  </si>
  <si>
    <t xml:space="preserve">S1 shares: Interim HNDA Bed Split sheet (1-ph to 5+ ph read as bedrooms, 4 and 5+ combined); after 2035 the 2026–2035 split. Tenure: synopsis working position, or scenarios A, B, D with period totals spread by annual HNDA need. Housing list: 1,308 households cleared evenly over 2026–2035.</t>
  </si>
  <si>
    <t xml:space="preserve">Table 2 · Catchments: Census 2022 counts, Core Strategy allocation and existing homes by bedrooms</t>
  </si>
  <si>
    <t xml:space="preserve">Population 2022</t>
  </si>
  <si>
    <t xml:space="preserve">Households 2022</t>
  </si>
  <si>
    <t xml:space="preserve">Households, stated tenure</t>
  </si>
  <si>
    <t xml:space="preserve">Social rent share 2022</t>
  </si>
  <si>
    <t xml:space="preserve">Core Strategy allocation (homes)</t>
  </si>
  <si>
    <t xml:space="preserve">Existing 1-bed</t>
  </si>
  <si>
    <t xml:space="preserve">Existing 2-bed</t>
  </si>
  <si>
    <t xml:space="preserve">Existing 3-bed</t>
  </si>
  <si>
    <t xml:space="preserve">Existing 4+ bed</t>
  </si>
  <si>
    <t xml:space="preserve">Not stated / 0-bed</t>
  </si>
  <si>
    <t xml:space="preserve">All households (T6_9)</t>
  </si>
  <si>
    <t xml:space="preserve">Own 2011 sharing rate %</t>
  </si>
  <si>
    <t xml:space="preserve">Sharing now %</t>
  </si>
  <si>
    <t xml:space="preserve">Core Strategy: Variation No. 3, Limerick Development Plan 2022–2028, Table 2.6 (city figure split between the 9 neighbourhoods by 2022 population; rest of county = total less city and settlements). Existing homes: Census 2022 SAPS T6_9.</t>
  </si>
  <si>
    <t xml:space="preserve">Table 3 · Constants</t>
  </si>
  <si>
    <t xml:space="preserve">Constant</t>
  </si>
  <si>
    <t xml:space="preserve">Value</t>
  </si>
  <si>
    <t xml:space="preserve">Source</t>
  </si>
  <si>
    <t xml:space="preserve">Core Strategy total (homes)</t>
  </si>
  <si>
    <t xml:space="preserve">Variation No. 3, Table 2.6</t>
  </si>
  <si>
    <t xml:space="preserve">HDAP assessed need: disability</t>
  </si>
  <si>
    <t xml:space="preserve">HDAP 2027–2030</t>
  </si>
  <si>
    <t xml:space="preserve">HDAP assessed need: older people</t>
  </si>
  <si>
    <t xml:space="preserve">HDAP assessed need: Traveller</t>
  </si>
  <si>
    <t xml:space="preserve">HDAP assessed need: community</t>
  </si>
  <si>
    <t xml:space="preserve">HDAP assessed need: all social</t>
  </si>
  <si>
    <t xml:space="preserve">Housing list households not in HNDA model</t>
  </si>
  <si>
    <t xml:space="preserve">Story setting, cleared over 2026–2035</t>
  </si>
  <si>
    <t xml:space="preserve">State 2011 sharing rate %</t>
  </si>
  <si>
    <t xml:space="preserve">Census 2011</t>
  </si>
  <si>
    <t xml:space="preserve">Table 4 · S2 bedroom need by catchment, for each sharing benchmark and children rule (households needing each size, with no spare rooms)</t>
  </si>
  <si>
    <t xml:space="preserve">Key</t>
  </si>
  <si>
    <t xml:space="preserve">Children</t>
  </si>
  <si>
    <t xml:space="preserve">Need: 1-bed</t>
  </si>
  <si>
    <t xml:space="preserve">Need: 2-bed</t>
  </si>
  <si>
    <t xml:space="preserve">Need: 3-bed</t>
  </si>
  <si>
    <t xml:space="preserve">Need: 4+ bed</t>
  </si>
  <si>
    <t xml:space="preserve">Moved 1→2-bed at 100% singles/younger couples</t>
  </si>
  <si>
    <t xml:space="preserve">Moved 1→2-bed at 100% downsizers</t>
  </si>
  <si>
    <t xml:space="preserve">Households counted</t>
  </si>
  <si>
    <t xml:space="preserve">Abbeyfeale|1|1</t>
  </si>
  <si>
    <t xml:space="preserve">own2011</t>
  </si>
  <si>
    <t xml:space="preserve">each</t>
  </si>
  <si>
    <t xml:space="preserve">Abbeyfeale|1|2</t>
  </si>
  <si>
    <t xml:space="preserve">share</t>
  </si>
  <si>
    <t xml:space="preserve">Abbeyfeale|2|1</t>
  </si>
  <si>
    <t xml:space="preserve">state2011</t>
  </si>
  <si>
    <t xml:space="preserve">Abbeyfeale|2|2</t>
  </si>
  <si>
    <t xml:space="preserve">Abbeyfeale|3|1</t>
  </si>
  <si>
    <t xml:space="preserve">zero</t>
  </si>
  <si>
    <t xml:space="preserve">Abbeyfeale|3|2</t>
  </si>
  <si>
    <t xml:space="preserve">Abbeyfeale|4|1</t>
  </si>
  <si>
    <t xml:space="preserve">none</t>
  </si>
  <si>
    <t xml:space="preserve">Abbeyfeale|4|2</t>
  </si>
  <si>
    <t xml:space="preserve">Adare|1|1</t>
  </si>
  <si>
    <t xml:space="preserve">Adare|1|2</t>
  </si>
  <si>
    <t xml:space="preserve">Adare|2|1</t>
  </si>
  <si>
    <t xml:space="preserve">Adare|2|2</t>
  </si>
  <si>
    <t xml:space="preserve">Adare|3|1</t>
  </si>
  <si>
    <t xml:space="preserve">Adare|3|2</t>
  </si>
  <si>
    <t xml:space="preserve">Adare|4|1</t>
  </si>
  <si>
    <t xml:space="preserve">Adare|4|2</t>
  </si>
  <si>
    <t xml:space="preserve">Askeaton|1|1</t>
  </si>
  <si>
    <t xml:space="preserve">Askeaton|1|2</t>
  </si>
  <si>
    <t xml:space="preserve">Askeaton|2|1</t>
  </si>
  <si>
    <t xml:space="preserve">Askeaton|2|2</t>
  </si>
  <si>
    <t xml:space="preserve">Askeaton|3|1</t>
  </si>
  <si>
    <t xml:space="preserve">Askeaton|3|2</t>
  </si>
  <si>
    <t xml:space="preserve">Askeaton|4|1</t>
  </si>
  <si>
    <t xml:space="preserve">Askeaton|4|2</t>
  </si>
  <si>
    <t xml:space="preserve">Ballinacurra|1|1</t>
  </si>
  <si>
    <t xml:space="preserve">Ballinacurra|1|2</t>
  </si>
  <si>
    <t xml:space="preserve">Ballinacurra|2|1</t>
  </si>
  <si>
    <t xml:space="preserve">Ballinacurra|2|2</t>
  </si>
  <si>
    <t xml:space="preserve">Ballinacurra|3|1</t>
  </si>
  <si>
    <t xml:space="preserve">Ballinacurra|3|2</t>
  </si>
  <si>
    <t xml:space="preserve">Ballinacurra|4|1</t>
  </si>
  <si>
    <t xml:space="preserve">Ballinacurra|4|2</t>
  </si>
  <si>
    <t xml:space="preserve">Bruff|1|1</t>
  </si>
  <si>
    <t xml:space="preserve">Bruff|1|2</t>
  </si>
  <si>
    <t xml:space="preserve">Bruff|2|1</t>
  </si>
  <si>
    <t xml:space="preserve">Bruff|2|2</t>
  </si>
  <si>
    <t xml:space="preserve">Bruff|3|1</t>
  </si>
  <si>
    <t xml:space="preserve">Bruff|3|2</t>
  </si>
  <si>
    <t xml:space="preserve">Bruff|4|1</t>
  </si>
  <si>
    <t xml:space="preserve">Bruff|4|2</t>
  </si>
  <si>
    <t xml:space="preserve">Caherconlish|1|1</t>
  </si>
  <si>
    <t xml:space="preserve">Caherconlish|1|2</t>
  </si>
  <si>
    <t xml:space="preserve">Caherconlish|2|1</t>
  </si>
  <si>
    <t xml:space="preserve">Caherconlish|2|2</t>
  </si>
  <si>
    <t xml:space="preserve">Caherconlish|3|1</t>
  </si>
  <si>
    <t xml:space="preserve">Caherconlish|3|2</t>
  </si>
  <si>
    <t xml:space="preserve">Caherconlish|4|1</t>
  </si>
  <si>
    <t xml:space="preserve">Caherconlish|4|2</t>
  </si>
  <si>
    <t xml:space="preserve">Caherdavin|1|1</t>
  </si>
  <si>
    <t xml:space="preserve">Caherdavin|1|2</t>
  </si>
  <si>
    <t xml:space="preserve">Caherdavin|2|1</t>
  </si>
  <si>
    <t xml:space="preserve">Caherdavin|2|2</t>
  </si>
  <si>
    <t xml:space="preserve">Caherdavin|3|1</t>
  </si>
  <si>
    <t xml:space="preserve">Caherdavin|3|2</t>
  </si>
  <si>
    <t xml:space="preserve">Caherdavin|4|1</t>
  </si>
  <si>
    <t xml:space="preserve">Caherdavin|4|2</t>
  </si>
  <si>
    <t xml:space="preserve">Cappamore|1|1</t>
  </si>
  <si>
    <t xml:space="preserve">Cappamore|1|2</t>
  </si>
  <si>
    <t xml:space="preserve">Cappamore|2|1</t>
  </si>
  <si>
    <t xml:space="preserve">Cappamore|2|2</t>
  </si>
  <si>
    <t xml:space="preserve">Cappamore|3|1</t>
  </si>
  <si>
    <t xml:space="preserve">Cappamore|3|2</t>
  </si>
  <si>
    <t xml:space="preserve">Cappamore|4|1</t>
  </si>
  <si>
    <t xml:space="preserve">Cappamore|4|2</t>
  </si>
  <si>
    <t xml:space="preserve">Castleconnell|1|1</t>
  </si>
  <si>
    <t xml:space="preserve">Castleconnell|1|2</t>
  </si>
  <si>
    <t xml:space="preserve">Castleconnell|2|1</t>
  </si>
  <si>
    <t xml:space="preserve">Castleconnell|2|2</t>
  </si>
  <si>
    <t xml:space="preserve">Castleconnell|3|1</t>
  </si>
  <si>
    <t xml:space="preserve">Castleconnell|3|2</t>
  </si>
  <si>
    <t xml:space="preserve">Castleconnell|4|1</t>
  </si>
  <si>
    <t xml:space="preserve">Castleconnell|4|2</t>
  </si>
  <si>
    <t xml:space="preserve">Castletroy/Annacotty|1|1</t>
  </si>
  <si>
    <t xml:space="preserve">Castletroy/Annacotty|1|2</t>
  </si>
  <si>
    <t xml:space="preserve">Castletroy/Annacotty|2|1</t>
  </si>
  <si>
    <t xml:space="preserve">Castletroy/Annacotty|2|2</t>
  </si>
  <si>
    <t xml:space="preserve">Castletroy/Annacotty|3|1</t>
  </si>
  <si>
    <t xml:space="preserve">Castletroy/Annacotty|3|2</t>
  </si>
  <si>
    <t xml:space="preserve">Castletroy/Annacotty|4|1</t>
  </si>
  <si>
    <t xml:space="preserve">Castletroy/Annacotty|4|2</t>
  </si>
  <si>
    <t xml:space="preserve">City Centre|1|1</t>
  </si>
  <si>
    <t xml:space="preserve">City Centre|1|2</t>
  </si>
  <si>
    <t xml:space="preserve">City Centre|2|1</t>
  </si>
  <si>
    <t xml:space="preserve">City Centre|2|2</t>
  </si>
  <si>
    <t xml:space="preserve">City Centre|3|1</t>
  </si>
  <si>
    <t xml:space="preserve">City Centre|3|2</t>
  </si>
  <si>
    <t xml:space="preserve">City Centre|4|1</t>
  </si>
  <si>
    <t xml:space="preserve">City Centre|4|2</t>
  </si>
  <si>
    <t xml:space="preserve">Corbally/Grove Island|1|1</t>
  </si>
  <si>
    <t xml:space="preserve">Corbally/Grove Island|1|2</t>
  </si>
  <si>
    <t xml:space="preserve">Corbally/Grove Island|2|1</t>
  </si>
  <si>
    <t xml:space="preserve">Corbally/Grove Island|2|2</t>
  </si>
  <si>
    <t xml:space="preserve">Corbally/Grove Island|3|1</t>
  </si>
  <si>
    <t xml:space="preserve">Corbally/Grove Island|3|2</t>
  </si>
  <si>
    <t xml:space="preserve">Corbally/Grove Island|4|1</t>
  </si>
  <si>
    <t xml:space="preserve">Corbally/Grove Island|4|2</t>
  </si>
  <si>
    <t xml:space="preserve">Croom|1|1</t>
  </si>
  <si>
    <t xml:space="preserve">Croom|1|2</t>
  </si>
  <si>
    <t xml:space="preserve">Croom|2|1</t>
  </si>
  <si>
    <t xml:space="preserve">Croom|2|2</t>
  </si>
  <si>
    <t xml:space="preserve">Croom|3|1</t>
  </si>
  <si>
    <t xml:space="preserve">Croom|3|2</t>
  </si>
  <si>
    <t xml:space="preserve">Croom|4|1</t>
  </si>
  <si>
    <t xml:space="preserve">Croom|4|2</t>
  </si>
  <si>
    <t xml:space="preserve">Dooradoyle|1|1</t>
  </si>
  <si>
    <t xml:space="preserve">Dooradoyle|1|2</t>
  </si>
  <si>
    <t xml:space="preserve">Dooradoyle|2|1</t>
  </si>
  <si>
    <t xml:space="preserve">Dooradoyle|2|2</t>
  </si>
  <si>
    <t xml:space="preserve">Dooradoyle|3|1</t>
  </si>
  <si>
    <t xml:space="preserve">Dooradoyle|3|2</t>
  </si>
  <si>
    <t xml:space="preserve">Dooradoyle|4|1</t>
  </si>
  <si>
    <t xml:space="preserve">Dooradoyle|4|2</t>
  </si>
  <si>
    <t xml:space="preserve">Hospital|1|1</t>
  </si>
  <si>
    <t xml:space="preserve">Hospital|1|2</t>
  </si>
  <si>
    <t xml:space="preserve">Hospital|2|1</t>
  </si>
  <si>
    <t xml:space="preserve">Hospital|2|2</t>
  </si>
  <si>
    <t xml:space="preserve">Hospital|3|1</t>
  </si>
  <si>
    <t xml:space="preserve">Hospital|3|2</t>
  </si>
  <si>
    <t xml:space="preserve">Hospital|4|1</t>
  </si>
  <si>
    <t xml:space="preserve">Hospital|4|2</t>
  </si>
  <si>
    <t xml:space="preserve">Kilfinnane|1|1</t>
  </si>
  <si>
    <t xml:space="preserve">Kilfinnane|1|2</t>
  </si>
  <si>
    <t xml:space="preserve">Kilfinnane|2|1</t>
  </si>
  <si>
    <t xml:space="preserve">Kilfinnane|2|2</t>
  </si>
  <si>
    <t xml:space="preserve">Kilfinnane|3|1</t>
  </si>
  <si>
    <t xml:space="preserve">Kilfinnane|3|2</t>
  </si>
  <si>
    <t xml:space="preserve">Kilfinnane|4|1</t>
  </si>
  <si>
    <t xml:space="preserve">Kilfinnane|4|2</t>
  </si>
  <si>
    <t xml:space="preserve">Kilmallock|1|1</t>
  </si>
  <si>
    <t xml:space="preserve">Kilmallock|1|2</t>
  </si>
  <si>
    <t xml:space="preserve">Kilmallock|2|1</t>
  </si>
  <si>
    <t xml:space="preserve">Kilmallock|2|2</t>
  </si>
  <si>
    <t xml:space="preserve">Kilmallock|3|1</t>
  </si>
  <si>
    <t xml:space="preserve">Kilmallock|3|2</t>
  </si>
  <si>
    <t xml:space="preserve">Kilmallock|4|1</t>
  </si>
  <si>
    <t xml:space="preserve">Kilmallock|4|2</t>
  </si>
  <si>
    <t xml:space="preserve">Kings Island|1|1</t>
  </si>
  <si>
    <t xml:space="preserve">Kings Island|1|2</t>
  </si>
  <si>
    <t xml:space="preserve">Kings Island|2|1</t>
  </si>
  <si>
    <t xml:space="preserve">Kings Island|2|2</t>
  </si>
  <si>
    <t xml:space="preserve">Kings Island|3|1</t>
  </si>
  <si>
    <t xml:space="preserve">Kings Island|3|2</t>
  </si>
  <si>
    <t xml:space="preserve">Kings Island|4|1</t>
  </si>
  <si>
    <t xml:space="preserve">Kings Island|4|2</t>
  </si>
  <si>
    <t xml:space="preserve">Moroe|1|1</t>
  </si>
  <si>
    <t xml:space="preserve">Moroe|1|2</t>
  </si>
  <si>
    <t xml:space="preserve">Moroe|2|1</t>
  </si>
  <si>
    <t xml:space="preserve">Moroe|2|2</t>
  </si>
  <si>
    <t xml:space="preserve">Moroe|3|1</t>
  </si>
  <si>
    <t xml:space="preserve">Moroe|3|2</t>
  </si>
  <si>
    <t xml:space="preserve">Moroe|4|1</t>
  </si>
  <si>
    <t xml:space="preserve">Moroe|4|2</t>
  </si>
  <si>
    <t xml:space="preserve">Newcastle West|1|1</t>
  </si>
  <si>
    <t xml:space="preserve">Newcastle West|1|2</t>
  </si>
  <si>
    <t xml:space="preserve">Newcastle West|2|1</t>
  </si>
  <si>
    <t xml:space="preserve">Newcastle West|2|2</t>
  </si>
  <si>
    <t xml:space="preserve">Newcastle West|3|1</t>
  </si>
  <si>
    <t xml:space="preserve">Newcastle West|3|2</t>
  </si>
  <si>
    <t xml:space="preserve">Newcastle West|4|1</t>
  </si>
  <si>
    <t xml:space="preserve">Newcastle West|4|2</t>
  </si>
  <si>
    <t xml:space="preserve">Patrickswell|1|1</t>
  </si>
  <si>
    <t xml:space="preserve">Patrickswell|1|2</t>
  </si>
  <si>
    <t xml:space="preserve">Patrickswell|2|1</t>
  </si>
  <si>
    <t xml:space="preserve">Patrickswell|2|2</t>
  </si>
  <si>
    <t xml:space="preserve">Patrickswell|3|1</t>
  </si>
  <si>
    <t xml:space="preserve">Patrickswell|3|2</t>
  </si>
  <si>
    <t xml:space="preserve">Patrickswell|4|1</t>
  </si>
  <si>
    <t xml:space="preserve">Patrickswell|4|2</t>
  </si>
  <si>
    <t xml:space="preserve">Rathkeale|1|1</t>
  </si>
  <si>
    <t xml:space="preserve">Rathkeale|1|2</t>
  </si>
  <si>
    <t xml:space="preserve">Rathkeale|2|1</t>
  </si>
  <si>
    <t xml:space="preserve">Rathkeale|2|2</t>
  </si>
  <si>
    <t xml:space="preserve">Rathkeale|3|1</t>
  </si>
  <si>
    <t xml:space="preserve">Rathkeale|3|2</t>
  </si>
  <si>
    <t xml:space="preserve">Rathkeale|4|1</t>
  </si>
  <si>
    <t xml:space="preserve">Rathkeale|4|2</t>
  </si>
  <si>
    <t xml:space="preserve">Rest of county|1|1</t>
  </si>
  <si>
    <t xml:space="preserve">Rest of county|1|2</t>
  </si>
  <si>
    <t xml:space="preserve">Rest of county|2|1</t>
  </si>
  <si>
    <t xml:space="preserve">Rest of county|2|2</t>
  </si>
  <si>
    <t xml:space="preserve">Rest of county|3|1</t>
  </si>
  <si>
    <t xml:space="preserve">Rest of county|3|2</t>
  </si>
  <si>
    <t xml:space="preserve">Rest of county|4|1</t>
  </si>
  <si>
    <t xml:space="preserve">Rest of county|4|2</t>
  </si>
  <si>
    <t xml:space="preserve">Singland/Garryowen|1|1</t>
  </si>
  <si>
    <t xml:space="preserve">Singland/Garryowen|1|2</t>
  </si>
  <si>
    <t xml:space="preserve">Singland/Garryowen|2|1</t>
  </si>
  <si>
    <t xml:space="preserve">Singland/Garryowen|2|2</t>
  </si>
  <si>
    <t xml:space="preserve">Singland/Garryowen|3|1</t>
  </si>
  <si>
    <t xml:space="preserve">Singland/Garryowen|3|2</t>
  </si>
  <si>
    <t xml:space="preserve">Singland/Garryowen|4|1</t>
  </si>
  <si>
    <t xml:space="preserve">Singland/Garryowen|4|2</t>
  </si>
  <si>
    <t xml:space="preserve">Southhill|1|1</t>
  </si>
  <si>
    <t xml:space="preserve">Southhill|1|2</t>
  </si>
  <si>
    <t xml:space="preserve">Southhill|2|1</t>
  </si>
  <si>
    <t xml:space="preserve">Southhill|2|2</t>
  </si>
  <si>
    <t xml:space="preserve">Southhill|3|1</t>
  </si>
  <si>
    <t xml:space="preserve">Southhill|3|2</t>
  </si>
  <si>
    <t xml:space="preserve">Southhill|4|1</t>
  </si>
  <si>
    <t xml:space="preserve">Southhill|4|2</t>
  </si>
  <si>
    <t xml:space="preserve">Built with the story's own needProfile() code. The spare-room settings move households from a 1-bed to a 2-bed in proportion, so need = column E/F ± setting × column I/J.</t>
  </si>
  <si>
    <t xml:space="preserve">Table 5 · Existing net residential density: homes on land zoned Existing Residential (GZT R2), from GeoDirectory addresses and LDP 2022-2028 / LAP zoning (geo/sa_zone_long.csv)</t>
  </si>
  <si>
    <t xml:space="preserve">R2 zoned area (ha)</t>
  </si>
  <si>
    <t xml:space="preserve">Homes on R2 land</t>
  </si>
  <si>
    <t xml:space="preserve">Net density on R2 (homes/ha)</t>
  </si>
  <si>
    <t xml:space="preserve">All homes in catchment</t>
  </si>
  <si>
    <t xml:space="preserve">Share of homes on R2 land</t>
  </si>
  <si>
    <t xml:space="preserve">Unzoned area (ha)</t>
  </si>
  <si>
    <t xml:space="preserve">Homes on unzoned land</t>
  </si>
  <si>
    <t xml:space="preserve">Villages with R2 zoning (dwelling-weighted average)</t>
  </si>
  <si>
    <t xml:space="preserve">Table 6 · Council target density ranges (Variation No. 3 to the Limerick Development Plan 2022–2028, Section 2.3.5.2, Table 2.5/2.6) applied to each catchment</t>
  </si>
  <si>
    <t xml:space="preserve">Zone A</t>
  </si>
  <si>
    <t xml:space="preserve">Zone A min (homes/ha)</t>
  </si>
  <si>
    <t xml:space="preserve">Zone A max</t>
  </si>
  <si>
    <t xml:space="preserve">Zone B</t>
  </si>
  <si>
    <t xml:space="preserve">Zone B min</t>
  </si>
  <si>
    <t xml:space="preserve">Zone B max</t>
  </si>
  <si>
    <t xml:space="preserve">Share of land in zone A</t>
  </si>
  <si>
    <t xml:space="preserve">Basis</t>
  </si>
  <si>
    <t xml:space="preserve">City Zone 2, urban neighbourhoods (50–200)</t>
  </si>
  <si>
    <t xml:space="preserve">City Zone 3, suburban / urban extension (35–50)</t>
  </si>
  <si>
    <t xml:space="preserve">Zone weighted by identified housing land near frequent public transport (Tiers 1–2): 4.8 of 5.6 developable ha in the land register</t>
  </si>
  <si>
    <t xml:space="preserve">Zone weighted by identified housing land near frequent public transport (Tiers 1–2): 35.0 of 64.7 developable ha in the land register</t>
  </si>
  <si>
    <t xml:space="preserve">Zone weighted by identified housing land near frequent public transport (Tiers 1–2): 24.5 of 99.6 developable ha in the land register</t>
  </si>
  <si>
    <t xml:space="preserve">City Zone 1, city centre (100–250)</t>
  </si>
  <si>
    <t xml:space="preserve">Zone weighted by identified housing land near frequent public transport (Tiers 1–2): 81.5 of 81.5 developable ha in the land register</t>
  </si>
  <si>
    <t xml:space="preserve">Zone weighted by identified housing land near frequent public transport (Tiers 1–2): 8.9 of 19.0 developable ha in the land register</t>
  </si>
  <si>
    <t xml:space="preserve">Zone weighted by identified housing land near frequent public transport (Tiers 1–2): 5.5 of 103.8 developable ha in the land register</t>
  </si>
  <si>
    <t xml:space="preserve">Zone weighted by identified housing land near frequent public transport (Tiers 1–2): 0.9 of 0.9 developable ha in the land register</t>
  </si>
  <si>
    <t xml:space="preserve">Zone weighted by identified housing land near frequent public transport (Tiers 1–2): 14.6 of 15.7 developable ha in the land register</t>
  </si>
  <si>
    <t xml:space="preserve">Zone weighted by identified housing land near frequent public transport (Tiers 1–2): 27.8 of 29.9 developable ha in the land register</t>
  </si>
  <si>
    <t xml:space="preserve">Level 3 town Zone 2, town edge (25–40)</t>
  </si>
  <si>
    <t xml:space="preserve">Variation No. 3: Level 3 towns, Zone 2 range (Kilmallock is a Level 3 town in the variation)</t>
  </si>
  <si>
    <t xml:space="preserve">Metropolitan town Zone 2, suburban / urban extension (35–50)</t>
  </si>
  <si>
    <t xml:space="preserve">Variation No. 3: Castleconnell Zone 2 range</t>
  </si>
  <si>
    <t xml:space="preserve">Key town Zone 2, suburban / urban extension (30–50)</t>
  </si>
  <si>
    <t xml:space="preserve">Variation No. 3: Newcastle West Zone 2 range</t>
  </si>
  <si>
    <t xml:space="preserve">Level 4 large village (22)</t>
  </si>
  <si>
    <t xml:space="preserve">Variation No. 3: Level 4 large villages, 22 per ha; no zone range given</t>
  </si>
  <si>
    <t xml:space="preserve">Metropolitan village: not below 25</t>
  </si>
  <si>
    <t xml:space="preserve">Variation No. 3: should reflect existing density and built form but generally not below 25; no upper figure</t>
  </si>
  <si>
    <t xml:space="preserve">No Council figure: existing density kept</t>
  </si>
  <si>
    <t xml:space="preserve">No Council density for small villages, rural clusters or open countryside; the existing R2 density from the Land tab is kept</t>
  </si>
</sst>
</file>

<file path=xl/styles.xml><?xml version="1.0" encoding="utf-8"?>
<styleSheet xmlns="http://schemas.openxmlformats.org/spreadsheetml/2006/main">
  <numFmts count="12">
    <numFmt numFmtId="164" formatCode="General"/>
    <numFmt numFmtId="165" formatCode="0"/>
    <numFmt numFmtId="166" formatCode="0%"/>
    <numFmt numFmtId="167" formatCode="#,##0;\(#,##0\);\-"/>
    <numFmt numFmtId="168" formatCode="0.0%;\(0.0%\);\-"/>
    <numFmt numFmtId="169" formatCode="0.0"/>
    <numFmt numFmtId="170" formatCode="#,##0.0;\(#,##0.0\);\-"/>
    <numFmt numFmtId="171" formatCode="\+#,##0;\-#,##0;0"/>
    <numFmt numFmtId="172" formatCode="0.00%"/>
    <numFmt numFmtId="173" formatCode="0.000000"/>
    <numFmt numFmtId="174" formatCode="0.0000"/>
    <numFmt numFmtId="175" formatCode="#,##0.0"/>
  </numFmts>
  <fonts count="15">
    <font>
      <sz val="11"/>
      <color theme="1"/>
      <name val="Calibri"/>
      <family val="2"/>
      <charset val="1"/>
    </font>
    <font>
      <sz val="10"/>
      <name val="Arial"/>
      <family val="0"/>
    </font>
    <font>
      <sz val="10"/>
      <name val="Arial"/>
      <family val="0"/>
    </font>
    <font>
      <sz val="10"/>
      <name val="Arial"/>
      <family val="0"/>
    </font>
    <font>
      <b val="true"/>
      <sz val="16"/>
      <color rgb="FF0E2925"/>
      <name val="Arial"/>
      <family val="0"/>
      <charset val="1"/>
    </font>
    <font>
      <i val="true"/>
      <sz val="10"/>
      <color rgb="FF3E5853"/>
      <name val="Arial"/>
      <family val="0"/>
      <charset val="1"/>
    </font>
    <font>
      <b val="true"/>
      <sz val="10"/>
      <color rgb="FFFFFFFF"/>
      <name val="Arial"/>
      <family val="0"/>
      <charset val="1"/>
    </font>
    <font>
      <b val="true"/>
      <sz val="10"/>
      <name val="Arial"/>
      <family val="0"/>
      <charset val="1"/>
    </font>
    <font>
      <sz val="10"/>
      <name val="Arial"/>
      <family val="0"/>
      <charset val="1"/>
    </font>
    <font>
      <b val="true"/>
      <sz val="10"/>
      <color rgb="FF0000FF"/>
      <name val="Arial"/>
      <family val="0"/>
      <charset val="1"/>
    </font>
    <font>
      <sz val="10"/>
      <color rgb="FF008000"/>
      <name val="Arial"/>
      <family val="0"/>
      <charset val="1"/>
    </font>
    <font>
      <sz val="10"/>
      <color rgb="FF3E5853"/>
      <name val="Arial"/>
      <family val="0"/>
      <charset val="1"/>
    </font>
    <font>
      <sz val="10"/>
      <color rgb="FF000000"/>
      <name val="Arial"/>
      <family val="0"/>
      <charset val="1"/>
    </font>
    <font>
      <b val="true"/>
      <sz val="12"/>
      <color rgb="FF0E2925"/>
      <name val="Arial"/>
      <family val="0"/>
      <charset val="1"/>
    </font>
    <font>
      <sz val="10"/>
      <color rgb="FF0000FF"/>
      <name val="Arial"/>
      <family val="0"/>
      <charset val="1"/>
    </font>
  </fonts>
  <fills count="6">
    <fill>
      <patternFill patternType="none"/>
    </fill>
    <fill>
      <patternFill patternType="gray125"/>
    </fill>
    <fill>
      <patternFill patternType="solid">
        <fgColor rgb="FF0E2925"/>
        <bgColor rgb="FF003366"/>
      </patternFill>
    </fill>
    <fill>
      <patternFill patternType="solid">
        <fgColor rgb="FFE4E66A"/>
        <bgColor rgb="FFFBE6D8"/>
      </patternFill>
    </fill>
    <fill>
      <patternFill patternType="solid">
        <fgColor rgb="FFF4EFE8"/>
        <bgColor rgb="FFFBE6D8"/>
      </patternFill>
    </fill>
    <fill>
      <patternFill patternType="solid">
        <fgColor rgb="FFDCEFE5"/>
        <bgColor rgb="FFF4EFE8"/>
      </patternFill>
    </fill>
  </fills>
  <borders count="2">
    <border diagonalUp="false" diagonalDown="false">
      <left/>
      <right/>
      <top/>
      <bottom/>
      <diagonal/>
    </border>
    <border diagonalUp="false" diagonalDown="false">
      <left/>
      <right/>
      <top style="thin">
        <color rgb="FF0E2925"/>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5" fontId="9" fillId="3"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false" applyAlignment="true" applyProtection="false">
      <alignment horizontal="left" vertical="top" textRotation="0" wrapText="true" indent="0" shrinkToFit="false"/>
      <protection locked="true" hidden="false"/>
    </xf>
    <xf numFmtId="166" fontId="9" fillId="3"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4" fontId="7" fillId="4" borderId="1" xfId="0" applyFont="true" applyBorder="true" applyAlignment="true" applyProtection="false">
      <alignment horizontal="general" vertical="bottom" textRotation="0" wrapText="false" indent="0" shrinkToFit="false"/>
      <protection locked="true" hidden="false"/>
    </xf>
    <xf numFmtId="167" fontId="7" fillId="4" borderId="1" xfId="0" applyFont="true" applyBorder="true" applyAlignment="tru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bottom" textRotation="0" wrapText="false" indent="0" shrinkToFit="false"/>
      <protection locked="true" hidden="false"/>
    </xf>
    <xf numFmtId="168" fontId="7" fillId="4"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9" fontId="9" fillId="3"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7" fontId="10" fillId="0" borderId="0" xfId="0" applyFont="true" applyBorder="false" applyAlignment="true" applyProtection="false">
      <alignment horizontal="general" vertical="center" textRotation="0" wrapText="false" indent="0" shrinkToFit="false"/>
      <protection locked="true" hidden="false"/>
    </xf>
    <xf numFmtId="167" fontId="7" fillId="0" borderId="0" xfId="0" applyFont="true" applyBorder="false" applyAlignment="true" applyProtection="false">
      <alignment horizontal="general" vertical="center" textRotation="0" wrapText="false" indent="0" shrinkToFit="false"/>
      <protection locked="true" hidden="false"/>
    </xf>
    <xf numFmtId="170" fontId="7" fillId="0" borderId="0" xfId="0" applyFont="true" applyBorder="false" applyAlignment="true" applyProtection="false">
      <alignment horizontal="general" vertical="center" textRotation="0" wrapText="fals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9" fontId="7" fillId="4" borderId="1" xfId="0" applyFont="true" applyBorder="true" applyAlignment="tru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bottom" textRotation="0" wrapText="false" indent="0" shrinkToFit="false"/>
      <protection locked="true" hidden="false"/>
    </xf>
    <xf numFmtId="170" fontId="7" fillId="4" borderId="1" xfId="0" applyFont="true" applyBorder="tru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70" fontId="8"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69" fontId="7" fillId="0" borderId="0" xfId="0" applyFont="true" applyBorder="false" applyAlignment="true" applyProtection="false">
      <alignment horizontal="general" vertical="center" textRotation="0" wrapText="false" indent="0" shrinkToFit="false"/>
      <protection locked="true" hidden="false"/>
    </xf>
    <xf numFmtId="170" fontId="10" fillId="0" borderId="0" xfId="0" applyFont="true" applyBorder="false" applyAlignment="true" applyProtection="false">
      <alignment horizontal="general" vertical="center" textRotation="0" wrapText="false" indent="0" shrinkToFit="false"/>
      <protection locked="true" hidden="false"/>
    </xf>
    <xf numFmtId="170" fontId="8"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9" fontId="7" fillId="4"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70" fontId="7" fillId="4" borderId="0" xfId="0" applyFont="true" applyBorder="false" applyAlignment="false" applyProtection="false">
      <alignment horizontal="general" vertical="bottom" textRotation="0" wrapText="false" indent="0" shrinkToFit="false"/>
      <protection locked="true" hidden="false"/>
    </xf>
    <xf numFmtId="171" fontId="7" fillId="4"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true" applyProtection="false">
      <alignment horizontal="general"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4" fontId="8" fillId="5"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73" fontId="8" fillId="0" borderId="0" xfId="0" applyFont="true" applyBorder="false" applyAlignment="true" applyProtection="false">
      <alignment horizontal="general" vertical="bottom" textRotation="0" wrapText="false" indent="0" shrinkToFit="false"/>
      <protection locked="true" hidden="false"/>
    </xf>
    <xf numFmtId="172" fontId="8" fillId="0" borderId="0" xfId="0" applyFont="true" applyBorder="false" applyAlignment="true" applyProtection="false">
      <alignment horizontal="general" vertical="bottom" textRotation="0" wrapText="false" indent="0" shrinkToFit="false"/>
      <protection locked="true" hidden="false"/>
    </xf>
    <xf numFmtId="174" fontId="8"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72" fontId="7" fillId="0" borderId="1" xfId="0" applyFont="true" applyBorder="true" applyAlignment="true" applyProtection="false">
      <alignment horizontal="general" vertical="bottom" textRotation="0" wrapText="false" indent="0" shrinkToFit="false"/>
      <protection locked="true" hidden="false"/>
    </xf>
    <xf numFmtId="170" fontId="7" fillId="0" borderId="1" xfId="0" applyFont="true" applyBorder="true" applyAlignment="true" applyProtection="false">
      <alignment horizontal="general" vertical="bottom" textRotation="0" wrapText="false" indent="0" shrinkToFit="false"/>
      <protection locked="true" hidden="false"/>
    </xf>
    <xf numFmtId="175" fontId="8"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E4E66A"/>
      <rgbColor rgb="FFFF00FF"/>
      <rgbColor rgb="FF00FFFF"/>
      <rgbColor rgb="FF800000"/>
      <rgbColor rgb="FF008000"/>
      <rgbColor rgb="FF000080"/>
      <rgbColor rgb="FF808000"/>
      <rgbColor rgb="FF800080"/>
      <rgbColor rgb="FF008080"/>
      <rgbColor rgb="FFCCCCCC"/>
      <rgbColor rgb="FF808080"/>
      <rgbColor rgb="FF9999FF"/>
      <rgbColor rgb="FF993366"/>
      <rgbColor rgb="FFF4EFE8"/>
      <rgbColor rgb="FFCCFFFF"/>
      <rgbColor rgb="FF660066"/>
      <rgbColor rgb="FFF2794D"/>
      <rgbColor rgb="FF0066CC"/>
      <rgbColor rgb="FFCCCCFF"/>
      <rgbColor rgb="FF000080"/>
      <rgbColor rgb="FFFF00FF"/>
      <rgbColor rgb="FFFFFF00"/>
      <rgbColor rgb="FF00FFFF"/>
      <rgbColor rgb="FF800080"/>
      <rgbColor rgb="FF800000"/>
      <rgbColor rgb="FF008080"/>
      <rgbColor rgb="FF0000FF"/>
      <rgbColor rgb="FF00CCFF"/>
      <rgbColor rgb="FFCCFFFF"/>
      <rgbColor rgb="FFDCEFE5"/>
      <rgbColor rgb="FFFBE6D8"/>
      <rgbColor rgb="FF86CDA9"/>
      <rgbColor rgb="FFFF99CC"/>
      <rgbColor rgb="FFCC99FF"/>
      <rgbColor rgb="FFF8B79C"/>
      <rgbColor rgb="FF3366FF"/>
      <rgbColor rgb="FF33CCCC"/>
      <rgbColor rgb="FF99CC00"/>
      <rgbColor rgb="FFFFCC00"/>
      <rgbColor rgb="FFFF9900"/>
      <rgbColor rgb="FFFF6600"/>
      <rgbColor rgb="FF666699"/>
      <rgbColor rgb="FF999999"/>
      <rgbColor rgb="FF003366"/>
      <rgbColor rgb="FF3F9B7E"/>
      <rgbColor rgb="FF0E2925"/>
      <rgbColor rgb="FF333300"/>
      <rgbColor rgb="FF993300"/>
      <rgbColor rgb="FF993366"/>
      <rgbColor rgb="FF333399"/>
      <rgbColor rgb="FF3E585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4E66A"/>
    <pageSetUpPr fitToPage="false"/>
  </sheetPr>
  <dimension ref="A1:D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0"/>
    <col collapsed="false" customWidth="true" hidden="false" outlineLevel="0" max="3" min="3" style="1" width="38"/>
    <col collapsed="false" customWidth="true" hidden="false" outlineLevel="0" max="4" min="4" style="1" width="90"/>
  </cols>
  <sheetData>
    <row r="1" customFormat="false" ht="19.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3" t="s">
        <v>2</v>
      </c>
    </row>
    <row r="5" customFormat="false" ht="15" hidden="false" customHeight="true" outlineLevel="0" collapsed="false">
      <c r="A5" s="4" t="s">
        <v>3</v>
      </c>
      <c r="B5" s="5" t="s">
        <v>4</v>
      </c>
      <c r="C5" s="5" t="s">
        <v>5</v>
      </c>
      <c r="D5" s="5" t="s">
        <v>6</v>
      </c>
    </row>
    <row r="6" customFormat="false" ht="42" hidden="false" customHeight="true" outlineLevel="0" collapsed="false">
      <c r="A6" s="6" t="s">
        <v>7</v>
      </c>
      <c r="B6" s="7" t="s">
        <v>8</v>
      </c>
      <c r="C6" s="8" t="n">
        <v>2040</v>
      </c>
      <c r="D6" s="9" t="s">
        <v>9</v>
      </c>
    </row>
    <row r="7" customFormat="false" ht="42" hidden="false" customHeight="true" outlineLevel="0" collapsed="false">
      <c r="A7" s="6" t="s">
        <v>10</v>
      </c>
      <c r="B7" s="7" t="s">
        <v>11</v>
      </c>
      <c r="C7" s="10" t="s">
        <v>12</v>
      </c>
      <c r="D7" s="9" t="s">
        <v>13</v>
      </c>
    </row>
    <row r="8" customFormat="false" ht="42" hidden="false" customHeight="true" outlineLevel="0" collapsed="false">
      <c r="A8" s="6" t="s">
        <v>14</v>
      </c>
      <c r="B8" s="7" t="s">
        <v>15</v>
      </c>
      <c r="C8" s="10" t="s">
        <v>16</v>
      </c>
      <c r="D8" s="9" t="s">
        <v>17</v>
      </c>
    </row>
    <row r="9" customFormat="false" ht="42" hidden="false" customHeight="true" outlineLevel="0" collapsed="false">
      <c r="A9" s="6" t="s">
        <v>18</v>
      </c>
      <c r="B9" s="7" t="s">
        <v>19</v>
      </c>
      <c r="C9" s="10" t="s">
        <v>20</v>
      </c>
      <c r="D9" s="9" t="s">
        <v>21</v>
      </c>
    </row>
    <row r="10" customFormat="false" ht="42" hidden="false" customHeight="true" outlineLevel="0" collapsed="false">
      <c r="A10" s="6" t="s">
        <v>18</v>
      </c>
      <c r="B10" s="7" t="s">
        <v>22</v>
      </c>
      <c r="C10" s="10" t="s">
        <v>23</v>
      </c>
      <c r="D10" s="9" t="s">
        <v>24</v>
      </c>
    </row>
    <row r="11" customFormat="false" ht="42" hidden="false" customHeight="true" outlineLevel="0" collapsed="false">
      <c r="A11" s="6" t="s">
        <v>18</v>
      </c>
      <c r="B11" s="7" t="s">
        <v>25</v>
      </c>
      <c r="C11" s="11" t="n">
        <v>0</v>
      </c>
      <c r="D11" s="9" t="s">
        <v>26</v>
      </c>
    </row>
    <row r="12" customFormat="false" ht="42" hidden="false" customHeight="true" outlineLevel="0" collapsed="false">
      <c r="A12" s="6" t="s">
        <v>18</v>
      </c>
      <c r="B12" s="7" t="s">
        <v>27</v>
      </c>
      <c r="C12" s="11" t="n">
        <v>0</v>
      </c>
      <c r="D12" s="9" t="s">
        <v>28</v>
      </c>
    </row>
    <row r="13" customFormat="false" ht="42" hidden="false" customHeight="true" outlineLevel="0" collapsed="false">
      <c r="A13" s="6" t="s">
        <v>29</v>
      </c>
      <c r="B13" s="7" t="s">
        <v>30</v>
      </c>
      <c r="C13" s="10" t="s">
        <v>31</v>
      </c>
      <c r="D13" s="9" t="s">
        <v>32</v>
      </c>
    </row>
    <row r="14" customFormat="false" ht="42" hidden="false" customHeight="true" outlineLevel="0" collapsed="false">
      <c r="A14" s="6" t="s">
        <v>33</v>
      </c>
      <c r="B14" s="7" t="s">
        <v>34</v>
      </c>
      <c r="C14" s="10" t="s">
        <v>35</v>
      </c>
      <c r="D14" s="9" t="s">
        <v>36</v>
      </c>
    </row>
    <row r="15" customFormat="false" ht="42" hidden="false" customHeight="true" outlineLevel="0" collapsed="false">
      <c r="A15" s="6" t="s">
        <v>33</v>
      </c>
      <c r="B15" s="7" t="s">
        <v>37</v>
      </c>
      <c r="C15" s="11" t="n">
        <v>0.5</v>
      </c>
      <c r="D15" s="9" t="s">
        <v>38</v>
      </c>
    </row>
    <row r="16" customFormat="false" ht="42" hidden="false" customHeight="true" outlineLevel="0" collapsed="false">
      <c r="A16" s="6" t="s">
        <v>39</v>
      </c>
      <c r="B16" s="7" t="s">
        <v>40</v>
      </c>
      <c r="C16" s="10" t="s">
        <v>41</v>
      </c>
      <c r="D16" s="9" t="s">
        <v>42</v>
      </c>
    </row>
    <row r="17" customFormat="false" ht="42" hidden="false" customHeight="true" outlineLevel="0" collapsed="false">
      <c r="A17" s="6" t="s">
        <v>39</v>
      </c>
      <c r="B17" s="7" t="s">
        <v>43</v>
      </c>
      <c r="C17" s="11" t="n">
        <v>0.2</v>
      </c>
      <c r="D17" s="9" t="s">
        <v>44</v>
      </c>
    </row>
    <row r="18" customFormat="false" ht="42" hidden="false" customHeight="true" outlineLevel="0" collapsed="false">
      <c r="A18" s="6" t="s">
        <v>39</v>
      </c>
      <c r="B18" s="7" t="s">
        <v>45</v>
      </c>
      <c r="C18" s="11" t="n">
        <v>0.1</v>
      </c>
      <c r="D18" s="9" t="s">
        <v>46</v>
      </c>
    </row>
    <row r="19" customFormat="false" ht="42" hidden="false" customHeight="true" outlineLevel="0" collapsed="false">
      <c r="A19" s="6" t="s">
        <v>47</v>
      </c>
      <c r="B19" s="7" t="s">
        <v>48</v>
      </c>
      <c r="C19" s="10" t="s">
        <v>49</v>
      </c>
      <c r="D19" s="9" t="s">
        <v>50</v>
      </c>
    </row>
    <row r="20" customFormat="false" ht="15" hidden="false" customHeight="true" outlineLevel="0" collapsed="false">
      <c r="A20" s="3" t="s">
        <v>51</v>
      </c>
    </row>
    <row r="22" customFormat="false" ht="15" hidden="false" customHeight="true" outlineLevel="0" collapsed="false">
      <c r="A22" s="12" t="s">
        <v>52</v>
      </c>
    </row>
    <row r="23" customFormat="false" ht="15" hidden="false" customHeight="true" outlineLevel="0" collapsed="false">
      <c r="B23" s="13" t="s">
        <v>53</v>
      </c>
      <c r="C23" s="14" t="n">
        <f aca="false">Total!B28</f>
        <v>39864</v>
      </c>
    </row>
    <row r="24" customFormat="false" ht="15" hidden="false" customHeight="true" outlineLevel="0" collapsed="false">
      <c r="B24" s="13" t="s">
        <v>54</v>
      </c>
      <c r="C24" s="14" t="n">
        <f aca="false">SUM(Total!K28:O28)</f>
        <v>8362.37068251938</v>
      </c>
    </row>
    <row r="25" customFormat="false" ht="15" hidden="false" customHeight="true" outlineLevel="0" collapsed="false">
      <c r="B25" s="13" t="s">
        <v>55</v>
      </c>
      <c r="C25" s="14" t="n">
        <f aca="false">Total!I28+Total!J28</f>
        <v>5018.62231921138</v>
      </c>
    </row>
    <row r="26" customFormat="false" ht="15" hidden="false" customHeight="true" outlineLevel="0" collapsed="false">
      <c r="B26" s="13" t="s">
        <v>56</v>
      </c>
      <c r="C26" s="14" t="n">
        <f aca="false">Total!G28+Total!H28</f>
        <v>26483.0069982693</v>
      </c>
    </row>
    <row r="27" customFormat="false" ht="15" hidden="false" customHeight="true" outlineLevel="0" collapsed="false">
      <c r="B27" s="13" t="s">
        <v>57</v>
      </c>
      <c r="C27" s="15" t="n">
        <f aca="false">Total!C29</f>
        <v>0.241232310532536</v>
      </c>
    </row>
    <row r="28" customFormat="false" ht="15" hidden="false" customHeight="true" outlineLevel="0" collapsed="false">
      <c r="B28" s="13" t="s">
        <v>58</v>
      </c>
      <c r="C28" s="15" t="n">
        <f aca="false">Total!F29</f>
        <v>0.261495442014109</v>
      </c>
    </row>
    <row r="29" customFormat="false" ht="15" hidden="false" customHeight="true" outlineLevel="0" collapsed="false">
      <c r="B29" s="13" t="s">
        <v>59</v>
      </c>
      <c r="C29" s="16" t="str">
        <f aca="false">Validation!E7&amp;" ("&amp;Validation!C6&amp;" checks)"</f>
        <v>ALL PASS (91 checks)</v>
      </c>
    </row>
    <row r="31" customFormat="false" ht="15" hidden="false" customHeight="true" outlineLevel="0" collapsed="false">
      <c r="A31" s="12" t="s">
        <v>60</v>
      </c>
    </row>
    <row r="32" customFormat="false" ht="15" hidden="false" customHeight="true" outlineLevel="0" collapsed="false">
      <c r="B32" s="12" t="s">
        <v>61</v>
      </c>
      <c r="D32" s="17" t="s">
        <v>62</v>
      </c>
    </row>
    <row r="33" customFormat="false" ht="15" hidden="false" customHeight="true" outlineLevel="0" collapsed="false">
      <c r="B33" s="12" t="s">
        <v>63</v>
      </c>
      <c r="D33" s="17" t="s">
        <v>64</v>
      </c>
    </row>
    <row r="34" customFormat="false" ht="23.25" hidden="false" customHeight="true" outlineLevel="0" collapsed="false">
      <c r="B34" s="12" t="s">
        <v>65</v>
      </c>
      <c r="D34" s="17" t="s">
        <v>66</v>
      </c>
    </row>
    <row r="35" customFormat="false" ht="15" hidden="false" customHeight="true" outlineLevel="0" collapsed="false">
      <c r="B35" s="18" t="s">
        <v>67</v>
      </c>
      <c r="D35" s="19" t="s">
        <v>68</v>
      </c>
    </row>
    <row r="36" customFormat="false" ht="15" hidden="false" customHeight="true" outlineLevel="0" collapsed="false">
      <c r="B36" s="18" t="s">
        <v>69</v>
      </c>
      <c r="D36" s="19" t="s">
        <v>70</v>
      </c>
    </row>
    <row r="37" customFormat="false" ht="15" hidden="false" customHeight="true" outlineLevel="0" collapsed="false">
      <c r="B37" s="12" t="s">
        <v>71</v>
      </c>
      <c r="D37" s="17" t="s">
        <v>72</v>
      </c>
    </row>
    <row r="38" customFormat="false" ht="15" hidden="false" customHeight="true" outlineLevel="0" collapsed="false">
      <c r="B38" s="12" t="s">
        <v>59</v>
      </c>
      <c r="D38" s="17" t="s">
        <v>73</v>
      </c>
    </row>
    <row r="39" customFormat="false" ht="15" hidden="false" customHeight="false" outlineLevel="0" collapsed="false">
      <c r="B39" s="12" t="s">
        <v>74</v>
      </c>
      <c r="D39" s="17" t="s">
        <v>75</v>
      </c>
    </row>
    <row r="40" customFormat="false" ht="15" hidden="false" customHeight="true" outlineLevel="0" collapsed="false">
      <c r="B40" s="12" t="s">
        <v>76</v>
      </c>
      <c r="D40" s="17" t="s">
        <v>77</v>
      </c>
    </row>
    <row r="41" customFormat="false" ht="54" hidden="false" customHeight="true" outlineLevel="0" collapsed="false"/>
    <row r="42" customFormat="false" ht="54" hidden="false" customHeight="true" outlineLevel="0" collapsed="false">
      <c r="A42" s="12" t="s">
        <v>78</v>
      </c>
    </row>
    <row r="43" customFormat="false" ht="54" hidden="false" customHeight="true" outlineLevel="0" collapsed="false">
      <c r="B43" s="6" t="s">
        <v>79</v>
      </c>
      <c r="D43" s="7" t="s">
        <v>80</v>
      </c>
    </row>
    <row r="44" customFormat="false" ht="54" hidden="false" customHeight="true" outlineLevel="0" collapsed="false">
      <c r="B44" s="6" t="s">
        <v>81</v>
      </c>
      <c r="D44" s="7" t="s">
        <v>82</v>
      </c>
    </row>
    <row r="45" customFormat="false" ht="54" hidden="false" customHeight="true" outlineLevel="0" collapsed="false">
      <c r="B45" s="6" t="s">
        <v>83</v>
      </c>
      <c r="D45" s="7" t="s">
        <v>84</v>
      </c>
    </row>
    <row r="46" customFormat="false" ht="54" hidden="false" customHeight="true" outlineLevel="0" collapsed="false">
      <c r="B46" s="6" t="s">
        <v>85</v>
      </c>
      <c r="D46" s="7" t="s">
        <v>86</v>
      </c>
    </row>
    <row r="47" customFormat="false" ht="54" hidden="false" customHeight="true" outlineLevel="0" collapsed="false">
      <c r="B47" s="6" t="s">
        <v>87</v>
      </c>
      <c r="D47" s="7" t="s">
        <v>88</v>
      </c>
    </row>
    <row r="48" customFormat="false" ht="54" hidden="false" customHeight="true" outlineLevel="0" collapsed="false">
      <c r="B48" s="6" t="s">
        <v>89</v>
      </c>
      <c r="D48" s="7" t="s">
        <v>90</v>
      </c>
    </row>
    <row r="49" customFormat="false" ht="54" hidden="false" customHeight="true" outlineLevel="0" collapsed="false">
      <c r="B49" s="6" t="s">
        <v>91</v>
      </c>
      <c r="D49" s="7" t="s">
        <v>92</v>
      </c>
    </row>
    <row r="50" customFormat="false" ht="23.85" hidden="false" customHeight="false" outlineLevel="0" collapsed="false">
      <c r="B50" s="6" t="s">
        <v>93</v>
      </c>
      <c r="D50" s="7" t="s">
        <v>94</v>
      </c>
    </row>
    <row r="51" customFormat="false" ht="23.85" hidden="false" customHeight="false" outlineLevel="0" collapsed="false">
      <c r="B51" s="6" t="s">
        <v>95</v>
      </c>
      <c r="D51" s="7" t="s">
        <v>96</v>
      </c>
    </row>
  </sheetData>
  <dataValidations count="14">
    <dataValidation allowBlank="false" error="Pick a value from the list" errorStyle="stop" errorTitle="Lever" operator="between" showDropDown="false" showErrorMessage="false" showInputMessage="false" sqref="C6" type="list">
      <formula1>Data!$Z$3:$Z$17</formula1>
      <formula2>0</formula2>
    </dataValidation>
    <dataValidation allowBlank="false" error="Pick a value from the list" errorStyle="stop" errorTitle="Lever" operator="between" showDropDown="false" showErrorMessage="false" showInputMessage="false" sqref="C7" type="list">
      <formula1>Data!$AA$3:$AA$5</formula1>
      <formula2>0</formula2>
    </dataValidation>
    <dataValidation allowBlank="false" error="Pick a value from the list" errorStyle="stop" errorTitle="Lever" operator="between" showDropDown="false" showErrorMessage="false" showInputMessage="false" sqref="C8" type="list">
      <formula1>Data!$AB$3:$AB$4</formula1>
      <formula2>0</formula2>
    </dataValidation>
    <dataValidation allowBlank="false" error="Pick a value from the list" errorStyle="stop" errorTitle="Lever" operator="between" showDropDown="false" showErrorMessage="false" showInputMessage="false" sqref="C9" type="list">
      <formula1>Data!$AC$3:$AC$6</formula1>
      <formula2>0</formula2>
    </dataValidation>
    <dataValidation allowBlank="false" error="Pick a value from the list" errorStyle="stop" errorTitle="Lever" operator="between" showDropDown="false" showErrorMessage="false" showInputMessage="false" sqref="C10" type="list">
      <formula1>Data!$AD$3:$AD$4</formula1>
      <formula2>0</formula2>
    </dataValidation>
    <dataValidation allowBlank="false" error="Pick a value from the list" errorStyle="stop" errorTitle="Lever" operator="between" showDropDown="false" showErrorMessage="false" showInputMessage="false" sqref="C11" type="list">
      <formula1>Data!$AE$3:$AE$23</formula1>
      <formula2>0</formula2>
    </dataValidation>
    <dataValidation allowBlank="false" error="Pick a value from the list" errorStyle="stop" errorTitle="Lever" operator="between" showDropDown="false" showErrorMessage="false" showInputMessage="false" sqref="C12" type="list">
      <formula1>Data!$AE$3:$AE$23</formula1>
      <formula2>0</formula2>
    </dataValidation>
    <dataValidation allowBlank="false" error="Pick a value from the list" errorStyle="stop" errorTitle="Lever" operator="between" showDropDown="false" showErrorMessage="false" showInputMessage="false" sqref="C13" type="list">
      <formula1>Data!$AF$3:$AF$6</formula1>
      <formula2>0</formula2>
    </dataValidation>
    <dataValidation allowBlank="false" error="Pick a value from the list" errorStyle="stop" errorTitle="Lever" operator="between" showDropDown="false" showErrorMessage="false" showInputMessage="false" sqref="C14" type="list">
      <formula1>Data!$AG$3:$AG$4</formula1>
      <formula2>0</formula2>
    </dataValidation>
    <dataValidation allowBlank="false" error="Pick a value from the list" errorStyle="stop" errorTitle="Lever" operator="between" showDropDown="false" showErrorMessage="false" showInputMessage="false" sqref="C15" type="list">
      <formula1>Data!$AE$3:$AE$23</formula1>
      <formula2>0</formula2>
    </dataValidation>
    <dataValidation allowBlank="false" error="Pick a value from the list" errorStyle="stop" errorTitle="Lever" operator="between" showDropDown="false" showErrorMessage="false" showInputMessage="false" sqref="C16" type="list">
      <formula1>Data!$AH$3:$AH$4</formula1>
      <formula2>0</formula2>
    </dataValidation>
    <dataValidation allowBlank="false" error="Pick a value from the list" errorStyle="stop" errorTitle="Lever" operator="between" showDropDown="false" showErrorMessage="false" showInputMessage="false" sqref="C17" type="list">
      <formula1>Data!$AI$3:$AI$28</formula1>
      <formula2>0</formula2>
    </dataValidation>
    <dataValidation allowBlank="false" error="Pick a value from the list" errorStyle="stop" errorTitle="Lever" operator="between" showDropDown="false" showErrorMessage="false" showInputMessage="false" sqref="C18" type="list">
      <formula1>Data!$AJ$3:$AJ$23</formula1>
      <formula2>0</formula2>
    </dataValidation>
    <dataValidation allowBlank="false" error="Pick a value from the list" errorStyle="stop" errorTitle="Lever" operator="between" showDropDown="false" showErrorMessage="false" showInputMessage="false" sqref="C19" type="list">
      <formula1>Data!$AK$3:$AK$5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2925"/>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97</v>
      </c>
    </row>
    <row r="2" customFormat="false" ht="15" hidden="false" customHeight="true" outlineLevel="0" collapsed="false">
      <c r="A2" s="3" t="str">
        <f aca="false">"Sum of the 25 catchment tabs · new homes per year, 2026–"&amp;Model!$B$3&amp;" · set by the levers on the Intro tab"</f>
        <v>Sum of the 25 catchment tabs · new homes per year, 2026–2040 · set by the levers on the Intro tab</v>
      </c>
    </row>
    <row r="4" customFormat="false" ht="15" hidden="false" customHeight="true" outlineLevel="0" collapsed="false">
      <c r="A4" s="13" t="s">
        <v>98</v>
      </c>
      <c r="C4" s="20" t="n">
        <v>25</v>
      </c>
    </row>
    <row r="5" customFormat="false" ht="15" hidden="false" customHeight="true" outlineLevel="0" collapsed="false">
      <c r="A5" s="13" t="s">
        <v>53</v>
      </c>
      <c r="C5" s="21" t="n">
        <f aca="false">B28</f>
        <v>39864</v>
      </c>
    </row>
    <row r="6" customFormat="false" ht="15" hidden="false" customHeight="true" outlineLevel="0" collapsed="false">
      <c r="A6" s="13" t="s">
        <v>99</v>
      </c>
      <c r="C6" s="22" t="n">
        <f aca="false">IF(B28&gt;0,SUM(K28:O28)/B28,0)</f>
        <v>0.209772493541024</v>
      </c>
    </row>
    <row r="7" customFormat="false" ht="15" hidden="false" customHeight="true" outlineLevel="0" collapsed="false">
      <c r="A7" s="13" t="s">
        <v>100</v>
      </c>
      <c r="C7" s="22" t="n">
        <f aca="false">SUMPRODUCT(Data!$E$23:$E$47,Data!$F$23:$F$47)/SUM(Data!$E$23:$E$47)</f>
        <v>0.0991397552919588</v>
      </c>
    </row>
    <row r="8" customFormat="false" ht="15" hidden="false" customHeight="true" outlineLevel="0" collapsed="false">
      <c r="A8" s="13" t="s">
        <v>101</v>
      </c>
      <c r="C8" s="22" t="n">
        <f aca="false">(SUMPRODUCT(Data!$E$23:$E$47,Data!$F$23:$F$47)+SUM(K28:O28))/(SUM(Data!$E$23:$E$47)+B28)</f>
        <v>0.137107226409657</v>
      </c>
    </row>
    <row r="9" customFormat="false" ht="15" hidden="false" customHeight="true" outlineLevel="0" collapsed="false">
      <c r="A9" s="13" t="s">
        <v>102</v>
      </c>
      <c r="C9" s="13" t="str">
        <f aca="false">IF(Model!$B$5=1,"S1: the Council's planned split for each year","S2: each catchment's own need, weighted by its homes")</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Ballinacurra!B13+Caherdavin!B13+'Castletroy-Annacotty'!B13+'City Centre'!B13+'Corbally-Grove Island'!B13+Dooradoyle!B13+'Kings Island'!B13+'Singland-Garryowen'!B13+Southhill!B13+Abbeyfeale!B13+Caherconlish!B13+Castleconnell!B13+Kilmallock!B13+'Newcastle West'!B13+Rathkeale!B13+Adare!B13+Askeaton!B13+Bruff!B13+Cappamore!B13+Croom!B13+Hospital!B13+Kilfinnane!B13+Moroe!B13+Patrickswell!B13+'Rest of county'!B13</f>
        <v>4263</v>
      </c>
      <c r="C13" s="21" t="n">
        <f aca="false">Ballinacurra!C13+Caherdavin!C13+'Castletroy-Annacotty'!C13+'City Centre'!C13+'Corbally-Grove Island'!C13+Dooradoyle!C13+'Kings Island'!C13+'Singland-Garryowen'!C13+Southhill!C13+Abbeyfeale!C13+Caherconlish!C13+Castleconnell!C13+Kilmallock!C13+'Newcastle West'!C13+Rathkeale!C13+Adare!C13+Askeaton!C13+Bruff!C13+Cappamore!C13+Croom!C13+Hospital!C13+Kilfinnane!C13+Moroe!C13+Patrickswell!C13+'Rest of county'!C13</f>
        <v>1102.74132270169</v>
      </c>
      <c r="D13" s="21" t="n">
        <f aca="false">Ballinacurra!D13+Caherdavin!D13+'Castletroy-Annacotty'!D13+'City Centre'!D13+'Corbally-Grove Island'!D13+Dooradoyle!D13+'Kings Island'!D13+'Singland-Garryowen'!D13+Southhill!D13+Abbeyfeale!D13+Caherconlish!D13+Castleconnell!D13+Kilmallock!D13+'Newcastle West'!D13+Rathkeale!D13+Adare!D13+Askeaton!D13+Bruff!D13+Cappamore!D13+Croom!D13+Hospital!D13+Kilfinnane!D13+Moroe!D13+Patrickswell!D13+'Rest of county'!D13</f>
        <v>1349.68339587242</v>
      </c>
      <c r="E13" s="21" t="n">
        <f aca="false">Ballinacurra!E13+Caherdavin!E13+'Castletroy-Annacotty'!E13+'City Centre'!E13+'Corbally-Grove Island'!E13+Dooradoyle!E13+'Kings Island'!E13+'Singland-Garryowen'!E13+Southhill!E13+Abbeyfeale!E13+Caherconlish!E13+Castleconnell!E13+Kilmallock!E13+'Newcastle West'!E13+Rathkeale!E13+Adare!E13+Askeaton!E13+Bruff!E13+Cappamore!E13+Croom!E13+Hospital!E13+Kilfinnane!E13+Moroe!E13+Patrickswell!E13+'Rest of county'!E13</f>
        <v>788.81496247655</v>
      </c>
      <c r="F13" s="21" t="n">
        <f aca="false">Ballinacurra!F13+Caherdavin!F13+'Castletroy-Annacotty'!F13+'City Centre'!F13+'Corbally-Grove Island'!F13+Dooradoyle!F13+'Kings Island'!F13+'Singland-Garryowen'!F13+Southhill!F13+Abbeyfeale!F13+Caherconlish!F13+Castleconnell!F13+Kilmallock!F13+'Newcastle West'!F13+Rathkeale!F13+Adare!F13+Askeaton!F13+Bruff!F13+Cappamore!F13+Croom!F13+Hospital!F13+Kilfinnane!F13+Moroe!F13+Patrickswell!F13+'Rest of county'!F13</f>
        <v>1021.76031894934</v>
      </c>
      <c r="G13" s="21" t="n">
        <f aca="false">Ballinacurra!G13+Caherdavin!G13+'Castletroy-Annacotty'!G13+'City Centre'!G13+'Corbally-Grove Island'!G13+Dooradoyle!G13+'Kings Island'!G13+'Singland-Garryowen'!G13+Southhill!G13+Abbeyfeale!G13+Caherconlish!G13+Castleconnell!G13+Kilmallock!G13+'Newcastle West'!G13+Rathkeale!G13+Adare!G13+Askeaton!G13+Bruff!G13+Cappamore!G13+Croom!G13+Hospital!G13+Kilfinnane!G13+Moroe!G13+Patrickswell!G13+'Rest of county'!G13</f>
        <v>2266.17902024231</v>
      </c>
      <c r="H13" s="21" t="n">
        <f aca="false">Ballinacurra!H13+Caherdavin!H13+'Castletroy-Annacotty'!H13+'City Centre'!H13+'Corbally-Grove Island'!H13+Dooradoyle!H13+'Kings Island'!H13+'Singland-Garryowen'!H13+Southhill!H13+Abbeyfeale!H13+Caherconlish!H13+Castleconnell!H13+Kilmallock!H13+'Newcastle West'!H13+Rathkeale!H13+Adare!H13+Askeaton!H13+Bruff!H13+Cappamore!H13+Croom!H13+Hospital!H13+Kilfinnane!H13+Moroe!H13+Patrickswell!H13+'Rest of county'!H13</f>
        <v>565.876439160208</v>
      </c>
      <c r="I13" s="21" t="n">
        <f aca="false">Ballinacurra!I13+Caherdavin!I13+'Castletroy-Annacotty'!I13+'City Centre'!I13+'Corbally-Grove Island'!I13+Dooradoyle!I13+'Kings Island'!I13+'Singland-Garryowen'!I13+Southhill!I13+Abbeyfeale!I13+Caherconlish!I13+Castleconnell!I13+Kilmallock!I13+'Newcastle West'!I13+Rathkeale!I13+Adare!I13+Askeaton!I13+Bruff!I13+Cappamore!I13+Croom!I13+Hospital!I13+Kilfinnane!I13+Moroe!I13+Patrickswell!I13+'Rest of county'!I13</f>
        <v>268.342200316051</v>
      </c>
      <c r="J13" s="21" t="n">
        <f aca="false">Ballinacurra!J13+Caherdavin!J13+'Castletroy-Annacotty'!J13+'City Centre'!J13+'Corbally-Grove Island'!J13+Dooradoyle!J13+'Kings Island'!J13+'Singland-Garryowen'!J13+Southhill!J13+Abbeyfeale!J13+Caherconlish!J13+Castleconnell!J13+Kilmallock!J13+'Newcastle West'!J13+Rathkeale!J13+Adare!J13+Askeaton!J13+Bruff!J13+Cappamore!J13+Croom!J13+Hospital!J13+Kilfinnane!J13+Moroe!J13+Patrickswell!J13+'Rest of county'!J13</f>
        <v>268.342200316051</v>
      </c>
      <c r="K13" s="21" t="n">
        <f aca="false">Ballinacurra!K13+Caherdavin!K13+'Castletroy-Annacotty'!K13+'City Centre'!K13+'Corbally-Grove Island'!K13+Dooradoyle!K13+'Kings Island'!K13+'Singland-Garryowen'!K13+Southhill!K13+Abbeyfeale!K13+Caherconlish!K13+Castleconnell!K13+Kilmallock!K13+'Newcastle West'!K13+Rathkeale!K13+Adare!K13+Askeaton!K13+Bruff!K13+Cappamore!K13+Croom!K13+Hospital!K13+Kilfinnane!K13+Moroe!K13+Patrickswell!K13+'Rest of county'!K13</f>
        <v>606.347034606791</v>
      </c>
      <c r="L13" s="21" t="n">
        <f aca="false">Ballinacurra!L13+Caherdavin!L13+'Castletroy-Annacotty'!L13+'City Centre'!L13+'Corbally-Grove Island'!L13+Dooradoyle!L13+'Kings Island'!L13+'Singland-Garryowen'!L13+Southhill!L13+Abbeyfeale!L13+Caherconlish!L13+Castleconnell!L13+Kilmallock!L13+'Newcastle West'!L13+Rathkeale!L13+Adare!L13+Askeaton!L13+Bruff!L13+Cappamore!L13+Croom!L13+Hospital!L13+Kilfinnane!L13+Moroe!L13+Patrickswell!L13+'Rest of county'!L13</f>
        <v>166.16893006562</v>
      </c>
      <c r="M13" s="21" t="n">
        <f aca="false">Ballinacurra!M13+Caherdavin!M13+'Castletroy-Annacotty'!M13+'City Centre'!M13+'Corbally-Grove Island'!M13+Dooradoyle!M13+'Kings Island'!M13+'Singland-Garryowen'!M13+Southhill!M13+Abbeyfeale!M13+Caherconlish!M13+Castleconnell!M13+Kilmallock!M13+'Newcastle West'!M13+Rathkeale!M13+Adare!M13+Askeaton!M13+Bruff!M13+Cappamore!M13+Croom!M13+Hospital!M13+Kilfinnane!M13+Moroe!M13+Patrickswell!M13+'Rest of county'!M13</f>
        <v>95.2927945886512</v>
      </c>
      <c r="N13" s="21" t="n">
        <f aca="false">Ballinacurra!N13+Caherdavin!N13+'Castletroy-Annacotty'!N13+'City Centre'!N13+'Corbally-Grove Island'!N13+Dooradoyle!N13+'Kings Island'!N13+'Singland-Garryowen'!N13+Southhill!N13+Abbeyfeale!N13+Caherconlish!N13+Castleconnell!N13+Kilmallock!N13+'Newcastle West'!N13+Rathkeale!N13+Adare!N13+Askeaton!N13+Bruff!N13+Cappamore!N13+Croom!N13+Hospital!N13+Kilfinnane!N13+Moroe!N13+Patrickswell!N13+'Rest of county'!N13</f>
        <v>9.83448769776116</v>
      </c>
      <c r="O13" s="21" t="n">
        <f aca="false">Ballinacurra!O13+Caherdavin!O13+'Castletroy-Annacotty'!O13+'City Centre'!O13+'Corbally-Grove Island'!O13+Dooradoyle!O13+'Kings Island'!O13+'Singland-Garryowen'!O13+Southhill!O13+Abbeyfeale!O13+Caherconlish!O13+Castleconnell!O13+Kilmallock!O13+'Newcastle West'!O13+Rathkeale!O13+Adare!O13+Askeaton!O13+Bruff!O13+Cappamore!O13+Croom!O13+Hospital!O13+Kilfinnane!O13+Moroe!O13+Patrickswell!O13+'Rest of county'!O13</f>
        <v>16.616893006562</v>
      </c>
    </row>
    <row r="14" customFormat="false" ht="15" hidden="false" customHeight="true" outlineLevel="0" collapsed="false">
      <c r="A14" s="23" t="n">
        <v>2027</v>
      </c>
      <c r="B14" s="21" t="n">
        <f aca="false">Ballinacurra!B14+Caherdavin!B14+'Castletroy-Annacotty'!B14+'City Centre'!B14+'Corbally-Grove Island'!B14+Dooradoyle!B14+'Kings Island'!B14+'Singland-Garryowen'!B14+Southhill!B14+Abbeyfeale!B14+Caherconlish!B14+Castleconnell!B14+Kilmallock!B14+'Newcastle West'!B14+Rathkeale!B14+Adare!B14+Askeaton!B14+Bruff!B14+Cappamore!B14+Croom!B14+Hospital!B14+Kilfinnane!B14+Moroe!B14+Patrickswell!B14+'Rest of county'!B14</f>
        <v>4263</v>
      </c>
      <c r="C14" s="21" t="n">
        <f aca="false">Ballinacurra!C14+Caherdavin!C14+'Castletroy-Annacotty'!C14+'City Centre'!C14+'Corbally-Grove Island'!C14+Dooradoyle!C14+'Kings Island'!C14+'Singland-Garryowen'!C14+Southhill!C14+Abbeyfeale!C14+Caherconlish!C14+Castleconnell!C14+Kilmallock!C14+'Newcastle West'!C14+Rathkeale!C14+Adare!C14+Askeaton!C14+Bruff!C14+Cappamore!C14+Croom!C14+Hospital!C14+Kilfinnane!C14+Moroe!C14+Patrickswell!C14+'Rest of county'!C14</f>
        <v>1071.74859287054</v>
      </c>
      <c r="D14" s="21" t="n">
        <f aca="false">Ballinacurra!D14+Caherdavin!D14+'Castletroy-Annacotty'!D14+'City Centre'!D14+'Corbally-Grove Island'!D14+Dooradoyle!D14+'Kings Island'!D14+'Singland-Garryowen'!D14+Southhill!D14+Abbeyfeale!D14+Caherconlish!D14+Castleconnell!D14+Kilmallock!D14+'Newcastle West'!D14+Rathkeale!D14+Adare!D14+Askeaton!D14+Bruff!D14+Cappamore!D14+Croom!D14+Hospital!D14+Kilfinnane!D14+Moroe!D14+Patrickswell!D14+'Rest of county'!D14</f>
        <v>1353.68245778612</v>
      </c>
      <c r="E14" s="21" t="n">
        <f aca="false">Ballinacurra!E14+Caherdavin!E14+'Castletroy-Annacotty'!E14+'City Centre'!E14+'Corbally-Grove Island'!E14+Dooradoyle!E14+'Kings Island'!E14+'Singland-Garryowen'!E14+Southhill!E14+Abbeyfeale!E14+Caherconlish!E14+Castleconnell!E14+Kilmallock!E14+'Newcastle West'!E14+Rathkeale!E14+Adare!E14+Askeaton!E14+Bruff!E14+Cappamore!E14+Croom!E14+Hospital!E14+Kilfinnane!E14+Moroe!E14+Patrickswell!E14+'Rest of county'!E14</f>
        <v>786.815431519701</v>
      </c>
      <c r="F14" s="21" t="n">
        <f aca="false">Ballinacurra!F14+Caherdavin!F14+'Castletroy-Annacotty'!F14+'City Centre'!F14+'Corbally-Grove Island'!F14+Dooradoyle!F14+'Kings Island'!F14+'Singland-Garryowen'!F14+Southhill!F14+Abbeyfeale!F14+Caherconlish!F14+Castleconnell!F14+Kilmallock!F14+'Newcastle West'!F14+Rathkeale!F14+Adare!F14+Askeaton!F14+Bruff!F14+Cappamore!F14+Croom!F14+Hospital!F14+Kilfinnane!F14+Moroe!F14+Patrickswell!F14+'Rest of county'!F14</f>
        <v>1050.75351782364</v>
      </c>
      <c r="G14" s="21" t="n">
        <f aca="false">Ballinacurra!G14+Caherdavin!G14+'Castletroy-Annacotty'!G14+'City Centre'!G14+'Corbally-Grove Island'!G14+Dooradoyle!G14+'Kings Island'!G14+'Singland-Garryowen'!G14+Southhill!G14+Abbeyfeale!G14+Caherconlish!G14+Castleconnell!G14+Kilmallock!G14+'Newcastle West'!G14+Rathkeale!G14+Adare!G14+Askeaton!G14+Bruff!G14+Cappamore!G14+Croom!G14+Hospital!G14+Kilfinnane!G14+Moroe!G14+Patrickswell!G14+'Rest of county'!G14</f>
        <v>2266.17902024231</v>
      </c>
      <c r="H14" s="21" t="n">
        <f aca="false">Ballinacurra!H14+Caherdavin!H14+'Castletroy-Annacotty'!H14+'City Centre'!H14+'Corbally-Grove Island'!H14+Dooradoyle!H14+'Kings Island'!H14+'Singland-Garryowen'!H14+Southhill!H14+Abbeyfeale!H14+Caherconlish!H14+Castleconnell!H14+Kilmallock!H14+'Newcastle West'!H14+Rathkeale!H14+Adare!H14+Askeaton!H14+Bruff!H14+Cappamore!H14+Croom!H14+Hospital!H14+Kilfinnane!H14+Moroe!H14+Patrickswell!H14+'Rest of county'!H14</f>
        <v>565.876439160208</v>
      </c>
      <c r="I14" s="21" t="n">
        <f aca="false">Ballinacurra!I14+Caherdavin!I14+'Castletroy-Annacotty'!I14+'City Centre'!I14+'Corbally-Grove Island'!I14+Dooradoyle!I14+'Kings Island'!I14+'Singland-Garryowen'!I14+Southhill!I14+Abbeyfeale!I14+Caherconlish!I14+Castleconnell!I14+Kilmallock!I14+'Newcastle West'!I14+Rathkeale!I14+Adare!I14+Askeaton!I14+Bruff!I14+Cappamore!I14+Croom!I14+Hospital!I14+Kilfinnane!I14+Moroe!I14+Patrickswell!I14+'Rest of county'!I14</f>
        <v>268.342200316051</v>
      </c>
      <c r="J14" s="21" t="n">
        <f aca="false">Ballinacurra!J14+Caherdavin!J14+'Castletroy-Annacotty'!J14+'City Centre'!J14+'Corbally-Grove Island'!J14+Dooradoyle!J14+'Kings Island'!J14+'Singland-Garryowen'!J14+Southhill!J14+Abbeyfeale!J14+Caherconlish!J14+Castleconnell!J14+Kilmallock!J14+'Newcastle West'!J14+Rathkeale!J14+Adare!J14+Askeaton!J14+Bruff!J14+Cappamore!J14+Croom!J14+Hospital!J14+Kilfinnane!J14+Moroe!J14+Patrickswell!J14+'Rest of county'!J14</f>
        <v>268.342200316051</v>
      </c>
      <c r="K14" s="21" t="n">
        <f aca="false">Ballinacurra!K14+Caherdavin!K14+'Castletroy-Annacotty'!K14+'City Centre'!K14+'Corbally-Grove Island'!K14+Dooradoyle!K14+'Kings Island'!K14+'Singland-Garryowen'!K14+Southhill!K14+Abbeyfeale!K14+Caherconlish!K14+Castleconnell!K14+Kilmallock!K14+'Newcastle West'!K14+Rathkeale!K14+Adare!K14+Askeaton!K14+Bruff!K14+Cappamore!K14+Croom!K14+Hospital!K14+Kilfinnane!K14+Moroe!K14+Patrickswell!K14+'Rest of county'!K14</f>
        <v>606.347034606791</v>
      </c>
      <c r="L14" s="21" t="n">
        <f aca="false">Ballinacurra!L14+Caherdavin!L14+'Castletroy-Annacotty'!L14+'City Centre'!L14+'Corbally-Grove Island'!L14+Dooradoyle!L14+'Kings Island'!L14+'Singland-Garryowen'!L14+Southhill!L14+Abbeyfeale!L14+Caherconlish!L14+Castleconnell!L14+Kilmallock!L14+'Newcastle West'!L14+Rathkeale!L14+Adare!L14+Askeaton!L14+Bruff!L14+Cappamore!L14+Croom!L14+Hospital!L14+Kilfinnane!L14+Moroe!L14+Patrickswell!L14+'Rest of county'!L14</f>
        <v>166.16893006562</v>
      </c>
      <c r="M14" s="21" t="n">
        <f aca="false">Ballinacurra!M14+Caherdavin!M14+'Castletroy-Annacotty'!M14+'City Centre'!M14+'Corbally-Grove Island'!M14+Dooradoyle!M14+'Kings Island'!M14+'Singland-Garryowen'!M14+Southhill!M14+Abbeyfeale!M14+Caherconlish!M14+Castleconnell!M14+Kilmallock!M14+'Newcastle West'!M14+Rathkeale!M14+Adare!M14+Askeaton!M14+Bruff!M14+Cappamore!M14+Croom!M14+Hospital!M14+Kilfinnane!M14+Moroe!M14+Patrickswell!M14+'Rest of county'!M14</f>
        <v>95.2927945886512</v>
      </c>
      <c r="N14" s="21" t="n">
        <f aca="false">Ballinacurra!N14+Caherdavin!N14+'Castletroy-Annacotty'!N14+'City Centre'!N14+'Corbally-Grove Island'!N14+Dooradoyle!N14+'Kings Island'!N14+'Singland-Garryowen'!N14+Southhill!N14+Abbeyfeale!N14+Caherconlish!N14+Castleconnell!N14+Kilmallock!N14+'Newcastle West'!N14+Rathkeale!N14+Adare!N14+Askeaton!N14+Bruff!N14+Cappamore!N14+Croom!N14+Hospital!N14+Kilfinnane!N14+Moroe!N14+Patrickswell!N14+'Rest of county'!N14</f>
        <v>9.83448769776116</v>
      </c>
      <c r="O14" s="21" t="n">
        <f aca="false">Ballinacurra!O14+Caherdavin!O14+'Castletroy-Annacotty'!O14+'City Centre'!O14+'Corbally-Grove Island'!O14+Dooradoyle!O14+'Kings Island'!O14+'Singland-Garryowen'!O14+Southhill!O14+Abbeyfeale!O14+Caherconlish!O14+Castleconnell!O14+Kilmallock!O14+'Newcastle West'!O14+Rathkeale!O14+Adare!O14+Askeaton!O14+Bruff!O14+Cappamore!O14+Croom!O14+Hospital!O14+Kilfinnane!O14+Moroe!O14+Patrickswell!O14+'Rest of county'!O14</f>
        <v>16.616893006562</v>
      </c>
    </row>
    <row r="15" customFormat="false" ht="15" hidden="false" customHeight="true" outlineLevel="0" collapsed="false">
      <c r="A15" s="23" t="n">
        <v>2028</v>
      </c>
      <c r="B15" s="21" t="n">
        <f aca="false">Ballinacurra!B15+Caherdavin!B15+'Castletroy-Annacotty'!B15+'City Centre'!B15+'Corbally-Grove Island'!B15+Dooradoyle!B15+'Kings Island'!B15+'Singland-Garryowen'!B15+Southhill!B15+Abbeyfeale!B15+Caherconlish!B15+Castleconnell!B15+Kilmallock!B15+'Newcastle West'!B15+Rathkeale!B15+Adare!B15+Askeaton!B15+Bruff!B15+Cappamore!B15+Croom!B15+Hospital!B15+Kilfinnane!B15+Moroe!B15+Patrickswell!B15+'Rest of county'!B15</f>
        <v>4263</v>
      </c>
      <c r="C15" s="21" t="n">
        <f aca="false">Ballinacurra!C15+Caherdavin!C15+'Castletroy-Annacotty'!C15+'City Centre'!C15+'Corbally-Grove Island'!C15+Dooradoyle!C15+'Kings Island'!C15+'Singland-Garryowen'!C15+Southhill!C15+Abbeyfeale!C15+Caherconlish!C15+Castleconnell!C15+Kilmallock!C15+'Newcastle West'!C15+Rathkeale!C15+Adare!C15+Askeaton!C15+Bruff!C15+Cappamore!C15+Croom!C15+Hospital!C15+Kilfinnane!C15+Moroe!C15+Patrickswell!C15+'Rest of county'!C15</f>
        <v>1068.25058657907</v>
      </c>
      <c r="D15" s="21" t="n">
        <f aca="false">Ballinacurra!D15+Caherdavin!D15+'Castletroy-Annacotty'!D15+'City Centre'!D15+'Corbally-Grove Island'!D15+Dooradoyle!D15+'Kings Island'!D15+'Singland-Garryowen'!D15+Southhill!D15+Abbeyfeale!D15+Caherconlish!D15+Castleconnell!D15+Kilmallock!D15+'Newcastle West'!D15+Rathkeale!D15+Adare!D15+Askeaton!D15+Bruff!D15+Cappamore!D15+Croom!D15+Hospital!D15+Kilfinnane!D15+Moroe!D15+Patrickswell!D15+'Rest of county'!D15</f>
        <v>1354.31769122478</v>
      </c>
      <c r="E15" s="21" t="n">
        <f aca="false">Ballinacurra!E15+Caherdavin!E15+'Castletroy-Annacotty'!E15+'City Centre'!E15+'Corbally-Grove Island'!E15+Dooradoyle!E15+'Kings Island'!E15+'Singland-Garryowen'!E15+Southhill!E15+Abbeyfeale!E15+Caherconlish!E15+Castleconnell!E15+Kilmallock!E15+'Newcastle West'!E15+Rathkeale!E15+Adare!E15+Askeaton!E15+Bruff!E15+Cappamore!E15+Croom!E15+Hospital!E15+Kilfinnane!E15+Moroe!E15+Patrickswell!E15+'Rest of county'!E15</f>
        <v>787.184655091506</v>
      </c>
      <c r="F15" s="21" t="n">
        <f aca="false">Ballinacurra!F15+Caherdavin!F15+'Castletroy-Annacotty'!F15+'City Centre'!F15+'Corbally-Grove Island'!F15+Dooradoyle!F15+'Kings Island'!F15+'Singland-Garryowen'!F15+Southhill!F15+Abbeyfeale!F15+Caherconlish!F15+Castleconnell!F15+Kilmallock!F15+'Newcastle West'!F15+Rathkeale!F15+Adare!F15+Askeaton!F15+Bruff!F15+Cappamore!F15+Croom!F15+Hospital!F15+Kilfinnane!F15+Moroe!F15+Patrickswell!F15+'Rest of county'!F15</f>
        <v>1053.24706710464</v>
      </c>
      <c r="G15" s="21" t="n">
        <f aca="false">Ballinacurra!G15+Caherdavin!G15+'Castletroy-Annacotty'!G15+'City Centre'!G15+'Corbally-Grove Island'!G15+Dooradoyle!G15+'Kings Island'!G15+'Singland-Garryowen'!G15+Southhill!G15+Abbeyfeale!G15+Caherconlish!G15+Castleconnell!G15+Kilmallock!G15+'Newcastle West'!G15+Rathkeale!G15+Adare!G15+Askeaton!G15+Bruff!G15+Cappamore!G15+Croom!G15+Hospital!G15+Kilfinnane!G15+Moroe!G15+Patrickswell!G15+'Rest of county'!G15</f>
        <v>2266.17902024231</v>
      </c>
      <c r="H15" s="21" t="n">
        <f aca="false">Ballinacurra!H15+Caherdavin!H15+'Castletroy-Annacotty'!H15+'City Centre'!H15+'Corbally-Grove Island'!H15+Dooradoyle!H15+'Kings Island'!H15+'Singland-Garryowen'!H15+Southhill!H15+Abbeyfeale!H15+Caherconlish!H15+Castleconnell!H15+Kilmallock!H15+'Newcastle West'!H15+Rathkeale!H15+Adare!H15+Askeaton!H15+Bruff!H15+Cappamore!H15+Croom!H15+Hospital!H15+Kilfinnane!H15+Moroe!H15+Patrickswell!H15+'Rest of county'!H15</f>
        <v>565.876439160208</v>
      </c>
      <c r="I15" s="21" t="n">
        <f aca="false">Ballinacurra!I15+Caherdavin!I15+'Castletroy-Annacotty'!I15+'City Centre'!I15+'Corbally-Grove Island'!I15+Dooradoyle!I15+'Kings Island'!I15+'Singland-Garryowen'!I15+Southhill!I15+Abbeyfeale!I15+Caherconlish!I15+Castleconnell!I15+Kilmallock!I15+'Newcastle West'!I15+Rathkeale!I15+Adare!I15+Askeaton!I15+Bruff!I15+Cappamore!I15+Croom!I15+Hospital!I15+Kilfinnane!I15+Moroe!I15+Patrickswell!I15+'Rest of county'!I15</f>
        <v>268.342200316051</v>
      </c>
      <c r="J15" s="21" t="n">
        <f aca="false">Ballinacurra!J15+Caherdavin!J15+'Castletroy-Annacotty'!J15+'City Centre'!J15+'Corbally-Grove Island'!J15+Dooradoyle!J15+'Kings Island'!J15+'Singland-Garryowen'!J15+Southhill!J15+Abbeyfeale!J15+Caherconlish!J15+Castleconnell!J15+Kilmallock!J15+'Newcastle West'!J15+Rathkeale!J15+Adare!J15+Askeaton!J15+Bruff!J15+Cappamore!J15+Croom!J15+Hospital!J15+Kilfinnane!J15+Moroe!J15+Patrickswell!J15+'Rest of county'!J15</f>
        <v>268.342200316051</v>
      </c>
      <c r="K15" s="21" t="n">
        <f aca="false">Ballinacurra!K15+Caherdavin!K15+'Castletroy-Annacotty'!K15+'City Centre'!K15+'Corbally-Grove Island'!K15+Dooradoyle!K15+'Kings Island'!K15+'Singland-Garryowen'!K15+Southhill!K15+Abbeyfeale!K15+Caherconlish!K15+Castleconnell!K15+Kilmallock!K15+'Newcastle West'!K15+Rathkeale!K15+Adare!K15+Askeaton!K15+Bruff!K15+Cappamore!K15+Croom!K15+Hospital!K15+Kilfinnane!K15+Moroe!K15+Patrickswell!K15+'Rest of county'!K15</f>
        <v>606.347034606791</v>
      </c>
      <c r="L15" s="21" t="n">
        <f aca="false">Ballinacurra!L15+Caherdavin!L15+'Castletroy-Annacotty'!L15+'City Centre'!L15+'Corbally-Grove Island'!L15+Dooradoyle!L15+'Kings Island'!L15+'Singland-Garryowen'!L15+Southhill!L15+Abbeyfeale!L15+Caherconlish!L15+Castleconnell!L15+Kilmallock!L15+'Newcastle West'!L15+Rathkeale!L15+Adare!L15+Askeaton!L15+Bruff!L15+Cappamore!L15+Croom!L15+Hospital!L15+Kilfinnane!L15+Moroe!L15+Patrickswell!L15+'Rest of county'!L15</f>
        <v>166.16893006562</v>
      </c>
      <c r="M15" s="21" t="n">
        <f aca="false">Ballinacurra!M15+Caherdavin!M15+'Castletroy-Annacotty'!M15+'City Centre'!M15+'Corbally-Grove Island'!M15+Dooradoyle!M15+'Kings Island'!M15+'Singland-Garryowen'!M15+Southhill!M15+Abbeyfeale!M15+Caherconlish!M15+Castleconnell!M15+Kilmallock!M15+'Newcastle West'!M15+Rathkeale!M15+Adare!M15+Askeaton!M15+Bruff!M15+Cappamore!M15+Croom!M15+Hospital!M15+Kilfinnane!M15+Moroe!M15+Patrickswell!M15+'Rest of county'!M15</f>
        <v>95.2927945886512</v>
      </c>
      <c r="N15" s="21" t="n">
        <f aca="false">Ballinacurra!N15+Caherdavin!N15+'Castletroy-Annacotty'!N15+'City Centre'!N15+'Corbally-Grove Island'!N15+Dooradoyle!N15+'Kings Island'!N15+'Singland-Garryowen'!N15+Southhill!N15+Abbeyfeale!N15+Caherconlish!N15+Castleconnell!N15+Kilmallock!N15+'Newcastle West'!N15+Rathkeale!N15+Adare!N15+Askeaton!N15+Bruff!N15+Cappamore!N15+Croom!N15+Hospital!N15+Kilfinnane!N15+Moroe!N15+Patrickswell!N15+'Rest of county'!N15</f>
        <v>9.83448769776116</v>
      </c>
      <c r="O15" s="21" t="n">
        <f aca="false">Ballinacurra!O15+Caherdavin!O15+'Castletroy-Annacotty'!O15+'City Centre'!O15+'Corbally-Grove Island'!O15+Dooradoyle!O15+'Kings Island'!O15+'Singland-Garryowen'!O15+Southhill!O15+Abbeyfeale!O15+Caherconlish!O15+Castleconnell!O15+Kilmallock!O15+'Newcastle West'!O15+Rathkeale!O15+Adare!O15+Askeaton!O15+Bruff!O15+Cappamore!O15+Croom!O15+Hospital!O15+Kilfinnane!O15+Moroe!O15+Patrickswell!O15+'Rest of county'!O15</f>
        <v>16.616893006562</v>
      </c>
    </row>
    <row r="16" customFormat="false" ht="15" hidden="false" customHeight="true" outlineLevel="0" collapsed="false">
      <c r="A16" s="23" t="n">
        <v>2029</v>
      </c>
      <c r="B16" s="21" t="n">
        <f aca="false">Ballinacurra!B16+Caherdavin!B16+'Castletroy-Annacotty'!B16+'City Centre'!B16+'Corbally-Grove Island'!B16+Dooradoyle!B16+'Kings Island'!B16+'Singland-Garryowen'!B16+Southhill!B16+Abbeyfeale!B16+Caherconlish!B16+Castleconnell!B16+Kilmallock!B16+'Newcastle West'!B16+Rathkeale!B16+Adare!B16+Askeaton!B16+Bruff!B16+Cappamore!B16+Croom!B16+Hospital!B16+Kilfinnane!B16+Moroe!B16+Patrickswell!B16+'Rest of county'!B16</f>
        <v>4263</v>
      </c>
      <c r="C16" s="21" t="n">
        <f aca="false">Ballinacurra!C16+Caherdavin!C16+'Castletroy-Annacotty'!C16+'City Centre'!C16+'Corbally-Grove Island'!C16+Dooradoyle!C16+'Kings Island'!C16+'Singland-Garryowen'!C16+Southhill!C16+Abbeyfeale!C16+Caherconlish!C16+Castleconnell!C16+Kilmallock!C16+'Newcastle West'!C16+Rathkeale!C16+Adare!C16+Askeaton!C16+Bruff!C16+Cappamore!C16+Croom!C16+Hospital!C16+Kilfinnane!C16+Moroe!C16+Patrickswell!C16+'Rest of county'!C16</f>
        <v>1057</v>
      </c>
      <c r="D16" s="21" t="n">
        <f aca="false">Ballinacurra!D16+Caherdavin!D16+'Castletroy-Annacotty'!D16+'City Centre'!D16+'Corbally-Grove Island'!D16+Dooradoyle!D16+'Kings Island'!D16+'Singland-Garryowen'!D16+Southhill!D16+Abbeyfeale!D16+Caherconlish!D16+Castleconnell!D16+Kilmallock!D16+'Newcastle West'!D16+Rathkeale!D16+Adare!D16+Askeaton!D16+Bruff!D16+Cappamore!D16+Croom!D16+Hospital!D16+Kilfinnane!D16+Moroe!D16+Patrickswell!D16+'Rest of county'!D16</f>
        <v>1347</v>
      </c>
      <c r="E16" s="21" t="n">
        <f aca="false">Ballinacurra!E16+Caherdavin!E16+'Castletroy-Annacotty'!E16+'City Centre'!E16+'Corbally-Grove Island'!E16+Dooradoyle!E16+'Kings Island'!E16+'Singland-Garryowen'!E16+Southhill!E16+Abbeyfeale!E16+Caherconlish!E16+Castleconnell!E16+Kilmallock!E16+'Newcastle West'!E16+Rathkeale!E16+Adare!E16+Askeaton!E16+Bruff!E16+Cappamore!E16+Croom!E16+Hospital!E16+Kilfinnane!E16+Moroe!E16+Patrickswell!E16+'Rest of county'!E16</f>
        <v>782.000000000001</v>
      </c>
      <c r="F16" s="21" t="n">
        <f aca="false">Ballinacurra!F16+Caherdavin!F16+'Castletroy-Annacotty'!F16+'City Centre'!F16+'Corbally-Grove Island'!F16+Dooradoyle!F16+'Kings Island'!F16+'Singland-Garryowen'!F16+Southhill!F16+Abbeyfeale!F16+Caherconlish!F16+Castleconnell!F16+Kilmallock!F16+'Newcastle West'!F16+Rathkeale!F16+Adare!F16+Askeaton!F16+Bruff!F16+Cappamore!F16+Croom!F16+Hospital!F16+Kilfinnane!F16+Moroe!F16+Patrickswell!F16+'Rest of county'!F16</f>
        <v>1077</v>
      </c>
      <c r="G16" s="21" t="n">
        <f aca="false">Ballinacurra!G16+Caherdavin!G16+'Castletroy-Annacotty'!G16+'City Centre'!G16+'Corbally-Grove Island'!G16+Dooradoyle!G16+'Kings Island'!G16+'Singland-Garryowen'!G16+Southhill!G16+Abbeyfeale!G16+Caherconlish!G16+Castleconnell!G16+Kilmallock!G16+'Newcastle West'!G16+Rathkeale!G16+Adare!G16+Askeaton!G16+Bruff!G16+Cappamore!G16+Croom!G16+Hospital!G16+Kilfinnane!G16+Moroe!G16+Patrickswell!G16+'Rest of county'!G16</f>
        <v>2266.17902024231</v>
      </c>
      <c r="H16" s="21" t="n">
        <f aca="false">Ballinacurra!H16+Caherdavin!H16+'Castletroy-Annacotty'!H16+'City Centre'!H16+'Corbally-Grove Island'!H16+Dooradoyle!H16+'Kings Island'!H16+'Singland-Garryowen'!H16+Southhill!H16+Abbeyfeale!H16+Caherconlish!H16+Castleconnell!H16+Kilmallock!H16+'Newcastle West'!H16+Rathkeale!H16+Adare!H16+Askeaton!H16+Bruff!H16+Cappamore!H16+Croom!H16+Hospital!H16+Kilfinnane!H16+Moroe!H16+Patrickswell!H16+'Rest of county'!H16</f>
        <v>565.876439160208</v>
      </c>
      <c r="I16" s="21" t="n">
        <f aca="false">Ballinacurra!I16+Caherdavin!I16+'Castletroy-Annacotty'!I16+'City Centre'!I16+'Corbally-Grove Island'!I16+Dooradoyle!I16+'Kings Island'!I16+'Singland-Garryowen'!I16+Southhill!I16+Abbeyfeale!I16+Caherconlish!I16+Castleconnell!I16+Kilmallock!I16+'Newcastle West'!I16+Rathkeale!I16+Adare!I16+Askeaton!I16+Bruff!I16+Cappamore!I16+Croom!I16+Hospital!I16+Kilfinnane!I16+Moroe!I16+Patrickswell!I16+'Rest of county'!I16</f>
        <v>268.342200316051</v>
      </c>
      <c r="J16" s="21" t="n">
        <f aca="false">Ballinacurra!J16+Caherdavin!J16+'Castletroy-Annacotty'!J16+'City Centre'!J16+'Corbally-Grove Island'!J16+Dooradoyle!J16+'Kings Island'!J16+'Singland-Garryowen'!J16+Southhill!J16+Abbeyfeale!J16+Caherconlish!J16+Castleconnell!J16+Kilmallock!J16+'Newcastle West'!J16+Rathkeale!J16+Adare!J16+Askeaton!J16+Bruff!J16+Cappamore!J16+Croom!J16+Hospital!J16+Kilfinnane!J16+Moroe!J16+Patrickswell!J16+'Rest of county'!J16</f>
        <v>268.342200316051</v>
      </c>
      <c r="K16" s="21" t="n">
        <f aca="false">Ballinacurra!K16+Caherdavin!K16+'Castletroy-Annacotty'!K16+'City Centre'!K16+'Corbally-Grove Island'!K16+Dooradoyle!K16+'Kings Island'!K16+'Singland-Garryowen'!K16+Southhill!K16+Abbeyfeale!K16+Caherconlish!K16+Castleconnell!K16+Kilmallock!K16+'Newcastle West'!K16+Rathkeale!K16+Adare!K16+Askeaton!K16+Bruff!K16+Cappamore!K16+Croom!K16+Hospital!K16+Kilfinnane!K16+Moroe!K16+Patrickswell!K16+'Rest of county'!K16</f>
        <v>606.347034606791</v>
      </c>
      <c r="L16" s="21" t="n">
        <f aca="false">Ballinacurra!L16+Caherdavin!L16+'Castletroy-Annacotty'!L16+'City Centre'!L16+'Corbally-Grove Island'!L16+Dooradoyle!L16+'Kings Island'!L16+'Singland-Garryowen'!L16+Southhill!L16+Abbeyfeale!L16+Caherconlish!L16+Castleconnell!L16+Kilmallock!L16+'Newcastle West'!L16+Rathkeale!L16+Adare!L16+Askeaton!L16+Bruff!L16+Cappamore!L16+Croom!L16+Hospital!L16+Kilfinnane!L16+Moroe!L16+Patrickswell!L16+'Rest of county'!L16</f>
        <v>166.16893006562</v>
      </c>
      <c r="M16" s="21" t="n">
        <f aca="false">Ballinacurra!M16+Caherdavin!M16+'Castletroy-Annacotty'!M16+'City Centre'!M16+'Corbally-Grove Island'!M16+Dooradoyle!M16+'Kings Island'!M16+'Singland-Garryowen'!M16+Southhill!M16+Abbeyfeale!M16+Caherconlish!M16+Castleconnell!M16+Kilmallock!M16+'Newcastle West'!M16+Rathkeale!M16+Adare!M16+Askeaton!M16+Bruff!M16+Cappamore!M16+Croom!M16+Hospital!M16+Kilfinnane!M16+Moroe!M16+Patrickswell!M16+'Rest of county'!M16</f>
        <v>95.2927945886512</v>
      </c>
      <c r="N16" s="21" t="n">
        <f aca="false">Ballinacurra!N16+Caherdavin!N16+'Castletroy-Annacotty'!N16+'City Centre'!N16+'Corbally-Grove Island'!N16+Dooradoyle!N16+'Kings Island'!N16+'Singland-Garryowen'!N16+Southhill!N16+Abbeyfeale!N16+Caherconlish!N16+Castleconnell!N16+Kilmallock!N16+'Newcastle West'!N16+Rathkeale!N16+Adare!N16+Askeaton!N16+Bruff!N16+Cappamore!N16+Croom!N16+Hospital!N16+Kilfinnane!N16+Moroe!N16+Patrickswell!N16+'Rest of county'!N16</f>
        <v>9.83448769776116</v>
      </c>
      <c r="O16" s="21" t="n">
        <f aca="false">Ballinacurra!O16+Caherdavin!O16+'Castletroy-Annacotty'!O16+'City Centre'!O16+'Corbally-Grove Island'!O16+Dooradoyle!O16+'Kings Island'!O16+'Singland-Garryowen'!O16+Southhill!O16+Abbeyfeale!O16+Caherconlish!O16+Castleconnell!O16+Kilmallock!O16+'Newcastle West'!O16+Rathkeale!O16+Adare!O16+Askeaton!O16+Bruff!O16+Cappamore!O16+Croom!O16+Hospital!O16+Kilfinnane!O16+Moroe!O16+Patrickswell!O16+'Rest of county'!O16</f>
        <v>16.616893006562</v>
      </c>
    </row>
    <row r="17" customFormat="false" ht="15" hidden="false" customHeight="true" outlineLevel="0" collapsed="false">
      <c r="A17" s="23" t="n">
        <v>2030</v>
      </c>
      <c r="B17" s="21" t="n">
        <f aca="false">Ballinacurra!B17+Caherdavin!B17+'Castletroy-Annacotty'!B17+'City Centre'!B17+'Corbally-Grove Island'!B17+Dooradoyle!B17+'Kings Island'!B17+'Singland-Garryowen'!B17+Southhill!B17+Abbeyfeale!B17+Caherconlish!B17+Castleconnell!B17+Kilmallock!B17+'Newcastle West'!B17+Rathkeale!B17+Adare!B17+Askeaton!B17+Bruff!B17+Cappamore!B17+Croom!B17+Hospital!B17+Kilfinnane!B17+Moroe!B17+Patrickswell!B17+'Rest of county'!B17</f>
        <v>4263</v>
      </c>
      <c r="C17" s="21" t="n">
        <f aca="false">Ballinacurra!C17+Caherdavin!C17+'Castletroy-Annacotty'!C17+'City Centre'!C17+'Corbally-Grove Island'!C17+Dooradoyle!C17+'Kings Island'!C17+'Singland-Garryowen'!C17+Southhill!C17+Abbeyfeale!C17+Caherconlish!C17+Castleconnell!C17+Kilmallock!C17+'Newcastle West'!C17+Rathkeale!C17+Adare!C17+Askeaton!C17+Bruff!C17+Cappamore!C17+Croom!C17+Hospital!C17+Kilfinnane!C17+Moroe!C17+Patrickswell!C17+'Rest of county'!C17</f>
        <v>1055.2475363679</v>
      </c>
      <c r="D17" s="21" t="n">
        <f aca="false">Ballinacurra!D17+Caherdavin!D17+'Castletroy-Annacotty'!D17+'City Centre'!D17+'Corbally-Grove Island'!D17+Dooradoyle!D17+'Kings Island'!D17+'Singland-Garryowen'!D17+Southhill!D17+Abbeyfeale!D17+Caherconlish!D17+Castleconnell!D17+Kilmallock!D17+'Newcastle West'!D17+Rathkeale!D17+Adare!D17+Askeaton!D17+Bruff!D17+Cappamore!D17+Croom!D17+Hospital!D17+Kilfinnane!D17+Moroe!D17+Patrickswell!D17+'Rest of county'!D17</f>
        <v>1327.31135617081</v>
      </c>
      <c r="E17" s="21" t="n">
        <f aca="false">Ballinacurra!E17+Caherdavin!E17+'Castletroy-Annacotty'!E17+'City Centre'!E17+'Corbally-Grove Island'!E17+Dooradoyle!E17+'Kings Island'!E17+'Singland-Garryowen'!E17+Southhill!E17+Abbeyfeale!E17+Caherconlish!E17+Castleconnell!E17+Kilmallock!E17+'Newcastle West'!E17+Rathkeale!E17+Adare!E17+Askeaton!E17+Bruff!E17+Cappamore!E17+Croom!E17+Hospital!E17+Kilfinnane!E17+Moroe!E17+Patrickswell!E17+'Rest of county'!E17</f>
        <v>783.183716564993</v>
      </c>
      <c r="F17" s="21" t="n">
        <f aca="false">Ballinacurra!F17+Caherdavin!F17+'Castletroy-Annacotty'!F17+'City Centre'!F17+'Corbally-Grove Island'!F17+Dooradoyle!F17+'Kings Island'!F17+'Singland-Garryowen'!F17+Southhill!F17+Abbeyfeale!F17+Caherconlish!F17+Castleconnell!F17+Kilmallock!F17+'Newcastle West'!F17+Rathkeale!F17+Adare!F17+Askeaton!F17+Bruff!F17+Cappamore!F17+Croom!F17+Hospital!F17+Kilfinnane!F17+Moroe!F17+Patrickswell!F17+'Rest of county'!F17</f>
        <v>1097.25739089629</v>
      </c>
      <c r="G17" s="21" t="n">
        <f aca="false">Ballinacurra!G17+Caherdavin!G17+'Castletroy-Annacotty'!G17+'City Centre'!G17+'Corbally-Grove Island'!G17+Dooradoyle!G17+'Kings Island'!G17+'Singland-Garryowen'!G17+Southhill!G17+Abbeyfeale!G17+Caherconlish!G17+Castleconnell!G17+Kilmallock!G17+'Newcastle West'!G17+Rathkeale!G17+Adare!G17+Askeaton!G17+Bruff!G17+Cappamore!G17+Croom!G17+Hospital!G17+Kilfinnane!G17+Moroe!G17+Patrickswell!G17+'Rest of county'!G17</f>
        <v>2266.17902024231</v>
      </c>
      <c r="H17" s="21" t="n">
        <f aca="false">Ballinacurra!H17+Caherdavin!H17+'Castletroy-Annacotty'!H17+'City Centre'!H17+'Corbally-Grove Island'!H17+Dooradoyle!H17+'Kings Island'!H17+'Singland-Garryowen'!H17+Southhill!H17+Abbeyfeale!H17+Caherconlish!H17+Castleconnell!H17+Kilmallock!H17+'Newcastle West'!H17+Rathkeale!H17+Adare!H17+Askeaton!H17+Bruff!H17+Cappamore!H17+Croom!H17+Hospital!H17+Kilfinnane!H17+Moroe!H17+Patrickswell!H17+'Rest of county'!H17</f>
        <v>565.876439160208</v>
      </c>
      <c r="I17" s="21" t="n">
        <f aca="false">Ballinacurra!I17+Caherdavin!I17+'Castletroy-Annacotty'!I17+'City Centre'!I17+'Corbally-Grove Island'!I17+Dooradoyle!I17+'Kings Island'!I17+'Singland-Garryowen'!I17+Southhill!I17+Abbeyfeale!I17+Caherconlish!I17+Castleconnell!I17+Kilmallock!I17+'Newcastle West'!I17+Rathkeale!I17+Adare!I17+Askeaton!I17+Bruff!I17+Cappamore!I17+Croom!I17+Hospital!I17+Kilfinnane!I17+Moroe!I17+Patrickswell!I17+'Rest of county'!I17</f>
        <v>268.342200316051</v>
      </c>
      <c r="J17" s="21" t="n">
        <f aca="false">Ballinacurra!J17+Caherdavin!J17+'Castletroy-Annacotty'!J17+'City Centre'!J17+'Corbally-Grove Island'!J17+Dooradoyle!J17+'Kings Island'!J17+'Singland-Garryowen'!J17+Southhill!J17+Abbeyfeale!J17+Caherconlish!J17+Castleconnell!J17+Kilmallock!J17+'Newcastle West'!J17+Rathkeale!J17+Adare!J17+Askeaton!J17+Bruff!J17+Cappamore!J17+Croom!J17+Hospital!J17+Kilfinnane!J17+Moroe!J17+Patrickswell!J17+'Rest of county'!J17</f>
        <v>268.342200316051</v>
      </c>
      <c r="K17" s="21" t="n">
        <f aca="false">Ballinacurra!K17+Caherdavin!K17+'Castletroy-Annacotty'!K17+'City Centre'!K17+'Corbally-Grove Island'!K17+Dooradoyle!K17+'Kings Island'!K17+'Singland-Garryowen'!K17+Southhill!K17+Abbeyfeale!K17+Caherconlish!K17+Castleconnell!K17+Kilmallock!K17+'Newcastle West'!K17+Rathkeale!K17+Adare!K17+Askeaton!K17+Bruff!K17+Cappamore!K17+Croom!K17+Hospital!K17+Kilfinnane!K17+Moroe!K17+Patrickswell!K17+'Rest of county'!K17</f>
        <v>606.347034606791</v>
      </c>
      <c r="L17" s="21" t="n">
        <f aca="false">Ballinacurra!L17+Caherdavin!L17+'Castletroy-Annacotty'!L17+'City Centre'!L17+'Corbally-Grove Island'!L17+Dooradoyle!L17+'Kings Island'!L17+'Singland-Garryowen'!L17+Southhill!L17+Abbeyfeale!L17+Caherconlish!L17+Castleconnell!L17+Kilmallock!L17+'Newcastle West'!L17+Rathkeale!L17+Adare!L17+Askeaton!L17+Bruff!L17+Cappamore!L17+Croom!L17+Hospital!L17+Kilfinnane!L17+Moroe!L17+Patrickswell!L17+'Rest of county'!L17</f>
        <v>166.16893006562</v>
      </c>
      <c r="M17" s="21" t="n">
        <f aca="false">Ballinacurra!M17+Caherdavin!M17+'Castletroy-Annacotty'!M17+'City Centre'!M17+'Corbally-Grove Island'!M17+Dooradoyle!M17+'Kings Island'!M17+'Singland-Garryowen'!M17+Southhill!M17+Abbeyfeale!M17+Caherconlish!M17+Castleconnell!M17+Kilmallock!M17+'Newcastle West'!M17+Rathkeale!M17+Adare!M17+Askeaton!M17+Bruff!M17+Cappamore!M17+Croom!M17+Hospital!M17+Kilfinnane!M17+Moroe!M17+Patrickswell!M17+'Rest of county'!M17</f>
        <v>95.2927945886512</v>
      </c>
      <c r="N17" s="21" t="n">
        <f aca="false">Ballinacurra!N17+Caherdavin!N17+'Castletroy-Annacotty'!N17+'City Centre'!N17+'Corbally-Grove Island'!N17+Dooradoyle!N17+'Kings Island'!N17+'Singland-Garryowen'!N17+Southhill!N17+Abbeyfeale!N17+Caherconlish!N17+Castleconnell!N17+Kilmallock!N17+'Newcastle West'!N17+Rathkeale!N17+Adare!N17+Askeaton!N17+Bruff!N17+Cappamore!N17+Croom!N17+Hospital!N17+Kilfinnane!N17+Moroe!N17+Patrickswell!N17+'Rest of county'!N17</f>
        <v>9.83448769776116</v>
      </c>
      <c r="O17" s="21" t="n">
        <f aca="false">Ballinacurra!O17+Caherdavin!O17+'Castletroy-Annacotty'!O17+'City Centre'!O17+'Corbally-Grove Island'!O17+Dooradoyle!O17+'Kings Island'!O17+'Singland-Garryowen'!O17+Southhill!O17+Abbeyfeale!O17+Caherconlish!O17+Castleconnell!O17+Kilmallock!O17+'Newcastle West'!O17+Rathkeale!O17+Adare!O17+Askeaton!O17+Bruff!O17+Cappamore!O17+Croom!O17+Hospital!O17+Kilfinnane!O17+Moroe!O17+Patrickswell!O17+'Rest of county'!O17</f>
        <v>16.616893006562</v>
      </c>
    </row>
    <row r="18" customFormat="false" ht="15" hidden="false" customHeight="true" outlineLevel="0" collapsed="false">
      <c r="A18" s="23" t="n">
        <v>2031</v>
      </c>
      <c r="B18" s="21" t="n">
        <f aca="false">Ballinacurra!B18+Caherdavin!B18+'Castletroy-Annacotty'!B18+'City Centre'!B18+'Corbally-Grove Island'!B18+Dooradoyle!B18+'Kings Island'!B18+'Singland-Garryowen'!B18+Southhill!B18+Abbeyfeale!B18+Caherconlish!B18+Castleconnell!B18+Kilmallock!B18+'Newcastle West'!B18+Rathkeale!B18+Adare!B18+Askeaton!B18+Bruff!B18+Cappamore!B18+Croom!B18+Hospital!B18+Kilfinnane!B18+Moroe!B18+Patrickswell!B18+'Rest of county'!B18</f>
        <v>2168</v>
      </c>
      <c r="C18" s="21" t="n">
        <f aca="false">Ballinacurra!C18+Caherdavin!C18+'Castletroy-Annacotty'!C18+'City Centre'!C18+'Corbally-Grove Island'!C18+Dooradoyle!C18+'Kings Island'!C18+'Singland-Garryowen'!C18+Southhill!C18+Abbeyfeale!C18+Caherconlish!C18+Castleconnell!C18+Kilmallock!C18+'Newcastle West'!C18+Rathkeale!C18+Adare!C18+Askeaton!C18+Bruff!C18+Cappamore!C18+Croom!C18+Hospital!C18+Kilfinnane!C18+Moroe!C18+Patrickswell!C18+'Rest of county'!C18</f>
        <v>501</v>
      </c>
      <c r="D18" s="21" t="n">
        <f aca="false">Ballinacurra!D18+Caherdavin!D18+'Castletroy-Annacotty'!D18+'City Centre'!D18+'Corbally-Grove Island'!D18+Dooradoyle!D18+'Kings Island'!D18+'Singland-Garryowen'!D18+Southhill!D18+Abbeyfeale!D18+Caherconlish!D18+Castleconnell!D18+Kilmallock!D18+'Newcastle West'!D18+Rathkeale!D18+Adare!D18+Askeaton!D18+Bruff!D18+Cappamore!D18+Croom!D18+Hospital!D18+Kilfinnane!D18+Moroe!D18+Patrickswell!D18+'Rest of county'!D18</f>
        <v>659.000000000001</v>
      </c>
      <c r="E18" s="21" t="n">
        <f aca="false">Ballinacurra!E18+Caherdavin!E18+'Castletroy-Annacotty'!E18+'City Centre'!E18+'Corbally-Grove Island'!E18+Dooradoyle!E18+'Kings Island'!E18+'Singland-Garryowen'!E18+Southhill!E18+Abbeyfeale!E18+Caherconlish!E18+Castleconnell!E18+Kilmallock!E18+'Newcastle West'!E18+Rathkeale!E18+Adare!E18+Askeaton!E18+Bruff!E18+Cappamore!E18+Croom!E18+Hospital!E18+Kilfinnane!E18+Moroe!E18+Patrickswell!E18+'Rest of county'!E18</f>
        <v>412.000000000001</v>
      </c>
      <c r="F18" s="21" t="n">
        <f aca="false">Ballinacurra!F18+Caherdavin!F18+'Castletroy-Annacotty'!F18+'City Centre'!F18+'Corbally-Grove Island'!F18+Dooradoyle!F18+'Kings Island'!F18+'Singland-Garryowen'!F18+Southhill!F18+Abbeyfeale!F18+Caherconlish!F18+Castleconnell!F18+Kilmallock!F18+'Newcastle West'!F18+Rathkeale!F18+Adare!F18+Askeaton!F18+Bruff!F18+Cappamore!F18+Croom!F18+Hospital!F18+Kilfinnane!F18+Moroe!F18+Patrickswell!F18+'Rest of county'!F18</f>
        <v>596.000000000001</v>
      </c>
      <c r="G18" s="21" t="n">
        <f aca="false">Ballinacurra!G18+Caherdavin!G18+'Castletroy-Annacotty'!G18+'City Centre'!G18+'Corbally-Grove Island'!G18+Dooradoyle!G18+'Kings Island'!G18+'Singland-Garryowen'!G18+Southhill!G18+Abbeyfeale!G18+Caherconlish!G18+Castleconnell!G18+Kilmallock!G18+'Newcastle West'!G18+Rathkeale!G18+Adare!G18+Askeaton!G18+Bruff!G18+Cappamore!G18+Croom!G18+Hospital!G18+Kilfinnane!G18+Moroe!G18+Patrickswell!G18+'Rest of county'!G18</f>
        <v>1152.49263802142</v>
      </c>
      <c r="H18" s="21" t="n">
        <f aca="false">Ballinacurra!H18+Caherdavin!H18+'Castletroy-Annacotty'!H18+'City Centre'!H18+'Corbally-Grove Island'!H18+Dooradoyle!H18+'Kings Island'!H18+'Singland-Garryowen'!H18+Southhill!H18+Abbeyfeale!H18+Caherconlish!H18+Castleconnell!H18+Kilmallock!H18+'Newcastle West'!H18+Rathkeale!H18+Adare!H18+Askeaton!H18+Bruff!H18+Cappamore!H18+Croom!H18+Hospital!H18+Kilfinnane!H18+Moroe!H18+Patrickswell!H18+'Rest of county'!H18</f>
        <v>287.783279404018</v>
      </c>
      <c r="I18" s="21" t="n">
        <f aca="false">Ballinacurra!I18+Caherdavin!I18+'Castletroy-Annacotty'!I18+'City Centre'!I18+'Corbally-Grove Island'!I18+Dooradoyle!I18+'Kings Island'!I18+'Singland-Garryowen'!I18+Southhill!I18+Abbeyfeale!I18+Caherconlish!I18+Castleconnell!I18+Kilmallock!I18+'Newcastle West'!I18+Rathkeale!I18+Adare!I18+Askeaton!I18+Bruff!I18+Cappamore!I18+Croom!I18+Hospital!I18+Kilfinnane!I18+Moroe!I18+Patrickswell!I18+'Rest of county'!I18</f>
        <v>136.46865828881</v>
      </c>
      <c r="J18" s="21" t="n">
        <f aca="false">Ballinacurra!J18+Caherdavin!J18+'Castletroy-Annacotty'!J18+'City Centre'!J18+'Corbally-Grove Island'!J18+Dooradoyle!J18+'Kings Island'!J18+'Singland-Garryowen'!J18+Southhill!J18+Abbeyfeale!J18+Caherconlish!J18+Castleconnell!J18+Kilmallock!J18+'Newcastle West'!J18+Rathkeale!J18+Adare!J18+Askeaton!J18+Bruff!J18+Cappamore!J18+Croom!J18+Hospital!J18+Kilfinnane!J18+Moroe!J18+Patrickswell!J18+'Rest of county'!J18</f>
        <v>136.46865828881</v>
      </c>
      <c r="K18" s="21" t="n">
        <f aca="false">Ballinacurra!K18+Caherdavin!K18+'Castletroy-Annacotty'!K18+'City Centre'!K18+'Corbally-Grove Island'!K18+Dooradoyle!K18+'Kings Island'!K18+'Singland-Garryowen'!K18+Southhill!K18+Abbeyfeale!K18+Caherconlish!K18+Castleconnell!K18+Kilmallock!K18+'Newcastle West'!K18+Rathkeale!K18+Adare!K18+Askeaton!K18+Bruff!K18+Cappamore!K18+Croom!K18+Hospital!K18+Kilfinnane!K18+Moroe!K18+Patrickswell!K18+'Rest of county'!K18</f>
        <v>308.365088207254</v>
      </c>
      <c r="L18" s="21" t="n">
        <f aca="false">Ballinacurra!L18+Caherdavin!L18+'Castletroy-Annacotty'!L18+'City Centre'!L18+'Corbally-Grove Island'!L18+Dooradoyle!L18+'Kings Island'!L18+'Singland-Garryowen'!L18+Southhill!L18+Abbeyfeale!L18+Caherconlish!L18+Castleconnell!L18+Kilmallock!L18+'Newcastle West'!L18+Rathkeale!L18+Adare!L18+Askeaton!L18+Bruff!L18+Cappamore!L18+Croom!L18+Hospital!L18+Kilfinnane!L18+Moroe!L18+Patrickswell!L18+'Rest of county'!L18</f>
        <v>84.5072109740237</v>
      </c>
      <c r="M18" s="21" t="n">
        <f aca="false">Ballinacurra!M18+Caherdavin!M18+'Castletroy-Annacotty'!M18+'City Centre'!M18+'Corbally-Grove Island'!M18+Dooradoyle!M18+'Kings Island'!M18+'Singland-Garryowen'!M18+Southhill!M18+Abbeyfeale!M18+Caherconlish!M18+Castleconnell!M18+Kilmallock!M18+'Newcastle West'!M18+Rathkeale!M18+Adare!M18+Askeaton!M18+Bruff!M18+Cappamore!M18+Croom!M18+Hospital!M18+Kilfinnane!M18+Moroe!M18+Patrickswell!M18+'Rest of county'!M18</f>
        <v>48.4622985381646</v>
      </c>
      <c r="N18" s="21" t="n">
        <f aca="false">Ballinacurra!N18+Caherdavin!N18+'Castletroy-Annacotty'!N18+'City Centre'!N18+'Corbally-Grove Island'!N18+Dooradoyle!N18+'Kings Island'!N18+'Singland-Garryowen'!N18+Southhill!N18+Abbeyfeale!N18+Caherconlish!N18+Castleconnell!N18+Kilmallock!N18+'Newcastle West'!N18+Rathkeale!N18+Adare!N18+Askeaton!N18+Bruff!N18+Cappamore!N18+Croom!N18+Hospital!N18+Kilfinnane!N18+Moroe!N18+Patrickswell!N18+'Rest of county'!N18</f>
        <v>5.00144718009528</v>
      </c>
      <c r="O18" s="21" t="n">
        <f aca="false">Ballinacurra!O18+Caherdavin!O18+'Castletroy-Annacotty'!O18+'City Centre'!O18+'Corbally-Grove Island'!O18+Dooradoyle!O18+'Kings Island'!O18+'Singland-Garryowen'!O18+Southhill!O18+Abbeyfeale!O18+Caherconlish!O18+Castleconnell!O18+Kilmallock!O18+'Newcastle West'!O18+Rathkeale!O18+Adare!O18+Askeaton!O18+Bruff!O18+Cappamore!O18+Croom!O18+Hospital!O18+Kilfinnane!O18+Moroe!O18+Patrickswell!O18+'Rest of county'!O18</f>
        <v>8.45072109740237</v>
      </c>
    </row>
    <row r="19" customFormat="false" ht="15" hidden="false" customHeight="true" outlineLevel="0" collapsed="false">
      <c r="A19" s="23" t="n">
        <v>2032</v>
      </c>
      <c r="B19" s="21" t="n">
        <f aca="false">Ballinacurra!B19+Caherdavin!B19+'Castletroy-Annacotty'!B19+'City Centre'!B19+'Corbally-Grove Island'!B19+Dooradoyle!B19+'Kings Island'!B19+'Singland-Garryowen'!B19+Southhill!B19+Abbeyfeale!B19+Caherconlish!B19+Castleconnell!B19+Kilmallock!B19+'Newcastle West'!B19+Rathkeale!B19+Adare!B19+Askeaton!B19+Bruff!B19+Cappamore!B19+Croom!B19+Hospital!B19+Kilfinnane!B19+Moroe!B19+Patrickswell!B19+'Rest of county'!B19</f>
        <v>2168</v>
      </c>
      <c r="C19" s="21" t="n">
        <f aca="false">Ballinacurra!C19+Caherdavin!C19+'Castletroy-Annacotty'!C19+'City Centre'!C19+'Corbally-Grove Island'!C19+Dooradoyle!C19+'Kings Island'!C19+'Singland-Garryowen'!C19+Southhill!C19+Abbeyfeale!C19+Caherconlish!C19+Castleconnell!C19+Kilmallock!C19+'Newcastle West'!C19+Rathkeale!C19+Adare!C19+Askeaton!C19+Bruff!C19+Cappamore!C19+Croom!C19+Hospital!C19+Kilfinnane!C19+Moroe!C19+Patrickswell!C19+'Rest of county'!C19</f>
        <v>482.000000000001</v>
      </c>
      <c r="D19" s="21" t="n">
        <f aca="false">Ballinacurra!D19+Caherdavin!D19+'Castletroy-Annacotty'!D19+'City Centre'!D19+'Corbally-Grove Island'!D19+Dooradoyle!D19+'Kings Island'!D19+'Singland-Garryowen'!D19+Southhill!D19+Abbeyfeale!D19+Caherconlish!D19+Castleconnell!D19+Kilmallock!D19+'Newcastle West'!D19+Rathkeale!D19+Adare!D19+Askeaton!D19+Bruff!D19+Cappamore!D19+Croom!D19+Hospital!D19+Kilfinnane!D19+Moroe!D19+Patrickswell!D19+'Rest of county'!D19</f>
        <v>646</v>
      </c>
      <c r="E19" s="21" t="n">
        <f aca="false">Ballinacurra!E19+Caherdavin!E19+'Castletroy-Annacotty'!E19+'City Centre'!E19+'Corbally-Grove Island'!E19+Dooradoyle!E19+'Kings Island'!E19+'Singland-Garryowen'!E19+Southhill!E19+Abbeyfeale!E19+Caherconlish!E19+Castleconnell!E19+Kilmallock!E19+'Newcastle West'!E19+Rathkeale!E19+Adare!E19+Askeaton!E19+Bruff!E19+Cappamore!E19+Croom!E19+Hospital!E19+Kilfinnane!E19+Moroe!E19+Patrickswell!E19+'Rest of county'!E19</f>
        <v>419.000000000001</v>
      </c>
      <c r="F19" s="21" t="n">
        <f aca="false">Ballinacurra!F19+Caherdavin!F19+'Castletroy-Annacotty'!F19+'City Centre'!F19+'Corbally-Grove Island'!F19+Dooradoyle!F19+'Kings Island'!F19+'Singland-Garryowen'!F19+Southhill!F19+Abbeyfeale!F19+Caherconlish!F19+Castleconnell!F19+Kilmallock!F19+'Newcastle West'!F19+Rathkeale!F19+Adare!F19+Askeaton!F19+Bruff!F19+Cappamore!F19+Croom!F19+Hospital!F19+Kilfinnane!F19+Moroe!F19+Patrickswell!F19+'Rest of county'!F19</f>
        <v>621</v>
      </c>
      <c r="G19" s="21" t="n">
        <f aca="false">Ballinacurra!G19+Caherdavin!G19+'Castletroy-Annacotty'!G19+'City Centre'!G19+'Corbally-Grove Island'!G19+Dooradoyle!G19+'Kings Island'!G19+'Singland-Garryowen'!G19+Southhill!G19+Abbeyfeale!G19+Caherconlish!G19+Castleconnell!G19+Kilmallock!G19+'Newcastle West'!G19+Rathkeale!G19+Adare!G19+Askeaton!G19+Bruff!G19+Cappamore!G19+Croom!G19+Hospital!G19+Kilfinnane!G19+Moroe!G19+Patrickswell!G19+'Rest of county'!G19</f>
        <v>1152.49263802142</v>
      </c>
      <c r="H19" s="21" t="n">
        <f aca="false">Ballinacurra!H19+Caherdavin!H19+'Castletroy-Annacotty'!H19+'City Centre'!H19+'Corbally-Grove Island'!H19+Dooradoyle!H19+'Kings Island'!H19+'Singland-Garryowen'!H19+Southhill!H19+Abbeyfeale!H19+Caherconlish!H19+Castleconnell!H19+Kilmallock!H19+'Newcastle West'!H19+Rathkeale!H19+Adare!H19+Askeaton!H19+Bruff!H19+Cappamore!H19+Croom!H19+Hospital!H19+Kilfinnane!H19+Moroe!H19+Patrickswell!H19+'Rest of county'!H19</f>
        <v>287.783279404018</v>
      </c>
      <c r="I19" s="21" t="n">
        <f aca="false">Ballinacurra!I19+Caherdavin!I19+'Castletroy-Annacotty'!I19+'City Centre'!I19+'Corbally-Grove Island'!I19+Dooradoyle!I19+'Kings Island'!I19+'Singland-Garryowen'!I19+Southhill!I19+Abbeyfeale!I19+Caherconlish!I19+Castleconnell!I19+Kilmallock!I19+'Newcastle West'!I19+Rathkeale!I19+Adare!I19+Askeaton!I19+Bruff!I19+Cappamore!I19+Croom!I19+Hospital!I19+Kilfinnane!I19+Moroe!I19+Patrickswell!I19+'Rest of county'!I19</f>
        <v>136.46865828881</v>
      </c>
      <c r="J19" s="21" t="n">
        <f aca="false">Ballinacurra!J19+Caherdavin!J19+'Castletroy-Annacotty'!J19+'City Centre'!J19+'Corbally-Grove Island'!J19+Dooradoyle!J19+'Kings Island'!J19+'Singland-Garryowen'!J19+Southhill!J19+Abbeyfeale!J19+Caherconlish!J19+Castleconnell!J19+Kilmallock!J19+'Newcastle West'!J19+Rathkeale!J19+Adare!J19+Askeaton!J19+Bruff!J19+Cappamore!J19+Croom!J19+Hospital!J19+Kilfinnane!J19+Moroe!J19+Patrickswell!J19+'Rest of county'!J19</f>
        <v>136.46865828881</v>
      </c>
      <c r="K19" s="21" t="n">
        <f aca="false">Ballinacurra!K19+Caherdavin!K19+'Castletroy-Annacotty'!K19+'City Centre'!K19+'Corbally-Grove Island'!K19+Dooradoyle!K19+'Kings Island'!K19+'Singland-Garryowen'!K19+Southhill!K19+Abbeyfeale!K19+Caherconlish!K19+Castleconnell!K19+Kilmallock!K19+'Newcastle West'!K19+Rathkeale!K19+Adare!K19+Askeaton!K19+Bruff!K19+Cappamore!K19+Croom!K19+Hospital!K19+Kilfinnane!K19+Moroe!K19+Patrickswell!K19+'Rest of county'!K19</f>
        <v>308.365088207254</v>
      </c>
      <c r="L19" s="21" t="n">
        <f aca="false">Ballinacurra!L19+Caherdavin!L19+'Castletroy-Annacotty'!L19+'City Centre'!L19+'Corbally-Grove Island'!L19+Dooradoyle!L19+'Kings Island'!L19+'Singland-Garryowen'!L19+Southhill!L19+Abbeyfeale!L19+Caherconlish!L19+Castleconnell!L19+Kilmallock!L19+'Newcastle West'!L19+Rathkeale!L19+Adare!L19+Askeaton!L19+Bruff!L19+Cappamore!L19+Croom!L19+Hospital!L19+Kilfinnane!L19+Moroe!L19+Patrickswell!L19+'Rest of county'!L19</f>
        <v>84.5072109740237</v>
      </c>
      <c r="M19" s="21" t="n">
        <f aca="false">Ballinacurra!M19+Caherdavin!M19+'Castletroy-Annacotty'!M19+'City Centre'!M19+'Corbally-Grove Island'!M19+Dooradoyle!M19+'Kings Island'!M19+'Singland-Garryowen'!M19+Southhill!M19+Abbeyfeale!M19+Caherconlish!M19+Castleconnell!M19+Kilmallock!M19+'Newcastle West'!M19+Rathkeale!M19+Adare!M19+Askeaton!M19+Bruff!M19+Cappamore!M19+Croom!M19+Hospital!M19+Kilfinnane!M19+Moroe!M19+Patrickswell!M19+'Rest of county'!M19</f>
        <v>48.4622985381646</v>
      </c>
      <c r="N19" s="21" t="n">
        <f aca="false">Ballinacurra!N19+Caherdavin!N19+'Castletroy-Annacotty'!N19+'City Centre'!N19+'Corbally-Grove Island'!N19+Dooradoyle!N19+'Kings Island'!N19+'Singland-Garryowen'!N19+Southhill!N19+Abbeyfeale!N19+Caherconlish!N19+Castleconnell!N19+Kilmallock!N19+'Newcastle West'!N19+Rathkeale!N19+Adare!N19+Askeaton!N19+Bruff!N19+Cappamore!N19+Croom!N19+Hospital!N19+Kilfinnane!N19+Moroe!N19+Patrickswell!N19+'Rest of county'!N19</f>
        <v>5.00144718009528</v>
      </c>
      <c r="O19" s="21" t="n">
        <f aca="false">Ballinacurra!O19+Caherdavin!O19+'Castletroy-Annacotty'!O19+'City Centre'!O19+'Corbally-Grove Island'!O19+Dooradoyle!O19+'Kings Island'!O19+'Singland-Garryowen'!O19+Southhill!O19+Abbeyfeale!O19+Caherconlish!O19+Castleconnell!O19+Kilmallock!O19+'Newcastle West'!O19+Rathkeale!O19+Adare!O19+Askeaton!O19+Bruff!O19+Cappamore!O19+Croom!O19+Hospital!O19+Kilfinnane!O19+Moroe!O19+Patrickswell!O19+'Rest of county'!O19</f>
        <v>8.45072109740237</v>
      </c>
    </row>
    <row r="20" customFormat="false" ht="15" hidden="false" customHeight="true" outlineLevel="0" collapsed="false">
      <c r="A20" s="23" t="n">
        <v>2033</v>
      </c>
      <c r="B20" s="21" t="n">
        <f aca="false">Ballinacurra!B20+Caherdavin!B20+'Castletroy-Annacotty'!B20+'City Centre'!B20+'Corbally-Grove Island'!B20+Dooradoyle!B20+'Kings Island'!B20+'Singland-Garryowen'!B20+Southhill!B20+Abbeyfeale!B20+Caherconlish!B20+Castleconnell!B20+Kilmallock!B20+'Newcastle West'!B20+Rathkeale!B20+Adare!B20+Askeaton!B20+Bruff!B20+Cappamore!B20+Croom!B20+Hospital!B20+Kilfinnane!B20+Moroe!B20+Patrickswell!B20+'Rest of county'!B20</f>
        <v>2168</v>
      </c>
      <c r="C20" s="21" t="n">
        <f aca="false">Ballinacurra!C20+Caherdavin!C20+'Castletroy-Annacotty'!C20+'City Centre'!C20+'Corbally-Grove Island'!C20+Dooradoyle!C20+'Kings Island'!C20+'Singland-Garryowen'!C20+Southhill!C20+Abbeyfeale!C20+Caherconlish!C20+Castleconnell!C20+Kilmallock!C20+'Newcastle West'!C20+Rathkeale!C20+Adare!C20+Askeaton!C20+Bruff!C20+Cappamore!C20+Croom!C20+Hospital!C20+Kilfinnane!C20+Moroe!C20+Patrickswell!C20+'Rest of county'!C20</f>
        <v>478.220581449008</v>
      </c>
      <c r="D20" s="21" t="n">
        <f aca="false">Ballinacurra!D20+Caherdavin!D20+'Castletroy-Annacotty'!D20+'City Centre'!D20+'Corbally-Grove Island'!D20+Dooradoyle!D20+'Kings Island'!D20+'Singland-Garryowen'!D20+Southhill!D20+Abbeyfeale!D20+Caherconlish!D20+Castleconnell!D20+Kilmallock!D20+'Newcastle West'!D20+Rathkeale!D20+Adare!D20+Askeaton!D20+Bruff!D20+Cappamore!D20+Croom!D20+Hospital!D20+Kilfinnane!D20+Moroe!D20+Patrickswell!D20+'Rest of county'!D20</f>
        <v>648.29903091832</v>
      </c>
      <c r="E20" s="21" t="n">
        <f aca="false">Ballinacurra!E20+Caherdavin!E20+'Castletroy-Annacotty'!E20+'City Centre'!E20+'Corbally-Grove Island'!E20+Dooradoyle!E20+'Kings Island'!E20+'Singland-Garryowen'!E20+Southhill!E20+Abbeyfeale!E20+Caherconlish!E20+Castleconnell!E20+Kilmallock!E20+'Newcastle West'!E20+Rathkeale!E20+Adare!E20+Askeaton!E20+Bruff!E20+Cappamore!E20+Croom!E20+Hospital!E20+Kilfinnane!E20+Moroe!E20+Patrickswell!E20+'Rest of county'!E20</f>
        <v>419.193354868482</v>
      </c>
      <c r="F20" s="21" t="n">
        <f aca="false">Ballinacurra!F20+Caherdavin!F20+'Castletroy-Annacotty'!F20+'City Centre'!F20+'Corbally-Grove Island'!F20+Dooradoyle!F20+'Kings Island'!F20+'Singland-Garryowen'!F20+Southhill!F20+Abbeyfeale!F20+Caherconlish!F20+Castleconnell!F20+Kilmallock!F20+'Newcastle West'!F20+Rathkeale!F20+Adare!F20+Askeaton!F20+Bruff!F20+Cappamore!F20+Croom!F20+Hospital!F20+Kilfinnane!F20+Moroe!F20+Patrickswell!F20+'Rest of county'!F20</f>
        <v>622.287032764191</v>
      </c>
      <c r="G20" s="21" t="n">
        <f aca="false">Ballinacurra!G20+Caherdavin!G20+'Castletroy-Annacotty'!G20+'City Centre'!G20+'Corbally-Grove Island'!G20+Dooradoyle!G20+'Kings Island'!G20+'Singland-Garryowen'!G20+Southhill!G20+Abbeyfeale!G20+Caherconlish!G20+Castleconnell!G20+Kilmallock!G20+'Newcastle West'!G20+Rathkeale!G20+Adare!G20+Askeaton!G20+Bruff!G20+Cappamore!G20+Croom!G20+Hospital!G20+Kilfinnane!G20+Moroe!G20+Patrickswell!G20+'Rest of county'!G20</f>
        <v>1152.49263802142</v>
      </c>
      <c r="H20" s="21" t="n">
        <f aca="false">Ballinacurra!H20+Caherdavin!H20+'Castletroy-Annacotty'!H20+'City Centre'!H20+'Corbally-Grove Island'!H20+Dooradoyle!H20+'Kings Island'!H20+'Singland-Garryowen'!H20+Southhill!H20+Abbeyfeale!H20+Caherconlish!H20+Castleconnell!H20+Kilmallock!H20+'Newcastle West'!H20+Rathkeale!H20+Adare!H20+Askeaton!H20+Bruff!H20+Cappamore!H20+Croom!H20+Hospital!H20+Kilfinnane!H20+Moroe!H20+Patrickswell!H20+'Rest of county'!H20</f>
        <v>287.783279404018</v>
      </c>
      <c r="I20" s="21" t="n">
        <f aca="false">Ballinacurra!I20+Caherdavin!I20+'Castletroy-Annacotty'!I20+'City Centre'!I20+'Corbally-Grove Island'!I20+Dooradoyle!I20+'Kings Island'!I20+'Singland-Garryowen'!I20+Southhill!I20+Abbeyfeale!I20+Caherconlish!I20+Castleconnell!I20+Kilmallock!I20+'Newcastle West'!I20+Rathkeale!I20+Adare!I20+Askeaton!I20+Bruff!I20+Cappamore!I20+Croom!I20+Hospital!I20+Kilfinnane!I20+Moroe!I20+Patrickswell!I20+'Rest of county'!I20</f>
        <v>136.46865828881</v>
      </c>
      <c r="J20" s="21" t="n">
        <f aca="false">Ballinacurra!J20+Caherdavin!J20+'Castletroy-Annacotty'!J20+'City Centre'!J20+'Corbally-Grove Island'!J20+Dooradoyle!J20+'Kings Island'!J20+'Singland-Garryowen'!J20+Southhill!J20+Abbeyfeale!J20+Caherconlish!J20+Castleconnell!J20+Kilmallock!J20+'Newcastle West'!J20+Rathkeale!J20+Adare!J20+Askeaton!J20+Bruff!J20+Cappamore!J20+Croom!J20+Hospital!J20+Kilfinnane!J20+Moroe!J20+Patrickswell!J20+'Rest of county'!J20</f>
        <v>136.46865828881</v>
      </c>
      <c r="K20" s="21" t="n">
        <f aca="false">Ballinacurra!K20+Caherdavin!K20+'Castletroy-Annacotty'!K20+'City Centre'!K20+'Corbally-Grove Island'!K20+Dooradoyle!K20+'Kings Island'!K20+'Singland-Garryowen'!K20+Southhill!K20+Abbeyfeale!K20+Caherconlish!K20+Castleconnell!K20+Kilmallock!K20+'Newcastle West'!K20+Rathkeale!K20+Adare!K20+Askeaton!K20+Bruff!K20+Cappamore!K20+Croom!K20+Hospital!K20+Kilfinnane!K20+Moroe!K20+Patrickswell!K20+'Rest of county'!K20</f>
        <v>308.365088207254</v>
      </c>
      <c r="L20" s="21" t="n">
        <f aca="false">Ballinacurra!L20+Caherdavin!L20+'Castletroy-Annacotty'!L20+'City Centre'!L20+'Corbally-Grove Island'!L20+Dooradoyle!L20+'Kings Island'!L20+'Singland-Garryowen'!L20+Southhill!L20+Abbeyfeale!L20+Caherconlish!L20+Castleconnell!L20+Kilmallock!L20+'Newcastle West'!L20+Rathkeale!L20+Adare!L20+Askeaton!L20+Bruff!L20+Cappamore!L20+Croom!L20+Hospital!L20+Kilfinnane!L20+Moroe!L20+Patrickswell!L20+'Rest of county'!L20</f>
        <v>84.5072109740237</v>
      </c>
      <c r="M20" s="21" t="n">
        <f aca="false">Ballinacurra!M20+Caherdavin!M20+'Castletroy-Annacotty'!M20+'City Centre'!M20+'Corbally-Grove Island'!M20+Dooradoyle!M20+'Kings Island'!M20+'Singland-Garryowen'!M20+Southhill!M20+Abbeyfeale!M20+Caherconlish!M20+Castleconnell!M20+Kilmallock!M20+'Newcastle West'!M20+Rathkeale!M20+Adare!M20+Askeaton!M20+Bruff!M20+Cappamore!M20+Croom!M20+Hospital!M20+Kilfinnane!M20+Moroe!M20+Patrickswell!M20+'Rest of county'!M20</f>
        <v>48.4622985381646</v>
      </c>
      <c r="N20" s="21" t="n">
        <f aca="false">Ballinacurra!N20+Caherdavin!N20+'Castletroy-Annacotty'!N20+'City Centre'!N20+'Corbally-Grove Island'!N20+Dooradoyle!N20+'Kings Island'!N20+'Singland-Garryowen'!N20+Southhill!N20+Abbeyfeale!N20+Caherconlish!N20+Castleconnell!N20+Kilmallock!N20+'Newcastle West'!N20+Rathkeale!N20+Adare!N20+Askeaton!N20+Bruff!N20+Cappamore!N20+Croom!N20+Hospital!N20+Kilfinnane!N20+Moroe!N20+Patrickswell!N20+'Rest of county'!N20</f>
        <v>5.00144718009528</v>
      </c>
      <c r="O20" s="21" t="n">
        <f aca="false">Ballinacurra!O20+Caherdavin!O20+'Castletroy-Annacotty'!O20+'City Centre'!O20+'Corbally-Grove Island'!O20+Dooradoyle!O20+'Kings Island'!O20+'Singland-Garryowen'!O20+Southhill!O20+Abbeyfeale!O20+Caherconlish!O20+Castleconnell!O20+Kilmallock!O20+'Newcastle West'!O20+Rathkeale!O20+Adare!O20+Askeaton!O20+Bruff!O20+Cappamore!O20+Croom!O20+Hospital!O20+Kilfinnane!O20+Moroe!O20+Patrickswell!O20+'Rest of county'!O20</f>
        <v>8.45072109740237</v>
      </c>
    </row>
    <row r="21" customFormat="false" ht="15" hidden="false" customHeight="true" outlineLevel="0" collapsed="false">
      <c r="A21" s="23" t="n">
        <v>2034</v>
      </c>
      <c r="B21" s="21" t="n">
        <f aca="false">Ballinacurra!B21+Caherdavin!B21+'Castletroy-Annacotty'!B21+'City Centre'!B21+'Corbally-Grove Island'!B21+Dooradoyle!B21+'Kings Island'!B21+'Singland-Garryowen'!B21+Southhill!B21+Abbeyfeale!B21+Caherconlish!B21+Castleconnell!B21+Kilmallock!B21+'Newcastle West'!B21+Rathkeale!B21+Adare!B21+Askeaton!B21+Bruff!B21+Cappamore!B21+Croom!B21+Hospital!B21+Kilfinnane!B21+Moroe!B21+Patrickswell!B21+'Rest of county'!B21</f>
        <v>2168</v>
      </c>
      <c r="C21" s="21" t="n">
        <f aca="false">Ballinacurra!C21+Caherdavin!C21+'Castletroy-Annacotty'!C21+'City Centre'!C21+'Corbally-Grove Island'!C21+Dooradoyle!C21+'Kings Island'!C21+'Singland-Garryowen'!C21+Southhill!C21+Abbeyfeale!C21+Caherconlish!C21+Castleconnell!C21+Kilmallock!C21+'Newcastle West'!C21+Rathkeale!C21+Adare!C21+Askeaton!C21+Bruff!C21+Cappamore!C21+Croom!C21+Hospital!C21+Kilfinnane!C21+Moroe!C21+Patrickswell!C21+'Rest of county'!C21</f>
        <v>474.000000000001</v>
      </c>
      <c r="D21" s="21" t="n">
        <f aca="false">Ballinacurra!D21+Caherdavin!D21+'Castletroy-Annacotty'!D21+'City Centre'!D21+'Corbally-Grove Island'!D21+Dooradoyle!D21+'Kings Island'!D21+'Singland-Garryowen'!D21+Southhill!D21+Abbeyfeale!D21+Caherconlish!D21+Castleconnell!D21+Kilmallock!D21+'Newcastle West'!D21+Rathkeale!D21+Adare!D21+Askeaton!D21+Bruff!D21+Cappamore!D21+Croom!D21+Hospital!D21+Kilfinnane!D21+Moroe!D21+Patrickswell!D21+'Rest of county'!D21</f>
        <v>650.000000000001</v>
      </c>
      <c r="E21" s="21" t="n">
        <f aca="false">Ballinacurra!E21+Caherdavin!E21+'Castletroy-Annacotty'!E21+'City Centre'!E21+'Corbally-Grove Island'!E21+Dooradoyle!E21+'Kings Island'!E21+'Singland-Garryowen'!E21+Southhill!E21+Abbeyfeale!E21+Caherconlish!E21+Castleconnell!E21+Kilmallock!E21+'Newcastle West'!E21+Rathkeale!E21+Adare!E21+Askeaton!E21+Bruff!E21+Cappamore!E21+Croom!E21+Hospital!E21+Kilfinnane!E21+Moroe!E21+Patrickswell!E21+'Rest of county'!E21</f>
        <v>419.000000000001</v>
      </c>
      <c r="F21" s="21" t="n">
        <f aca="false">Ballinacurra!F21+Caherdavin!F21+'Castletroy-Annacotty'!F21+'City Centre'!F21+'Corbally-Grove Island'!F21+Dooradoyle!F21+'Kings Island'!F21+'Singland-Garryowen'!F21+Southhill!F21+Abbeyfeale!F21+Caherconlish!F21+Castleconnell!F21+Kilmallock!F21+'Newcastle West'!F21+Rathkeale!F21+Adare!F21+Askeaton!F21+Bruff!F21+Cappamore!F21+Croom!F21+Hospital!F21+Kilfinnane!F21+Moroe!F21+Patrickswell!F21+'Rest of county'!F21</f>
        <v>624.999999999999</v>
      </c>
      <c r="G21" s="21" t="n">
        <f aca="false">Ballinacurra!G21+Caherdavin!G21+'Castletroy-Annacotty'!G21+'City Centre'!G21+'Corbally-Grove Island'!G21+Dooradoyle!G21+'Kings Island'!G21+'Singland-Garryowen'!G21+Southhill!G21+Abbeyfeale!G21+Caherconlish!G21+Castleconnell!G21+Kilmallock!G21+'Newcastle West'!G21+Rathkeale!G21+Adare!G21+Askeaton!G21+Bruff!G21+Cappamore!G21+Croom!G21+Hospital!G21+Kilfinnane!G21+Moroe!G21+Patrickswell!G21+'Rest of county'!G21</f>
        <v>1152.49263802142</v>
      </c>
      <c r="H21" s="21" t="n">
        <f aca="false">Ballinacurra!H21+Caherdavin!H21+'Castletroy-Annacotty'!H21+'City Centre'!H21+'Corbally-Grove Island'!H21+Dooradoyle!H21+'Kings Island'!H21+'Singland-Garryowen'!H21+Southhill!H21+Abbeyfeale!H21+Caherconlish!H21+Castleconnell!H21+Kilmallock!H21+'Newcastle West'!H21+Rathkeale!H21+Adare!H21+Askeaton!H21+Bruff!H21+Cappamore!H21+Croom!H21+Hospital!H21+Kilfinnane!H21+Moroe!H21+Patrickswell!H21+'Rest of county'!H21</f>
        <v>287.783279404018</v>
      </c>
      <c r="I21" s="21" t="n">
        <f aca="false">Ballinacurra!I21+Caherdavin!I21+'Castletroy-Annacotty'!I21+'City Centre'!I21+'Corbally-Grove Island'!I21+Dooradoyle!I21+'Kings Island'!I21+'Singland-Garryowen'!I21+Southhill!I21+Abbeyfeale!I21+Caherconlish!I21+Castleconnell!I21+Kilmallock!I21+'Newcastle West'!I21+Rathkeale!I21+Adare!I21+Askeaton!I21+Bruff!I21+Cappamore!I21+Croom!I21+Hospital!I21+Kilfinnane!I21+Moroe!I21+Patrickswell!I21+'Rest of county'!I21</f>
        <v>136.46865828881</v>
      </c>
      <c r="J21" s="21" t="n">
        <f aca="false">Ballinacurra!J21+Caherdavin!J21+'Castletroy-Annacotty'!J21+'City Centre'!J21+'Corbally-Grove Island'!J21+Dooradoyle!J21+'Kings Island'!J21+'Singland-Garryowen'!J21+Southhill!J21+Abbeyfeale!J21+Caherconlish!J21+Castleconnell!J21+Kilmallock!J21+'Newcastle West'!J21+Rathkeale!J21+Adare!J21+Askeaton!J21+Bruff!J21+Cappamore!J21+Croom!J21+Hospital!J21+Kilfinnane!J21+Moroe!J21+Patrickswell!J21+'Rest of county'!J21</f>
        <v>136.46865828881</v>
      </c>
      <c r="K21" s="21" t="n">
        <f aca="false">Ballinacurra!K21+Caherdavin!K21+'Castletroy-Annacotty'!K21+'City Centre'!K21+'Corbally-Grove Island'!K21+Dooradoyle!K21+'Kings Island'!K21+'Singland-Garryowen'!K21+Southhill!K21+Abbeyfeale!K21+Caherconlish!K21+Castleconnell!K21+Kilmallock!K21+'Newcastle West'!K21+Rathkeale!K21+Adare!K21+Askeaton!K21+Bruff!K21+Cappamore!K21+Croom!K21+Hospital!K21+Kilfinnane!K21+Moroe!K21+Patrickswell!K21+'Rest of county'!K21</f>
        <v>308.365088207254</v>
      </c>
      <c r="L21" s="21" t="n">
        <f aca="false">Ballinacurra!L21+Caherdavin!L21+'Castletroy-Annacotty'!L21+'City Centre'!L21+'Corbally-Grove Island'!L21+Dooradoyle!L21+'Kings Island'!L21+'Singland-Garryowen'!L21+Southhill!L21+Abbeyfeale!L21+Caherconlish!L21+Castleconnell!L21+Kilmallock!L21+'Newcastle West'!L21+Rathkeale!L21+Adare!L21+Askeaton!L21+Bruff!L21+Cappamore!L21+Croom!L21+Hospital!L21+Kilfinnane!L21+Moroe!L21+Patrickswell!L21+'Rest of county'!L21</f>
        <v>84.5072109740237</v>
      </c>
      <c r="M21" s="21" t="n">
        <f aca="false">Ballinacurra!M21+Caherdavin!M21+'Castletroy-Annacotty'!M21+'City Centre'!M21+'Corbally-Grove Island'!M21+Dooradoyle!M21+'Kings Island'!M21+'Singland-Garryowen'!M21+Southhill!M21+Abbeyfeale!M21+Caherconlish!M21+Castleconnell!M21+Kilmallock!M21+'Newcastle West'!M21+Rathkeale!M21+Adare!M21+Askeaton!M21+Bruff!M21+Cappamore!M21+Croom!M21+Hospital!M21+Kilfinnane!M21+Moroe!M21+Patrickswell!M21+'Rest of county'!M21</f>
        <v>48.4622985381646</v>
      </c>
      <c r="N21" s="21" t="n">
        <f aca="false">Ballinacurra!N21+Caherdavin!N21+'Castletroy-Annacotty'!N21+'City Centre'!N21+'Corbally-Grove Island'!N21+Dooradoyle!N21+'Kings Island'!N21+'Singland-Garryowen'!N21+Southhill!N21+Abbeyfeale!N21+Caherconlish!N21+Castleconnell!N21+Kilmallock!N21+'Newcastle West'!N21+Rathkeale!N21+Adare!N21+Askeaton!N21+Bruff!N21+Cappamore!N21+Croom!N21+Hospital!N21+Kilfinnane!N21+Moroe!N21+Patrickswell!N21+'Rest of county'!N21</f>
        <v>5.00144718009528</v>
      </c>
      <c r="O21" s="21" t="n">
        <f aca="false">Ballinacurra!O21+Caherdavin!O21+'Castletroy-Annacotty'!O21+'City Centre'!O21+'Corbally-Grove Island'!O21+Dooradoyle!O21+'Kings Island'!O21+'Singland-Garryowen'!O21+Southhill!O21+Abbeyfeale!O21+Caherconlish!O21+Castleconnell!O21+Kilmallock!O21+'Newcastle West'!O21+Rathkeale!O21+Adare!O21+Askeaton!O21+Bruff!O21+Cappamore!O21+Croom!O21+Hospital!O21+Kilfinnane!O21+Moroe!O21+Patrickswell!O21+'Rest of county'!O21</f>
        <v>8.45072109740237</v>
      </c>
    </row>
    <row r="22" customFormat="false" ht="15" hidden="false" customHeight="true" outlineLevel="0" collapsed="false">
      <c r="A22" s="23" t="n">
        <v>2035</v>
      </c>
      <c r="B22" s="21" t="n">
        <f aca="false">Ballinacurra!B22+Caherdavin!B22+'Castletroy-Annacotty'!B22+'City Centre'!B22+'Corbally-Grove Island'!B22+Dooradoyle!B22+'Kings Island'!B22+'Singland-Garryowen'!B22+Southhill!B22+Abbeyfeale!B22+Caherconlish!B22+Castleconnell!B22+Kilmallock!B22+'Newcastle West'!B22+Rathkeale!B22+Adare!B22+Askeaton!B22+Bruff!B22+Cappamore!B22+Croom!B22+Hospital!B22+Kilfinnane!B22+Moroe!B22+Patrickswell!B22+'Rest of county'!B22</f>
        <v>2095</v>
      </c>
      <c r="C22" s="21" t="n">
        <f aca="false">Ballinacurra!C22+Caherdavin!C22+'Castletroy-Annacotty'!C22+'City Centre'!C22+'Corbally-Grove Island'!C22+Dooradoyle!C22+'Kings Island'!C22+'Singland-Garryowen'!C22+Southhill!C22+Abbeyfeale!C22+Caherconlish!C22+Castleconnell!C22+Kilmallock!C22+'Newcastle West'!C22+Rathkeale!C22+Adare!C22+Askeaton!C22+Bruff!C22+Cappamore!C22+Croom!C22+Hospital!C22+Kilfinnane!C22+Moroe!C22+Patrickswell!C22+'Rest of county'!C22</f>
        <v>448.999999999999</v>
      </c>
      <c r="D22" s="21" t="n">
        <f aca="false">Ballinacurra!D22+Caherdavin!D22+'Castletroy-Annacotty'!D22+'City Centre'!D22+'Corbally-Grove Island'!D22+Dooradoyle!D22+'Kings Island'!D22+'Singland-Garryowen'!D22+Southhill!D22+Abbeyfeale!D22+Caherconlish!D22+Castleconnell!D22+Kilmallock!D22+'Newcastle West'!D22+Rathkeale!D22+Adare!D22+Askeaton!D22+Bruff!D22+Cappamore!D22+Croom!D22+Hospital!D22+Kilfinnane!D22+Moroe!D22+Patrickswell!D22+'Rest of county'!D22</f>
        <v>618.999999999999</v>
      </c>
      <c r="E22" s="21" t="n">
        <f aca="false">Ballinacurra!E22+Caherdavin!E22+'Castletroy-Annacotty'!E22+'City Centre'!E22+'Corbally-Grove Island'!E22+Dooradoyle!E22+'Kings Island'!E22+'Singland-Garryowen'!E22+Southhill!E22+Abbeyfeale!E22+Caherconlish!E22+Castleconnell!E22+Kilmallock!E22+'Newcastle West'!E22+Rathkeale!E22+Adare!E22+Askeaton!E22+Bruff!E22+Cappamore!E22+Croom!E22+Hospital!E22+Kilfinnane!E22+Moroe!E22+Patrickswell!E22+'Rest of county'!E22</f>
        <v>401.999999999999</v>
      </c>
      <c r="F22" s="21" t="n">
        <f aca="false">Ballinacurra!F22+Caherdavin!F22+'Castletroy-Annacotty'!F22+'City Centre'!F22+'Corbally-Grove Island'!F22+Dooradoyle!F22+'Kings Island'!F22+'Singland-Garryowen'!F22+Southhill!F22+Abbeyfeale!F22+Caherconlish!F22+Castleconnell!F22+Kilmallock!F22+'Newcastle West'!F22+Rathkeale!F22+Adare!F22+Askeaton!F22+Bruff!F22+Cappamore!F22+Croom!F22+Hospital!F22+Kilfinnane!F22+Moroe!F22+Patrickswell!F22+'Rest of county'!F22</f>
        <v>625</v>
      </c>
      <c r="G22" s="21" t="n">
        <f aca="false">Ballinacurra!G22+Caherdavin!G22+'Castletroy-Annacotty'!G22+'City Centre'!G22+'Corbally-Grove Island'!G22+Dooradoyle!G22+'Kings Island'!G22+'Singland-Garryowen'!G22+Southhill!G22+Abbeyfeale!G22+Caherconlish!G22+Castleconnell!G22+Kilmallock!G22+'Newcastle West'!G22+Rathkeale!G22+Adare!G22+Askeaton!G22+Bruff!G22+Cappamore!G22+Croom!G22+Hospital!G22+Kilfinnane!G22+Moroe!G22+Patrickswell!G22+'Rest of county'!G22</f>
        <v>1113.68638222088</v>
      </c>
      <c r="H22" s="21" t="n">
        <f aca="false">Ballinacurra!H22+Caherdavin!H22+'Castletroy-Annacotty'!H22+'City Centre'!H22+'Corbally-Grove Island'!H22+Dooradoyle!H22+'Kings Island'!H22+'Singland-Garryowen'!H22+Southhill!H22+Abbeyfeale!H22+Caherconlish!H22+Castleconnell!H22+Kilmallock!H22+'Newcastle West'!H22+Rathkeale!H22+Adare!H22+Askeaton!H22+Bruff!H22+Cappamore!H22+Croom!H22+Hospital!H22+Kilfinnane!H22+Moroe!H22+Patrickswell!H22+'Rest of county'!H22</f>
        <v>278.093159756189</v>
      </c>
      <c r="I22" s="21" t="n">
        <f aca="false">Ballinacurra!I22+Caherdavin!I22+'Castletroy-Annacotty'!I22+'City Centre'!I22+'Corbally-Grove Island'!I22+Dooradoyle!I22+'Kings Island'!I22+'Singland-Garryowen'!I22+Southhill!I22+Abbeyfeale!I22+Caherconlish!I22+Castleconnell!I22+Kilmallock!I22+'Newcastle West'!I22+Rathkeale!I22+Adare!I22+Askeaton!I22+Bruff!I22+Cappamore!I22+Croom!I22+Hospital!I22+Kilfinnane!I22+Moroe!I22+Patrickswell!I22+'Rest of county'!I22</f>
        <v>131.873542027241</v>
      </c>
      <c r="J22" s="21" t="n">
        <f aca="false">Ballinacurra!J22+Caherdavin!J22+'Castletroy-Annacotty'!J22+'City Centre'!J22+'Corbally-Grove Island'!J22+Dooradoyle!J22+'Kings Island'!J22+'Singland-Garryowen'!J22+Southhill!J22+Abbeyfeale!J22+Caherconlish!J22+Castleconnell!J22+Kilmallock!J22+'Newcastle West'!J22+Rathkeale!J22+Adare!J22+Askeaton!J22+Bruff!J22+Cappamore!J22+Croom!J22+Hospital!J22+Kilfinnane!J22+Moroe!J22+Patrickswell!J22+'Rest of county'!J22</f>
        <v>131.873542027241</v>
      </c>
      <c r="K22" s="21" t="n">
        <f aca="false">Ballinacurra!K22+Caherdavin!K22+'Castletroy-Annacotty'!K22+'City Centre'!K22+'Corbally-Grove Island'!K22+Dooradoyle!K22+'Kings Island'!K22+'Singland-Garryowen'!K22+Southhill!K22+Abbeyfeale!K22+Caherconlish!K22+Castleconnell!K22+Kilmallock!K22+'Newcastle West'!K22+Rathkeale!K22+Adare!K22+Askeaton!K22+Bruff!K22+Cappamore!K22+Croom!K22+Hospital!K22+Kilfinnane!K22+Moroe!K22+Patrickswell!K22+'Rest of county'!K22</f>
        <v>297.981946399537</v>
      </c>
      <c r="L22" s="21" t="n">
        <f aca="false">Ballinacurra!L22+Caherdavin!L22+'Castletroy-Annacotty'!L22+'City Centre'!L22+'Corbally-Grove Island'!L22+Dooradoyle!L22+'Kings Island'!L22+'Singland-Garryowen'!L22+Southhill!L22+Abbeyfeale!L22+Caherconlish!L22+Castleconnell!L22+Kilmallock!L22+'Newcastle West'!L22+Rathkeale!L22+Adare!L22+Askeaton!L22+Bruff!L22+Cappamore!L22+Croom!L22+Hospital!L22+Kilfinnane!L22+Moroe!L22+Patrickswell!L22+'Rest of county'!L22</f>
        <v>81.6617190915958</v>
      </c>
      <c r="M22" s="21" t="n">
        <f aca="false">Ballinacurra!M22+Caherdavin!M22+'Castletroy-Annacotty'!M22+'City Centre'!M22+'Corbally-Grove Island'!M22+Dooradoyle!M22+'Kings Island'!M22+'Singland-Garryowen'!M22+Southhill!M22+Abbeyfeale!M22+Caherconlish!M22+Castleconnell!M22+Kilmallock!M22+'Newcastle West'!M22+Rathkeale!M22+Adare!M22+Askeaton!M22+Bruff!M22+Cappamore!M22+Croom!M22+Hospital!M22+Kilfinnane!M22+Moroe!M22+Patrickswell!M22+'Rest of county'!M22</f>
        <v>46.8304960504866</v>
      </c>
      <c r="N22" s="21" t="n">
        <f aca="false">Ballinacurra!N22+Caherdavin!N22+'Castletroy-Annacotty'!N22+'City Centre'!N22+'Corbally-Grove Island'!N22+Dooradoyle!N22+'Kings Island'!N22+'Singland-Garryowen'!N22+Southhill!N22+Abbeyfeale!N22+Caherconlish!N22+Castleconnell!N22+Kilmallock!N22+'Newcastle West'!N22+Rathkeale!N22+Adare!N22+Askeaton!N22+Bruff!N22+Cappamore!N22+Croom!N22+Hospital!N22+Kilfinnane!N22+Moroe!N22+Patrickswell!N22+'Rest of county'!N22</f>
        <v>4.83304051766587</v>
      </c>
      <c r="O22" s="21" t="n">
        <f aca="false">Ballinacurra!O22+Caherdavin!O22+'Castletroy-Annacotty'!O22+'City Centre'!O22+'Corbally-Grove Island'!O22+Dooradoyle!O22+'Kings Island'!O22+'Singland-Garryowen'!O22+Southhill!O22+Abbeyfeale!O22+Caherconlish!O22+Castleconnell!O22+Kilmallock!O22+'Newcastle West'!O22+Rathkeale!O22+Adare!O22+Askeaton!O22+Bruff!O22+Cappamore!O22+Croom!O22+Hospital!O22+Kilfinnane!O22+Moroe!O22+Patrickswell!O22+'Rest of county'!O22</f>
        <v>8.16617190915958</v>
      </c>
    </row>
    <row r="23" customFormat="false" ht="15" hidden="false" customHeight="true" outlineLevel="0" collapsed="false">
      <c r="A23" s="23" t="n">
        <v>2036</v>
      </c>
      <c r="B23" s="21" t="n">
        <f aca="false">Ballinacurra!B23+Caherdavin!B23+'Castletroy-Annacotty'!B23+'City Centre'!B23+'Corbally-Grove Island'!B23+Dooradoyle!B23+'Kings Island'!B23+'Singland-Garryowen'!B23+Southhill!B23+Abbeyfeale!B23+Caherconlish!B23+Castleconnell!B23+Kilmallock!B23+'Newcastle West'!B23+Rathkeale!B23+Adare!B23+Askeaton!B23+Bruff!B23+Cappamore!B23+Croom!B23+Hospital!B23+Kilfinnane!B23+Moroe!B23+Patrickswell!B23+'Rest of county'!B23</f>
        <v>1587</v>
      </c>
      <c r="C23" s="21" t="n">
        <f aca="false">Ballinacurra!C23+Caherdavin!C23+'Castletroy-Annacotty'!C23+'City Centre'!C23+'Corbally-Grove Island'!C23+Dooradoyle!C23+'Kings Island'!C23+'Singland-Garryowen'!C23+Southhill!C23+Abbeyfeale!C23+Caherconlish!C23+Castleconnell!C23+Kilmallock!C23+'Newcastle West'!C23+Rathkeale!C23+Adare!C23+Askeaton!C23+Bruff!C23+Cappamore!C23+Croom!C23+Hospital!C23+Kilfinnane!C23+Moroe!C23+Patrickswell!C23+'Rest of county'!C23</f>
        <v>382.836975156635</v>
      </c>
      <c r="D23" s="21" t="n">
        <f aca="false">Ballinacurra!D23+Caherdavin!D23+'Castletroy-Annacotty'!D23+'City Centre'!D23+'Corbally-Grove Island'!D23+Dooradoyle!D23+'Kings Island'!D23+'Singland-Garryowen'!D23+Southhill!D23+Abbeyfeale!D23+Caherconlish!D23+Castleconnell!D23+Kilmallock!D23+'Newcastle West'!D23+Rathkeale!D23+Adare!D23+Askeaton!D23+Bruff!D23+Cappamore!D23+Croom!D23+Hospital!D23+Kilfinnane!D23+Moroe!D23+Patrickswell!D23+'Rest of county'!D23</f>
        <v>492.409775256383</v>
      </c>
      <c r="E23" s="21" t="n">
        <f aca="false">Ballinacurra!E23+Caherdavin!E23+'Castletroy-Annacotty'!E23+'City Centre'!E23+'Corbally-Grove Island'!E23+Dooradoyle!E23+'Kings Island'!E23+'Singland-Garryowen'!E23+Southhill!E23+Abbeyfeale!E23+Caherconlish!E23+Castleconnell!E23+Kilmallock!E23+'Newcastle West'!E23+Rathkeale!E23+Adare!E23+Askeaton!E23+Bruff!E23+Cappamore!E23+Croom!E23+Hospital!E23+Kilfinnane!E23+Moroe!E23+Patrickswell!E23+'Rest of county'!E23</f>
        <v>296.761728125682</v>
      </c>
      <c r="F23" s="21" t="n">
        <f aca="false">Ballinacurra!F23+Caherdavin!F23+'Castletroy-Annacotty'!F23+'City Centre'!F23+'Corbally-Grove Island'!F23+Dooradoyle!F23+'Kings Island'!F23+'Singland-Garryowen'!F23+Southhill!F23+Abbeyfeale!F23+Caherconlish!F23+Castleconnell!F23+Kilmallock!F23+'Newcastle West'!F23+Rathkeale!F23+Adare!F23+Askeaton!F23+Bruff!F23+Cappamore!F23+Croom!F23+Hospital!F23+Kilfinnane!F23+Moroe!F23+Patrickswell!F23+'Rest of county'!F23</f>
        <v>414.991521461301</v>
      </c>
      <c r="G23" s="21" t="n">
        <f aca="false">Ballinacurra!G23+Caherdavin!G23+'Castletroy-Annacotty'!G23+'City Centre'!G23+'Corbally-Grove Island'!G23+Dooradoyle!G23+'Kings Island'!G23+'Singland-Garryowen'!G23+Southhill!G23+Abbeyfeale!G23+Caherconlish!G23+Castleconnell!G23+Kilmallock!G23+'Newcastle West'!G23+Rathkeale!G23+Adare!G23+Askeaton!G23+Bruff!G23+Cappamore!G23+Croom!G23+Hospital!G23+Kilfinnane!G23+Moroe!G23+Patrickswell!G23+'Rest of county'!G23</f>
        <v>843.637369252765</v>
      </c>
      <c r="H23" s="21" t="n">
        <f aca="false">Ballinacurra!H23+Caherdavin!H23+'Castletroy-Annacotty'!H23+'City Centre'!H23+'Corbally-Grove Island'!H23+Dooradoyle!H23+'Kings Island'!H23+'Singland-Garryowen'!H23+Southhill!H23+Abbeyfeale!H23+Caherconlish!H23+Castleconnell!H23+Kilmallock!H23+'Newcastle West'!H23+Rathkeale!H23+Adare!H23+Askeaton!H23+Bruff!H23+Cappamore!H23+Croom!H23+Hospital!H23+Kilfinnane!H23+Moroe!H23+Patrickswell!H23+'Rest of county'!H23</f>
        <v>210.660546316502</v>
      </c>
      <c r="I23" s="21" t="n">
        <f aca="false">Ballinacurra!I23+Caherdavin!I23+'Castletroy-Annacotty'!I23+'City Centre'!I23+'Corbally-Grove Island'!I23+Dooradoyle!I23+'Kings Island'!I23+'Singland-Garryowen'!I23+Southhill!I23+Abbeyfeale!I23+Caherconlish!I23+Castleconnell!I23+Kilmallock!I23+'Newcastle West'!I23+Rathkeale!I23+Adare!I23+Askeaton!I23+Bruff!I23+Cappamore!I23+Croom!I23+Hospital!I23+Kilfinnane!I23+Moroe!I23+Patrickswell!I23+'Rest of county'!I23</f>
        <v>99.8965685905637</v>
      </c>
      <c r="J23" s="21" t="n">
        <f aca="false">Ballinacurra!J23+Caherdavin!J23+'Castletroy-Annacotty'!J23+'City Centre'!J23+'Corbally-Grove Island'!J23+Dooradoyle!J23+'Kings Island'!J23+'Singland-Garryowen'!J23+Southhill!J23+Abbeyfeale!J23+Caherconlish!J23+Castleconnell!J23+Kilmallock!J23+'Newcastle West'!J23+Rathkeale!J23+Adare!J23+Askeaton!J23+Bruff!J23+Cappamore!J23+Croom!J23+Hospital!J23+Kilfinnane!J23+Moroe!J23+Patrickswell!J23+'Rest of county'!J23</f>
        <v>99.8965685905637</v>
      </c>
      <c r="K23" s="21" t="n">
        <f aca="false">Ballinacurra!K23+Caherdavin!K23+'Castletroy-Annacotty'!K23+'City Centre'!K23+'Corbally-Grove Island'!K23+Dooradoyle!K23+'Kings Island'!K23+'Singland-Garryowen'!K23+Southhill!K23+Abbeyfeale!K23+Caherconlish!K23+Castleconnell!K23+Kilmallock!K23+'Newcastle West'!K23+Rathkeale!K23+Adare!K23+Askeaton!K23+Bruff!K23+Cappamore!K23+Croom!K23+Hospital!K23+Kilfinnane!K23+Moroe!K23+Patrickswell!K23+'Rest of county'!K23</f>
        <v>225.726658203373</v>
      </c>
      <c r="L23" s="21" t="n">
        <f aca="false">Ballinacurra!L23+Caherdavin!L23+'Castletroy-Annacotty'!L23+'City Centre'!L23+'Corbally-Grove Island'!L23+Dooradoyle!L23+'Kings Island'!L23+'Singland-Garryowen'!L23+Southhill!L23+Abbeyfeale!L23+Caherconlish!L23+Castleconnell!L23+Kilmallock!L23+'Newcastle West'!L23+Rathkeale!L23+Adare!L23+Askeaton!L23+Bruff!L23+Cappamore!L23+Croom!L23+Hospital!L23+Kilfinnane!L23+Moroe!L23+Patrickswell!L23+'Rest of county'!L23</f>
        <v>61.8602139371659</v>
      </c>
      <c r="M23" s="21" t="n">
        <f aca="false">Ballinacurra!M23+Caherdavin!M23+'Castletroy-Annacotty'!M23+'City Centre'!M23+'Corbally-Grove Island'!M23+Dooradoyle!M23+'Kings Island'!M23+'Singland-Garryowen'!M23+Southhill!M23+Abbeyfeale!M23+Caherconlish!M23+Castleconnell!M23+Kilmallock!M23+'Newcastle West'!M23+Rathkeale!M23+Adare!M23+Askeaton!M23+Bruff!M23+Cappamore!M23+Croom!M23+Hospital!M23+Kilfinnane!M23+Moroe!M23+Patrickswell!M23+'Rest of county'!M23</f>
        <v>35.4749390129461</v>
      </c>
      <c r="N23" s="21" t="n">
        <f aca="false">Ballinacurra!N23+Caherdavin!N23+'Castletroy-Annacotty'!N23+'City Centre'!N23+'Corbally-Grove Island'!N23+Dooradoyle!N23+'Kings Island'!N23+'Singland-Garryowen'!N23+Southhill!N23+Abbeyfeale!N23+Caherconlish!N23+Castleconnell!N23+Kilmallock!N23+'Newcastle West'!N23+Rathkeale!N23+Adare!N23+Askeaton!N23+Bruff!N23+Cappamore!N23+Croom!N23+Hospital!N23+Kilfinnane!N23+Moroe!N23+Patrickswell!N23+'Rest of county'!N23</f>
        <v>3.66111470240369</v>
      </c>
      <c r="O23" s="21" t="n">
        <f aca="false">Ballinacurra!O23+Caherdavin!O23+'Castletroy-Annacotty'!O23+'City Centre'!O23+'Corbally-Grove Island'!O23+Dooradoyle!O23+'Kings Island'!O23+'Singland-Garryowen'!O23+Southhill!O23+Abbeyfeale!O23+Caherconlish!O23+Castleconnell!O23+Kilmallock!O23+'Newcastle West'!O23+Rathkeale!O23+Adare!O23+Askeaton!O23+Bruff!O23+Cappamore!O23+Croom!O23+Hospital!O23+Kilfinnane!O23+Moroe!O23+Patrickswell!O23+'Rest of county'!O23</f>
        <v>6.18602139371659</v>
      </c>
    </row>
    <row r="24" customFormat="false" ht="15" hidden="false" customHeight="true" outlineLevel="0" collapsed="false">
      <c r="A24" s="23" t="n">
        <v>2037</v>
      </c>
      <c r="B24" s="21" t="n">
        <f aca="false">Ballinacurra!B24+Caherdavin!B24+'Castletroy-Annacotty'!B24+'City Centre'!B24+'Corbally-Grove Island'!B24+Dooradoyle!B24+'Kings Island'!B24+'Singland-Garryowen'!B24+Southhill!B24+Abbeyfeale!B24+Caherconlish!B24+Castleconnell!B24+Kilmallock!B24+'Newcastle West'!B24+Rathkeale!B24+Adare!B24+Askeaton!B24+Bruff!B24+Cappamore!B24+Croom!B24+Hospital!B24+Kilfinnane!B24+Moroe!B24+Patrickswell!B24+'Rest of county'!B24</f>
        <v>1574</v>
      </c>
      <c r="C24" s="21" t="n">
        <f aca="false">Ballinacurra!C24+Caherdavin!C24+'Castletroy-Annacotty'!C24+'City Centre'!C24+'Corbally-Grove Island'!C24+Dooradoyle!C24+'Kings Island'!C24+'Singland-Garryowen'!C24+Southhill!C24+Abbeyfeale!C24+Caherconlish!C24+Castleconnell!C24+Kilmallock!C24+'Newcastle West'!C24+Rathkeale!C24+Adare!C24+Askeaton!C24+Bruff!C24+Cappamore!C24+Croom!C24+Hospital!C24+Kilfinnane!C24+Moroe!C24+Patrickswell!C24+'Rest of county'!C24</f>
        <v>379.700944484274</v>
      </c>
      <c r="D24" s="21" t="n">
        <f aca="false">Ballinacurra!D24+Caherdavin!D24+'Castletroy-Annacotty'!D24+'City Centre'!D24+'Corbally-Grove Island'!D24+Dooradoyle!D24+'Kings Island'!D24+'Singland-Garryowen'!D24+Southhill!D24+Abbeyfeale!D24+Caherconlish!D24+Castleconnell!D24+Kilmallock!D24+'Newcastle West'!D24+Rathkeale!D24+Adare!D24+Askeaton!D24+Bruff!D24+Cappamore!D24+Croom!D24+Hospital!D24+Kilfinnane!D24+Moroe!D24+Patrickswell!D24+'Rest of county'!D24</f>
        <v>488.376172812569</v>
      </c>
      <c r="E24" s="21" t="n">
        <f aca="false">Ballinacurra!E24+Caherdavin!E24+'Castletroy-Annacotty'!E24+'City Centre'!E24+'Corbally-Grove Island'!E24+Dooradoyle!E24+'Kings Island'!E24+'Singland-Garryowen'!E24+Southhill!E24+Abbeyfeale!E24+Caherconlish!E24+Castleconnell!E24+Kilmallock!E24+'Newcastle West'!E24+Rathkeale!E24+Adare!E24+Askeaton!E24+Bruff!E24+Cappamore!E24+Croom!E24+Hospital!E24+Kilfinnane!E24+Moroe!E24+Patrickswell!E24+'Rest of county'!E24</f>
        <v>294.330787693651</v>
      </c>
      <c r="F24" s="21" t="n">
        <f aca="false">Ballinacurra!F24+Caherdavin!F24+'Castletroy-Annacotty'!F24+'City Centre'!F24+'Corbally-Grove Island'!F24+Dooradoyle!F24+'Kings Island'!F24+'Singland-Garryowen'!F24+Southhill!F24+Abbeyfeale!F24+Caherconlish!F24+Castleconnell!F24+Kilmallock!F24+'Newcastle West'!F24+Rathkeale!F24+Adare!F24+Askeaton!F24+Bruff!F24+Cappamore!F24+Croom!F24+Hospital!F24+Kilfinnane!F24+Moroe!F24+Patrickswell!F24+'Rest of county'!F24</f>
        <v>411.592095009508</v>
      </c>
      <c r="G24" s="21" t="n">
        <f aca="false">Ballinacurra!G24+Caherdavin!G24+'Castletroy-Annacotty'!G24+'City Centre'!G24+'Corbally-Grove Island'!G24+Dooradoyle!G24+'Kings Island'!G24+'Singland-Garryowen'!G24+Southhill!G24+Abbeyfeale!G24+Caherconlish!G24+Castleconnell!G24+Kilmallock!G24+'Newcastle West'!G24+Rathkeale!G24+Adare!G24+Askeaton!G24+Bruff!G24+Cappamore!G24+Croom!G24+Hospital!G24+Kilfinnane!G24+Moroe!G24+Patrickswell!G24+'Rest of county'!G24</f>
        <v>836.726666164999</v>
      </c>
      <c r="H24" s="21" t="n">
        <f aca="false">Ballinacurra!H24+Caherdavin!H24+'Castletroy-Annacotty'!H24+'City Centre'!H24+'Corbally-Grove Island'!H24+Dooradoyle!H24+'Kings Island'!H24+'Singland-Garryowen'!H24+Southhill!H24+Abbeyfeale!H24+Caherconlish!H24+Castleconnell!H24+Kilmallock!H24+'Newcastle West'!H24+Rathkeale!H24+Adare!H24+Askeaton!H24+Bruff!H24+Cappamore!H24+Croom!H24+Hospital!H24+Kilfinnane!H24+Moroe!H24+Patrickswell!H24+'Rest of county'!H24</f>
        <v>208.934908570999</v>
      </c>
      <c r="I24" s="21" t="n">
        <f aca="false">Ballinacurra!I24+Caherdavin!I24+'Castletroy-Annacotty'!I24+'City Centre'!I24+'Corbally-Grove Island'!I24+Dooradoyle!I24+'Kings Island'!I24+'Singland-Garryowen'!I24+Southhill!I24+Abbeyfeale!I24+Caherconlish!I24+Castleconnell!I24+Kilmallock!I24+'Newcastle West'!I24+Rathkeale!I24+Adare!I24+Askeaton!I24+Bruff!I24+Cappamore!I24+Croom!I24+Hospital!I24+Kilfinnane!I24+Moroe!I24+Patrickswell!I24+'Rest of county'!I24</f>
        <v>99.0782602152156</v>
      </c>
      <c r="J24" s="21" t="n">
        <f aca="false">Ballinacurra!J24+Caherdavin!J24+'Castletroy-Annacotty'!J24+'City Centre'!J24+'Corbally-Grove Island'!J24+Dooradoyle!J24+'Kings Island'!J24+'Singland-Garryowen'!J24+Southhill!J24+Abbeyfeale!J24+Caherconlish!J24+Castleconnell!J24+Kilmallock!J24+'Newcastle West'!J24+Rathkeale!J24+Adare!J24+Askeaton!J24+Bruff!J24+Cappamore!J24+Croom!J24+Hospital!J24+Kilfinnane!J24+Moroe!J24+Patrickswell!J24+'Rest of county'!J24</f>
        <v>99.0782602152156</v>
      </c>
      <c r="K24" s="21" t="n">
        <f aca="false">Ballinacurra!K24+Caherdavin!K24+'Castletroy-Annacotty'!K24+'City Centre'!K24+'Corbally-Grove Island'!K24+Dooradoyle!K24+'Kings Island'!K24+'Singland-Garryowen'!K24+Southhill!K24+Abbeyfeale!K24+Caherconlish!K24+Castleconnell!K24+Kilmallock!K24+'Newcastle West'!K24+Rathkeale!K24+Adare!K24+Askeaton!K24+Bruff!K24+Cappamore!K24+Croom!K24+Hospital!K24+Kilfinnane!K24+Moroe!K24+Patrickswell!K24+'Rest of county'!K24</f>
        <v>223.877605552683</v>
      </c>
      <c r="L24" s="21" t="n">
        <f aca="false">Ballinacurra!L24+Caherdavin!L24+'Castletroy-Annacotty'!L24+'City Centre'!L24+'Corbally-Grove Island'!L24+Dooradoyle!L24+'Kings Island'!L24+'Singland-Garryowen'!L24+Southhill!L24+Abbeyfeale!L24+Caherconlish!L24+Castleconnell!L24+Kilmallock!L24+'Newcastle West'!L24+Rathkeale!L24+Adare!L24+Askeaton!L24+Bruff!L24+Cappamore!L24+Croom!L24+Hospital!L24+Kilfinnane!L24+Moroe!L24+Patrickswell!L24+'Rest of county'!L24</f>
        <v>61.3534825060486</v>
      </c>
      <c r="M24" s="21" t="n">
        <f aca="false">Ballinacurra!M24+Caherdavin!M24+'Castletroy-Annacotty'!M24+'City Centre'!M24+'Corbally-Grove Island'!M24+Dooradoyle!M24+'Kings Island'!M24+'Singland-Garryowen'!M24+Southhill!M24+Abbeyfeale!M24+Caherconlish!M24+Castleconnell!M24+Kilmallock!M24+'Newcastle West'!M24+Rathkeale!M24+Adare!M24+Askeaton!M24+Bruff!M24+Cappamore!M24+Croom!M24+Hospital!M24+Kilfinnane!M24+Moroe!M24+Patrickswell!M24+'Rest of county'!M24</f>
        <v>35.184344049387</v>
      </c>
      <c r="N24" s="21" t="n">
        <f aca="false">Ballinacurra!N24+Caherdavin!N24+'Castletroy-Annacotty'!N24+'City Centre'!N24+'Corbally-Grove Island'!N24+Dooradoyle!N24+'Kings Island'!N24+'Singland-Garryowen'!N24+Southhill!N24+Abbeyfeale!N24+Caherconlish!N24+Castleconnell!N24+Kilmallock!N24+'Newcastle West'!N24+Rathkeale!N24+Adare!N24+Askeaton!N24+Bruff!N24+Cappamore!N24+Croom!N24+Hospital!N24+Kilfinnane!N24+Moroe!N24+Patrickswell!N24+'Rest of county'!N24</f>
        <v>3.63112447484777</v>
      </c>
      <c r="O24" s="21" t="n">
        <f aca="false">Ballinacurra!O24+Caherdavin!O24+'Castletroy-Annacotty'!O24+'City Centre'!O24+'Corbally-Grove Island'!O24+Dooradoyle!O24+'Kings Island'!O24+'Singland-Garryowen'!O24+Southhill!O24+Abbeyfeale!O24+Caherconlish!O24+Castleconnell!O24+Kilmallock!O24+'Newcastle West'!O24+Rathkeale!O24+Adare!O24+Askeaton!O24+Bruff!O24+Cappamore!O24+Croom!O24+Hospital!O24+Kilfinnane!O24+Moroe!O24+Patrickswell!O24+'Rest of county'!O24</f>
        <v>6.13534825060486</v>
      </c>
    </row>
    <row r="25" customFormat="false" ht="15" hidden="false" customHeight="true" outlineLevel="0" collapsed="false">
      <c r="A25" s="23" t="n">
        <v>2038</v>
      </c>
      <c r="B25" s="21" t="n">
        <f aca="false">Ballinacurra!B25+Caherdavin!B25+'Castletroy-Annacotty'!B25+'City Centre'!B25+'Corbally-Grove Island'!B25+Dooradoyle!B25+'Kings Island'!B25+'Singland-Garryowen'!B25+Southhill!B25+Abbeyfeale!B25+Caherconlish!B25+Castleconnell!B25+Kilmallock!B25+'Newcastle West'!B25+Rathkeale!B25+Adare!B25+Askeaton!B25+Bruff!B25+Cappamore!B25+Croom!B25+Hospital!B25+Kilfinnane!B25+Moroe!B25+Patrickswell!B25+'Rest of county'!B25</f>
        <v>1555</v>
      </c>
      <c r="C25" s="21" t="n">
        <f aca="false">Ballinacurra!C25+Caherdavin!C25+'Castletroy-Annacotty'!C25+'City Centre'!C25+'Corbally-Grove Island'!C25+Dooradoyle!C25+'Kings Island'!C25+'Singland-Garryowen'!C25+Southhill!C25+Abbeyfeale!C25+Caherconlish!C25+Castleconnell!C25+Kilmallock!C25+'Newcastle West'!C25+Rathkeale!C25+Adare!C25+Askeaton!C25+Bruff!C25+Cappamore!C25+Croom!C25+Hospital!C25+Kilfinnane!C25+Moroe!C25+Patrickswell!C25+'Rest of county'!C25</f>
        <v>375.117515040056</v>
      </c>
      <c r="D25" s="21" t="n">
        <f aca="false">Ballinacurra!D25+Caherdavin!D25+'Castletroy-Annacotty'!D25+'City Centre'!D25+'Corbally-Grove Island'!D25+Dooradoyle!D25+'Kings Island'!D25+'Singland-Garryowen'!D25+Southhill!D25+Abbeyfeale!D25+Caherconlish!D25+Castleconnell!D25+Kilmallock!D25+'Newcastle West'!D25+Rathkeale!D25+Adare!D25+Askeaton!D25+Bruff!D25+Cappamore!D25+Croom!D25+Hospital!D25+Kilfinnane!D25+Moroe!D25+Patrickswell!D25+'Rest of county'!D25</f>
        <v>482.480907702379</v>
      </c>
      <c r="E25" s="21" t="n">
        <f aca="false">Ballinacurra!E25+Caherdavin!E25+'Castletroy-Annacotty'!E25+'City Centre'!E25+'Corbally-Grove Island'!E25+Dooradoyle!E25+'Kings Island'!E25+'Singland-Garryowen'!E25+Southhill!E25+Abbeyfeale!E25+Caherconlish!E25+Castleconnell!E25+Kilmallock!E25+'Newcastle West'!E25+Rathkeale!E25+Adare!E25+Askeaton!E25+Bruff!E25+Cappamore!E25+Croom!E25+Hospital!E25+Kilfinnane!E25+Moroe!E25+Patrickswell!E25+'Rest of county'!E25</f>
        <v>290.777874754528</v>
      </c>
      <c r="F25" s="21" t="n">
        <f aca="false">Ballinacurra!F25+Caherdavin!F25+'Castletroy-Annacotty'!F25+'City Centre'!F25+'Corbally-Grove Island'!F25+Dooradoyle!F25+'Kings Island'!F25+'Singland-Garryowen'!F25+Southhill!F25+Abbeyfeale!F25+Caherconlish!F25+Castleconnell!F25+Kilmallock!F25+'Newcastle West'!F25+Rathkeale!F25+Adare!F25+Askeaton!F25+Bruff!F25+Cappamore!F25+Croom!F25+Hospital!F25+Kilfinnane!F25+Moroe!F25+Patrickswell!F25+'Rest of county'!F25</f>
        <v>406.623702503039</v>
      </c>
      <c r="G25" s="21" t="n">
        <f aca="false">Ballinacurra!G25+Caherdavin!G25+'Castletroy-Annacotty'!G25+'City Centre'!G25+'Corbally-Grove Island'!G25+Dooradoyle!G25+'Kings Island'!G25+'Singland-Garryowen'!G25+Southhill!G25+Abbeyfeale!G25+Caherconlish!G25+Castleconnell!G25+Kilmallock!G25+'Newcastle West'!G25+Rathkeale!G25+Adare!G25+Askeaton!G25+Bruff!G25+Cappamore!G25+Croom!G25+Hospital!G25+Kilfinnane!G25+Moroe!G25+Patrickswell!G25+'Rest of county'!G25</f>
        <v>826.626407805955</v>
      </c>
      <c r="H25" s="21" t="n">
        <f aca="false">Ballinacurra!H25+Caherdavin!H25+'Castletroy-Annacotty'!H25+'City Centre'!H25+'Corbally-Grove Island'!H25+Dooradoyle!H25+'Kings Island'!H25+'Singland-Garryowen'!H25+Southhill!H25+Abbeyfeale!H25+Caherconlish!H25+Castleconnell!H25+Kilmallock!H25+'Newcastle West'!H25+Rathkeale!H25+Adare!H25+Askeaton!H25+Bruff!H25+Cappamore!H25+Croom!H25+Hospital!H25+Kilfinnane!H25+Moroe!H25+Patrickswell!H25+'Rest of county'!H25</f>
        <v>206.412822635262</v>
      </c>
      <c r="I25" s="21" t="n">
        <f aca="false">Ballinacurra!I25+Caherdavin!I25+'Castletroy-Annacotty'!I25+'City Centre'!I25+'Corbally-Grove Island'!I25+Dooradoyle!I25+'Kings Island'!I25+'Singland-Garryowen'!I25+Southhill!I25+Abbeyfeale!I25+Caherconlish!I25+Castleconnell!I25+Kilmallock!I25+'Newcastle West'!I25+Rathkeale!I25+Adare!I25+Askeaton!I25+Bruff!I25+Cappamore!I25+Croom!I25+Hospital!I25+Kilfinnane!I25+Moroe!I25+Patrickswell!I25+'Rest of county'!I25</f>
        <v>97.8822710512454</v>
      </c>
      <c r="J25" s="21" t="n">
        <f aca="false">Ballinacurra!J25+Caherdavin!J25+'Castletroy-Annacotty'!J25+'City Centre'!J25+'Corbally-Grove Island'!J25+Dooradoyle!J25+'Kings Island'!J25+'Singland-Garryowen'!J25+Southhill!J25+Abbeyfeale!J25+Caherconlish!J25+Castleconnell!J25+Kilmallock!J25+'Newcastle West'!J25+Rathkeale!J25+Adare!J25+Askeaton!J25+Bruff!J25+Cappamore!J25+Croom!J25+Hospital!J25+Kilfinnane!J25+Moroe!J25+Patrickswell!J25+'Rest of county'!J25</f>
        <v>97.8822710512454</v>
      </c>
      <c r="K25" s="21" t="n">
        <f aca="false">Ballinacurra!K25+Caherdavin!K25+'Castletroy-Annacotty'!K25+'City Centre'!K25+'Corbally-Grove Island'!K25+Dooradoyle!K25+'Kings Island'!K25+'Singland-Garryowen'!K25+Southhill!K25+Abbeyfeale!K25+Caherconlish!K25+Castleconnell!K25+Kilmallock!K25+'Newcastle West'!K25+Rathkeale!K25+Adare!K25+Askeaton!K25+Bruff!K25+Cappamore!K25+Croom!K25+Hospital!K25+Kilfinnane!K25+Moroe!K25+Patrickswell!K25+'Rest of county'!K25</f>
        <v>221.175143986291</v>
      </c>
      <c r="L25" s="21" t="n">
        <f aca="false">Ballinacurra!L25+Caherdavin!L25+'Castletroy-Annacotty'!L25+'City Centre'!L25+'Corbally-Grove Island'!L25+Dooradoyle!L25+'Kings Island'!L25+'Singland-Garryowen'!L25+Southhill!L25+Abbeyfeale!L25+Caherconlish!L25+Castleconnell!L25+Kilmallock!L25+'Newcastle West'!L25+Rathkeale!L25+Adare!L25+Askeaton!L25+Bruff!L25+Cappamore!L25+Croom!L25+Hospital!L25+Kilfinnane!L25+Moroe!L25+Patrickswell!L25+'Rest of county'!L25</f>
        <v>60.6128750298002</v>
      </c>
      <c r="M25" s="21" t="n">
        <f aca="false">Ballinacurra!M25+Caherdavin!M25+'Castletroy-Annacotty'!M25+'City Centre'!M25+'Corbally-Grove Island'!M25+Dooradoyle!M25+'Kings Island'!M25+'Singland-Garryowen'!M25+Southhill!M25+Abbeyfeale!M25+Caherconlish!M25+Castleconnell!M25+Kilmallock!M25+'Newcastle West'!M25+Rathkeale!M25+Adare!M25+Askeaton!M25+Bruff!M25+Cappamore!M25+Croom!M25+Hospital!M25+Kilfinnane!M25+Moroe!M25+Patrickswell!M25+'Rest of county'!M25</f>
        <v>34.759628333416</v>
      </c>
      <c r="N25" s="21" t="n">
        <f aca="false">Ballinacurra!N25+Caherdavin!N25+'Castletroy-Annacotty'!N25+'City Centre'!N25+'Corbally-Grove Island'!N25+Dooradoyle!N25+'Kings Island'!N25+'Singland-Garryowen'!N25+Southhill!N25+Abbeyfeale!N25+Caherconlish!N25+Castleconnell!N25+Kilmallock!N25+'Newcastle West'!N25+Rathkeale!N25+Adare!N25+Askeaton!N25+Bruff!N25+Cappamore!N25+Croom!N25+Hospital!N25+Kilfinnane!N25+Moroe!N25+Patrickswell!N25+'Rest of county'!N25</f>
        <v>3.5872926038045</v>
      </c>
      <c r="O25" s="21" t="n">
        <f aca="false">Ballinacurra!O25+Caherdavin!O25+'Castletroy-Annacotty'!O25+'City Centre'!O25+'Corbally-Grove Island'!O25+Dooradoyle!O25+'Kings Island'!O25+'Singland-Garryowen'!O25+Southhill!O25+Abbeyfeale!O25+Caherconlish!O25+Castleconnell!O25+Kilmallock!O25+'Newcastle West'!O25+Rathkeale!O25+Adare!O25+Askeaton!O25+Bruff!O25+Cappamore!O25+Croom!O25+Hospital!O25+Kilfinnane!O25+Moroe!O25+Patrickswell!O25+'Rest of county'!O25</f>
        <v>6.06128750298002</v>
      </c>
    </row>
    <row r="26" customFormat="false" ht="15" hidden="false" customHeight="true" outlineLevel="0" collapsed="false">
      <c r="A26" s="23" t="n">
        <v>2039</v>
      </c>
      <c r="B26" s="21" t="n">
        <f aca="false">Ballinacurra!B26+Caherdavin!B26+'Castletroy-Annacotty'!B26+'City Centre'!B26+'Corbally-Grove Island'!B26+Dooradoyle!B26+'Kings Island'!B26+'Singland-Garryowen'!B26+Southhill!B26+Abbeyfeale!B26+Caherconlish!B26+Castleconnell!B26+Kilmallock!B26+'Newcastle West'!B26+Rathkeale!B26+Adare!B26+Askeaton!B26+Bruff!B26+Cappamore!B26+Croom!B26+Hospital!B26+Kilfinnane!B26+Moroe!B26+Patrickswell!B26+'Rest of county'!B26</f>
        <v>1541</v>
      </c>
      <c r="C26" s="21" t="n">
        <f aca="false">Ballinacurra!C26+Caherdavin!C26+'Castletroy-Annacotty'!C26+'City Centre'!C26+'Corbally-Grove Island'!C26+Dooradoyle!C26+'Kings Island'!C26+'Singland-Garryowen'!C26+Southhill!C26+Abbeyfeale!C26+Caherconlish!C26+Castleconnell!C26+Kilmallock!C26+'Newcastle West'!C26+Rathkeale!C26+Adare!C26+Askeaton!C26+Bruff!C26+Cappamore!C26+Croom!C26+Hospital!C26+Kilfinnane!C26+Moroe!C26+Patrickswell!C26+'Rest of county'!C26</f>
        <v>371.740251239051</v>
      </c>
      <c r="D26" s="21" t="n">
        <f aca="false">Ballinacurra!D26+Caherdavin!D26+'Castletroy-Annacotty'!D26+'City Centre'!D26+'Corbally-Grove Island'!D26+Dooradoyle!D26+'Kings Island'!D26+'Singland-Garryowen'!D26+Southhill!D26+Abbeyfeale!D26+Caherconlish!D26+Castleconnell!D26+Kilmallock!D26+'Newcastle West'!D26+Rathkeale!D26+Adare!D26+Askeaton!D26+Bruff!D26+Cappamore!D26+Croom!D26+Hospital!D26+Kilfinnane!D26+Moroe!D26+Patrickswell!D26+'Rest of county'!D26</f>
        <v>478.137028147501</v>
      </c>
      <c r="E26" s="21" t="n">
        <f aca="false">Ballinacurra!E26+Caherdavin!E26+'Castletroy-Annacotty'!E26+'City Centre'!E26+'Corbally-Grove Island'!E26+Dooradoyle!E26+'Kings Island'!E26+'Singland-Garryowen'!E26+Southhill!E26+Abbeyfeale!E26+Caherconlish!E26+Castleconnell!E26+Kilmallock!E26+'Newcastle West'!E26+Rathkeale!E26+Adare!E26+Askeaton!E26+Bruff!E26+Cappamore!E26+Croom!E26+Hospital!E26+Kilfinnane!E26+Moroe!E26+Patrickswell!E26+'Rest of county'!E26</f>
        <v>288.159938904648</v>
      </c>
      <c r="F26" s="21" t="n">
        <f aca="false">Ballinacurra!F26+Caherdavin!F26+'Castletroy-Annacotty'!F26+'City Centre'!F26+'Corbally-Grove Island'!F26+Dooradoyle!F26+'Kings Island'!F26+'Singland-Garryowen'!F26+Southhill!F26+Abbeyfeale!F26+Caherconlish!F26+Castleconnell!F26+Kilmallock!F26+'Newcastle West'!F26+Rathkeale!F26+Adare!F26+Askeaton!F26+Bruff!F26+Cappamore!F26+Croom!F26+Hospital!F26+Kilfinnane!F26+Moroe!F26+Patrickswell!F26+'Rest of county'!F26</f>
        <v>402.962781708801</v>
      </c>
      <c r="G26" s="21" t="n">
        <f aca="false">Ballinacurra!G26+Caherdavin!G26+'Castletroy-Annacotty'!G26+'City Centre'!G26+'Corbally-Grove Island'!G26+Dooradoyle!G26+'Kings Island'!G26+'Singland-Garryowen'!G26+Southhill!G26+Abbeyfeale!G26+Caherconlish!G26+Castleconnell!G26+Kilmallock!G26+'Newcastle West'!G26+Rathkeale!G26+Adare!G26+Askeaton!G26+Bruff!G26+Cappamore!G26+Croom!G26+Hospital!G26+Kilfinnane!G26+Moroe!G26+Patrickswell!G26+'Rest of county'!G26</f>
        <v>819.184112172975</v>
      </c>
      <c r="H26" s="21" t="n">
        <f aca="false">Ballinacurra!H26+Caherdavin!H26+'Castletroy-Annacotty'!H26+'City Centre'!H26+'Corbally-Grove Island'!H26+Dooradoyle!H26+'Kings Island'!H26+'Singland-Garryowen'!H26+Southhill!H26+Abbeyfeale!H26+Caherconlish!H26+Castleconnell!H26+Kilmallock!H26+'Newcastle West'!H26+Rathkeale!H26+Adare!H26+Askeaton!H26+Bruff!H26+Cappamore!H26+Croom!H26+Hospital!H26+Kilfinnane!H26+Moroe!H26+Patrickswell!H26+'Rest of county'!H26</f>
        <v>204.55444352472</v>
      </c>
      <c r="I26" s="21" t="n">
        <f aca="false">Ballinacurra!I26+Caherdavin!I26+'Castletroy-Annacotty'!I26+'City Centre'!I26+'Corbally-Grove Island'!I26+Dooradoyle!I26+'Kings Island'!I26+'Singland-Garryowen'!I26+Southhill!I26+Abbeyfeale!I26+Caherconlish!I26+Castleconnell!I26+Kilmallock!I26+'Newcastle West'!I26+Rathkeale!I26+Adare!I26+Askeaton!I26+Bruff!I26+Cappamore!I26+Croom!I26+Hospital!I26+Kilfinnane!I26+Moroe!I26+Patrickswell!I26+'Rest of county'!I26</f>
        <v>97.0010158777937</v>
      </c>
      <c r="J26" s="21" t="n">
        <f aca="false">Ballinacurra!J26+Caherdavin!J26+'Castletroy-Annacotty'!J26+'City Centre'!J26+'Corbally-Grove Island'!J26+Dooradoyle!J26+'Kings Island'!J26+'Singland-Garryowen'!J26+Southhill!J26+Abbeyfeale!J26+Caherconlish!J26+Castleconnell!J26+Kilmallock!J26+'Newcastle West'!J26+Rathkeale!J26+Adare!J26+Askeaton!J26+Bruff!J26+Cappamore!J26+Croom!J26+Hospital!J26+Kilfinnane!J26+Moroe!J26+Patrickswell!J26+'Rest of county'!J26</f>
        <v>97.0010158777937</v>
      </c>
      <c r="K26" s="21" t="n">
        <f aca="false">Ballinacurra!K26+Caherdavin!K26+'Castletroy-Annacotty'!K26+'City Centre'!K26+'Corbally-Grove Island'!K26+Dooradoyle!K26+'Kings Island'!K26+'Singland-Garryowen'!K26+Southhill!K26+Abbeyfeale!K26+Caherconlish!K26+Castleconnell!K26+Kilmallock!K26+'Newcastle West'!K26+Rathkeale!K26+Adare!K26+Askeaton!K26+Bruff!K26+Cappamore!K26+Croom!K26+Hospital!K26+Kilfinnane!K26+Moroe!K26+Patrickswell!K26+'Rest of county'!K26</f>
        <v>219.183856516318</v>
      </c>
      <c r="L26" s="21" t="n">
        <f aca="false">Ballinacurra!L26+Caherdavin!L26+'Castletroy-Annacotty'!L26+'City Centre'!L26+'Corbally-Grove Island'!L26+Dooradoyle!L26+'Kings Island'!L26+'Singland-Garryowen'!L26+Southhill!L26+Abbeyfeale!L26+Caherconlish!L26+Castleconnell!L26+Kilmallock!L26+'Newcastle West'!L26+Rathkeale!L26+Adare!L26+Askeaton!L26+Bruff!L26+Cappamore!L26+Croom!L26+Hospital!L26+Kilfinnane!L26+Moroe!L26+Patrickswell!L26+'Rest of county'!L26</f>
        <v>60.0671642578277</v>
      </c>
      <c r="M26" s="21" t="n">
        <f aca="false">Ballinacurra!M26+Caherdavin!M26+'Castletroy-Annacotty'!M26+'City Centre'!M26+'Corbally-Grove Island'!M26+Dooradoyle!M26+'Kings Island'!M26+'Singland-Garryowen'!M26+Southhill!M26+Abbeyfeale!M26+Caherconlish!M26+Castleconnell!M26+Kilmallock!M26+'Newcastle West'!M26+Rathkeale!M26+Adare!M26+Askeaton!M26+Bruff!M26+Cappamore!M26+Croom!M26+Hospital!M26+Kilfinnane!M26+Moroe!M26+Patrickswell!M26+'Rest of county'!M26</f>
        <v>34.4466799111216</v>
      </c>
      <c r="N26" s="21" t="n">
        <f aca="false">Ballinacurra!N26+Caherdavin!N26+'Castletroy-Annacotty'!N26+'City Centre'!N26+'Corbally-Grove Island'!N26+Dooradoyle!N26+'Kings Island'!N26+'Singland-Garryowen'!N26+Southhill!N26+Abbeyfeale!N26+Caherconlish!N26+Castleconnell!N26+Kilmallock!N26+'Newcastle West'!N26+Rathkeale!N26+Adare!N26+Askeaton!N26+Bruff!N26+Cappamore!N26+Croom!N26+Hospital!N26+Kilfinnane!N26+Moroe!N26+Patrickswell!N26+'Rest of county'!N26</f>
        <v>3.55499543566736</v>
      </c>
      <c r="O26" s="21" t="n">
        <f aca="false">Ballinacurra!O26+Caherdavin!O26+'Castletroy-Annacotty'!O26+'City Centre'!O26+'Corbally-Grove Island'!O26+Dooradoyle!O26+'Kings Island'!O26+'Singland-Garryowen'!O26+Southhill!O26+Abbeyfeale!O26+Caherconlish!O26+Castleconnell!O26+Kilmallock!O26+'Newcastle West'!O26+Rathkeale!O26+Adare!O26+Askeaton!O26+Bruff!O26+Cappamore!O26+Croom!O26+Hospital!O26+Kilfinnane!O26+Moroe!O26+Patrickswell!O26+'Rest of county'!O26</f>
        <v>6.00671642578277</v>
      </c>
    </row>
    <row r="27" customFormat="false" ht="15" hidden="false" customHeight="true" outlineLevel="0" collapsed="false">
      <c r="A27" s="23" t="n">
        <v>2040</v>
      </c>
      <c r="B27" s="21" t="n">
        <f aca="false">Ballinacurra!B27+Caherdavin!B27+'Castletroy-Annacotty'!B27+'City Centre'!B27+'Corbally-Grove Island'!B27+Dooradoyle!B27+'Kings Island'!B27+'Singland-Garryowen'!B27+Southhill!B27+Abbeyfeale!B27+Caherconlish!B27+Castleconnell!B27+Kilmallock!B27+'Newcastle West'!B27+Rathkeale!B27+Adare!B27+Askeaton!B27+Bruff!B27+Cappamore!B27+Croom!B27+Hospital!B27+Kilfinnane!B27+Moroe!B27+Patrickswell!B27+'Rest of county'!B27</f>
        <v>1525</v>
      </c>
      <c r="C27" s="21" t="n">
        <f aca="false">Ballinacurra!C27+Caherdavin!C27+'Castletroy-Annacotty'!C27+'City Centre'!C27+'Corbally-Grove Island'!C27+Dooradoyle!C27+'Kings Island'!C27+'Singland-Garryowen'!C27+Southhill!C27+Abbeyfeale!C27+Caherconlish!C27+Castleconnell!C27+Kilmallock!C27+'Newcastle West'!C27+Rathkeale!C27+Adare!C27+Askeaton!C27+Bruff!C27+Cappamore!C27+Croom!C27+Hospital!C27+Kilfinnane!C27+Moroe!C27+Patrickswell!C27+'Rest of county'!C27</f>
        <v>367.880521180761</v>
      </c>
      <c r="D27" s="21" t="n">
        <f aca="false">Ballinacurra!D27+Caherdavin!D27+'Castletroy-Annacotty'!D27+'City Centre'!D27+'Corbally-Grove Island'!D27+Dooradoyle!D27+'Kings Island'!D27+'Singland-Garryowen'!D27+Southhill!D27+Abbeyfeale!D27+Caherconlish!D27+Castleconnell!D27+Kilmallock!D27+'Newcastle West'!D27+Rathkeale!D27+Adare!D27+Askeaton!D27+Bruff!D27+Cappamore!D27+Croom!D27+Hospital!D27+Kilfinnane!D27+Moroe!D27+Patrickswell!D27+'Rest of county'!D27</f>
        <v>473.1725943705</v>
      </c>
      <c r="E27" s="21" t="n">
        <f aca="false">Ballinacurra!E27+Caherdavin!E27+'Castletroy-Annacotty'!E27+'City Centre'!E27+'Corbally-Grove Island'!E27+Dooradoyle!E27+'Kings Island'!E27+'Singland-Garryowen'!E27+Southhill!E27+Abbeyfeale!E27+Caherconlish!E27+Castleconnell!E27+Kilmallock!E27+'Newcastle West'!E27+Rathkeale!E27+Adare!E27+Askeaton!E27+Bruff!E27+Cappamore!E27+Croom!E27+Hospital!E27+Kilfinnane!E27+Moroe!E27+Patrickswell!E27+'Rest of county'!E27</f>
        <v>285.168012219071</v>
      </c>
      <c r="F27" s="21" t="n">
        <f aca="false">Ballinacurra!F27+Caherdavin!F27+'Castletroy-Annacotty'!F27+'City Centre'!F27+'Corbally-Grove Island'!F27+Dooradoyle!F27+'Kings Island'!F27+'Singland-Garryowen'!F27+Southhill!F27+Abbeyfeale!F27+Caherconlish!F27+Castleconnell!F27+Kilmallock!F27+'Newcastle West'!F27+Rathkeale!F27+Adare!F27+Askeaton!F27+Bruff!F27+Cappamore!F27+Croom!F27+Hospital!F27+Kilfinnane!F27+Moroe!F27+Patrickswell!F27+'Rest of county'!F27</f>
        <v>398.778872229668</v>
      </c>
      <c r="G27" s="21" t="n">
        <f aca="false">Ballinacurra!G27+Caherdavin!G27+'Castletroy-Annacotty'!G27+'City Centre'!G27+'Corbally-Grove Island'!G27+Dooradoyle!G27+'Kings Island'!G27+'Singland-Garryowen'!G27+Southhill!G27+Abbeyfeale!G27+Caherconlish!G27+Castleconnell!G27+Kilmallock!G27+'Newcastle West'!G27+Rathkeale!G27+Adare!G27+Askeaton!G27+Bruff!G27+Cappamore!G27+Croom!G27+Hospital!G27+Kilfinnane!G27+Moroe!G27+Patrickswell!G27+'Rest of county'!G27</f>
        <v>810.67863144957</v>
      </c>
      <c r="H27" s="21" t="n">
        <f aca="false">Ballinacurra!H27+Caherdavin!H27+'Castletroy-Annacotty'!H27+'City Centre'!H27+'Corbally-Grove Island'!H27+Dooradoyle!H27+'Kings Island'!H27+'Singland-Garryowen'!H27+Southhill!H27+Abbeyfeale!H27+Caherconlish!H27+Castleconnell!H27+Kilmallock!H27+'Newcastle West'!H27+Rathkeale!H27+Adare!H27+Askeaton!H27+Bruff!H27+Cappamore!H27+Croom!H27+Hospital!H27+Kilfinnane!H27+Moroe!H27+Patrickswell!H27+'Rest of county'!H27</f>
        <v>202.4305816841</v>
      </c>
      <c r="I27" s="21" t="n">
        <f aca="false">Ballinacurra!I27+Caherdavin!I27+'Castletroy-Annacotty'!I27+'City Centre'!I27+'Corbally-Grove Island'!I27+Dooradoyle!I27+'Kings Island'!I27+'Singland-Garryowen'!I27+Southhill!I27+Abbeyfeale!I27+Caherconlish!I27+Castleconnell!I27+Kilmallock!I27+'Newcastle West'!I27+Rathkeale!I27+Adare!I27+Askeaton!I27+Bruff!I27+Cappamore!I27+Croom!I27+Hospital!I27+Kilfinnane!I27+Moroe!I27+Patrickswell!I27+'Rest of county'!I27</f>
        <v>95.9938671081346</v>
      </c>
      <c r="J27" s="21" t="n">
        <f aca="false">Ballinacurra!J27+Caherdavin!J27+'Castletroy-Annacotty'!J27+'City Centre'!J27+'Corbally-Grove Island'!J27+Dooradoyle!J27+'Kings Island'!J27+'Singland-Garryowen'!J27+Southhill!J27+Abbeyfeale!J27+Caherconlish!J27+Castleconnell!J27+Kilmallock!J27+'Newcastle West'!J27+Rathkeale!J27+Adare!J27+Askeaton!J27+Bruff!J27+Cappamore!J27+Croom!J27+Hospital!J27+Kilfinnane!J27+Moroe!J27+Patrickswell!J27+'Rest of county'!J27</f>
        <v>95.9938671081346</v>
      </c>
      <c r="K27" s="21" t="n">
        <f aca="false">Ballinacurra!K27+Caherdavin!K27+'Castletroy-Annacotty'!K27+'City Centre'!K27+'Corbally-Grove Island'!K27+Dooradoyle!K27+'Kings Island'!K27+'Singland-Garryowen'!K27+Southhill!K27+Abbeyfeale!K27+Caherconlish!K27+Castleconnell!K27+Kilmallock!K27+'Newcastle West'!K27+Rathkeale!K27+Adare!K27+Askeaton!K27+Bruff!K27+Cappamore!K27+Croom!K27+Hospital!K27+Kilfinnane!K27+Moroe!K27+Patrickswell!K27+'Rest of county'!K27</f>
        <v>216.908099407778</v>
      </c>
      <c r="L27" s="21" t="n">
        <f aca="false">Ballinacurra!L27+Caherdavin!L27+'Castletroy-Annacotty'!L27+'City Centre'!L27+'Corbally-Grove Island'!L27+Dooradoyle!L27+'Kings Island'!L27+'Singland-Garryowen'!L27+Southhill!L27+Abbeyfeale!L27+Caherconlish!L27+Castleconnell!L27+Kilmallock!L27+'Newcastle West'!L27+Rathkeale!L27+Adare!L27+Askeaton!L27+Bruff!L27+Cappamore!L27+Croom!L27+Hospital!L27+Kilfinnane!L27+Moroe!L27+Patrickswell!L27+'Rest of county'!L27</f>
        <v>59.4434948041449</v>
      </c>
      <c r="M27" s="21" t="n">
        <f aca="false">Ballinacurra!M27+Caherdavin!M27+'Castletroy-Annacotty'!M27+'City Centre'!M27+'Corbally-Grove Island'!M27+Dooradoyle!M27+'Kings Island'!M27+'Singland-Garryowen'!M27+Southhill!M27+Abbeyfeale!M27+Caherconlish!M27+Castleconnell!M27+Kilmallock!M27+'Newcastle West'!M27+Rathkeale!M27+Adare!M27+Askeaton!M27+Bruff!M27+Cappamore!M27+Croom!M27+Hospital!M27+Kilfinnane!M27+Moroe!M27+Patrickswell!M27+'Rest of county'!M27</f>
        <v>34.0890245713566</v>
      </c>
      <c r="N27" s="21" t="n">
        <f aca="false">Ballinacurra!N27+Caherdavin!N27+'Castletroy-Annacotty'!N27+'City Centre'!N27+'Corbally-Grove Island'!N27+Dooradoyle!N27+'Kings Island'!N27+'Singland-Garryowen'!N27+Southhill!N27+Abbeyfeale!N27+Caherconlish!N27+Castleconnell!N27+Kilmallock!N27+'Newcastle West'!N27+Rathkeale!N27+Adare!N27+Askeaton!N27+Bruff!N27+Cappamore!N27+Croom!N27+Hospital!N27+Kilfinnane!N27+Moroe!N27+Patrickswell!N27+'Rest of county'!N27</f>
        <v>3.51808438636776</v>
      </c>
      <c r="O27" s="21" t="n">
        <f aca="false">Ballinacurra!O27+Caherdavin!O27+'Castletroy-Annacotty'!O27+'City Centre'!O27+'Corbally-Grove Island'!O27+Dooradoyle!O27+'Kings Island'!O27+'Singland-Garryowen'!O27+Southhill!O27+Abbeyfeale!O27+Caherconlish!O27+Castleconnell!O27+Kilmallock!O27+'Newcastle West'!O27+Rathkeale!O27+Adare!O27+Askeaton!O27+Bruff!O27+Cappamore!O27+Croom!O27+Hospital!O27+Kilfinnane!O27+Moroe!O27+Patrickswell!O27+'Rest of county'!O27</f>
        <v>5.94434948041449</v>
      </c>
    </row>
    <row r="28" customFormat="false" ht="15" hidden="false" customHeight="true" outlineLevel="0" collapsed="false">
      <c r="A28" s="24" t="s">
        <v>118</v>
      </c>
      <c r="B28" s="25" t="n">
        <f aca="false">SUM(B13:B27)</f>
        <v>39864</v>
      </c>
      <c r="C28" s="25" t="n">
        <f aca="false">SUM(C13:C27)</f>
        <v>9616.484827069</v>
      </c>
      <c r="D28" s="25" t="n">
        <f aca="false">SUM(D13:D27)</f>
        <v>12368.8704102618</v>
      </c>
      <c r="E28" s="25" t="n">
        <f aca="false">SUM(E13:E27)</f>
        <v>7454.39046221882</v>
      </c>
      <c r="F28" s="25" t="n">
        <f aca="false">SUM(F13:F27)</f>
        <v>10424.2543004504</v>
      </c>
      <c r="G28" s="25" t="n">
        <f aca="false">SUM(G13:G27)</f>
        <v>21191.4052223644</v>
      </c>
      <c r="H28" s="25" t="n">
        <f aca="false">SUM(H13:H27)</f>
        <v>5291.60177590489</v>
      </c>
      <c r="I28" s="25" t="n">
        <f aca="false">SUM(I13:I27)</f>
        <v>2509.31115960569</v>
      </c>
      <c r="J28" s="25" t="n">
        <f aca="false">SUM(J13:J27)</f>
        <v>2509.31115960569</v>
      </c>
      <c r="K28" s="25" t="n">
        <f aca="false">SUM(K13:K27)</f>
        <v>5670.04883592895</v>
      </c>
      <c r="L28" s="25" t="n">
        <f aca="false">SUM(L13:L27)</f>
        <v>1553.87244385078</v>
      </c>
      <c r="M28" s="25" t="n">
        <f aca="false">SUM(M13:M27)</f>
        <v>891.098279024629</v>
      </c>
      <c r="N28" s="25" t="n">
        <f aca="false">SUM(N13:N27)</f>
        <v>91.9638793299439</v>
      </c>
      <c r="O28" s="25" t="n">
        <f aca="false">SUM(O13:O27)</f>
        <v>155.387244385078</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0.186995546413276</v>
      </c>
      <c r="F29" s="26" t="n">
        <f aca="false">IF($B$28&gt;0,F28/$B$28,0)</f>
        <v>0.261495442014109</v>
      </c>
      <c r="G29" s="26" t="n">
        <f aca="false">IF($B$28&gt;0,G28/$B$28,0)</f>
        <v>0.531592545212833</v>
      </c>
      <c r="H29" s="26" t="n">
        <f aca="false">IF($B$28&gt;0,H28/$B$28,0)</f>
        <v>0.132741365038754</v>
      </c>
      <c r="I29" s="26" t="n">
        <f aca="false">IF($B$28&gt;0,I28/$B$28,0)</f>
        <v>0.0629467981036948</v>
      </c>
      <c r="J29" s="26" t="n">
        <f aca="false">IF($B$28&gt;0,J28/$B$28,0)</f>
        <v>0.0629467981036948</v>
      </c>
      <c r="K29" s="26" t="n">
        <f aca="false">IF($B$28&gt;0,K28/$B$28,0)</f>
        <v>0.142234819283789</v>
      </c>
      <c r="L29" s="26" t="n">
        <f aca="false">IF($B$28&gt;0,L28/$B$28,0)</f>
        <v>0.038979340855177</v>
      </c>
      <c r="M29" s="26" t="n">
        <f aca="false">IF($B$28&gt;0,M28/$B$28,0)</f>
        <v>0.0223534587353158</v>
      </c>
      <c r="N29" s="26" t="n">
        <f aca="false">IF($B$28&gt;0,N28/$B$28,0)</f>
        <v>0.00230694058122476</v>
      </c>
      <c r="O29" s="26" t="n">
        <f aca="false">IF($B$28&gt;0,O28/$B$28,0)</f>
        <v>0.0038979340855177</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Ballinacurra!B34+Caherdavin!B34+'Castletroy-Annacotty'!B34+'City Centre'!B34+'Corbally-Grove Island'!B34+Dooradoyle!B34+'Kings Island'!B34+'Singland-Garryowen'!B34+Southhill!B34+Abbeyfeale!B34+Caherconlish!B34+Castleconnell!B34+Kilmallock!B34+'Newcastle West'!B34+Rathkeale!B34+Adare!B34+Askeaton!B34+Bruff!B34+Cappamore!B34+Croom!B34+Hospital!B34+Kilfinnane!B34+Moroe!B34+Patrickswell!B34+'Rest of county'!B34</f>
        <v>3527.45328386162</v>
      </c>
      <c r="C34" s="22" t="n">
        <f aca="false">IF($B$38&gt;0,B34/$B$38,0)</f>
        <v>0.0462343965379333</v>
      </c>
      <c r="D34" s="21" t="n">
        <f aca="false">C28</f>
        <v>9616.484827069</v>
      </c>
      <c r="E34" s="22" t="n">
        <f aca="false">IF($D$38&gt;0,D34/$D$38,0)</f>
        <v>0.241232310532536</v>
      </c>
      <c r="F34" s="21" t="n">
        <f aca="false">B34+D34</f>
        <v>13143.9381109306</v>
      </c>
      <c r="G34" s="22" t="n">
        <f aca="false">IF($F$38&gt;0,F34/$F$38,0)</f>
        <v>0.113154711308901</v>
      </c>
    </row>
    <row r="35" customFormat="false" ht="15" hidden="false" customHeight="true" outlineLevel="0" collapsed="false">
      <c r="A35" s="13" t="s">
        <v>106</v>
      </c>
      <c r="B35" s="21" t="n">
        <f aca="false">Ballinacurra!B35+Caherdavin!B35+'Castletroy-Annacotty'!B35+'City Centre'!B35+'Corbally-Grove Island'!B35+Dooradoyle!B35+'Kings Island'!B35+'Singland-Garryowen'!B35+Southhill!B35+Abbeyfeale!B35+Caherconlish!B35+Castleconnell!B35+Kilmallock!B35+'Newcastle West'!B35+Rathkeale!B35+Adare!B35+Askeaton!B35+Bruff!B35+Cappamore!B35+Croom!B35+Hospital!B35+Kilfinnane!B35+Moroe!B35+Patrickswell!B35+'Rest of county'!B35</f>
        <v>13008.0865112473</v>
      </c>
      <c r="C35" s="22" t="n">
        <f aca="false">IF($B$38&gt;0,B35/$B$38,0)</f>
        <v>0.170497234566451</v>
      </c>
      <c r="D35" s="21" t="n">
        <f aca="false">D28</f>
        <v>12368.8704102618</v>
      </c>
      <c r="E35" s="22" t="n">
        <f aca="false">IF($D$38&gt;0,D35/$D$38,0)</f>
        <v>0.310276701040081</v>
      </c>
      <c r="F35" s="21" t="n">
        <f aca="false">B35+D35</f>
        <v>25376.9569215091</v>
      </c>
      <c r="G35" s="22" t="n">
        <f aca="false">IF($F$38&gt;0,F35/$F$38,0)</f>
        <v>0.218467418981819</v>
      </c>
    </row>
    <row r="36" customFormat="false" ht="15" hidden="false" customHeight="true" outlineLevel="0" collapsed="false">
      <c r="A36" s="13" t="s">
        <v>107</v>
      </c>
      <c r="B36" s="21" t="n">
        <f aca="false">Ballinacurra!B36+Caherdavin!B36+'Castletroy-Annacotty'!B36+'City Centre'!B36+'Corbally-Grove Island'!B36+Dooradoyle!B36+'Kings Island'!B36+'Singland-Garryowen'!B36+Southhill!B36+Abbeyfeale!B36+Caherconlish!B36+Castleconnell!B36+Kilmallock!B36+'Newcastle West'!B36+Rathkeale!B36+Adare!B36+Askeaton!B36+Bruff!B36+Cappamore!B36+Croom!B36+Hospital!B36+Kilfinnane!B36+Moroe!B36+Patrickswell!B36+'Rest of county'!B36</f>
        <v>30982.9791904681</v>
      </c>
      <c r="C36" s="22" t="n">
        <f aca="false">IF($B$38&gt;0,B36/$B$38,0)</f>
        <v>0.40609449099506</v>
      </c>
      <c r="D36" s="21" t="n">
        <f aca="false">E28</f>
        <v>7454.39046221882</v>
      </c>
      <c r="E36" s="22" t="n">
        <f aca="false">IF($D$38&gt;0,D36/$D$38,0)</f>
        <v>0.186995546413275</v>
      </c>
      <c r="F36" s="21" t="n">
        <f aca="false">B36+D36</f>
        <v>38437.3696526869</v>
      </c>
      <c r="G36" s="22" t="n">
        <f aca="false">IF($F$38&gt;0,F36/$F$38,0)</f>
        <v>0.330903069522696</v>
      </c>
    </row>
    <row r="37" customFormat="false" ht="15" hidden="false" customHeight="true" outlineLevel="0" collapsed="false">
      <c r="A37" s="13" t="s">
        <v>108</v>
      </c>
      <c r="B37" s="21" t="n">
        <f aca="false">Ballinacurra!B37+Caherdavin!B37+'Castletroy-Annacotty'!B37+'City Centre'!B37+'Corbally-Grove Island'!B37+Dooradoyle!B37+'Kings Island'!B37+'Singland-Garryowen'!B37+Southhill!B37+Abbeyfeale!B37+Caherconlish!B37+Castleconnell!B37+Kilmallock!B37+'Newcastle West'!B37+Rathkeale!B37+Adare!B37+Askeaton!B37+Bruff!B37+Cappamore!B37+Croom!B37+Hospital!B37+Kilfinnane!B37+Moroe!B37+Patrickswell!B37+'Rest of county'!B37</f>
        <v>28776.481014423</v>
      </c>
      <c r="C37" s="22" t="n">
        <f aca="false">IF($B$38&gt;0,B37/$B$38,0)</f>
        <v>0.377173877900557</v>
      </c>
      <c r="D37" s="21" t="n">
        <f aca="false">F28</f>
        <v>10424.2543004504</v>
      </c>
      <c r="E37" s="22" t="n">
        <f aca="false">IF($D$38&gt;0,D37/$D$38,0)</f>
        <v>0.261495442014108</v>
      </c>
      <c r="F37" s="21" t="n">
        <f aca="false">B37+D37</f>
        <v>39200.7353148734</v>
      </c>
      <c r="G37" s="22" t="n">
        <f aca="false">IF($F$38&gt;0,F37/$F$38,0)</f>
        <v>0.337474800186584</v>
      </c>
    </row>
    <row r="38" customFormat="false" ht="15" hidden="false" customHeight="true" outlineLevel="0" collapsed="false">
      <c r="A38" s="24" t="s">
        <v>61</v>
      </c>
      <c r="B38" s="25" t="n">
        <f aca="false">SUM(B34:B37)</f>
        <v>76295</v>
      </c>
      <c r="C38" s="27" t="n">
        <f aca="false">SUM(C34:C37)</f>
        <v>1</v>
      </c>
      <c r="D38" s="25" t="n">
        <f aca="false">SUM(D34:D37)</f>
        <v>39864</v>
      </c>
      <c r="E38" s="27" t="n">
        <f aca="false">SUM(E34:E37)</f>
        <v>1</v>
      </c>
      <c r="F38" s="25" t="n">
        <f aca="false">SUM(F34:F37)</f>
        <v>116159</v>
      </c>
      <c r="G38" s="27" t="n">
        <f aca="false">SUM(G34:G37)</f>
        <v>1</v>
      </c>
    </row>
    <row r="39" customFormat="false" ht="15" hidden="false" customHeight="true" outlineLevel="0" collapsed="false">
      <c r="A39" s="3" t="s">
        <v>126</v>
      </c>
    </row>
    <row r="40" customFormat="false" ht="15" hidden="false" customHeight="true" outlineLevel="0" collapsed="false">
      <c r="A40" s="3" t="s">
        <v>127</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794D"/>
    <pageSetUpPr fitToPage="false"/>
  </sheetPr>
  <dimension ref="A1:U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6" topLeftCell="E7" activePane="bottomRight" state="frozen"/>
      <selection pane="topLeft" activeCell="A1" activeCellId="0" sqref="A1"/>
      <selection pane="topRight" activeCell="E1" activeCellId="0" sqref="E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7"/>
    <col collapsed="false" customWidth="true" hidden="false" outlineLevel="0" max="3" min="3" style="1" width="13"/>
    <col collapsed="false" customWidth="true" hidden="false" outlineLevel="0" max="4" min="4" style="1" width="46"/>
    <col collapsed="false" customWidth="true" hidden="false" outlineLevel="0" max="19" min="5" style="1" width="9.51"/>
    <col collapsed="false" customWidth="true" hidden="false" outlineLevel="0" max="21" min="20" style="1" width="11"/>
  </cols>
  <sheetData>
    <row r="1" customFormat="false" ht="19.5" hidden="false" customHeight="true" outlineLevel="0" collapsed="false">
      <c r="A1" s="2" t="s">
        <v>129</v>
      </c>
    </row>
    <row r="2" customFormat="false" ht="15" hidden="false" customHeight="true" outlineLevel="0" collapsed="false">
      <c r="A2" s="3" t="str">
        <f aca="false">"New homes per year, 2026–"&amp;Model!$B$3&amp;", from the catchment tabs, divided by each place's existing net residential density. Set by the levers on the Intro tab."</f>
        <v>New homes per year, 2026–2040, from the catchment tabs, divided by each place's existing net residential density. Set by the levers on the Intro tab.</v>
      </c>
    </row>
    <row r="3" customFormat="false" ht="15" hidden="false" customHeight="true" outlineLevel="0" collapsed="false">
      <c r="A3" s="3" t="s">
        <v>130</v>
      </c>
    </row>
    <row r="5" customFormat="false" ht="15" hidden="false" customHeight="true" outlineLevel="0" collapsed="false">
      <c r="E5" s="12" t="s">
        <v>131</v>
      </c>
    </row>
    <row r="6" customFormat="false" ht="42" hidden="false" customHeight="true" outlineLevel="0" collapsed="false">
      <c r="A6" s="4" t="s">
        <v>132</v>
      </c>
      <c r="B6" s="5" t="s">
        <v>133</v>
      </c>
      <c r="C6" s="5" t="s">
        <v>134</v>
      </c>
      <c r="D6" s="5" t="s">
        <v>135</v>
      </c>
      <c r="E6" s="5" t="s">
        <v>136</v>
      </c>
      <c r="F6" s="5" t="s">
        <v>137</v>
      </c>
      <c r="G6" s="5" t="s">
        <v>138</v>
      </c>
      <c r="H6" s="5" t="s">
        <v>139</v>
      </c>
      <c r="I6" s="5" t="s">
        <v>140</v>
      </c>
      <c r="J6" s="5" t="s">
        <v>141</v>
      </c>
      <c r="K6" s="5" t="s">
        <v>142</v>
      </c>
      <c r="L6" s="5" t="s">
        <v>143</v>
      </c>
      <c r="M6" s="5" t="s">
        <v>144</v>
      </c>
      <c r="N6" s="5" t="s">
        <v>145</v>
      </c>
      <c r="O6" s="5" t="s">
        <v>146</v>
      </c>
      <c r="P6" s="5" t="s">
        <v>147</v>
      </c>
      <c r="Q6" s="5" t="s">
        <v>148</v>
      </c>
      <c r="R6" s="5" t="s">
        <v>149</v>
      </c>
      <c r="S6" s="5" t="s">
        <v>150</v>
      </c>
      <c r="T6" s="5" t="s">
        <v>151</v>
      </c>
      <c r="U6" s="5" t="s">
        <v>152</v>
      </c>
    </row>
    <row r="7" customFormat="false" ht="30" hidden="false" customHeight="true" outlineLevel="0" collapsed="false">
      <c r="A7" s="28" t="s">
        <v>153</v>
      </c>
      <c r="B7" s="28" t="s">
        <v>154</v>
      </c>
      <c r="C7" s="29" t="n">
        <v>31</v>
      </c>
      <c r="D7" s="30" t="s">
        <v>155</v>
      </c>
      <c r="E7" s="31" t="n">
        <f aca="false">Ballinacurra!B13</f>
        <v>129.24075909424</v>
      </c>
      <c r="F7" s="31" t="n">
        <f aca="false">Ballinacurra!B14</f>
        <v>129.24075909424</v>
      </c>
      <c r="G7" s="31" t="n">
        <f aca="false">Ballinacurra!B15</f>
        <v>129.24075909424</v>
      </c>
      <c r="H7" s="31" t="n">
        <f aca="false">Ballinacurra!B16</f>
        <v>129.24075909424</v>
      </c>
      <c r="I7" s="31" t="n">
        <f aca="false">Ballinacurra!B17</f>
        <v>129.24075909424</v>
      </c>
      <c r="J7" s="31" t="n">
        <f aca="false">Ballinacurra!B18</f>
        <v>65.7269448079552</v>
      </c>
      <c r="K7" s="31" t="n">
        <f aca="false">Ballinacurra!B19</f>
        <v>65.7269448079552</v>
      </c>
      <c r="L7" s="31" t="n">
        <f aca="false">Ballinacurra!B20</f>
        <v>65.7269448079552</v>
      </c>
      <c r="M7" s="31" t="n">
        <f aca="false">Ballinacurra!B21</f>
        <v>65.7269448079552</v>
      </c>
      <c r="N7" s="31" t="n">
        <f aca="false">Ballinacurra!B22</f>
        <v>63.5138142862851</v>
      </c>
      <c r="O7" s="31" t="n">
        <f aca="false">Ballinacurra!B23</f>
        <v>48.1128512039782</v>
      </c>
      <c r="P7" s="31" t="n">
        <f aca="false">Ballinacurra!B24</f>
        <v>47.7187320699822</v>
      </c>
      <c r="Q7" s="31" t="n">
        <f aca="false">Ballinacurra!B25</f>
        <v>47.1427117972188</v>
      </c>
      <c r="R7" s="31" t="n">
        <f aca="false">Ballinacurra!B26</f>
        <v>46.7182758067615</v>
      </c>
      <c r="S7" s="31" t="n">
        <f aca="false">Ballinacurra!B27</f>
        <v>46.2332061033817</v>
      </c>
      <c r="T7" s="32" t="n">
        <f aca="false">SUM(E7:S7)</f>
        <v>1208.55116597063</v>
      </c>
      <c r="U7" s="33" t="n">
        <f aca="false">IF(C7&gt;0,T7/C7,0)</f>
        <v>38.9855214829235</v>
      </c>
    </row>
    <row r="8" customFormat="false" ht="30" hidden="false" customHeight="true" outlineLevel="0" collapsed="false">
      <c r="A8" s="28" t="s">
        <v>156</v>
      </c>
      <c r="B8" s="28" t="s">
        <v>154</v>
      </c>
      <c r="C8" s="29" t="n">
        <v>25</v>
      </c>
      <c r="D8" s="30" t="s">
        <v>157</v>
      </c>
      <c r="E8" s="31" t="n">
        <f aca="false">Caherdavin!B13</f>
        <v>525.281097143218</v>
      </c>
      <c r="F8" s="31" t="n">
        <f aca="false">Caherdavin!B14</f>
        <v>525.281097143218</v>
      </c>
      <c r="G8" s="31" t="n">
        <f aca="false">Caherdavin!B15</f>
        <v>525.281097143218</v>
      </c>
      <c r="H8" s="31" t="n">
        <f aca="false">Caherdavin!B16</f>
        <v>525.281097143218</v>
      </c>
      <c r="I8" s="31" t="n">
        <f aca="false">Caherdavin!B17</f>
        <v>525.281097143218</v>
      </c>
      <c r="J8" s="31" t="n">
        <f aca="false">Caherdavin!B18</f>
        <v>267.138029229767</v>
      </c>
      <c r="K8" s="31" t="n">
        <f aca="false">Caherdavin!B19</f>
        <v>267.138029229767</v>
      </c>
      <c r="L8" s="31" t="n">
        <f aca="false">Caherdavin!B20</f>
        <v>267.138029229767</v>
      </c>
      <c r="M8" s="31" t="n">
        <f aca="false">Caherdavin!B21</f>
        <v>267.138029229767</v>
      </c>
      <c r="N8" s="31" t="n">
        <f aca="false">Caherdavin!B22</f>
        <v>258.143067913451</v>
      </c>
      <c r="O8" s="31" t="n">
        <f aca="false">Caherdavin!B23</f>
        <v>195.547994643745</v>
      </c>
      <c r="P8" s="31" t="n">
        <f aca="false">Caherdavin!B24</f>
        <v>193.946152217552</v>
      </c>
      <c r="Q8" s="31" t="n">
        <f aca="false">Caherdavin!B25</f>
        <v>191.604997902347</v>
      </c>
      <c r="R8" s="31" t="n">
        <f aca="false">Caherdavin!B26</f>
        <v>189.879936827985</v>
      </c>
      <c r="S8" s="31" t="n">
        <f aca="false">Caherdavin!B27</f>
        <v>187.908438457285</v>
      </c>
      <c r="T8" s="32" t="n">
        <f aca="false">SUM(E8:S8)</f>
        <v>4911.98819059752</v>
      </c>
      <c r="U8" s="33" t="n">
        <f aca="false">IF(C8&gt;0,T8/C8,0)</f>
        <v>196.479527623901</v>
      </c>
    </row>
    <row r="9" customFormat="false" ht="30" hidden="false" customHeight="true" outlineLevel="0" collapsed="false">
      <c r="A9" s="28" t="s">
        <v>158</v>
      </c>
      <c r="B9" s="28" t="s">
        <v>154</v>
      </c>
      <c r="C9" s="29" t="n">
        <v>24.4</v>
      </c>
      <c r="D9" s="30" t="s">
        <v>159</v>
      </c>
      <c r="E9" s="31" t="n">
        <f aca="false">'Castletroy-Annacotty'!B13</f>
        <v>623.203321395108</v>
      </c>
      <c r="F9" s="31" t="n">
        <f aca="false">'Castletroy-Annacotty'!B14</f>
        <v>623.203321395108</v>
      </c>
      <c r="G9" s="31" t="n">
        <f aca="false">'Castletroy-Annacotty'!B15</f>
        <v>623.203321395108</v>
      </c>
      <c r="H9" s="31" t="n">
        <f aca="false">'Castletroy-Annacotty'!B16</f>
        <v>623.203321395108</v>
      </c>
      <c r="I9" s="31" t="n">
        <f aca="false">'Castletroy-Annacotty'!B17</f>
        <v>623.203321395108</v>
      </c>
      <c r="J9" s="31" t="n">
        <f aca="false">'Castletroy-Annacotty'!B18</f>
        <v>316.937555895987</v>
      </c>
      <c r="K9" s="31" t="n">
        <f aca="false">'Castletroy-Annacotty'!B19</f>
        <v>316.937555895987</v>
      </c>
      <c r="L9" s="31" t="n">
        <f aca="false">'Castletroy-Annacotty'!B20</f>
        <v>316.937555895987</v>
      </c>
      <c r="M9" s="31" t="n">
        <f aca="false">'Castletroy-Annacotty'!B21</f>
        <v>316.937555895987</v>
      </c>
      <c r="N9" s="31" t="n">
        <f aca="false">'Castletroy-Annacotty'!B22</f>
        <v>306.26576549912</v>
      </c>
      <c r="O9" s="31" t="n">
        <f aca="false">'Castletroy-Annacotty'!B23</f>
        <v>232.001799449692</v>
      </c>
      <c r="P9" s="31" t="n">
        <f aca="false">'Castletroy-Annacotty'!B24</f>
        <v>230.101343625592</v>
      </c>
      <c r="Q9" s="31" t="n">
        <f aca="false">'Castletroy-Annacotty'!B25</f>
        <v>227.323754344216</v>
      </c>
      <c r="R9" s="31" t="n">
        <f aca="false">'Castletroy-Annacotty'!B26</f>
        <v>225.27710961057</v>
      </c>
      <c r="S9" s="31" t="n">
        <f aca="false">'Castletroy-Annacotty'!B27</f>
        <v>222.938087057832</v>
      </c>
      <c r="T9" s="32" t="n">
        <f aca="false">SUM(E9:S9)</f>
        <v>5827.67469014651</v>
      </c>
      <c r="U9" s="33" t="n">
        <f aca="false">IF(C9&gt;0,T9/C9,0)</f>
        <v>238.839126645349</v>
      </c>
    </row>
    <row r="10" customFormat="false" ht="30" hidden="false" customHeight="true" outlineLevel="0" collapsed="false">
      <c r="A10" s="28" t="s">
        <v>160</v>
      </c>
      <c r="B10" s="28" t="s">
        <v>154</v>
      </c>
      <c r="C10" s="29" t="n">
        <v>35.4</v>
      </c>
      <c r="D10" s="30" t="s">
        <v>161</v>
      </c>
      <c r="E10" s="31" t="n">
        <f aca="false">'City Centre'!B13</f>
        <v>541.35478752072</v>
      </c>
      <c r="F10" s="31" t="n">
        <f aca="false">'City Centre'!B14</f>
        <v>541.35478752072</v>
      </c>
      <c r="G10" s="31" t="n">
        <f aca="false">'City Centre'!B15</f>
        <v>541.35478752072</v>
      </c>
      <c r="H10" s="31" t="n">
        <f aca="false">'City Centre'!B16</f>
        <v>541.35478752072</v>
      </c>
      <c r="I10" s="31" t="n">
        <f aca="false">'City Centre'!B17</f>
        <v>541.35478752072</v>
      </c>
      <c r="J10" s="31" t="n">
        <f aca="false">'City Centre'!B18</f>
        <v>275.312498087009</v>
      </c>
      <c r="K10" s="31" t="n">
        <f aca="false">'City Centre'!B19</f>
        <v>275.312498087009</v>
      </c>
      <c r="L10" s="31" t="n">
        <f aca="false">'City Centre'!B20</f>
        <v>275.312498087009</v>
      </c>
      <c r="M10" s="31" t="n">
        <f aca="false">'City Centre'!B21</f>
        <v>275.312498087009</v>
      </c>
      <c r="N10" s="31" t="n">
        <f aca="false">'City Centre'!B22</f>
        <v>266.042289433711</v>
      </c>
      <c r="O10" s="31" t="n">
        <f aca="false">'City Centre'!B23</f>
        <v>201.531796339522</v>
      </c>
      <c r="P10" s="31" t="n">
        <f aca="false">'City Centre'!B24</f>
        <v>199.880937264277</v>
      </c>
      <c r="Q10" s="31" t="n">
        <f aca="false">'City Centre'!B25</f>
        <v>197.468143231227</v>
      </c>
      <c r="R10" s="31" t="n">
        <f aca="false">'City Centre'!B26</f>
        <v>195.690294996348</v>
      </c>
      <c r="S10" s="31" t="n">
        <f aca="false">'City Centre'!B27</f>
        <v>193.6584684422</v>
      </c>
      <c r="T10" s="32" t="n">
        <f aca="false">SUM(E10:S10)</f>
        <v>5062.29585965892</v>
      </c>
      <c r="U10" s="33" t="n">
        <f aca="false">IF(C10&gt;0,T10/C10,0)</f>
        <v>143.00270789997</v>
      </c>
    </row>
    <row r="11" customFormat="false" ht="30" hidden="false" customHeight="true" outlineLevel="0" collapsed="false">
      <c r="A11" s="28" t="s">
        <v>162</v>
      </c>
      <c r="B11" s="28" t="s">
        <v>154</v>
      </c>
      <c r="C11" s="29" t="n">
        <v>24.1</v>
      </c>
      <c r="D11" s="30" t="s">
        <v>163</v>
      </c>
      <c r="E11" s="31" t="n">
        <f aca="false">'Corbally-Grove Island'!B13</f>
        <v>136.937185426009</v>
      </c>
      <c r="F11" s="31" t="n">
        <f aca="false">'Corbally-Grove Island'!B14</f>
        <v>136.937185426009</v>
      </c>
      <c r="G11" s="31" t="n">
        <f aca="false">'Corbally-Grove Island'!B15</f>
        <v>136.937185426009</v>
      </c>
      <c r="H11" s="31" t="n">
        <f aca="false">'Corbally-Grove Island'!B16</f>
        <v>136.937185426009</v>
      </c>
      <c r="I11" s="31" t="n">
        <f aca="false">'Corbally-Grove Island'!B17</f>
        <v>136.937185426009</v>
      </c>
      <c r="J11" s="31" t="n">
        <f aca="false">'Corbally-Grove Island'!B18</f>
        <v>69.64105512634</v>
      </c>
      <c r="K11" s="31" t="n">
        <f aca="false">'Corbally-Grove Island'!B19</f>
        <v>69.64105512634</v>
      </c>
      <c r="L11" s="31" t="n">
        <f aca="false">'Corbally-Grove Island'!B20</f>
        <v>69.64105512634</v>
      </c>
      <c r="M11" s="31" t="n">
        <f aca="false">'Corbally-Grove Island'!B21</f>
        <v>69.64105512634</v>
      </c>
      <c r="N11" s="31" t="n">
        <f aca="false">'Corbally-Grove Island'!B22</f>
        <v>67.296130299669</v>
      </c>
      <c r="O11" s="31" t="n">
        <f aca="false">'Corbally-Grove Island'!B23</f>
        <v>50.9780232866705</v>
      </c>
      <c r="P11" s="31" t="n">
        <f aca="false">'Corbally-Grove Island'!B24</f>
        <v>50.5604339339756</v>
      </c>
      <c r="Q11" s="31" t="n">
        <f aca="false">'Corbally-Grove Island'!B25</f>
        <v>49.9501110338832</v>
      </c>
      <c r="R11" s="31" t="n">
        <f aca="false">'Corbally-Grove Island'!B26</f>
        <v>49.5003994232887</v>
      </c>
      <c r="S11" s="31" t="n">
        <f aca="false">'Corbally-Grove Island'!B27</f>
        <v>48.9864432968951</v>
      </c>
      <c r="T11" s="32" t="n">
        <f aca="false">SUM(E11:S11)</f>
        <v>1280.52168890979</v>
      </c>
      <c r="U11" s="33" t="n">
        <f aca="false">IF(C11&gt;0,T11/C11,0)</f>
        <v>53.1336800377505</v>
      </c>
    </row>
    <row r="12" customFormat="false" ht="30" hidden="false" customHeight="true" outlineLevel="0" collapsed="false">
      <c r="A12" s="28" t="s">
        <v>164</v>
      </c>
      <c r="B12" s="28" t="s">
        <v>154</v>
      </c>
      <c r="C12" s="29" t="n">
        <v>22.5</v>
      </c>
      <c r="D12" s="30" t="s">
        <v>165</v>
      </c>
      <c r="E12" s="31" t="n">
        <f aca="false">Dooradoyle!B13</f>
        <v>583.892343823612</v>
      </c>
      <c r="F12" s="31" t="n">
        <f aca="false">Dooradoyle!B14</f>
        <v>583.892343823612</v>
      </c>
      <c r="G12" s="31" t="n">
        <f aca="false">Dooradoyle!B15</f>
        <v>583.892343823612</v>
      </c>
      <c r="H12" s="31" t="n">
        <f aca="false">Dooradoyle!B16</f>
        <v>583.892343823612</v>
      </c>
      <c r="I12" s="31" t="n">
        <f aca="false">Dooradoyle!B17</f>
        <v>583.892343823612</v>
      </c>
      <c r="J12" s="31" t="n">
        <f aca="false">Dooradoyle!B18</f>
        <v>296.945484731314</v>
      </c>
      <c r="K12" s="31" t="n">
        <f aca="false">Dooradoyle!B19</f>
        <v>296.945484731314</v>
      </c>
      <c r="L12" s="31" t="n">
        <f aca="false">Dooradoyle!B20</f>
        <v>296.945484731314</v>
      </c>
      <c r="M12" s="31" t="n">
        <f aca="false">Dooradoyle!B21</f>
        <v>296.945484731314</v>
      </c>
      <c r="N12" s="31" t="n">
        <f aca="false">Dooradoyle!B22</f>
        <v>286.946859092298</v>
      </c>
      <c r="O12" s="31" t="n">
        <f aca="false">Dooradoyle!B23</f>
        <v>217.36738204271</v>
      </c>
      <c r="P12" s="31" t="n">
        <f aca="false">Dooradoyle!B24</f>
        <v>215.586804874118</v>
      </c>
      <c r="Q12" s="31" t="n">
        <f aca="false">Dooradoyle!B25</f>
        <v>212.984422858484</v>
      </c>
      <c r="R12" s="31" t="n">
        <f aca="false">Dooradoyle!B26</f>
        <v>211.066878215385</v>
      </c>
      <c r="S12" s="31" t="n">
        <f aca="false">Dooradoyle!B27</f>
        <v>208.875398623272</v>
      </c>
      <c r="T12" s="32" t="n">
        <f aca="false">SUM(E12:S12)</f>
        <v>5460.07140374958</v>
      </c>
      <c r="U12" s="33" t="n">
        <f aca="false">IF(C12&gt;0,T12/C12,0)</f>
        <v>242.669840166648</v>
      </c>
    </row>
    <row r="13" customFormat="false" ht="30" hidden="false" customHeight="true" outlineLevel="0" collapsed="false">
      <c r="A13" s="28" t="s">
        <v>166</v>
      </c>
      <c r="B13" s="28" t="s">
        <v>154</v>
      </c>
      <c r="C13" s="29" t="n">
        <v>46.1</v>
      </c>
      <c r="D13" s="30" t="s">
        <v>167</v>
      </c>
      <c r="E13" s="31" t="n">
        <f aca="false">'Kings Island'!B13</f>
        <v>67.7285517195652</v>
      </c>
      <c r="F13" s="31" t="n">
        <f aca="false">'Kings Island'!B14</f>
        <v>67.7285517195652</v>
      </c>
      <c r="G13" s="31" t="n">
        <f aca="false">'Kings Island'!B15</f>
        <v>67.7285517195652</v>
      </c>
      <c r="H13" s="31" t="n">
        <f aca="false">'Kings Island'!B16</f>
        <v>67.7285517195652</v>
      </c>
      <c r="I13" s="31" t="n">
        <f aca="false">'Kings Island'!B17</f>
        <v>67.7285517195652</v>
      </c>
      <c r="J13" s="31" t="n">
        <f aca="false">'Kings Island'!B18</f>
        <v>34.4441708017868</v>
      </c>
      <c r="K13" s="31" t="n">
        <f aca="false">'Kings Island'!B19</f>
        <v>34.4441708017868</v>
      </c>
      <c r="L13" s="31" t="n">
        <f aca="false">'Kings Island'!B20</f>
        <v>34.4441708017868</v>
      </c>
      <c r="M13" s="31" t="n">
        <f aca="false">'Kings Island'!B21</f>
        <v>34.4441708017868</v>
      </c>
      <c r="N13" s="31" t="n">
        <f aca="false">'Kings Island'!B22</f>
        <v>33.2843809177783</v>
      </c>
      <c r="O13" s="31" t="n">
        <f aca="false">'Kings Island'!B23</f>
        <v>25.2135143276918</v>
      </c>
      <c r="P13" s="31" t="n">
        <f aca="false">'Kings Island'!B24</f>
        <v>25.0069764031423</v>
      </c>
      <c r="Q13" s="31" t="n">
        <f aca="false">'Kings Island'!B25</f>
        <v>24.7051132826469</v>
      </c>
      <c r="R13" s="31" t="n">
        <f aca="false">'Kings Island'!B26</f>
        <v>24.4826878254398</v>
      </c>
      <c r="S13" s="31" t="n">
        <f aca="false">'Kings Island'!B27</f>
        <v>24.2284873029174</v>
      </c>
      <c r="T13" s="32" t="n">
        <f aca="false">SUM(E13:S13)</f>
        <v>633.34060186459</v>
      </c>
      <c r="U13" s="33" t="n">
        <f aca="false">IF(C13&gt;0,T13/C13,0)</f>
        <v>13.7384078495573</v>
      </c>
    </row>
    <row r="14" customFormat="false" ht="30" hidden="false" customHeight="true" outlineLevel="0" collapsed="false">
      <c r="A14" s="28" t="s">
        <v>168</v>
      </c>
      <c r="B14" s="28" t="s">
        <v>154</v>
      </c>
      <c r="C14" s="29" t="n">
        <v>35.3</v>
      </c>
      <c r="D14" s="30" t="s">
        <v>169</v>
      </c>
      <c r="E14" s="31" t="n">
        <f aca="false">'Singland-Garryowen'!B13</f>
        <v>336.570643816196</v>
      </c>
      <c r="F14" s="31" t="n">
        <f aca="false">'Singland-Garryowen'!B14</f>
        <v>336.570643816196</v>
      </c>
      <c r="G14" s="31" t="n">
        <f aca="false">'Singland-Garryowen'!B15</f>
        <v>336.570643816196</v>
      </c>
      <c r="H14" s="31" t="n">
        <f aca="false">'Singland-Garryowen'!B16</f>
        <v>336.570643816196</v>
      </c>
      <c r="I14" s="31" t="n">
        <f aca="false">'Singland-Garryowen'!B17</f>
        <v>336.570643816196</v>
      </c>
      <c r="J14" s="31" t="n">
        <f aca="false">'Singland-Garryowen'!B18</f>
        <v>171.167055077062</v>
      </c>
      <c r="K14" s="31" t="n">
        <f aca="false">'Singland-Garryowen'!B19</f>
        <v>171.167055077062</v>
      </c>
      <c r="L14" s="31" t="n">
        <f aca="false">'Singland-Garryowen'!B20</f>
        <v>171.167055077062</v>
      </c>
      <c r="M14" s="31" t="n">
        <f aca="false">'Singland-Garryowen'!B21</f>
        <v>171.167055077062</v>
      </c>
      <c r="N14" s="31" t="n">
        <f aca="false">'Singland-Garryowen'!B22</f>
        <v>165.403588739135</v>
      </c>
      <c r="O14" s="31" t="n">
        <f aca="false">'Singland-Garryowen'!B23</f>
        <v>125.296179154657</v>
      </c>
      <c r="P14" s="31" t="n">
        <f aca="false">'Singland-Garryowen'!B24</f>
        <v>124.269808436944</v>
      </c>
      <c r="Q14" s="31" t="n">
        <f aca="false">'Singland-Garryowen'!B25</f>
        <v>122.76972815721</v>
      </c>
      <c r="R14" s="31" t="n">
        <f aca="false">'Singland-Garryowen'!B26</f>
        <v>121.664405845827</v>
      </c>
      <c r="S14" s="31" t="n">
        <f aca="false">'Singland-Garryowen'!B27</f>
        <v>120.401180347103</v>
      </c>
      <c r="T14" s="32" t="n">
        <f aca="false">SUM(E14:S14)</f>
        <v>3147.3263300701</v>
      </c>
      <c r="U14" s="33" t="n">
        <f aca="false">IF(C14&gt;0,T14/C14,0)</f>
        <v>89.1593861209661</v>
      </c>
    </row>
    <row r="15" customFormat="false" ht="30" hidden="false" customHeight="true" outlineLevel="0" collapsed="false">
      <c r="A15" s="28" t="s">
        <v>170</v>
      </c>
      <c r="B15" s="28" t="s">
        <v>154</v>
      </c>
      <c r="C15" s="29" t="n">
        <v>24.4</v>
      </c>
      <c r="D15" s="30" t="s">
        <v>171</v>
      </c>
      <c r="E15" s="31" t="n">
        <f aca="false">Southhill!B13</f>
        <v>184.536622124025</v>
      </c>
      <c r="F15" s="31" t="n">
        <f aca="false">Southhill!B14</f>
        <v>184.536622124025</v>
      </c>
      <c r="G15" s="31" t="n">
        <f aca="false">Southhill!B15</f>
        <v>184.536622124025</v>
      </c>
      <c r="H15" s="31" t="n">
        <f aca="false">Southhill!B16</f>
        <v>184.536622124025</v>
      </c>
      <c r="I15" s="31" t="n">
        <f aca="false">Southhill!B17</f>
        <v>184.536622124025</v>
      </c>
      <c r="J15" s="31" t="n">
        <f aca="false">Southhill!B18</f>
        <v>93.8483220185048</v>
      </c>
      <c r="K15" s="31" t="n">
        <f aca="false">Southhill!B19</f>
        <v>93.8483220185048</v>
      </c>
      <c r="L15" s="31" t="n">
        <f aca="false">Southhill!B20</f>
        <v>93.8483220185048</v>
      </c>
      <c r="M15" s="31" t="n">
        <f aca="false">Southhill!B21</f>
        <v>93.8483220185048</v>
      </c>
      <c r="N15" s="31" t="n">
        <f aca="false">Southhill!B22</f>
        <v>90.6883001055201</v>
      </c>
      <c r="O15" s="31" t="n">
        <f aca="false">Southhill!B23</f>
        <v>68.6980106288594</v>
      </c>
      <c r="P15" s="31" t="n">
        <f aca="false">Southhill!B24</f>
        <v>68.1352670005197</v>
      </c>
      <c r="Q15" s="31" t="n">
        <f aca="false">Southhill!B25</f>
        <v>67.3127955437154</v>
      </c>
      <c r="R15" s="31" t="n">
        <f aca="false">Southhill!B26</f>
        <v>66.7067639439649</v>
      </c>
      <c r="S15" s="31" t="n">
        <f aca="false">Southhill!B27</f>
        <v>66.0141564013929</v>
      </c>
      <c r="T15" s="32" t="n">
        <f aca="false">SUM(E15:S15)</f>
        <v>1725.63169231812</v>
      </c>
      <c r="U15" s="33" t="n">
        <f aca="false">IF(C15&gt;0,T15/C15,0)</f>
        <v>70.7226103409064</v>
      </c>
    </row>
    <row r="16" customFormat="false" ht="30" hidden="false" customHeight="true" outlineLevel="0" collapsed="false">
      <c r="A16" s="28" t="s">
        <v>172</v>
      </c>
      <c r="B16" s="28" t="s">
        <v>173</v>
      </c>
      <c r="C16" s="29" t="n">
        <v>18.1</v>
      </c>
      <c r="D16" s="30" t="s">
        <v>174</v>
      </c>
      <c r="E16" s="31" t="n">
        <f aca="false">Abbeyfeale!B13</f>
        <v>57.667226420375</v>
      </c>
      <c r="F16" s="31" t="n">
        <f aca="false">Abbeyfeale!B14</f>
        <v>57.667226420375</v>
      </c>
      <c r="G16" s="31" t="n">
        <f aca="false">Abbeyfeale!B15</f>
        <v>57.667226420375</v>
      </c>
      <c r="H16" s="31" t="n">
        <f aca="false">Abbeyfeale!B16</f>
        <v>57.667226420375</v>
      </c>
      <c r="I16" s="31" t="n">
        <f aca="false">Abbeyfeale!B17</f>
        <v>57.667226420375</v>
      </c>
      <c r="J16" s="31" t="n">
        <f aca="false">Abbeyfeale!B18</f>
        <v>29.3273626271107</v>
      </c>
      <c r="K16" s="31" t="n">
        <f aca="false">Abbeyfeale!B19</f>
        <v>29.3273626271107</v>
      </c>
      <c r="L16" s="31" t="n">
        <f aca="false">Abbeyfeale!B20</f>
        <v>29.3273626271107</v>
      </c>
      <c r="M16" s="31" t="n">
        <f aca="false">Abbeyfeale!B21</f>
        <v>29.3273626271107</v>
      </c>
      <c r="N16" s="31" t="n">
        <f aca="false">Abbeyfeale!B22</f>
        <v>28.3398637932643</v>
      </c>
      <c r="O16" s="31" t="n">
        <f aca="false">Abbeyfeale!B23</f>
        <v>21.4679541001959</v>
      </c>
      <c r="P16" s="31" t="n">
        <f aca="false">Abbeyfeale!B24</f>
        <v>21.2920981434835</v>
      </c>
      <c r="Q16" s="31" t="n">
        <f aca="false">Abbeyfeale!B25</f>
        <v>21.0350778990577</v>
      </c>
      <c r="R16" s="31" t="n">
        <f aca="false">Abbeyfeale!B26</f>
        <v>20.8456945610598</v>
      </c>
      <c r="S16" s="31" t="n">
        <f aca="false">Abbeyfeale!B27</f>
        <v>20.6292564604907</v>
      </c>
      <c r="T16" s="32" t="n">
        <f aca="false">SUM(E16:S16)</f>
        <v>539.25552756787</v>
      </c>
      <c r="U16" s="33" t="n">
        <f aca="false">IF(C16&gt;0,T16/C16,0)</f>
        <v>29.7931230700481</v>
      </c>
    </row>
    <row r="17" customFormat="false" ht="30" hidden="false" customHeight="true" outlineLevel="0" collapsed="false">
      <c r="A17" s="28" t="s">
        <v>175</v>
      </c>
      <c r="B17" s="28" t="s">
        <v>173</v>
      </c>
      <c r="C17" s="29" t="n">
        <v>20.3</v>
      </c>
      <c r="D17" s="30" t="s">
        <v>176</v>
      </c>
      <c r="E17" s="31" t="n">
        <f aca="false">Caherconlish!B13</f>
        <v>34.2026308424293</v>
      </c>
      <c r="F17" s="31" t="n">
        <f aca="false">Caherconlish!B14</f>
        <v>34.2026308424293</v>
      </c>
      <c r="G17" s="31" t="n">
        <f aca="false">Caherconlish!B15</f>
        <v>34.2026308424293</v>
      </c>
      <c r="H17" s="31" t="n">
        <f aca="false">Caherconlish!B16</f>
        <v>34.2026308424293</v>
      </c>
      <c r="I17" s="31" t="n">
        <f aca="false">Caherconlish!B17</f>
        <v>34.2026308424293</v>
      </c>
      <c r="J17" s="31" t="n">
        <f aca="false">Caherconlish!B18</f>
        <v>17.394159902976</v>
      </c>
      <c r="K17" s="31" t="n">
        <f aca="false">Caherconlish!B19</f>
        <v>17.394159902976</v>
      </c>
      <c r="L17" s="31" t="n">
        <f aca="false">Caherconlish!B20</f>
        <v>17.394159902976</v>
      </c>
      <c r="M17" s="31" t="n">
        <f aca="false">Caherconlish!B21</f>
        <v>17.394159902976</v>
      </c>
      <c r="N17" s="31" t="n">
        <f aca="false">Caherconlish!B22</f>
        <v>16.8084709394533</v>
      </c>
      <c r="O17" s="31" t="n">
        <f aca="false">Caherconlish!B23</f>
        <v>12.7327176042541</v>
      </c>
      <c r="P17" s="31" t="n">
        <f aca="false">Caherconlish!B24</f>
        <v>12.6284168299282</v>
      </c>
      <c r="Q17" s="31" t="n">
        <f aca="false">Caherconlish!B25</f>
        <v>12.4759772366825</v>
      </c>
      <c r="R17" s="31" t="n">
        <f aca="false">Caherconlish!B26</f>
        <v>12.36365332587</v>
      </c>
      <c r="S17" s="31" t="n">
        <f aca="false">Caherconlish!B27</f>
        <v>12.2352831420842</v>
      </c>
      <c r="T17" s="32" t="n">
        <f aca="false">SUM(E17:S17)</f>
        <v>319.834312902323</v>
      </c>
      <c r="U17" s="33" t="n">
        <f aca="false">IF(C17&gt;0,T17/C17,0)</f>
        <v>15.7553848720356</v>
      </c>
    </row>
    <row r="18" customFormat="false" ht="30" hidden="false" customHeight="true" outlineLevel="0" collapsed="false">
      <c r="A18" s="28" t="s">
        <v>177</v>
      </c>
      <c r="B18" s="28" t="s">
        <v>173</v>
      </c>
      <c r="C18" s="29" t="n">
        <v>18.4</v>
      </c>
      <c r="D18" s="30" t="s">
        <v>178</v>
      </c>
      <c r="E18" s="31" t="n">
        <f aca="false">Castleconnell!B13</f>
        <v>56.0764063811923</v>
      </c>
      <c r="F18" s="31" t="n">
        <f aca="false">Castleconnell!B14</f>
        <v>56.0764063811923</v>
      </c>
      <c r="G18" s="31" t="n">
        <f aca="false">Castleconnell!B15</f>
        <v>56.0764063811923</v>
      </c>
      <c r="H18" s="31" t="n">
        <f aca="false">Castleconnell!B16</f>
        <v>56.0764063811923</v>
      </c>
      <c r="I18" s="31" t="n">
        <f aca="false">Castleconnell!B17</f>
        <v>56.0764063811923</v>
      </c>
      <c r="J18" s="31" t="n">
        <f aca="false">Castleconnell!B18</f>
        <v>28.5183319339491</v>
      </c>
      <c r="K18" s="31" t="n">
        <f aca="false">Castleconnell!B19</f>
        <v>28.5183319339491</v>
      </c>
      <c r="L18" s="31" t="n">
        <f aca="false">Castleconnell!B20</f>
        <v>28.5183319339491</v>
      </c>
      <c r="M18" s="31" t="n">
        <f aca="false">Castleconnell!B21</f>
        <v>28.5183319339491</v>
      </c>
      <c r="N18" s="31" t="n">
        <f aca="false">Castleconnell!B22</f>
        <v>27.5580744472432</v>
      </c>
      <c r="O18" s="31" t="n">
        <f aca="false">Castleconnell!B23</f>
        <v>20.8757346767422</v>
      </c>
      <c r="P18" s="31" t="n">
        <f aca="false">Castleconnell!B24</f>
        <v>20.7047299188357</v>
      </c>
      <c r="Q18" s="31" t="n">
        <f aca="false">Castleconnell!B25</f>
        <v>20.4547998880493</v>
      </c>
      <c r="R18" s="31" t="n">
        <f aca="false">Castleconnell!B26</f>
        <v>20.2706409179961</v>
      </c>
      <c r="S18" s="31" t="n">
        <f aca="false">Castleconnell!B27</f>
        <v>20.0601735236496</v>
      </c>
      <c r="T18" s="32" t="n">
        <f aca="false">SUM(E18:S18)</f>
        <v>524.379513014274</v>
      </c>
      <c r="U18" s="33" t="n">
        <f aca="false">IF(C18&gt;0,T18/C18,0)</f>
        <v>28.4988865768627</v>
      </c>
    </row>
    <row r="19" customFormat="false" ht="30" hidden="false" customHeight="true" outlineLevel="0" collapsed="false">
      <c r="A19" s="28" t="s">
        <v>179</v>
      </c>
      <c r="B19" s="28" t="s">
        <v>173</v>
      </c>
      <c r="C19" s="29" t="n">
        <v>17.2</v>
      </c>
      <c r="D19" s="30" t="s">
        <v>180</v>
      </c>
      <c r="E19" s="31" t="n">
        <f aca="false">Kilmallock!B13</f>
        <v>44.3441085922194</v>
      </c>
      <c r="F19" s="31" t="n">
        <f aca="false">Kilmallock!B14</f>
        <v>44.3441085922194</v>
      </c>
      <c r="G19" s="31" t="n">
        <f aca="false">Kilmallock!B15</f>
        <v>44.3441085922194</v>
      </c>
      <c r="H19" s="31" t="n">
        <f aca="false">Kilmallock!B16</f>
        <v>44.3441085922194</v>
      </c>
      <c r="I19" s="31" t="n">
        <f aca="false">Kilmallock!B17</f>
        <v>44.3441085922194</v>
      </c>
      <c r="J19" s="31" t="n">
        <f aca="false">Kilmallock!B18</f>
        <v>22.5517305718817</v>
      </c>
      <c r="K19" s="31" t="n">
        <f aca="false">Kilmallock!B19</f>
        <v>22.5517305718817</v>
      </c>
      <c r="L19" s="31" t="n">
        <f aca="false">Kilmallock!B20</f>
        <v>22.5517305718817</v>
      </c>
      <c r="M19" s="31" t="n">
        <f aca="false">Kilmallock!B21</f>
        <v>22.5517305718817</v>
      </c>
      <c r="N19" s="31" t="n">
        <f aca="false">Kilmallock!B22</f>
        <v>21.7923780203377</v>
      </c>
      <c r="O19" s="31" t="n">
        <f aca="false">Kilmallock!B23</f>
        <v>16.5081164287713</v>
      </c>
      <c r="P19" s="31" t="n">
        <f aca="false">Kilmallock!B24</f>
        <v>16.372889262058</v>
      </c>
      <c r="Q19" s="31" t="n">
        <f aca="false">Kilmallock!B25</f>
        <v>16.1752495568616</v>
      </c>
      <c r="R19" s="31" t="n">
        <f aca="false">Kilmallock!B26</f>
        <v>16.0296203004012</v>
      </c>
      <c r="S19" s="31" t="n">
        <f aca="false">Kilmallock!B27</f>
        <v>15.8631868644463</v>
      </c>
      <c r="T19" s="32" t="n">
        <f aca="false">SUM(E19:S19)</f>
        <v>414.6689056815</v>
      </c>
      <c r="U19" s="33" t="n">
        <f aca="false">IF(C19&gt;0,T19/C19,0)</f>
        <v>24.108657307064</v>
      </c>
    </row>
    <row r="20" customFormat="false" ht="30" hidden="false" customHeight="true" outlineLevel="0" collapsed="false">
      <c r="A20" s="28" t="s">
        <v>181</v>
      </c>
      <c r="B20" s="28" t="s">
        <v>173</v>
      </c>
      <c r="C20" s="29" t="n">
        <v>22.9</v>
      </c>
      <c r="D20" s="30" t="s">
        <v>182</v>
      </c>
      <c r="E20" s="31" t="n">
        <f aca="false">'Newcastle West'!B13</f>
        <v>193.085782255807</v>
      </c>
      <c r="F20" s="31" t="n">
        <f aca="false">'Newcastle West'!B14</f>
        <v>193.085782255807</v>
      </c>
      <c r="G20" s="31" t="n">
        <f aca="false">'Newcastle West'!B15</f>
        <v>193.085782255807</v>
      </c>
      <c r="H20" s="31" t="n">
        <f aca="false">'Newcastle West'!B16</f>
        <v>193.085782255807</v>
      </c>
      <c r="I20" s="31" t="n">
        <f aca="false">'Newcastle West'!B17</f>
        <v>193.085782255807</v>
      </c>
      <c r="J20" s="31" t="n">
        <f aca="false">'Newcastle West'!B18</f>
        <v>98.1961003824984</v>
      </c>
      <c r="K20" s="31" t="n">
        <f aca="false">'Newcastle West'!B19</f>
        <v>98.1961003824984</v>
      </c>
      <c r="L20" s="31" t="n">
        <f aca="false">'Newcastle West'!B20</f>
        <v>98.1961003824984</v>
      </c>
      <c r="M20" s="31" t="n">
        <f aca="false">'Newcastle West'!B21</f>
        <v>98.1961003824984</v>
      </c>
      <c r="N20" s="31" t="n">
        <f aca="false">'Newcastle West'!B22</f>
        <v>94.8896818733091</v>
      </c>
      <c r="O20" s="31" t="n">
        <f aca="false">'Newcastle West'!B23</f>
        <v>71.8806325216905</v>
      </c>
      <c r="P20" s="31" t="n">
        <f aca="false">'Newcastle West'!B24</f>
        <v>71.2918182666294</v>
      </c>
      <c r="Q20" s="31" t="n">
        <f aca="false">'Newcastle West'!B25</f>
        <v>70.4312435861554</v>
      </c>
      <c r="R20" s="31" t="n">
        <f aca="false">'Newcastle West'!B26</f>
        <v>69.7971359268589</v>
      </c>
      <c r="S20" s="31" t="n">
        <f aca="false">'Newcastle West'!B27</f>
        <v>69.0724414590913</v>
      </c>
      <c r="T20" s="32" t="n">
        <f aca="false">SUM(E20:S20)</f>
        <v>1805.57626644277</v>
      </c>
      <c r="U20" s="33" t="n">
        <f aca="false">IF(C20&gt;0,T20/C20,0)</f>
        <v>78.8461251721732</v>
      </c>
    </row>
    <row r="21" customFormat="false" ht="30" hidden="false" customHeight="true" outlineLevel="0" collapsed="false">
      <c r="A21" s="28" t="s">
        <v>183</v>
      </c>
      <c r="B21" s="28" t="s">
        <v>173</v>
      </c>
      <c r="C21" s="29" t="n">
        <v>16.5</v>
      </c>
      <c r="D21" s="30" t="s">
        <v>184</v>
      </c>
      <c r="E21" s="31" t="n">
        <f aca="false">Rathkeale!B13</f>
        <v>40.1682059893647</v>
      </c>
      <c r="F21" s="31" t="n">
        <f aca="false">Rathkeale!B14</f>
        <v>40.1682059893647</v>
      </c>
      <c r="G21" s="31" t="n">
        <f aca="false">Rathkeale!B15</f>
        <v>40.1682059893647</v>
      </c>
      <c r="H21" s="31" t="n">
        <f aca="false">Rathkeale!B16</f>
        <v>40.1682059893647</v>
      </c>
      <c r="I21" s="31" t="n">
        <f aca="false">Rathkeale!B17</f>
        <v>40.1682059893647</v>
      </c>
      <c r="J21" s="31" t="n">
        <f aca="false">Rathkeale!B18</f>
        <v>20.4280250023323</v>
      </c>
      <c r="K21" s="31" t="n">
        <f aca="false">Rathkeale!B19</f>
        <v>20.4280250023323</v>
      </c>
      <c r="L21" s="31" t="n">
        <f aca="false">Rathkeale!B20</f>
        <v>20.4280250023323</v>
      </c>
      <c r="M21" s="31" t="n">
        <f aca="false">Rathkeale!B21</f>
        <v>20.4280250023323</v>
      </c>
      <c r="N21" s="31" t="n">
        <f aca="false">Rathkeale!B22</f>
        <v>19.7401809870324</v>
      </c>
      <c r="O21" s="31" t="n">
        <f aca="false">Rathkeale!B23</f>
        <v>14.9535404422054</v>
      </c>
      <c r="P21" s="31" t="n">
        <f aca="false">Rathkeale!B24</f>
        <v>14.8310476723575</v>
      </c>
      <c r="Q21" s="31" t="n">
        <f aca="false">Rathkeale!B25</f>
        <v>14.6520197779644</v>
      </c>
      <c r="R21" s="31" t="n">
        <f aca="false">Rathkeale!B26</f>
        <v>14.5201044873589</v>
      </c>
      <c r="S21" s="31" t="n">
        <f aca="false">Rathkeale!B27</f>
        <v>14.3693441552384</v>
      </c>
      <c r="T21" s="32" t="n">
        <f aca="false">SUM(E21:S21)</f>
        <v>375.61936747831</v>
      </c>
      <c r="U21" s="33" t="n">
        <f aca="false">IF(C21&gt;0,T21/C21,0)</f>
        <v>22.7648101502006</v>
      </c>
    </row>
    <row r="22" customFormat="false" ht="30" hidden="false" customHeight="true" outlineLevel="0" collapsed="false">
      <c r="A22" s="28" t="s">
        <v>185</v>
      </c>
      <c r="B22" s="28" t="s">
        <v>186</v>
      </c>
      <c r="C22" s="29" t="n">
        <v>12.9</v>
      </c>
      <c r="D22" s="30" t="s">
        <v>187</v>
      </c>
      <c r="E22" s="31" t="n">
        <f aca="false">Adare!B13</f>
        <v>39.770500979569</v>
      </c>
      <c r="F22" s="31" t="n">
        <f aca="false">Adare!B14</f>
        <v>39.770500979569</v>
      </c>
      <c r="G22" s="31" t="n">
        <f aca="false">Adare!B15</f>
        <v>39.770500979569</v>
      </c>
      <c r="H22" s="31" t="n">
        <f aca="false">Adare!B16</f>
        <v>39.770500979569</v>
      </c>
      <c r="I22" s="31" t="n">
        <f aca="false">Adare!B17</f>
        <v>39.770500979569</v>
      </c>
      <c r="J22" s="31" t="n">
        <f aca="false">Adare!B18</f>
        <v>20.2257673290419</v>
      </c>
      <c r="K22" s="31" t="n">
        <f aca="false">Adare!B19</f>
        <v>20.2257673290419</v>
      </c>
      <c r="L22" s="31" t="n">
        <f aca="false">Adare!B20</f>
        <v>20.2257673290419</v>
      </c>
      <c r="M22" s="31" t="n">
        <f aca="false">Adare!B21</f>
        <v>20.2257673290419</v>
      </c>
      <c r="N22" s="31" t="n">
        <f aca="false">Adare!B22</f>
        <v>19.5447336505271</v>
      </c>
      <c r="O22" s="31" t="n">
        <f aca="false">Adare!B23</f>
        <v>14.805485586342</v>
      </c>
      <c r="P22" s="31" t="n">
        <f aca="false">Adare!B24</f>
        <v>14.6842056161955</v>
      </c>
      <c r="Q22" s="31" t="n">
        <f aca="false">Adare!B25</f>
        <v>14.5069502752122</v>
      </c>
      <c r="R22" s="31" t="n">
        <f aca="false">Adare!B26</f>
        <v>14.376341076593</v>
      </c>
      <c r="S22" s="31" t="n">
        <f aca="false">Adare!B27</f>
        <v>14.2270734210281</v>
      </c>
      <c r="T22" s="32" t="n">
        <f aca="false">SUM(E22:S22)</f>
        <v>371.90036383991</v>
      </c>
      <c r="U22" s="33" t="n">
        <f aca="false">IF(C22&gt;0,T22/C22,0)</f>
        <v>28.8294855689853</v>
      </c>
    </row>
    <row r="23" customFormat="false" ht="30" hidden="false" customHeight="true" outlineLevel="0" collapsed="false">
      <c r="A23" s="28" t="s">
        <v>188</v>
      </c>
      <c r="B23" s="28" t="s">
        <v>186</v>
      </c>
      <c r="C23" s="29" t="n">
        <v>17.6</v>
      </c>
      <c r="D23" s="30" t="s">
        <v>189</v>
      </c>
      <c r="E23" s="31" t="n">
        <f aca="false">Askeaton!B13</f>
        <v>32.4129582983487</v>
      </c>
      <c r="F23" s="31" t="n">
        <f aca="false">Askeaton!B14</f>
        <v>32.4129582983487</v>
      </c>
      <c r="G23" s="31" t="n">
        <f aca="false">Askeaton!B15</f>
        <v>32.4129582983487</v>
      </c>
      <c r="H23" s="31" t="n">
        <f aca="false">Askeaton!B16</f>
        <v>32.4129582983487</v>
      </c>
      <c r="I23" s="31" t="n">
        <f aca="false">Askeaton!B17</f>
        <v>32.4129582983487</v>
      </c>
      <c r="J23" s="31" t="n">
        <f aca="false">Askeaton!B18</f>
        <v>16.4840003731691</v>
      </c>
      <c r="K23" s="31" t="n">
        <f aca="false">Askeaton!B19</f>
        <v>16.4840003731691</v>
      </c>
      <c r="L23" s="31" t="n">
        <f aca="false">Askeaton!B20</f>
        <v>16.4840003731691</v>
      </c>
      <c r="M23" s="31" t="n">
        <f aca="false">Askeaton!B21</f>
        <v>16.4840003731691</v>
      </c>
      <c r="N23" s="31" t="n">
        <f aca="false">Askeaton!B22</f>
        <v>15.9289579251796</v>
      </c>
      <c r="O23" s="31" t="n">
        <f aca="false">Askeaton!B23</f>
        <v>12.0664707528687</v>
      </c>
      <c r="P23" s="31" t="n">
        <f aca="false">Askeaton!B24</f>
        <v>11.9676275771994</v>
      </c>
      <c r="Q23" s="31" t="n">
        <f aca="false">Askeaton!B25</f>
        <v>11.823164474298</v>
      </c>
      <c r="R23" s="31" t="n">
        <f aca="false">Askeaton!B26</f>
        <v>11.7167179774233</v>
      </c>
      <c r="S23" s="31" t="n">
        <f aca="false">Askeaton!B27</f>
        <v>11.5950648381379</v>
      </c>
      <c r="T23" s="32" t="n">
        <f aca="false">SUM(E23:S23)</f>
        <v>303.098796529527</v>
      </c>
      <c r="U23" s="33" t="n">
        <f aca="false">IF(C23&gt;0,T23/C23,0)</f>
        <v>17.2215225300868</v>
      </c>
    </row>
    <row r="24" customFormat="false" ht="30" hidden="false" customHeight="true" outlineLevel="0" collapsed="false">
      <c r="A24" s="28" t="s">
        <v>190</v>
      </c>
      <c r="B24" s="28" t="s">
        <v>186</v>
      </c>
      <c r="C24" s="29" t="n">
        <v>14.2</v>
      </c>
      <c r="D24" s="30" t="s">
        <v>191</v>
      </c>
      <c r="E24" s="31" t="n">
        <f aca="false">Bruff!B13</f>
        <v>22.6691855583543</v>
      </c>
      <c r="F24" s="31" t="n">
        <f aca="false">Bruff!B14</f>
        <v>22.6691855583543</v>
      </c>
      <c r="G24" s="31" t="n">
        <f aca="false">Bruff!B15</f>
        <v>22.6691855583543</v>
      </c>
      <c r="H24" s="31" t="n">
        <f aca="false">Bruff!B16</f>
        <v>22.6691855583543</v>
      </c>
      <c r="I24" s="31" t="n">
        <f aca="false">Bruff!B17</f>
        <v>22.6691855583543</v>
      </c>
      <c r="J24" s="31" t="n">
        <f aca="false">Bruff!B18</f>
        <v>11.5286873775539</v>
      </c>
      <c r="K24" s="31" t="n">
        <f aca="false">Bruff!B19</f>
        <v>11.5286873775539</v>
      </c>
      <c r="L24" s="31" t="n">
        <f aca="false">Bruff!B20</f>
        <v>11.5286873775539</v>
      </c>
      <c r="M24" s="31" t="n">
        <f aca="false">Bruff!B21</f>
        <v>11.5286873775539</v>
      </c>
      <c r="N24" s="31" t="n">
        <f aca="false">Bruff!B22</f>
        <v>11.1404981808004</v>
      </c>
      <c r="O24" s="31" t="n">
        <f aca="false">Bruff!B23</f>
        <v>8.43912678421495</v>
      </c>
      <c r="P24" s="31" t="n">
        <f aca="false">Bruff!B24</f>
        <v>8.36999720123146</v>
      </c>
      <c r="Q24" s="31" t="n">
        <f aca="false">Bruff!B25</f>
        <v>8.26896165687098</v>
      </c>
      <c r="R24" s="31" t="n">
        <f aca="false">Bruff!B26</f>
        <v>8.19451441365799</v>
      </c>
      <c r="S24" s="31" t="n">
        <f aca="false">Bruff!B27</f>
        <v>8.10943184998601</v>
      </c>
      <c r="T24" s="32" t="n">
        <f aca="false">SUM(E24:S24)</f>
        <v>211.983207388749</v>
      </c>
      <c r="U24" s="33" t="n">
        <f aca="false">IF(C24&gt;0,T24/C24,0)</f>
        <v>14.9283948865316</v>
      </c>
    </row>
    <row r="25" customFormat="false" ht="30" hidden="false" customHeight="true" outlineLevel="0" collapsed="false">
      <c r="A25" s="28" t="s">
        <v>192</v>
      </c>
      <c r="B25" s="28" t="s">
        <v>186</v>
      </c>
      <c r="C25" s="29" t="n">
        <v>21.6</v>
      </c>
      <c r="D25" s="30" t="s">
        <v>193</v>
      </c>
      <c r="E25" s="31" t="n">
        <f aca="false">Cappamore!B13</f>
        <v>17.6978729359082</v>
      </c>
      <c r="F25" s="31" t="n">
        <f aca="false">Cappamore!B14</f>
        <v>17.6978729359082</v>
      </c>
      <c r="G25" s="31" t="n">
        <f aca="false">Cappamore!B15</f>
        <v>17.6978729359082</v>
      </c>
      <c r="H25" s="31" t="n">
        <f aca="false">Cappamore!B16</f>
        <v>17.6978729359082</v>
      </c>
      <c r="I25" s="31" t="n">
        <f aca="false">Cappamore!B17</f>
        <v>17.6978729359082</v>
      </c>
      <c r="J25" s="31" t="n">
        <f aca="false">Cappamore!B18</f>
        <v>9.00046646142364</v>
      </c>
      <c r="K25" s="31" t="n">
        <f aca="false">Cappamore!B19</f>
        <v>9.00046646142364</v>
      </c>
      <c r="L25" s="31" t="n">
        <f aca="false">Cappamore!B20</f>
        <v>9.00046646142364</v>
      </c>
      <c r="M25" s="31" t="n">
        <f aca="false">Cappamore!B21</f>
        <v>9.00046646142364</v>
      </c>
      <c r="N25" s="31" t="n">
        <f aca="false">Cappamore!B22</f>
        <v>8.69740647448456</v>
      </c>
      <c r="O25" s="31" t="n">
        <f aca="false">Cappamore!B23</f>
        <v>6.5884410859222</v>
      </c>
      <c r="P25" s="31" t="n">
        <f aca="false">Cappamore!B24</f>
        <v>6.53447149920702</v>
      </c>
      <c r="Q25" s="31" t="n">
        <f aca="false">Cappamore!B25</f>
        <v>6.45559287246945</v>
      </c>
      <c r="R25" s="31" t="n">
        <f aca="false">Cappamore!B26</f>
        <v>6.39747177908387</v>
      </c>
      <c r="S25" s="31" t="n">
        <f aca="false">Cappamore!B27</f>
        <v>6.3310476723575</v>
      </c>
      <c r="T25" s="32" t="n">
        <f aca="false">SUM(E25:S25)</f>
        <v>165.49566190876</v>
      </c>
      <c r="U25" s="33" t="n">
        <f aca="false">IF(C25&gt;0,T25/C25,0)</f>
        <v>7.66183619947964</v>
      </c>
    </row>
    <row r="26" customFormat="false" ht="30" hidden="false" customHeight="true" outlineLevel="0" collapsed="false">
      <c r="A26" s="28" t="s">
        <v>194</v>
      </c>
      <c r="B26" s="28" t="s">
        <v>186</v>
      </c>
      <c r="C26" s="29" t="n">
        <v>16</v>
      </c>
      <c r="D26" s="30" t="s">
        <v>195</v>
      </c>
      <c r="E26" s="31" t="n">
        <f aca="false">Croom!B13</f>
        <v>28.4359082003918</v>
      </c>
      <c r="F26" s="31" t="n">
        <f aca="false">Croom!B14</f>
        <v>28.4359082003918</v>
      </c>
      <c r="G26" s="31" t="n">
        <f aca="false">Croom!B15</f>
        <v>28.4359082003918</v>
      </c>
      <c r="H26" s="31" t="n">
        <f aca="false">Croom!B16</f>
        <v>28.4359082003918</v>
      </c>
      <c r="I26" s="31" t="n">
        <f aca="false">Croom!B17</f>
        <v>28.4359082003918</v>
      </c>
      <c r="J26" s="31" t="n">
        <f aca="false">Croom!B18</f>
        <v>14.461423640265</v>
      </c>
      <c r="K26" s="31" t="n">
        <f aca="false">Croom!B19</f>
        <v>14.461423640265</v>
      </c>
      <c r="L26" s="31" t="n">
        <f aca="false">Croom!B20</f>
        <v>14.461423640265</v>
      </c>
      <c r="M26" s="31" t="n">
        <f aca="false">Croom!B21</f>
        <v>14.461423640265</v>
      </c>
      <c r="N26" s="31" t="n">
        <f aca="false">Croom!B22</f>
        <v>13.9744845601269</v>
      </c>
      <c r="O26" s="31" t="n">
        <f aca="false">Croom!B23</f>
        <v>10.5859221942345</v>
      </c>
      <c r="P26" s="31" t="n">
        <f aca="false">Croom!B24</f>
        <v>10.4992070155798</v>
      </c>
      <c r="Q26" s="31" t="n">
        <f aca="false">Croom!B25</f>
        <v>10.3724694467768</v>
      </c>
      <c r="R26" s="31" t="n">
        <f aca="false">Croom!B26</f>
        <v>10.279083869764</v>
      </c>
      <c r="S26" s="31" t="n">
        <f aca="false">Croom!B27</f>
        <v>10.1723574960351</v>
      </c>
      <c r="T26" s="32" t="n">
        <f aca="false">SUM(E26:S26)</f>
        <v>265.908760145536</v>
      </c>
      <c r="U26" s="33" t="n">
        <f aca="false">IF(C26&gt;0,T26/C26,0)</f>
        <v>16.619297509096</v>
      </c>
    </row>
    <row r="27" customFormat="false" ht="30" hidden="false" customHeight="true" outlineLevel="0" collapsed="false">
      <c r="A27" s="28" t="s">
        <v>196</v>
      </c>
      <c r="B27" s="28" t="s">
        <v>186</v>
      </c>
      <c r="C27" s="29" t="n">
        <v>16.6</v>
      </c>
      <c r="D27" s="30" t="s">
        <v>197</v>
      </c>
      <c r="E27" s="31" t="n">
        <f aca="false">Hospital!B13</f>
        <v>17.4990204310104</v>
      </c>
      <c r="F27" s="31" t="n">
        <f aca="false">Hospital!B14</f>
        <v>17.4990204310104</v>
      </c>
      <c r="G27" s="31" t="n">
        <f aca="false">Hospital!B15</f>
        <v>17.4990204310104</v>
      </c>
      <c r="H27" s="31" t="n">
        <f aca="false">Hospital!B16</f>
        <v>17.4990204310104</v>
      </c>
      <c r="I27" s="31" t="n">
        <f aca="false">Hospital!B17</f>
        <v>17.4990204310104</v>
      </c>
      <c r="J27" s="31" t="n">
        <f aca="false">Hospital!B18</f>
        <v>8.89933762477843</v>
      </c>
      <c r="K27" s="31" t="n">
        <f aca="false">Hospital!B19</f>
        <v>8.89933762477843</v>
      </c>
      <c r="L27" s="31" t="n">
        <f aca="false">Hospital!B20</f>
        <v>8.89933762477843</v>
      </c>
      <c r="M27" s="31" t="n">
        <f aca="false">Hospital!B21</f>
        <v>8.89933762477843</v>
      </c>
      <c r="N27" s="31" t="n">
        <f aca="false">Hospital!B22</f>
        <v>8.59968280623193</v>
      </c>
      <c r="O27" s="31" t="n">
        <f aca="false">Hospital!B23</f>
        <v>6.51441365799048</v>
      </c>
      <c r="P27" s="31" t="n">
        <f aca="false">Hospital!B24</f>
        <v>6.46105047112604</v>
      </c>
      <c r="Q27" s="31" t="n">
        <f aca="false">Hospital!B25</f>
        <v>6.38305812109339</v>
      </c>
      <c r="R27" s="31" t="n">
        <f aca="false">Hospital!B26</f>
        <v>6.32559007370091</v>
      </c>
      <c r="S27" s="31" t="n">
        <f aca="false">Hospital!B27</f>
        <v>6.25991230525236</v>
      </c>
      <c r="T27" s="32" t="n">
        <f aca="false">SUM(E27:S27)</f>
        <v>163.636160089561</v>
      </c>
      <c r="U27" s="33" t="n">
        <f aca="false">IF(C27&gt;0,T27/C27,0)</f>
        <v>9.85760000539522</v>
      </c>
    </row>
    <row r="28" customFormat="false" ht="30" hidden="false" customHeight="true" outlineLevel="0" collapsed="false">
      <c r="A28" s="28" t="s">
        <v>198</v>
      </c>
      <c r="B28" s="28" t="s">
        <v>186</v>
      </c>
      <c r="C28" s="29" t="n">
        <v>19.3</v>
      </c>
      <c r="D28" s="30" t="s">
        <v>199</v>
      </c>
      <c r="E28" s="31" t="n">
        <f aca="false">Kilfinnane!B13</f>
        <v>22.2714805485586</v>
      </c>
      <c r="F28" s="31" t="n">
        <f aca="false">Kilfinnane!B14</f>
        <v>22.2714805485586</v>
      </c>
      <c r="G28" s="31" t="n">
        <f aca="false">Kilfinnane!B15</f>
        <v>22.2714805485586</v>
      </c>
      <c r="H28" s="31" t="n">
        <f aca="false">Kilfinnane!B16</f>
        <v>22.2714805485586</v>
      </c>
      <c r="I28" s="31" t="n">
        <f aca="false">Kilfinnane!B17</f>
        <v>22.2714805485586</v>
      </c>
      <c r="J28" s="31" t="n">
        <f aca="false">Kilfinnane!B18</f>
        <v>11.3264297042635</v>
      </c>
      <c r="K28" s="31" t="n">
        <f aca="false">Kilfinnane!B19</f>
        <v>11.3264297042635</v>
      </c>
      <c r="L28" s="31" t="n">
        <f aca="false">Kilfinnane!B20</f>
        <v>11.3264297042635</v>
      </c>
      <c r="M28" s="31" t="n">
        <f aca="false">Kilfinnane!B21</f>
        <v>11.3264297042635</v>
      </c>
      <c r="N28" s="31" t="n">
        <f aca="false">Kilfinnane!B22</f>
        <v>10.9450508442952</v>
      </c>
      <c r="O28" s="31" t="n">
        <f aca="false">Kilfinnane!B23</f>
        <v>8.29107192835153</v>
      </c>
      <c r="P28" s="31" t="n">
        <f aca="false">Kilfinnane!B24</f>
        <v>8.2231551450695</v>
      </c>
      <c r="Q28" s="31" t="n">
        <f aca="false">Kilfinnane!B25</f>
        <v>8.12389215411885</v>
      </c>
      <c r="R28" s="31" t="n">
        <f aca="false">Kilfinnane!B26</f>
        <v>8.05075100289206</v>
      </c>
      <c r="S28" s="31" t="n">
        <f aca="false">Kilfinnane!B27</f>
        <v>7.96716111577573</v>
      </c>
      <c r="T28" s="32" t="n">
        <f aca="false">SUM(E28:S28)</f>
        <v>208.26420375035</v>
      </c>
      <c r="U28" s="33" t="n">
        <f aca="false">IF(C28&gt;0,T28/C28,0)</f>
        <v>10.7908913860285</v>
      </c>
    </row>
    <row r="29" customFormat="false" ht="30" hidden="false" customHeight="true" outlineLevel="0" collapsed="false">
      <c r="A29" s="28" t="s">
        <v>200</v>
      </c>
      <c r="B29" s="28" t="s">
        <v>186</v>
      </c>
      <c r="C29" s="29" t="n">
        <v>25.8</v>
      </c>
      <c r="D29" s="30" t="s">
        <v>201</v>
      </c>
      <c r="E29" s="31" t="n">
        <f aca="false">Moroe!B13</f>
        <v>32.015253288553</v>
      </c>
      <c r="F29" s="31" t="n">
        <f aca="false">Moroe!B14</f>
        <v>32.015253288553</v>
      </c>
      <c r="G29" s="31" t="n">
        <f aca="false">Moroe!B15</f>
        <v>32.015253288553</v>
      </c>
      <c r="H29" s="31" t="n">
        <f aca="false">Moroe!B16</f>
        <v>32.015253288553</v>
      </c>
      <c r="I29" s="31" t="n">
        <f aca="false">Moroe!B17</f>
        <v>32.015253288553</v>
      </c>
      <c r="J29" s="31" t="n">
        <f aca="false">Moroe!B18</f>
        <v>16.2817426998787</v>
      </c>
      <c r="K29" s="31" t="n">
        <f aca="false">Moroe!B19</f>
        <v>16.2817426998787</v>
      </c>
      <c r="L29" s="31" t="n">
        <f aca="false">Moroe!B20</f>
        <v>16.2817426998787</v>
      </c>
      <c r="M29" s="31" t="n">
        <f aca="false">Moroe!B21</f>
        <v>16.2817426998787</v>
      </c>
      <c r="N29" s="31" t="n">
        <f aca="false">Moroe!B22</f>
        <v>15.7335105886743</v>
      </c>
      <c r="O29" s="31" t="n">
        <f aca="false">Moroe!B23</f>
        <v>11.9184158970053</v>
      </c>
      <c r="P29" s="31" t="n">
        <f aca="false">Moroe!B24</f>
        <v>11.8207855210374</v>
      </c>
      <c r="Q29" s="31" t="n">
        <f aca="false">Moroe!B25</f>
        <v>11.6780949715459</v>
      </c>
      <c r="R29" s="31" t="n">
        <f aca="false">Moroe!B26</f>
        <v>11.5729545666573</v>
      </c>
      <c r="S29" s="31" t="n">
        <f aca="false">Moroe!B27</f>
        <v>11.4527941039276</v>
      </c>
      <c r="T29" s="32" t="n">
        <f aca="false">SUM(E29:S29)</f>
        <v>299.379792891128</v>
      </c>
      <c r="U29" s="33" t="n">
        <f aca="false">IF(C29&gt;0,T29/C29,0)</f>
        <v>11.6038679415166</v>
      </c>
    </row>
    <row r="30" customFormat="false" ht="30" hidden="false" customHeight="true" outlineLevel="0" collapsed="false">
      <c r="A30" s="28" t="s">
        <v>202</v>
      </c>
      <c r="B30" s="28" t="s">
        <v>186</v>
      </c>
      <c r="C30" s="29" t="n">
        <v>21.5</v>
      </c>
      <c r="D30" s="30" t="s">
        <v>203</v>
      </c>
      <c r="E30" s="31" t="n">
        <f aca="false">Patrickswell!B13</f>
        <v>79.541001959138</v>
      </c>
      <c r="F30" s="31" t="n">
        <f aca="false">Patrickswell!B14</f>
        <v>79.541001959138</v>
      </c>
      <c r="G30" s="31" t="n">
        <f aca="false">Patrickswell!B15</f>
        <v>79.541001959138</v>
      </c>
      <c r="H30" s="31" t="n">
        <f aca="false">Patrickswell!B16</f>
        <v>79.541001959138</v>
      </c>
      <c r="I30" s="31" t="n">
        <f aca="false">Patrickswell!B17</f>
        <v>79.541001959138</v>
      </c>
      <c r="J30" s="31" t="n">
        <f aca="false">Patrickswell!B18</f>
        <v>40.4515346580838</v>
      </c>
      <c r="K30" s="31" t="n">
        <f aca="false">Patrickswell!B19</f>
        <v>40.4515346580838</v>
      </c>
      <c r="L30" s="31" t="n">
        <f aca="false">Patrickswell!B20</f>
        <v>40.4515346580838</v>
      </c>
      <c r="M30" s="31" t="n">
        <f aca="false">Patrickswell!B21</f>
        <v>40.4515346580838</v>
      </c>
      <c r="N30" s="31" t="n">
        <f aca="false">Patrickswell!B22</f>
        <v>39.0894673010542</v>
      </c>
      <c r="O30" s="31" t="n">
        <f aca="false">Patrickswell!B23</f>
        <v>29.610971172684</v>
      </c>
      <c r="P30" s="31" t="n">
        <f aca="false">Patrickswell!B24</f>
        <v>29.3684112323911</v>
      </c>
      <c r="Q30" s="31" t="n">
        <f aca="false">Patrickswell!B25</f>
        <v>29.0139005504245</v>
      </c>
      <c r="R30" s="31" t="n">
        <f aca="false">Patrickswell!B26</f>
        <v>28.7526821531859</v>
      </c>
      <c r="S30" s="31" t="n">
        <f aca="false">Patrickswell!B27</f>
        <v>28.4541468420562</v>
      </c>
      <c r="T30" s="32" t="n">
        <f aca="false">SUM(E30:S30)</f>
        <v>743.800727679821</v>
      </c>
      <c r="U30" s="33" t="n">
        <f aca="false">IF(C30&gt;0,T30/C30,0)</f>
        <v>34.5953826827824</v>
      </c>
    </row>
    <row r="31" customFormat="false" ht="43.5" hidden="false" customHeight="true" outlineLevel="0" collapsed="false">
      <c r="A31" s="28" t="s">
        <v>204</v>
      </c>
      <c r="B31" s="28" t="s">
        <v>204</v>
      </c>
      <c r="C31" s="29" t="n">
        <v>10.1</v>
      </c>
      <c r="D31" s="30" t="s">
        <v>205</v>
      </c>
      <c r="E31" s="31" t="n">
        <f aca="false">'Rest of county'!B13</f>
        <v>416.397145256087</v>
      </c>
      <c r="F31" s="31" t="n">
        <f aca="false">'Rest of county'!B14</f>
        <v>416.397145256087</v>
      </c>
      <c r="G31" s="31" t="n">
        <f aca="false">'Rest of county'!B15</f>
        <v>416.397145256087</v>
      </c>
      <c r="H31" s="31" t="n">
        <f aca="false">'Rest of county'!B16</f>
        <v>416.397145256087</v>
      </c>
      <c r="I31" s="31" t="n">
        <f aca="false">'Rest of county'!B17</f>
        <v>416.397145256087</v>
      </c>
      <c r="J31" s="31" t="n">
        <f aca="false">'Rest of county'!B18</f>
        <v>211.763783935069</v>
      </c>
      <c r="K31" s="31" t="n">
        <f aca="false">'Rest of county'!B19</f>
        <v>211.763783935069</v>
      </c>
      <c r="L31" s="31" t="n">
        <f aca="false">'Rest of county'!B20</f>
        <v>211.763783935069</v>
      </c>
      <c r="M31" s="31" t="n">
        <f aca="false">'Rest of county'!B21</f>
        <v>211.763783935069</v>
      </c>
      <c r="N31" s="31" t="n">
        <f aca="false">'Rest of county'!B22</f>
        <v>204.633361321019</v>
      </c>
      <c r="O31" s="31" t="n">
        <f aca="false">'Rest of county'!B23</f>
        <v>155.013434089001</v>
      </c>
      <c r="P31" s="31" t="n">
        <f aca="false">'Rest of county'!B24</f>
        <v>153.743632801567</v>
      </c>
      <c r="Q31" s="31" t="n">
        <f aca="false">'Rest of county'!B25</f>
        <v>151.887769381472</v>
      </c>
      <c r="R31" s="31" t="n">
        <f aca="false">'Rest of county'!B26</f>
        <v>150.520291071928</v>
      </c>
      <c r="S31" s="31" t="n">
        <f aca="false">'Rest of county'!B27</f>
        <v>148.957458718164</v>
      </c>
      <c r="T31" s="32" t="n">
        <f aca="false">SUM(E31:S31)</f>
        <v>3893.79680940386</v>
      </c>
      <c r="U31" s="33" t="n">
        <f aca="false">IF(C31&gt;0,T31/C31,0)</f>
        <v>385.52443657464</v>
      </c>
    </row>
    <row r="32" customFormat="false" ht="15" hidden="false" customHeight="true" outlineLevel="0" collapsed="false">
      <c r="A32" s="24" t="s">
        <v>206</v>
      </c>
      <c r="B32" s="34"/>
      <c r="C32" s="35" t="n">
        <f aca="false">IF(U32&gt;0,T32/U32,0)</f>
        <v>21.8536994849498</v>
      </c>
      <c r="D32" s="36" t="s">
        <v>207</v>
      </c>
      <c r="E32" s="25" t="n">
        <f aca="false">SUM(E7:E31)</f>
        <v>4263</v>
      </c>
      <c r="F32" s="25" t="n">
        <f aca="false">SUM(F7:F31)</f>
        <v>4263</v>
      </c>
      <c r="G32" s="25" t="n">
        <f aca="false">SUM(G7:G31)</f>
        <v>4263</v>
      </c>
      <c r="H32" s="25" t="n">
        <f aca="false">SUM(H7:H31)</f>
        <v>4263</v>
      </c>
      <c r="I32" s="25" t="n">
        <f aca="false">SUM(I7:I31)</f>
        <v>4263</v>
      </c>
      <c r="J32" s="25" t="n">
        <f aca="false">SUM(J7:J31)</f>
        <v>2168</v>
      </c>
      <c r="K32" s="25" t="n">
        <f aca="false">SUM(K7:K31)</f>
        <v>2168</v>
      </c>
      <c r="L32" s="25" t="n">
        <f aca="false">SUM(L7:L31)</f>
        <v>2168</v>
      </c>
      <c r="M32" s="25" t="n">
        <f aca="false">SUM(M7:M31)</f>
        <v>2168</v>
      </c>
      <c r="N32" s="25" t="n">
        <f aca="false">SUM(N7:N31)</f>
        <v>2095</v>
      </c>
      <c r="O32" s="25" t="n">
        <f aca="false">SUM(O7:O31)</f>
        <v>1587</v>
      </c>
      <c r="P32" s="25" t="n">
        <f aca="false">SUM(P7:P31)</f>
        <v>1574</v>
      </c>
      <c r="Q32" s="25" t="n">
        <f aca="false">SUM(Q7:Q31)</f>
        <v>1555</v>
      </c>
      <c r="R32" s="25" t="n">
        <f aca="false">SUM(R7:R31)</f>
        <v>1541</v>
      </c>
      <c r="S32" s="25" t="n">
        <f aca="false">SUM(S7:S31)</f>
        <v>1525</v>
      </c>
      <c r="T32" s="25" t="n">
        <f aca="false">SUM(T7:T31)</f>
        <v>39864</v>
      </c>
      <c r="U32" s="37" t="n">
        <f aca="false">SUM(U7:U31)</f>
        <v>1824.1305106009</v>
      </c>
    </row>
    <row r="34" customFormat="false" ht="15" hidden="false" customHeight="true" outlineLevel="0" collapsed="false">
      <c r="A34" s="12" t="s">
        <v>208</v>
      </c>
    </row>
    <row r="35" customFormat="false" ht="34.5" hidden="false" customHeight="true" outlineLevel="0" collapsed="false">
      <c r="A35" s="4" t="s">
        <v>133</v>
      </c>
      <c r="B35" s="5"/>
      <c r="C35" s="5" t="s">
        <v>209</v>
      </c>
      <c r="D35" s="5"/>
      <c r="E35" s="5" t="s">
        <v>136</v>
      </c>
      <c r="F35" s="5" t="s">
        <v>137</v>
      </c>
      <c r="G35" s="5" t="s">
        <v>138</v>
      </c>
      <c r="H35" s="5" t="s">
        <v>139</v>
      </c>
      <c r="I35" s="5" t="s">
        <v>140</v>
      </c>
      <c r="J35" s="5" t="s">
        <v>141</v>
      </c>
      <c r="K35" s="5" t="s">
        <v>142</v>
      </c>
      <c r="L35" s="5" t="s">
        <v>143</v>
      </c>
      <c r="M35" s="5" t="s">
        <v>144</v>
      </c>
      <c r="N35" s="5" t="s">
        <v>145</v>
      </c>
      <c r="O35" s="5" t="s">
        <v>146</v>
      </c>
      <c r="P35" s="5" t="s">
        <v>147</v>
      </c>
      <c r="Q35" s="5" t="s">
        <v>148</v>
      </c>
      <c r="R35" s="5" t="s">
        <v>149</v>
      </c>
      <c r="S35" s="5" t="s">
        <v>150</v>
      </c>
      <c r="T35" s="5" t="s">
        <v>151</v>
      </c>
      <c r="U35" s="5" t="s">
        <v>152</v>
      </c>
    </row>
    <row r="36" customFormat="false" ht="15" hidden="false" customHeight="true" outlineLevel="0" collapsed="false">
      <c r="A36" s="13" t="s">
        <v>210</v>
      </c>
      <c r="C36" s="38" t="n">
        <f aca="false">IF(U36&gt;0,T36/U36,0)</f>
        <v>26.9224001044089</v>
      </c>
      <c r="E36" s="21" t="n">
        <f aca="false">SUMIFS(E$7:E$31,$B$7:$B$31,"City neighbourhood")</f>
        <v>3128.74531206269</v>
      </c>
      <c r="F36" s="21" t="n">
        <f aca="false">SUMIFS(F$7:F$31,$B$7:$B$31,"City neighbourhood")</f>
        <v>3128.74531206269</v>
      </c>
      <c r="G36" s="21" t="n">
        <f aca="false">SUMIFS(G$7:G$31,$B$7:$B$31,"City neighbourhood")</f>
        <v>3128.74531206269</v>
      </c>
      <c r="H36" s="21" t="n">
        <f aca="false">SUMIFS(H$7:H$31,$B$7:$B$31,"City neighbourhood")</f>
        <v>3128.74531206269</v>
      </c>
      <c r="I36" s="21" t="n">
        <f aca="false">SUMIFS(I$7:I$31,$B$7:$B$31,"City neighbourhood")</f>
        <v>3128.74531206269</v>
      </c>
      <c r="J36" s="21" t="n">
        <f aca="false">SUMIFS(J$7:J$31,$B$7:$B$31,"City neighbourhood")</f>
        <v>1591.16111577573</v>
      </c>
      <c r="K36" s="21" t="n">
        <f aca="false">SUMIFS(K$7:K$31,$B$7:$B$31,"City neighbourhood")</f>
        <v>1591.16111577573</v>
      </c>
      <c r="L36" s="21" t="n">
        <f aca="false">SUMIFS(L$7:L$31,$B$7:$B$31,"City neighbourhood")</f>
        <v>1591.16111577573</v>
      </c>
      <c r="M36" s="21" t="n">
        <f aca="false">SUMIFS(M$7:M$31,$B$7:$B$31,"City neighbourhood")</f>
        <v>1591.16111577573</v>
      </c>
      <c r="N36" s="21" t="n">
        <f aca="false">SUMIFS(N$7:N$31,$B$7:$B$31,"City neighbourhood")</f>
        <v>1537.58419628697</v>
      </c>
      <c r="O36" s="21" t="n">
        <f aca="false">SUMIFS(O$7:O$31,$B$7:$B$31,"City neighbourhood")</f>
        <v>1164.74755107753</v>
      </c>
      <c r="P36" s="21" t="n">
        <f aca="false">SUMIFS(P$7:P$31,$B$7:$B$31,"City neighbourhood")</f>
        <v>1155.2064558261</v>
      </c>
      <c r="Q36" s="21" t="n">
        <f aca="false">SUMIFS(Q$7:Q$31,$B$7:$B$31,"City neighbourhood")</f>
        <v>1141.26177815095</v>
      </c>
      <c r="R36" s="21" t="n">
        <f aca="false">SUMIFS(R$7:R$31,$B$7:$B$31,"City neighbourhood")</f>
        <v>1130.98675249557</v>
      </c>
      <c r="S36" s="21" t="n">
        <f aca="false">SUMIFS(S$7:S$31,$B$7:$B$31,"City neighbourhood")</f>
        <v>1119.24386603228</v>
      </c>
      <c r="T36" s="21" t="n">
        <f aca="false">SUMIFS(T$7:T$31,$B$7:$B$31,"City neighbourhood")</f>
        <v>29257.4016232858</v>
      </c>
      <c r="U36" s="39" t="n">
        <f aca="false">SUMIFS(U$7:U$31,$B$7:$B$31,"City neighbourhood")</f>
        <v>1086.73080816797</v>
      </c>
    </row>
    <row r="37" customFormat="false" ht="15" hidden="false" customHeight="true" outlineLevel="0" collapsed="false">
      <c r="A37" s="13" t="s">
        <v>211</v>
      </c>
      <c r="C37" s="38" t="n">
        <f aca="false">IF(U37&gt;0,T37/U37,0)</f>
        <v>19.9198774026223</v>
      </c>
      <c r="E37" s="21" t="n">
        <f aca="false">SUMIFS(E$7:E$31,$B$7:$B$31,"Key town")</f>
        <v>425.544360481388</v>
      </c>
      <c r="F37" s="21" t="n">
        <f aca="false">SUMIFS(F$7:F$31,$B$7:$B$31,"Key town")</f>
        <v>425.544360481388</v>
      </c>
      <c r="G37" s="21" t="n">
        <f aca="false">SUMIFS(G$7:G$31,$B$7:$B$31,"Key town")</f>
        <v>425.544360481388</v>
      </c>
      <c r="H37" s="21" t="n">
        <f aca="false">SUMIFS(H$7:H$31,$B$7:$B$31,"Key town")</f>
        <v>425.544360481388</v>
      </c>
      <c r="I37" s="21" t="n">
        <f aca="false">SUMIFS(I$7:I$31,$B$7:$B$31,"Key town")</f>
        <v>425.544360481388</v>
      </c>
      <c r="J37" s="21" t="n">
        <f aca="false">SUMIFS(J$7:J$31,$B$7:$B$31,"Key town")</f>
        <v>216.415710420748</v>
      </c>
      <c r="K37" s="21" t="n">
        <f aca="false">SUMIFS(K$7:K$31,$B$7:$B$31,"Key town")</f>
        <v>216.415710420748</v>
      </c>
      <c r="L37" s="21" t="n">
        <f aca="false">SUMIFS(L$7:L$31,$B$7:$B$31,"Key town")</f>
        <v>216.415710420748</v>
      </c>
      <c r="M37" s="21" t="n">
        <f aca="false">SUMIFS(M$7:M$31,$B$7:$B$31,"Key town")</f>
        <v>216.415710420748</v>
      </c>
      <c r="N37" s="21" t="n">
        <f aca="false">SUMIFS(N$7:N$31,$B$7:$B$31,"Key town")</f>
        <v>209.12865006064</v>
      </c>
      <c r="O37" s="21" t="n">
        <f aca="false">SUMIFS(O$7:O$31,$B$7:$B$31,"Key town")</f>
        <v>158.41869577386</v>
      </c>
      <c r="P37" s="21" t="n">
        <f aca="false">SUMIFS(P$7:P$31,$B$7:$B$31,"Key town")</f>
        <v>157.121000093292</v>
      </c>
      <c r="Q37" s="21" t="n">
        <f aca="false">SUMIFS(Q$7:Q$31,$B$7:$B$31,"Key town")</f>
        <v>155.224367944771</v>
      </c>
      <c r="R37" s="21" t="n">
        <f aca="false">SUMIFS(R$7:R$31,$B$7:$B$31,"Key town")</f>
        <v>153.826849519545</v>
      </c>
      <c r="S37" s="21" t="n">
        <f aca="false">SUMIFS(S$7:S$31,$B$7:$B$31,"Key town")</f>
        <v>152.229685605</v>
      </c>
      <c r="T37" s="21" t="n">
        <f aca="false">SUMIFS(T$7:T$31,$B$7:$B$31,"Key town")</f>
        <v>3979.33389308704</v>
      </c>
      <c r="U37" s="39" t="n">
        <f aca="false">SUMIFS(U$7:U$31,$B$7:$B$31,"Key town")</f>
        <v>199.766987148384</v>
      </c>
    </row>
    <row r="38" customFormat="false" ht="15" hidden="false" customHeight="true" outlineLevel="0" collapsed="false">
      <c r="A38" s="13" t="s">
        <v>212</v>
      </c>
      <c r="C38" s="38" t="n">
        <f aca="false">IF(U38&gt;0,T38/U38,0)</f>
        <v>17.9705384704048</v>
      </c>
      <c r="E38" s="21" t="n">
        <f aca="false">SUMIFS(E$7:E$31,$B$7:$B$31,"Village")</f>
        <v>292.313182199832</v>
      </c>
      <c r="F38" s="21" t="n">
        <f aca="false">SUMIFS(F$7:F$31,$B$7:$B$31,"Village")</f>
        <v>292.313182199832</v>
      </c>
      <c r="G38" s="21" t="n">
        <f aca="false">SUMIFS(G$7:G$31,$B$7:$B$31,"Village")</f>
        <v>292.313182199832</v>
      </c>
      <c r="H38" s="21" t="n">
        <f aca="false">SUMIFS(H$7:H$31,$B$7:$B$31,"Village")</f>
        <v>292.313182199832</v>
      </c>
      <c r="I38" s="21" t="n">
        <f aca="false">SUMIFS(I$7:I$31,$B$7:$B$31,"Village")</f>
        <v>292.313182199832</v>
      </c>
      <c r="J38" s="21" t="n">
        <f aca="false">SUMIFS(J$7:J$31,$B$7:$B$31,"Village")</f>
        <v>148.659389868458</v>
      </c>
      <c r="K38" s="21" t="n">
        <f aca="false">SUMIFS(K$7:K$31,$B$7:$B$31,"Village")</f>
        <v>148.659389868458</v>
      </c>
      <c r="L38" s="21" t="n">
        <f aca="false">SUMIFS(L$7:L$31,$B$7:$B$31,"Village")</f>
        <v>148.659389868458</v>
      </c>
      <c r="M38" s="21" t="n">
        <f aca="false">SUMIFS(M$7:M$31,$B$7:$B$31,"Village")</f>
        <v>148.659389868458</v>
      </c>
      <c r="N38" s="21" t="n">
        <f aca="false">SUMIFS(N$7:N$31,$B$7:$B$31,"Village")</f>
        <v>143.653792331374</v>
      </c>
      <c r="O38" s="21" t="n">
        <f aca="false">SUMIFS(O$7:O$31,$B$7:$B$31,"Village")</f>
        <v>108.820319059614</v>
      </c>
      <c r="P38" s="21" t="n">
        <f aca="false">SUMIFS(P$7:P$31,$B$7:$B$31,"Village")</f>
        <v>107.928911279037</v>
      </c>
      <c r="Q38" s="21" t="n">
        <f aca="false">SUMIFS(Q$7:Q$31,$B$7:$B$31,"Village")</f>
        <v>106.62608452281</v>
      </c>
      <c r="R38" s="21" t="n">
        <f aca="false">SUMIFS(R$7:R$31,$B$7:$B$31,"Village")</f>
        <v>105.666106912958</v>
      </c>
      <c r="S38" s="21" t="n">
        <f aca="false">SUMIFS(S$7:S$31,$B$7:$B$31,"Village")</f>
        <v>104.568989644556</v>
      </c>
      <c r="T38" s="21" t="n">
        <f aca="false">SUMIFS(T$7:T$31,$B$7:$B$31,"Village")</f>
        <v>2733.46767422334</v>
      </c>
      <c r="U38" s="39" t="n">
        <f aca="false">SUMIFS(U$7:U$31,$B$7:$B$31,"Village")</f>
        <v>152.108278709902</v>
      </c>
    </row>
    <row r="39" customFormat="false" ht="15" hidden="false" customHeight="true" outlineLevel="0" collapsed="false">
      <c r="A39" s="13" t="s">
        <v>204</v>
      </c>
      <c r="C39" s="38" t="n">
        <f aca="false">IF(U39&gt;0,T39/U39,0)</f>
        <v>10.1</v>
      </c>
      <c r="E39" s="21" t="n">
        <f aca="false">SUMIFS(E$7:E$31,$B$7:$B$31,"Rest of county")</f>
        <v>416.397145256087</v>
      </c>
      <c r="F39" s="21" t="n">
        <f aca="false">SUMIFS(F$7:F$31,$B$7:$B$31,"Rest of county")</f>
        <v>416.397145256087</v>
      </c>
      <c r="G39" s="21" t="n">
        <f aca="false">SUMIFS(G$7:G$31,$B$7:$B$31,"Rest of county")</f>
        <v>416.397145256087</v>
      </c>
      <c r="H39" s="21" t="n">
        <f aca="false">SUMIFS(H$7:H$31,$B$7:$B$31,"Rest of county")</f>
        <v>416.397145256087</v>
      </c>
      <c r="I39" s="21" t="n">
        <f aca="false">SUMIFS(I$7:I$31,$B$7:$B$31,"Rest of county")</f>
        <v>416.397145256087</v>
      </c>
      <c r="J39" s="21" t="n">
        <f aca="false">SUMIFS(J$7:J$31,$B$7:$B$31,"Rest of county")</f>
        <v>211.763783935069</v>
      </c>
      <c r="K39" s="21" t="n">
        <f aca="false">SUMIFS(K$7:K$31,$B$7:$B$31,"Rest of county")</f>
        <v>211.763783935069</v>
      </c>
      <c r="L39" s="21" t="n">
        <f aca="false">SUMIFS(L$7:L$31,$B$7:$B$31,"Rest of county")</f>
        <v>211.763783935069</v>
      </c>
      <c r="M39" s="21" t="n">
        <f aca="false">SUMIFS(M$7:M$31,$B$7:$B$31,"Rest of county")</f>
        <v>211.763783935069</v>
      </c>
      <c r="N39" s="21" t="n">
        <f aca="false">SUMIFS(N$7:N$31,$B$7:$B$31,"Rest of county")</f>
        <v>204.633361321019</v>
      </c>
      <c r="O39" s="21" t="n">
        <f aca="false">SUMIFS(O$7:O$31,$B$7:$B$31,"Rest of county")</f>
        <v>155.013434089001</v>
      </c>
      <c r="P39" s="21" t="n">
        <f aca="false">SUMIFS(P$7:P$31,$B$7:$B$31,"Rest of county")</f>
        <v>153.743632801567</v>
      </c>
      <c r="Q39" s="21" t="n">
        <f aca="false">SUMIFS(Q$7:Q$31,$B$7:$B$31,"Rest of county")</f>
        <v>151.887769381472</v>
      </c>
      <c r="R39" s="21" t="n">
        <f aca="false">SUMIFS(R$7:R$31,$B$7:$B$31,"Rest of county")</f>
        <v>150.520291071928</v>
      </c>
      <c r="S39" s="21" t="n">
        <f aca="false">SUMIFS(S$7:S$31,$B$7:$B$31,"Rest of county")</f>
        <v>148.957458718164</v>
      </c>
      <c r="T39" s="21" t="n">
        <f aca="false">SUMIFS(T$7:T$31,$B$7:$B$31,"Rest of county")</f>
        <v>3893.79680940386</v>
      </c>
      <c r="U39" s="39" t="n">
        <f aca="false">SUMIFS(U$7:U$31,$B$7:$B$31,"Rest of county")</f>
        <v>385.52443657464</v>
      </c>
    </row>
    <row r="42" customFormat="false" ht="15" hidden="false" customHeight="true" outlineLevel="0" collapsed="false">
      <c r="A42" s="12" t="s">
        <v>213</v>
      </c>
    </row>
    <row r="43" customFormat="false" ht="23.25" hidden="false" customHeight="true" outlineLevel="0" collapsed="false">
      <c r="A43" s="4" t="s">
        <v>132</v>
      </c>
      <c r="B43" s="5" t="s">
        <v>133</v>
      </c>
      <c r="C43" s="5" t="s">
        <v>214</v>
      </c>
      <c r="D43" s="5"/>
      <c r="E43" s="5" t="s">
        <v>136</v>
      </c>
      <c r="F43" s="5" t="s">
        <v>137</v>
      </c>
      <c r="G43" s="5" t="s">
        <v>138</v>
      </c>
      <c r="H43" s="5" t="s">
        <v>139</v>
      </c>
      <c r="I43" s="5" t="s">
        <v>140</v>
      </c>
      <c r="J43" s="5" t="s">
        <v>141</v>
      </c>
      <c r="K43" s="5" t="s">
        <v>142</v>
      </c>
      <c r="L43" s="5" t="s">
        <v>143</v>
      </c>
      <c r="M43" s="5" t="s">
        <v>144</v>
      </c>
      <c r="N43" s="5" t="s">
        <v>145</v>
      </c>
      <c r="O43" s="5" t="s">
        <v>146</v>
      </c>
      <c r="P43" s="5" t="s">
        <v>147</v>
      </c>
      <c r="Q43" s="5" t="s">
        <v>148</v>
      </c>
      <c r="R43" s="5" t="s">
        <v>149</v>
      </c>
      <c r="S43" s="5" t="s">
        <v>150</v>
      </c>
      <c r="T43" s="5" t="s">
        <v>215</v>
      </c>
      <c r="U43" s="5"/>
    </row>
    <row r="44" customFormat="false" ht="15" hidden="false" customHeight="true" outlineLevel="0" collapsed="false">
      <c r="A44" s="13" t="str">
        <f aca="false">A7</f>
        <v>Ballinacurra</v>
      </c>
      <c r="B44" s="13" t="str">
        <f aca="false">B7</f>
        <v>City neighbourhood</v>
      </c>
      <c r="C44" s="38" t="n">
        <f aca="false">C7</f>
        <v>31</v>
      </c>
      <c r="E44" s="39" t="n">
        <f aca="false">IF($C44&gt;0,E7/$C44,0)</f>
        <v>4.16905674497549</v>
      </c>
      <c r="F44" s="39" t="n">
        <f aca="false">IF($C44&gt;0,F7/$C44,0)</f>
        <v>4.16905674497549</v>
      </c>
      <c r="G44" s="39" t="n">
        <f aca="false">IF($C44&gt;0,G7/$C44,0)</f>
        <v>4.16905674497549</v>
      </c>
      <c r="H44" s="39" t="n">
        <f aca="false">IF($C44&gt;0,H7/$C44,0)</f>
        <v>4.16905674497549</v>
      </c>
      <c r="I44" s="39" t="n">
        <f aca="false">IF($C44&gt;0,I7/$C44,0)</f>
        <v>4.16905674497549</v>
      </c>
      <c r="J44" s="39" t="n">
        <f aca="false">IF($C44&gt;0,J7/$C44,0)</f>
        <v>2.12022402606307</v>
      </c>
      <c r="K44" s="39" t="n">
        <f aca="false">IF($C44&gt;0,K7/$C44,0)</f>
        <v>2.12022402606307</v>
      </c>
      <c r="L44" s="39" t="n">
        <f aca="false">IF($C44&gt;0,L7/$C44,0)</f>
        <v>2.12022402606307</v>
      </c>
      <c r="M44" s="39" t="n">
        <f aca="false">IF($C44&gt;0,M7/$C44,0)</f>
        <v>2.12022402606307</v>
      </c>
      <c r="N44" s="39" t="n">
        <f aca="false">IF($C44&gt;0,N7/$C44,0)</f>
        <v>2.04883271891242</v>
      </c>
      <c r="O44" s="39" t="n">
        <f aca="false">IF($C44&gt;0,O7/$C44,0)</f>
        <v>1.55202745819285</v>
      </c>
      <c r="P44" s="39" t="n">
        <f aca="false">IF($C44&gt;0,P7/$C44,0)</f>
        <v>1.53931393774136</v>
      </c>
      <c r="Q44" s="39" t="n">
        <f aca="false">IF($C44&gt;0,Q7/$C44,0)</f>
        <v>1.52073263861996</v>
      </c>
      <c r="R44" s="39" t="n">
        <f aca="false">IF($C44&gt;0,R7/$C44,0)</f>
        <v>1.50704115505682</v>
      </c>
      <c r="S44" s="39" t="n">
        <f aca="false">IF($C44&gt;0,S7/$C44,0)</f>
        <v>1.49139374527038</v>
      </c>
      <c r="T44" s="40" t="n">
        <f aca="false">SUM(E44:S44)</f>
        <v>38.9855214829235</v>
      </c>
    </row>
    <row r="45" customFormat="false" ht="15" hidden="false" customHeight="true" outlineLevel="0" collapsed="false">
      <c r="A45" s="13" t="str">
        <f aca="false">A8</f>
        <v>Caherdavin</v>
      </c>
      <c r="B45" s="13" t="str">
        <f aca="false">B8</f>
        <v>City neighbourhood</v>
      </c>
      <c r="C45" s="38" t="n">
        <f aca="false">C8</f>
        <v>25</v>
      </c>
      <c r="E45" s="39" t="n">
        <f aca="false">IF($C45&gt;0,E8/$C45,0)</f>
        <v>21.0112438857287</v>
      </c>
      <c r="F45" s="39" t="n">
        <f aca="false">IF($C45&gt;0,F8/$C45,0)</f>
        <v>21.0112438857287</v>
      </c>
      <c r="G45" s="39" t="n">
        <f aca="false">IF($C45&gt;0,G8/$C45,0)</f>
        <v>21.0112438857287</v>
      </c>
      <c r="H45" s="39" t="n">
        <f aca="false">IF($C45&gt;0,H8/$C45,0)</f>
        <v>21.0112438857287</v>
      </c>
      <c r="I45" s="39" t="n">
        <f aca="false">IF($C45&gt;0,I8/$C45,0)</f>
        <v>21.0112438857287</v>
      </c>
      <c r="J45" s="39" t="n">
        <f aca="false">IF($C45&gt;0,J8/$C45,0)</f>
        <v>10.6855211691907</v>
      </c>
      <c r="K45" s="39" t="n">
        <f aca="false">IF($C45&gt;0,K8/$C45,0)</f>
        <v>10.6855211691907</v>
      </c>
      <c r="L45" s="39" t="n">
        <f aca="false">IF($C45&gt;0,L8/$C45,0)</f>
        <v>10.6855211691907</v>
      </c>
      <c r="M45" s="39" t="n">
        <f aca="false">IF($C45&gt;0,M8/$C45,0)</f>
        <v>10.6855211691907</v>
      </c>
      <c r="N45" s="39" t="n">
        <f aca="false">IF($C45&gt;0,N8/$C45,0)</f>
        <v>10.325722716538</v>
      </c>
      <c r="O45" s="39" t="n">
        <f aca="false">IF($C45&gt;0,O8/$C45,0)</f>
        <v>7.82191978574981</v>
      </c>
      <c r="P45" s="39" t="n">
        <f aca="false">IF($C45&gt;0,P8/$C45,0)</f>
        <v>7.75784608870209</v>
      </c>
      <c r="Q45" s="39" t="n">
        <f aca="false">IF($C45&gt;0,Q8/$C45,0)</f>
        <v>7.66419991609386</v>
      </c>
      <c r="R45" s="39" t="n">
        <f aca="false">IF($C45&gt;0,R8/$C45,0)</f>
        <v>7.59519747311938</v>
      </c>
      <c r="S45" s="39" t="n">
        <f aca="false">IF($C45&gt;0,S8/$C45,0)</f>
        <v>7.51633753829141</v>
      </c>
      <c r="T45" s="40" t="n">
        <f aca="false">SUM(E45:S45)</f>
        <v>196.479527623901</v>
      </c>
    </row>
    <row r="46" customFormat="false" ht="15" hidden="false" customHeight="true" outlineLevel="0" collapsed="false">
      <c r="A46" s="13" t="str">
        <f aca="false">A9</f>
        <v>Castletroy/Annacotty</v>
      </c>
      <c r="B46" s="13" t="str">
        <f aca="false">B9</f>
        <v>City neighbourhood</v>
      </c>
      <c r="C46" s="38" t="n">
        <f aca="false">C9</f>
        <v>24.4</v>
      </c>
      <c r="E46" s="39" t="n">
        <f aca="false">IF($C46&gt;0,E9/$C46,0)</f>
        <v>25.5411197293077</v>
      </c>
      <c r="F46" s="39" t="n">
        <f aca="false">IF($C46&gt;0,F9/$C46,0)</f>
        <v>25.5411197293077</v>
      </c>
      <c r="G46" s="39" t="n">
        <f aca="false">IF($C46&gt;0,G9/$C46,0)</f>
        <v>25.5411197293077</v>
      </c>
      <c r="H46" s="39" t="n">
        <f aca="false">IF($C46&gt;0,H9/$C46,0)</f>
        <v>25.5411197293077</v>
      </c>
      <c r="I46" s="39" t="n">
        <f aca="false">IF($C46&gt;0,I9/$C46,0)</f>
        <v>25.5411197293077</v>
      </c>
      <c r="J46" s="39" t="n">
        <f aca="false">IF($C46&gt;0,J9/$C46,0)</f>
        <v>12.9892440940978</v>
      </c>
      <c r="K46" s="39" t="n">
        <f aca="false">IF($C46&gt;0,K9/$C46,0)</f>
        <v>12.9892440940978</v>
      </c>
      <c r="L46" s="39" t="n">
        <f aca="false">IF($C46&gt;0,L9/$C46,0)</f>
        <v>12.9892440940978</v>
      </c>
      <c r="M46" s="39" t="n">
        <f aca="false">IF($C46&gt;0,M9/$C46,0)</f>
        <v>12.9892440940978</v>
      </c>
      <c r="N46" s="39" t="n">
        <f aca="false">IF($C46&gt;0,N9/$C46,0)</f>
        <v>12.5518756352099</v>
      </c>
      <c r="O46" s="39" t="n">
        <f aca="false">IF($C46&gt;0,O9/$C46,0)</f>
        <v>9.50827046924966</v>
      </c>
      <c r="P46" s="39" t="n">
        <f aca="false">IF($C46&gt;0,P9/$C46,0)</f>
        <v>9.43038293547509</v>
      </c>
      <c r="Q46" s="39" t="n">
        <f aca="false">IF($C46&gt;0,Q9/$C46,0)</f>
        <v>9.31654730918917</v>
      </c>
      <c r="R46" s="39" t="n">
        <f aca="false">IF($C46&gt;0,R9/$C46,0)</f>
        <v>9.23266842666271</v>
      </c>
      <c r="S46" s="39" t="n">
        <f aca="false">IF($C46&gt;0,S9/$C46,0)</f>
        <v>9.13680684663247</v>
      </c>
      <c r="T46" s="40" t="n">
        <f aca="false">SUM(E46:S46)</f>
        <v>238.839126645349</v>
      </c>
    </row>
    <row r="47" customFormat="false" ht="15" hidden="false" customHeight="true" outlineLevel="0" collapsed="false">
      <c r="A47" s="13" t="str">
        <f aca="false">A10</f>
        <v>City Centre</v>
      </c>
      <c r="B47" s="13" t="str">
        <f aca="false">B10</f>
        <v>City neighbourhood</v>
      </c>
      <c r="C47" s="38" t="n">
        <f aca="false">C10</f>
        <v>35.4</v>
      </c>
      <c r="E47" s="39" t="n">
        <f aca="false">IF($C47&gt;0,E10/$C47,0)</f>
        <v>15.2925081220542</v>
      </c>
      <c r="F47" s="39" t="n">
        <f aca="false">IF($C47&gt;0,F10/$C47,0)</f>
        <v>15.2925081220542</v>
      </c>
      <c r="G47" s="39" t="n">
        <f aca="false">IF($C47&gt;0,G10/$C47,0)</f>
        <v>15.2925081220542</v>
      </c>
      <c r="H47" s="39" t="n">
        <f aca="false">IF($C47&gt;0,H10/$C47,0)</f>
        <v>15.2925081220542</v>
      </c>
      <c r="I47" s="39" t="n">
        <f aca="false">IF($C47&gt;0,I10/$C47,0)</f>
        <v>15.2925081220542</v>
      </c>
      <c r="J47" s="39" t="n">
        <f aca="false">IF($C47&gt;0,J10/$C47,0)</f>
        <v>7.77718921149744</v>
      </c>
      <c r="K47" s="39" t="n">
        <f aca="false">IF($C47&gt;0,K10/$C47,0)</f>
        <v>7.77718921149744</v>
      </c>
      <c r="L47" s="39" t="n">
        <f aca="false">IF($C47&gt;0,L10/$C47,0)</f>
        <v>7.77718921149744</v>
      </c>
      <c r="M47" s="39" t="n">
        <f aca="false">IF($C47&gt;0,M10/$C47,0)</f>
        <v>7.77718921149744</v>
      </c>
      <c r="N47" s="39" t="n">
        <f aca="false">IF($C47&gt;0,N10/$C47,0)</f>
        <v>7.5153189105568</v>
      </c>
      <c r="O47" s="39" t="n">
        <f aca="false">IF($C47&gt;0,O10/$C47,0)</f>
        <v>5.69298859716164</v>
      </c>
      <c r="P47" s="39" t="n">
        <f aca="false">IF($C47&gt;0,P10/$C47,0)</f>
        <v>5.64635416000783</v>
      </c>
      <c r="Q47" s="39" t="n">
        <f aca="false">IF($C47&gt;0,Q10/$C47,0)</f>
        <v>5.57819613647533</v>
      </c>
      <c r="R47" s="39" t="n">
        <f aca="false">IF($C47&gt;0,R10/$C47,0)</f>
        <v>5.52797443492507</v>
      </c>
      <c r="S47" s="39" t="n">
        <f aca="false">IF($C47&gt;0,S10/$C47,0)</f>
        <v>5.47057820458192</v>
      </c>
      <c r="T47" s="40" t="n">
        <f aca="false">SUM(E47:S47)</f>
        <v>143.00270789997</v>
      </c>
    </row>
    <row r="48" customFormat="false" ht="15" hidden="false" customHeight="true" outlineLevel="0" collapsed="false">
      <c r="A48" s="13" t="str">
        <f aca="false">A11</f>
        <v>Corbally/Grove Island</v>
      </c>
      <c r="B48" s="13" t="str">
        <f aca="false">B11</f>
        <v>City neighbourhood</v>
      </c>
      <c r="C48" s="38" t="n">
        <f aca="false">C11</f>
        <v>24.1</v>
      </c>
      <c r="E48" s="39" t="n">
        <f aca="false">IF($C48&gt;0,E11/$C48,0)</f>
        <v>5.68204088904602</v>
      </c>
      <c r="F48" s="39" t="n">
        <f aca="false">IF($C48&gt;0,F11/$C48,0)</f>
        <v>5.68204088904602</v>
      </c>
      <c r="G48" s="39" t="n">
        <f aca="false">IF($C48&gt;0,G11/$C48,0)</f>
        <v>5.68204088904602</v>
      </c>
      <c r="H48" s="39" t="n">
        <f aca="false">IF($C48&gt;0,H11/$C48,0)</f>
        <v>5.68204088904602</v>
      </c>
      <c r="I48" s="39" t="n">
        <f aca="false">IF($C48&gt;0,I11/$C48,0)</f>
        <v>5.68204088904602</v>
      </c>
      <c r="J48" s="39" t="n">
        <f aca="false">IF($C48&gt;0,J11/$C48,0)</f>
        <v>2.88967033719253</v>
      </c>
      <c r="K48" s="39" t="n">
        <f aca="false">IF($C48&gt;0,K11/$C48,0)</f>
        <v>2.88967033719253</v>
      </c>
      <c r="L48" s="39" t="n">
        <f aca="false">IF($C48&gt;0,L11/$C48,0)</f>
        <v>2.88967033719253</v>
      </c>
      <c r="M48" s="39" t="n">
        <f aca="false">IF($C48&gt;0,M11/$C48,0)</f>
        <v>2.88967033719253</v>
      </c>
      <c r="N48" s="39" t="n">
        <f aca="false">IF($C48&gt;0,N11/$C48,0)</f>
        <v>2.79237055185348</v>
      </c>
      <c r="O48" s="39" t="n">
        <f aca="false">IF($C48&gt;0,O11/$C48,0)</f>
        <v>2.11527067579546</v>
      </c>
      <c r="P48" s="39" t="n">
        <f aca="false">IF($C48&gt;0,P11/$C48,0)</f>
        <v>2.09794331676247</v>
      </c>
      <c r="Q48" s="39" t="n">
        <f aca="false">IF($C48&gt;0,Q11/$C48,0)</f>
        <v>2.07261871509889</v>
      </c>
      <c r="R48" s="39" t="n">
        <f aca="false">IF($C48&gt;0,R11/$C48,0)</f>
        <v>2.05395848229414</v>
      </c>
      <c r="S48" s="39" t="n">
        <f aca="false">IF($C48&gt;0,S11/$C48,0)</f>
        <v>2.03263250194585</v>
      </c>
      <c r="T48" s="40" t="n">
        <f aca="false">SUM(E48:S48)</f>
        <v>53.1336800377505</v>
      </c>
    </row>
    <row r="49" customFormat="false" ht="15" hidden="false" customHeight="true" outlineLevel="0" collapsed="false">
      <c r="A49" s="13" t="str">
        <f aca="false">A12</f>
        <v>Dooradoyle</v>
      </c>
      <c r="B49" s="13" t="str">
        <f aca="false">B12</f>
        <v>City neighbourhood</v>
      </c>
      <c r="C49" s="38" t="n">
        <f aca="false">C12</f>
        <v>22.5</v>
      </c>
      <c r="E49" s="39" t="n">
        <f aca="false">IF($C49&gt;0,E12/$C49,0)</f>
        <v>25.950770836605</v>
      </c>
      <c r="F49" s="39" t="n">
        <f aca="false">IF($C49&gt;0,F12/$C49,0)</f>
        <v>25.950770836605</v>
      </c>
      <c r="G49" s="39" t="n">
        <f aca="false">IF($C49&gt;0,G12/$C49,0)</f>
        <v>25.950770836605</v>
      </c>
      <c r="H49" s="39" t="n">
        <f aca="false">IF($C49&gt;0,H12/$C49,0)</f>
        <v>25.950770836605</v>
      </c>
      <c r="I49" s="39" t="n">
        <f aca="false">IF($C49&gt;0,I12/$C49,0)</f>
        <v>25.950770836605</v>
      </c>
      <c r="J49" s="39" t="n">
        <f aca="false">IF($C49&gt;0,J12/$C49,0)</f>
        <v>13.1975770991695</v>
      </c>
      <c r="K49" s="39" t="n">
        <f aca="false">IF($C49&gt;0,K12/$C49,0)</f>
        <v>13.1975770991695</v>
      </c>
      <c r="L49" s="39" t="n">
        <f aca="false">IF($C49&gt;0,L12/$C49,0)</f>
        <v>13.1975770991695</v>
      </c>
      <c r="M49" s="39" t="n">
        <f aca="false">IF($C49&gt;0,M12/$C49,0)</f>
        <v>13.1975770991695</v>
      </c>
      <c r="N49" s="39" t="n">
        <f aca="false">IF($C49&gt;0,N12/$C49,0)</f>
        <v>12.7531937374355</v>
      </c>
      <c r="O49" s="39" t="n">
        <f aca="false">IF($C49&gt;0,O12/$C49,0)</f>
        <v>9.66077253523156</v>
      </c>
      <c r="P49" s="39" t="n">
        <f aca="false">IF($C49&gt;0,P12/$C49,0)</f>
        <v>9.58163577218303</v>
      </c>
      <c r="Q49" s="39" t="n">
        <f aca="false">IF($C49&gt;0,Q12/$C49,0)</f>
        <v>9.46597434926595</v>
      </c>
      <c r="R49" s="39" t="n">
        <f aca="false">IF($C49&gt;0,R12/$C49,0)</f>
        <v>9.380750142906</v>
      </c>
      <c r="S49" s="39" t="n">
        <f aca="false">IF($C49&gt;0,S12/$C49,0)</f>
        <v>9.2833510499232</v>
      </c>
      <c r="T49" s="40" t="n">
        <f aca="false">SUM(E49:S49)</f>
        <v>242.669840166648</v>
      </c>
    </row>
    <row r="50" customFormat="false" ht="15" hidden="false" customHeight="true" outlineLevel="0" collapsed="false">
      <c r="A50" s="13" t="str">
        <f aca="false">A13</f>
        <v>Kings Island</v>
      </c>
      <c r="B50" s="13" t="str">
        <f aca="false">B13</f>
        <v>City neighbourhood</v>
      </c>
      <c r="C50" s="38" t="n">
        <f aca="false">C13</f>
        <v>46.1</v>
      </c>
      <c r="E50" s="39" t="n">
        <f aca="false">IF($C50&gt;0,E13/$C50,0)</f>
        <v>1.46916598090163</v>
      </c>
      <c r="F50" s="39" t="n">
        <f aca="false">IF($C50&gt;0,F13/$C50,0)</f>
        <v>1.46916598090163</v>
      </c>
      <c r="G50" s="39" t="n">
        <f aca="false">IF($C50&gt;0,G13/$C50,0)</f>
        <v>1.46916598090163</v>
      </c>
      <c r="H50" s="39" t="n">
        <f aca="false">IF($C50&gt;0,H13/$C50,0)</f>
        <v>1.46916598090163</v>
      </c>
      <c r="I50" s="39" t="n">
        <f aca="false">IF($C50&gt;0,I13/$C50,0)</f>
        <v>1.46916598090163</v>
      </c>
      <c r="J50" s="39" t="n">
        <f aca="false">IF($C50&gt;0,J13/$C50,0)</f>
        <v>0.747162056437893</v>
      </c>
      <c r="K50" s="39" t="n">
        <f aca="false">IF($C50&gt;0,K13/$C50,0)</f>
        <v>0.747162056437893</v>
      </c>
      <c r="L50" s="39" t="n">
        <f aca="false">IF($C50&gt;0,L13/$C50,0)</f>
        <v>0.747162056437893</v>
      </c>
      <c r="M50" s="39" t="n">
        <f aca="false">IF($C50&gt;0,M13/$C50,0)</f>
        <v>0.747162056437893</v>
      </c>
      <c r="N50" s="39" t="n">
        <f aca="false">IF($C50&gt;0,N13/$C50,0)</f>
        <v>0.722003924463738</v>
      </c>
      <c r="O50" s="39" t="n">
        <f aca="false">IF($C50&gt;0,O13/$C50,0)</f>
        <v>0.546930896479214</v>
      </c>
      <c r="P50" s="39" t="n">
        <f aca="false">IF($C50&gt;0,P13/$C50,0)</f>
        <v>0.542450681196145</v>
      </c>
      <c r="Q50" s="39" t="n">
        <f aca="false">IF($C50&gt;0,Q13/$C50,0)</f>
        <v>0.535902674243968</v>
      </c>
      <c r="R50" s="39" t="n">
        <f aca="false">IF($C50&gt;0,R13/$C50,0)</f>
        <v>0.531077827016048</v>
      </c>
      <c r="S50" s="39" t="n">
        <f aca="false">IF($C50&gt;0,S13/$C50,0)</f>
        <v>0.525563715898425</v>
      </c>
      <c r="T50" s="40" t="n">
        <f aca="false">SUM(E50:S50)</f>
        <v>13.7384078495573</v>
      </c>
    </row>
    <row r="51" customFormat="false" ht="15" hidden="false" customHeight="true" outlineLevel="0" collapsed="false">
      <c r="A51" s="13" t="str">
        <f aca="false">A14</f>
        <v>Singland/Garryowen</v>
      </c>
      <c r="B51" s="13" t="str">
        <f aca="false">B14</f>
        <v>City neighbourhood</v>
      </c>
      <c r="C51" s="38" t="n">
        <f aca="false">C14</f>
        <v>35.3</v>
      </c>
      <c r="E51" s="39" t="n">
        <f aca="false">IF($C51&gt;0,E14/$C51,0)</f>
        <v>9.53457914493474</v>
      </c>
      <c r="F51" s="39" t="n">
        <f aca="false">IF($C51&gt;0,F14/$C51,0)</f>
        <v>9.53457914493474</v>
      </c>
      <c r="G51" s="39" t="n">
        <f aca="false">IF($C51&gt;0,G14/$C51,0)</f>
        <v>9.53457914493474</v>
      </c>
      <c r="H51" s="39" t="n">
        <f aca="false">IF($C51&gt;0,H14/$C51,0)</f>
        <v>9.53457914493474</v>
      </c>
      <c r="I51" s="39" t="n">
        <f aca="false">IF($C51&gt;0,I14/$C51,0)</f>
        <v>9.53457914493474</v>
      </c>
      <c r="J51" s="39" t="n">
        <f aca="false">IF($C51&gt;0,J14/$C51,0)</f>
        <v>4.84892507300458</v>
      </c>
      <c r="K51" s="39" t="n">
        <f aca="false">IF($C51&gt;0,K14/$C51,0)</f>
        <v>4.84892507300458</v>
      </c>
      <c r="L51" s="39" t="n">
        <f aca="false">IF($C51&gt;0,L14/$C51,0)</f>
        <v>4.84892507300458</v>
      </c>
      <c r="M51" s="39" t="n">
        <f aca="false">IF($C51&gt;0,M14/$C51,0)</f>
        <v>4.84892507300458</v>
      </c>
      <c r="N51" s="39" t="n">
        <f aca="false">IF($C51&gt;0,N14/$C51,0)</f>
        <v>4.68565407193016</v>
      </c>
      <c r="O51" s="39" t="n">
        <f aca="false">IF($C51&gt;0,O14/$C51,0)</f>
        <v>3.54946683157669</v>
      </c>
      <c r="P51" s="39" t="n">
        <f aca="false">IF($C51&gt;0,P14/$C51,0)</f>
        <v>3.52039117385111</v>
      </c>
      <c r="Q51" s="39" t="n">
        <f aca="false">IF($C51&gt;0,Q14/$C51,0)</f>
        <v>3.47789598179065</v>
      </c>
      <c r="R51" s="39" t="n">
        <f aca="false">IF($C51&gt;0,R14/$C51,0)</f>
        <v>3.44658373500925</v>
      </c>
      <c r="S51" s="39" t="n">
        <f aca="false">IF($C51&gt;0,S14/$C51,0)</f>
        <v>3.41079831011623</v>
      </c>
      <c r="T51" s="40" t="n">
        <f aca="false">SUM(E51:S51)</f>
        <v>89.1593861209661</v>
      </c>
    </row>
    <row r="52" customFormat="false" ht="15" hidden="false" customHeight="true" outlineLevel="0" collapsed="false">
      <c r="A52" s="13" t="str">
        <f aca="false">A15</f>
        <v>Southhill</v>
      </c>
      <c r="B52" s="13" t="str">
        <f aca="false">B15</f>
        <v>City neighbourhood</v>
      </c>
      <c r="C52" s="38" t="n">
        <f aca="false">C15</f>
        <v>24.4</v>
      </c>
      <c r="E52" s="39" t="n">
        <f aca="false">IF($C52&gt;0,E15/$C52,0)</f>
        <v>7.5629763165584</v>
      </c>
      <c r="F52" s="39" t="n">
        <f aca="false">IF($C52&gt;0,F15/$C52,0)</f>
        <v>7.5629763165584</v>
      </c>
      <c r="G52" s="39" t="n">
        <f aca="false">IF($C52&gt;0,G15/$C52,0)</f>
        <v>7.5629763165584</v>
      </c>
      <c r="H52" s="39" t="n">
        <f aca="false">IF($C52&gt;0,H15/$C52,0)</f>
        <v>7.5629763165584</v>
      </c>
      <c r="I52" s="39" t="n">
        <f aca="false">IF($C52&gt;0,I15/$C52,0)</f>
        <v>7.5629763165584</v>
      </c>
      <c r="J52" s="39" t="n">
        <f aca="false">IF($C52&gt;0,J15/$C52,0)</f>
        <v>3.84624270567643</v>
      </c>
      <c r="K52" s="39" t="n">
        <f aca="false">IF($C52&gt;0,K15/$C52,0)</f>
        <v>3.84624270567643</v>
      </c>
      <c r="L52" s="39" t="n">
        <f aca="false">IF($C52&gt;0,L15/$C52,0)</f>
        <v>3.84624270567643</v>
      </c>
      <c r="M52" s="39" t="n">
        <f aca="false">IF($C52&gt;0,M15/$C52,0)</f>
        <v>3.84624270567643</v>
      </c>
      <c r="N52" s="39" t="n">
        <f aca="false">IF($C52&gt;0,N15/$C52,0)</f>
        <v>3.71673361088197</v>
      </c>
      <c r="O52" s="39" t="n">
        <f aca="false">IF($C52&gt;0,O15/$C52,0)</f>
        <v>2.81549223888768</v>
      </c>
      <c r="P52" s="39" t="n">
        <f aca="false">IF($C52&gt;0,P15/$C52,0)</f>
        <v>2.79242897543113</v>
      </c>
      <c r="Q52" s="39" t="n">
        <f aca="false">IF($C52&gt;0,Q15/$C52,0)</f>
        <v>2.7587211288408</v>
      </c>
      <c r="R52" s="39" t="n">
        <f aca="false">IF($C52&gt;0,R15/$C52,0)</f>
        <v>2.73388376819528</v>
      </c>
      <c r="S52" s="39" t="n">
        <f aca="false">IF($C52&gt;0,S15/$C52,0)</f>
        <v>2.70549821317184</v>
      </c>
      <c r="T52" s="40" t="n">
        <f aca="false">SUM(E52:S52)</f>
        <v>70.7226103409064</v>
      </c>
    </row>
    <row r="53" customFormat="false" ht="15" hidden="false" customHeight="true" outlineLevel="0" collapsed="false">
      <c r="A53" s="13" t="str">
        <f aca="false">A16</f>
        <v>Abbeyfeale</v>
      </c>
      <c r="B53" s="13" t="str">
        <f aca="false">B16</f>
        <v>Key town</v>
      </c>
      <c r="C53" s="38" t="n">
        <f aca="false">C16</f>
        <v>18.1</v>
      </c>
      <c r="E53" s="39" t="n">
        <f aca="false">IF($C53&gt;0,E16/$C53,0)</f>
        <v>3.1860346088605</v>
      </c>
      <c r="F53" s="39" t="n">
        <f aca="false">IF($C53&gt;0,F16/$C53,0)</f>
        <v>3.1860346088605</v>
      </c>
      <c r="G53" s="39" t="n">
        <f aca="false">IF($C53&gt;0,G16/$C53,0)</f>
        <v>3.1860346088605</v>
      </c>
      <c r="H53" s="39" t="n">
        <f aca="false">IF($C53&gt;0,H16/$C53,0)</f>
        <v>3.1860346088605</v>
      </c>
      <c r="I53" s="39" t="n">
        <f aca="false">IF($C53&gt;0,I16/$C53,0)</f>
        <v>3.1860346088605</v>
      </c>
      <c r="J53" s="39" t="n">
        <f aca="false">IF($C53&gt;0,J16/$C53,0)</f>
        <v>1.62029627774092</v>
      </c>
      <c r="K53" s="39" t="n">
        <f aca="false">IF($C53&gt;0,K16/$C53,0)</f>
        <v>1.62029627774092</v>
      </c>
      <c r="L53" s="39" t="n">
        <f aca="false">IF($C53&gt;0,L16/$C53,0)</f>
        <v>1.62029627774092</v>
      </c>
      <c r="M53" s="39" t="n">
        <f aca="false">IF($C53&gt;0,M16/$C53,0)</f>
        <v>1.62029627774092</v>
      </c>
      <c r="N53" s="39" t="n">
        <f aca="false">IF($C53&gt;0,N16/$C53,0)</f>
        <v>1.56573833111957</v>
      </c>
      <c r="O53" s="39" t="n">
        <f aca="false">IF($C53&gt;0,O16/$C53,0)</f>
        <v>1.18607481216552</v>
      </c>
      <c r="P53" s="39" t="n">
        <f aca="false">IF($C53&gt;0,P16/$C53,0)</f>
        <v>1.17635901345213</v>
      </c>
      <c r="Q53" s="39" t="n">
        <f aca="false">IF($C53&gt;0,Q16/$C53,0)</f>
        <v>1.16215899994794</v>
      </c>
      <c r="R53" s="39" t="n">
        <f aca="false">IF($C53&gt;0,R16/$C53,0)</f>
        <v>1.15169583210275</v>
      </c>
      <c r="S53" s="39" t="n">
        <f aca="false">IF($C53&gt;0,S16/$C53,0)</f>
        <v>1.13973792599396</v>
      </c>
      <c r="T53" s="40" t="n">
        <f aca="false">SUM(E53:S53)</f>
        <v>29.7931230700481</v>
      </c>
    </row>
    <row r="54" customFormat="false" ht="15" hidden="false" customHeight="true" outlineLevel="0" collapsed="false">
      <c r="A54" s="13" t="str">
        <f aca="false">A17</f>
        <v>Caherconlish</v>
      </c>
      <c r="B54" s="13" t="str">
        <f aca="false">B17</f>
        <v>Key town</v>
      </c>
      <c r="C54" s="38" t="n">
        <f aca="false">C17</f>
        <v>20.3</v>
      </c>
      <c r="E54" s="39" t="n">
        <f aca="false">IF($C54&gt;0,E17/$C54,0)</f>
        <v>1.68485866218864</v>
      </c>
      <c r="F54" s="39" t="n">
        <f aca="false">IF($C54&gt;0,F17/$C54,0)</f>
        <v>1.68485866218864</v>
      </c>
      <c r="G54" s="39" t="n">
        <f aca="false">IF($C54&gt;0,G17/$C54,0)</f>
        <v>1.68485866218864</v>
      </c>
      <c r="H54" s="39" t="n">
        <f aca="false">IF($C54&gt;0,H17/$C54,0)</f>
        <v>1.68485866218864</v>
      </c>
      <c r="I54" s="39" t="n">
        <f aca="false">IF($C54&gt;0,I17/$C54,0)</f>
        <v>1.68485866218864</v>
      </c>
      <c r="J54" s="39" t="n">
        <f aca="false">IF($C54&gt;0,J17/$C54,0)</f>
        <v>0.856855167634287</v>
      </c>
      <c r="K54" s="39" t="n">
        <f aca="false">IF($C54&gt;0,K17/$C54,0)</f>
        <v>0.856855167634287</v>
      </c>
      <c r="L54" s="39" t="n">
        <f aca="false">IF($C54&gt;0,L17/$C54,0)</f>
        <v>0.856855167634287</v>
      </c>
      <c r="M54" s="39" t="n">
        <f aca="false">IF($C54&gt;0,M17/$C54,0)</f>
        <v>0.856855167634287</v>
      </c>
      <c r="N54" s="39" t="n">
        <f aca="false">IF($C54&gt;0,N17/$C54,0)</f>
        <v>0.82800349455435</v>
      </c>
      <c r="O54" s="39" t="n">
        <f aca="false">IF($C54&gt;0,O17/$C54,0)</f>
        <v>0.627227468189859</v>
      </c>
      <c r="P54" s="39" t="n">
        <f aca="false">IF($C54&gt;0,P17/$C54,0)</f>
        <v>0.62208949901124</v>
      </c>
      <c r="Q54" s="39" t="n">
        <f aca="false">IF($C54&gt;0,Q17/$C54,0)</f>
        <v>0.614580159442489</v>
      </c>
      <c r="R54" s="39" t="n">
        <f aca="false">IF($C54&gt;0,R17/$C54,0)</f>
        <v>0.609046961865515</v>
      </c>
      <c r="S54" s="39" t="n">
        <f aca="false">IF($C54&gt;0,S17/$C54,0)</f>
        <v>0.60272330749183</v>
      </c>
      <c r="T54" s="40" t="n">
        <f aca="false">SUM(E54:S54)</f>
        <v>15.7553848720356</v>
      </c>
    </row>
    <row r="55" customFormat="false" ht="15" hidden="false" customHeight="true" outlineLevel="0" collapsed="false">
      <c r="A55" s="13" t="str">
        <f aca="false">A18</f>
        <v>Castleconnell</v>
      </c>
      <c r="B55" s="13" t="str">
        <f aca="false">B18</f>
        <v>Key town</v>
      </c>
      <c r="C55" s="38" t="n">
        <f aca="false">C18</f>
        <v>18.4</v>
      </c>
      <c r="E55" s="39" t="n">
        <f aca="false">IF($C55&gt;0,E18/$C55,0)</f>
        <v>3.04763078158654</v>
      </c>
      <c r="F55" s="39" t="n">
        <f aca="false">IF($C55&gt;0,F18/$C55,0)</f>
        <v>3.04763078158654</v>
      </c>
      <c r="G55" s="39" t="n">
        <f aca="false">IF($C55&gt;0,G18/$C55,0)</f>
        <v>3.04763078158654</v>
      </c>
      <c r="H55" s="39" t="n">
        <f aca="false">IF($C55&gt;0,H18/$C55,0)</f>
        <v>3.04763078158654</v>
      </c>
      <c r="I55" s="39" t="n">
        <f aca="false">IF($C55&gt;0,I18/$C55,0)</f>
        <v>3.04763078158654</v>
      </c>
      <c r="J55" s="39" t="n">
        <f aca="false">IF($C55&gt;0,J18/$C55,0)</f>
        <v>1.54990934423636</v>
      </c>
      <c r="K55" s="39" t="n">
        <f aca="false">IF($C55&gt;0,K18/$C55,0)</f>
        <v>1.54990934423636</v>
      </c>
      <c r="L55" s="39" t="n">
        <f aca="false">IF($C55&gt;0,L18/$C55,0)</f>
        <v>1.54990934423636</v>
      </c>
      <c r="M55" s="39" t="n">
        <f aca="false">IF($C55&gt;0,M18/$C55,0)</f>
        <v>1.54990934423636</v>
      </c>
      <c r="N55" s="39" t="n">
        <f aca="false">IF($C55&gt;0,N18/$C55,0)</f>
        <v>1.49772143735017</v>
      </c>
      <c r="O55" s="39" t="n">
        <f aca="false">IF($C55&gt;0,O18/$C55,0)</f>
        <v>1.13455079764903</v>
      </c>
      <c r="P55" s="39" t="n">
        <f aca="false">IF($C55&gt;0,P18/$C55,0)</f>
        <v>1.12525706080629</v>
      </c>
      <c r="Q55" s="39" t="n">
        <f aca="false">IF($C55&gt;0,Q18/$C55,0)</f>
        <v>1.1116739069592</v>
      </c>
      <c r="R55" s="39" t="n">
        <f aca="false">IF($C55&gt;0,R18/$C55,0)</f>
        <v>1.1016652672824</v>
      </c>
      <c r="S55" s="39" t="n">
        <f aca="false">IF($C55&gt;0,S18/$C55,0)</f>
        <v>1.09022682193748</v>
      </c>
      <c r="T55" s="40" t="n">
        <f aca="false">SUM(E55:S55)</f>
        <v>28.4988865768627</v>
      </c>
    </row>
    <row r="56" customFormat="false" ht="15" hidden="false" customHeight="true" outlineLevel="0" collapsed="false">
      <c r="A56" s="13" t="str">
        <f aca="false">A19</f>
        <v>Kilmallock</v>
      </c>
      <c r="B56" s="13" t="str">
        <f aca="false">B19</f>
        <v>Key town</v>
      </c>
      <c r="C56" s="38" t="n">
        <f aca="false">C19</f>
        <v>17.2</v>
      </c>
      <c r="E56" s="39" t="n">
        <f aca="false">IF($C56&gt;0,E19/$C56,0)</f>
        <v>2.57814584838485</v>
      </c>
      <c r="F56" s="39" t="n">
        <f aca="false">IF($C56&gt;0,F19/$C56,0)</f>
        <v>2.57814584838485</v>
      </c>
      <c r="G56" s="39" t="n">
        <f aca="false">IF($C56&gt;0,G19/$C56,0)</f>
        <v>2.57814584838485</v>
      </c>
      <c r="H56" s="39" t="n">
        <f aca="false">IF($C56&gt;0,H19/$C56,0)</f>
        <v>2.57814584838485</v>
      </c>
      <c r="I56" s="39" t="n">
        <f aca="false">IF($C56&gt;0,I19/$C56,0)</f>
        <v>2.57814584838485</v>
      </c>
      <c r="J56" s="39" t="n">
        <f aca="false">IF($C56&gt;0,J19/$C56,0)</f>
        <v>1.31114712627219</v>
      </c>
      <c r="K56" s="39" t="n">
        <f aca="false">IF($C56&gt;0,K19/$C56,0)</f>
        <v>1.31114712627219</v>
      </c>
      <c r="L56" s="39" t="n">
        <f aca="false">IF($C56&gt;0,L19/$C56,0)</f>
        <v>1.31114712627219</v>
      </c>
      <c r="M56" s="39" t="n">
        <f aca="false">IF($C56&gt;0,M19/$C56,0)</f>
        <v>1.31114712627219</v>
      </c>
      <c r="N56" s="39" t="n">
        <f aca="false">IF($C56&gt;0,N19/$C56,0)</f>
        <v>1.26699872211266</v>
      </c>
      <c r="O56" s="39" t="n">
        <f aca="false">IF($C56&gt;0,O19/$C56,0)</f>
        <v>0.959774210975078</v>
      </c>
      <c r="P56" s="39" t="n">
        <f aca="false">IF($C56&gt;0,P19/$C56,0)</f>
        <v>0.951912166398723</v>
      </c>
      <c r="Q56" s="39" t="n">
        <f aca="false">IF($C56&gt;0,Q19/$C56,0)</f>
        <v>0.940421485864049</v>
      </c>
      <c r="R56" s="39" t="n">
        <f aca="false">IF($C56&gt;0,R19/$C56,0)</f>
        <v>0.931954668627974</v>
      </c>
      <c r="S56" s="39" t="n">
        <f aca="false">IF($C56&gt;0,S19/$C56,0)</f>
        <v>0.92227830607246</v>
      </c>
      <c r="T56" s="40" t="n">
        <f aca="false">SUM(E56:S56)</f>
        <v>24.108657307064</v>
      </c>
    </row>
    <row r="57" customFormat="false" ht="15" hidden="false" customHeight="true" outlineLevel="0" collapsed="false">
      <c r="A57" s="13" t="str">
        <f aca="false">A20</f>
        <v>Newcastle West</v>
      </c>
      <c r="B57" s="13" t="str">
        <f aca="false">B20</f>
        <v>Key town</v>
      </c>
      <c r="C57" s="38" t="n">
        <f aca="false">C20</f>
        <v>22.9</v>
      </c>
      <c r="E57" s="39" t="n">
        <f aca="false">IF($C57&gt;0,E20/$C57,0)</f>
        <v>8.43169354828854</v>
      </c>
      <c r="F57" s="39" t="n">
        <f aca="false">IF($C57&gt;0,F20/$C57,0)</f>
        <v>8.43169354828854</v>
      </c>
      <c r="G57" s="39" t="n">
        <f aca="false">IF($C57&gt;0,G20/$C57,0)</f>
        <v>8.43169354828854</v>
      </c>
      <c r="H57" s="39" t="n">
        <f aca="false">IF($C57&gt;0,H20/$C57,0)</f>
        <v>8.43169354828854</v>
      </c>
      <c r="I57" s="39" t="n">
        <f aca="false">IF($C57&gt;0,I20/$C57,0)</f>
        <v>8.43169354828854</v>
      </c>
      <c r="J57" s="39" t="n">
        <f aca="false">IF($C57&gt;0,J20/$C57,0)</f>
        <v>4.28803931801303</v>
      </c>
      <c r="K57" s="39" t="n">
        <f aca="false">IF($C57&gt;0,K20/$C57,0)</f>
        <v>4.28803931801303</v>
      </c>
      <c r="L57" s="39" t="n">
        <f aca="false">IF($C57&gt;0,L20/$C57,0)</f>
        <v>4.28803931801303</v>
      </c>
      <c r="M57" s="39" t="n">
        <f aca="false">IF($C57&gt;0,M20/$C57,0)</f>
        <v>4.28803931801303</v>
      </c>
      <c r="N57" s="39" t="n">
        <f aca="false">IF($C57&gt;0,N20/$C57,0)</f>
        <v>4.14365423027551</v>
      </c>
      <c r="O57" s="39" t="n">
        <f aca="false">IF($C57&gt;0,O20/$C57,0)</f>
        <v>3.13889224985548</v>
      </c>
      <c r="P57" s="39" t="n">
        <f aca="false">IF($C57&gt;0,P20/$C57,0)</f>
        <v>3.11317983697071</v>
      </c>
      <c r="Q57" s="39" t="n">
        <f aca="false">IF($C57&gt;0,Q20/$C57,0)</f>
        <v>3.07560015660067</v>
      </c>
      <c r="R57" s="39" t="n">
        <f aca="false">IF($C57&gt;0,R20/$C57,0)</f>
        <v>3.0479098658017</v>
      </c>
      <c r="S57" s="39" t="n">
        <f aca="false">IF($C57&gt;0,S20/$C57,0)</f>
        <v>3.01626381917429</v>
      </c>
      <c r="T57" s="40" t="n">
        <f aca="false">SUM(E57:S57)</f>
        <v>78.8461251721732</v>
      </c>
    </row>
    <row r="58" customFormat="false" ht="15" hidden="false" customHeight="true" outlineLevel="0" collapsed="false">
      <c r="A58" s="13" t="str">
        <f aca="false">A21</f>
        <v>Rathkeale</v>
      </c>
      <c r="B58" s="13" t="str">
        <f aca="false">B21</f>
        <v>Key town</v>
      </c>
      <c r="C58" s="38" t="n">
        <f aca="false">C21</f>
        <v>16.5</v>
      </c>
      <c r="E58" s="39" t="n">
        <f aca="false">IF($C58&gt;0,E21/$C58,0)</f>
        <v>2.43443672662816</v>
      </c>
      <c r="F58" s="39" t="n">
        <f aca="false">IF($C58&gt;0,F21/$C58,0)</f>
        <v>2.43443672662816</v>
      </c>
      <c r="G58" s="39" t="n">
        <f aca="false">IF($C58&gt;0,G21/$C58,0)</f>
        <v>2.43443672662816</v>
      </c>
      <c r="H58" s="39" t="n">
        <f aca="false">IF($C58&gt;0,H21/$C58,0)</f>
        <v>2.43443672662816</v>
      </c>
      <c r="I58" s="39" t="n">
        <f aca="false">IF($C58&gt;0,I21/$C58,0)</f>
        <v>2.43443672662816</v>
      </c>
      <c r="J58" s="39" t="n">
        <f aca="false">IF($C58&gt;0,J21/$C58,0)</f>
        <v>1.23806212135347</v>
      </c>
      <c r="K58" s="39" t="n">
        <f aca="false">IF($C58&gt;0,K21/$C58,0)</f>
        <v>1.23806212135347</v>
      </c>
      <c r="L58" s="39" t="n">
        <f aca="false">IF($C58&gt;0,L21/$C58,0)</f>
        <v>1.23806212135347</v>
      </c>
      <c r="M58" s="39" t="n">
        <f aca="false">IF($C58&gt;0,M21/$C58,0)</f>
        <v>1.23806212135347</v>
      </c>
      <c r="N58" s="39" t="n">
        <f aca="false">IF($C58&gt;0,N21/$C58,0)</f>
        <v>1.19637460527469</v>
      </c>
      <c r="O58" s="39" t="n">
        <f aca="false">IF($C58&gt;0,O21/$C58,0)</f>
        <v>0.906275178315481</v>
      </c>
      <c r="P58" s="39" t="n">
        <f aca="false">IF($C58&gt;0,P21/$C58,0)</f>
        <v>0.898851374082272</v>
      </c>
      <c r="Q58" s="39" t="n">
        <f aca="false">IF($C58&gt;0,Q21/$C58,0)</f>
        <v>0.888001198664507</v>
      </c>
      <c r="R58" s="39" t="n">
        <f aca="false">IF($C58&gt;0,R21/$C58,0)</f>
        <v>0.880006332567206</v>
      </c>
      <c r="S58" s="39" t="n">
        <f aca="false">IF($C58&gt;0,S21/$C58,0)</f>
        <v>0.870869342741719</v>
      </c>
      <c r="T58" s="40" t="n">
        <f aca="false">SUM(E58:S58)</f>
        <v>22.7648101502006</v>
      </c>
    </row>
    <row r="59" customFormat="false" ht="15" hidden="false" customHeight="true" outlineLevel="0" collapsed="false">
      <c r="A59" s="13" t="str">
        <f aca="false">A22</f>
        <v>Adare</v>
      </c>
      <c r="B59" s="13" t="str">
        <f aca="false">B22</f>
        <v>Village</v>
      </c>
      <c r="C59" s="38" t="n">
        <f aca="false">C22</f>
        <v>12.9</v>
      </c>
      <c r="E59" s="39" t="n">
        <f aca="false">IF($C59&gt;0,E22/$C59,0)</f>
        <v>3.08298457205961</v>
      </c>
      <c r="F59" s="39" t="n">
        <f aca="false">IF($C59&gt;0,F22/$C59,0)</f>
        <v>3.08298457205961</v>
      </c>
      <c r="G59" s="39" t="n">
        <f aca="false">IF($C59&gt;0,G22/$C59,0)</f>
        <v>3.08298457205961</v>
      </c>
      <c r="H59" s="39" t="n">
        <f aca="false">IF($C59&gt;0,H22/$C59,0)</f>
        <v>3.08298457205961</v>
      </c>
      <c r="I59" s="39" t="n">
        <f aca="false">IF($C59&gt;0,I22/$C59,0)</f>
        <v>3.08298457205961</v>
      </c>
      <c r="J59" s="39" t="n">
        <f aca="false">IF($C59&gt;0,J22/$C59,0)</f>
        <v>1.56788894023581</v>
      </c>
      <c r="K59" s="39" t="n">
        <f aca="false">IF($C59&gt;0,K22/$C59,0)</f>
        <v>1.56788894023581</v>
      </c>
      <c r="L59" s="39" t="n">
        <f aca="false">IF($C59&gt;0,L22/$C59,0)</f>
        <v>1.56788894023581</v>
      </c>
      <c r="M59" s="39" t="n">
        <f aca="false">IF($C59&gt;0,M22/$C59,0)</f>
        <v>1.56788894023581</v>
      </c>
      <c r="N59" s="39" t="n">
        <f aca="false">IF($C59&gt;0,N22/$C59,0)</f>
        <v>1.51509563182381</v>
      </c>
      <c r="O59" s="39" t="n">
        <f aca="false">IF($C59&gt;0,O22/$C59,0)</f>
        <v>1.14771206095674</v>
      </c>
      <c r="P59" s="39" t="n">
        <f aca="false">IF($C59&gt;0,P22/$C59,0)</f>
        <v>1.13831051288338</v>
      </c>
      <c r="Q59" s="39" t="n">
        <f aca="false">IF($C59&gt;0,Q22/$C59,0)</f>
        <v>1.12456978877614</v>
      </c>
      <c r="R59" s="39" t="n">
        <f aca="false">IF($C59&gt;0,R22/$C59,0)</f>
        <v>1.11444504469713</v>
      </c>
      <c r="S59" s="39" t="n">
        <f aca="false">IF($C59&gt;0,S22/$C59,0)</f>
        <v>1.10287390860683</v>
      </c>
      <c r="T59" s="40" t="n">
        <f aca="false">SUM(E59:S59)</f>
        <v>28.8294855689853</v>
      </c>
    </row>
    <row r="60" customFormat="false" ht="15" hidden="false" customHeight="true" outlineLevel="0" collapsed="false">
      <c r="A60" s="13" t="str">
        <f aca="false">A23</f>
        <v>Askeaton</v>
      </c>
      <c r="B60" s="13" t="str">
        <f aca="false">B23</f>
        <v>Village</v>
      </c>
      <c r="C60" s="38" t="n">
        <f aca="false">C23</f>
        <v>17.6</v>
      </c>
      <c r="E60" s="39" t="n">
        <f aca="false">IF($C60&gt;0,E23/$C60,0)</f>
        <v>1.84164535786072</v>
      </c>
      <c r="F60" s="39" t="n">
        <f aca="false">IF($C60&gt;0,F23/$C60,0)</f>
        <v>1.84164535786072</v>
      </c>
      <c r="G60" s="39" t="n">
        <f aca="false">IF($C60&gt;0,G23/$C60,0)</f>
        <v>1.84164535786072</v>
      </c>
      <c r="H60" s="39" t="n">
        <f aca="false">IF($C60&gt;0,H23/$C60,0)</f>
        <v>1.84164535786072</v>
      </c>
      <c r="I60" s="39" t="n">
        <f aca="false">IF($C60&gt;0,I23/$C60,0)</f>
        <v>1.84164535786072</v>
      </c>
      <c r="J60" s="39" t="n">
        <f aca="false">IF($C60&gt;0,J23/$C60,0)</f>
        <v>0.936590930293701</v>
      </c>
      <c r="K60" s="39" t="n">
        <f aca="false">IF($C60&gt;0,K23/$C60,0)</f>
        <v>0.936590930293701</v>
      </c>
      <c r="L60" s="39" t="n">
        <f aca="false">IF($C60&gt;0,L23/$C60,0)</f>
        <v>0.936590930293701</v>
      </c>
      <c r="M60" s="39" t="n">
        <f aca="false">IF($C60&gt;0,M23/$C60,0)</f>
        <v>0.936590930293701</v>
      </c>
      <c r="N60" s="39" t="n">
        <f aca="false">IF($C60&gt;0,N23/$C60,0)</f>
        <v>0.905054427567022</v>
      </c>
      <c r="O60" s="39" t="n">
        <f aca="false">IF($C60&gt;0,O23/$C60,0)</f>
        <v>0.685594929140269</v>
      </c>
      <c r="P60" s="39" t="n">
        <f aca="false">IF($C60&gt;0,P23/$C60,0)</f>
        <v>0.6799788396136</v>
      </c>
      <c r="Q60" s="39" t="n">
        <f aca="false">IF($C60&gt;0,Q23/$C60,0)</f>
        <v>0.67177070876693</v>
      </c>
      <c r="R60" s="39" t="n">
        <f aca="false">IF($C60&gt;0,R23/$C60,0)</f>
        <v>0.665722612353595</v>
      </c>
      <c r="S60" s="39" t="n">
        <f aca="false">IF($C60&gt;0,S23/$C60,0)</f>
        <v>0.658810502166925</v>
      </c>
      <c r="T60" s="40" t="n">
        <f aca="false">SUM(E60:S60)</f>
        <v>17.2215225300868</v>
      </c>
    </row>
    <row r="61" customFormat="false" ht="15" hidden="false" customHeight="true" outlineLevel="0" collapsed="false">
      <c r="A61" s="13" t="str">
        <f aca="false">A24</f>
        <v>Bruff</v>
      </c>
      <c r="B61" s="13" t="str">
        <f aca="false">B24</f>
        <v>Village</v>
      </c>
      <c r="C61" s="38" t="n">
        <f aca="false">C24</f>
        <v>14.2</v>
      </c>
      <c r="E61" s="39" t="n">
        <f aca="false">IF($C61&gt;0,E24/$C61,0)</f>
        <v>1.59642151819397</v>
      </c>
      <c r="F61" s="39" t="n">
        <f aca="false">IF($C61&gt;0,F24/$C61,0)</f>
        <v>1.59642151819397</v>
      </c>
      <c r="G61" s="39" t="n">
        <f aca="false">IF($C61&gt;0,G24/$C61,0)</f>
        <v>1.59642151819397</v>
      </c>
      <c r="H61" s="39" t="n">
        <f aca="false">IF($C61&gt;0,H24/$C61,0)</f>
        <v>1.59642151819397</v>
      </c>
      <c r="I61" s="39" t="n">
        <f aca="false">IF($C61&gt;0,I24/$C61,0)</f>
        <v>1.59642151819397</v>
      </c>
      <c r="J61" s="39" t="n">
        <f aca="false">IF($C61&gt;0,J24/$C61,0)</f>
        <v>0.811879392785484</v>
      </c>
      <c r="K61" s="39" t="n">
        <f aca="false">IF($C61&gt;0,K24/$C61,0)</f>
        <v>0.811879392785484</v>
      </c>
      <c r="L61" s="39" t="n">
        <f aca="false">IF($C61&gt;0,L24/$C61,0)</f>
        <v>0.811879392785484</v>
      </c>
      <c r="M61" s="39" t="n">
        <f aca="false">IF($C61&gt;0,M24/$C61,0)</f>
        <v>0.811879392785484</v>
      </c>
      <c r="N61" s="39" t="n">
        <f aca="false">IF($C61&gt;0,N24/$C61,0)</f>
        <v>0.784542125408482</v>
      </c>
      <c r="O61" s="39" t="n">
        <f aca="false">IF($C61&gt;0,O24/$C61,0)</f>
        <v>0.594304703113729</v>
      </c>
      <c r="P61" s="39" t="n">
        <f aca="false">IF($C61&gt;0,P24/$C61,0)</f>
        <v>0.589436422621934</v>
      </c>
      <c r="Q61" s="39" t="n">
        <f aca="false">IF($C61&gt;0,Q24/$C61,0)</f>
        <v>0.582321243441618</v>
      </c>
      <c r="R61" s="39" t="n">
        <f aca="false">IF($C61&gt;0,R24/$C61,0)</f>
        <v>0.57707847983507</v>
      </c>
      <c r="S61" s="39" t="n">
        <f aca="false">IF($C61&gt;0,S24/$C61,0)</f>
        <v>0.571086749999015</v>
      </c>
      <c r="T61" s="40" t="n">
        <f aca="false">SUM(E61:S61)</f>
        <v>14.9283948865316</v>
      </c>
    </row>
    <row r="62" customFormat="false" ht="15" hidden="false" customHeight="true" outlineLevel="0" collapsed="false">
      <c r="A62" s="13" t="str">
        <f aca="false">A25</f>
        <v>Cappamore</v>
      </c>
      <c r="B62" s="13" t="str">
        <f aca="false">B25</f>
        <v>Village</v>
      </c>
      <c r="C62" s="38" t="n">
        <f aca="false">C25</f>
        <v>21.6</v>
      </c>
      <c r="E62" s="39" t="n">
        <f aca="false">IF($C62&gt;0,E25/$C62,0)</f>
        <v>0.819345969255009</v>
      </c>
      <c r="F62" s="39" t="n">
        <f aca="false">IF($C62&gt;0,F25/$C62,0)</f>
        <v>0.819345969255009</v>
      </c>
      <c r="G62" s="39" t="n">
        <f aca="false">IF($C62&gt;0,G25/$C62,0)</f>
        <v>0.819345969255009</v>
      </c>
      <c r="H62" s="39" t="n">
        <f aca="false">IF($C62&gt;0,H25/$C62,0)</f>
        <v>0.819345969255009</v>
      </c>
      <c r="I62" s="39" t="n">
        <f aca="false">IF($C62&gt;0,I25/$C62,0)</f>
        <v>0.819345969255009</v>
      </c>
      <c r="J62" s="39" t="n">
        <f aca="false">IF($C62&gt;0,J25/$C62,0)</f>
        <v>0.416688262102946</v>
      </c>
      <c r="K62" s="39" t="n">
        <f aca="false">IF($C62&gt;0,K25/$C62,0)</f>
        <v>0.416688262102946</v>
      </c>
      <c r="L62" s="39" t="n">
        <f aca="false">IF($C62&gt;0,L25/$C62,0)</f>
        <v>0.416688262102946</v>
      </c>
      <c r="M62" s="39" t="n">
        <f aca="false">IF($C62&gt;0,M25/$C62,0)</f>
        <v>0.416688262102946</v>
      </c>
      <c r="N62" s="39" t="n">
        <f aca="false">IF($C62&gt;0,N25/$C62,0)</f>
        <v>0.402657707152063</v>
      </c>
      <c r="O62" s="39" t="n">
        <f aca="false">IF($C62&gt;0,O25/$C62,0)</f>
        <v>0.305020420644546</v>
      </c>
      <c r="P62" s="39" t="n">
        <f aca="false">IF($C62&gt;0,P25/$C62,0)</f>
        <v>0.302521828666991</v>
      </c>
      <c r="Q62" s="39" t="n">
        <f aca="false">IF($C62&gt;0,Q25/$C62,0)</f>
        <v>0.298870040392104</v>
      </c>
      <c r="R62" s="39" t="n">
        <f aca="false">IF($C62&gt;0,R25/$C62,0)</f>
        <v>0.296179249031661</v>
      </c>
      <c r="S62" s="39" t="n">
        <f aca="false">IF($C62&gt;0,S25/$C62,0)</f>
        <v>0.29310405890544</v>
      </c>
      <c r="T62" s="40" t="n">
        <f aca="false">SUM(E62:S62)</f>
        <v>7.66183619947964</v>
      </c>
    </row>
    <row r="63" customFormat="false" ht="15" hidden="false" customHeight="true" outlineLevel="0" collapsed="false">
      <c r="A63" s="13" t="str">
        <f aca="false">A26</f>
        <v>Croom</v>
      </c>
      <c r="B63" s="13" t="str">
        <f aca="false">B26</f>
        <v>Village</v>
      </c>
      <c r="C63" s="38" t="n">
        <f aca="false">C26</f>
        <v>16</v>
      </c>
      <c r="E63" s="39" t="n">
        <f aca="false">IF($C63&gt;0,E26/$C63,0)</f>
        <v>1.77724426252449</v>
      </c>
      <c r="F63" s="39" t="n">
        <f aca="false">IF($C63&gt;0,F26/$C63,0)</f>
        <v>1.77724426252449</v>
      </c>
      <c r="G63" s="39" t="n">
        <f aca="false">IF($C63&gt;0,G26/$C63,0)</f>
        <v>1.77724426252449</v>
      </c>
      <c r="H63" s="39" t="n">
        <f aca="false">IF($C63&gt;0,H26/$C63,0)</f>
        <v>1.77724426252449</v>
      </c>
      <c r="I63" s="39" t="n">
        <f aca="false">IF($C63&gt;0,I26/$C63,0)</f>
        <v>1.77724426252449</v>
      </c>
      <c r="J63" s="39" t="n">
        <f aca="false">IF($C63&gt;0,J26/$C63,0)</f>
        <v>0.903838977516559</v>
      </c>
      <c r="K63" s="39" t="n">
        <f aca="false">IF($C63&gt;0,K26/$C63,0)</f>
        <v>0.903838977516559</v>
      </c>
      <c r="L63" s="39" t="n">
        <f aca="false">IF($C63&gt;0,L26/$C63,0)</f>
        <v>0.903838977516559</v>
      </c>
      <c r="M63" s="39" t="n">
        <f aca="false">IF($C63&gt;0,M26/$C63,0)</f>
        <v>0.903838977516559</v>
      </c>
      <c r="N63" s="39" t="n">
        <f aca="false">IF($C63&gt;0,N26/$C63,0)</f>
        <v>0.87340528500793</v>
      </c>
      <c r="O63" s="39" t="n">
        <f aca="false">IF($C63&gt;0,O26/$C63,0)</f>
        <v>0.661620137139659</v>
      </c>
      <c r="P63" s="39" t="n">
        <f aca="false">IF($C63&gt;0,P26/$C63,0)</f>
        <v>0.656200438473738</v>
      </c>
      <c r="Q63" s="39" t="n">
        <f aca="false">IF($C63&gt;0,Q26/$C63,0)</f>
        <v>0.648279340423547</v>
      </c>
      <c r="R63" s="39" t="n">
        <f aca="false">IF($C63&gt;0,R26/$C63,0)</f>
        <v>0.642442741860248</v>
      </c>
      <c r="S63" s="39" t="n">
        <f aca="false">IF($C63&gt;0,S26/$C63,0)</f>
        <v>0.635772343502192</v>
      </c>
      <c r="T63" s="40" t="n">
        <f aca="false">SUM(E63:S63)</f>
        <v>16.619297509096</v>
      </c>
    </row>
    <row r="64" customFormat="false" ht="15" hidden="false" customHeight="true" outlineLevel="0" collapsed="false">
      <c r="A64" s="13" t="str">
        <f aca="false">A27</f>
        <v>Hospital</v>
      </c>
      <c r="B64" s="13" t="str">
        <f aca="false">B27</f>
        <v>Village</v>
      </c>
      <c r="C64" s="38" t="n">
        <f aca="false">C27</f>
        <v>16.6</v>
      </c>
      <c r="E64" s="39" t="n">
        <f aca="false">IF($C64&gt;0,E27/$C64,0)</f>
        <v>1.05415785728978</v>
      </c>
      <c r="F64" s="39" t="n">
        <f aca="false">IF($C64&gt;0,F27/$C64,0)</f>
        <v>1.05415785728978</v>
      </c>
      <c r="G64" s="39" t="n">
        <f aca="false">IF($C64&gt;0,G27/$C64,0)</f>
        <v>1.05415785728978</v>
      </c>
      <c r="H64" s="39" t="n">
        <f aca="false">IF($C64&gt;0,H27/$C64,0)</f>
        <v>1.05415785728978</v>
      </c>
      <c r="I64" s="39" t="n">
        <f aca="false">IF($C64&gt;0,I27/$C64,0)</f>
        <v>1.05415785728978</v>
      </c>
      <c r="J64" s="39" t="n">
        <f aca="false">IF($C64&gt;0,J27/$C64,0)</f>
        <v>0.536104676191472</v>
      </c>
      <c r="K64" s="39" t="n">
        <f aca="false">IF($C64&gt;0,K27/$C64,0)</f>
        <v>0.536104676191472</v>
      </c>
      <c r="L64" s="39" t="n">
        <f aca="false">IF($C64&gt;0,L27/$C64,0)</f>
        <v>0.536104676191472</v>
      </c>
      <c r="M64" s="39" t="n">
        <f aca="false">IF($C64&gt;0,M27/$C64,0)</f>
        <v>0.536104676191472</v>
      </c>
      <c r="N64" s="39" t="n">
        <f aca="false">IF($C64&gt;0,N27/$C64,0)</f>
        <v>0.518053181098309</v>
      </c>
      <c r="O64" s="39" t="n">
        <f aca="false">IF($C64&gt;0,O27/$C64,0)</f>
        <v>0.39243455771027</v>
      </c>
      <c r="P64" s="39" t="n">
        <f aca="false">IF($C64&gt;0,P27/$C64,0)</f>
        <v>0.389219907899159</v>
      </c>
      <c r="Q64" s="39" t="n">
        <f aca="false">IF($C64&gt;0,Q27/$C64,0)</f>
        <v>0.384521573559843</v>
      </c>
      <c r="R64" s="39" t="n">
        <f aca="false">IF($C64&gt;0,R27/$C64,0)</f>
        <v>0.38105964299403</v>
      </c>
      <c r="S64" s="39" t="n">
        <f aca="false">IF($C64&gt;0,S27/$C64,0)</f>
        <v>0.377103150918817</v>
      </c>
      <c r="T64" s="40" t="n">
        <f aca="false">SUM(E64:S64)</f>
        <v>9.85760000539522</v>
      </c>
    </row>
    <row r="65" customFormat="false" ht="15" hidden="false" customHeight="true" outlineLevel="0" collapsed="false">
      <c r="A65" s="13" t="str">
        <f aca="false">A28</f>
        <v>Kilfinnane</v>
      </c>
      <c r="B65" s="13" t="str">
        <f aca="false">B28</f>
        <v>Village</v>
      </c>
      <c r="C65" s="38" t="n">
        <f aca="false">C28</f>
        <v>19.3</v>
      </c>
      <c r="E65" s="39" t="n">
        <f aca="false">IF($C65&gt;0,E28/$C65,0)</f>
        <v>1.15396272272325</v>
      </c>
      <c r="F65" s="39" t="n">
        <f aca="false">IF($C65&gt;0,F28/$C65,0)</f>
        <v>1.15396272272325</v>
      </c>
      <c r="G65" s="39" t="n">
        <f aca="false">IF($C65&gt;0,G28/$C65,0)</f>
        <v>1.15396272272325</v>
      </c>
      <c r="H65" s="39" t="n">
        <f aca="false">IF($C65&gt;0,H28/$C65,0)</f>
        <v>1.15396272272325</v>
      </c>
      <c r="I65" s="39" t="n">
        <f aca="false">IF($C65&gt;0,I28/$C65,0)</f>
        <v>1.15396272272325</v>
      </c>
      <c r="J65" s="39" t="n">
        <f aca="false">IF($C65&gt;0,J28/$C65,0)</f>
        <v>0.586861642707951</v>
      </c>
      <c r="K65" s="39" t="n">
        <f aca="false">IF($C65&gt;0,K28/$C65,0)</f>
        <v>0.586861642707951</v>
      </c>
      <c r="L65" s="39" t="n">
        <f aca="false">IF($C65&gt;0,L28/$C65,0)</f>
        <v>0.586861642707951</v>
      </c>
      <c r="M65" s="39" t="n">
        <f aca="false">IF($C65&gt;0,M28/$C65,0)</f>
        <v>0.586861642707951</v>
      </c>
      <c r="N65" s="39" t="n">
        <f aca="false">IF($C65&gt;0,N28/$C65,0)</f>
        <v>0.567101080015294</v>
      </c>
      <c r="O65" s="39" t="n">
        <f aca="false">IF($C65&gt;0,O28/$C65,0)</f>
        <v>0.429589219085571</v>
      </c>
      <c r="P65" s="39" t="n">
        <f aca="false">IF($C65&gt;0,P28/$C65,0)</f>
        <v>0.426070214770441</v>
      </c>
      <c r="Q65" s="39" t="n">
        <f aca="false">IF($C65&gt;0,Q28/$C65,0)</f>
        <v>0.420927054617557</v>
      </c>
      <c r="R65" s="39" t="n">
        <f aca="false">IF($C65&gt;0,R28/$C65,0)</f>
        <v>0.417137357662801</v>
      </c>
      <c r="S65" s="39" t="n">
        <f aca="false">IF($C65&gt;0,S28/$C65,0)</f>
        <v>0.412806275428794</v>
      </c>
      <c r="T65" s="40" t="n">
        <f aca="false">SUM(E65:S65)</f>
        <v>10.7908913860285</v>
      </c>
    </row>
    <row r="66" customFormat="false" ht="15" hidden="false" customHeight="true" outlineLevel="0" collapsed="false">
      <c r="A66" s="13" t="str">
        <f aca="false">A29</f>
        <v>Moroe</v>
      </c>
      <c r="B66" s="13" t="str">
        <f aca="false">B29</f>
        <v>Village</v>
      </c>
      <c r="C66" s="38" t="n">
        <f aca="false">C29</f>
        <v>25.8</v>
      </c>
      <c r="E66" s="39" t="n">
        <f aca="false">IF($C66&gt;0,E29/$C66,0)</f>
        <v>1.24090129025399</v>
      </c>
      <c r="F66" s="39" t="n">
        <f aca="false">IF($C66&gt;0,F29/$C66,0)</f>
        <v>1.24090129025399</v>
      </c>
      <c r="G66" s="39" t="n">
        <f aca="false">IF($C66&gt;0,G29/$C66,0)</f>
        <v>1.24090129025399</v>
      </c>
      <c r="H66" s="39" t="n">
        <f aca="false">IF($C66&gt;0,H29/$C66,0)</f>
        <v>1.24090129025399</v>
      </c>
      <c r="I66" s="39" t="n">
        <f aca="false">IF($C66&gt;0,I29/$C66,0)</f>
        <v>1.24090129025399</v>
      </c>
      <c r="J66" s="39" t="n">
        <f aca="false">IF($C66&gt;0,J29/$C66,0)</f>
        <v>0.631075298444912</v>
      </c>
      <c r="K66" s="39" t="n">
        <f aca="false">IF($C66&gt;0,K29/$C66,0)</f>
        <v>0.631075298444912</v>
      </c>
      <c r="L66" s="39" t="n">
        <f aca="false">IF($C66&gt;0,L29/$C66,0)</f>
        <v>0.631075298444912</v>
      </c>
      <c r="M66" s="39" t="n">
        <f aca="false">IF($C66&gt;0,M29/$C66,0)</f>
        <v>0.631075298444912</v>
      </c>
      <c r="N66" s="39" t="n">
        <f aca="false">IF($C66&gt;0,N29/$C66,0)</f>
        <v>0.609825991809082</v>
      </c>
      <c r="O66" s="39" t="n">
        <f aca="false">IF($C66&gt;0,O29/$C66,0)</f>
        <v>0.46195410453509</v>
      </c>
      <c r="P66" s="39" t="n">
        <f aca="false">IF($C66&gt;0,P29/$C66,0)</f>
        <v>0.458169981435559</v>
      </c>
      <c r="Q66" s="39" t="n">
        <f aca="false">IF($C66&gt;0,Q29/$C66,0)</f>
        <v>0.452639339982397</v>
      </c>
      <c r="R66" s="39" t="n">
        <f aca="false">IF($C66&gt;0,R29/$C66,0)</f>
        <v>0.448564130490594</v>
      </c>
      <c r="S66" s="39" t="n">
        <f aca="false">IF($C66&gt;0,S29/$C66,0)</f>
        <v>0.443906748214248</v>
      </c>
      <c r="T66" s="40" t="n">
        <f aca="false">SUM(E66:S66)</f>
        <v>11.6038679415166</v>
      </c>
    </row>
    <row r="67" customFormat="false" ht="15" hidden="false" customHeight="true" outlineLevel="0" collapsed="false">
      <c r="A67" s="13" t="str">
        <f aca="false">A30</f>
        <v>Patrickswell</v>
      </c>
      <c r="B67" s="13" t="str">
        <f aca="false">B30</f>
        <v>Village</v>
      </c>
      <c r="C67" s="38" t="n">
        <f aca="false">C30</f>
        <v>21.5</v>
      </c>
      <c r="E67" s="39" t="n">
        <f aca="false">IF($C67&gt;0,E30/$C67,0)</f>
        <v>3.69958148647153</v>
      </c>
      <c r="F67" s="39" t="n">
        <f aca="false">IF($C67&gt;0,F30/$C67,0)</f>
        <v>3.69958148647153</v>
      </c>
      <c r="G67" s="39" t="n">
        <f aca="false">IF($C67&gt;0,G30/$C67,0)</f>
        <v>3.69958148647153</v>
      </c>
      <c r="H67" s="39" t="n">
        <f aca="false">IF($C67&gt;0,H30/$C67,0)</f>
        <v>3.69958148647153</v>
      </c>
      <c r="I67" s="39" t="n">
        <f aca="false">IF($C67&gt;0,I30/$C67,0)</f>
        <v>3.69958148647153</v>
      </c>
      <c r="J67" s="39" t="n">
        <f aca="false">IF($C67&gt;0,J30/$C67,0)</f>
        <v>1.88146672828297</v>
      </c>
      <c r="K67" s="39" t="n">
        <f aca="false">IF($C67&gt;0,K30/$C67,0)</f>
        <v>1.88146672828297</v>
      </c>
      <c r="L67" s="39" t="n">
        <f aca="false">IF($C67&gt;0,L30/$C67,0)</f>
        <v>1.88146672828297</v>
      </c>
      <c r="M67" s="39" t="n">
        <f aca="false">IF($C67&gt;0,M30/$C67,0)</f>
        <v>1.88146672828297</v>
      </c>
      <c r="N67" s="39" t="n">
        <f aca="false">IF($C67&gt;0,N30/$C67,0)</f>
        <v>1.81811475818857</v>
      </c>
      <c r="O67" s="39" t="n">
        <f aca="false">IF($C67&gt;0,O30/$C67,0)</f>
        <v>1.37725447314809</v>
      </c>
      <c r="P67" s="39" t="n">
        <f aca="false">IF($C67&gt;0,P30/$C67,0)</f>
        <v>1.36597261546005</v>
      </c>
      <c r="Q67" s="39" t="n">
        <f aca="false">IF($C67&gt;0,Q30/$C67,0)</f>
        <v>1.34948374653137</v>
      </c>
      <c r="R67" s="39" t="n">
        <f aca="false">IF($C67&gt;0,R30/$C67,0)</f>
        <v>1.33733405363655</v>
      </c>
      <c r="S67" s="39" t="n">
        <f aca="false">IF($C67&gt;0,S30/$C67,0)</f>
        <v>1.32344869032819</v>
      </c>
      <c r="T67" s="40" t="n">
        <f aca="false">SUM(E67:S67)</f>
        <v>34.5953826827824</v>
      </c>
    </row>
    <row r="68" customFormat="false" ht="15" hidden="false" customHeight="true" outlineLevel="0" collapsed="false">
      <c r="A68" s="13" t="str">
        <f aca="false">A31</f>
        <v>Rest of county</v>
      </c>
      <c r="B68" s="13" t="str">
        <f aca="false">B31</f>
        <v>Rest of county</v>
      </c>
      <c r="C68" s="38" t="n">
        <f aca="false">C31</f>
        <v>10.1</v>
      </c>
      <c r="E68" s="39" t="n">
        <f aca="false">IF($C68&gt;0,E31/$C68,0)</f>
        <v>41.2274401243651</v>
      </c>
      <c r="F68" s="39" t="n">
        <f aca="false">IF($C68&gt;0,F31/$C68,0)</f>
        <v>41.2274401243651</v>
      </c>
      <c r="G68" s="39" t="n">
        <f aca="false">IF($C68&gt;0,G31/$C68,0)</f>
        <v>41.2274401243651</v>
      </c>
      <c r="H68" s="39" t="n">
        <f aca="false">IF($C68&gt;0,H31/$C68,0)</f>
        <v>41.2274401243651</v>
      </c>
      <c r="I68" s="39" t="n">
        <f aca="false">IF($C68&gt;0,I31/$C68,0)</f>
        <v>41.2274401243651</v>
      </c>
      <c r="J68" s="39" t="n">
        <f aca="false">IF($C68&gt;0,J31/$C68,0)</f>
        <v>20.9667112806999</v>
      </c>
      <c r="K68" s="39" t="n">
        <f aca="false">IF($C68&gt;0,K31/$C68,0)</f>
        <v>20.9667112806999</v>
      </c>
      <c r="L68" s="39" t="n">
        <f aca="false">IF($C68&gt;0,L31/$C68,0)</f>
        <v>20.9667112806999</v>
      </c>
      <c r="M68" s="39" t="n">
        <f aca="false">IF($C68&gt;0,M31/$C68,0)</f>
        <v>20.9667112806999</v>
      </c>
      <c r="N68" s="39" t="n">
        <f aca="false">IF($C68&gt;0,N31/$C68,0)</f>
        <v>20.2607288436652</v>
      </c>
      <c r="O68" s="39" t="n">
        <f aca="false">IF($C68&gt;0,O31/$C68,0)</f>
        <v>15.3478647612872</v>
      </c>
      <c r="P68" s="39" t="n">
        <f aca="false">IF($C68&gt;0,P31/$C68,0)</f>
        <v>15.2221418615413</v>
      </c>
      <c r="Q68" s="39" t="n">
        <f aca="false">IF($C68&gt;0,Q31/$C68,0)</f>
        <v>15.0383930080666</v>
      </c>
      <c r="R68" s="39" t="n">
        <f aca="false">IF($C68&gt;0,R31/$C68,0)</f>
        <v>14.9029991160325</v>
      </c>
      <c r="S68" s="39" t="n">
        <f aca="false">IF($C68&gt;0,S31/$C68,0)</f>
        <v>14.7482632394222</v>
      </c>
      <c r="T68" s="40" t="n">
        <f aca="false">SUM(E68:S68)</f>
        <v>385.52443657464</v>
      </c>
    </row>
    <row r="69" customFormat="false" ht="15" hidden="false" customHeight="true" outlineLevel="0" collapsed="false">
      <c r="A69" s="24" t="s">
        <v>206</v>
      </c>
      <c r="E69" s="37" t="n">
        <f aca="false">SUM(E44:E68)</f>
        <v>195.069946987047</v>
      </c>
      <c r="F69" s="37" t="n">
        <f aca="false">SUM(F44:F68)</f>
        <v>195.069946987047</v>
      </c>
      <c r="G69" s="37" t="n">
        <f aca="false">SUM(G44:G68)</f>
        <v>195.069946987047</v>
      </c>
      <c r="H69" s="37" t="n">
        <f aca="false">SUM(H44:H68)</f>
        <v>195.069946987047</v>
      </c>
      <c r="I69" s="37" t="n">
        <f aca="false">SUM(I44:I68)</f>
        <v>195.069946987047</v>
      </c>
      <c r="J69" s="37" t="n">
        <f aca="false">SUM(J44:J68)</f>
        <v>99.2051712568419</v>
      </c>
      <c r="K69" s="37" t="n">
        <f aca="false">SUM(K44:K68)</f>
        <v>99.2051712568419</v>
      </c>
      <c r="L69" s="37" t="n">
        <f aca="false">SUM(L44:L68)</f>
        <v>99.2051712568419</v>
      </c>
      <c r="M69" s="37" t="n">
        <f aca="false">SUM(M44:M68)</f>
        <v>99.2051712568419</v>
      </c>
      <c r="N69" s="37" t="n">
        <f aca="false">SUM(N44:N68)</f>
        <v>95.8647757302047</v>
      </c>
      <c r="O69" s="37" t="n">
        <f aca="false">SUM(O44:O68)</f>
        <v>72.6192835722362</v>
      </c>
      <c r="P69" s="37" t="n">
        <f aca="false">SUM(P44:P68)</f>
        <v>72.0244186154378</v>
      </c>
      <c r="Q69" s="37" t="n">
        <f aca="false">SUM(Q44:Q68)</f>
        <v>71.1550006016555</v>
      </c>
      <c r="R69" s="37" t="n">
        <f aca="false">SUM(R44:R68)</f>
        <v>70.5143768020265</v>
      </c>
      <c r="S69" s="37" t="n">
        <f aca="false">SUM(S44:S68)</f>
        <v>69.7822353167361</v>
      </c>
      <c r="T69" s="37" t="n">
        <f aca="false">SUM(T44:T68)</f>
        <v>1824.1305106009</v>
      </c>
    </row>
    <row r="71" customFormat="false" ht="15" hidden="false" customHeight="true" outlineLevel="0" collapsed="false">
      <c r="A71" s="3" t="s">
        <v>216</v>
      </c>
    </row>
    <row r="72" customFormat="false" ht="15" hidden="false" customHeight="true" outlineLevel="0" collapsed="false">
      <c r="A72" s="3" t="s">
        <v>217</v>
      </c>
    </row>
    <row r="73" customFormat="false" ht="15" hidden="false" customHeight="true" outlineLevel="0" collapsed="false">
      <c r="A73" s="3" t="s">
        <v>218</v>
      </c>
    </row>
    <row r="74" customFormat="false" ht="15" hidden="false" customHeight="true" outlineLevel="0" collapsed="false">
      <c r="A74" s="3" t="s">
        <v>219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794D"/>
    <pageSetUpPr fitToPage="false"/>
  </sheetPr>
  <dimension ref="A1:W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6" topLeftCell="E7" activePane="bottomRight" state="frozen"/>
      <selection pane="topLeft" activeCell="A1" activeCellId="0" sqref="A1"/>
      <selection pane="topRight" activeCell="E1" activeCellId="0" sqref="E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7"/>
    <col collapsed="false" customWidth="true" hidden="false" outlineLevel="0" max="3" min="3" style="1" width="13"/>
    <col collapsed="false" customWidth="true" hidden="false" outlineLevel="0" max="4" min="4" style="1" width="46"/>
    <col collapsed="false" customWidth="true" hidden="false" outlineLevel="0" max="19" min="5" style="1" width="9.51"/>
    <col collapsed="false" customWidth="true" hidden="false" outlineLevel="0" max="23" min="20" style="1" width="11"/>
  </cols>
  <sheetData>
    <row r="1" customFormat="false" ht="19.5" hidden="false" customHeight="true" outlineLevel="0" collapsed="false">
      <c r="A1" s="2" t="s">
        <v>220</v>
      </c>
    </row>
    <row r="2" customFormat="false" ht="15" hidden="false" customHeight="true" outlineLevel="0" collapsed="false">
      <c r="A2" s="3" t="str">
        <f aca="false">"New homes per year, 2026–"&amp;Model!$B$3&amp;", divided by the Council's target density for each place ("&amp;Intro!$C$19&amp;" of each range). Set by the levers on the Intro tab."</f>
        <v>New homes per year, 2026–2040, divided by the Council's target density for each place (Minimum of each range). Set by the levers on the Intro tab.</v>
      </c>
    </row>
    <row r="3" customFormat="false" ht="15" hidden="false" customHeight="true" outlineLevel="0" collapsed="false">
      <c r="A3" s="3" t="s">
        <v>221</v>
      </c>
    </row>
    <row r="5" customFormat="false" ht="15" hidden="false" customHeight="true" outlineLevel="0" collapsed="false">
      <c r="E5" s="12" t="s">
        <v>131</v>
      </c>
    </row>
    <row r="6" customFormat="false" ht="54" hidden="false" customHeight="true" outlineLevel="0" collapsed="false">
      <c r="A6" s="4" t="s">
        <v>132</v>
      </c>
      <c r="B6" s="5" t="s">
        <v>133</v>
      </c>
      <c r="C6" s="5" t="s">
        <v>222</v>
      </c>
      <c r="D6" s="5" t="s">
        <v>223</v>
      </c>
      <c r="E6" s="5" t="s">
        <v>136</v>
      </c>
      <c r="F6" s="5" t="s">
        <v>137</v>
      </c>
      <c r="G6" s="5" t="s">
        <v>138</v>
      </c>
      <c r="H6" s="5" t="s">
        <v>139</v>
      </c>
      <c r="I6" s="5" t="s">
        <v>140</v>
      </c>
      <c r="J6" s="5" t="s">
        <v>141</v>
      </c>
      <c r="K6" s="5" t="s">
        <v>142</v>
      </c>
      <c r="L6" s="5" t="s">
        <v>143</v>
      </c>
      <c r="M6" s="5" t="s">
        <v>144</v>
      </c>
      <c r="N6" s="5" t="s">
        <v>145</v>
      </c>
      <c r="O6" s="5" t="s">
        <v>146</v>
      </c>
      <c r="P6" s="5" t="s">
        <v>147</v>
      </c>
      <c r="Q6" s="5" t="s">
        <v>148</v>
      </c>
      <c r="R6" s="5" t="s">
        <v>149</v>
      </c>
      <c r="S6" s="5" t="s">
        <v>150</v>
      </c>
      <c r="T6" s="5" t="s">
        <v>151</v>
      </c>
      <c r="U6" s="5" t="s">
        <v>152</v>
      </c>
      <c r="V6" s="5" t="s">
        <v>224</v>
      </c>
      <c r="W6" s="5" t="s">
        <v>225</v>
      </c>
    </row>
    <row r="7" customFormat="false" ht="30" hidden="false" customHeight="true" outlineLevel="0" collapsed="false">
      <c r="A7" s="28" t="s">
        <v>153</v>
      </c>
      <c r="B7" s="28" t="s">
        <v>154</v>
      </c>
      <c r="C7" s="41" t="n">
        <f aca="false">Data!$H$298*CHOOSE(Model!$B$16,Data!$C$298,(Data!$C$298+Data!$D$298)/2,Data!$D$298)+(1-Data!$H$298)*CHOOSE(Model!$B$16,Data!$F$298,(Data!$F$298+Data!$G$298)/2,Data!$G$298)</f>
        <v>47.9989212513484</v>
      </c>
      <c r="D7" s="30" t="str">
        <f aca="false">IF(Data!$H$298&gt;=0.9999,Data!$B$298,IF(Data!$H$298&lt;=0.0001,Data!$E$298,TEXT(Data!$H$298,"0%")&amp;" "&amp;LEFT(Data!$B$298,FIND(",",Data!$B$298)-1)&amp;", "&amp;TEXT(1-Data!$H$298,"0%")&amp;" "&amp;LEFT(Data!$E$298,FIND(",",Data!$E$298)-1)))</f>
        <v>87% City Zone 2, 13% City Zone 3</v>
      </c>
      <c r="E7" s="31" t="n">
        <f aca="false">Ballinacurra!B13</f>
        <v>129.24075909424</v>
      </c>
      <c r="F7" s="31" t="n">
        <f aca="false">Ballinacurra!B14</f>
        <v>129.24075909424</v>
      </c>
      <c r="G7" s="31" t="n">
        <f aca="false">Ballinacurra!B15</f>
        <v>129.24075909424</v>
      </c>
      <c r="H7" s="31" t="n">
        <f aca="false">Ballinacurra!B16</f>
        <v>129.24075909424</v>
      </c>
      <c r="I7" s="31" t="n">
        <f aca="false">Ballinacurra!B17</f>
        <v>129.24075909424</v>
      </c>
      <c r="J7" s="31" t="n">
        <f aca="false">Ballinacurra!B18</f>
        <v>65.7269448079552</v>
      </c>
      <c r="K7" s="31" t="n">
        <f aca="false">Ballinacurra!B19</f>
        <v>65.7269448079552</v>
      </c>
      <c r="L7" s="31" t="n">
        <f aca="false">Ballinacurra!B20</f>
        <v>65.7269448079552</v>
      </c>
      <c r="M7" s="31" t="n">
        <f aca="false">Ballinacurra!B21</f>
        <v>65.7269448079552</v>
      </c>
      <c r="N7" s="31" t="n">
        <f aca="false">Ballinacurra!B22</f>
        <v>63.5138142862851</v>
      </c>
      <c r="O7" s="31" t="n">
        <f aca="false">Ballinacurra!B23</f>
        <v>48.1128512039782</v>
      </c>
      <c r="P7" s="31" t="n">
        <f aca="false">Ballinacurra!B24</f>
        <v>47.7187320699822</v>
      </c>
      <c r="Q7" s="31" t="n">
        <f aca="false">Ballinacurra!B25</f>
        <v>47.1427117972188</v>
      </c>
      <c r="R7" s="31" t="n">
        <f aca="false">Ballinacurra!B26</f>
        <v>46.7182758067615</v>
      </c>
      <c r="S7" s="31" t="n">
        <f aca="false">Ballinacurra!B27</f>
        <v>46.2332061033817</v>
      </c>
      <c r="T7" s="32" t="n">
        <f aca="false">SUM(E7:S7)</f>
        <v>1208.55116597063</v>
      </c>
      <c r="U7" s="33" t="n">
        <f aca="false">IF(C7&gt;0,T7/C7,0)</f>
        <v>25.1787151557427</v>
      </c>
      <c r="V7" s="42" t="n">
        <f aca="false">Land!U7</f>
        <v>38.9855214829235</v>
      </c>
      <c r="W7" s="43" t="n">
        <f aca="false">U7-V7</f>
        <v>-13.8068063271808</v>
      </c>
    </row>
    <row r="8" customFormat="false" ht="30" hidden="false" customHeight="true" outlineLevel="0" collapsed="false">
      <c r="A8" s="28" t="s">
        <v>156</v>
      </c>
      <c r="B8" s="28" t="s">
        <v>154</v>
      </c>
      <c r="C8" s="41" t="n">
        <f aca="false">Data!$H$299*CHOOSE(Model!$B$16,Data!$C$299,(Data!$C$299+Data!$D$299)/2,Data!$D$299)+(1-Data!$H$299)*CHOOSE(Model!$B$16,Data!$F$299,(Data!$F$299+Data!$G$299)/2,Data!$G$299)</f>
        <v>43.1187621666718</v>
      </c>
      <c r="D8" s="30" t="str">
        <f aca="false">IF(Data!$H$299&gt;=0.9999,Data!$B$299,IF(Data!$H$299&lt;=0.0001,Data!$E$299,TEXT(Data!$H$299,"0%")&amp;" "&amp;LEFT(Data!$B$299,FIND(",",Data!$B$299)-1)&amp;", "&amp;TEXT(1-Data!$H$299,"0%")&amp;" "&amp;LEFT(Data!$E$299,FIND(",",Data!$E$299)-1)))</f>
        <v>54% City Zone 2, 46% City Zone 3</v>
      </c>
      <c r="E8" s="31" t="n">
        <f aca="false">Caherdavin!B13</f>
        <v>525.281097143218</v>
      </c>
      <c r="F8" s="31" t="n">
        <f aca="false">Caherdavin!B14</f>
        <v>525.281097143218</v>
      </c>
      <c r="G8" s="31" t="n">
        <f aca="false">Caherdavin!B15</f>
        <v>525.281097143218</v>
      </c>
      <c r="H8" s="31" t="n">
        <f aca="false">Caherdavin!B16</f>
        <v>525.281097143218</v>
      </c>
      <c r="I8" s="31" t="n">
        <f aca="false">Caherdavin!B17</f>
        <v>525.281097143218</v>
      </c>
      <c r="J8" s="31" t="n">
        <f aca="false">Caherdavin!B18</f>
        <v>267.138029229767</v>
      </c>
      <c r="K8" s="31" t="n">
        <f aca="false">Caherdavin!B19</f>
        <v>267.138029229767</v>
      </c>
      <c r="L8" s="31" t="n">
        <f aca="false">Caherdavin!B20</f>
        <v>267.138029229767</v>
      </c>
      <c r="M8" s="31" t="n">
        <f aca="false">Caherdavin!B21</f>
        <v>267.138029229767</v>
      </c>
      <c r="N8" s="31" t="n">
        <f aca="false">Caherdavin!B22</f>
        <v>258.143067913451</v>
      </c>
      <c r="O8" s="31" t="n">
        <f aca="false">Caherdavin!B23</f>
        <v>195.547994643745</v>
      </c>
      <c r="P8" s="31" t="n">
        <f aca="false">Caherdavin!B24</f>
        <v>193.946152217552</v>
      </c>
      <c r="Q8" s="31" t="n">
        <f aca="false">Caherdavin!B25</f>
        <v>191.604997902347</v>
      </c>
      <c r="R8" s="31" t="n">
        <f aca="false">Caherdavin!B26</f>
        <v>189.879936827985</v>
      </c>
      <c r="S8" s="31" t="n">
        <f aca="false">Caherdavin!B27</f>
        <v>187.908438457285</v>
      </c>
      <c r="T8" s="32" t="n">
        <f aca="false">SUM(E8:S8)</f>
        <v>4911.98819059752</v>
      </c>
      <c r="U8" s="33" t="n">
        <f aca="false">IF(C8&gt;0,T8/C8,0)</f>
        <v>113.917653099842</v>
      </c>
      <c r="V8" s="42" t="n">
        <f aca="false">Land!U8</f>
        <v>196.479527623901</v>
      </c>
      <c r="W8" s="43" t="n">
        <f aca="false">U8-V8</f>
        <v>-82.5618745240586</v>
      </c>
    </row>
    <row r="9" customFormat="false" ht="30" hidden="false" customHeight="true" outlineLevel="0" collapsed="false">
      <c r="A9" s="28" t="s">
        <v>158</v>
      </c>
      <c r="B9" s="28" t="s">
        <v>154</v>
      </c>
      <c r="C9" s="41" t="n">
        <f aca="false">Data!$H$300*CHOOSE(Model!$B$16,Data!$C$300,(Data!$C$300+Data!$D$300)/2,Data!$D$300)+(1-Data!$H$300)*CHOOSE(Model!$B$16,Data!$F$300,(Data!$F$300+Data!$G$300)/2,Data!$G$300)</f>
        <v>38.6847099222845</v>
      </c>
      <c r="D9" s="30" t="str">
        <f aca="false">IF(Data!$H$300&gt;=0.9999,Data!$B$300,IF(Data!$H$300&lt;=0.0001,Data!$E$300,TEXT(Data!$H$300,"0%")&amp;" "&amp;LEFT(Data!$B$300,FIND(",",Data!$B$300)-1)&amp;", "&amp;TEXT(1-Data!$H$300,"0%")&amp;" "&amp;LEFT(Data!$E$300,FIND(",",Data!$E$300)-1)))</f>
        <v>25% City Zone 2, 75% City Zone 3</v>
      </c>
      <c r="E9" s="31" t="n">
        <f aca="false">'Castletroy-Annacotty'!B13</f>
        <v>623.203321395108</v>
      </c>
      <c r="F9" s="31" t="n">
        <f aca="false">'Castletroy-Annacotty'!B14</f>
        <v>623.203321395108</v>
      </c>
      <c r="G9" s="31" t="n">
        <f aca="false">'Castletroy-Annacotty'!B15</f>
        <v>623.203321395108</v>
      </c>
      <c r="H9" s="31" t="n">
        <f aca="false">'Castletroy-Annacotty'!B16</f>
        <v>623.203321395108</v>
      </c>
      <c r="I9" s="31" t="n">
        <f aca="false">'Castletroy-Annacotty'!B17</f>
        <v>623.203321395108</v>
      </c>
      <c r="J9" s="31" t="n">
        <f aca="false">'Castletroy-Annacotty'!B18</f>
        <v>316.937555895987</v>
      </c>
      <c r="K9" s="31" t="n">
        <f aca="false">'Castletroy-Annacotty'!B19</f>
        <v>316.937555895987</v>
      </c>
      <c r="L9" s="31" t="n">
        <f aca="false">'Castletroy-Annacotty'!B20</f>
        <v>316.937555895987</v>
      </c>
      <c r="M9" s="31" t="n">
        <f aca="false">'Castletroy-Annacotty'!B21</f>
        <v>316.937555895987</v>
      </c>
      <c r="N9" s="31" t="n">
        <f aca="false">'Castletroy-Annacotty'!B22</f>
        <v>306.26576549912</v>
      </c>
      <c r="O9" s="31" t="n">
        <f aca="false">'Castletroy-Annacotty'!B23</f>
        <v>232.001799449692</v>
      </c>
      <c r="P9" s="31" t="n">
        <f aca="false">'Castletroy-Annacotty'!B24</f>
        <v>230.101343625592</v>
      </c>
      <c r="Q9" s="31" t="n">
        <f aca="false">'Castletroy-Annacotty'!B25</f>
        <v>227.323754344216</v>
      </c>
      <c r="R9" s="31" t="n">
        <f aca="false">'Castletroy-Annacotty'!B26</f>
        <v>225.27710961057</v>
      </c>
      <c r="S9" s="31" t="n">
        <f aca="false">'Castletroy-Annacotty'!B27</f>
        <v>222.938087057832</v>
      </c>
      <c r="T9" s="32" t="n">
        <f aca="false">SUM(E9:S9)</f>
        <v>5827.67469014651</v>
      </c>
      <c r="U9" s="33" t="n">
        <f aca="false">IF(C9&gt;0,T9/C9,0)</f>
        <v>150.645428177024</v>
      </c>
      <c r="V9" s="42" t="n">
        <f aca="false">Land!U9</f>
        <v>238.839126645349</v>
      </c>
      <c r="W9" s="43" t="n">
        <f aca="false">U9-V9</f>
        <v>-88.1936984683248</v>
      </c>
    </row>
    <row r="10" customFormat="false" ht="30" hidden="false" customHeight="true" outlineLevel="0" collapsed="false">
      <c r="A10" s="28" t="s">
        <v>160</v>
      </c>
      <c r="B10" s="28" t="s">
        <v>154</v>
      </c>
      <c r="C10" s="41" t="n">
        <f aca="false">Data!$H$301*CHOOSE(Model!$B$16,Data!$C$301,(Data!$C$301+Data!$D$301)/2,Data!$D$301)+(1-Data!$H$301)*CHOOSE(Model!$B$16,Data!$F$301,(Data!$F$301+Data!$G$301)/2,Data!$G$301)</f>
        <v>99.993621353745</v>
      </c>
      <c r="D10" s="30" t="str">
        <f aca="false">IF(Data!$H$301&gt;=0.9999,Data!$B$301,IF(Data!$H$301&lt;=0.0001,Data!$E$301,TEXT(Data!$H$301,"0%")&amp;" "&amp;LEFT(Data!$B$301,FIND(",",Data!$B$301)-1)&amp;", "&amp;TEXT(1-Data!$H$301,"0%")&amp;" "&amp;LEFT(Data!$E$301,FIND(",",Data!$E$301)-1)))</f>
        <v>City Zone 1, city centre (100–250)</v>
      </c>
      <c r="E10" s="31" t="n">
        <f aca="false">'City Centre'!B13</f>
        <v>541.35478752072</v>
      </c>
      <c r="F10" s="31" t="n">
        <f aca="false">'City Centre'!B14</f>
        <v>541.35478752072</v>
      </c>
      <c r="G10" s="31" t="n">
        <f aca="false">'City Centre'!B15</f>
        <v>541.35478752072</v>
      </c>
      <c r="H10" s="31" t="n">
        <f aca="false">'City Centre'!B16</f>
        <v>541.35478752072</v>
      </c>
      <c r="I10" s="31" t="n">
        <f aca="false">'City Centre'!B17</f>
        <v>541.35478752072</v>
      </c>
      <c r="J10" s="31" t="n">
        <f aca="false">'City Centre'!B18</f>
        <v>275.312498087009</v>
      </c>
      <c r="K10" s="31" t="n">
        <f aca="false">'City Centre'!B19</f>
        <v>275.312498087009</v>
      </c>
      <c r="L10" s="31" t="n">
        <f aca="false">'City Centre'!B20</f>
        <v>275.312498087009</v>
      </c>
      <c r="M10" s="31" t="n">
        <f aca="false">'City Centre'!B21</f>
        <v>275.312498087009</v>
      </c>
      <c r="N10" s="31" t="n">
        <f aca="false">'City Centre'!B22</f>
        <v>266.042289433711</v>
      </c>
      <c r="O10" s="31" t="n">
        <f aca="false">'City Centre'!B23</f>
        <v>201.531796339522</v>
      </c>
      <c r="P10" s="31" t="n">
        <f aca="false">'City Centre'!B24</f>
        <v>199.880937264277</v>
      </c>
      <c r="Q10" s="31" t="n">
        <f aca="false">'City Centre'!B25</f>
        <v>197.468143231227</v>
      </c>
      <c r="R10" s="31" t="n">
        <f aca="false">'City Centre'!B26</f>
        <v>195.690294996348</v>
      </c>
      <c r="S10" s="31" t="n">
        <f aca="false">'City Centre'!B27</f>
        <v>193.6584684422</v>
      </c>
      <c r="T10" s="32" t="n">
        <f aca="false">SUM(E10:S10)</f>
        <v>5062.29585965892</v>
      </c>
      <c r="U10" s="33" t="n">
        <f aca="false">IF(C10&gt;0,T10/C10,0)</f>
        <v>50.6261878620253</v>
      </c>
      <c r="V10" s="42" t="n">
        <f aca="false">Land!U10</f>
        <v>143.00270789997</v>
      </c>
      <c r="W10" s="43" t="n">
        <f aca="false">U10-V10</f>
        <v>-92.3765200379442</v>
      </c>
    </row>
    <row r="11" customFormat="false" ht="30" hidden="false" customHeight="true" outlineLevel="0" collapsed="false">
      <c r="A11" s="28" t="s">
        <v>162</v>
      </c>
      <c r="B11" s="28" t="s">
        <v>154</v>
      </c>
      <c r="C11" s="41" t="n">
        <f aca="false">Data!$H$302*CHOOSE(Model!$B$16,Data!$C$302,(Data!$C$302+Data!$D$302)/2,Data!$D$302)+(1-Data!$H$302)*CHOOSE(Model!$B$16,Data!$F$302,(Data!$F$302+Data!$G$302)/2,Data!$G$302)</f>
        <v>42.0121983279878</v>
      </c>
      <c r="D11" s="30" t="str">
        <f aca="false">IF(Data!$H$302&gt;=0.9999,Data!$B$302,IF(Data!$H$302&lt;=0.0001,Data!$E$302,TEXT(Data!$H$302,"0%")&amp;" "&amp;LEFT(Data!$B$302,FIND(",",Data!$B$302)-1)&amp;", "&amp;TEXT(1-Data!$H$302,"0%")&amp;" "&amp;LEFT(Data!$E$302,FIND(",",Data!$E$302)-1)))</f>
        <v>47% City Zone 2, 53% City Zone 3</v>
      </c>
      <c r="E11" s="31" t="n">
        <f aca="false">'Corbally-Grove Island'!B13</f>
        <v>136.937185426009</v>
      </c>
      <c r="F11" s="31" t="n">
        <f aca="false">'Corbally-Grove Island'!B14</f>
        <v>136.937185426009</v>
      </c>
      <c r="G11" s="31" t="n">
        <f aca="false">'Corbally-Grove Island'!B15</f>
        <v>136.937185426009</v>
      </c>
      <c r="H11" s="31" t="n">
        <f aca="false">'Corbally-Grove Island'!B16</f>
        <v>136.937185426009</v>
      </c>
      <c r="I11" s="31" t="n">
        <f aca="false">'Corbally-Grove Island'!B17</f>
        <v>136.937185426009</v>
      </c>
      <c r="J11" s="31" t="n">
        <f aca="false">'Corbally-Grove Island'!B18</f>
        <v>69.64105512634</v>
      </c>
      <c r="K11" s="31" t="n">
        <f aca="false">'Corbally-Grove Island'!B19</f>
        <v>69.64105512634</v>
      </c>
      <c r="L11" s="31" t="n">
        <f aca="false">'Corbally-Grove Island'!B20</f>
        <v>69.64105512634</v>
      </c>
      <c r="M11" s="31" t="n">
        <f aca="false">'Corbally-Grove Island'!B21</f>
        <v>69.64105512634</v>
      </c>
      <c r="N11" s="31" t="n">
        <f aca="false">'Corbally-Grove Island'!B22</f>
        <v>67.296130299669</v>
      </c>
      <c r="O11" s="31" t="n">
        <f aca="false">'Corbally-Grove Island'!B23</f>
        <v>50.9780232866705</v>
      </c>
      <c r="P11" s="31" t="n">
        <f aca="false">'Corbally-Grove Island'!B24</f>
        <v>50.5604339339756</v>
      </c>
      <c r="Q11" s="31" t="n">
        <f aca="false">'Corbally-Grove Island'!B25</f>
        <v>49.9501110338832</v>
      </c>
      <c r="R11" s="31" t="n">
        <f aca="false">'Corbally-Grove Island'!B26</f>
        <v>49.5003994232887</v>
      </c>
      <c r="S11" s="31" t="n">
        <f aca="false">'Corbally-Grove Island'!B27</f>
        <v>48.9864432968951</v>
      </c>
      <c r="T11" s="32" t="n">
        <f aca="false">SUM(E11:S11)</f>
        <v>1280.52168890979</v>
      </c>
      <c r="U11" s="33" t="n">
        <f aca="false">IF(C11&gt;0,T11/C11,0)</f>
        <v>30.4797592097609</v>
      </c>
      <c r="V11" s="42" t="n">
        <f aca="false">Land!U11</f>
        <v>53.1336800377505</v>
      </c>
      <c r="W11" s="43" t="n">
        <f aca="false">U11-V11</f>
        <v>-22.6539208279896</v>
      </c>
    </row>
    <row r="12" customFormat="false" ht="30" hidden="false" customHeight="true" outlineLevel="0" collapsed="false">
      <c r="A12" s="28" t="s">
        <v>164</v>
      </c>
      <c r="B12" s="28" t="s">
        <v>154</v>
      </c>
      <c r="C12" s="41" t="n">
        <f aca="false">Data!$H$303*CHOOSE(Model!$B$16,Data!$C$303,(Data!$C$303+Data!$D$303)/2,Data!$D$303)+(1-Data!$H$303)*CHOOSE(Model!$B$16,Data!$F$303,(Data!$F$303+Data!$G$303)/2,Data!$G$303)</f>
        <v>35.7875115598027</v>
      </c>
      <c r="D12" s="30" t="str">
        <f aca="false">IF(Data!$H$303&gt;=0.9999,Data!$B$303,IF(Data!$H$303&lt;=0.0001,Data!$E$303,TEXT(Data!$H$303,"0%")&amp;" "&amp;LEFT(Data!$B$303,FIND(",",Data!$B$303)-1)&amp;", "&amp;TEXT(1-Data!$H$303,"0%")&amp;" "&amp;LEFT(Data!$E$303,FIND(",",Data!$E$303)-1)))</f>
        <v>5% City Zone 2, 95% City Zone 3</v>
      </c>
      <c r="E12" s="31" t="n">
        <f aca="false">Dooradoyle!B13</f>
        <v>583.892343823612</v>
      </c>
      <c r="F12" s="31" t="n">
        <f aca="false">Dooradoyle!B14</f>
        <v>583.892343823612</v>
      </c>
      <c r="G12" s="31" t="n">
        <f aca="false">Dooradoyle!B15</f>
        <v>583.892343823612</v>
      </c>
      <c r="H12" s="31" t="n">
        <f aca="false">Dooradoyle!B16</f>
        <v>583.892343823612</v>
      </c>
      <c r="I12" s="31" t="n">
        <f aca="false">Dooradoyle!B17</f>
        <v>583.892343823612</v>
      </c>
      <c r="J12" s="31" t="n">
        <f aca="false">Dooradoyle!B18</f>
        <v>296.945484731314</v>
      </c>
      <c r="K12" s="31" t="n">
        <f aca="false">Dooradoyle!B19</f>
        <v>296.945484731314</v>
      </c>
      <c r="L12" s="31" t="n">
        <f aca="false">Dooradoyle!B20</f>
        <v>296.945484731314</v>
      </c>
      <c r="M12" s="31" t="n">
        <f aca="false">Dooradoyle!B21</f>
        <v>296.945484731314</v>
      </c>
      <c r="N12" s="31" t="n">
        <f aca="false">Dooradoyle!B22</f>
        <v>286.946859092298</v>
      </c>
      <c r="O12" s="31" t="n">
        <f aca="false">Dooradoyle!B23</f>
        <v>217.36738204271</v>
      </c>
      <c r="P12" s="31" t="n">
        <f aca="false">Dooradoyle!B24</f>
        <v>215.586804874118</v>
      </c>
      <c r="Q12" s="31" t="n">
        <f aca="false">Dooradoyle!B25</f>
        <v>212.984422858484</v>
      </c>
      <c r="R12" s="31" t="n">
        <f aca="false">Dooradoyle!B26</f>
        <v>211.066878215385</v>
      </c>
      <c r="S12" s="31" t="n">
        <f aca="false">Dooradoyle!B27</f>
        <v>208.875398623272</v>
      </c>
      <c r="T12" s="32" t="n">
        <f aca="false">SUM(E12:S12)</f>
        <v>5460.07140374958</v>
      </c>
      <c r="U12" s="33" t="n">
        <f aca="false">IF(C12&gt;0,T12/C12,0)</f>
        <v>152.569183096889</v>
      </c>
      <c r="V12" s="42" t="n">
        <f aca="false">Land!U12</f>
        <v>242.669840166648</v>
      </c>
      <c r="W12" s="43" t="n">
        <f aca="false">U12-V12</f>
        <v>-90.1006570697589</v>
      </c>
    </row>
    <row r="13" customFormat="false" ht="30" hidden="false" customHeight="true" outlineLevel="0" collapsed="false">
      <c r="A13" s="28" t="s">
        <v>166</v>
      </c>
      <c r="B13" s="28" t="s">
        <v>154</v>
      </c>
      <c r="C13" s="41" t="n">
        <f aca="false">Data!$H$304*CHOOSE(Model!$B$16,Data!$C$304,(Data!$C$304+Data!$D$304)/2,Data!$D$304)+(1-Data!$H$304)*CHOOSE(Model!$B$16,Data!$F$304,(Data!$F$304+Data!$G$304)/2,Data!$G$304)</f>
        <v>50</v>
      </c>
      <c r="D13" s="30" t="str">
        <f aca="false">IF(Data!$H$304&gt;=0.9999,Data!$B$304,IF(Data!$H$304&lt;=0.0001,Data!$E$304,TEXT(Data!$H$304,"0%")&amp;" "&amp;LEFT(Data!$B$304,FIND(",",Data!$B$304)-1)&amp;", "&amp;TEXT(1-Data!$H$304,"0%")&amp;" "&amp;LEFT(Data!$E$304,FIND(",",Data!$E$304)-1)))</f>
        <v>City Zone 2, urban neighbourhoods (50–200)</v>
      </c>
      <c r="E13" s="31" t="n">
        <f aca="false">'Kings Island'!B13</f>
        <v>67.7285517195652</v>
      </c>
      <c r="F13" s="31" t="n">
        <f aca="false">'Kings Island'!B14</f>
        <v>67.7285517195652</v>
      </c>
      <c r="G13" s="31" t="n">
        <f aca="false">'Kings Island'!B15</f>
        <v>67.7285517195652</v>
      </c>
      <c r="H13" s="31" t="n">
        <f aca="false">'Kings Island'!B16</f>
        <v>67.7285517195652</v>
      </c>
      <c r="I13" s="31" t="n">
        <f aca="false">'Kings Island'!B17</f>
        <v>67.7285517195652</v>
      </c>
      <c r="J13" s="31" t="n">
        <f aca="false">'Kings Island'!B18</f>
        <v>34.4441708017868</v>
      </c>
      <c r="K13" s="31" t="n">
        <f aca="false">'Kings Island'!B19</f>
        <v>34.4441708017868</v>
      </c>
      <c r="L13" s="31" t="n">
        <f aca="false">'Kings Island'!B20</f>
        <v>34.4441708017868</v>
      </c>
      <c r="M13" s="31" t="n">
        <f aca="false">'Kings Island'!B21</f>
        <v>34.4441708017868</v>
      </c>
      <c r="N13" s="31" t="n">
        <f aca="false">'Kings Island'!B22</f>
        <v>33.2843809177783</v>
      </c>
      <c r="O13" s="31" t="n">
        <f aca="false">'Kings Island'!B23</f>
        <v>25.2135143276918</v>
      </c>
      <c r="P13" s="31" t="n">
        <f aca="false">'Kings Island'!B24</f>
        <v>25.0069764031423</v>
      </c>
      <c r="Q13" s="31" t="n">
        <f aca="false">'Kings Island'!B25</f>
        <v>24.7051132826469</v>
      </c>
      <c r="R13" s="31" t="n">
        <f aca="false">'Kings Island'!B26</f>
        <v>24.4826878254398</v>
      </c>
      <c r="S13" s="31" t="n">
        <f aca="false">'Kings Island'!B27</f>
        <v>24.2284873029174</v>
      </c>
      <c r="T13" s="32" t="n">
        <f aca="false">SUM(E13:S13)</f>
        <v>633.34060186459</v>
      </c>
      <c r="U13" s="33" t="n">
        <f aca="false">IF(C13&gt;0,T13/C13,0)</f>
        <v>12.6668120372918</v>
      </c>
      <c r="V13" s="42" t="n">
        <f aca="false">Land!U13</f>
        <v>13.7384078495573</v>
      </c>
      <c r="W13" s="43" t="n">
        <f aca="false">U13-V13</f>
        <v>-1.07159581226547</v>
      </c>
    </row>
    <row r="14" customFormat="false" ht="30" hidden="false" customHeight="true" outlineLevel="0" collapsed="false">
      <c r="A14" s="28" t="s">
        <v>168</v>
      </c>
      <c r="B14" s="28" t="s">
        <v>154</v>
      </c>
      <c r="C14" s="41" t="n">
        <f aca="false">Data!$H$305*CHOOSE(Model!$B$16,Data!$C$305,(Data!$C$305+Data!$D$305)/2,Data!$D$305)+(1-Data!$H$305)*CHOOSE(Model!$B$16,Data!$F$305,(Data!$F$305+Data!$G$305)/2,Data!$G$305)</f>
        <v>48.9511823035851</v>
      </c>
      <c r="D14" s="30" t="str">
        <f aca="false">IF(Data!$H$305&gt;=0.9999,Data!$B$305,IF(Data!$H$305&lt;=0.0001,Data!$E$305,TEXT(Data!$H$305,"0%")&amp;" "&amp;LEFT(Data!$B$305,FIND(",",Data!$B$305)-1)&amp;", "&amp;TEXT(1-Data!$H$305,"0%")&amp;" "&amp;LEFT(Data!$E$305,FIND(",",Data!$E$305)-1)))</f>
        <v>93% City Zone 2, 7% City Zone 3</v>
      </c>
      <c r="E14" s="31" t="n">
        <f aca="false">'Singland-Garryowen'!B13</f>
        <v>336.570643816196</v>
      </c>
      <c r="F14" s="31" t="n">
        <f aca="false">'Singland-Garryowen'!B14</f>
        <v>336.570643816196</v>
      </c>
      <c r="G14" s="31" t="n">
        <f aca="false">'Singland-Garryowen'!B15</f>
        <v>336.570643816196</v>
      </c>
      <c r="H14" s="31" t="n">
        <f aca="false">'Singland-Garryowen'!B16</f>
        <v>336.570643816196</v>
      </c>
      <c r="I14" s="31" t="n">
        <f aca="false">'Singland-Garryowen'!B17</f>
        <v>336.570643816196</v>
      </c>
      <c r="J14" s="31" t="n">
        <f aca="false">'Singland-Garryowen'!B18</f>
        <v>171.167055077062</v>
      </c>
      <c r="K14" s="31" t="n">
        <f aca="false">'Singland-Garryowen'!B19</f>
        <v>171.167055077062</v>
      </c>
      <c r="L14" s="31" t="n">
        <f aca="false">'Singland-Garryowen'!B20</f>
        <v>171.167055077062</v>
      </c>
      <c r="M14" s="31" t="n">
        <f aca="false">'Singland-Garryowen'!B21</f>
        <v>171.167055077062</v>
      </c>
      <c r="N14" s="31" t="n">
        <f aca="false">'Singland-Garryowen'!B22</f>
        <v>165.403588739135</v>
      </c>
      <c r="O14" s="31" t="n">
        <f aca="false">'Singland-Garryowen'!B23</f>
        <v>125.296179154657</v>
      </c>
      <c r="P14" s="31" t="n">
        <f aca="false">'Singland-Garryowen'!B24</f>
        <v>124.269808436944</v>
      </c>
      <c r="Q14" s="31" t="n">
        <f aca="false">'Singland-Garryowen'!B25</f>
        <v>122.76972815721</v>
      </c>
      <c r="R14" s="31" t="n">
        <f aca="false">'Singland-Garryowen'!B26</f>
        <v>121.664405845827</v>
      </c>
      <c r="S14" s="31" t="n">
        <f aca="false">'Singland-Garryowen'!B27</f>
        <v>120.401180347103</v>
      </c>
      <c r="T14" s="32" t="n">
        <f aca="false">SUM(E14:S14)</f>
        <v>3147.3263300701</v>
      </c>
      <c r="U14" s="33" t="n">
        <f aca="false">IF(C14&gt;0,T14/C14,0)</f>
        <v>64.2952055897453</v>
      </c>
      <c r="V14" s="42" t="n">
        <f aca="false">Land!U14</f>
        <v>89.1593861209661</v>
      </c>
      <c r="W14" s="43" t="n">
        <f aca="false">U14-V14</f>
        <v>-24.8641805312208</v>
      </c>
    </row>
    <row r="15" customFormat="false" ht="30" hidden="false" customHeight="true" outlineLevel="0" collapsed="false">
      <c r="A15" s="28" t="s">
        <v>170</v>
      </c>
      <c r="B15" s="28" t="s">
        <v>154</v>
      </c>
      <c r="C15" s="41" t="n">
        <f aca="false">Data!$H$306*CHOOSE(Model!$B$16,Data!$C$306,(Data!$C$306+Data!$D$306)/2,Data!$D$306)+(1-Data!$H$306)*CHOOSE(Model!$B$16,Data!$F$306,(Data!$F$306+Data!$G$306)/2,Data!$G$306)</f>
        <v>48.9505676680398</v>
      </c>
      <c r="D15" s="30" t="str">
        <f aca="false">IF(Data!$H$306&gt;=0.9999,Data!$B$306,IF(Data!$H$306&lt;=0.0001,Data!$E$306,TEXT(Data!$H$306,"0%")&amp;" "&amp;LEFT(Data!$B$306,FIND(",",Data!$B$306)-1)&amp;", "&amp;TEXT(1-Data!$H$306,"0%")&amp;" "&amp;LEFT(Data!$E$306,FIND(",",Data!$E$306)-1)))</f>
        <v>93% City Zone 2, 7% City Zone 3</v>
      </c>
      <c r="E15" s="31" t="n">
        <f aca="false">Southhill!B13</f>
        <v>184.536622124025</v>
      </c>
      <c r="F15" s="31" t="n">
        <f aca="false">Southhill!B14</f>
        <v>184.536622124025</v>
      </c>
      <c r="G15" s="31" t="n">
        <f aca="false">Southhill!B15</f>
        <v>184.536622124025</v>
      </c>
      <c r="H15" s="31" t="n">
        <f aca="false">Southhill!B16</f>
        <v>184.536622124025</v>
      </c>
      <c r="I15" s="31" t="n">
        <f aca="false">Southhill!B17</f>
        <v>184.536622124025</v>
      </c>
      <c r="J15" s="31" t="n">
        <f aca="false">Southhill!B18</f>
        <v>93.8483220185048</v>
      </c>
      <c r="K15" s="31" t="n">
        <f aca="false">Southhill!B19</f>
        <v>93.8483220185048</v>
      </c>
      <c r="L15" s="31" t="n">
        <f aca="false">Southhill!B20</f>
        <v>93.8483220185048</v>
      </c>
      <c r="M15" s="31" t="n">
        <f aca="false">Southhill!B21</f>
        <v>93.8483220185048</v>
      </c>
      <c r="N15" s="31" t="n">
        <f aca="false">Southhill!B22</f>
        <v>90.6883001055201</v>
      </c>
      <c r="O15" s="31" t="n">
        <f aca="false">Southhill!B23</f>
        <v>68.6980106288594</v>
      </c>
      <c r="P15" s="31" t="n">
        <f aca="false">Southhill!B24</f>
        <v>68.1352670005197</v>
      </c>
      <c r="Q15" s="31" t="n">
        <f aca="false">Southhill!B25</f>
        <v>67.3127955437154</v>
      </c>
      <c r="R15" s="31" t="n">
        <f aca="false">Southhill!B26</f>
        <v>66.7067639439649</v>
      </c>
      <c r="S15" s="31" t="n">
        <f aca="false">Southhill!B27</f>
        <v>66.0141564013929</v>
      </c>
      <c r="T15" s="32" t="n">
        <f aca="false">SUM(E15:S15)</f>
        <v>1725.63169231812</v>
      </c>
      <c r="U15" s="33" t="n">
        <f aca="false">IF(C15&gt;0,T15/C15,0)</f>
        <v>35.2525368862024</v>
      </c>
      <c r="V15" s="42" t="n">
        <f aca="false">Land!U15</f>
        <v>70.7226103409064</v>
      </c>
      <c r="W15" s="43" t="n">
        <f aca="false">U15-V15</f>
        <v>-35.4700734547041</v>
      </c>
    </row>
    <row r="16" customFormat="false" ht="30" hidden="false" customHeight="true" outlineLevel="0" collapsed="false">
      <c r="A16" s="28" t="s">
        <v>172</v>
      </c>
      <c r="B16" s="28" t="s">
        <v>173</v>
      </c>
      <c r="C16" s="41" t="n">
        <f aca="false">Data!$H$307*CHOOSE(Model!$B$16,Data!$C$307,(Data!$C$307+Data!$D$307)/2,Data!$D$307)+(1-Data!$H$307)*CHOOSE(Model!$B$16,Data!$F$307,(Data!$F$307+Data!$G$307)/2,Data!$G$307)</f>
        <v>25</v>
      </c>
      <c r="D16" s="30" t="str">
        <f aca="false">IF(Data!$H$307&gt;=0.9999,Data!$B$307,IF(Data!$H$307&lt;=0.0001,Data!$E$307,TEXT(Data!$H$307,"0%")&amp;" "&amp;LEFT(Data!$B$307,FIND(",",Data!$B$307)-1)&amp;", "&amp;TEXT(1-Data!$H$307,"0%")&amp;" "&amp;LEFT(Data!$E$307,FIND(",",Data!$E$307)-1)))</f>
        <v>Level 3 town Zone 2, town edge (25–40)</v>
      </c>
      <c r="E16" s="31" t="n">
        <f aca="false">Abbeyfeale!B13</f>
        <v>57.667226420375</v>
      </c>
      <c r="F16" s="31" t="n">
        <f aca="false">Abbeyfeale!B14</f>
        <v>57.667226420375</v>
      </c>
      <c r="G16" s="31" t="n">
        <f aca="false">Abbeyfeale!B15</f>
        <v>57.667226420375</v>
      </c>
      <c r="H16" s="31" t="n">
        <f aca="false">Abbeyfeale!B16</f>
        <v>57.667226420375</v>
      </c>
      <c r="I16" s="31" t="n">
        <f aca="false">Abbeyfeale!B17</f>
        <v>57.667226420375</v>
      </c>
      <c r="J16" s="31" t="n">
        <f aca="false">Abbeyfeale!B18</f>
        <v>29.3273626271107</v>
      </c>
      <c r="K16" s="31" t="n">
        <f aca="false">Abbeyfeale!B19</f>
        <v>29.3273626271107</v>
      </c>
      <c r="L16" s="31" t="n">
        <f aca="false">Abbeyfeale!B20</f>
        <v>29.3273626271107</v>
      </c>
      <c r="M16" s="31" t="n">
        <f aca="false">Abbeyfeale!B21</f>
        <v>29.3273626271107</v>
      </c>
      <c r="N16" s="31" t="n">
        <f aca="false">Abbeyfeale!B22</f>
        <v>28.3398637932643</v>
      </c>
      <c r="O16" s="31" t="n">
        <f aca="false">Abbeyfeale!B23</f>
        <v>21.4679541001959</v>
      </c>
      <c r="P16" s="31" t="n">
        <f aca="false">Abbeyfeale!B24</f>
        <v>21.2920981434835</v>
      </c>
      <c r="Q16" s="31" t="n">
        <f aca="false">Abbeyfeale!B25</f>
        <v>21.0350778990577</v>
      </c>
      <c r="R16" s="31" t="n">
        <f aca="false">Abbeyfeale!B26</f>
        <v>20.8456945610598</v>
      </c>
      <c r="S16" s="31" t="n">
        <f aca="false">Abbeyfeale!B27</f>
        <v>20.6292564604907</v>
      </c>
      <c r="T16" s="32" t="n">
        <f aca="false">SUM(E16:S16)</f>
        <v>539.25552756787</v>
      </c>
      <c r="U16" s="33" t="n">
        <f aca="false">IF(C16&gt;0,T16/C16,0)</f>
        <v>21.5702211027148</v>
      </c>
      <c r="V16" s="42" t="n">
        <f aca="false">Land!U16</f>
        <v>29.7931230700481</v>
      </c>
      <c r="W16" s="43" t="n">
        <f aca="false">U16-V16</f>
        <v>-8.22290196733327</v>
      </c>
    </row>
    <row r="17" customFormat="false" ht="30" hidden="false" customHeight="true" outlineLevel="0" collapsed="false">
      <c r="A17" s="28" t="s">
        <v>175</v>
      </c>
      <c r="B17" s="28" t="s">
        <v>173</v>
      </c>
      <c r="C17" s="41" t="n">
        <f aca="false">Data!$H$308*CHOOSE(Model!$B$16,Data!$C$308,(Data!$C$308+Data!$D$308)/2,Data!$D$308)+(1-Data!$H$308)*CHOOSE(Model!$B$16,Data!$F$308,(Data!$F$308+Data!$G$308)/2,Data!$G$308)</f>
        <v>25</v>
      </c>
      <c r="D17" s="30" t="str">
        <f aca="false">IF(Data!$H$308&gt;=0.9999,Data!$B$308,IF(Data!$H$308&lt;=0.0001,Data!$E$308,TEXT(Data!$H$308,"0%")&amp;" "&amp;LEFT(Data!$B$308,FIND(",",Data!$B$308)-1)&amp;", "&amp;TEXT(1-Data!$H$308,"0%")&amp;" "&amp;LEFT(Data!$E$308,FIND(",",Data!$E$308)-1)))</f>
        <v>Level 3 town Zone 2, town edge (25–40)</v>
      </c>
      <c r="E17" s="31" t="n">
        <f aca="false">Caherconlish!B13</f>
        <v>34.2026308424293</v>
      </c>
      <c r="F17" s="31" t="n">
        <f aca="false">Caherconlish!B14</f>
        <v>34.2026308424293</v>
      </c>
      <c r="G17" s="31" t="n">
        <f aca="false">Caherconlish!B15</f>
        <v>34.2026308424293</v>
      </c>
      <c r="H17" s="31" t="n">
        <f aca="false">Caherconlish!B16</f>
        <v>34.2026308424293</v>
      </c>
      <c r="I17" s="31" t="n">
        <f aca="false">Caherconlish!B17</f>
        <v>34.2026308424293</v>
      </c>
      <c r="J17" s="31" t="n">
        <f aca="false">Caherconlish!B18</f>
        <v>17.394159902976</v>
      </c>
      <c r="K17" s="31" t="n">
        <f aca="false">Caherconlish!B19</f>
        <v>17.394159902976</v>
      </c>
      <c r="L17" s="31" t="n">
        <f aca="false">Caherconlish!B20</f>
        <v>17.394159902976</v>
      </c>
      <c r="M17" s="31" t="n">
        <f aca="false">Caherconlish!B21</f>
        <v>17.394159902976</v>
      </c>
      <c r="N17" s="31" t="n">
        <f aca="false">Caherconlish!B22</f>
        <v>16.8084709394533</v>
      </c>
      <c r="O17" s="31" t="n">
        <f aca="false">Caherconlish!B23</f>
        <v>12.7327176042541</v>
      </c>
      <c r="P17" s="31" t="n">
        <f aca="false">Caherconlish!B24</f>
        <v>12.6284168299282</v>
      </c>
      <c r="Q17" s="31" t="n">
        <f aca="false">Caherconlish!B25</f>
        <v>12.4759772366825</v>
      </c>
      <c r="R17" s="31" t="n">
        <f aca="false">Caherconlish!B26</f>
        <v>12.36365332587</v>
      </c>
      <c r="S17" s="31" t="n">
        <f aca="false">Caherconlish!B27</f>
        <v>12.2352831420842</v>
      </c>
      <c r="T17" s="32" t="n">
        <f aca="false">SUM(E17:S17)</f>
        <v>319.834312902323</v>
      </c>
      <c r="U17" s="33" t="n">
        <f aca="false">IF(C17&gt;0,T17/C17,0)</f>
        <v>12.7933725160929</v>
      </c>
      <c r="V17" s="42" t="n">
        <f aca="false">Land!U17</f>
        <v>15.7553848720356</v>
      </c>
      <c r="W17" s="43" t="n">
        <f aca="false">U17-V17</f>
        <v>-2.96201235594269</v>
      </c>
    </row>
    <row r="18" customFormat="false" ht="30" hidden="false" customHeight="true" outlineLevel="0" collapsed="false">
      <c r="A18" s="28" t="s">
        <v>177</v>
      </c>
      <c r="B18" s="28" t="s">
        <v>173</v>
      </c>
      <c r="C18" s="41" t="n">
        <f aca="false">Data!$H$309*CHOOSE(Model!$B$16,Data!$C$309,(Data!$C$309+Data!$D$309)/2,Data!$D$309)+(1-Data!$H$309)*CHOOSE(Model!$B$16,Data!$F$309,(Data!$F$309+Data!$G$309)/2,Data!$G$309)</f>
        <v>35</v>
      </c>
      <c r="D18" s="30" t="str">
        <f aca="false">IF(Data!$H$309&gt;=0.9999,Data!$B$309,IF(Data!$H$309&lt;=0.0001,Data!$E$309,TEXT(Data!$H$309,"0%")&amp;" "&amp;LEFT(Data!$B$309,FIND(",",Data!$B$309)-1)&amp;", "&amp;TEXT(1-Data!$H$309,"0%")&amp;" "&amp;LEFT(Data!$E$309,FIND(",",Data!$E$309)-1)))</f>
        <v>Metropolitan town Zone 2, suburban / urban extension (35–50)</v>
      </c>
      <c r="E18" s="31" t="n">
        <f aca="false">Castleconnell!B13</f>
        <v>56.0764063811923</v>
      </c>
      <c r="F18" s="31" t="n">
        <f aca="false">Castleconnell!B14</f>
        <v>56.0764063811923</v>
      </c>
      <c r="G18" s="31" t="n">
        <f aca="false">Castleconnell!B15</f>
        <v>56.0764063811923</v>
      </c>
      <c r="H18" s="31" t="n">
        <f aca="false">Castleconnell!B16</f>
        <v>56.0764063811923</v>
      </c>
      <c r="I18" s="31" t="n">
        <f aca="false">Castleconnell!B17</f>
        <v>56.0764063811923</v>
      </c>
      <c r="J18" s="31" t="n">
        <f aca="false">Castleconnell!B18</f>
        <v>28.5183319339491</v>
      </c>
      <c r="K18" s="31" t="n">
        <f aca="false">Castleconnell!B19</f>
        <v>28.5183319339491</v>
      </c>
      <c r="L18" s="31" t="n">
        <f aca="false">Castleconnell!B20</f>
        <v>28.5183319339491</v>
      </c>
      <c r="M18" s="31" t="n">
        <f aca="false">Castleconnell!B21</f>
        <v>28.5183319339491</v>
      </c>
      <c r="N18" s="31" t="n">
        <f aca="false">Castleconnell!B22</f>
        <v>27.5580744472432</v>
      </c>
      <c r="O18" s="31" t="n">
        <f aca="false">Castleconnell!B23</f>
        <v>20.8757346767422</v>
      </c>
      <c r="P18" s="31" t="n">
        <f aca="false">Castleconnell!B24</f>
        <v>20.7047299188357</v>
      </c>
      <c r="Q18" s="31" t="n">
        <f aca="false">Castleconnell!B25</f>
        <v>20.4547998880493</v>
      </c>
      <c r="R18" s="31" t="n">
        <f aca="false">Castleconnell!B26</f>
        <v>20.2706409179961</v>
      </c>
      <c r="S18" s="31" t="n">
        <f aca="false">Castleconnell!B27</f>
        <v>20.0601735236496</v>
      </c>
      <c r="T18" s="32" t="n">
        <f aca="false">SUM(E18:S18)</f>
        <v>524.379513014274</v>
      </c>
      <c r="U18" s="33" t="n">
        <f aca="false">IF(C18&gt;0,T18/C18,0)</f>
        <v>14.9822718004078</v>
      </c>
      <c r="V18" s="42" t="n">
        <f aca="false">Land!U18</f>
        <v>28.4988865768627</v>
      </c>
      <c r="W18" s="43" t="n">
        <f aca="false">U18-V18</f>
        <v>-13.5166147764549</v>
      </c>
    </row>
    <row r="19" customFormat="false" ht="30" hidden="false" customHeight="true" outlineLevel="0" collapsed="false">
      <c r="A19" s="28" t="s">
        <v>179</v>
      </c>
      <c r="B19" s="28" t="s">
        <v>173</v>
      </c>
      <c r="C19" s="41" t="n">
        <f aca="false">Data!$H$310*CHOOSE(Model!$B$16,Data!$C$310,(Data!$C$310+Data!$D$310)/2,Data!$D$310)+(1-Data!$H$310)*CHOOSE(Model!$B$16,Data!$F$310,(Data!$F$310+Data!$G$310)/2,Data!$G$310)</f>
        <v>25</v>
      </c>
      <c r="D19" s="30" t="str">
        <f aca="false">IF(Data!$H$310&gt;=0.9999,Data!$B$310,IF(Data!$H$310&lt;=0.0001,Data!$E$310,TEXT(Data!$H$310,"0%")&amp;" "&amp;LEFT(Data!$B$310,FIND(",",Data!$B$310)-1)&amp;", "&amp;TEXT(1-Data!$H$310,"0%")&amp;" "&amp;LEFT(Data!$E$310,FIND(",",Data!$E$310)-1)))</f>
        <v>Level 3 town Zone 2, town edge (25–40)</v>
      </c>
      <c r="E19" s="31" t="n">
        <f aca="false">Kilmallock!B13</f>
        <v>44.3441085922194</v>
      </c>
      <c r="F19" s="31" t="n">
        <f aca="false">Kilmallock!B14</f>
        <v>44.3441085922194</v>
      </c>
      <c r="G19" s="31" t="n">
        <f aca="false">Kilmallock!B15</f>
        <v>44.3441085922194</v>
      </c>
      <c r="H19" s="31" t="n">
        <f aca="false">Kilmallock!B16</f>
        <v>44.3441085922194</v>
      </c>
      <c r="I19" s="31" t="n">
        <f aca="false">Kilmallock!B17</f>
        <v>44.3441085922194</v>
      </c>
      <c r="J19" s="31" t="n">
        <f aca="false">Kilmallock!B18</f>
        <v>22.5517305718817</v>
      </c>
      <c r="K19" s="31" t="n">
        <f aca="false">Kilmallock!B19</f>
        <v>22.5517305718817</v>
      </c>
      <c r="L19" s="31" t="n">
        <f aca="false">Kilmallock!B20</f>
        <v>22.5517305718817</v>
      </c>
      <c r="M19" s="31" t="n">
        <f aca="false">Kilmallock!B21</f>
        <v>22.5517305718817</v>
      </c>
      <c r="N19" s="31" t="n">
        <f aca="false">Kilmallock!B22</f>
        <v>21.7923780203377</v>
      </c>
      <c r="O19" s="31" t="n">
        <f aca="false">Kilmallock!B23</f>
        <v>16.5081164287713</v>
      </c>
      <c r="P19" s="31" t="n">
        <f aca="false">Kilmallock!B24</f>
        <v>16.372889262058</v>
      </c>
      <c r="Q19" s="31" t="n">
        <f aca="false">Kilmallock!B25</f>
        <v>16.1752495568616</v>
      </c>
      <c r="R19" s="31" t="n">
        <f aca="false">Kilmallock!B26</f>
        <v>16.0296203004012</v>
      </c>
      <c r="S19" s="31" t="n">
        <f aca="false">Kilmallock!B27</f>
        <v>15.8631868644463</v>
      </c>
      <c r="T19" s="32" t="n">
        <f aca="false">SUM(E19:S19)</f>
        <v>414.6689056815</v>
      </c>
      <c r="U19" s="33" t="n">
        <f aca="false">IF(C19&gt;0,T19/C19,0)</f>
        <v>16.58675622726</v>
      </c>
      <c r="V19" s="42" t="n">
        <f aca="false">Land!U19</f>
        <v>24.108657307064</v>
      </c>
      <c r="W19" s="43" t="n">
        <f aca="false">U19-V19</f>
        <v>-7.52190107980396</v>
      </c>
    </row>
    <row r="20" customFormat="false" ht="30" hidden="false" customHeight="true" outlineLevel="0" collapsed="false">
      <c r="A20" s="28" t="s">
        <v>181</v>
      </c>
      <c r="B20" s="28" t="s">
        <v>173</v>
      </c>
      <c r="C20" s="41" t="n">
        <f aca="false">Data!$H$311*CHOOSE(Model!$B$16,Data!$C$311,(Data!$C$311+Data!$D$311)/2,Data!$D$311)+(1-Data!$H$311)*CHOOSE(Model!$B$16,Data!$F$311,(Data!$F$311+Data!$G$311)/2,Data!$G$311)</f>
        <v>30</v>
      </c>
      <c r="D20" s="30" t="str">
        <f aca="false">IF(Data!$H$311&gt;=0.9999,Data!$B$311,IF(Data!$H$311&lt;=0.0001,Data!$E$311,TEXT(Data!$H$311,"0%")&amp;" "&amp;LEFT(Data!$B$311,FIND(",",Data!$B$311)-1)&amp;", "&amp;TEXT(1-Data!$H$311,"0%")&amp;" "&amp;LEFT(Data!$E$311,FIND(",",Data!$E$311)-1)))</f>
        <v>Key town Zone 2, suburban / urban extension (30–50)</v>
      </c>
      <c r="E20" s="31" t="n">
        <f aca="false">'Newcastle West'!B13</f>
        <v>193.085782255807</v>
      </c>
      <c r="F20" s="31" t="n">
        <f aca="false">'Newcastle West'!B14</f>
        <v>193.085782255807</v>
      </c>
      <c r="G20" s="31" t="n">
        <f aca="false">'Newcastle West'!B15</f>
        <v>193.085782255807</v>
      </c>
      <c r="H20" s="31" t="n">
        <f aca="false">'Newcastle West'!B16</f>
        <v>193.085782255807</v>
      </c>
      <c r="I20" s="31" t="n">
        <f aca="false">'Newcastle West'!B17</f>
        <v>193.085782255807</v>
      </c>
      <c r="J20" s="31" t="n">
        <f aca="false">'Newcastle West'!B18</f>
        <v>98.1961003824984</v>
      </c>
      <c r="K20" s="31" t="n">
        <f aca="false">'Newcastle West'!B19</f>
        <v>98.1961003824984</v>
      </c>
      <c r="L20" s="31" t="n">
        <f aca="false">'Newcastle West'!B20</f>
        <v>98.1961003824984</v>
      </c>
      <c r="M20" s="31" t="n">
        <f aca="false">'Newcastle West'!B21</f>
        <v>98.1961003824984</v>
      </c>
      <c r="N20" s="31" t="n">
        <f aca="false">'Newcastle West'!B22</f>
        <v>94.8896818733091</v>
      </c>
      <c r="O20" s="31" t="n">
        <f aca="false">'Newcastle West'!B23</f>
        <v>71.8806325216905</v>
      </c>
      <c r="P20" s="31" t="n">
        <f aca="false">'Newcastle West'!B24</f>
        <v>71.2918182666294</v>
      </c>
      <c r="Q20" s="31" t="n">
        <f aca="false">'Newcastle West'!B25</f>
        <v>70.4312435861554</v>
      </c>
      <c r="R20" s="31" t="n">
        <f aca="false">'Newcastle West'!B26</f>
        <v>69.7971359268589</v>
      </c>
      <c r="S20" s="31" t="n">
        <f aca="false">'Newcastle West'!B27</f>
        <v>69.0724414590913</v>
      </c>
      <c r="T20" s="32" t="n">
        <f aca="false">SUM(E20:S20)</f>
        <v>1805.57626644277</v>
      </c>
      <c r="U20" s="33" t="n">
        <f aca="false">IF(C20&gt;0,T20/C20,0)</f>
        <v>60.1858755480922</v>
      </c>
      <c r="V20" s="42" t="n">
        <f aca="false">Land!U20</f>
        <v>78.8461251721732</v>
      </c>
      <c r="W20" s="43" t="n">
        <f aca="false">U20-V20</f>
        <v>-18.660249624081</v>
      </c>
    </row>
    <row r="21" customFormat="false" ht="30" hidden="false" customHeight="true" outlineLevel="0" collapsed="false">
      <c r="A21" s="28" t="s">
        <v>183</v>
      </c>
      <c r="B21" s="28" t="s">
        <v>173</v>
      </c>
      <c r="C21" s="41" t="n">
        <f aca="false">Data!$H$312*CHOOSE(Model!$B$16,Data!$C$312,(Data!$C$312+Data!$D$312)/2,Data!$D$312)+(1-Data!$H$312)*CHOOSE(Model!$B$16,Data!$F$312,(Data!$F$312+Data!$G$312)/2,Data!$G$312)</f>
        <v>25</v>
      </c>
      <c r="D21" s="30" t="str">
        <f aca="false">IF(Data!$H$312&gt;=0.9999,Data!$B$312,IF(Data!$H$312&lt;=0.0001,Data!$E$312,TEXT(Data!$H$312,"0%")&amp;" "&amp;LEFT(Data!$B$312,FIND(",",Data!$B$312)-1)&amp;", "&amp;TEXT(1-Data!$H$312,"0%")&amp;" "&amp;LEFT(Data!$E$312,FIND(",",Data!$E$312)-1)))</f>
        <v>Level 3 town Zone 2, town edge (25–40)</v>
      </c>
      <c r="E21" s="31" t="n">
        <f aca="false">Rathkeale!B13</f>
        <v>40.1682059893647</v>
      </c>
      <c r="F21" s="31" t="n">
        <f aca="false">Rathkeale!B14</f>
        <v>40.1682059893647</v>
      </c>
      <c r="G21" s="31" t="n">
        <f aca="false">Rathkeale!B15</f>
        <v>40.1682059893647</v>
      </c>
      <c r="H21" s="31" t="n">
        <f aca="false">Rathkeale!B16</f>
        <v>40.1682059893647</v>
      </c>
      <c r="I21" s="31" t="n">
        <f aca="false">Rathkeale!B17</f>
        <v>40.1682059893647</v>
      </c>
      <c r="J21" s="31" t="n">
        <f aca="false">Rathkeale!B18</f>
        <v>20.4280250023323</v>
      </c>
      <c r="K21" s="31" t="n">
        <f aca="false">Rathkeale!B19</f>
        <v>20.4280250023323</v>
      </c>
      <c r="L21" s="31" t="n">
        <f aca="false">Rathkeale!B20</f>
        <v>20.4280250023323</v>
      </c>
      <c r="M21" s="31" t="n">
        <f aca="false">Rathkeale!B21</f>
        <v>20.4280250023323</v>
      </c>
      <c r="N21" s="31" t="n">
        <f aca="false">Rathkeale!B22</f>
        <v>19.7401809870324</v>
      </c>
      <c r="O21" s="31" t="n">
        <f aca="false">Rathkeale!B23</f>
        <v>14.9535404422054</v>
      </c>
      <c r="P21" s="31" t="n">
        <f aca="false">Rathkeale!B24</f>
        <v>14.8310476723575</v>
      </c>
      <c r="Q21" s="31" t="n">
        <f aca="false">Rathkeale!B25</f>
        <v>14.6520197779644</v>
      </c>
      <c r="R21" s="31" t="n">
        <f aca="false">Rathkeale!B26</f>
        <v>14.5201044873589</v>
      </c>
      <c r="S21" s="31" t="n">
        <f aca="false">Rathkeale!B27</f>
        <v>14.3693441552384</v>
      </c>
      <c r="T21" s="32" t="n">
        <f aca="false">SUM(E21:S21)</f>
        <v>375.61936747831</v>
      </c>
      <c r="U21" s="33" t="n">
        <f aca="false">IF(C21&gt;0,T21/C21,0)</f>
        <v>15.0247746991324</v>
      </c>
      <c r="V21" s="42" t="n">
        <f aca="false">Land!U21</f>
        <v>22.7648101502006</v>
      </c>
      <c r="W21" s="43" t="n">
        <f aca="false">U21-V21</f>
        <v>-7.7400354510682</v>
      </c>
    </row>
    <row r="22" customFormat="false" ht="30" hidden="false" customHeight="true" outlineLevel="0" collapsed="false">
      <c r="A22" s="28" t="s">
        <v>185</v>
      </c>
      <c r="B22" s="28" t="s">
        <v>186</v>
      </c>
      <c r="C22" s="41" t="n">
        <f aca="false">Data!$H$313*CHOOSE(Model!$B$16,Data!$C$313,(Data!$C$313+Data!$D$313)/2,Data!$D$313)+(1-Data!$H$313)*CHOOSE(Model!$B$16,Data!$F$313,(Data!$F$313+Data!$G$313)/2,Data!$G$313)</f>
        <v>22</v>
      </c>
      <c r="D22" s="30" t="str">
        <f aca="false">IF(Data!$H$313&gt;=0.9999,Data!$B$313,IF(Data!$H$313&lt;=0.0001,Data!$E$313,TEXT(Data!$H$313,"0%")&amp;" "&amp;LEFT(Data!$B$313,FIND(",",Data!$B$313)-1)&amp;", "&amp;TEXT(1-Data!$H$313,"0%")&amp;" "&amp;LEFT(Data!$E$313,FIND(",",Data!$E$313)-1)))</f>
        <v>Level 4 large village (22)</v>
      </c>
      <c r="E22" s="31" t="n">
        <f aca="false">Adare!B13</f>
        <v>39.770500979569</v>
      </c>
      <c r="F22" s="31" t="n">
        <f aca="false">Adare!B14</f>
        <v>39.770500979569</v>
      </c>
      <c r="G22" s="31" t="n">
        <f aca="false">Adare!B15</f>
        <v>39.770500979569</v>
      </c>
      <c r="H22" s="31" t="n">
        <f aca="false">Adare!B16</f>
        <v>39.770500979569</v>
      </c>
      <c r="I22" s="31" t="n">
        <f aca="false">Adare!B17</f>
        <v>39.770500979569</v>
      </c>
      <c r="J22" s="31" t="n">
        <f aca="false">Adare!B18</f>
        <v>20.2257673290419</v>
      </c>
      <c r="K22" s="31" t="n">
        <f aca="false">Adare!B19</f>
        <v>20.2257673290419</v>
      </c>
      <c r="L22" s="31" t="n">
        <f aca="false">Adare!B20</f>
        <v>20.2257673290419</v>
      </c>
      <c r="M22" s="31" t="n">
        <f aca="false">Adare!B21</f>
        <v>20.2257673290419</v>
      </c>
      <c r="N22" s="31" t="n">
        <f aca="false">Adare!B22</f>
        <v>19.5447336505271</v>
      </c>
      <c r="O22" s="31" t="n">
        <f aca="false">Adare!B23</f>
        <v>14.805485586342</v>
      </c>
      <c r="P22" s="31" t="n">
        <f aca="false">Adare!B24</f>
        <v>14.6842056161955</v>
      </c>
      <c r="Q22" s="31" t="n">
        <f aca="false">Adare!B25</f>
        <v>14.5069502752122</v>
      </c>
      <c r="R22" s="31" t="n">
        <f aca="false">Adare!B26</f>
        <v>14.376341076593</v>
      </c>
      <c r="S22" s="31" t="n">
        <f aca="false">Adare!B27</f>
        <v>14.2270734210281</v>
      </c>
      <c r="T22" s="32" t="n">
        <f aca="false">SUM(E22:S22)</f>
        <v>371.90036383991</v>
      </c>
      <c r="U22" s="33" t="n">
        <f aca="false">IF(C22&gt;0,T22/C22,0)</f>
        <v>16.9045619927232</v>
      </c>
      <c r="V22" s="42" t="n">
        <f aca="false">Land!U22</f>
        <v>28.8294855689853</v>
      </c>
      <c r="W22" s="43" t="n">
        <f aca="false">U22-V22</f>
        <v>-11.9249235762621</v>
      </c>
    </row>
    <row r="23" customFormat="false" ht="30" hidden="false" customHeight="true" outlineLevel="0" collapsed="false">
      <c r="A23" s="28" t="s">
        <v>188</v>
      </c>
      <c r="B23" s="28" t="s">
        <v>186</v>
      </c>
      <c r="C23" s="41" t="n">
        <f aca="false">Data!$H$314*CHOOSE(Model!$B$16,Data!$C$314,(Data!$C$314+Data!$D$314)/2,Data!$D$314)+(1-Data!$H$314)*CHOOSE(Model!$B$16,Data!$F$314,(Data!$F$314+Data!$G$314)/2,Data!$G$314)</f>
        <v>22</v>
      </c>
      <c r="D23" s="30" t="str">
        <f aca="false">IF(Data!$H$314&gt;=0.9999,Data!$B$314,IF(Data!$H$314&lt;=0.0001,Data!$E$314,TEXT(Data!$H$314,"0%")&amp;" "&amp;LEFT(Data!$B$314,FIND(",",Data!$B$314)-1)&amp;", "&amp;TEXT(1-Data!$H$314,"0%")&amp;" "&amp;LEFT(Data!$E$314,FIND(",",Data!$E$314)-1)))</f>
        <v>Level 4 large village (22)</v>
      </c>
      <c r="E23" s="31" t="n">
        <f aca="false">Askeaton!B13</f>
        <v>32.4129582983487</v>
      </c>
      <c r="F23" s="31" t="n">
        <f aca="false">Askeaton!B14</f>
        <v>32.4129582983487</v>
      </c>
      <c r="G23" s="31" t="n">
        <f aca="false">Askeaton!B15</f>
        <v>32.4129582983487</v>
      </c>
      <c r="H23" s="31" t="n">
        <f aca="false">Askeaton!B16</f>
        <v>32.4129582983487</v>
      </c>
      <c r="I23" s="31" t="n">
        <f aca="false">Askeaton!B17</f>
        <v>32.4129582983487</v>
      </c>
      <c r="J23" s="31" t="n">
        <f aca="false">Askeaton!B18</f>
        <v>16.4840003731691</v>
      </c>
      <c r="K23" s="31" t="n">
        <f aca="false">Askeaton!B19</f>
        <v>16.4840003731691</v>
      </c>
      <c r="L23" s="31" t="n">
        <f aca="false">Askeaton!B20</f>
        <v>16.4840003731691</v>
      </c>
      <c r="M23" s="31" t="n">
        <f aca="false">Askeaton!B21</f>
        <v>16.4840003731691</v>
      </c>
      <c r="N23" s="31" t="n">
        <f aca="false">Askeaton!B22</f>
        <v>15.9289579251796</v>
      </c>
      <c r="O23" s="31" t="n">
        <f aca="false">Askeaton!B23</f>
        <v>12.0664707528687</v>
      </c>
      <c r="P23" s="31" t="n">
        <f aca="false">Askeaton!B24</f>
        <v>11.9676275771994</v>
      </c>
      <c r="Q23" s="31" t="n">
        <f aca="false">Askeaton!B25</f>
        <v>11.823164474298</v>
      </c>
      <c r="R23" s="31" t="n">
        <f aca="false">Askeaton!B26</f>
        <v>11.7167179774233</v>
      </c>
      <c r="S23" s="31" t="n">
        <f aca="false">Askeaton!B27</f>
        <v>11.5950648381379</v>
      </c>
      <c r="T23" s="32" t="n">
        <f aca="false">SUM(E23:S23)</f>
        <v>303.098796529527</v>
      </c>
      <c r="U23" s="33" t="n">
        <f aca="false">IF(C23&gt;0,T23/C23,0)</f>
        <v>13.7772180240694</v>
      </c>
      <c r="V23" s="42" t="n">
        <f aca="false">Land!U23</f>
        <v>17.2215225300868</v>
      </c>
      <c r="W23" s="43" t="n">
        <f aca="false">U23-V23</f>
        <v>-3.44430450601735</v>
      </c>
    </row>
    <row r="24" customFormat="false" ht="30" hidden="false" customHeight="true" outlineLevel="0" collapsed="false">
      <c r="A24" s="28" t="s">
        <v>190</v>
      </c>
      <c r="B24" s="28" t="s">
        <v>186</v>
      </c>
      <c r="C24" s="41" t="n">
        <f aca="false">Data!$H$315*CHOOSE(Model!$B$16,Data!$C$315,(Data!$C$315+Data!$D$315)/2,Data!$D$315)+(1-Data!$H$315)*CHOOSE(Model!$B$16,Data!$F$315,(Data!$F$315+Data!$G$315)/2,Data!$G$315)</f>
        <v>22</v>
      </c>
      <c r="D24" s="30" t="str">
        <f aca="false">IF(Data!$H$315&gt;=0.9999,Data!$B$315,IF(Data!$H$315&lt;=0.0001,Data!$E$315,TEXT(Data!$H$315,"0%")&amp;" "&amp;LEFT(Data!$B$315,FIND(",",Data!$B$315)-1)&amp;", "&amp;TEXT(1-Data!$H$315,"0%")&amp;" "&amp;LEFT(Data!$E$315,FIND(",",Data!$E$315)-1)))</f>
        <v>Level 4 large village (22)</v>
      </c>
      <c r="E24" s="31" t="n">
        <f aca="false">Bruff!B13</f>
        <v>22.6691855583543</v>
      </c>
      <c r="F24" s="31" t="n">
        <f aca="false">Bruff!B14</f>
        <v>22.6691855583543</v>
      </c>
      <c r="G24" s="31" t="n">
        <f aca="false">Bruff!B15</f>
        <v>22.6691855583543</v>
      </c>
      <c r="H24" s="31" t="n">
        <f aca="false">Bruff!B16</f>
        <v>22.6691855583543</v>
      </c>
      <c r="I24" s="31" t="n">
        <f aca="false">Bruff!B17</f>
        <v>22.6691855583543</v>
      </c>
      <c r="J24" s="31" t="n">
        <f aca="false">Bruff!B18</f>
        <v>11.5286873775539</v>
      </c>
      <c r="K24" s="31" t="n">
        <f aca="false">Bruff!B19</f>
        <v>11.5286873775539</v>
      </c>
      <c r="L24" s="31" t="n">
        <f aca="false">Bruff!B20</f>
        <v>11.5286873775539</v>
      </c>
      <c r="M24" s="31" t="n">
        <f aca="false">Bruff!B21</f>
        <v>11.5286873775539</v>
      </c>
      <c r="N24" s="31" t="n">
        <f aca="false">Bruff!B22</f>
        <v>11.1404981808004</v>
      </c>
      <c r="O24" s="31" t="n">
        <f aca="false">Bruff!B23</f>
        <v>8.43912678421495</v>
      </c>
      <c r="P24" s="31" t="n">
        <f aca="false">Bruff!B24</f>
        <v>8.36999720123146</v>
      </c>
      <c r="Q24" s="31" t="n">
        <f aca="false">Bruff!B25</f>
        <v>8.26896165687098</v>
      </c>
      <c r="R24" s="31" t="n">
        <f aca="false">Bruff!B26</f>
        <v>8.19451441365799</v>
      </c>
      <c r="S24" s="31" t="n">
        <f aca="false">Bruff!B27</f>
        <v>8.10943184998601</v>
      </c>
      <c r="T24" s="32" t="n">
        <f aca="false">SUM(E24:S24)</f>
        <v>211.983207388749</v>
      </c>
      <c r="U24" s="33" t="n">
        <f aca="false">IF(C24&gt;0,T24/C24,0)</f>
        <v>9.63560033585222</v>
      </c>
      <c r="V24" s="42" t="n">
        <f aca="false">Land!U24</f>
        <v>14.9283948865316</v>
      </c>
      <c r="W24" s="43" t="n">
        <f aca="false">U24-V24</f>
        <v>-5.29279455067939</v>
      </c>
    </row>
    <row r="25" customFormat="false" ht="30" hidden="false" customHeight="true" outlineLevel="0" collapsed="false">
      <c r="A25" s="28" t="s">
        <v>192</v>
      </c>
      <c r="B25" s="28" t="s">
        <v>186</v>
      </c>
      <c r="C25" s="41" t="n">
        <f aca="false">Data!$H$316*CHOOSE(Model!$B$16,Data!$C$316,(Data!$C$316+Data!$D$316)/2,Data!$D$316)+(1-Data!$H$316)*CHOOSE(Model!$B$16,Data!$F$316,(Data!$F$316+Data!$G$316)/2,Data!$G$316)</f>
        <v>22</v>
      </c>
      <c r="D25" s="30" t="str">
        <f aca="false">IF(Data!$H$316&gt;=0.9999,Data!$B$316,IF(Data!$H$316&lt;=0.0001,Data!$E$316,TEXT(Data!$H$316,"0%")&amp;" "&amp;LEFT(Data!$B$316,FIND(",",Data!$B$316)-1)&amp;", "&amp;TEXT(1-Data!$H$316,"0%")&amp;" "&amp;LEFT(Data!$E$316,FIND(",",Data!$E$316)-1)))</f>
        <v>Level 4 large village (22)</v>
      </c>
      <c r="E25" s="31" t="n">
        <f aca="false">Cappamore!B13</f>
        <v>17.6978729359082</v>
      </c>
      <c r="F25" s="31" t="n">
        <f aca="false">Cappamore!B14</f>
        <v>17.6978729359082</v>
      </c>
      <c r="G25" s="31" t="n">
        <f aca="false">Cappamore!B15</f>
        <v>17.6978729359082</v>
      </c>
      <c r="H25" s="31" t="n">
        <f aca="false">Cappamore!B16</f>
        <v>17.6978729359082</v>
      </c>
      <c r="I25" s="31" t="n">
        <f aca="false">Cappamore!B17</f>
        <v>17.6978729359082</v>
      </c>
      <c r="J25" s="31" t="n">
        <f aca="false">Cappamore!B18</f>
        <v>9.00046646142364</v>
      </c>
      <c r="K25" s="31" t="n">
        <f aca="false">Cappamore!B19</f>
        <v>9.00046646142364</v>
      </c>
      <c r="L25" s="31" t="n">
        <f aca="false">Cappamore!B20</f>
        <v>9.00046646142364</v>
      </c>
      <c r="M25" s="31" t="n">
        <f aca="false">Cappamore!B21</f>
        <v>9.00046646142364</v>
      </c>
      <c r="N25" s="31" t="n">
        <f aca="false">Cappamore!B22</f>
        <v>8.69740647448456</v>
      </c>
      <c r="O25" s="31" t="n">
        <f aca="false">Cappamore!B23</f>
        <v>6.5884410859222</v>
      </c>
      <c r="P25" s="31" t="n">
        <f aca="false">Cappamore!B24</f>
        <v>6.53447149920702</v>
      </c>
      <c r="Q25" s="31" t="n">
        <f aca="false">Cappamore!B25</f>
        <v>6.45559287246945</v>
      </c>
      <c r="R25" s="31" t="n">
        <f aca="false">Cappamore!B26</f>
        <v>6.39747177908387</v>
      </c>
      <c r="S25" s="31" t="n">
        <f aca="false">Cappamore!B27</f>
        <v>6.3310476723575</v>
      </c>
      <c r="T25" s="32" t="n">
        <f aca="false">SUM(E25:S25)</f>
        <v>165.49566190876</v>
      </c>
      <c r="U25" s="33" t="n">
        <f aca="false">IF(C25&gt;0,T25/C25,0)</f>
        <v>7.52253008676183</v>
      </c>
      <c r="V25" s="42" t="n">
        <f aca="false">Land!U25</f>
        <v>7.66183619947964</v>
      </c>
      <c r="W25" s="43" t="n">
        <f aca="false">U25-V25</f>
        <v>-0.139306112717811</v>
      </c>
    </row>
    <row r="26" customFormat="false" ht="30" hidden="false" customHeight="true" outlineLevel="0" collapsed="false">
      <c r="A26" s="28" t="s">
        <v>194</v>
      </c>
      <c r="B26" s="28" t="s">
        <v>186</v>
      </c>
      <c r="C26" s="41" t="n">
        <f aca="false">Data!$H$317*CHOOSE(Model!$B$16,Data!$C$317,(Data!$C$317+Data!$D$317)/2,Data!$D$317)+(1-Data!$H$317)*CHOOSE(Model!$B$16,Data!$F$317,(Data!$F$317+Data!$G$317)/2,Data!$G$317)</f>
        <v>22</v>
      </c>
      <c r="D26" s="30" t="str">
        <f aca="false">IF(Data!$H$317&gt;=0.9999,Data!$B$317,IF(Data!$H$317&lt;=0.0001,Data!$E$317,TEXT(Data!$H$317,"0%")&amp;" "&amp;LEFT(Data!$B$317,FIND(",",Data!$B$317)-1)&amp;", "&amp;TEXT(1-Data!$H$317,"0%")&amp;" "&amp;LEFT(Data!$E$317,FIND(",",Data!$E$317)-1)))</f>
        <v>Level 4 large village (22)</v>
      </c>
      <c r="E26" s="31" t="n">
        <f aca="false">Croom!B13</f>
        <v>28.4359082003918</v>
      </c>
      <c r="F26" s="31" t="n">
        <f aca="false">Croom!B14</f>
        <v>28.4359082003918</v>
      </c>
      <c r="G26" s="31" t="n">
        <f aca="false">Croom!B15</f>
        <v>28.4359082003918</v>
      </c>
      <c r="H26" s="31" t="n">
        <f aca="false">Croom!B16</f>
        <v>28.4359082003918</v>
      </c>
      <c r="I26" s="31" t="n">
        <f aca="false">Croom!B17</f>
        <v>28.4359082003918</v>
      </c>
      <c r="J26" s="31" t="n">
        <f aca="false">Croom!B18</f>
        <v>14.461423640265</v>
      </c>
      <c r="K26" s="31" t="n">
        <f aca="false">Croom!B19</f>
        <v>14.461423640265</v>
      </c>
      <c r="L26" s="31" t="n">
        <f aca="false">Croom!B20</f>
        <v>14.461423640265</v>
      </c>
      <c r="M26" s="31" t="n">
        <f aca="false">Croom!B21</f>
        <v>14.461423640265</v>
      </c>
      <c r="N26" s="31" t="n">
        <f aca="false">Croom!B22</f>
        <v>13.9744845601269</v>
      </c>
      <c r="O26" s="31" t="n">
        <f aca="false">Croom!B23</f>
        <v>10.5859221942345</v>
      </c>
      <c r="P26" s="31" t="n">
        <f aca="false">Croom!B24</f>
        <v>10.4992070155798</v>
      </c>
      <c r="Q26" s="31" t="n">
        <f aca="false">Croom!B25</f>
        <v>10.3724694467768</v>
      </c>
      <c r="R26" s="31" t="n">
        <f aca="false">Croom!B26</f>
        <v>10.279083869764</v>
      </c>
      <c r="S26" s="31" t="n">
        <f aca="false">Croom!B27</f>
        <v>10.1723574960351</v>
      </c>
      <c r="T26" s="32" t="n">
        <f aca="false">SUM(E26:S26)</f>
        <v>265.908760145536</v>
      </c>
      <c r="U26" s="33" t="n">
        <f aca="false">IF(C26&gt;0,T26/C26,0)</f>
        <v>12.0867618247971</v>
      </c>
      <c r="V26" s="42" t="n">
        <f aca="false">Land!U26</f>
        <v>16.619297509096</v>
      </c>
      <c r="W26" s="43" t="n">
        <f aca="false">U26-V26</f>
        <v>-4.53253568429891</v>
      </c>
    </row>
    <row r="27" customFormat="false" ht="30" hidden="false" customHeight="true" outlineLevel="0" collapsed="false">
      <c r="A27" s="28" t="s">
        <v>196</v>
      </c>
      <c r="B27" s="28" t="s">
        <v>186</v>
      </c>
      <c r="C27" s="41" t="n">
        <f aca="false">Data!$H$318*CHOOSE(Model!$B$16,Data!$C$318,(Data!$C$318+Data!$D$318)/2,Data!$D$318)+(1-Data!$H$318)*CHOOSE(Model!$B$16,Data!$F$318,(Data!$F$318+Data!$G$318)/2,Data!$G$318)</f>
        <v>22</v>
      </c>
      <c r="D27" s="30" t="str">
        <f aca="false">IF(Data!$H$318&gt;=0.9999,Data!$B$318,IF(Data!$H$318&lt;=0.0001,Data!$E$318,TEXT(Data!$H$318,"0%")&amp;" "&amp;LEFT(Data!$B$318,FIND(",",Data!$B$318)-1)&amp;", "&amp;TEXT(1-Data!$H$318,"0%")&amp;" "&amp;LEFT(Data!$E$318,FIND(",",Data!$E$318)-1)))</f>
        <v>Level 4 large village (22)</v>
      </c>
      <c r="E27" s="31" t="n">
        <f aca="false">Hospital!B13</f>
        <v>17.4990204310104</v>
      </c>
      <c r="F27" s="31" t="n">
        <f aca="false">Hospital!B14</f>
        <v>17.4990204310104</v>
      </c>
      <c r="G27" s="31" t="n">
        <f aca="false">Hospital!B15</f>
        <v>17.4990204310104</v>
      </c>
      <c r="H27" s="31" t="n">
        <f aca="false">Hospital!B16</f>
        <v>17.4990204310104</v>
      </c>
      <c r="I27" s="31" t="n">
        <f aca="false">Hospital!B17</f>
        <v>17.4990204310104</v>
      </c>
      <c r="J27" s="31" t="n">
        <f aca="false">Hospital!B18</f>
        <v>8.89933762477843</v>
      </c>
      <c r="K27" s="31" t="n">
        <f aca="false">Hospital!B19</f>
        <v>8.89933762477843</v>
      </c>
      <c r="L27" s="31" t="n">
        <f aca="false">Hospital!B20</f>
        <v>8.89933762477843</v>
      </c>
      <c r="M27" s="31" t="n">
        <f aca="false">Hospital!B21</f>
        <v>8.89933762477843</v>
      </c>
      <c r="N27" s="31" t="n">
        <f aca="false">Hospital!B22</f>
        <v>8.59968280623193</v>
      </c>
      <c r="O27" s="31" t="n">
        <f aca="false">Hospital!B23</f>
        <v>6.51441365799048</v>
      </c>
      <c r="P27" s="31" t="n">
        <f aca="false">Hospital!B24</f>
        <v>6.46105047112604</v>
      </c>
      <c r="Q27" s="31" t="n">
        <f aca="false">Hospital!B25</f>
        <v>6.38305812109339</v>
      </c>
      <c r="R27" s="31" t="n">
        <f aca="false">Hospital!B26</f>
        <v>6.32559007370091</v>
      </c>
      <c r="S27" s="31" t="n">
        <f aca="false">Hospital!B27</f>
        <v>6.25991230525236</v>
      </c>
      <c r="T27" s="32" t="n">
        <f aca="false">SUM(E27:S27)</f>
        <v>163.636160089561</v>
      </c>
      <c r="U27" s="33" t="n">
        <f aca="false">IF(C27&gt;0,T27/C27,0)</f>
        <v>7.43800727679821</v>
      </c>
      <c r="V27" s="42" t="n">
        <f aca="false">Land!U27</f>
        <v>9.85760000539522</v>
      </c>
      <c r="W27" s="43" t="n">
        <f aca="false">U27-V27</f>
        <v>-2.41959272859701</v>
      </c>
    </row>
    <row r="28" customFormat="false" ht="30" hidden="false" customHeight="true" outlineLevel="0" collapsed="false">
      <c r="A28" s="28" t="s">
        <v>198</v>
      </c>
      <c r="B28" s="28" t="s">
        <v>186</v>
      </c>
      <c r="C28" s="41" t="n">
        <f aca="false">Data!$H$319*CHOOSE(Model!$B$16,Data!$C$319,(Data!$C$319+Data!$D$319)/2,Data!$D$319)+(1-Data!$H$319)*CHOOSE(Model!$B$16,Data!$F$319,(Data!$F$319+Data!$G$319)/2,Data!$G$319)</f>
        <v>22</v>
      </c>
      <c r="D28" s="30" t="str">
        <f aca="false">IF(Data!$H$319&gt;=0.9999,Data!$B$319,IF(Data!$H$319&lt;=0.0001,Data!$E$319,TEXT(Data!$H$319,"0%")&amp;" "&amp;LEFT(Data!$B$319,FIND(",",Data!$B$319)-1)&amp;", "&amp;TEXT(1-Data!$H$319,"0%")&amp;" "&amp;LEFT(Data!$E$319,FIND(",",Data!$E$319)-1)))</f>
        <v>Level 4 large village (22)</v>
      </c>
      <c r="E28" s="31" t="n">
        <f aca="false">Kilfinnane!B13</f>
        <v>22.2714805485586</v>
      </c>
      <c r="F28" s="31" t="n">
        <f aca="false">Kilfinnane!B14</f>
        <v>22.2714805485586</v>
      </c>
      <c r="G28" s="31" t="n">
        <f aca="false">Kilfinnane!B15</f>
        <v>22.2714805485586</v>
      </c>
      <c r="H28" s="31" t="n">
        <f aca="false">Kilfinnane!B16</f>
        <v>22.2714805485586</v>
      </c>
      <c r="I28" s="31" t="n">
        <f aca="false">Kilfinnane!B17</f>
        <v>22.2714805485586</v>
      </c>
      <c r="J28" s="31" t="n">
        <f aca="false">Kilfinnane!B18</f>
        <v>11.3264297042635</v>
      </c>
      <c r="K28" s="31" t="n">
        <f aca="false">Kilfinnane!B19</f>
        <v>11.3264297042635</v>
      </c>
      <c r="L28" s="31" t="n">
        <f aca="false">Kilfinnane!B20</f>
        <v>11.3264297042635</v>
      </c>
      <c r="M28" s="31" t="n">
        <f aca="false">Kilfinnane!B21</f>
        <v>11.3264297042635</v>
      </c>
      <c r="N28" s="31" t="n">
        <f aca="false">Kilfinnane!B22</f>
        <v>10.9450508442952</v>
      </c>
      <c r="O28" s="31" t="n">
        <f aca="false">Kilfinnane!B23</f>
        <v>8.29107192835153</v>
      </c>
      <c r="P28" s="31" t="n">
        <f aca="false">Kilfinnane!B24</f>
        <v>8.2231551450695</v>
      </c>
      <c r="Q28" s="31" t="n">
        <f aca="false">Kilfinnane!B25</f>
        <v>8.12389215411885</v>
      </c>
      <c r="R28" s="31" t="n">
        <f aca="false">Kilfinnane!B26</f>
        <v>8.05075100289206</v>
      </c>
      <c r="S28" s="31" t="n">
        <f aca="false">Kilfinnane!B27</f>
        <v>7.96716111577573</v>
      </c>
      <c r="T28" s="32" t="n">
        <f aca="false">SUM(E28:S28)</f>
        <v>208.26420375035</v>
      </c>
      <c r="U28" s="33" t="n">
        <f aca="false">IF(C28&gt;0,T28/C28,0)</f>
        <v>9.46655471592499</v>
      </c>
      <c r="V28" s="42" t="n">
        <f aca="false">Land!U28</f>
        <v>10.7908913860285</v>
      </c>
      <c r="W28" s="43" t="n">
        <f aca="false">U28-V28</f>
        <v>-1.3243366701035</v>
      </c>
    </row>
    <row r="29" customFormat="false" ht="30" hidden="false" customHeight="true" outlineLevel="0" collapsed="false">
      <c r="A29" s="28" t="s">
        <v>200</v>
      </c>
      <c r="B29" s="28" t="s">
        <v>186</v>
      </c>
      <c r="C29" s="41" t="n">
        <f aca="false">Data!$H$320*CHOOSE(Model!$B$16,Data!$C$320,(Data!$C$320+Data!$D$320)/2,Data!$D$320)+(1-Data!$H$320)*CHOOSE(Model!$B$16,Data!$F$320,(Data!$F$320+Data!$G$320)/2,Data!$G$320)</f>
        <v>22</v>
      </c>
      <c r="D29" s="30" t="str">
        <f aca="false">IF(Data!$H$320&gt;=0.9999,Data!$B$320,IF(Data!$H$320&lt;=0.0001,Data!$E$320,TEXT(Data!$H$320,"0%")&amp;" "&amp;LEFT(Data!$B$320,FIND(",",Data!$B$320)-1)&amp;", "&amp;TEXT(1-Data!$H$320,"0%")&amp;" "&amp;LEFT(Data!$E$320,FIND(",",Data!$E$320)-1)))</f>
        <v>Level 4 large village (22)</v>
      </c>
      <c r="E29" s="31" t="n">
        <f aca="false">Moroe!B13</f>
        <v>32.015253288553</v>
      </c>
      <c r="F29" s="31" t="n">
        <f aca="false">Moroe!B14</f>
        <v>32.015253288553</v>
      </c>
      <c r="G29" s="31" t="n">
        <f aca="false">Moroe!B15</f>
        <v>32.015253288553</v>
      </c>
      <c r="H29" s="31" t="n">
        <f aca="false">Moroe!B16</f>
        <v>32.015253288553</v>
      </c>
      <c r="I29" s="31" t="n">
        <f aca="false">Moroe!B17</f>
        <v>32.015253288553</v>
      </c>
      <c r="J29" s="31" t="n">
        <f aca="false">Moroe!B18</f>
        <v>16.2817426998787</v>
      </c>
      <c r="K29" s="31" t="n">
        <f aca="false">Moroe!B19</f>
        <v>16.2817426998787</v>
      </c>
      <c r="L29" s="31" t="n">
        <f aca="false">Moroe!B20</f>
        <v>16.2817426998787</v>
      </c>
      <c r="M29" s="31" t="n">
        <f aca="false">Moroe!B21</f>
        <v>16.2817426998787</v>
      </c>
      <c r="N29" s="31" t="n">
        <f aca="false">Moroe!B22</f>
        <v>15.7335105886743</v>
      </c>
      <c r="O29" s="31" t="n">
        <f aca="false">Moroe!B23</f>
        <v>11.9184158970053</v>
      </c>
      <c r="P29" s="31" t="n">
        <f aca="false">Moroe!B24</f>
        <v>11.8207855210374</v>
      </c>
      <c r="Q29" s="31" t="n">
        <f aca="false">Moroe!B25</f>
        <v>11.6780949715459</v>
      </c>
      <c r="R29" s="31" t="n">
        <f aca="false">Moroe!B26</f>
        <v>11.5729545666573</v>
      </c>
      <c r="S29" s="31" t="n">
        <f aca="false">Moroe!B27</f>
        <v>11.4527941039276</v>
      </c>
      <c r="T29" s="32" t="n">
        <f aca="false">SUM(E29:S29)</f>
        <v>299.379792891128</v>
      </c>
      <c r="U29" s="33" t="n">
        <f aca="false">IF(C29&gt;0,T29/C29,0)</f>
        <v>13.6081724041422</v>
      </c>
      <c r="V29" s="42" t="n">
        <f aca="false">Land!U29</f>
        <v>11.6038679415166</v>
      </c>
      <c r="W29" s="43" t="n">
        <f aca="false">U29-V29</f>
        <v>2.00430446262559</v>
      </c>
    </row>
    <row r="30" customFormat="false" ht="30" hidden="false" customHeight="true" outlineLevel="0" collapsed="false">
      <c r="A30" s="28" t="s">
        <v>202</v>
      </c>
      <c r="B30" s="28" t="s">
        <v>186</v>
      </c>
      <c r="C30" s="41" t="n">
        <f aca="false">Data!$H$321*CHOOSE(Model!$B$16,Data!$C$321,(Data!$C$321+Data!$D$321)/2,Data!$D$321)+(1-Data!$H$321)*CHOOSE(Model!$B$16,Data!$F$321,(Data!$F$321+Data!$G$321)/2,Data!$G$321)</f>
        <v>25</v>
      </c>
      <c r="D30" s="30" t="str">
        <f aca="false">IF(Data!$H$321&gt;=0.9999,Data!$B$321,IF(Data!$H$321&lt;=0.0001,Data!$E$321,TEXT(Data!$H$321,"0%")&amp;" "&amp;LEFT(Data!$B$321,FIND(",",Data!$B$321)-1)&amp;", "&amp;TEXT(1-Data!$H$321,"0%")&amp;" "&amp;LEFT(Data!$E$321,FIND(",",Data!$E$321)-1)))</f>
        <v>Metropolitan village: not below 25</v>
      </c>
      <c r="E30" s="31" t="n">
        <f aca="false">Patrickswell!B13</f>
        <v>79.541001959138</v>
      </c>
      <c r="F30" s="31" t="n">
        <f aca="false">Patrickswell!B14</f>
        <v>79.541001959138</v>
      </c>
      <c r="G30" s="31" t="n">
        <f aca="false">Patrickswell!B15</f>
        <v>79.541001959138</v>
      </c>
      <c r="H30" s="31" t="n">
        <f aca="false">Patrickswell!B16</f>
        <v>79.541001959138</v>
      </c>
      <c r="I30" s="31" t="n">
        <f aca="false">Patrickswell!B17</f>
        <v>79.541001959138</v>
      </c>
      <c r="J30" s="31" t="n">
        <f aca="false">Patrickswell!B18</f>
        <v>40.4515346580838</v>
      </c>
      <c r="K30" s="31" t="n">
        <f aca="false">Patrickswell!B19</f>
        <v>40.4515346580838</v>
      </c>
      <c r="L30" s="31" t="n">
        <f aca="false">Patrickswell!B20</f>
        <v>40.4515346580838</v>
      </c>
      <c r="M30" s="31" t="n">
        <f aca="false">Patrickswell!B21</f>
        <v>40.4515346580838</v>
      </c>
      <c r="N30" s="31" t="n">
        <f aca="false">Patrickswell!B22</f>
        <v>39.0894673010542</v>
      </c>
      <c r="O30" s="31" t="n">
        <f aca="false">Patrickswell!B23</f>
        <v>29.610971172684</v>
      </c>
      <c r="P30" s="31" t="n">
        <f aca="false">Patrickswell!B24</f>
        <v>29.3684112323911</v>
      </c>
      <c r="Q30" s="31" t="n">
        <f aca="false">Patrickswell!B25</f>
        <v>29.0139005504245</v>
      </c>
      <c r="R30" s="31" t="n">
        <f aca="false">Patrickswell!B26</f>
        <v>28.7526821531859</v>
      </c>
      <c r="S30" s="31" t="n">
        <f aca="false">Patrickswell!B27</f>
        <v>28.4541468420562</v>
      </c>
      <c r="T30" s="32" t="n">
        <f aca="false">SUM(E30:S30)</f>
        <v>743.800727679821</v>
      </c>
      <c r="U30" s="33" t="n">
        <f aca="false">IF(C30&gt;0,T30/C30,0)</f>
        <v>29.7520291071928</v>
      </c>
      <c r="V30" s="42" t="n">
        <f aca="false">Land!U30</f>
        <v>34.5953826827824</v>
      </c>
      <c r="W30" s="43" t="n">
        <f aca="false">U30-V30</f>
        <v>-4.84335357558953</v>
      </c>
    </row>
    <row r="31" customFormat="false" ht="30" hidden="false" customHeight="true" outlineLevel="0" collapsed="false">
      <c r="A31" s="28" t="s">
        <v>204</v>
      </c>
      <c r="B31" s="28" t="s">
        <v>204</v>
      </c>
      <c r="C31" s="41" t="n">
        <f aca="false">Data!$H$322*CHOOSE(Model!$B$16,Data!$C$322,(Data!$C$322+Data!$D$322)/2,Data!$D$322)+(1-Data!$H$322)*CHOOSE(Model!$B$16,Data!$F$322,(Data!$F$322+Data!$G$322)/2,Data!$G$322)</f>
        <v>10.1</v>
      </c>
      <c r="D31" s="30" t="str">
        <f aca="false">IF(Data!$H$322&gt;=0.9999,Data!$B$322,IF(Data!$H$322&lt;=0.0001,Data!$E$322,TEXT(Data!$H$322,"0%")&amp;" "&amp;LEFT(Data!$B$322,FIND(",",Data!$B$322)-1)&amp;", "&amp;TEXT(1-Data!$H$322,"0%")&amp;" "&amp;LEFT(Data!$E$322,FIND(",",Data!$E$322)-1)))</f>
        <v>No Council figure: existing density kept</v>
      </c>
      <c r="E31" s="31" t="n">
        <f aca="false">'Rest of county'!B13</f>
        <v>416.397145256087</v>
      </c>
      <c r="F31" s="31" t="n">
        <f aca="false">'Rest of county'!B14</f>
        <v>416.397145256087</v>
      </c>
      <c r="G31" s="31" t="n">
        <f aca="false">'Rest of county'!B15</f>
        <v>416.397145256087</v>
      </c>
      <c r="H31" s="31" t="n">
        <f aca="false">'Rest of county'!B16</f>
        <v>416.397145256087</v>
      </c>
      <c r="I31" s="31" t="n">
        <f aca="false">'Rest of county'!B17</f>
        <v>416.397145256087</v>
      </c>
      <c r="J31" s="31" t="n">
        <f aca="false">'Rest of county'!B18</f>
        <v>211.763783935069</v>
      </c>
      <c r="K31" s="31" t="n">
        <f aca="false">'Rest of county'!B19</f>
        <v>211.763783935069</v>
      </c>
      <c r="L31" s="31" t="n">
        <f aca="false">'Rest of county'!B20</f>
        <v>211.763783935069</v>
      </c>
      <c r="M31" s="31" t="n">
        <f aca="false">'Rest of county'!B21</f>
        <v>211.763783935069</v>
      </c>
      <c r="N31" s="31" t="n">
        <f aca="false">'Rest of county'!B22</f>
        <v>204.633361321019</v>
      </c>
      <c r="O31" s="31" t="n">
        <f aca="false">'Rest of county'!B23</f>
        <v>155.013434089001</v>
      </c>
      <c r="P31" s="31" t="n">
        <f aca="false">'Rest of county'!B24</f>
        <v>153.743632801567</v>
      </c>
      <c r="Q31" s="31" t="n">
        <f aca="false">'Rest of county'!B25</f>
        <v>151.887769381472</v>
      </c>
      <c r="R31" s="31" t="n">
        <f aca="false">'Rest of county'!B26</f>
        <v>150.520291071928</v>
      </c>
      <c r="S31" s="31" t="n">
        <f aca="false">'Rest of county'!B27</f>
        <v>148.957458718164</v>
      </c>
      <c r="T31" s="32" t="n">
        <f aca="false">SUM(E31:S31)</f>
        <v>3893.79680940386</v>
      </c>
      <c r="U31" s="33" t="n">
        <f aca="false">IF(C31&gt;0,T31/C31,0)</f>
        <v>385.52443657464</v>
      </c>
      <c r="V31" s="42" t="n">
        <f aca="false">Land!U31</f>
        <v>385.52443657464</v>
      </c>
      <c r="W31" s="43" t="n">
        <f aca="false">U31-V31</f>
        <v>0</v>
      </c>
    </row>
    <row r="32" customFormat="false" ht="15" hidden="false" customHeight="true" outlineLevel="0" collapsed="false">
      <c r="A32" s="24" t="s">
        <v>206</v>
      </c>
      <c r="B32" s="34"/>
      <c r="C32" s="35" t="n">
        <f aca="false">IF(U32&gt;0,T32/U32,0)</f>
        <v>31.0832681440349</v>
      </c>
      <c r="D32" s="36" t="s">
        <v>207</v>
      </c>
      <c r="E32" s="25" t="n">
        <f aca="false">SUM(E7:E31)</f>
        <v>4263</v>
      </c>
      <c r="F32" s="25" t="n">
        <f aca="false">SUM(F7:F31)</f>
        <v>4263</v>
      </c>
      <c r="G32" s="25" t="n">
        <f aca="false">SUM(G7:G31)</f>
        <v>4263</v>
      </c>
      <c r="H32" s="25" t="n">
        <f aca="false">SUM(H7:H31)</f>
        <v>4263</v>
      </c>
      <c r="I32" s="25" t="n">
        <f aca="false">SUM(I7:I31)</f>
        <v>4263</v>
      </c>
      <c r="J32" s="25" t="n">
        <f aca="false">SUM(J7:J31)</f>
        <v>2168</v>
      </c>
      <c r="K32" s="25" t="n">
        <f aca="false">SUM(K7:K31)</f>
        <v>2168</v>
      </c>
      <c r="L32" s="25" t="n">
        <f aca="false">SUM(L7:L31)</f>
        <v>2168</v>
      </c>
      <c r="M32" s="25" t="n">
        <f aca="false">SUM(M7:M31)</f>
        <v>2168</v>
      </c>
      <c r="N32" s="25" t="n">
        <f aca="false">SUM(N7:N31)</f>
        <v>2095</v>
      </c>
      <c r="O32" s="25" t="n">
        <f aca="false">SUM(O7:O31)</f>
        <v>1587</v>
      </c>
      <c r="P32" s="25" t="n">
        <f aca="false">SUM(P7:P31)</f>
        <v>1574</v>
      </c>
      <c r="Q32" s="25" t="n">
        <f aca="false">SUM(Q7:Q31)</f>
        <v>1555</v>
      </c>
      <c r="R32" s="25" t="n">
        <f aca="false">SUM(R7:R31)</f>
        <v>1541</v>
      </c>
      <c r="S32" s="25" t="n">
        <f aca="false">SUM(S7:S31)</f>
        <v>1525</v>
      </c>
      <c r="T32" s="25" t="n">
        <f aca="false">SUM(T7:T31)</f>
        <v>39864</v>
      </c>
      <c r="U32" s="37" t="n">
        <f aca="false">SUM(U7:U31)</f>
        <v>1282.49062535113</v>
      </c>
      <c r="V32" s="37" t="n">
        <f aca="false">SUM(V7:V31)</f>
        <v>1824.1305106009</v>
      </c>
      <c r="W32" s="37" t="n">
        <f aca="false">SUM(W7:W31)</f>
        <v>-541.639885249771</v>
      </c>
    </row>
    <row r="34" customFormat="false" ht="15" hidden="false" customHeight="true" outlineLevel="0" collapsed="false">
      <c r="A34" s="12" t="s">
        <v>208</v>
      </c>
    </row>
    <row r="35" customFormat="false" ht="34.5" hidden="false" customHeight="true" outlineLevel="0" collapsed="false">
      <c r="A35" s="4" t="s">
        <v>133</v>
      </c>
      <c r="B35" s="5"/>
      <c r="C35" s="5" t="s">
        <v>209</v>
      </c>
      <c r="D35" s="5"/>
      <c r="E35" s="5" t="s">
        <v>136</v>
      </c>
      <c r="F35" s="5" t="s">
        <v>137</v>
      </c>
      <c r="G35" s="5" t="s">
        <v>138</v>
      </c>
      <c r="H35" s="5" t="s">
        <v>139</v>
      </c>
      <c r="I35" s="5" t="s">
        <v>140</v>
      </c>
      <c r="J35" s="5" t="s">
        <v>141</v>
      </c>
      <c r="K35" s="5" t="s">
        <v>142</v>
      </c>
      <c r="L35" s="5" t="s">
        <v>143</v>
      </c>
      <c r="M35" s="5" t="s">
        <v>144</v>
      </c>
      <c r="N35" s="5" t="s">
        <v>145</v>
      </c>
      <c r="O35" s="5" t="s">
        <v>146</v>
      </c>
      <c r="P35" s="5" t="s">
        <v>147</v>
      </c>
      <c r="Q35" s="5" t="s">
        <v>148</v>
      </c>
      <c r="R35" s="5" t="s">
        <v>149</v>
      </c>
      <c r="S35" s="5" t="s">
        <v>150</v>
      </c>
      <c r="T35" s="5" t="s">
        <v>151</v>
      </c>
      <c r="U35" s="5" t="s">
        <v>152</v>
      </c>
      <c r="V35" s="5" t="s">
        <v>224</v>
      </c>
      <c r="W35" s="5" t="s">
        <v>225</v>
      </c>
    </row>
    <row r="36" customFormat="false" ht="15" hidden="false" customHeight="true" outlineLevel="0" collapsed="false">
      <c r="A36" s="13" t="s">
        <v>210</v>
      </c>
      <c r="C36" s="38" t="n">
        <f aca="false">IF(U36&gt;0,T36/U36,0)</f>
        <v>46.0288744226222</v>
      </c>
      <c r="E36" s="21" t="n">
        <f aca="false">SUMIFS(E$7:E$31,$B$7:$B$31,"City neighbourhood")</f>
        <v>3128.74531206269</v>
      </c>
      <c r="F36" s="21" t="n">
        <f aca="false">SUMIFS(F$7:F$31,$B$7:$B$31,"City neighbourhood")</f>
        <v>3128.74531206269</v>
      </c>
      <c r="G36" s="21" t="n">
        <f aca="false">SUMIFS(G$7:G$31,$B$7:$B$31,"City neighbourhood")</f>
        <v>3128.74531206269</v>
      </c>
      <c r="H36" s="21" t="n">
        <f aca="false">SUMIFS(H$7:H$31,$B$7:$B$31,"City neighbourhood")</f>
        <v>3128.74531206269</v>
      </c>
      <c r="I36" s="21" t="n">
        <f aca="false">SUMIFS(I$7:I$31,$B$7:$B$31,"City neighbourhood")</f>
        <v>3128.74531206269</v>
      </c>
      <c r="J36" s="21" t="n">
        <f aca="false">SUMIFS(J$7:J$31,$B$7:$B$31,"City neighbourhood")</f>
        <v>1591.16111577573</v>
      </c>
      <c r="K36" s="21" t="n">
        <f aca="false">SUMIFS(K$7:K$31,$B$7:$B$31,"City neighbourhood")</f>
        <v>1591.16111577573</v>
      </c>
      <c r="L36" s="21" t="n">
        <f aca="false">SUMIFS(L$7:L$31,$B$7:$B$31,"City neighbourhood")</f>
        <v>1591.16111577573</v>
      </c>
      <c r="M36" s="21" t="n">
        <f aca="false">SUMIFS(M$7:M$31,$B$7:$B$31,"City neighbourhood")</f>
        <v>1591.16111577573</v>
      </c>
      <c r="N36" s="21" t="n">
        <f aca="false">SUMIFS(N$7:N$31,$B$7:$B$31,"City neighbourhood")</f>
        <v>1537.58419628697</v>
      </c>
      <c r="O36" s="21" t="n">
        <f aca="false">SUMIFS(O$7:O$31,$B$7:$B$31,"City neighbourhood")</f>
        <v>1164.74755107753</v>
      </c>
      <c r="P36" s="21" t="n">
        <f aca="false">SUMIFS(P$7:P$31,$B$7:$B$31,"City neighbourhood")</f>
        <v>1155.2064558261</v>
      </c>
      <c r="Q36" s="21" t="n">
        <f aca="false">SUMIFS(Q$7:Q$31,$B$7:$B$31,"City neighbourhood")</f>
        <v>1141.26177815095</v>
      </c>
      <c r="R36" s="21" t="n">
        <f aca="false">SUMIFS(R$7:R$31,$B$7:$B$31,"City neighbourhood")</f>
        <v>1130.98675249557</v>
      </c>
      <c r="S36" s="21" t="n">
        <f aca="false">SUMIFS(S$7:S$31,$B$7:$B$31,"City neighbourhood")</f>
        <v>1119.24386603228</v>
      </c>
      <c r="T36" s="21" t="n">
        <f aca="false">SUMIFS(T$7:T$31,$B$7:$B$31,"City neighbourhood")</f>
        <v>29257.4016232858</v>
      </c>
      <c r="U36" s="39" t="n">
        <f aca="false">SUMIFS(U$7:U$31,$B$7:$B$31,"City neighbourhood")</f>
        <v>635.631481114524</v>
      </c>
      <c r="V36" s="39" t="n">
        <f aca="false">SUMIFS(V$7:V$31,$B$7:$B$31,"City neighbourhood")</f>
        <v>1086.73080816797</v>
      </c>
      <c r="W36" s="39" t="n">
        <f aca="false">SUMIFS(W$7:W$31,$B$7:$B$31,"City neighbourhood")</f>
        <v>-451.099327053447</v>
      </c>
    </row>
    <row r="37" customFormat="false" ht="15" hidden="false" customHeight="true" outlineLevel="0" collapsed="false">
      <c r="A37" s="13" t="s">
        <v>211</v>
      </c>
      <c r="C37" s="38" t="n">
        <f aca="false">IF(U37&gt;0,T37/U37,0)</f>
        <v>28.1935783384986</v>
      </c>
      <c r="E37" s="21" t="n">
        <f aca="false">SUMIFS(E$7:E$31,$B$7:$B$31,"Key town")</f>
        <v>425.544360481388</v>
      </c>
      <c r="F37" s="21" t="n">
        <f aca="false">SUMIFS(F$7:F$31,$B$7:$B$31,"Key town")</f>
        <v>425.544360481388</v>
      </c>
      <c r="G37" s="21" t="n">
        <f aca="false">SUMIFS(G$7:G$31,$B$7:$B$31,"Key town")</f>
        <v>425.544360481388</v>
      </c>
      <c r="H37" s="21" t="n">
        <f aca="false">SUMIFS(H$7:H$31,$B$7:$B$31,"Key town")</f>
        <v>425.544360481388</v>
      </c>
      <c r="I37" s="21" t="n">
        <f aca="false">SUMIFS(I$7:I$31,$B$7:$B$31,"Key town")</f>
        <v>425.544360481388</v>
      </c>
      <c r="J37" s="21" t="n">
        <f aca="false">SUMIFS(J$7:J$31,$B$7:$B$31,"Key town")</f>
        <v>216.415710420748</v>
      </c>
      <c r="K37" s="21" t="n">
        <f aca="false">SUMIFS(K$7:K$31,$B$7:$B$31,"Key town")</f>
        <v>216.415710420748</v>
      </c>
      <c r="L37" s="21" t="n">
        <f aca="false">SUMIFS(L$7:L$31,$B$7:$B$31,"Key town")</f>
        <v>216.415710420748</v>
      </c>
      <c r="M37" s="21" t="n">
        <f aca="false">SUMIFS(M$7:M$31,$B$7:$B$31,"Key town")</f>
        <v>216.415710420748</v>
      </c>
      <c r="N37" s="21" t="n">
        <f aca="false">SUMIFS(N$7:N$31,$B$7:$B$31,"Key town")</f>
        <v>209.12865006064</v>
      </c>
      <c r="O37" s="21" t="n">
        <f aca="false">SUMIFS(O$7:O$31,$B$7:$B$31,"Key town")</f>
        <v>158.41869577386</v>
      </c>
      <c r="P37" s="21" t="n">
        <f aca="false">SUMIFS(P$7:P$31,$B$7:$B$31,"Key town")</f>
        <v>157.121000093292</v>
      </c>
      <c r="Q37" s="21" t="n">
        <f aca="false">SUMIFS(Q$7:Q$31,$B$7:$B$31,"Key town")</f>
        <v>155.224367944771</v>
      </c>
      <c r="R37" s="21" t="n">
        <f aca="false">SUMIFS(R$7:R$31,$B$7:$B$31,"Key town")</f>
        <v>153.826849519545</v>
      </c>
      <c r="S37" s="21" t="n">
        <f aca="false">SUMIFS(S$7:S$31,$B$7:$B$31,"Key town")</f>
        <v>152.229685605</v>
      </c>
      <c r="T37" s="21" t="n">
        <f aca="false">SUMIFS(T$7:T$31,$B$7:$B$31,"Key town")</f>
        <v>3979.33389308704</v>
      </c>
      <c r="U37" s="39" t="n">
        <f aca="false">SUMIFS(U$7:U$31,$B$7:$B$31,"Key town")</f>
        <v>141.1432718937</v>
      </c>
      <c r="V37" s="39" t="n">
        <f aca="false">SUMIFS(V$7:V$31,$B$7:$B$31,"Key town")</f>
        <v>199.766987148384</v>
      </c>
      <c r="W37" s="39" t="n">
        <f aca="false">SUMIFS(W$7:W$31,$B$7:$B$31,"Key town")</f>
        <v>-58.623715254684</v>
      </c>
    </row>
    <row r="38" customFormat="false" ht="15" hidden="false" customHeight="true" outlineLevel="0" collapsed="false">
      <c r="A38" s="13" t="s">
        <v>212</v>
      </c>
      <c r="C38" s="38" t="n">
        <f aca="false">IF(U38&gt;0,T38/U38,0)</f>
        <v>22.7426160337553</v>
      </c>
      <c r="E38" s="21" t="n">
        <f aca="false">SUMIFS(E$7:E$31,$B$7:$B$31,"Village")</f>
        <v>292.313182199832</v>
      </c>
      <c r="F38" s="21" t="n">
        <f aca="false">SUMIFS(F$7:F$31,$B$7:$B$31,"Village")</f>
        <v>292.313182199832</v>
      </c>
      <c r="G38" s="21" t="n">
        <f aca="false">SUMIFS(G$7:G$31,$B$7:$B$31,"Village")</f>
        <v>292.313182199832</v>
      </c>
      <c r="H38" s="21" t="n">
        <f aca="false">SUMIFS(H$7:H$31,$B$7:$B$31,"Village")</f>
        <v>292.313182199832</v>
      </c>
      <c r="I38" s="21" t="n">
        <f aca="false">SUMIFS(I$7:I$31,$B$7:$B$31,"Village")</f>
        <v>292.313182199832</v>
      </c>
      <c r="J38" s="21" t="n">
        <f aca="false">SUMIFS(J$7:J$31,$B$7:$B$31,"Village")</f>
        <v>148.659389868458</v>
      </c>
      <c r="K38" s="21" t="n">
        <f aca="false">SUMIFS(K$7:K$31,$B$7:$B$31,"Village")</f>
        <v>148.659389868458</v>
      </c>
      <c r="L38" s="21" t="n">
        <f aca="false">SUMIFS(L$7:L$31,$B$7:$B$31,"Village")</f>
        <v>148.659389868458</v>
      </c>
      <c r="M38" s="21" t="n">
        <f aca="false">SUMIFS(M$7:M$31,$B$7:$B$31,"Village")</f>
        <v>148.659389868458</v>
      </c>
      <c r="N38" s="21" t="n">
        <f aca="false">SUMIFS(N$7:N$31,$B$7:$B$31,"Village")</f>
        <v>143.653792331374</v>
      </c>
      <c r="O38" s="21" t="n">
        <f aca="false">SUMIFS(O$7:O$31,$B$7:$B$31,"Village")</f>
        <v>108.820319059614</v>
      </c>
      <c r="P38" s="21" t="n">
        <f aca="false">SUMIFS(P$7:P$31,$B$7:$B$31,"Village")</f>
        <v>107.928911279037</v>
      </c>
      <c r="Q38" s="21" t="n">
        <f aca="false">SUMIFS(Q$7:Q$31,$B$7:$B$31,"Village")</f>
        <v>106.62608452281</v>
      </c>
      <c r="R38" s="21" t="n">
        <f aca="false">SUMIFS(R$7:R$31,$B$7:$B$31,"Village")</f>
        <v>105.666106912958</v>
      </c>
      <c r="S38" s="21" t="n">
        <f aca="false">SUMIFS(S$7:S$31,$B$7:$B$31,"Village")</f>
        <v>104.568989644556</v>
      </c>
      <c r="T38" s="21" t="n">
        <f aca="false">SUMIFS(T$7:T$31,$B$7:$B$31,"Village")</f>
        <v>2733.46767422334</v>
      </c>
      <c r="U38" s="39" t="n">
        <f aca="false">SUMIFS(U$7:U$31,$B$7:$B$31,"Village")</f>
        <v>120.191435768262</v>
      </c>
      <c r="V38" s="39" t="n">
        <f aca="false">SUMIFS(V$7:V$31,$B$7:$B$31,"Village")</f>
        <v>152.108278709902</v>
      </c>
      <c r="W38" s="39" t="n">
        <f aca="false">SUMIFS(W$7:W$31,$B$7:$B$31,"Village")</f>
        <v>-31.91684294164</v>
      </c>
    </row>
    <row r="39" customFormat="false" ht="15" hidden="false" customHeight="true" outlineLevel="0" collapsed="false">
      <c r="A39" s="13" t="s">
        <v>204</v>
      </c>
      <c r="C39" s="38" t="n">
        <f aca="false">IF(U39&gt;0,T39/U39,0)</f>
        <v>10.1</v>
      </c>
      <c r="E39" s="21" t="n">
        <f aca="false">SUMIFS(E$7:E$31,$B$7:$B$31,"Rest of county")</f>
        <v>416.397145256087</v>
      </c>
      <c r="F39" s="21" t="n">
        <f aca="false">SUMIFS(F$7:F$31,$B$7:$B$31,"Rest of county")</f>
        <v>416.397145256087</v>
      </c>
      <c r="G39" s="21" t="n">
        <f aca="false">SUMIFS(G$7:G$31,$B$7:$B$31,"Rest of county")</f>
        <v>416.397145256087</v>
      </c>
      <c r="H39" s="21" t="n">
        <f aca="false">SUMIFS(H$7:H$31,$B$7:$B$31,"Rest of county")</f>
        <v>416.397145256087</v>
      </c>
      <c r="I39" s="21" t="n">
        <f aca="false">SUMIFS(I$7:I$31,$B$7:$B$31,"Rest of county")</f>
        <v>416.397145256087</v>
      </c>
      <c r="J39" s="21" t="n">
        <f aca="false">SUMIFS(J$7:J$31,$B$7:$B$31,"Rest of county")</f>
        <v>211.763783935069</v>
      </c>
      <c r="K39" s="21" t="n">
        <f aca="false">SUMIFS(K$7:K$31,$B$7:$B$31,"Rest of county")</f>
        <v>211.763783935069</v>
      </c>
      <c r="L39" s="21" t="n">
        <f aca="false">SUMIFS(L$7:L$31,$B$7:$B$31,"Rest of county")</f>
        <v>211.763783935069</v>
      </c>
      <c r="M39" s="21" t="n">
        <f aca="false">SUMIFS(M$7:M$31,$B$7:$B$31,"Rest of county")</f>
        <v>211.763783935069</v>
      </c>
      <c r="N39" s="21" t="n">
        <f aca="false">SUMIFS(N$7:N$31,$B$7:$B$31,"Rest of county")</f>
        <v>204.633361321019</v>
      </c>
      <c r="O39" s="21" t="n">
        <f aca="false">SUMIFS(O$7:O$31,$B$7:$B$31,"Rest of county")</f>
        <v>155.013434089001</v>
      </c>
      <c r="P39" s="21" t="n">
        <f aca="false">SUMIFS(P$7:P$31,$B$7:$B$31,"Rest of county")</f>
        <v>153.743632801567</v>
      </c>
      <c r="Q39" s="21" t="n">
        <f aca="false">SUMIFS(Q$7:Q$31,$B$7:$B$31,"Rest of county")</f>
        <v>151.887769381472</v>
      </c>
      <c r="R39" s="21" t="n">
        <f aca="false">SUMIFS(R$7:R$31,$B$7:$B$31,"Rest of county")</f>
        <v>150.520291071928</v>
      </c>
      <c r="S39" s="21" t="n">
        <f aca="false">SUMIFS(S$7:S$31,$B$7:$B$31,"Rest of county")</f>
        <v>148.957458718164</v>
      </c>
      <c r="T39" s="21" t="n">
        <f aca="false">SUMIFS(T$7:T$31,$B$7:$B$31,"Rest of county")</f>
        <v>3893.79680940386</v>
      </c>
      <c r="U39" s="39" t="n">
        <f aca="false">SUMIFS(U$7:U$31,$B$7:$B$31,"Rest of county")</f>
        <v>385.52443657464</v>
      </c>
      <c r="V39" s="39" t="n">
        <f aca="false">SUMIFS(V$7:V$31,$B$7:$B$31,"Rest of county")</f>
        <v>385.52443657464</v>
      </c>
      <c r="W39" s="39" t="n">
        <f aca="false">SUMIFS(W$7:W$31,$B$7:$B$31,"Rest of county")</f>
        <v>0</v>
      </c>
    </row>
    <row r="42" customFormat="false" ht="15" hidden="false" customHeight="true" outlineLevel="0" collapsed="false">
      <c r="A42" s="12" t="s">
        <v>213</v>
      </c>
    </row>
    <row r="43" customFormat="false" ht="23.25" hidden="false" customHeight="true" outlineLevel="0" collapsed="false">
      <c r="A43" s="4" t="s">
        <v>132</v>
      </c>
      <c r="B43" s="5" t="s">
        <v>133</v>
      </c>
      <c r="C43" s="5" t="s">
        <v>214</v>
      </c>
      <c r="D43" s="5"/>
      <c r="E43" s="5" t="s">
        <v>136</v>
      </c>
      <c r="F43" s="5" t="s">
        <v>137</v>
      </c>
      <c r="G43" s="5" t="s">
        <v>138</v>
      </c>
      <c r="H43" s="5" t="s">
        <v>139</v>
      </c>
      <c r="I43" s="5" t="s">
        <v>140</v>
      </c>
      <c r="J43" s="5" t="s">
        <v>141</v>
      </c>
      <c r="K43" s="5" t="s">
        <v>142</v>
      </c>
      <c r="L43" s="5" t="s">
        <v>143</v>
      </c>
      <c r="M43" s="5" t="s">
        <v>144</v>
      </c>
      <c r="N43" s="5" t="s">
        <v>145</v>
      </c>
      <c r="O43" s="5" t="s">
        <v>146</v>
      </c>
      <c r="P43" s="5" t="s">
        <v>147</v>
      </c>
      <c r="Q43" s="5" t="s">
        <v>148</v>
      </c>
      <c r="R43" s="5" t="s">
        <v>149</v>
      </c>
      <c r="S43" s="5" t="s">
        <v>150</v>
      </c>
      <c r="T43" s="5" t="s">
        <v>215</v>
      </c>
      <c r="U43" s="5"/>
      <c r="V43" s="5"/>
      <c r="W43" s="5"/>
    </row>
    <row r="44" customFormat="false" ht="15" hidden="false" customHeight="true" outlineLevel="0" collapsed="false">
      <c r="A44" s="13" t="str">
        <f aca="false">A7</f>
        <v>Ballinacurra</v>
      </c>
      <c r="B44" s="13" t="str">
        <f aca="false">B7</f>
        <v>City neighbourhood</v>
      </c>
      <c r="C44" s="38" t="n">
        <f aca="false">C7</f>
        <v>47.9989212513484</v>
      </c>
      <c r="E44" s="39" t="n">
        <f aca="false">IF($C44&gt;0,E7/$C44,0)</f>
        <v>2.69257632723589</v>
      </c>
      <c r="F44" s="39" t="n">
        <f aca="false">IF($C44&gt;0,F7/$C44,0)</f>
        <v>2.69257632723589</v>
      </c>
      <c r="G44" s="39" t="n">
        <f aca="false">IF($C44&gt;0,G7/$C44,0)</f>
        <v>2.69257632723589</v>
      </c>
      <c r="H44" s="39" t="n">
        <f aca="false">IF($C44&gt;0,H7/$C44,0)</f>
        <v>2.69257632723589</v>
      </c>
      <c r="I44" s="39" t="n">
        <f aca="false">IF($C44&gt;0,I7/$C44,0)</f>
        <v>2.69257632723589</v>
      </c>
      <c r="J44" s="39" t="n">
        <f aca="false">IF($C44&gt;0,J7/$C44,0)</f>
        <v>1.36934212466512</v>
      </c>
      <c r="K44" s="39" t="n">
        <f aca="false">IF($C44&gt;0,K7/$C44,0)</f>
        <v>1.36934212466512</v>
      </c>
      <c r="L44" s="39" t="n">
        <f aca="false">IF($C44&gt;0,L7/$C44,0)</f>
        <v>1.36934212466512</v>
      </c>
      <c r="M44" s="39" t="n">
        <f aca="false">IF($C44&gt;0,M7/$C44,0)</f>
        <v>1.36934212466512</v>
      </c>
      <c r="N44" s="39" t="n">
        <f aca="false">IF($C44&gt;0,N7/$C44,0)</f>
        <v>1.32323420257077</v>
      </c>
      <c r="O44" s="39" t="n">
        <f aca="false">IF($C44&gt;0,O7/$C44,0)</f>
        <v>1.00237359402377</v>
      </c>
      <c r="P44" s="39" t="n">
        <f aca="false">IF($C44&gt;0,P7/$C44,0)</f>
        <v>0.994162594198753</v>
      </c>
      <c r="Q44" s="39" t="n">
        <f aca="false">IF($C44&gt;0,Q7/$C44,0)</f>
        <v>0.982161902146798</v>
      </c>
      <c r="R44" s="39" t="n">
        <f aca="false">IF($C44&gt;0,R7/$C44,0)</f>
        <v>0.973319286950621</v>
      </c>
      <c r="S44" s="39" t="n">
        <f aca="false">IF($C44&gt;0,S7/$C44,0)</f>
        <v>0.963213441012133</v>
      </c>
      <c r="T44" s="40" t="n">
        <f aca="false">SUM(E44:S44)</f>
        <v>25.1787151557427</v>
      </c>
    </row>
    <row r="45" customFormat="false" ht="15" hidden="false" customHeight="true" outlineLevel="0" collapsed="false">
      <c r="A45" s="13" t="str">
        <f aca="false">A8</f>
        <v>Caherdavin</v>
      </c>
      <c r="B45" s="13" t="str">
        <f aca="false">B8</f>
        <v>City neighbourhood</v>
      </c>
      <c r="C45" s="38" t="n">
        <f aca="false">C8</f>
        <v>43.1187621666718</v>
      </c>
      <c r="E45" s="39" t="n">
        <f aca="false">IF($C45&gt;0,E8/$C45,0)</f>
        <v>12.1821933364596</v>
      </c>
      <c r="F45" s="39" t="n">
        <f aca="false">IF($C45&gt;0,F8/$C45,0)</f>
        <v>12.1821933364596</v>
      </c>
      <c r="G45" s="39" t="n">
        <f aca="false">IF($C45&gt;0,G8/$C45,0)</f>
        <v>12.1821933364596</v>
      </c>
      <c r="H45" s="39" t="n">
        <f aca="false">IF($C45&gt;0,H8/$C45,0)</f>
        <v>12.1821933364596</v>
      </c>
      <c r="I45" s="39" t="n">
        <f aca="false">IF($C45&gt;0,I8/$C45,0)</f>
        <v>12.1821933364596</v>
      </c>
      <c r="J45" s="39" t="n">
        <f aca="false">IF($C45&gt;0,J8/$C45,0)</f>
        <v>6.19540116196212</v>
      </c>
      <c r="K45" s="39" t="n">
        <f aca="false">IF($C45&gt;0,K8/$C45,0)</f>
        <v>6.19540116196212</v>
      </c>
      <c r="L45" s="39" t="n">
        <f aca="false">IF($C45&gt;0,L8/$C45,0)</f>
        <v>6.19540116196212</v>
      </c>
      <c r="M45" s="39" t="n">
        <f aca="false">IF($C45&gt;0,M8/$C45,0)</f>
        <v>6.19540116196212</v>
      </c>
      <c r="N45" s="39" t="n">
        <f aca="false">IF($C45&gt;0,N8/$C45,0)</f>
        <v>5.98679217449753</v>
      </c>
      <c r="O45" s="39" t="n">
        <f aca="false">IF($C45&gt;0,O8/$C45,0)</f>
        <v>4.53510223433297</v>
      </c>
      <c r="P45" s="39" t="n">
        <f aca="false">IF($C45&gt;0,P8/$C45,0)</f>
        <v>4.4979526886201</v>
      </c>
      <c r="Q45" s="39" t="n">
        <f aca="false">IF($C45&gt;0,Q8/$C45,0)</f>
        <v>4.44365719873205</v>
      </c>
      <c r="R45" s="39" t="n">
        <f aca="false">IF($C45&gt;0,R8/$C45,0)</f>
        <v>4.40364999565665</v>
      </c>
      <c r="S45" s="39" t="n">
        <f aca="false">IF($C45&gt;0,S8/$C45,0)</f>
        <v>4.35792747785619</v>
      </c>
      <c r="T45" s="40" t="n">
        <f aca="false">SUM(E45:S45)</f>
        <v>113.917653099842</v>
      </c>
    </row>
    <row r="46" customFormat="false" ht="15" hidden="false" customHeight="true" outlineLevel="0" collapsed="false">
      <c r="A46" s="13" t="str">
        <f aca="false">A9</f>
        <v>Castletroy/Annacotty</v>
      </c>
      <c r="B46" s="13" t="str">
        <f aca="false">B9</f>
        <v>City neighbourhood</v>
      </c>
      <c r="C46" s="38" t="n">
        <f aca="false">C9</f>
        <v>38.6847099222845</v>
      </c>
      <c r="E46" s="39" t="n">
        <f aca="false">IF($C46&gt;0,E9/$C46,0)</f>
        <v>16.1098098614954</v>
      </c>
      <c r="F46" s="39" t="n">
        <f aca="false">IF($C46&gt;0,F9/$C46,0)</f>
        <v>16.1098098614954</v>
      </c>
      <c r="G46" s="39" t="n">
        <f aca="false">IF($C46&gt;0,G9/$C46,0)</f>
        <v>16.1098098614954</v>
      </c>
      <c r="H46" s="39" t="n">
        <f aca="false">IF($C46&gt;0,H9/$C46,0)</f>
        <v>16.1098098614954</v>
      </c>
      <c r="I46" s="39" t="n">
        <f aca="false">IF($C46&gt;0,I9/$C46,0)</f>
        <v>16.1098098614954</v>
      </c>
      <c r="J46" s="39" t="n">
        <f aca="false">IF($C46&gt;0,J9/$C46,0)</f>
        <v>8.19283785590477</v>
      </c>
      <c r="K46" s="39" t="n">
        <f aca="false">IF($C46&gt;0,K9/$C46,0)</f>
        <v>8.19283785590477</v>
      </c>
      <c r="L46" s="39" t="n">
        <f aca="false">IF($C46&gt;0,L9/$C46,0)</f>
        <v>8.19283785590477</v>
      </c>
      <c r="M46" s="39" t="n">
        <f aca="false">IF($C46&gt;0,M9/$C46,0)</f>
        <v>8.19283785590477</v>
      </c>
      <c r="N46" s="39" t="n">
        <f aca="false">IF($C46&gt;0,N9/$C46,0)</f>
        <v>7.91697200559063</v>
      </c>
      <c r="O46" s="39" t="n">
        <f aca="false">IF($C46&gt;0,O9/$C46,0)</f>
        <v>5.99724800614431</v>
      </c>
      <c r="P46" s="39" t="n">
        <f aca="false">IF($C46&gt;0,P9/$C46,0)</f>
        <v>5.94812121088289</v>
      </c>
      <c r="Q46" s="39" t="n">
        <f aca="false">IF($C46&gt;0,Q9/$C46,0)</f>
        <v>5.8763205101162</v>
      </c>
      <c r="R46" s="39" t="n">
        <f aca="false">IF($C46&gt;0,R9/$C46,0)</f>
        <v>5.8234147306039</v>
      </c>
      <c r="S46" s="39" t="n">
        <f aca="false">IF($C46&gt;0,S9/$C46,0)</f>
        <v>5.76295098258984</v>
      </c>
      <c r="T46" s="40" t="n">
        <f aca="false">SUM(E46:S46)</f>
        <v>150.645428177024</v>
      </c>
    </row>
    <row r="47" customFormat="false" ht="15" hidden="false" customHeight="true" outlineLevel="0" collapsed="false">
      <c r="A47" s="13" t="str">
        <f aca="false">A10</f>
        <v>City Centre</v>
      </c>
      <c r="B47" s="13" t="str">
        <f aca="false">B10</f>
        <v>City neighbourhood</v>
      </c>
      <c r="C47" s="38" t="n">
        <f aca="false">C10</f>
        <v>99.993621353745</v>
      </c>
      <c r="E47" s="39" t="n">
        <f aca="false">IF($C47&gt;0,E10/$C47,0)</f>
        <v>5.41389320830358</v>
      </c>
      <c r="F47" s="39" t="n">
        <f aca="false">IF($C47&gt;0,F10/$C47,0)</f>
        <v>5.41389320830358</v>
      </c>
      <c r="G47" s="39" t="n">
        <f aca="false">IF($C47&gt;0,G10/$C47,0)</f>
        <v>5.41389320830358</v>
      </c>
      <c r="H47" s="39" t="n">
        <f aca="false">IF($C47&gt;0,H10/$C47,0)</f>
        <v>5.41389320830358</v>
      </c>
      <c r="I47" s="39" t="n">
        <f aca="false">IF($C47&gt;0,I10/$C47,0)</f>
        <v>5.41389320830358</v>
      </c>
      <c r="J47" s="39" t="n">
        <f aca="false">IF($C47&gt;0,J10/$C47,0)</f>
        <v>2.75330060417597</v>
      </c>
      <c r="K47" s="39" t="n">
        <f aca="false">IF($C47&gt;0,K10/$C47,0)</f>
        <v>2.75330060417597</v>
      </c>
      <c r="L47" s="39" t="n">
        <f aca="false">IF($C47&gt;0,L10/$C47,0)</f>
        <v>2.75330060417597</v>
      </c>
      <c r="M47" s="39" t="n">
        <f aca="false">IF($C47&gt;0,M10/$C47,0)</f>
        <v>2.75330060417597</v>
      </c>
      <c r="N47" s="39" t="n">
        <f aca="false">IF($C47&gt;0,N10/$C47,0)</f>
        <v>2.66059260412761</v>
      </c>
      <c r="O47" s="39" t="n">
        <f aca="false">IF($C47&gt;0,O10/$C47,0)</f>
        <v>2.01544652159929</v>
      </c>
      <c r="P47" s="39" t="n">
        <f aca="false">IF($C47&gt;0,P10/$C47,0)</f>
        <v>1.99893687775506</v>
      </c>
      <c r="Q47" s="39" t="n">
        <f aca="false">IF($C47&gt;0,Q10/$C47,0)</f>
        <v>1.97480739829042</v>
      </c>
      <c r="R47" s="39" t="n">
        <f aca="false">IF($C47&gt;0,R10/$C47,0)</f>
        <v>1.95702778184279</v>
      </c>
      <c r="S47" s="39" t="n">
        <f aca="false">IF($C47&gt;0,S10/$C47,0)</f>
        <v>1.93670822018836</v>
      </c>
      <c r="T47" s="40" t="n">
        <f aca="false">SUM(E47:S47)</f>
        <v>50.6261878620253</v>
      </c>
    </row>
    <row r="48" customFormat="false" ht="15" hidden="false" customHeight="true" outlineLevel="0" collapsed="false">
      <c r="A48" s="13" t="str">
        <f aca="false">A11</f>
        <v>Corbally/Grove Island</v>
      </c>
      <c r="B48" s="13" t="str">
        <f aca="false">B11</f>
        <v>City neighbourhood</v>
      </c>
      <c r="C48" s="38" t="n">
        <f aca="false">C11</f>
        <v>42.0121983279878</v>
      </c>
      <c r="E48" s="39" t="n">
        <f aca="false">IF($C48&gt;0,E11/$C48,0)</f>
        <v>3.25946251031534</v>
      </c>
      <c r="F48" s="39" t="n">
        <f aca="false">IF($C48&gt;0,F11/$C48,0)</f>
        <v>3.25946251031534</v>
      </c>
      <c r="G48" s="39" t="n">
        <f aca="false">IF($C48&gt;0,G11/$C48,0)</f>
        <v>3.25946251031534</v>
      </c>
      <c r="H48" s="39" t="n">
        <f aca="false">IF($C48&gt;0,H11/$C48,0)</f>
        <v>3.25946251031534</v>
      </c>
      <c r="I48" s="39" t="n">
        <f aca="false">IF($C48&gt;0,I11/$C48,0)</f>
        <v>3.25946251031534</v>
      </c>
      <c r="J48" s="39" t="n">
        <f aca="false">IF($C48&gt;0,J11/$C48,0)</f>
        <v>1.65763892150215</v>
      </c>
      <c r="K48" s="39" t="n">
        <f aca="false">IF($C48&gt;0,K11/$C48,0)</f>
        <v>1.65763892150215</v>
      </c>
      <c r="L48" s="39" t="n">
        <f aca="false">IF($C48&gt;0,L11/$C48,0)</f>
        <v>1.65763892150215</v>
      </c>
      <c r="M48" s="39" t="n">
        <f aca="false">IF($C48&gt;0,M11/$C48,0)</f>
        <v>1.65763892150215</v>
      </c>
      <c r="N48" s="39" t="n">
        <f aca="false">IF($C48&gt;0,N11/$C48,0)</f>
        <v>1.60182358881319</v>
      </c>
      <c r="O48" s="39" t="n">
        <f aca="false">IF($C48&gt;0,O11/$C48,0)</f>
        <v>1.21341004078594</v>
      </c>
      <c r="P48" s="39" t="n">
        <f aca="false">IF($C48&gt;0,P11/$C48,0)</f>
        <v>1.20347032400571</v>
      </c>
      <c r="Q48" s="39" t="n">
        <f aca="false">IF($C48&gt;0,Q11/$C48,0)</f>
        <v>1.18894304563461</v>
      </c>
      <c r="R48" s="39" t="n">
        <f aca="false">IF($C48&gt;0,R11/$C48,0)</f>
        <v>1.17823873525591</v>
      </c>
      <c r="S48" s="39" t="n">
        <f aca="false">IF($C48&gt;0,S11/$C48,0)</f>
        <v>1.16600523768025</v>
      </c>
      <c r="T48" s="40" t="n">
        <f aca="false">SUM(E48:S48)</f>
        <v>30.4797592097609</v>
      </c>
    </row>
    <row r="49" customFormat="false" ht="15" hidden="false" customHeight="true" outlineLevel="0" collapsed="false">
      <c r="A49" s="13" t="str">
        <f aca="false">A12</f>
        <v>Dooradoyle</v>
      </c>
      <c r="B49" s="13" t="str">
        <f aca="false">B12</f>
        <v>City neighbourhood</v>
      </c>
      <c r="C49" s="38" t="n">
        <f aca="false">C12</f>
        <v>35.7875115598027</v>
      </c>
      <c r="E49" s="39" t="n">
        <f aca="false">IF($C49&gt;0,E12/$C49,0)</f>
        <v>16.3155335024593</v>
      </c>
      <c r="F49" s="39" t="n">
        <f aca="false">IF($C49&gt;0,F12/$C49,0)</f>
        <v>16.3155335024593</v>
      </c>
      <c r="G49" s="39" t="n">
        <f aca="false">IF($C49&gt;0,G12/$C49,0)</f>
        <v>16.3155335024593</v>
      </c>
      <c r="H49" s="39" t="n">
        <f aca="false">IF($C49&gt;0,H12/$C49,0)</f>
        <v>16.3155335024593</v>
      </c>
      <c r="I49" s="39" t="n">
        <f aca="false">IF($C49&gt;0,I12/$C49,0)</f>
        <v>16.3155335024593</v>
      </c>
      <c r="J49" s="39" t="n">
        <f aca="false">IF($C49&gt;0,J12/$C49,0)</f>
        <v>8.29746109156272</v>
      </c>
      <c r="K49" s="39" t="n">
        <f aca="false">IF($C49&gt;0,K12/$C49,0)</f>
        <v>8.29746109156272</v>
      </c>
      <c r="L49" s="39" t="n">
        <f aca="false">IF($C49&gt;0,L12/$C49,0)</f>
        <v>8.29746109156272</v>
      </c>
      <c r="M49" s="39" t="n">
        <f aca="false">IF($C49&gt;0,M12/$C49,0)</f>
        <v>8.29746109156272</v>
      </c>
      <c r="N49" s="39" t="n">
        <f aca="false">IF($C49&gt;0,N12/$C49,0)</f>
        <v>8.01807241089663</v>
      </c>
      <c r="O49" s="39" t="n">
        <f aca="false">IF($C49&gt;0,O12/$C49,0)</f>
        <v>6.07383337283673</v>
      </c>
      <c r="P49" s="39" t="n">
        <f aca="false">IF($C49&gt;0,P12/$C49,0)</f>
        <v>6.02407922422496</v>
      </c>
      <c r="Q49" s="39" t="n">
        <f aca="false">IF($C49&gt;0,Q12/$C49,0)</f>
        <v>5.95136162240776</v>
      </c>
      <c r="R49" s="39" t="n">
        <f aca="false">IF($C49&gt;0,R12/$C49,0)</f>
        <v>5.89778023159509</v>
      </c>
      <c r="S49" s="39" t="n">
        <f aca="false">IF($C49&gt;0,S12/$C49,0)</f>
        <v>5.8365443563806</v>
      </c>
      <c r="T49" s="40" t="n">
        <f aca="false">SUM(E49:S49)</f>
        <v>152.569183096889</v>
      </c>
    </row>
    <row r="50" customFormat="false" ht="15" hidden="false" customHeight="true" outlineLevel="0" collapsed="false">
      <c r="A50" s="13" t="str">
        <f aca="false">A13</f>
        <v>Kings Island</v>
      </c>
      <c r="B50" s="13" t="str">
        <f aca="false">B13</f>
        <v>City neighbourhood</v>
      </c>
      <c r="C50" s="38" t="n">
        <f aca="false">C13</f>
        <v>50</v>
      </c>
      <c r="E50" s="39" t="n">
        <f aca="false">IF($C50&gt;0,E13/$C50,0)</f>
        <v>1.3545710343913</v>
      </c>
      <c r="F50" s="39" t="n">
        <f aca="false">IF($C50&gt;0,F13/$C50,0)</f>
        <v>1.3545710343913</v>
      </c>
      <c r="G50" s="39" t="n">
        <f aca="false">IF($C50&gt;0,G13/$C50,0)</f>
        <v>1.3545710343913</v>
      </c>
      <c r="H50" s="39" t="n">
        <f aca="false">IF($C50&gt;0,H13/$C50,0)</f>
        <v>1.3545710343913</v>
      </c>
      <c r="I50" s="39" t="n">
        <f aca="false">IF($C50&gt;0,I13/$C50,0)</f>
        <v>1.3545710343913</v>
      </c>
      <c r="J50" s="39" t="n">
        <f aca="false">IF($C50&gt;0,J13/$C50,0)</f>
        <v>0.688883416035737</v>
      </c>
      <c r="K50" s="39" t="n">
        <f aca="false">IF($C50&gt;0,K13/$C50,0)</f>
        <v>0.688883416035737</v>
      </c>
      <c r="L50" s="39" t="n">
        <f aca="false">IF($C50&gt;0,L13/$C50,0)</f>
        <v>0.688883416035737</v>
      </c>
      <c r="M50" s="39" t="n">
        <f aca="false">IF($C50&gt;0,M13/$C50,0)</f>
        <v>0.688883416035737</v>
      </c>
      <c r="N50" s="39" t="n">
        <f aca="false">IF($C50&gt;0,N13/$C50,0)</f>
        <v>0.665687618355567</v>
      </c>
      <c r="O50" s="39" t="n">
        <f aca="false">IF($C50&gt;0,O13/$C50,0)</f>
        <v>0.504270286553835</v>
      </c>
      <c r="P50" s="39" t="n">
        <f aca="false">IF($C50&gt;0,P13/$C50,0)</f>
        <v>0.500139528062846</v>
      </c>
      <c r="Q50" s="39" t="n">
        <f aca="false">IF($C50&gt;0,Q13/$C50,0)</f>
        <v>0.494102265652939</v>
      </c>
      <c r="R50" s="39" t="n">
        <f aca="false">IF($C50&gt;0,R13/$C50,0)</f>
        <v>0.489653756508796</v>
      </c>
      <c r="S50" s="39" t="n">
        <f aca="false">IF($C50&gt;0,S13/$C50,0)</f>
        <v>0.484569746058348</v>
      </c>
      <c r="T50" s="40" t="n">
        <f aca="false">SUM(E50:S50)</f>
        <v>12.6668120372918</v>
      </c>
    </row>
    <row r="51" customFormat="false" ht="15" hidden="false" customHeight="true" outlineLevel="0" collapsed="false">
      <c r="A51" s="13" t="str">
        <f aca="false">A14</f>
        <v>Singland/Garryowen</v>
      </c>
      <c r="B51" s="13" t="str">
        <f aca="false">B14</f>
        <v>City neighbourhood</v>
      </c>
      <c r="C51" s="38" t="n">
        <f aca="false">C14</f>
        <v>48.9511823035851</v>
      </c>
      <c r="E51" s="39" t="n">
        <f aca="false">IF($C51&gt;0,E14/$C51,0)</f>
        <v>6.87563870733204</v>
      </c>
      <c r="F51" s="39" t="n">
        <f aca="false">IF($C51&gt;0,F14/$C51,0)</f>
        <v>6.87563870733204</v>
      </c>
      <c r="G51" s="39" t="n">
        <f aca="false">IF($C51&gt;0,G14/$C51,0)</f>
        <v>6.87563870733204</v>
      </c>
      <c r="H51" s="39" t="n">
        <f aca="false">IF($C51&gt;0,H14/$C51,0)</f>
        <v>6.87563870733204</v>
      </c>
      <c r="I51" s="39" t="n">
        <f aca="false">IF($C51&gt;0,I14/$C51,0)</f>
        <v>6.87563870733204</v>
      </c>
      <c r="J51" s="39" t="n">
        <f aca="false">IF($C51&gt;0,J14/$C51,0)</f>
        <v>3.49668888517379</v>
      </c>
      <c r="K51" s="39" t="n">
        <f aca="false">IF($C51&gt;0,K14/$C51,0)</f>
        <v>3.49668888517379</v>
      </c>
      <c r="L51" s="39" t="n">
        <f aca="false">IF($C51&gt;0,L14/$C51,0)</f>
        <v>3.49668888517379</v>
      </c>
      <c r="M51" s="39" t="n">
        <f aca="false">IF($C51&gt;0,M14/$C51,0)</f>
        <v>3.49668888517379</v>
      </c>
      <c r="N51" s="39" t="n">
        <f aca="false">IF($C51&gt;0,N14/$C51,0)</f>
        <v>3.37894982215825</v>
      </c>
      <c r="O51" s="39" t="n">
        <f aca="false">IF($C51&gt;0,O14/$C51,0)</f>
        <v>2.55961497268026</v>
      </c>
      <c r="P51" s="39" t="n">
        <f aca="false">IF($C51&gt;0,P14/$C51,0)</f>
        <v>2.53864774228023</v>
      </c>
      <c r="Q51" s="39" t="n">
        <f aca="false">IF($C51&gt;0,Q14/$C51,0)</f>
        <v>2.50800332861865</v>
      </c>
      <c r="R51" s="39" t="n">
        <f aca="false">IF($C51&gt;0,R14/$C51,0)</f>
        <v>2.4854232343417</v>
      </c>
      <c r="S51" s="39" t="n">
        <f aca="false">IF($C51&gt;0,S14/$C51,0)</f>
        <v>2.4596174123109</v>
      </c>
      <c r="T51" s="40" t="n">
        <f aca="false">SUM(E51:S51)</f>
        <v>64.2952055897453</v>
      </c>
    </row>
    <row r="52" customFormat="false" ht="15" hidden="false" customHeight="true" outlineLevel="0" collapsed="false">
      <c r="A52" s="13" t="str">
        <f aca="false">A15</f>
        <v>Southhill</v>
      </c>
      <c r="B52" s="13" t="str">
        <f aca="false">B15</f>
        <v>City neighbourhood</v>
      </c>
      <c r="C52" s="38" t="n">
        <f aca="false">C15</f>
        <v>48.9505676680398</v>
      </c>
      <c r="E52" s="39" t="n">
        <f aca="false">IF($C52&gt;0,E15/$C52,0)</f>
        <v>3.76985663119307</v>
      </c>
      <c r="F52" s="39" t="n">
        <f aca="false">IF($C52&gt;0,F15/$C52,0)</f>
        <v>3.76985663119307</v>
      </c>
      <c r="G52" s="39" t="n">
        <f aca="false">IF($C52&gt;0,G15/$C52,0)</f>
        <v>3.76985663119307</v>
      </c>
      <c r="H52" s="39" t="n">
        <f aca="false">IF($C52&gt;0,H15/$C52,0)</f>
        <v>3.76985663119307</v>
      </c>
      <c r="I52" s="39" t="n">
        <f aca="false">IF($C52&gt;0,I15/$C52,0)</f>
        <v>3.76985663119307</v>
      </c>
      <c r="J52" s="39" t="n">
        <f aca="false">IF($C52&gt;0,J15/$C52,0)</f>
        <v>1.91720599963091</v>
      </c>
      <c r="K52" s="39" t="n">
        <f aca="false">IF($C52&gt;0,K15/$C52,0)</f>
        <v>1.91720599963091</v>
      </c>
      <c r="L52" s="39" t="n">
        <f aca="false">IF($C52&gt;0,L15/$C52,0)</f>
        <v>1.91720599963091</v>
      </c>
      <c r="M52" s="39" t="n">
        <f aca="false">IF($C52&gt;0,M15/$C52,0)</f>
        <v>1.91720599963091</v>
      </c>
      <c r="N52" s="39" t="n">
        <f aca="false">IF($C52&gt;0,N15/$C52,0)</f>
        <v>1.85265063156216</v>
      </c>
      <c r="O52" s="39" t="n">
        <f aca="false">IF($C52&gt;0,O15/$C52,0)</f>
        <v>1.40341601541248</v>
      </c>
      <c r="P52" s="39" t="n">
        <f aca="false">IF($C52&gt;0,P15/$C52,0)</f>
        <v>1.39191985397558</v>
      </c>
      <c r="Q52" s="39" t="n">
        <f aca="false">IF($C52&gt;0,Q15/$C52,0)</f>
        <v>1.37511777187549</v>
      </c>
      <c r="R52" s="39" t="n">
        <f aca="false">IF($C52&gt;0,R15/$C52,0)</f>
        <v>1.36273729032806</v>
      </c>
      <c r="S52" s="39" t="n">
        <f aca="false">IF($C52&gt;0,S15/$C52,0)</f>
        <v>1.34858816855957</v>
      </c>
      <c r="T52" s="40" t="n">
        <f aca="false">SUM(E52:S52)</f>
        <v>35.2525368862024</v>
      </c>
    </row>
    <row r="53" customFormat="false" ht="15" hidden="false" customHeight="true" outlineLevel="0" collapsed="false">
      <c r="A53" s="13" t="str">
        <f aca="false">A16</f>
        <v>Abbeyfeale</v>
      </c>
      <c r="B53" s="13" t="str">
        <f aca="false">B16</f>
        <v>Key town</v>
      </c>
      <c r="C53" s="38" t="n">
        <f aca="false">C16</f>
        <v>25</v>
      </c>
      <c r="E53" s="39" t="n">
        <f aca="false">IF($C53&gt;0,E16/$C53,0)</f>
        <v>2.306689056815</v>
      </c>
      <c r="F53" s="39" t="n">
        <f aca="false">IF($C53&gt;0,F16/$C53,0)</f>
        <v>2.306689056815</v>
      </c>
      <c r="G53" s="39" t="n">
        <f aca="false">IF($C53&gt;0,G16/$C53,0)</f>
        <v>2.306689056815</v>
      </c>
      <c r="H53" s="39" t="n">
        <f aca="false">IF($C53&gt;0,H16/$C53,0)</f>
        <v>2.306689056815</v>
      </c>
      <c r="I53" s="39" t="n">
        <f aca="false">IF($C53&gt;0,I16/$C53,0)</f>
        <v>2.306689056815</v>
      </c>
      <c r="J53" s="39" t="n">
        <f aca="false">IF($C53&gt;0,J16/$C53,0)</f>
        <v>1.17309450508443</v>
      </c>
      <c r="K53" s="39" t="n">
        <f aca="false">IF($C53&gt;0,K16/$C53,0)</f>
        <v>1.17309450508443</v>
      </c>
      <c r="L53" s="39" t="n">
        <f aca="false">IF($C53&gt;0,L16/$C53,0)</f>
        <v>1.17309450508443</v>
      </c>
      <c r="M53" s="39" t="n">
        <f aca="false">IF($C53&gt;0,M16/$C53,0)</f>
        <v>1.17309450508443</v>
      </c>
      <c r="N53" s="39" t="n">
        <f aca="false">IF($C53&gt;0,N16/$C53,0)</f>
        <v>1.13359455173057</v>
      </c>
      <c r="O53" s="39" t="n">
        <f aca="false">IF($C53&gt;0,O16/$C53,0)</f>
        <v>0.858718164007837</v>
      </c>
      <c r="P53" s="39" t="n">
        <f aca="false">IF($C53&gt;0,P16/$C53,0)</f>
        <v>0.851683925739341</v>
      </c>
      <c r="Q53" s="39" t="n">
        <f aca="false">IF($C53&gt;0,Q16/$C53,0)</f>
        <v>0.84140311596231</v>
      </c>
      <c r="R53" s="39" t="n">
        <f aca="false">IF($C53&gt;0,R16/$C53,0)</f>
        <v>0.833827782442392</v>
      </c>
      <c r="S53" s="39" t="n">
        <f aca="false">IF($C53&gt;0,S16/$C53,0)</f>
        <v>0.825170258419629</v>
      </c>
      <c r="T53" s="40" t="n">
        <f aca="false">SUM(E53:S53)</f>
        <v>21.5702211027148</v>
      </c>
    </row>
    <row r="54" customFormat="false" ht="15" hidden="false" customHeight="true" outlineLevel="0" collapsed="false">
      <c r="A54" s="13" t="str">
        <f aca="false">A17</f>
        <v>Caherconlish</v>
      </c>
      <c r="B54" s="13" t="str">
        <f aca="false">B17</f>
        <v>Key town</v>
      </c>
      <c r="C54" s="38" t="n">
        <f aca="false">C17</f>
        <v>25</v>
      </c>
      <c r="E54" s="39" t="n">
        <f aca="false">IF($C54&gt;0,E17/$C54,0)</f>
        <v>1.36810523369717</v>
      </c>
      <c r="F54" s="39" t="n">
        <f aca="false">IF($C54&gt;0,F17/$C54,0)</f>
        <v>1.36810523369717</v>
      </c>
      <c r="G54" s="39" t="n">
        <f aca="false">IF($C54&gt;0,G17/$C54,0)</f>
        <v>1.36810523369717</v>
      </c>
      <c r="H54" s="39" t="n">
        <f aca="false">IF($C54&gt;0,H17/$C54,0)</f>
        <v>1.36810523369717</v>
      </c>
      <c r="I54" s="39" t="n">
        <f aca="false">IF($C54&gt;0,I17/$C54,0)</f>
        <v>1.36810523369717</v>
      </c>
      <c r="J54" s="39" t="n">
        <f aca="false">IF($C54&gt;0,J17/$C54,0)</f>
        <v>0.695766396119041</v>
      </c>
      <c r="K54" s="39" t="n">
        <f aca="false">IF($C54&gt;0,K17/$C54,0)</f>
        <v>0.695766396119041</v>
      </c>
      <c r="L54" s="39" t="n">
        <f aca="false">IF($C54&gt;0,L17/$C54,0)</f>
        <v>0.695766396119041</v>
      </c>
      <c r="M54" s="39" t="n">
        <f aca="false">IF($C54&gt;0,M17/$C54,0)</f>
        <v>0.695766396119041</v>
      </c>
      <c r="N54" s="39" t="n">
        <f aca="false">IF($C54&gt;0,N17/$C54,0)</f>
        <v>0.672338837578132</v>
      </c>
      <c r="O54" s="39" t="n">
        <f aca="false">IF($C54&gt;0,O17/$C54,0)</f>
        <v>0.509308704170165</v>
      </c>
      <c r="P54" s="39" t="n">
        <f aca="false">IF($C54&gt;0,P17/$C54,0)</f>
        <v>0.505136673197127</v>
      </c>
      <c r="Q54" s="39" t="n">
        <f aca="false">IF($C54&gt;0,Q17/$C54,0)</f>
        <v>0.499039089467301</v>
      </c>
      <c r="R54" s="39" t="n">
        <f aca="false">IF($C54&gt;0,R17/$C54,0)</f>
        <v>0.494546133034798</v>
      </c>
      <c r="S54" s="39" t="n">
        <f aca="false">IF($C54&gt;0,S17/$C54,0)</f>
        <v>0.489411325683366</v>
      </c>
      <c r="T54" s="40" t="n">
        <f aca="false">SUM(E54:S54)</f>
        <v>12.7933725160929</v>
      </c>
    </row>
    <row r="55" customFormat="false" ht="15" hidden="false" customHeight="true" outlineLevel="0" collapsed="false">
      <c r="A55" s="13" t="str">
        <f aca="false">A18</f>
        <v>Castleconnell</v>
      </c>
      <c r="B55" s="13" t="str">
        <f aca="false">B18</f>
        <v>Key town</v>
      </c>
      <c r="C55" s="38" t="n">
        <f aca="false">C18</f>
        <v>35</v>
      </c>
      <c r="E55" s="39" t="n">
        <f aca="false">IF($C55&gt;0,E18/$C55,0)</f>
        <v>1.60218303946264</v>
      </c>
      <c r="F55" s="39" t="n">
        <f aca="false">IF($C55&gt;0,F18/$C55,0)</f>
        <v>1.60218303946264</v>
      </c>
      <c r="G55" s="39" t="n">
        <f aca="false">IF($C55&gt;0,G18/$C55,0)</f>
        <v>1.60218303946264</v>
      </c>
      <c r="H55" s="39" t="n">
        <f aca="false">IF($C55&gt;0,H18/$C55,0)</f>
        <v>1.60218303946264</v>
      </c>
      <c r="I55" s="39" t="n">
        <f aca="false">IF($C55&gt;0,I18/$C55,0)</f>
        <v>1.60218303946264</v>
      </c>
      <c r="J55" s="39" t="n">
        <f aca="false">IF($C55&gt;0,J18/$C55,0)</f>
        <v>0.814809483827116</v>
      </c>
      <c r="K55" s="39" t="n">
        <f aca="false">IF($C55&gt;0,K18/$C55,0)</f>
        <v>0.814809483827116</v>
      </c>
      <c r="L55" s="39" t="n">
        <f aca="false">IF($C55&gt;0,L18/$C55,0)</f>
        <v>0.814809483827116</v>
      </c>
      <c r="M55" s="39" t="n">
        <f aca="false">IF($C55&gt;0,M18/$C55,0)</f>
        <v>0.814809483827116</v>
      </c>
      <c r="N55" s="39" t="n">
        <f aca="false">IF($C55&gt;0,N18/$C55,0)</f>
        <v>0.78737355563552</v>
      </c>
      <c r="O55" s="39" t="n">
        <f aca="false">IF($C55&gt;0,O18/$C55,0)</f>
        <v>0.596449562192635</v>
      </c>
      <c r="P55" s="39" t="n">
        <f aca="false">IF($C55&gt;0,P18/$C55,0)</f>
        <v>0.591563711966735</v>
      </c>
      <c r="Q55" s="39" t="n">
        <f aca="false">IF($C55&gt;0,Q18/$C55,0)</f>
        <v>0.584422853944265</v>
      </c>
      <c r="R55" s="39" t="n">
        <f aca="false">IF($C55&gt;0,R18/$C55,0)</f>
        <v>0.579161169085602</v>
      </c>
      <c r="S55" s="39" t="n">
        <f aca="false">IF($C55&gt;0,S18/$C55,0)</f>
        <v>0.573147814961417</v>
      </c>
      <c r="T55" s="40" t="n">
        <f aca="false">SUM(E55:S55)</f>
        <v>14.9822718004078</v>
      </c>
    </row>
    <row r="56" customFormat="false" ht="15" hidden="false" customHeight="true" outlineLevel="0" collapsed="false">
      <c r="A56" s="13" t="str">
        <f aca="false">A19</f>
        <v>Kilmallock</v>
      </c>
      <c r="B56" s="13" t="str">
        <f aca="false">B19</f>
        <v>Key town</v>
      </c>
      <c r="C56" s="38" t="n">
        <f aca="false">C19</f>
        <v>25</v>
      </c>
      <c r="E56" s="39" t="n">
        <f aca="false">IF($C56&gt;0,E19/$C56,0)</f>
        <v>1.77376434368878</v>
      </c>
      <c r="F56" s="39" t="n">
        <f aca="false">IF($C56&gt;0,F19/$C56,0)</f>
        <v>1.77376434368878</v>
      </c>
      <c r="G56" s="39" t="n">
        <f aca="false">IF($C56&gt;0,G19/$C56,0)</f>
        <v>1.77376434368878</v>
      </c>
      <c r="H56" s="39" t="n">
        <f aca="false">IF($C56&gt;0,H19/$C56,0)</f>
        <v>1.77376434368878</v>
      </c>
      <c r="I56" s="39" t="n">
        <f aca="false">IF($C56&gt;0,I19/$C56,0)</f>
        <v>1.77376434368878</v>
      </c>
      <c r="J56" s="39" t="n">
        <f aca="false">IF($C56&gt;0,J19/$C56,0)</f>
        <v>0.902069222875268</v>
      </c>
      <c r="K56" s="39" t="n">
        <f aca="false">IF($C56&gt;0,K19/$C56,0)</f>
        <v>0.902069222875268</v>
      </c>
      <c r="L56" s="39" t="n">
        <f aca="false">IF($C56&gt;0,L19/$C56,0)</f>
        <v>0.902069222875268</v>
      </c>
      <c r="M56" s="39" t="n">
        <f aca="false">IF($C56&gt;0,M19/$C56,0)</f>
        <v>0.902069222875268</v>
      </c>
      <c r="N56" s="39" t="n">
        <f aca="false">IF($C56&gt;0,N19/$C56,0)</f>
        <v>0.871695120813509</v>
      </c>
      <c r="O56" s="39" t="n">
        <f aca="false">IF($C56&gt;0,O19/$C56,0)</f>
        <v>0.660324657150854</v>
      </c>
      <c r="P56" s="39" t="n">
        <f aca="false">IF($C56&gt;0,P19/$C56,0)</f>
        <v>0.654915570482321</v>
      </c>
      <c r="Q56" s="39" t="n">
        <f aca="false">IF($C56&gt;0,Q19/$C56,0)</f>
        <v>0.647009982274466</v>
      </c>
      <c r="R56" s="39" t="n">
        <f aca="false">IF($C56&gt;0,R19/$C56,0)</f>
        <v>0.641184812016046</v>
      </c>
      <c r="S56" s="39" t="n">
        <f aca="false">IF($C56&gt;0,S19/$C56,0)</f>
        <v>0.634527474577852</v>
      </c>
      <c r="T56" s="40" t="n">
        <f aca="false">SUM(E56:S56)</f>
        <v>16.58675622726</v>
      </c>
    </row>
    <row r="57" customFormat="false" ht="15" hidden="false" customHeight="true" outlineLevel="0" collapsed="false">
      <c r="A57" s="13" t="str">
        <f aca="false">A20</f>
        <v>Newcastle West</v>
      </c>
      <c r="B57" s="13" t="str">
        <f aca="false">B20</f>
        <v>Key town</v>
      </c>
      <c r="C57" s="38" t="n">
        <f aca="false">C20</f>
        <v>30</v>
      </c>
      <c r="E57" s="39" t="n">
        <f aca="false">IF($C57&gt;0,E20/$C57,0)</f>
        <v>6.43619274186025</v>
      </c>
      <c r="F57" s="39" t="n">
        <f aca="false">IF($C57&gt;0,F20/$C57,0)</f>
        <v>6.43619274186025</v>
      </c>
      <c r="G57" s="39" t="n">
        <f aca="false">IF($C57&gt;0,G20/$C57,0)</f>
        <v>6.43619274186025</v>
      </c>
      <c r="H57" s="39" t="n">
        <f aca="false">IF($C57&gt;0,H20/$C57,0)</f>
        <v>6.43619274186025</v>
      </c>
      <c r="I57" s="39" t="n">
        <f aca="false">IF($C57&gt;0,I20/$C57,0)</f>
        <v>6.43619274186025</v>
      </c>
      <c r="J57" s="39" t="n">
        <f aca="false">IF($C57&gt;0,J20/$C57,0)</f>
        <v>3.27320334608328</v>
      </c>
      <c r="K57" s="39" t="n">
        <f aca="false">IF($C57&gt;0,K20/$C57,0)</f>
        <v>3.27320334608328</v>
      </c>
      <c r="L57" s="39" t="n">
        <f aca="false">IF($C57&gt;0,L20/$C57,0)</f>
        <v>3.27320334608328</v>
      </c>
      <c r="M57" s="39" t="n">
        <f aca="false">IF($C57&gt;0,M20/$C57,0)</f>
        <v>3.27320334608328</v>
      </c>
      <c r="N57" s="39" t="n">
        <f aca="false">IF($C57&gt;0,N20/$C57,0)</f>
        <v>3.16298939577697</v>
      </c>
      <c r="O57" s="39" t="n">
        <f aca="false">IF($C57&gt;0,O20/$C57,0)</f>
        <v>2.39602108405635</v>
      </c>
      <c r="P57" s="39" t="n">
        <f aca="false">IF($C57&gt;0,P20/$C57,0)</f>
        <v>2.37639394222098</v>
      </c>
      <c r="Q57" s="39" t="n">
        <f aca="false">IF($C57&gt;0,Q20/$C57,0)</f>
        <v>2.34770811953851</v>
      </c>
      <c r="R57" s="39" t="n">
        <f aca="false">IF($C57&gt;0,R20/$C57,0)</f>
        <v>2.32657119756196</v>
      </c>
      <c r="S57" s="39" t="n">
        <f aca="false">IF($C57&gt;0,S20/$C57,0)</f>
        <v>2.30241471530304</v>
      </c>
      <c r="T57" s="40" t="n">
        <f aca="false">SUM(E57:S57)</f>
        <v>60.1858755480922</v>
      </c>
    </row>
    <row r="58" customFormat="false" ht="15" hidden="false" customHeight="true" outlineLevel="0" collapsed="false">
      <c r="A58" s="13" t="str">
        <f aca="false">A21</f>
        <v>Rathkeale</v>
      </c>
      <c r="B58" s="13" t="str">
        <f aca="false">B21</f>
        <v>Key town</v>
      </c>
      <c r="C58" s="38" t="n">
        <f aca="false">C21</f>
        <v>25</v>
      </c>
      <c r="E58" s="39" t="n">
        <f aca="false">IF($C58&gt;0,E21/$C58,0)</f>
        <v>1.60672823957459</v>
      </c>
      <c r="F58" s="39" t="n">
        <f aca="false">IF($C58&gt;0,F21/$C58,0)</f>
        <v>1.60672823957459</v>
      </c>
      <c r="G58" s="39" t="n">
        <f aca="false">IF($C58&gt;0,G21/$C58,0)</f>
        <v>1.60672823957459</v>
      </c>
      <c r="H58" s="39" t="n">
        <f aca="false">IF($C58&gt;0,H21/$C58,0)</f>
        <v>1.60672823957459</v>
      </c>
      <c r="I58" s="39" t="n">
        <f aca="false">IF($C58&gt;0,I21/$C58,0)</f>
        <v>1.60672823957459</v>
      </c>
      <c r="J58" s="39" t="n">
        <f aca="false">IF($C58&gt;0,J21/$C58,0)</f>
        <v>0.817121000093292</v>
      </c>
      <c r="K58" s="39" t="n">
        <f aca="false">IF($C58&gt;0,K21/$C58,0)</f>
        <v>0.817121000093292</v>
      </c>
      <c r="L58" s="39" t="n">
        <f aca="false">IF($C58&gt;0,L21/$C58,0)</f>
        <v>0.817121000093292</v>
      </c>
      <c r="M58" s="39" t="n">
        <f aca="false">IF($C58&gt;0,M21/$C58,0)</f>
        <v>0.817121000093292</v>
      </c>
      <c r="N58" s="39" t="n">
        <f aca="false">IF($C58&gt;0,N21/$C58,0)</f>
        <v>0.789607239481295</v>
      </c>
      <c r="O58" s="39" t="n">
        <f aca="false">IF($C58&gt;0,O21/$C58,0)</f>
        <v>0.598141617688217</v>
      </c>
      <c r="P58" s="39" t="n">
        <f aca="false">IF($C58&gt;0,P21/$C58,0)</f>
        <v>0.5932419068943</v>
      </c>
      <c r="Q58" s="39" t="n">
        <f aca="false">IF($C58&gt;0,Q21/$C58,0)</f>
        <v>0.586080791118575</v>
      </c>
      <c r="R58" s="39" t="n">
        <f aca="false">IF($C58&gt;0,R21/$C58,0)</f>
        <v>0.580804179494356</v>
      </c>
      <c r="S58" s="39" t="n">
        <f aca="false">IF($C58&gt;0,S21/$C58,0)</f>
        <v>0.574773766209535</v>
      </c>
      <c r="T58" s="40" t="n">
        <f aca="false">SUM(E58:S58)</f>
        <v>15.0247746991324</v>
      </c>
    </row>
    <row r="59" customFormat="false" ht="15" hidden="false" customHeight="true" outlineLevel="0" collapsed="false">
      <c r="A59" s="13" t="str">
        <f aca="false">A22</f>
        <v>Adare</v>
      </c>
      <c r="B59" s="13" t="str">
        <f aca="false">B22</f>
        <v>Village</v>
      </c>
      <c r="C59" s="38" t="n">
        <f aca="false">C22</f>
        <v>22</v>
      </c>
      <c r="E59" s="39" t="n">
        <f aca="false">IF($C59&gt;0,E22/$C59,0)</f>
        <v>1.80775004452586</v>
      </c>
      <c r="F59" s="39" t="n">
        <f aca="false">IF($C59&gt;0,F22/$C59,0)</f>
        <v>1.80775004452586</v>
      </c>
      <c r="G59" s="39" t="n">
        <f aca="false">IF($C59&gt;0,G22/$C59,0)</f>
        <v>1.80775004452586</v>
      </c>
      <c r="H59" s="39" t="n">
        <f aca="false">IF($C59&gt;0,H22/$C59,0)</f>
        <v>1.80775004452586</v>
      </c>
      <c r="I59" s="39" t="n">
        <f aca="false">IF($C59&gt;0,I22/$C59,0)</f>
        <v>1.80775004452586</v>
      </c>
      <c r="J59" s="39" t="n">
        <f aca="false">IF($C59&gt;0,J22/$C59,0)</f>
        <v>0.919353060410995</v>
      </c>
      <c r="K59" s="39" t="n">
        <f aca="false">IF($C59&gt;0,K22/$C59,0)</f>
        <v>0.919353060410995</v>
      </c>
      <c r="L59" s="39" t="n">
        <f aca="false">IF($C59&gt;0,L22/$C59,0)</f>
        <v>0.919353060410995</v>
      </c>
      <c r="M59" s="39" t="n">
        <f aca="false">IF($C59&gt;0,M22/$C59,0)</f>
        <v>0.919353060410995</v>
      </c>
      <c r="N59" s="39" t="n">
        <f aca="false">IF($C59&gt;0,N22/$C59,0)</f>
        <v>0.888396984114868</v>
      </c>
      <c r="O59" s="39" t="n">
        <f aca="false">IF($C59&gt;0,O22/$C59,0)</f>
        <v>0.672976617561</v>
      </c>
      <c r="P59" s="39" t="n">
        <f aca="false">IF($C59&gt;0,P22/$C59,0)</f>
        <v>0.667463891645252</v>
      </c>
      <c r="Q59" s="39" t="n">
        <f aca="false">IF($C59&gt;0,Q22/$C59,0)</f>
        <v>0.659406830691465</v>
      </c>
      <c r="R59" s="39" t="n">
        <f aca="false">IF($C59&gt;0,R22/$C59,0)</f>
        <v>0.653470048936044</v>
      </c>
      <c r="S59" s="39" t="n">
        <f aca="false">IF($C59&gt;0,S22/$C59,0)</f>
        <v>0.646685155501276</v>
      </c>
      <c r="T59" s="40" t="n">
        <f aca="false">SUM(E59:S59)</f>
        <v>16.9045619927232</v>
      </c>
    </row>
    <row r="60" customFormat="false" ht="15" hidden="false" customHeight="true" outlineLevel="0" collapsed="false">
      <c r="A60" s="13" t="str">
        <f aca="false">A23</f>
        <v>Askeaton</v>
      </c>
      <c r="B60" s="13" t="str">
        <f aca="false">B23</f>
        <v>Village</v>
      </c>
      <c r="C60" s="38" t="n">
        <f aca="false">C23</f>
        <v>22</v>
      </c>
      <c r="E60" s="39" t="n">
        <f aca="false">IF($C60&gt;0,E23/$C60,0)</f>
        <v>1.47331628628858</v>
      </c>
      <c r="F60" s="39" t="n">
        <f aca="false">IF($C60&gt;0,F23/$C60,0)</f>
        <v>1.47331628628858</v>
      </c>
      <c r="G60" s="39" t="n">
        <f aca="false">IF($C60&gt;0,G23/$C60,0)</f>
        <v>1.47331628628858</v>
      </c>
      <c r="H60" s="39" t="n">
        <f aca="false">IF($C60&gt;0,H23/$C60,0)</f>
        <v>1.47331628628858</v>
      </c>
      <c r="I60" s="39" t="n">
        <f aca="false">IF($C60&gt;0,I23/$C60,0)</f>
        <v>1.47331628628858</v>
      </c>
      <c r="J60" s="39" t="n">
        <f aca="false">IF($C60&gt;0,J23/$C60,0)</f>
        <v>0.749272744234961</v>
      </c>
      <c r="K60" s="39" t="n">
        <f aca="false">IF($C60&gt;0,K23/$C60,0)</f>
        <v>0.749272744234961</v>
      </c>
      <c r="L60" s="39" t="n">
        <f aca="false">IF($C60&gt;0,L23/$C60,0)</f>
        <v>0.749272744234961</v>
      </c>
      <c r="M60" s="39" t="n">
        <f aca="false">IF($C60&gt;0,M23/$C60,0)</f>
        <v>0.749272744234961</v>
      </c>
      <c r="N60" s="39" t="n">
        <f aca="false">IF($C60&gt;0,N23/$C60,0)</f>
        <v>0.724043542053618</v>
      </c>
      <c r="O60" s="39" t="n">
        <f aca="false">IF($C60&gt;0,O23/$C60,0)</f>
        <v>0.548475943312215</v>
      </c>
      <c r="P60" s="39" t="n">
        <f aca="false">IF($C60&gt;0,P23/$C60,0)</f>
        <v>0.54398307169088</v>
      </c>
      <c r="Q60" s="39" t="n">
        <f aca="false">IF($C60&gt;0,Q23/$C60,0)</f>
        <v>0.537416567013544</v>
      </c>
      <c r="R60" s="39" t="n">
        <f aca="false">IF($C60&gt;0,R23/$C60,0)</f>
        <v>0.532578089882876</v>
      </c>
      <c r="S60" s="39" t="n">
        <f aca="false">IF($C60&gt;0,S23/$C60,0)</f>
        <v>0.52704840173354</v>
      </c>
      <c r="T60" s="40" t="n">
        <f aca="false">SUM(E60:S60)</f>
        <v>13.7772180240694</v>
      </c>
    </row>
    <row r="61" customFormat="false" ht="15" hidden="false" customHeight="true" outlineLevel="0" collapsed="false">
      <c r="A61" s="13" t="str">
        <f aca="false">A24</f>
        <v>Bruff</v>
      </c>
      <c r="B61" s="13" t="str">
        <f aca="false">B24</f>
        <v>Village</v>
      </c>
      <c r="C61" s="38" t="n">
        <f aca="false">C24</f>
        <v>22</v>
      </c>
      <c r="E61" s="39" t="n">
        <f aca="false">IF($C61&gt;0,E24/$C61,0)</f>
        <v>1.03041752537974</v>
      </c>
      <c r="F61" s="39" t="n">
        <f aca="false">IF($C61&gt;0,F24/$C61,0)</f>
        <v>1.03041752537974</v>
      </c>
      <c r="G61" s="39" t="n">
        <f aca="false">IF($C61&gt;0,G24/$C61,0)</f>
        <v>1.03041752537974</v>
      </c>
      <c r="H61" s="39" t="n">
        <f aca="false">IF($C61&gt;0,H24/$C61,0)</f>
        <v>1.03041752537974</v>
      </c>
      <c r="I61" s="39" t="n">
        <f aca="false">IF($C61&gt;0,I24/$C61,0)</f>
        <v>1.03041752537974</v>
      </c>
      <c r="J61" s="39" t="n">
        <f aca="false">IF($C61&gt;0,J24/$C61,0)</f>
        <v>0.524031244434267</v>
      </c>
      <c r="K61" s="39" t="n">
        <f aca="false">IF($C61&gt;0,K24/$C61,0)</f>
        <v>0.524031244434267</v>
      </c>
      <c r="L61" s="39" t="n">
        <f aca="false">IF($C61&gt;0,L24/$C61,0)</f>
        <v>0.524031244434267</v>
      </c>
      <c r="M61" s="39" t="n">
        <f aca="false">IF($C61&gt;0,M24/$C61,0)</f>
        <v>0.524031244434267</v>
      </c>
      <c r="N61" s="39" t="n">
        <f aca="false">IF($C61&gt;0,N24/$C61,0)</f>
        <v>0.506386280945475</v>
      </c>
      <c r="O61" s="39" t="n">
        <f aca="false">IF($C61&gt;0,O24/$C61,0)</f>
        <v>0.38359667200977</v>
      </c>
      <c r="P61" s="39" t="n">
        <f aca="false">IF($C61&gt;0,P24/$C61,0)</f>
        <v>0.380454418237794</v>
      </c>
      <c r="Q61" s="39" t="n">
        <f aca="false">IF($C61&gt;0,Q24/$C61,0)</f>
        <v>0.375861893494135</v>
      </c>
      <c r="R61" s="39" t="n">
        <f aca="false">IF($C61&gt;0,R24/$C61,0)</f>
        <v>0.372477927893545</v>
      </c>
      <c r="S61" s="39" t="n">
        <f aca="false">IF($C61&gt;0,S24/$C61,0)</f>
        <v>0.368610538635728</v>
      </c>
      <c r="T61" s="40" t="n">
        <f aca="false">SUM(E61:S61)</f>
        <v>9.63560033585223</v>
      </c>
    </row>
    <row r="62" customFormat="false" ht="15" hidden="false" customHeight="true" outlineLevel="0" collapsed="false">
      <c r="A62" s="13" t="str">
        <f aca="false">A25</f>
        <v>Cappamore</v>
      </c>
      <c r="B62" s="13" t="str">
        <f aca="false">B25</f>
        <v>Village</v>
      </c>
      <c r="C62" s="38" t="n">
        <f aca="false">C25</f>
        <v>22</v>
      </c>
      <c r="E62" s="39" t="n">
        <f aca="false">IF($C62&gt;0,E25/$C62,0)</f>
        <v>0.804448769814009</v>
      </c>
      <c r="F62" s="39" t="n">
        <f aca="false">IF($C62&gt;0,F25/$C62,0)</f>
        <v>0.804448769814009</v>
      </c>
      <c r="G62" s="39" t="n">
        <f aca="false">IF($C62&gt;0,G25/$C62,0)</f>
        <v>0.804448769814009</v>
      </c>
      <c r="H62" s="39" t="n">
        <f aca="false">IF($C62&gt;0,H25/$C62,0)</f>
        <v>0.804448769814009</v>
      </c>
      <c r="I62" s="39" t="n">
        <f aca="false">IF($C62&gt;0,I25/$C62,0)</f>
        <v>0.804448769814009</v>
      </c>
      <c r="J62" s="39" t="n">
        <f aca="false">IF($C62&gt;0,J25/$C62,0)</f>
        <v>0.409112111882893</v>
      </c>
      <c r="K62" s="39" t="n">
        <f aca="false">IF($C62&gt;0,K25/$C62,0)</f>
        <v>0.409112111882893</v>
      </c>
      <c r="L62" s="39" t="n">
        <f aca="false">IF($C62&gt;0,L25/$C62,0)</f>
        <v>0.409112111882893</v>
      </c>
      <c r="M62" s="39" t="n">
        <f aca="false">IF($C62&gt;0,M25/$C62,0)</f>
        <v>0.409112111882893</v>
      </c>
      <c r="N62" s="39" t="n">
        <f aca="false">IF($C62&gt;0,N25/$C62,0)</f>
        <v>0.395336657931116</v>
      </c>
      <c r="O62" s="39" t="n">
        <f aca="false">IF($C62&gt;0,O25/$C62,0)</f>
        <v>0.299474594814645</v>
      </c>
      <c r="P62" s="39" t="n">
        <f aca="false">IF($C62&gt;0,P25/$C62,0)</f>
        <v>0.297021431782137</v>
      </c>
      <c r="Q62" s="39" t="n">
        <f aca="false">IF($C62&gt;0,Q25/$C62,0)</f>
        <v>0.293436039657702</v>
      </c>
      <c r="R62" s="39" t="n">
        <f aca="false">IF($C62&gt;0,R25/$C62,0)</f>
        <v>0.29079417177654</v>
      </c>
      <c r="S62" s="39" t="n">
        <f aca="false">IF($C62&gt;0,S25/$C62,0)</f>
        <v>0.287774894198068</v>
      </c>
      <c r="T62" s="40" t="n">
        <f aca="false">SUM(E62:S62)</f>
        <v>7.52253008676183</v>
      </c>
    </row>
    <row r="63" customFormat="false" ht="15" hidden="false" customHeight="true" outlineLevel="0" collapsed="false">
      <c r="A63" s="13" t="str">
        <f aca="false">A26</f>
        <v>Croom</v>
      </c>
      <c r="B63" s="13" t="str">
        <f aca="false">B26</f>
        <v>Village</v>
      </c>
      <c r="C63" s="38" t="n">
        <f aca="false">C26</f>
        <v>22</v>
      </c>
      <c r="E63" s="39" t="n">
        <f aca="false">IF($C63&gt;0,E26/$C63,0)</f>
        <v>1.29254128183599</v>
      </c>
      <c r="F63" s="39" t="n">
        <f aca="false">IF($C63&gt;0,F26/$C63,0)</f>
        <v>1.29254128183599</v>
      </c>
      <c r="G63" s="39" t="n">
        <f aca="false">IF($C63&gt;0,G26/$C63,0)</f>
        <v>1.29254128183599</v>
      </c>
      <c r="H63" s="39" t="n">
        <f aca="false">IF($C63&gt;0,H26/$C63,0)</f>
        <v>1.29254128183599</v>
      </c>
      <c r="I63" s="39" t="n">
        <f aca="false">IF($C63&gt;0,I26/$C63,0)</f>
        <v>1.29254128183599</v>
      </c>
      <c r="J63" s="39" t="n">
        <f aca="false">IF($C63&gt;0,J26/$C63,0)</f>
        <v>0.657337438193861</v>
      </c>
      <c r="K63" s="39" t="n">
        <f aca="false">IF($C63&gt;0,K26/$C63,0)</f>
        <v>0.657337438193861</v>
      </c>
      <c r="L63" s="39" t="n">
        <f aca="false">IF($C63&gt;0,L26/$C63,0)</f>
        <v>0.657337438193861</v>
      </c>
      <c r="M63" s="39" t="n">
        <f aca="false">IF($C63&gt;0,M26/$C63,0)</f>
        <v>0.657337438193861</v>
      </c>
      <c r="N63" s="39" t="n">
        <f aca="false">IF($C63&gt;0,N26/$C63,0)</f>
        <v>0.635203843642131</v>
      </c>
      <c r="O63" s="39" t="n">
        <f aca="false">IF($C63&gt;0,O26/$C63,0)</f>
        <v>0.481178281556115</v>
      </c>
      <c r="P63" s="39" t="n">
        <f aca="false">IF($C63&gt;0,P26/$C63,0)</f>
        <v>0.477236682526355</v>
      </c>
      <c r="Q63" s="39" t="n">
        <f aca="false">IF($C63&gt;0,Q26/$C63,0)</f>
        <v>0.471475883944398</v>
      </c>
      <c r="R63" s="39" t="n">
        <f aca="false">IF($C63&gt;0,R26/$C63,0)</f>
        <v>0.467231084989271</v>
      </c>
      <c r="S63" s="39" t="n">
        <f aca="false">IF($C63&gt;0,S26/$C63,0)</f>
        <v>0.462379886183413</v>
      </c>
      <c r="T63" s="40" t="n">
        <f aca="false">SUM(E63:S63)</f>
        <v>12.0867618247971</v>
      </c>
    </row>
    <row r="64" customFormat="false" ht="15" hidden="false" customHeight="true" outlineLevel="0" collapsed="false">
      <c r="A64" s="13" t="str">
        <f aca="false">A27</f>
        <v>Hospital</v>
      </c>
      <c r="B64" s="13" t="str">
        <f aca="false">B27</f>
        <v>Village</v>
      </c>
      <c r="C64" s="38" t="n">
        <f aca="false">C27</f>
        <v>22</v>
      </c>
      <c r="E64" s="39" t="n">
        <f aca="false">IF($C64&gt;0,E27/$C64,0)</f>
        <v>0.79541001959138</v>
      </c>
      <c r="F64" s="39" t="n">
        <f aca="false">IF($C64&gt;0,F27/$C64,0)</f>
        <v>0.79541001959138</v>
      </c>
      <c r="G64" s="39" t="n">
        <f aca="false">IF($C64&gt;0,G27/$C64,0)</f>
        <v>0.79541001959138</v>
      </c>
      <c r="H64" s="39" t="n">
        <f aca="false">IF($C64&gt;0,H27/$C64,0)</f>
        <v>0.79541001959138</v>
      </c>
      <c r="I64" s="39" t="n">
        <f aca="false">IF($C64&gt;0,I27/$C64,0)</f>
        <v>0.79541001959138</v>
      </c>
      <c r="J64" s="39" t="n">
        <f aca="false">IF($C64&gt;0,J27/$C64,0)</f>
        <v>0.404515346580838</v>
      </c>
      <c r="K64" s="39" t="n">
        <f aca="false">IF($C64&gt;0,K27/$C64,0)</f>
        <v>0.404515346580838</v>
      </c>
      <c r="L64" s="39" t="n">
        <f aca="false">IF($C64&gt;0,L27/$C64,0)</f>
        <v>0.404515346580838</v>
      </c>
      <c r="M64" s="39" t="n">
        <f aca="false">IF($C64&gt;0,M27/$C64,0)</f>
        <v>0.404515346580838</v>
      </c>
      <c r="N64" s="39" t="n">
        <f aca="false">IF($C64&gt;0,N27/$C64,0)</f>
        <v>0.390894673010542</v>
      </c>
      <c r="O64" s="39" t="n">
        <f aca="false">IF($C64&gt;0,O27/$C64,0)</f>
        <v>0.29610971172684</v>
      </c>
      <c r="P64" s="39" t="n">
        <f aca="false">IF($C64&gt;0,P27/$C64,0)</f>
        <v>0.293684112323911</v>
      </c>
      <c r="Q64" s="39" t="n">
        <f aca="false">IF($C64&gt;0,Q27/$C64,0)</f>
        <v>0.290139005504245</v>
      </c>
      <c r="R64" s="39" t="n">
        <f aca="false">IF($C64&gt;0,R27/$C64,0)</f>
        <v>0.287526821531859</v>
      </c>
      <c r="S64" s="39" t="n">
        <f aca="false">IF($C64&gt;0,S27/$C64,0)</f>
        <v>0.284541468420562</v>
      </c>
      <c r="T64" s="40" t="n">
        <f aca="false">SUM(E64:S64)</f>
        <v>7.43800727679821</v>
      </c>
    </row>
    <row r="65" customFormat="false" ht="15" hidden="false" customHeight="true" outlineLevel="0" collapsed="false">
      <c r="A65" s="13" t="str">
        <f aca="false">A28</f>
        <v>Kilfinnane</v>
      </c>
      <c r="B65" s="13" t="str">
        <f aca="false">B28</f>
        <v>Village</v>
      </c>
      <c r="C65" s="38" t="n">
        <f aca="false">C28</f>
        <v>22</v>
      </c>
      <c r="E65" s="39" t="n">
        <f aca="false">IF($C65&gt;0,E28/$C65,0)</f>
        <v>1.01234002493448</v>
      </c>
      <c r="F65" s="39" t="n">
        <f aca="false">IF($C65&gt;0,F28/$C65,0)</f>
        <v>1.01234002493448</v>
      </c>
      <c r="G65" s="39" t="n">
        <f aca="false">IF($C65&gt;0,G28/$C65,0)</f>
        <v>1.01234002493448</v>
      </c>
      <c r="H65" s="39" t="n">
        <f aca="false">IF($C65&gt;0,H28/$C65,0)</f>
        <v>1.01234002493448</v>
      </c>
      <c r="I65" s="39" t="n">
        <f aca="false">IF($C65&gt;0,I28/$C65,0)</f>
        <v>1.01234002493448</v>
      </c>
      <c r="J65" s="39" t="n">
        <f aca="false">IF($C65&gt;0,J28/$C65,0)</f>
        <v>0.514837713830157</v>
      </c>
      <c r="K65" s="39" t="n">
        <f aca="false">IF($C65&gt;0,K28/$C65,0)</f>
        <v>0.514837713830157</v>
      </c>
      <c r="L65" s="39" t="n">
        <f aca="false">IF($C65&gt;0,L28/$C65,0)</f>
        <v>0.514837713830157</v>
      </c>
      <c r="M65" s="39" t="n">
        <f aca="false">IF($C65&gt;0,M28/$C65,0)</f>
        <v>0.514837713830157</v>
      </c>
      <c r="N65" s="39" t="n">
        <f aca="false">IF($C65&gt;0,N28/$C65,0)</f>
        <v>0.497502311104326</v>
      </c>
      <c r="O65" s="39" t="n">
        <f aca="false">IF($C65&gt;0,O28/$C65,0)</f>
        <v>0.37686690583416</v>
      </c>
      <c r="P65" s="39" t="n">
        <f aca="false">IF($C65&gt;0,P28/$C65,0)</f>
        <v>0.373779779321341</v>
      </c>
      <c r="Q65" s="39" t="n">
        <f aca="false">IF($C65&gt;0,Q28/$C65,0)</f>
        <v>0.369267825187221</v>
      </c>
      <c r="R65" s="39" t="n">
        <f aca="false">IF($C65&gt;0,R28/$C65,0)</f>
        <v>0.365943227404185</v>
      </c>
      <c r="S65" s="39" t="n">
        <f aca="false">IF($C65&gt;0,S28/$C65,0)</f>
        <v>0.362143687080715</v>
      </c>
      <c r="T65" s="40" t="n">
        <f aca="false">SUM(E65:S65)</f>
        <v>9.46655471592499</v>
      </c>
    </row>
    <row r="66" customFormat="false" ht="15" hidden="false" customHeight="true" outlineLevel="0" collapsed="false">
      <c r="A66" s="13" t="str">
        <f aca="false">A29</f>
        <v>Moroe</v>
      </c>
      <c r="B66" s="13" t="str">
        <f aca="false">B29</f>
        <v>Village</v>
      </c>
      <c r="C66" s="38" t="n">
        <f aca="false">C29</f>
        <v>22</v>
      </c>
      <c r="E66" s="39" t="n">
        <f aca="false">IF($C66&gt;0,E29/$C66,0)</f>
        <v>1.45523878584332</v>
      </c>
      <c r="F66" s="39" t="n">
        <f aca="false">IF($C66&gt;0,F29/$C66,0)</f>
        <v>1.45523878584332</v>
      </c>
      <c r="G66" s="39" t="n">
        <f aca="false">IF($C66&gt;0,G29/$C66,0)</f>
        <v>1.45523878584332</v>
      </c>
      <c r="H66" s="39" t="n">
        <f aca="false">IF($C66&gt;0,H29/$C66,0)</f>
        <v>1.45523878584332</v>
      </c>
      <c r="I66" s="39" t="n">
        <f aca="false">IF($C66&gt;0,I29/$C66,0)</f>
        <v>1.45523878584332</v>
      </c>
      <c r="J66" s="39" t="n">
        <f aca="false">IF($C66&gt;0,J29/$C66,0)</f>
        <v>0.740079213630851</v>
      </c>
      <c r="K66" s="39" t="n">
        <f aca="false">IF($C66&gt;0,K29/$C66,0)</f>
        <v>0.740079213630851</v>
      </c>
      <c r="L66" s="39" t="n">
        <f aca="false">IF($C66&gt;0,L29/$C66,0)</f>
        <v>0.740079213630851</v>
      </c>
      <c r="M66" s="39" t="n">
        <f aca="false">IF($C66&gt;0,M29/$C66,0)</f>
        <v>0.740079213630851</v>
      </c>
      <c r="N66" s="39" t="n">
        <f aca="false">IF($C66&gt;0,N29/$C66,0)</f>
        <v>0.715159572212469</v>
      </c>
      <c r="O66" s="39" t="n">
        <f aca="false">IF($C66&gt;0,O29/$C66,0)</f>
        <v>0.541746177136605</v>
      </c>
      <c r="P66" s="39" t="n">
        <f aca="false">IF($C66&gt;0,P29/$C66,0)</f>
        <v>0.537308432774428</v>
      </c>
      <c r="Q66" s="39" t="n">
        <f aca="false">IF($C66&gt;0,Q29/$C66,0)</f>
        <v>0.53082249870663</v>
      </c>
      <c r="R66" s="39" t="n">
        <f aca="false">IF($C66&gt;0,R29/$C66,0)</f>
        <v>0.526043389393515</v>
      </c>
      <c r="S66" s="39" t="n">
        <f aca="false">IF($C66&gt;0,S29/$C66,0)</f>
        <v>0.520581550178528</v>
      </c>
      <c r="T66" s="40" t="n">
        <f aca="false">SUM(E66:S66)</f>
        <v>13.6081724041422</v>
      </c>
    </row>
    <row r="67" customFormat="false" ht="15" hidden="false" customHeight="true" outlineLevel="0" collapsed="false">
      <c r="A67" s="13" t="str">
        <f aca="false">A30</f>
        <v>Patrickswell</v>
      </c>
      <c r="B67" s="13" t="str">
        <f aca="false">B30</f>
        <v>Village</v>
      </c>
      <c r="C67" s="38" t="n">
        <f aca="false">C30</f>
        <v>25</v>
      </c>
      <c r="E67" s="39" t="n">
        <f aca="false">IF($C67&gt;0,E30/$C67,0)</f>
        <v>3.18164007836552</v>
      </c>
      <c r="F67" s="39" t="n">
        <f aca="false">IF($C67&gt;0,F30/$C67,0)</f>
        <v>3.18164007836552</v>
      </c>
      <c r="G67" s="39" t="n">
        <f aca="false">IF($C67&gt;0,G30/$C67,0)</f>
        <v>3.18164007836552</v>
      </c>
      <c r="H67" s="39" t="n">
        <f aca="false">IF($C67&gt;0,H30/$C67,0)</f>
        <v>3.18164007836552</v>
      </c>
      <c r="I67" s="39" t="n">
        <f aca="false">IF($C67&gt;0,I30/$C67,0)</f>
        <v>3.18164007836552</v>
      </c>
      <c r="J67" s="39" t="n">
        <f aca="false">IF($C67&gt;0,J30/$C67,0)</f>
        <v>1.61806138632335</v>
      </c>
      <c r="K67" s="39" t="n">
        <f aca="false">IF($C67&gt;0,K30/$C67,0)</f>
        <v>1.61806138632335</v>
      </c>
      <c r="L67" s="39" t="n">
        <f aca="false">IF($C67&gt;0,L30/$C67,0)</f>
        <v>1.61806138632335</v>
      </c>
      <c r="M67" s="39" t="n">
        <f aca="false">IF($C67&gt;0,M30/$C67,0)</f>
        <v>1.61806138632335</v>
      </c>
      <c r="N67" s="39" t="n">
        <f aca="false">IF($C67&gt;0,N30/$C67,0)</f>
        <v>1.56357869204217</v>
      </c>
      <c r="O67" s="39" t="n">
        <f aca="false">IF($C67&gt;0,O30/$C67,0)</f>
        <v>1.18443884690736</v>
      </c>
      <c r="P67" s="39" t="n">
        <f aca="false">IF($C67&gt;0,P30/$C67,0)</f>
        <v>1.17473644929564</v>
      </c>
      <c r="Q67" s="39" t="n">
        <f aca="false">IF($C67&gt;0,Q30/$C67,0)</f>
        <v>1.16055602201698</v>
      </c>
      <c r="R67" s="39" t="n">
        <f aca="false">IF($C67&gt;0,R30/$C67,0)</f>
        <v>1.15010728612744</v>
      </c>
      <c r="S67" s="39" t="n">
        <f aca="false">IF($C67&gt;0,S30/$C67,0)</f>
        <v>1.13816587368225</v>
      </c>
      <c r="T67" s="40" t="n">
        <f aca="false">SUM(E67:S67)</f>
        <v>29.7520291071928</v>
      </c>
    </row>
    <row r="68" customFormat="false" ht="15" hidden="false" customHeight="true" outlineLevel="0" collapsed="false">
      <c r="A68" s="13" t="str">
        <f aca="false">A31</f>
        <v>Rest of county</v>
      </c>
      <c r="B68" s="13" t="str">
        <f aca="false">B31</f>
        <v>Rest of county</v>
      </c>
      <c r="C68" s="38" t="n">
        <f aca="false">C31</f>
        <v>10.1</v>
      </c>
      <c r="E68" s="39" t="n">
        <f aca="false">IF($C68&gt;0,E31/$C68,0)</f>
        <v>41.2274401243651</v>
      </c>
      <c r="F68" s="39" t="n">
        <f aca="false">IF($C68&gt;0,F31/$C68,0)</f>
        <v>41.2274401243651</v>
      </c>
      <c r="G68" s="39" t="n">
        <f aca="false">IF($C68&gt;0,G31/$C68,0)</f>
        <v>41.2274401243651</v>
      </c>
      <c r="H68" s="39" t="n">
        <f aca="false">IF($C68&gt;0,H31/$C68,0)</f>
        <v>41.2274401243651</v>
      </c>
      <c r="I68" s="39" t="n">
        <f aca="false">IF($C68&gt;0,I31/$C68,0)</f>
        <v>41.2274401243651</v>
      </c>
      <c r="J68" s="39" t="n">
        <f aca="false">IF($C68&gt;0,J31/$C68,0)</f>
        <v>20.9667112806999</v>
      </c>
      <c r="K68" s="39" t="n">
        <f aca="false">IF($C68&gt;0,K31/$C68,0)</f>
        <v>20.9667112806999</v>
      </c>
      <c r="L68" s="39" t="n">
        <f aca="false">IF($C68&gt;0,L31/$C68,0)</f>
        <v>20.9667112806999</v>
      </c>
      <c r="M68" s="39" t="n">
        <f aca="false">IF($C68&gt;0,M31/$C68,0)</f>
        <v>20.9667112806999</v>
      </c>
      <c r="N68" s="39" t="n">
        <f aca="false">IF($C68&gt;0,N31/$C68,0)</f>
        <v>20.2607288436652</v>
      </c>
      <c r="O68" s="39" t="n">
        <f aca="false">IF($C68&gt;0,O31/$C68,0)</f>
        <v>15.3478647612872</v>
      </c>
      <c r="P68" s="39" t="n">
        <f aca="false">IF($C68&gt;0,P31/$C68,0)</f>
        <v>15.2221418615413</v>
      </c>
      <c r="Q68" s="39" t="n">
        <f aca="false">IF($C68&gt;0,Q31/$C68,0)</f>
        <v>15.0383930080666</v>
      </c>
      <c r="R68" s="39" t="n">
        <f aca="false">IF($C68&gt;0,R31/$C68,0)</f>
        <v>14.9029991160325</v>
      </c>
      <c r="S68" s="39" t="n">
        <f aca="false">IF($C68&gt;0,S31/$C68,0)</f>
        <v>14.7482632394222</v>
      </c>
      <c r="T68" s="40" t="n">
        <f aca="false">SUM(E68:S68)</f>
        <v>385.52443657464</v>
      </c>
    </row>
    <row r="69" customFormat="false" ht="15" hidden="false" customHeight="true" outlineLevel="0" collapsed="false">
      <c r="A69" s="24" t="s">
        <v>206</v>
      </c>
      <c r="E69" s="37" t="n">
        <f aca="false">SUM(E44:E68)</f>
        <v>137.147740715228</v>
      </c>
      <c r="F69" s="37" t="n">
        <f aca="false">SUM(F44:F68)</f>
        <v>137.147740715228</v>
      </c>
      <c r="G69" s="37" t="n">
        <f aca="false">SUM(G44:G68)</f>
        <v>137.147740715228</v>
      </c>
      <c r="H69" s="37" t="n">
        <f aca="false">SUM(H44:H68)</f>
        <v>137.147740715228</v>
      </c>
      <c r="I69" s="37" t="n">
        <f aca="false">SUM(I44:I68)</f>
        <v>137.147740715228</v>
      </c>
      <c r="J69" s="37" t="n">
        <f aca="false">SUM(J44:J68)</f>
        <v>69.7481355549177</v>
      </c>
      <c r="K69" s="37" t="n">
        <f aca="false">SUM(K44:K68)</f>
        <v>69.7481355549177</v>
      </c>
      <c r="L69" s="37" t="n">
        <f aca="false">SUM(L44:L68)</f>
        <v>69.7481355549177</v>
      </c>
      <c r="M69" s="37" t="n">
        <f aca="false">SUM(M44:M68)</f>
        <v>69.7481355549177</v>
      </c>
      <c r="N69" s="37" t="n">
        <f aca="false">SUM(N44:N68)</f>
        <v>67.3996051603103</v>
      </c>
      <c r="O69" s="37" t="n">
        <f aca="false">SUM(O44:O68)</f>
        <v>51.0564073457816</v>
      </c>
      <c r="P69" s="37" t="n">
        <f aca="false">SUM(P44:P68)</f>
        <v>50.638175905646</v>
      </c>
      <c r="Q69" s="37" t="n">
        <f aca="false">SUM(Q44:Q68)</f>
        <v>50.0269145700632</v>
      </c>
      <c r="R69" s="37" t="n">
        <f aca="false">SUM(R44:R68)</f>
        <v>49.5765114806865</v>
      </c>
      <c r="S69" s="37" t="n">
        <f aca="false">SUM(S44:S68)</f>
        <v>49.0617650928273</v>
      </c>
      <c r="T69" s="37" t="n">
        <f aca="false">SUM(T44:T68)</f>
        <v>1282.49062535113</v>
      </c>
    </row>
    <row r="71" customFormat="false" ht="15" hidden="false" customHeight="true" outlineLevel="0" collapsed="false">
      <c r="A71" s="3" t="s">
        <v>226</v>
      </c>
    </row>
    <row r="72" customFormat="false" ht="15" hidden="false" customHeight="true" outlineLevel="0" collapsed="false">
      <c r="A72" s="3" t="s">
        <v>227</v>
      </c>
    </row>
    <row r="73" customFormat="false" ht="15" hidden="false" customHeight="true" outlineLevel="0" collapsed="false">
      <c r="A73" s="3" t="s">
        <v>228</v>
      </c>
    </row>
    <row r="74" customFormat="false" ht="15" hidden="false" customHeight="true" outlineLevel="0" collapsed="false">
      <c r="A74" s="3" t="s">
        <v>229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4" min="3" style="0" width="11"/>
    <col collapsed="false" customWidth="true" hidden="false" outlineLevel="0" max="10" min="5" style="0" width="12"/>
    <col collapsed="false" customWidth="true" hidden="false" outlineLevel="0" max="11" min="11" style="0" width="13"/>
    <col collapsed="false" customWidth="true" hidden="false" outlineLevel="0" max="12" min="12" style="0" width="10"/>
    <col collapsed="false" customWidth="true" hidden="false" outlineLevel="0" max="13" min="13" style="0" width="13"/>
    <col collapsed="false" customWidth="true" hidden="false" outlineLevel="0" max="14" min="14" style="0" width="12"/>
    <col collapsed="false" customWidth="true" hidden="false" outlineLevel="0" max="17" min="15" style="0" width="13"/>
  </cols>
  <sheetData>
    <row r="1" customFormat="false" ht="19.7" hidden="false" customHeight="false" outlineLevel="0" collapsed="false">
      <c r="A1" s="44" t="s">
        <v>230</v>
      </c>
    </row>
    <row r="2" customFormat="false" ht="15" hidden="false" customHeight="false" outlineLevel="0" collapsed="false">
      <c r="A2" s="45" t="s">
        <v>231</v>
      </c>
    </row>
    <row r="4" customFormat="false" ht="15" hidden="false" customHeight="false" outlineLevel="0" collapsed="false">
      <c r="A4" s="18" t="s">
        <v>232</v>
      </c>
      <c r="C4" s="46" t="n">
        <v>0.4</v>
      </c>
      <c r="D4" s="45" t="s">
        <v>233</v>
      </c>
    </row>
    <row r="5" customFormat="false" ht="15" hidden="false" customHeight="false" outlineLevel="0" collapsed="false">
      <c r="D5" s="18" t="s">
        <v>234</v>
      </c>
      <c r="F5" s="18" t="s">
        <v>235</v>
      </c>
    </row>
    <row r="6" customFormat="false" ht="54" hidden="false" customHeight="true" outlineLevel="0" collapsed="false">
      <c r="A6" s="47" t="s">
        <v>132</v>
      </c>
      <c r="B6" s="47" t="s">
        <v>133</v>
      </c>
      <c r="C6" s="47" t="s">
        <v>236</v>
      </c>
      <c r="D6" s="47" t="s">
        <v>237</v>
      </c>
      <c r="E6" s="47" t="s">
        <v>238</v>
      </c>
      <c r="F6" s="47" t="s">
        <v>239</v>
      </c>
      <c r="G6" s="47" t="s">
        <v>240</v>
      </c>
      <c r="H6" s="47" t="s">
        <v>241</v>
      </c>
      <c r="I6" s="47" t="s">
        <v>242</v>
      </c>
      <c r="J6" s="47" t="s">
        <v>243</v>
      </c>
      <c r="K6" s="47" t="s">
        <v>244</v>
      </c>
      <c r="L6" s="47" t="s">
        <v>245</v>
      </c>
      <c r="M6" s="47" t="s">
        <v>246</v>
      </c>
      <c r="N6" s="47" t="s">
        <v>247</v>
      </c>
      <c r="O6" s="47" t="s">
        <v>248</v>
      </c>
      <c r="P6" s="47" t="s">
        <v>249</v>
      </c>
      <c r="Q6" s="47" t="s">
        <v>250</v>
      </c>
    </row>
    <row r="7" customFormat="false" ht="15" hidden="false" customHeight="false" outlineLevel="0" collapsed="false">
      <c r="A7" s="19" t="str">
        <f aca="false">'Land at Council density'!A7</f>
        <v>Ballinacurra</v>
      </c>
      <c r="B7" s="19" t="str">
        <f aca="false">'Land at Council density'!B7</f>
        <v>City neighbourhood</v>
      </c>
      <c r="C7" s="48" t="n">
        <f aca="false">'Land at Council density'!C7</f>
        <v>47.9989212513484</v>
      </c>
      <c r="D7" s="49" t="n">
        <f aca="false">'Land at Council density'!T7</f>
        <v>1208.55116597063</v>
      </c>
      <c r="E7" s="50" t="n">
        <f aca="false">'Land at Council density'!U7</f>
        <v>25.1787151557427</v>
      </c>
      <c r="F7" s="51" t="n">
        <v>277</v>
      </c>
      <c r="G7" s="52" t="n">
        <v>3.46</v>
      </c>
      <c r="H7" s="49" t="n">
        <f aca="false">G7*C7+Q7</f>
        <v>166.076267529666</v>
      </c>
      <c r="I7" s="49" t="n">
        <f aca="false">F7+H7</f>
        <v>443.076267529666</v>
      </c>
      <c r="J7" s="50" t="n">
        <f aca="false">IF(C7&gt;0,G7+F7/C7,0)</f>
        <v>9.23096302955388</v>
      </c>
      <c r="K7" s="53" t="n">
        <f aca="false">I7-D7</f>
        <v>-765.474898440964</v>
      </c>
      <c r="L7" s="19" t="str">
        <f aca="false">IF(K7&gt;=0,"Yes","No")</f>
        <v>No</v>
      </c>
      <c r="M7" s="54" t="n">
        <f aca="false">IF(C7&gt;0,MAX(D7-I7,0)/C7,0)</f>
        <v>15.9477521261889</v>
      </c>
      <c r="N7" s="49" t="n">
        <f aca="false">D7*(1+$C$4)</f>
        <v>1691.97163235888</v>
      </c>
      <c r="O7" s="54" t="n">
        <f aca="false">IF(C7&gt;0,MAX(N7-I7,0)/C7,0)</f>
        <v>26.019238188486</v>
      </c>
      <c r="P7" s="51" t="n">
        <v>153</v>
      </c>
      <c r="Q7" s="51" t="n">
        <v>0</v>
      </c>
    </row>
    <row r="8" customFormat="false" ht="15" hidden="false" customHeight="false" outlineLevel="0" collapsed="false">
      <c r="A8" s="19" t="str">
        <f aca="false">'Land at Council density'!A8</f>
        <v>Caherdavin</v>
      </c>
      <c r="B8" s="19" t="str">
        <f aca="false">'Land at Council density'!B8</f>
        <v>City neighbourhood</v>
      </c>
      <c r="C8" s="48" t="n">
        <f aca="false">'Land at Council density'!C8</f>
        <v>43.1187621666718</v>
      </c>
      <c r="D8" s="49" t="n">
        <f aca="false">'Land at Council density'!T8</f>
        <v>4911.98819059752</v>
      </c>
      <c r="E8" s="50" t="n">
        <f aca="false">'Land at Council density'!U8</f>
        <v>113.917653099842</v>
      </c>
      <c r="F8" s="51" t="n">
        <v>1098</v>
      </c>
      <c r="G8" s="52" t="n">
        <v>22.76</v>
      </c>
      <c r="H8" s="49" t="n">
        <f aca="false">G8*C8+Q8</f>
        <v>981.383026913451</v>
      </c>
      <c r="I8" s="49" t="n">
        <f aca="false">F8+H8</f>
        <v>2079.38302691345</v>
      </c>
      <c r="J8" s="50" t="n">
        <f aca="false">IF(C8&gt;0,G8+F8/C8,0)</f>
        <v>48.2245528959244</v>
      </c>
      <c r="K8" s="53" t="n">
        <f aca="false">I8-D8</f>
        <v>-2832.60516368407</v>
      </c>
      <c r="L8" s="19" t="str">
        <f aca="false">IF(K8&gt;=0,"Yes","No")</f>
        <v>No</v>
      </c>
      <c r="M8" s="54" t="n">
        <f aca="false">IF(C8&gt;0,MAX(D8-I8,0)/C8,0)</f>
        <v>65.6931002039177</v>
      </c>
      <c r="N8" s="49" t="n">
        <f aca="false">D8*(1+$C$4)</f>
        <v>6876.78346683653</v>
      </c>
      <c r="O8" s="54" t="n">
        <f aca="false">IF(C8&gt;0,MAX(N8-I8,0)/C8,0)</f>
        <v>111.260161443855</v>
      </c>
      <c r="P8" s="51" t="n">
        <v>985</v>
      </c>
      <c r="Q8" s="51" t="n">
        <v>0</v>
      </c>
    </row>
    <row r="9" customFormat="false" ht="15" hidden="false" customHeight="false" outlineLevel="0" collapsed="false">
      <c r="A9" s="19" t="str">
        <f aca="false">'Land at Council density'!A9</f>
        <v>Castletroy/Annacotty</v>
      </c>
      <c r="B9" s="19" t="str">
        <f aca="false">'Land at Council density'!B9</f>
        <v>City neighbourhood</v>
      </c>
      <c r="C9" s="48" t="n">
        <f aca="false">'Land at Council density'!C9</f>
        <v>38.6847099222845</v>
      </c>
      <c r="D9" s="49" t="n">
        <f aca="false">'Land at Council density'!T9</f>
        <v>5827.67469014651</v>
      </c>
      <c r="E9" s="50" t="n">
        <f aca="false">'Land at Council density'!U9</f>
        <v>150.645428177024</v>
      </c>
      <c r="F9" s="51" t="n">
        <v>2026</v>
      </c>
      <c r="G9" s="52" t="n">
        <v>29.11</v>
      </c>
      <c r="H9" s="49" t="n">
        <f aca="false">G9*C9+Q9</f>
        <v>1126.1119058377</v>
      </c>
      <c r="I9" s="49" t="n">
        <f aca="false">F9+H9</f>
        <v>3152.1119058377</v>
      </c>
      <c r="J9" s="50" t="n">
        <f aca="false">IF(C9&gt;0,G9+F9/C9,0)</f>
        <v>81.4821130149386</v>
      </c>
      <c r="K9" s="53" t="n">
        <f aca="false">I9-D9</f>
        <v>-2675.56278430881</v>
      </c>
      <c r="L9" s="19" t="str">
        <f aca="false">IF(K9&gt;=0,"Yes","No")</f>
        <v>No</v>
      </c>
      <c r="M9" s="54" t="n">
        <f aca="false">IF(C9&gt;0,MAX(D9-I9,0)/C9,0)</f>
        <v>69.1633151620853</v>
      </c>
      <c r="N9" s="49" t="n">
        <f aca="false">D9*(1+$C$4)</f>
        <v>8158.74456620511</v>
      </c>
      <c r="O9" s="54" t="n">
        <f aca="false">IF(C9&gt;0,MAX(N9-I9,0)/C9,0)</f>
        <v>129.421486432895</v>
      </c>
      <c r="P9" s="51" t="n">
        <v>1193</v>
      </c>
      <c r="Q9" s="51" t="n">
        <v>0</v>
      </c>
    </row>
    <row r="10" customFormat="false" ht="15" hidden="false" customHeight="false" outlineLevel="0" collapsed="false">
      <c r="A10" s="19" t="str">
        <f aca="false">'Land at Council density'!A10</f>
        <v>City Centre</v>
      </c>
      <c r="B10" s="19" t="str">
        <f aca="false">'Land at Council density'!B10</f>
        <v>City neighbourhood</v>
      </c>
      <c r="C10" s="48" t="n">
        <f aca="false">'Land at Council density'!C10</f>
        <v>99.993621353745</v>
      </c>
      <c r="D10" s="49" t="n">
        <f aca="false">'Land at Council density'!T10</f>
        <v>5062.29585965892</v>
      </c>
      <c r="E10" s="50" t="n">
        <f aca="false">'Land at Council density'!U10</f>
        <v>50.6261878620253</v>
      </c>
      <c r="F10" s="51" t="n">
        <v>826</v>
      </c>
      <c r="G10" s="52" t="n">
        <v>8.71</v>
      </c>
      <c r="H10" s="49" t="n">
        <f aca="false">G10*C10+Q10</f>
        <v>3359.94444199112</v>
      </c>
      <c r="I10" s="49" t="n">
        <f aca="false">F10+H10</f>
        <v>4185.94444199112</v>
      </c>
      <c r="J10" s="50" t="n">
        <f aca="false">IF(C10&gt;0,G10+F10/C10,0)</f>
        <v>16.9705269097904</v>
      </c>
      <c r="K10" s="53" t="n">
        <f aca="false">I10-D10</f>
        <v>-876.351417667802</v>
      </c>
      <c r="L10" s="19" t="str">
        <f aca="false">IF(K10&gt;=0,"Yes","No")</f>
        <v>No</v>
      </c>
      <c r="M10" s="54" t="n">
        <f aca="false">IF(C10&gt;0,MAX(D10-I10,0)/C10,0)</f>
        <v>8.76407320590536</v>
      </c>
      <c r="N10" s="49" t="n">
        <f aca="false">D10*(1+$C$4)</f>
        <v>7087.21420352249</v>
      </c>
      <c r="O10" s="54" t="n">
        <f aca="false">IF(C10&gt;0,MAX(N10-I10,0)/C10,0)</f>
        <v>29.0145483507155</v>
      </c>
      <c r="P10" s="51" t="n">
        <v>3412</v>
      </c>
      <c r="Q10" s="51" t="n">
        <v>2489</v>
      </c>
    </row>
    <row r="11" customFormat="false" ht="15" hidden="false" customHeight="false" outlineLevel="0" collapsed="false">
      <c r="A11" s="19" t="str">
        <f aca="false">'Land at Council density'!A11</f>
        <v>Corbally/Grove Island</v>
      </c>
      <c r="B11" s="19" t="str">
        <f aca="false">'Land at Council density'!B11</f>
        <v>City neighbourhood</v>
      </c>
      <c r="C11" s="48" t="n">
        <f aca="false">'Land at Council density'!C11</f>
        <v>42.0121983279878</v>
      </c>
      <c r="D11" s="49" t="n">
        <f aca="false">'Land at Council density'!T11</f>
        <v>1280.52168890979</v>
      </c>
      <c r="E11" s="50" t="n">
        <f aca="false">'Land at Council density'!U11</f>
        <v>30.4797592097609</v>
      </c>
      <c r="F11" s="51" t="n">
        <v>66</v>
      </c>
      <c r="G11" s="52" t="n">
        <v>15.68</v>
      </c>
      <c r="H11" s="49" t="n">
        <f aca="false">G11*C11+Q11</f>
        <v>658.751269782849</v>
      </c>
      <c r="I11" s="49" t="n">
        <f aca="false">F11+H11</f>
        <v>724.751269782849</v>
      </c>
      <c r="J11" s="50" t="n">
        <f aca="false">IF(C11&gt;0,G11+F11/C11,0)</f>
        <v>17.2509723039185</v>
      </c>
      <c r="K11" s="53" t="n">
        <f aca="false">I11-D11</f>
        <v>-555.770419126938</v>
      </c>
      <c r="L11" s="19" t="str">
        <f aca="false">IF(K11&gt;=0,"Yes","No")</f>
        <v>No</v>
      </c>
      <c r="M11" s="54" t="n">
        <f aca="false">IF(C11&gt;0,MAX(D11-I11,0)/C11,0)</f>
        <v>13.2287869058424</v>
      </c>
      <c r="N11" s="49" t="n">
        <f aca="false">D11*(1+$C$4)</f>
        <v>1792.7303644737</v>
      </c>
      <c r="O11" s="54" t="n">
        <f aca="false">IF(C11&gt;0,MAX(N11-I11,0)/C11,0)</f>
        <v>25.4206905897467</v>
      </c>
      <c r="P11" s="51" t="n">
        <v>605</v>
      </c>
      <c r="Q11" s="51" t="n">
        <v>0</v>
      </c>
    </row>
    <row r="12" customFormat="false" ht="15" hidden="false" customHeight="false" outlineLevel="0" collapsed="false">
      <c r="A12" s="19" t="str">
        <f aca="false">'Land at Council density'!A12</f>
        <v>Dooradoyle</v>
      </c>
      <c r="B12" s="19" t="str">
        <f aca="false">'Land at Council density'!B12</f>
        <v>City neighbourhood</v>
      </c>
      <c r="C12" s="48" t="n">
        <f aca="false">'Land at Council density'!C12</f>
        <v>35.7875115598027</v>
      </c>
      <c r="D12" s="49" t="n">
        <f aca="false">'Land at Council density'!T12</f>
        <v>5460.07140374958</v>
      </c>
      <c r="E12" s="50" t="n">
        <f aca="false">'Land at Council density'!U12</f>
        <v>152.569183096889</v>
      </c>
      <c r="F12" s="51" t="n">
        <v>1643</v>
      </c>
      <c r="G12" s="52" t="n">
        <v>60.92</v>
      </c>
      <c r="H12" s="49" t="n">
        <f aca="false">G12*C12+Q12</f>
        <v>2180.17520422318</v>
      </c>
      <c r="I12" s="49" t="n">
        <f aca="false">F12+H12</f>
        <v>3823.17520422318</v>
      </c>
      <c r="J12" s="50" t="n">
        <f aca="false">IF(C12&gt;0,G12+F12/C12,0)</f>
        <v>106.829869906838</v>
      </c>
      <c r="K12" s="53" t="n">
        <f aca="false">I12-D12</f>
        <v>-1636.8961995264</v>
      </c>
      <c r="L12" s="19" t="str">
        <f aca="false">IF(K12&gt;=0,"Yes","No")</f>
        <v>No</v>
      </c>
      <c r="M12" s="54" t="n">
        <f aca="false">IF(C12&gt;0,MAX(D12-I12,0)/C12,0)</f>
        <v>45.7393131900515</v>
      </c>
      <c r="N12" s="49" t="n">
        <f aca="false">D12*(1+$C$4)</f>
        <v>7644.09996524942</v>
      </c>
      <c r="O12" s="54" t="n">
        <f aca="false">IF(C12&gt;0,MAX(N12-I12,0)/C12,0)</f>
        <v>106.766986428807</v>
      </c>
      <c r="P12" s="51" t="n">
        <v>2811</v>
      </c>
      <c r="Q12" s="51" t="n">
        <v>0</v>
      </c>
    </row>
    <row r="13" customFormat="false" ht="15" hidden="false" customHeight="false" outlineLevel="0" collapsed="false">
      <c r="A13" s="19" t="str">
        <f aca="false">'Land at Council density'!A13</f>
        <v>Kings Island</v>
      </c>
      <c r="B13" s="19" t="str">
        <f aca="false">'Land at Council density'!B13</f>
        <v>City neighbourhood</v>
      </c>
      <c r="C13" s="48" t="n">
        <f aca="false">'Land at Council density'!C13</f>
        <v>50</v>
      </c>
      <c r="D13" s="49" t="n">
        <f aca="false">'Land at Council density'!T13</f>
        <v>633.34060186459</v>
      </c>
      <c r="E13" s="50" t="n">
        <f aca="false">'Land at Council density'!U13</f>
        <v>12.6668120372918</v>
      </c>
      <c r="F13" s="51" t="n">
        <v>50</v>
      </c>
      <c r="G13" s="52" t="n">
        <v>0.28</v>
      </c>
      <c r="H13" s="49" t="n">
        <f aca="false">G13*C13+Q13</f>
        <v>14</v>
      </c>
      <c r="I13" s="49" t="n">
        <f aca="false">F13+H13</f>
        <v>64</v>
      </c>
      <c r="J13" s="50" t="n">
        <f aca="false">IF(C13&gt;0,G13+F13/C13,0)</f>
        <v>1.28</v>
      </c>
      <c r="K13" s="53" t="n">
        <f aca="false">I13-D13</f>
        <v>-569.34060186459</v>
      </c>
      <c r="L13" s="19" t="str">
        <f aca="false">IF(K13&gt;=0,"Yes","No")</f>
        <v>No</v>
      </c>
      <c r="M13" s="54" t="n">
        <f aca="false">IF(C13&gt;0,MAX(D13-I13,0)/C13,0)</f>
        <v>11.3868120372918</v>
      </c>
      <c r="N13" s="49" t="n">
        <f aca="false">D13*(1+$C$4)</f>
        <v>886.676842610426</v>
      </c>
      <c r="O13" s="54" t="n">
        <f aca="false">IF(C13&gt;0,MAX(N13-I13,0)/C13,0)</f>
        <v>16.4535368522085</v>
      </c>
      <c r="P13" s="51" t="n">
        <v>25</v>
      </c>
      <c r="Q13" s="51" t="n">
        <v>0</v>
      </c>
    </row>
    <row r="14" customFormat="false" ht="15" hidden="false" customHeight="false" outlineLevel="0" collapsed="false">
      <c r="A14" s="19" t="str">
        <f aca="false">'Land at Council density'!A14</f>
        <v>Singland/Garryowen</v>
      </c>
      <c r="B14" s="19" t="str">
        <f aca="false">'Land at Council density'!B14</f>
        <v>City neighbourhood</v>
      </c>
      <c r="C14" s="48" t="n">
        <f aca="false">'Land at Council density'!C14</f>
        <v>48.9511823035851</v>
      </c>
      <c r="D14" s="49" t="n">
        <f aca="false">'Land at Council density'!T14</f>
        <v>3147.3263300701</v>
      </c>
      <c r="E14" s="50" t="n">
        <f aca="false">'Land at Council density'!U14</f>
        <v>64.2952055897453</v>
      </c>
      <c r="F14" s="51" t="n">
        <v>217</v>
      </c>
      <c r="G14" s="52" t="n">
        <v>11.75</v>
      </c>
      <c r="H14" s="49" t="n">
        <f aca="false">G14*C14+Q14</f>
        <v>575.176392067124</v>
      </c>
      <c r="I14" s="49" t="n">
        <f aca="false">F14+H14</f>
        <v>792.176392067124</v>
      </c>
      <c r="J14" s="50" t="n">
        <f aca="false">IF(C14&gt;0,G14+F14/C14,0)</f>
        <v>16.1829879236463</v>
      </c>
      <c r="K14" s="53" t="n">
        <f aca="false">I14-D14</f>
        <v>-2355.14993800298</v>
      </c>
      <c r="L14" s="19" t="str">
        <f aca="false">IF(K14&gt;=0,"Yes","No")</f>
        <v>No</v>
      </c>
      <c r="M14" s="54" t="n">
        <f aca="false">IF(C14&gt;0,MAX(D14-I14,0)/C14,0)</f>
        <v>48.112217666099</v>
      </c>
      <c r="N14" s="49" t="n">
        <f aca="false">D14*(1+$C$4)</f>
        <v>4406.25686209815</v>
      </c>
      <c r="O14" s="54" t="n">
        <f aca="false">IF(C14&gt;0,MAX(N14-I14,0)/C14,0)</f>
        <v>73.8302999019972</v>
      </c>
      <c r="P14" s="51" t="n">
        <v>517</v>
      </c>
      <c r="Q14" s="51" t="n">
        <v>0</v>
      </c>
    </row>
    <row r="15" customFormat="false" ht="15" hidden="false" customHeight="false" outlineLevel="0" collapsed="false">
      <c r="A15" s="19" t="str">
        <f aca="false">'Land at Council density'!A15</f>
        <v>Southhill</v>
      </c>
      <c r="B15" s="19" t="str">
        <f aca="false">'Land at Council density'!B15</f>
        <v>City neighbourhood</v>
      </c>
      <c r="C15" s="48" t="n">
        <f aca="false">'Land at Council density'!C15</f>
        <v>48.9505676680398</v>
      </c>
      <c r="D15" s="49" t="n">
        <f aca="false">'Land at Council density'!T15</f>
        <v>1725.63169231812</v>
      </c>
      <c r="E15" s="50" t="n">
        <f aca="false">'Land at Council density'!U15</f>
        <v>35.2525368862024</v>
      </c>
      <c r="F15" s="51" t="n">
        <v>462</v>
      </c>
      <c r="G15" s="52" t="n">
        <v>15.11</v>
      </c>
      <c r="H15" s="49" t="n">
        <f aca="false">G15*C15+Q15</f>
        <v>739.643077464081</v>
      </c>
      <c r="I15" s="49" t="n">
        <f aca="false">F15+H15</f>
        <v>1201.64307746408</v>
      </c>
      <c r="J15" s="50" t="n">
        <f aca="false">IF(C15&gt;0,G15+F15/C15,0)</f>
        <v>24.5480927946142</v>
      </c>
      <c r="K15" s="53" t="n">
        <f aca="false">I15-D15</f>
        <v>-523.988614854035</v>
      </c>
      <c r="L15" s="19" t="str">
        <f aca="false">IF(K15&gt;=0,"Yes","No")</f>
        <v>No</v>
      </c>
      <c r="M15" s="54" t="n">
        <f aca="false">IF(C15&gt;0,MAX(D15-I15,0)/C15,0)</f>
        <v>10.7044440915882</v>
      </c>
      <c r="N15" s="49" t="n">
        <f aca="false">D15*(1+$C$4)</f>
        <v>2415.88436924536</v>
      </c>
      <c r="O15" s="54" t="n">
        <f aca="false">IF(C15&gt;0,MAX(N15-I15,0)/C15,0)</f>
        <v>24.8054588460691</v>
      </c>
      <c r="P15" s="51" t="n">
        <v>699</v>
      </c>
      <c r="Q15" s="51" t="n">
        <v>0</v>
      </c>
    </row>
    <row r="16" customFormat="false" ht="15" hidden="false" customHeight="false" outlineLevel="0" collapsed="false">
      <c r="A16" s="19" t="str">
        <f aca="false">'Land at Council density'!A16</f>
        <v>Abbeyfeale</v>
      </c>
      <c r="B16" s="19" t="str">
        <f aca="false">'Land at Council density'!B16</f>
        <v>Key town</v>
      </c>
      <c r="C16" s="48" t="n">
        <f aca="false">'Land at Council density'!C16</f>
        <v>25</v>
      </c>
      <c r="D16" s="49" t="n">
        <f aca="false">'Land at Council density'!T16</f>
        <v>539.25552756787</v>
      </c>
      <c r="E16" s="50" t="n">
        <f aca="false">'Land at Council density'!U16</f>
        <v>21.5702211027148</v>
      </c>
      <c r="F16" s="51" t="n">
        <v>87</v>
      </c>
      <c r="G16" s="52" t="n">
        <v>10.8</v>
      </c>
      <c r="H16" s="49" t="n">
        <f aca="false">G16*C16+Q16</f>
        <v>270</v>
      </c>
      <c r="I16" s="49" t="n">
        <f aca="false">F16+H16</f>
        <v>357</v>
      </c>
      <c r="J16" s="50" t="n">
        <f aca="false">IF(C16&gt;0,G16+F16/C16,0)</f>
        <v>14.28</v>
      </c>
      <c r="K16" s="53" t="n">
        <f aca="false">I16-D16</f>
        <v>-182.25552756787</v>
      </c>
      <c r="L16" s="19" t="str">
        <f aca="false">IF(K16&gt;=0,"Yes","No")</f>
        <v>No</v>
      </c>
      <c r="M16" s="54" t="n">
        <f aca="false">IF(C16&gt;0,MAX(D16-I16,0)/C16,0)</f>
        <v>7.29022110271481</v>
      </c>
      <c r="N16" s="49" t="n">
        <f aca="false">D16*(1+$C$4)</f>
        <v>754.957738595018</v>
      </c>
      <c r="O16" s="54" t="n">
        <f aca="false">IF(C16&gt;0,MAX(N16-I16,0)/C16,0)</f>
        <v>15.9183095438007</v>
      </c>
      <c r="P16" s="51" t="n">
        <v>215</v>
      </c>
      <c r="Q16" s="51" t="n">
        <v>0</v>
      </c>
    </row>
    <row r="17" customFormat="false" ht="15" hidden="false" customHeight="false" outlineLevel="0" collapsed="false">
      <c r="A17" s="19" t="str">
        <f aca="false">'Land at Council density'!A17</f>
        <v>Caherconlish</v>
      </c>
      <c r="B17" s="19" t="str">
        <f aca="false">'Land at Council density'!B17</f>
        <v>Key town</v>
      </c>
      <c r="C17" s="48" t="n">
        <f aca="false">'Land at Council density'!C17</f>
        <v>25</v>
      </c>
      <c r="D17" s="49" t="n">
        <f aca="false">'Land at Council density'!T17</f>
        <v>319.834312902323</v>
      </c>
      <c r="E17" s="50" t="n">
        <f aca="false">'Land at Council density'!U17</f>
        <v>12.7933725160929</v>
      </c>
      <c r="F17" s="51" t="n">
        <v>0</v>
      </c>
      <c r="G17" s="52" t="n">
        <v>14.82</v>
      </c>
      <c r="H17" s="49" t="n">
        <f aca="false">G17*C17+Q17</f>
        <v>370.5</v>
      </c>
      <c r="I17" s="49" t="n">
        <f aca="false">F17+H17</f>
        <v>370.5</v>
      </c>
      <c r="J17" s="50" t="n">
        <f aca="false">IF(C17&gt;0,G17+F17/C17,0)</f>
        <v>14.82</v>
      </c>
      <c r="K17" s="53" t="n">
        <f aca="false">I17-D17</f>
        <v>50.665687097677</v>
      </c>
      <c r="L17" s="19" t="str">
        <f aca="false">IF(K17&gt;=0,"Yes","No")</f>
        <v>Yes</v>
      </c>
      <c r="M17" s="54" t="n">
        <f aca="false">IF(C17&gt;0,MAX(D17-I17,0)/C17,0)</f>
        <v>0</v>
      </c>
      <c r="N17" s="49" t="n">
        <f aca="false">D17*(1+$C$4)</f>
        <v>447.768038063252</v>
      </c>
      <c r="O17" s="54" t="n">
        <f aca="false">IF(C17&gt;0,MAX(N17-I17,0)/C17,0)</f>
        <v>3.09072152253009</v>
      </c>
      <c r="P17" s="51" t="n">
        <v>291</v>
      </c>
      <c r="Q17" s="51" t="n">
        <v>0</v>
      </c>
    </row>
    <row r="18" customFormat="false" ht="15" hidden="false" customHeight="false" outlineLevel="0" collapsed="false">
      <c r="A18" s="19" t="str">
        <f aca="false">'Land at Council density'!A18</f>
        <v>Castleconnell</v>
      </c>
      <c r="B18" s="19" t="str">
        <f aca="false">'Land at Council density'!B18</f>
        <v>Key town</v>
      </c>
      <c r="C18" s="48" t="n">
        <f aca="false">'Land at Council density'!C18</f>
        <v>35</v>
      </c>
      <c r="D18" s="49" t="n">
        <f aca="false">'Land at Council density'!T18</f>
        <v>524.379513014274</v>
      </c>
      <c r="E18" s="50" t="n">
        <f aca="false">'Land at Council density'!U18</f>
        <v>14.9822718004078</v>
      </c>
      <c r="F18" s="51" t="n">
        <v>88</v>
      </c>
      <c r="G18" s="52" t="n">
        <v>21.11</v>
      </c>
      <c r="H18" s="49" t="n">
        <f aca="false">G18*C18+Q18</f>
        <v>738.85</v>
      </c>
      <c r="I18" s="49" t="n">
        <f aca="false">F18+H18</f>
        <v>826.85</v>
      </c>
      <c r="J18" s="50" t="n">
        <f aca="false">IF(C18&gt;0,G18+F18/C18,0)</f>
        <v>23.6242857142857</v>
      </c>
      <c r="K18" s="53" t="n">
        <f aca="false">I18-D18</f>
        <v>302.470486985726</v>
      </c>
      <c r="L18" s="19" t="str">
        <f aca="false">IF(K18&gt;=0,"Yes","No")</f>
        <v>Yes</v>
      </c>
      <c r="M18" s="54" t="n">
        <f aca="false">IF(C18&gt;0,MAX(D18-I18,0)/C18,0)</f>
        <v>0</v>
      </c>
      <c r="N18" s="49" t="n">
        <f aca="false">D18*(1+$C$4)</f>
        <v>734.131318219983</v>
      </c>
      <c r="O18" s="54" t="n">
        <f aca="false">IF(C18&gt;0,MAX(N18-I18,0)/C18,0)</f>
        <v>0</v>
      </c>
      <c r="P18" s="51" t="n">
        <v>382</v>
      </c>
      <c r="Q18" s="51" t="n">
        <v>0</v>
      </c>
    </row>
    <row r="19" customFormat="false" ht="15" hidden="false" customHeight="false" outlineLevel="0" collapsed="false">
      <c r="A19" s="19" t="str">
        <f aca="false">'Land at Council density'!A19</f>
        <v>Kilmallock</v>
      </c>
      <c r="B19" s="19" t="str">
        <f aca="false">'Land at Council density'!B19</f>
        <v>Key town</v>
      </c>
      <c r="C19" s="48" t="n">
        <f aca="false">'Land at Council density'!C19</f>
        <v>25</v>
      </c>
      <c r="D19" s="49" t="n">
        <f aca="false">'Land at Council density'!T19</f>
        <v>414.6689056815</v>
      </c>
      <c r="E19" s="50" t="n">
        <f aca="false">'Land at Council density'!U19</f>
        <v>16.58675622726</v>
      </c>
      <c r="F19" s="51" t="n">
        <v>70</v>
      </c>
      <c r="G19" s="52" t="n">
        <v>38.51</v>
      </c>
      <c r="H19" s="49" t="n">
        <f aca="false">G19*C19+Q19</f>
        <v>962.75</v>
      </c>
      <c r="I19" s="49" t="n">
        <f aca="false">F19+H19</f>
        <v>1032.75</v>
      </c>
      <c r="J19" s="50" t="n">
        <f aca="false">IF(C19&gt;0,G19+F19/C19,0)</f>
        <v>41.31</v>
      </c>
      <c r="K19" s="53" t="n">
        <f aca="false">I19-D19</f>
        <v>618.0810943185</v>
      </c>
      <c r="L19" s="19" t="str">
        <f aca="false">IF(K19&gt;=0,"Yes","No")</f>
        <v>Yes</v>
      </c>
      <c r="M19" s="54" t="n">
        <f aca="false">IF(C19&gt;0,MAX(D19-I19,0)/C19,0)</f>
        <v>0</v>
      </c>
      <c r="N19" s="49" t="n">
        <f aca="false">D19*(1+$C$4)</f>
        <v>580.5364679541</v>
      </c>
      <c r="O19" s="54" t="n">
        <f aca="false">IF(C19&gt;0,MAX(N19-I19,0)/C19,0)</f>
        <v>0</v>
      </c>
      <c r="P19" s="51" t="n">
        <v>757</v>
      </c>
      <c r="Q19" s="51" t="n">
        <v>0</v>
      </c>
    </row>
    <row r="20" customFormat="false" ht="15" hidden="false" customHeight="false" outlineLevel="0" collapsed="false">
      <c r="A20" s="19" t="str">
        <f aca="false">'Land at Council density'!A20</f>
        <v>Newcastle West</v>
      </c>
      <c r="B20" s="19" t="str">
        <f aca="false">'Land at Council density'!B20</f>
        <v>Key town</v>
      </c>
      <c r="C20" s="48" t="n">
        <f aca="false">'Land at Council density'!C20</f>
        <v>30</v>
      </c>
      <c r="D20" s="49" t="n">
        <f aca="false">'Land at Council density'!T20</f>
        <v>1805.57626644277</v>
      </c>
      <c r="E20" s="50" t="n">
        <f aca="false">'Land at Council density'!U20</f>
        <v>60.1858755480922</v>
      </c>
      <c r="F20" s="51" t="n">
        <v>244</v>
      </c>
      <c r="G20" s="52" t="n">
        <v>88.22</v>
      </c>
      <c r="H20" s="49" t="n">
        <f aca="false">G20*C20+Q20</f>
        <v>2646.6</v>
      </c>
      <c r="I20" s="49" t="n">
        <f aca="false">F20+H20</f>
        <v>2890.6</v>
      </c>
      <c r="J20" s="50" t="n">
        <f aca="false">IF(C20&gt;0,G20+F20/C20,0)</f>
        <v>96.3533333333333</v>
      </c>
      <c r="K20" s="53" t="n">
        <f aca="false">I20-D20</f>
        <v>1085.02373355723</v>
      </c>
      <c r="L20" s="19" t="str">
        <f aca="false">IF(K20&gt;=0,"Yes","No")</f>
        <v>Yes</v>
      </c>
      <c r="M20" s="54" t="n">
        <f aca="false">IF(C20&gt;0,MAX(D20-I20,0)/C20,0)</f>
        <v>0</v>
      </c>
      <c r="N20" s="49" t="n">
        <f aca="false">D20*(1+$C$4)</f>
        <v>2527.80677301987</v>
      </c>
      <c r="O20" s="54" t="n">
        <f aca="false">IF(C20&gt;0,MAX(N20-I20,0)/C20,0)</f>
        <v>0</v>
      </c>
      <c r="P20" s="51" t="n">
        <v>2900</v>
      </c>
      <c r="Q20" s="51" t="n">
        <v>0</v>
      </c>
    </row>
    <row r="21" customFormat="false" ht="15" hidden="false" customHeight="false" outlineLevel="0" collapsed="false">
      <c r="A21" s="19" t="str">
        <f aca="false">'Land at Council density'!A21</f>
        <v>Rathkeale</v>
      </c>
      <c r="B21" s="19" t="str">
        <f aca="false">'Land at Council density'!B21</f>
        <v>Key town</v>
      </c>
      <c r="C21" s="48" t="n">
        <f aca="false">'Land at Council density'!C21</f>
        <v>25</v>
      </c>
      <c r="D21" s="49" t="n">
        <f aca="false">'Land at Council density'!T21</f>
        <v>375.61936747831</v>
      </c>
      <c r="E21" s="50" t="n">
        <f aca="false">'Land at Council density'!U21</f>
        <v>15.0247746991324</v>
      </c>
      <c r="F21" s="51" t="n">
        <v>11</v>
      </c>
      <c r="G21" s="52" t="n">
        <v>54.67</v>
      </c>
      <c r="H21" s="49" t="n">
        <f aca="false">G21*C21+Q21</f>
        <v>1366.75</v>
      </c>
      <c r="I21" s="49" t="n">
        <f aca="false">F21+H21</f>
        <v>1377.75</v>
      </c>
      <c r="J21" s="50" t="n">
        <f aca="false">IF(C21&gt;0,G21+F21/C21,0)</f>
        <v>55.11</v>
      </c>
      <c r="K21" s="53" t="n">
        <f aca="false">I21-D21</f>
        <v>1002.13063252169</v>
      </c>
      <c r="L21" s="19" t="str">
        <f aca="false">IF(K21&gt;=0,"Yes","No")</f>
        <v>Yes</v>
      </c>
      <c r="M21" s="54" t="n">
        <f aca="false">IF(C21&gt;0,MAX(D21-I21,0)/C21,0)</f>
        <v>0</v>
      </c>
      <c r="N21" s="49" t="n">
        <f aca="false">D21*(1+$C$4)</f>
        <v>525.867114469633</v>
      </c>
      <c r="O21" s="54" t="n">
        <f aca="false">IF(C21&gt;0,MAX(N21-I21,0)/C21,0)</f>
        <v>0</v>
      </c>
      <c r="P21" s="51" t="n">
        <v>1184</v>
      </c>
      <c r="Q21" s="51" t="n">
        <v>0</v>
      </c>
    </row>
    <row r="22" customFormat="false" ht="15" hidden="false" customHeight="false" outlineLevel="0" collapsed="false">
      <c r="A22" s="19" t="str">
        <f aca="false">'Land at Council density'!A22</f>
        <v>Adare</v>
      </c>
      <c r="B22" s="19" t="str">
        <f aca="false">'Land at Council density'!B22</f>
        <v>Village</v>
      </c>
      <c r="C22" s="48" t="n">
        <f aca="false">'Land at Council density'!C22</f>
        <v>22</v>
      </c>
      <c r="D22" s="49" t="n">
        <f aca="false">'Land at Council density'!T22</f>
        <v>371.90036383991</v>
      </c>
      <c r="E22" s="50" t="n">
        <f aca="false">'Land at Council density'!U22</f>
        <v>16.9045619927232</v>
      </c>
      <c r="F22" s="51" t="n">
        <v>224</v>
      </c>
      <c r="G22" s="52" t="n">
        <v>9.71</v>
      </c>
      <c r="H22" s="49" t="n">
        <f aca="false">G22*C22+Q22</f>
        <v>213.62</v>
      </c>
      <c r="I22" s="49" t="n">
        <f aca="false">F22+H22</f>
        <v>437.62</v>
      </c>
      <c r="J22" s="50" t="n">
        <f aca="false">IF(C22&gt;0,G22+F22/C22,0)</f>
        <v>19.8918181818182</v>
      </c>
      <c r="K22" s="53" t="n">
        <f aca="false">I22-D22</f>
        <v>65.7196361600896</v>
      </c>
      <c r="L22" s="19" t="str">
        <f aca="false">IF(K22&gt;=0,"Yes","No")</f>
        <v>Yes</v>
      </c>
      <c r="M22" s="54" t="n">
        <f aca="false">IF(C22&gt;0,MAX(D22-I22,0)/C22,0)</f>
        <v>0</v>
      </c>
      <c r="N22" s="49" t="n">
        <f aca="false">D22*(1+$C$4)</f>
        <v>520.660509375875</v>
      </c>
      <c r="O22" s="54" t="n">
        <f aca="false">IF(C22&gt;0,MAX(N22-I22,0)/C22,0)</f>
        <v>3.7745686079943</v>
      </c>
      <c r="P22" s="51" t="n">
        <v>203</v>
      </c>
      <c r="Q22" s="51" t="n">
        <v>0</v>
      </c>
    </row>
    <row r="23" customFormat="false" ht="15" hidden="false" customHeight="false" outlineLevel="0" collapsed="false">
      <c r="A23" s="19" t="str">
        <f aca="false">'Land at Council density'!A23</f>
        <v>Askeaton</v>
      </c>
      <c r="B23" s="19" t="str">
        <f aca="false">'Land at Council density'!B23</f>
        <v>Village</v>
      </c>
      <c r="C23" s="48" t="n">
        <f aca="false">'Land at Council density'!C23</f>
        <v>22</v>
      </c>
      <c r="D23" s="49" t="n">
        <f aca="false">'Land at Council density'!T23</f>
        <v>303.098796529527</v>
      </c>
      <c r="E23" s="50" t="n">
        <f aca="false">'Land at Council density'!U23</f>
        <v>13.7772180240694</v>
      </c>
      <c r="F23" s="51" t="n">
        <v>0</v>
      </c>
      <c r="G23" s="52" t="n">
        <v>23.62</v>
      </c>
      <c r="H23" s="49" t="n">
        <f aca="false">G23*C23+Q23</f>
        <v>519.64</v>
      </c>
      <c r="I23" s="49" t="n">
        <f aca="false">F23+H23</f>
        <v>519.64</v>
      </c>
      <c r="J23" s="50" t="n">
        <f aca="false">IF(C23&gt;0,G23+F23/C23,0)</f>
        <v>23.62</v>
      </c>
      <c r="K23" s="53" t="n">
        <f aca="false">I23-D23</f>
        <v>216.541203470473</v>
      </c>
      <c r="L23" s="19" t="str">
        <f aca="false">IF(K23&gt;=0,"Yes","No")</f>
        <v>Yes</v>
      </c>
      <c r="M23" s="54" t="n">
        <f aca="false">IF(C23&gt;0,MAX(D23-I23,0)/C23,0)</f>
        <v>0</v>
      </c>
      <c r="N23" s="49" t="n">
        <f aca="false">D23*(1+$C$4)</f>
        <v>424.338315141338</v>
      </c>
      <c r="O23" s="54" t="n">
        <f aca="false">IF(C23&gt;0,MAX(N23-I23,0)/C23,0)</f>
        <v>0</v>
      </c>
      <c r="P23" s="51" t="n">
        <v>385</v>
      </c>
      <c r="Q23" s="51" t="n">
        <v>0</v>
      </c>
    </row>
    <row r="24" customFormat="false" ht="15" hidden="false" customHeight="false" outlineLevel="0" collapsed="false">
      <c r="A24" s="19" t="str">
        <f aca="false">'Land at Council density'!A24</f>
        <v>Bruff</v>
      </c>
      <c r="B24" s="19" t="str">
        <f aca="false">'Land at Council density'!B24</f>
        <v>Village</v>
      </c>
      <c r="C24" s="48" t="n">
        <f aca="false">'Land at Council density'!C24</f>
        <v>22</v>
      </c>
      <c r="D24" s="49" t="n">
        <f aca="false">'Land at Council density'!T24</f>
        <v>211.983207388749</v>
      </c>
      <c r="E24" s="50" t="n">
        <f aca="false">'Land at Council density'!U24</f>
        <v>9.63560033585222</v>
      </c>
      <c r="F24" s="51" t="n">
        <v>100</v>
      </c>
      <c r="G24" s="52" t="n">
        <v>2.32</v>
      </c>
      <c r="H24" s="49" t="n">
        <f aca="false">G24*C24+Q24</f>
        <v>51.04</v>
      </c>
      <c r="I24" s="49" t="n">
        <f aca="false">F24+H24</f>
        <v>151.04</v>
      </c>
      <c r="J24" s="50" t="n">
        <f aca="false">IF(C24&gt;0,G24+F24/C24,0)</f>
        <v>6.86545454545455</v>
      </c>
      <c r="K24" s="53" t="n">
        <f aca="false">I24-D24</f>
        <v>-60.943207388749</v>
      </c>
      <c r="L24" s="19" t="str">
        <f aca="false">IF(K24&gt;=0,"Yes","No")</f>
        <v>No</v>
      </c>
      <c r="M24" s="54" t="n">
        <f aca="false">IF(C24&gt;0,MAX(D24-I24,0)/C24,0)</f>
        <v>2.77014579039768</v>
      </c>
      <c r="N24" s="49" t="n">
        <f aca="false">D24*(1+$C$4)</f>
        <v>296.776490344249</v>
      </c>
      <c r="O24" s="54" t="n">
        <f aca="false">IF(C24&gt;0,MAX(N24-I24,0)/C24,0)</f>
        <v>6.62438592473857</v>
      </c>
      <c r="P24" s="51" t="n">
        <v>34</v>
      </c>
      <c r="Q24" s="51" t="n">
        <v>0</v>
      </c>
    </row>
    <row r="25" customFormat="false" ht="15" hidden="false" customHeight="false" outlineLevel="0" collapsed="false">
      <c r="A25" s="19" t="str">
        <f aca="false">'Land at Council density'!A25</f>
        <v>Cappamore</v>
      </c>
      <c r="B25" s="19" t="str">
        <f aca="false">'Land at Council density'!B25</f>
        <v>Village</v>
      </c>
      <c r="C25" s="48" t="n">
        <f aca="false">'Land at Council density'!C25</f>
        <v>22</v>
      </c>
      <c r="D25" s="49" t="n">
        <f aca="false">'Land at Council density'!T25</f>
        <v>165.49566190876</v>
      </c>
      <c r="E25" s="50" t="n">
        <f aca="false">'Land at Council density'!U25</f>
        <v>7.52253008676183</v>
      </c>
      <c r="F25" s="51" t="n">
        <v>29</v>
      </c>
      <c r="G25" s="52" t="n">
        <v>1.33</v>
      </c>
      <c r="H25" s="49" t="n">
        <f aca="false">G25*C25+Q25</f>
        <v>29.26</v>
      </c>
      <c r="I25" s="49" t="n">
        <f aca="false">F25+H25</f>
        <v>58.26</v>
      </c>
      <c r="J25" s="50" t="n">
        <f aca="false">IF(C25&gt;0,G25+F25/C25,0)</f>
        <v>2.64818181818182</v>
      </c>
      <c r="K25" s="53" t="n">
        <f aca="false">I25-D25</f>
        <v>-107.23566190876</v>
      </c>
      <c r="L25" s="19" t="str">
        <f aca="false">IF(K25&gt;=0,"Yes","No")</f>
        <v>No</v>
      </c>
      <c r="M25" s="54" t="n">
        <f aca="false">IF(C25&gt;0,MAX(D25-I25,0)/C25,0)</f>
        <v>4.87434826858001</v>
      </c>
      <c r="N25" s="49" t="n">
        <f aca="false">D25*(1+$C$4)</f>
        <v>231.693926672264</v>
      </c>
      <c r="O25" s="54" t="n">
        <f aca="false">IF(C25&gt;0,MAX(N25-I25,0)/C25,0)</f>
        <v>7.88336030328474</v>
      </c>
      <c r="P25" s="51" t="n">
        <v>22</v>
      </c>
      <c r="Q25" s="51" t="n">
        <v>0</v>
      </c>
    </row>
    <row r="26" customFormat="false" ht="15" hidden="false" customHeight="false" outlineLevel="0" collapsed="false">
      <c r="A26" s="19" t="str">
        <f aca="false">'Land at Council density'!A26</f>
        <v>Croom</v>
      </c>
      <c r="B26" s="19" t="str">
        <f aca="false">'Land at Council density'!B26</f>
        <v>Village</v>
      </c>
      <c r="C26" s="48" t="n">
        <f aca="false">'Land at Council density'!C26</f>
        <v>22</v>
      </c>
      <c r="D26" s="49" t="n">
        <f aca="false">'Land at Council density'!T26</f>
        <v>265.908760145536</v>
      </c>
      <c r="E26" s="50" t="n">
        <f aca="false">'Land at Council density'!U26</f>
        <v>12.0867618247971</v>
      </c>
      <c r="F26" s="51" t="n">
        <v>121</v>
      </c>
      <c r="G26" s="52" t="n">
        <v>10.31</v>
      </c>
      <c r="H26" s="49" t="n">
        <f aca="false">G26*C26+Q26</f>
        <v>226.82</v>
      </c>
      <c r="I26" s="49" t="n">
        <f aca="false">F26+H26</f>
        <v>347.82</v>
      </c>
      <c r="J26" s="50" t="n">
        <f aca="false">IF(C26&gt;0,G26+F26/C26,0)</f>
        <v>15.81</v>
      </c>
      <c r="K26" s="53" t="n">
        <f aca="false">I26-D26</f>
        <v>81.9112398544641</v>
      </c>
      <c r="L26" s="19" t="str">
        <f aca="false">IF(K26&gt;=0,"Yes","No")</f>
        <v>Yes</v>
      </c>
      <c r="M26" s="54" t="n">
        <f aca="false">IF(C26&gt;0,MAX(D26-I26,0)/C26,0)</f>
        <v>0</v>
      </c>
      <c r="N26" s="49" t="n">
        <f aca="false">D26*(1+$C$4)</f>
        <v>372.27226420375</v>
      </c>
      <c r="O26" s="54" t="n">
        <f aca="false">IF(C26&gt;0,MAX(N26-I26,0)/C26,0)</f>
        <v>1.11146655471592</v>
      </c>
      <c r="P26" s="51" t="n">
        <v>189</v>
      </c>
      <c r="Q26" s="51" t="n">
        <v>0</v>
      </c>
    </row>
    <row r="27" customFormat="false" ht="15" hidden="false" customHeight="false" outlineLevel="0" collapsed="false">
      <c r="A27" s="19" t="str">
        <f aca="false">'Land at Council density'!A27</f>
        <v>Hospital</v>
      </c>
      <c r="B27" s="19" t="str">
        <f aca="false">'Land at Council density'!B27</f>
        <v>Village</v>
      </c>
      <c r="C27" s="48" t="n">
        <f aca="false">'Land at Council density'!C27</f>
        <v>22</v>
      </c>
      <c r="D27" s="49" t="n">
        <f aca="false">'Land at Council density'!T27</f>
        <v>163.636160089561</v>
      </c>
      <c r="E27" s="50" t="n">
        <f aca="false">'Land at Council density'!U27</f>
        <v>7.43800727679821</v>
      </c>
      <c r="F27" s="51" t="n">
        <v>0</v>
      </c>
      <c r="G27" s="52" t="n">
        <v>6</v>
      </c>
      <c r="H27" s="49" t="n">
        <f aca="false">G27*C27+Q27</f>
        <v>132</v>
      </c>
      <c r="I27" s="49" t="n">
        <f aca="false">F27+H27</f>
        <v>132</v>
      </c>
      <c r="J27" s="50" t="n">
        <f aca="false">IF(C27&gt;0,G27+F27/C27,0)</f>
        <v>6</v>
      </c>
      <c r="K27" s="53" t="n">
        <f aca="false">I27-D27</f>
        <v>-31.6361600895606</v>
      </c>
      <c r="L27" s="19" t="str">
        <f aca="false">IF(K27&gt;=0,"Yes","No")</f>
        <v>No</v>
      </c>
      <c r="M27" s="54" t="n">
        <f aca="false">IF(C27&gt;0,MAX(D27-I27,0)/C27,0)</f>
        <v>1.43800727679821</v>
      </c>
      <c r="N27" s="49" t="n">
        <f aca="false">D27*(1+$C$4)</f>
        <v>229.090624125385</v>
      </c>
      <c r="O27" s="54" t="n">
        <f aca="false">IF(C27&gt;0,MAX(N27-I27,0)/C27,0)</f>
        <v>4.41321018751749</v>
      </c>
      <c r="P27" s="51" t="n">
        <v>120</v>
      </c>
      <c r="Q27" s="51" t="n">
        <v>0</v>
      </c>
    </row>
    <row r="28" customFormat="false" ht="15" hidden="false" customHeight="false" outlineLevel="0" collapsed="false">
      <c r="A28" s="19" t="str">
        <f aca="false">'Land at Council density'!A28</f>
        <v>Kilfinnane</v>
      </c>
      <c r="B28" s="19" t="str">
        <f aca="false">'Land at Council density'!B28</f>
        <v>Village</v>
      </c>
      <c r="C28" s="48" t="n">
        <f aca="false">'Land at Council density'!C28</f>
        <v>22</v>
      </c>
      <c r="D28" s="49" t="n">
        <f aca="false">'Land at Council density'!T28</f>
        <v>208.26420375035</v>
      </c>
      <c r="E28" s="50" t="n">
        <f aca="false">'Land at Council density'!U28</f>
        <v>9.46655471592499</v>
      </c>
      <c r="F28" s="51" t="n">
        <v>14</v>
      </c>
      <c r="G28" s="52" t="n">
        <v>3.4</v>
      </c>
      <c r="H28" s="49" t="n">
        <f aca="false">G28*C28+Q28</f>
        <v>74.8</v>
      </c>
      <c r="I28" s="49" t="n">
        <f aca="false">F28+H28</f>
        <v>88.8</v>
      </c>
      <c r="J28" s="50" t="n">
        <f aca="false">IF(C28&gt;0,G28+F28/C28,0)</f>
        <v>4.03636363636364</v>
      </c>
      <c r="K28" s="53" t="n">
        <f aca="false">I28-D28</f>
        <v>-119.46420375035</v>
      </c>
      <c r="L28" s="19" t="str">
        <f aca="false">IF(K28&gt;=0,"Yes","No")</f>
        <v>No</v>
      </c>
      <c r="M28" s="54" t="n">
        <f aca="false">IF(C28&gt;0,MAX(D28-I28,0)/C28,0)</f>
        <v>5.43019107956136</v>
      </c>
      <c r="N28" s="49" t="n">
        <f aca="false">D28*(1+$C$4)</f>
        <v>291.56988525049</v>
      </c>
      <c r="O28" s="54" t="n">
        <f aca="false">IF(C28&gt;0,MAX(N28-I28,0)/C28,0)</f>
        <v>9.21681296593135</v>
      </c>
      <c r="P28" s="51" t="n">
        <v>56</v>
      </c>
      <c r="Q28" s="51" t="n">
        <v>0</v>
      </c>
    </row>
    <row r="29" customFormat="false" ht="15" hidden="false" customHeight="false" outlineLevel="0" collapsed="false">
      <c r="A29" s="19" t="str">
        <f aca="false">'Land at Council density'!A29</f>
        <v>Moroe</v>
      </c>
      <c r="B29" s="19" t="str">
        <f aca="false">'Land at Council density'!B29</f>
        <v>Village</v>
      </c>
      <c r="C29" s="48" t="n">
        <f aca="false">'Land at Council density'!C29</f>
        <v>22</v>
      </c>
      <c r="D29" s="49" t="n">
        <f aca="false">'Land at Council density'!T29</f>
        <v>299.379792891128</v>
      </c>
      <c r="E29" s="50" t="n">
        <f aca="false">'Land at Council density'!U29</f>
        <v>13.6081724041422</v>
      </c>
      <c r="F29" s="51" t="n">
        <v>36</v>
      </c>
      <c r="G29" s="52" t="n">
        <v>4.74</v>
      </c>
      <c r="H29" s="49" t="n">
        <f aca="false">G29*C29+Q29</f>
        <v>104.28</v>
      </c>
      <c r="I29" s="49" t="n">
        <f aca="false">F29+H29</f>
        <v>140.28</v>
      </c>
      <c r="J29" s="50" t="n">
        <f aca="false">IF(C29&gt;0,G29+F29/C29,0)</f>
        <v>6.37636363636364</v>
      </c>
      <c r="K29" s="53" t="n">
        <f aca="false">I29-D29</f>
        <v>-159.099792891128</v>
      </c>
      <c r="L29" s="19" t="str">
        <f aca="false">IF(K29&gt;=0,"Yes","No")</f>
        <v>No</v>
      </c>
      <c r="M29" s="54" t="n">
        <f aca="false">IF(C29&gt;0,MAX(D29-I29,0)/C29,0)</f>
        <v>7.23180876777854</v>
      </c>
      <c r="N29" s="49" t="n">
        <f aca="false">D29*(1+$C$4)</f>
        <v>419.131710047579</v>
      </c>
      <c r="O29" s="54" t="n">
        <f aca="false">IF(C29&gt;0,MAX(N29-I29,0)/C29,0)</f>
        <v>12.6750777294354</v>
      </c>
      <c r="P29" s="51" t="n">
        <v>81</v>
      </c>
      <c r="Q29" s="51" t="n">
        <v>0</v>
      </c>
    </row>
    <row r="30" customFormat="false" ht="15" hidden="false" customHeight="false" outlineLevel="0" collapsed="false">
      <c r="A30" s="19" t="str">
        <f aca="false">'Land at Council density'!A30</f>
        <v>Patrickswell</v>
      </c>
      <c r="B30" s="19" t="str">
        <f aca="false">'Land at Council density'!B30</f>
        <v>Village</v>
      </c>
      <c r="C30" s="48" t="n">
        <f aca="false">'Land at Council density'!C30</f>
        <v>25</v>
      </c>
      <c r="D30" s="49" t="n">
        <f aca="false">'Land at Council density'!T30</f>
        <v>743.800727679821</v>
      </c>
      <c r="E30" s="50" t="n">
        <f aca="false">'Land at Council density'!U30</f>
        <v>29.7520291071928</v>
      </c>
      <c r="F30" s="51" t="n">
        <v>407</v>
      </c>
      <c r="G30" s="52" t="n">
        <v>5.24</v>
      </c>
      <c r="H30" s="49" t="n">
        <f aca="false">G30*C30+Q30</f>
        <v>131</v>
      </c>
      <c r="I30" s="49" t="n">
        <f aca="false">F30+H30</f>
        <v>538</v>
      </c>
      <c r="J30" s="50" t="n">
        <f aca="false">IF(C30&gt;0,G30+F30/C30,0)</f>
        <v>21.52</v>
      </c>
      <c r="K30" s="53" t="n">
        <f aca="false">I30-D30</f>
        <v>-205.800727679821</v>
      </c>
      <c r="L30" s="19" t="str">
        <f aca="false">IF(K30&gt;=0,"Yes","No")</f>
        <v>No</v>
      </c>
      <c r="M30" s="54" t="n">
        <f aca="false">IF(C30&gt;0,MAX(D30-I30,0)/C30,0)</f>
        <v>8.23202910719284</v>
      </c>
      <c r="N30" s="49" t="n">
        <f aca="false">D30*(1+$C$4)</f>
        <v>1041.32101875175</v>
      </c>
      <c r="O30" s="54" t="n">
        <f aca="false">IF(C30&gt;0,MAX(N30-I30,0)/C30,0)</f>
        <v>20.13284075007</v>
      </c>
      <c r="P30" s="51" t="n">
        <v>112</v>
      </c>
      <c r="Q30" s="51" t="n">
        <v>0</v>
      </c>
    </row>
    <row r="31" customFormat="false" ht="15" hidden="false" customHeight="false" outlineLevel="0" collapsed="false">
      <c r="A31" s="55" t="s">
        <v>251</v>
      </c>
      <c r="B31" s="55"/>
      <c r="C31" s="56" t="n">
        <f aca="false">IF(E31&gt;0,D31/E31,0)</f>
        <v>40.102072564922</v>
      </c>
      <c r="D31" s="57" t="n">
        <f aca="false">SUM(D7:D30)</f>
        <v>35970.2031905962</v>
      </c>
      <c r="E31" s="58" t="n">
        <f aca="false">SUM(E7:E30)</f>
        <v>896.966188776486</v>
      </c>
      <c r="F31" s="57" t="n">
        <f aca="false">SUM(F7:F30)</f>
        <v>8096</v>
      </c>
      <c r="G31" s="58" t="n">
        <f aca="false">SUM(G7:G30)</f>
        <v>462.58</v>
      </c>
      <c r="H31" s="57" t="n">
        <f aca="false">SUM(H7:H30)</f>
        <v>17639.1715858092</v>
      </c>
      <c r="I31" s="57" t="n">
        <f aca="false">SUM(I7:I30)</f>
        <v>25735.1715858092</v>
      </c>
      <c r="J31" s="58" t="n">
        <f aca="false">SUM(J7:J30)</f>
        <v>674.265879645025</v>
      </c>
      <c r="K31" s="59" t="n">
        <f aca="false">SUM(K7:K30)</f>
        <v>-10235.031604787</v>
      </c>
      <c r="L31" s="55" t="str">
        <f aca="false">COUNTIF(L7:L30,"No")&amp;" of 24 short"</f>
        <v>16 of 24 short</v>
      </c>
      <c r="M31" s="58" t="n">
        <f aca="false">SUM(M7:M30)</f>
        <v>326.006565981994</v>
      </c>
      <c r="N31" s="57" t="n">
        <f aca="false">SUM(N7:N30)</f>
        <v>50358.2844668346</v>
      </c>
      <c r="O31" s="58" t="n">
        <f aca="false">SUM(O7:O30)</f>
        <v>627.833161124798</v>
      </c>
      <c r="P31" s="57" t="n">
        <f aca="false">SUM(P7:P30)</f>
        <v>17331</v>
      </c>
      <c r="Q31" s="57" t="n">
        <f aca="false">SUM(Q7:Q30)</f>
        <v>2489</v>
      </c>
    </row>
    <row r="32" customFormat="false" ht="15" hidden="false" customHeight="false" outlineLevel="0" collapsed="false">
      <c r="A32" s="45" t="s">
        <v>252</v>
      </c>
      <c r="B32" s="45" t="str">
        <f aca="false">'Land at Council density'!B31</f>
        <v>Rest of county</v>
      </c>
      <c r="D32" s="60" t="n">
        <f aca="false">'Land at Council density'!T31</f>
        <v>3893.79680940386</v>
      </c>
      <c r="E32" s="45" t="s">
        <v>253</v>
      </c>
    </row>
    <row r="34" customFormat="false" ht="15" hidden="false" customHeight="false" outlineLevel="0" collapsed="false">
      <c r="A34" s="61" t="s">
        <v>208</v>
      </c>
    </row>
    <row r="35" customFormat="false" ht="42" hidden="false" customHeight="true" outlineLevel="0" collapsed="false">
      <c r="A35" s="47" t="s">
        <v>133</v>
      </c>
      <c r="B35" s="47"/>
      <c r="C35" s="47"/>
      <c r="D35" s="47" t="s">
        <v>254</v>
      </c>
      <c r="E35" s="47" t="s">
        <v>152</v>
      </c>
      <c r="F35" s="47" t="s">
        <v>255</v>
      </c>
      <c r="G35" s="47" t="s">
        <v>240</v>
      </c>
      <c r="H35" s="47" t="s">
        <v>256</v>
      </c>
      <c r="I35" s="47" t="s">
        <v>257</v>
      </c>
      <c r="J35" s="47" t="s">
        <v>258</v>
      </c>
      <c r="K35" s="47" t="s">
        <v>259</v>
      </c>
      <c r="L35" s="47" t="s">
        <v>260</v>
      </c>
      <c r="M35" s="47" t="s">
        <v>261</v>
      </c>
      <c r="N35" s="47" t="s">
        <v>262</v>
      </c>
      <c r="O35" s="47" t="s">
        <v>263</v>
      </c>
      <c r="P35" s="47" t="s">
        <v>264</v>
      </c>
      <c r="Q35" s="47" t="s">
        <v>265</v>
      </c>
    </row>
    <row r="36" customFormat="false" ht="15" hidden="false" customHeight="false" outlineLevel="0" collapsed="false">
      <c r="A36" s="19" t="s">
        <v>154</v>
      </c>
      <c r="D36" s="49" t="n">
        <f aca="false">SUMIFS(D$7:D$30,$B$7:$B$30,$A36)</f>
        <v>29257.4016232858</v>
      </c>
      <c r="E36" s="50" t="n">
        <f aca="false">SUMIFS(E$7:E$30,$B$7:$B$30,$A36)</f>
        <v>635.631481114524</v>
      </c>
      <c r="F36" s="49" t="n">
        <f aca="false">SUMIFS(F$7:F$30,$B$7:$B$30,$A36)</f>
        <v>6665</v>
      </c>
      <c r="G36" s="50" t="n">
        <f aca="false">SUMIFS(G$7:G$30,$B$7:$B$30,$A36)</f>
        <v>167.78</v>
      </c>
      <c r="H36" s="49" t="n">
        <f aca="false">SUMIFS(H$7:H$30,$B$7:$B$30,$A36)</f>
        <v>9801.26158580917</v>
      </c>
      <c r="I36" s="49" t="n">
        <f aca="false">SUMIFS(I$7:I$30,$B$7:$B$30,$A36)</f>
        <v>16466.2615858092</v>
      </c>
      <c r="J36" s="50" t="n">
        <f aca="false">SUMIFS(J$7:J$30,$B$7:$B$30,$A36)</f>
        <v>322.000078779224</v>
      </c>
      <c r="K36" s="62" t="n">
        <f aca="false">SUMIFS(K$7:K$30,$B$7:$B$30,$A36)</f>
        <v>-12791.1400374766</v>
      </c>
      <c r="L36" s="19" t="n">
        <f aca="false">COUNTIFS($B$7:$B$30,$A36,$L$7:$L$30,"No")</f>
        <v>9</v>
      </c>
      <c r="M36" s="50" t="n">
        <f aca="false">SUMIFS(M$7:M$30,$B$7:$B$30,$A36)</f>
        <v>288.73981458897</v>
      </c>
      <c r="N36" s="49" t="n">
        <f aca="false">SUMIFS(N$7:N$30,$B$7:$B$30,$A36)</f>
        <v>40960.3622726001</v>
      </c>
      <c r="O36" s="50" t="n">
        <f aca="false">SUMIFS(O$7:O$30,$B$7:$B$30,$A36)</f>
        <v>542.99240703478</v>
      </c>
      <c r="P36" s="49" t="n">
        <f aca="false">SUMIFS(P$7:P$30,$B$7:$B$30,$A36)</f>
        <v>10400</v>
      </c>
      <c r="Q36" s="49" t="n">
        <f aca="false">SUMIFS(Q$7:Q$30,$B$7:$B$30,$A36)</f>
        <v>2489</v>
      </c>
    </row>
    <row r="37" customFormat="false" ht="15" hidden="false" customHeight="false" outlineLevel="0" collapsed="false">
      <c r="A37" s="19" t="s">
        <v>173</v>
      </c>
      <c r="D37" s="49" t="n">
        <f aca="false">SUMIFS(D$7:D$30,$B$7:$B$30,$A37)</f>
        <v>3979.33389308704</v>
      </c>
      <c r="E37" s="50" t="n">
        <f aca="false">SUMIFS(E$7:E$30,$B$7:$B$30,$A37)</f>
        <v>141.1432718937</v>
      </c>
      <c r="F37" s="49" t="n">
        <f aca="false">SUMIFS(F$7:F$30,$B$7:$B$30,$A37)</f>
        <v>500</v>
      </c>
      <c r="G37" s="50" t="n">
        <f aca="false">SUMIFS(G$7:G$30,$B$7:$B$30,$A37)</f>
        <v>228.13</v>
      </c>
      <c r="H37" s="49" t="n">
        <f aca="false">SUMIFS(H$7:H$30,$B$7:$B$30,$A37)</f>
        <v>6355.45</v>
      </c>
      <c r="I37" s="49" t="n">
        <f aca="false">SUMIFS(I$7:I$30,$B$7:$B$30,$A37)</f>
        <v>6855.45</v>
      </c>
      <c r="J37" s="50" t="n">
        <f aca="false">SUMIFS(J$7:J$30,$B$7:$B$30,$A37)</f>
        <v>245.497619047619</v>
      </c>
      <c r="K37" s="62" t="n">
        <f aca="false">SUMIFS(K$7:K$30,$B$7:$B$30,$A37)</f>
        <v>2876.11610691296</v>
      </c>
      <c r="L37" s="19" t="n">
        <f aca="false">COUNTIFS($B$7:$B$30,$A37,$L$7:$L$30,"No")</f>
        <v>1</v>
      </c>
      <c r="M37" s="50" t="n">
        <f aca="false">SUMIFS(M$7:M$30,$B$7:$B$30,$A37)</f>
        <v>7.29022110271481</v>
      </c>
      <c r="N37" s="49" t="n">
        <f aca="false">SUMIFS(N$7:N$30,$B$7:$B$30,$A37)</f>
        <v>5571.06745032186</v>
      </c>
      <c r="O37" s="50" t="n">
        <f aca="false">SUMIFS(O$7:O$30,$B$7:$B$30,$A37)</f>
        <v>19.0090310663308</v>
      </c>
      <c r="P37" s="49" t="n">
        <f aca="false">SUMIFS(P$7:P$30,$B$7:$B$30,$A37)</f>
        <v>5729</v>
      </c>
      <c r="Q37" s="49" t="n">
        <f aca="false">SUMIFS(Q$7:Q$30,$B$7:$B$30,$A37)</f>
        <v>0</v>
      </c>
    </row>
    <row r="38" customFormat="false" ht="15" hidden="false" customHeight="false" outlineLevel="0" collapsed="false">
      <c r="A38" s="19" t="s">
        <v>186</v>
      </c>
      <c r="D38" s="49" t="n">
        <f aca="false">SUMIFS(D$7:D$30,$B$7:$B$30,$A38)</f>
        <v>2733.46767422334</v>
      </c>
      <c r="E38" s="50" t="n">
        <f aca="false">SUMIFS(E$7:E$30,$B$7:$B$30,$A38)</f>
        <v>120.191435768262</v>
      </c>
      <c r="F38" s="49" t="n">
        <f aca="false">SUMIFS(F$7:F$30,$B$7:$B$30,$A38)</f>
        <v>931</v>
      </c>
      <c r="G38" s="50" t="n">
        <f aca="false">SUMIFS(G$7:G$30,$B$7:$B$30,$A38)</f>
        <v>66.67</v>
      </c>
      <c r="H38" s="49" t="n">
        <f aca="false">SUMIFS(H$7:H$30,$B$7:$B$30,$A38)</f>
        <v>1482.46</v>
      </c>
      <c r="I38" s="49" t="n">
        <f aca="false">SUMIFS(I$7:I$30,$B$7:$B$30,$A38)</f>
        <v>2413.46</v>
      </c>
      <c r="J38" s="50" t="n">
        <f aca="false">SUMIFS(J$7:J$30,$B$7:$B$30,$A38)</f>
        <v>106.768181818182</v>
      </c>
      <c r="K38" s="62" t="n">
        <f aca="false">SUMIFS(K$7:K$30,$B$7:$B$30,$A38)</f>
        <v>-320.007674223342</v>
      </c>
      <c r="L38" s="19" t="n">
        <f aca="false">COUNTIFS($B$7:$B$30,$A38,$L$7:$L$30,"No")</f>
        <v>6</v>
      </c>
      <c r="M38" s="50" t="n">
        <f aca="false">SUMIFS(M$7:M$30,$B$7:$B$30,$A38)</f>
        <v>29.9765302903086</v>
      </c>
      <c r="N38" s="49" t="n">
        <f aca="false">SUMIFS(N$7:N$30,$B$7:$B$30,$A38)</f>
        <v>3826.85474391268</v>
      </c>
      <c r="O38" s="50" t="n">
        <f aca="false">SUMIFS(O$7:O$30,$B$7:$B$30,$A38)</f>
        <v>65.8317230236877</v>
      </c>
      <c r="P38" s="49" t="n">
        <f aca="false">SUMIFS(P$7:P$30,$B$7:$B$30,$A38)</f>
        <v>1202</v>
      </c>
      <c r="Q38" s="49" t="n">
        <f aca="false">SUMIFS(Q$7:Q$30,$B$7:$B$30,$A38)</f>
        <v>0</v>
      </c>
    </row>
    <row r="41" customFormat="false" ht="15" hidden="false" customHeight="false" outlineLevel="0" collapsed="false">
      <c r="A41" s="61" t="s">
        <v>266</v>
      </c>
    </row>
    <row r="42" customFormat="false" ht="15" hidden="false" customHeight="false" outlineLevel="0" collapsed="false">
      <c r="A42" s="45" t="s">
        <v>267</v>
      </c>
    </row>
    <row r="43" customFormat="false" ht="15" hidden="false" customHeight="false" outlineLevel="0" collapsed="false">
      <c r="A43" s="45" t="s">
        <v>268</v>
      </c>
    </row>
    <row r="44" customFormat="false" ht="15" hidden="false" customHeight="false" outlineLevel="0" collapsed="false">
      <c r="A44" s="45" t="s">
        <v>269</v>
      </c>
    </row>
    <row r="45" customFormat="false" ht="15" hidden="false" customHeight="false" outlineLevel="0" collapsed="false">
      <c r="A45" s="45" t="s">
        <v>270</v>
      </c>
    </row>
    <row r="46" customFormat="false" ht="15" hidden="false" customHeight="false" outlineLevel="0" collapsed="false">
      <c r="A46" s="45" t="s">
        <v>271</v>
      </c>
    </row>
    <row r="47" customFormat="false" ht="15" hidden="false" customHeight="false" outlineLevel="0" collapsed="false">
      <c r="A47" s="45" t="s">
        <v>272</v>
      </c>
    </row>
    <row r="48" customFormat="false" ht="15" hidden="false" customHeight="false" outlineLevel="0" collapsed="false">
      <c r="A48" s="45" t="s">
        <v>273</v>
      </c>
    </row>
    <row r="49" customFormat="false" ht="15" hidden="false" customHeight="false" outlineLevel="0" collapsed="false">
      <c r="A49" s="45" t="s">
        <v>274</v>
      </c>
    </row>
    <row r="50" customFormat="false" ht="15" hidden="false" customHeight="false" outlineLevel="0" collapsed="false">
      <c r="A50" s="45" t="s">
        <v>275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6" min="3" style="0" width="11"/>
    <col collapsed="false" customWidth="true" hidden="false" outlineLevel="0" max="7" min="7" style="0" width="10"/>
    <col collapsed="false" customWidth="true" hidden="false" outlineLevel="0" max="11" min="8" style="0" width="12"/>
    <col collapsed="false" customWidth="true" hidden="false" outlineLevel="0" max="12" min="12" style="0" width="26"/>
    <col collapsed="false" customWidth="true" hidden="false" outlineLevel="0" max="13" min="13" style="0" width="12"/>
    <col collapsed="false" customWidth="true" hidden="false" outlineLevel="0" max="14" min="14" style="0" width="13"/>
    <col collapsed="false" customWidth="true" hidden="false" outlineLevel="0" max="17" min="15" style="0" width="12"/>
  </cols>
  <sheetData>
    <row r="1" customFormat="false" ht="19.7" hidden="false" customHeight="false" outlineLevel="0" collapsed="false">
      <c r="A1" s="44" t="s">
        <v>276</v>
      </c>
    </row>
    <row r="2" customFormat="false" ht="15" hidden="false" customHeight="false" outlineLevel="0" collapsed="false">
      <c r="A2" s="45" t="s">
        <v>277</v>
      </c>
    </row>
    <row r="4" customFormat="false" ht="15" hidden="false" customHeight="false" outlineLevel="0" collapsed="false">
      <c r="A4" s="18" t="s">
        <v>278</v>
      </c>
      <c r="C4" s="63" t="n">
        <v>100</v>
      </c>
      <c r="D4" s="45" t="s">
        <v>279</v>
      </c>
    </row>
    <row r="5" customFormat="false" ht="15" hidden="false" customHeight="false" outlineLevel="0" collapsed="false">
      <c r="A5" s="18" t="s">
        <v>280</v>
      </c>
      <c r="C5" s="64" t="n">
        <f aca="false">'Zoned land vs need'!C4</f>
        <v>0.4</v>
      </c>
      <c r="D5" s="45" t="s">
        <v>281</v>
      </c>
    </row>
    <row r="6" customFormat="false" ht="15" hidden="false" customHeight="false" outlineLevel="0" collapsed="false">
      <c r="D6" s="18" t="s">
        <v>282</v>
      </c>
      <c r="G6" s="18" t="s">
        <v>283</v>
      </c>
      <c r="L6" s="18" t="s">
        <v>284</v>
      </c>
    </row>
    <row r="7" customFormat="false" ht="66" hidden="false" customHeight="true" outlineLevel="0" collapsed="false">
      <c r="A7" s="47" t="s">
        <v>132</v>
      </c>
      <c r="B7" s="47" t="s">
        <v>133</v>
      </c>
      <c r="C7" s="47" t="s">
        <v>236</v>
      </c>
      <c r="D7" s="47" t="s">
        <v>237</v>
      </c>
      <c r="E7" s="47" t="s">
        <v>242</v>
      </c>
      <c r="F7" s="47" t="s">
        <v>285</v>
      </c>
      <c r="G7" s="47" t="s">
        <v>286</v>
      </c>
      <c r="H7" s="47" t="s">
        <v>287</v>
      </c>
      <c r="I7" s="47" t="s">
        <v>288</v>
      </c>
      <c r="J7" s="47" t="s">
        <v>289</v>
      </c>
      <c r="K7" s="47" t="s">
        <v>290</v>
      </c>
      <c r="L7" s="47" t="s">
        <v>291</v>
      </c>
      <c r="M7" s="47" t="s">
        <v>292</v>
      </c>
      <c r="N7" s="47" t="s">
        <v>293</v>
      </c>
      <c r="O7" s="47" t="s">
        <v>294</v>
      </c>
      <c r="P7" s="47" t="s">
        <v>295</v>
      </c>
      <c r="Q7" s="47" t="s">
        <v>296</v>
      </c>
    </row>
    <row r="8" customFormat="false" ht="15" hidden="false" customHeight="false" outlineLevel="0" collapsed="false">
      <c r="A8" s="19" t="str">
        <f aca="false">'Zoned land vs need'!A7</f>
        <v>Ballinacurra</v>
      </c>
      <c r="B8" s="19" t="str">
        <f aca="false">'Zoned land vs need'!B7</f>
        <v>City neighbourhood</v>
      </c>
      <c r="C8" s="48" t="n">
        <f aca="false">'Zoned land vs need'!C7</f>
        <v>47.9989212513484</v>
      </c>
      <c r="D8" s="49" t="n">
        <f aca="false">'Zoned land vs need'!D7</f>
        <v>1208.55116597063</v>
      </c>
      <c r="E8" s="49" t="n">
        <f aca="false">'Zoned land vs need'!I7</f>
        <v>443.076267529666</v>
      </c>
      <c r="F8" s="49" t="n">
        <f aca="false">MAX(D8-E8,0)</f>
        <v>765.474898440964</v>
      </c>
      <c r="G8" s="49" t="n">
        <v>7</v>
      </c>
      <c r="H8" s="49" t="n">
        <v>51</v>
      </c>
      <c r="I8" s="49" t="n">
        <v>141</v>
      </c>
      <c r="J8" s="49" t="n">
        <f aca="false">MAX(F8-H8,0)</f>
        <v>714.474898440964</v>
      </c>
      <c r="K8" s="65" t="n">
        <f aca="false">MAX(J8-I8,0)</f>
        <v>573.474898440964</v>
      </c>
      <c r="L8" s="66"/>
      <c r="M8" s="49" t="n">
        <f aca="false">IF(L8="",K8,0)</f>
        <v>573.474898440964</v>
      </c>
      <c r="N8" s="49" t="n">
        <f aca="false">IF(L8="",0,K8)</f>
        <v>0</v>
      </c>
      <c r="O8" s="50" t="n">
        <f aca="false">IF(C8&gt;0,K8/C8,0)</f>
        <v>11.9476622284475</v>
      </c>
      <c r="P8" s="54" t="n">
        <f aca="false">IF(B8="City neighbourhood",IF($C$4&gt;0,K8/MAX($C$4,C8),0),IF(C8&gt;0,K8/C8,0))</f>
        <v>5.73474898440964</v>
      </c>
      <c r="Q8" s="49" t="n">
        <f aca="false">MAX(D8*(1+$C$5)-E8-H8-I8,0)</f>
        <v>1056.89536482922</v>
      </c>
    </row>
    <row r="9" customFormat="false" ht="15" hidden="false" customHeight="false" outlineLevel="0" collapsed="false">
      <c r="A9" s="19" t="str">
        <f aca="false">'Zoned land vs need'!A8</f>
        <v>Caherdavin</v>
      </c>
      <c r="B9" s="19" t="str">
        <f aca="false">'Zoned land vs need'!B8</f>
        <v>City neighbourhood</v>
      </c>
      <c r="C9" s="48" t="n">
        <f aca="false">'Zoned land vs need'!C8</f>
        <v>43.1187621666718</v>
      </c>
      <c r="D9" s="49" t="n">
        <f aca="false">'Zoned land vs need'!D8</f>
        <v>4911.98819059752</v>
      </c>
      <c r="E9" s="49" t="n">
        <f aca="false">'Zoned land vs need'!I8</f>
        <v>2079.38302691345</v>
      </c>
      <c r="F9" s="49" t="n">
        <f aca="false">MAX(D9-E9,0)</f>
        <v>2832.60516368407</v>
      </c>
      <c r="G9" s="49" t="n">
        <v>14</v>
      </c>
      <c r="H9" s="49" t="n">
        <v>0</v>
      </c>
      <c r="I9" s="49" t="n">
        <v>4658</v>
      </c>
      <c r="J9" s="49" t="n">
        <f aca="false">MAX(F9-H9,0)</f>
        <v>2832.60516368407</v>
      </c>
      <c r="K9" s="65" t="n">
        <f aca="false">MAX(J9-I9,0)</f>
        <v>0</v>
      </c>
      <c r="L9" s="66"/>
      <c r="M9" s="49" t="n">
        <f aca="false">IF(L9="",K9,0)</f>
        <v>0</v>
      </c>
      <c r="N9" s="49" t="n">
        <f aca="false">IF(L9="",0,K9)</f>
        <v>0</v>
      </c>
      <c r="O9" s="50" t="n">
        <f aca="false">IF(C9&gt;0,K9/C9,0)</f>
        <v>0</v>
      </c>
      <c r="P9" s="54" t="n">
        <f aca="false">IF(B9="City neighbourhood",IF($C$4&gt;0,K9/MAX($C$4,C9),0),IF(C9&gt;0,K9/C9,0))</f>
        <v>0</v>
      </c>
      <c r="Q9" s="49" t="n">
        <f aca="false">MAX(D9*(1+$C$5)-E9-H9-I9,0)</f>
        <v>139.400439923078</v>
      </c>
    </row>
    <row r="10" customFormat="false" ht="15" hidden="false" customHeight="false" outlineLevel="0" collapsed="false">
      <c r="A10" s="19" t="str">
        <f aca="false">'Zoned land vs need'!A9</f>
        <v>Castletroy/Annacotty</v>
      </c>
      <c r="B10" s="19" t="str">
        <f aca="false">'Zoned land vs need'!B9</f>
        <v>City neighbourhood</v>
      </c>
      <c r="C10" s="48" t="n">
        <f aca="false">'Zoned land vs need'!C9</f>
        <v>38.6847099222845</v>
      </c>
      <c r="D10" s="49" t="n">
        <f aca="false">'Zoned land vs need'!D9</f>
        <v>5827.67469014651</v>
      </c>
      <c r="E10" s="49" t="n">
        <f aca="false">'Zoned land vs need'!I9</f>
        <v>3152.1119058377</v>
      </c>
      <c r="F10" s="49" t="n">
        <f aca="false">MAX(D10-E10,0)</f>
        <v>2675.56278430881</v>
      </c>
      <c r="G10" s="49" t="n">
        <v>10</v>
      </c>
      <c r="H10" s="49" t="n">
        <v>92</v>
      </c>
      <c r="I10" s="49" t="n">
        <v>1104</v>
      </c>
      <c r="J10" s="49" t="n">
        <f aca="false">MAX(F10-H10,0)</f>
        <v>2583.56278430881</v>
      </c>
      <c r="K10" s="65" t="n">
        <f aca="false">MAX(J10-I10,0)</f>
        <v>1479.56278430881</v>
      </c>
      <c r="L10" s="66"/>
      <c r="M10" s="49" t="n">
        <f aca="false">IF(L10="",K10,0)</f>
        <v>1479.56278430881</v>
      </c>
      <c r="N10" s="49" t="n">
        <f aca="false">IF(L10="",0,K10)</f>
        <v>0</v>
      </c>
      <c r="O10" s="50" t="n">
        <f aca="false">IF(C10&gt;0,K10/C10,0)</f>
        <v>38.2467074790317</v>
      </c>
      <c r="P10" s="54" t="n">
        <f aca="false">IF(B10="City neighbourhood",IF($C$4&gt;0,K10/MAX($C$4,C10),0),IF(C10&gt;0,K10/C10,0))</f>
        <v>14.7956278430881</v>
      </c>
      <c r="Q10" s="49" t="n">
        <f aca="false">MAX(D10*(1+$C$5)-E10-H10-I10,0)</f>
        <v>3810.63266036741</v>
      </c>
    </row>
    <row r="11" customFormat="false" ht="15" hidden="false" customHeight="false" outlineLevel="0" collapsed="false">
      <c r="A11" s="19" t="str">
        <f aca="false">'Zoned land vs need'!A10</f>
        <v>City Centre</v>
      </c>
      <c r="B11" s="19" t="str">
        <f aca="false">'Zoned land vs need'!B10</f>
        <v>City neighbourhood</v>
      </c>
      <c r="C11" s="48" t="n">
        <f aca="false">'Zoned land vs need'!C10</f>
        <v>99.993621353745</v>
      </c>
      <c r="D11" s="49" t="n">
        <f aca="false">'Zoned land vs need'!D10</f>
        <v>5062.29585965892</v>
      </c>
      <c r="E11" s="49" t="n">
        <f aca="false">'Zoned land vs need'!I10</f>
        <v>4185.94444199112</v>
      </c>
      <c r="F11" s="49" t="n">
        <f aca="false">MAX(D11-E11,0)</f>
        <v>876.351417667802</v>
      </c>
      <c r="G11" s="49" t="n">
        <v>15</v>
      </c>
      <c r="H11" s="49" t="n">
        <v>532</v>
      </c>
      <c r="I11" s="49" t="n">
        <v>116</v>
      </c>
      <c r="J11" s="49" t="n">
        <f aca="false">MAX(F11-H11,0)</f>
        <v>344.351417667802</v>
      </c>
      <c r="K11" s="65" t="n">
        <f aca="false">MAX(J11-I11,0)</f>
        <v>228.351417667802</v>
      </c>
      <c r="L11" s="66"/>
      <c r="M11" s="49" t="n">
        <f aca="false">IF(L11="",K11,0)</f>
        <v>228.351417667802</v>
      </c>
      <c r="N11" s="49" t="n">
        <f aca="false">IF(L11="",0,K11)</f>
        <v>0</v>
      </c>
      <c r="O11" s="50" t="n">
        <f aca="false">IF(C11&gt;0,K11/C11,0)</f>
        <v>2.28365984326109</v>
      </c>
      <c r="P11" s="54" t="n">
        <f aca="false">IF(B11="City neighbourhood",IF($C$4&gt;0,K11/MAX($C$4,C11),0),IF(C11&gt;0,K11/C11,0))</f>
        <v>2.28351417667802</v>
      </c>
      <c r="Q11" s="49" t="n">
        <f aca="false">MAX(D11*(1+$C$5)-E11-H11-I11,0)</f>
        <v>2253.26976153137</v>
      </c>
    </row>
    <row r="12" customFormat="false" ht="15" hidden="false" customHeight="false" outlineLevel="0" collapsed="false">
      <c r="A12" s="19" t="str">
        <f aca="false">'Zoned land vs need'!A11</f>
        <v>Corbally/Grove Island</v>
      </c>
      <c r="B12" s="19" t="str">
        <f aca="false">'Zoned land vs need'!B11</f>
        <v>City neighbourhood</v>
      </c>
      <c r="C12" s="48" t="n">
        <f aca="false">'Zoned land vs need'!C11</f>
        <v>42.0121983279878</v>
      </c>
      <c r="D12" s="49" t="n">
        <f aca="false">'Zoned land vs need'!D11</f>
        <v>1280.52168890979</v>
      </c>
      <c r="E12" s="49" t="n">
        <f aca="false">'Zoned land vs need'!I11</f>
        <v>724.751269782849</v>
      </c>
      <c r="F12" s="49" t="n">
        <f aca="false">MAX(D12-E12,0)</f>
        <v>555.770419126938</v>
      </c>
      <c r="G12" s="49" t="n">
        <v>2</v>
      </c>
      <c r="H12" s="49" t="n">
        <v>43</v>
      </c>
      <c r="I12" s="49" t="n">
        <v>139</v>
      </c>
      <c r="J12" s="49" t="n">
        <f aca="false">MAX(F12-H12,0)</f>
        <v>512.770419126938</v>
      </c>
      <c r="K12" s="65" t="n">
        <f aca="false">MAX(J12-I12,0)</f>
        <v>373.770419126938</v>
      </c>
      <c r="L12" s="66"/>
      <c r="M12" s="49" t="n">
        <f aca="false">IF(L12="",K12,0)</f>
        <v>373.770419126938</v>
      </c>
      <c r="N12" s="49" t="n">
        <f aca="false">IF(L12="",0,K12)</f>
        <v>0</v>
      </c>
      <c r="O12" s="50" t="n">
        <f aca="false">IF(C12&gt;0,K12/C12,0)</f>
        <v>8.89671176473378</v>
      </c>
      <c r="P12" s="54" t="n">
        <f aca="false">IF(B12="City neighbourhood",IF($C$4&gt;0,K12/MAX($C$4,C12),0),IF(C12&gt;0,K12/C12,0))</f>
        <v>3.73770419126938</v>
      </c>
      <c r="Q12" s="49" t="n">
        <f aca="false">MAX(D12*(1+$C$5)-E12-H12-I12,0)</f>
        <v>885.979094690853</v>
      </c>
    </row>
    <row r="13" customFormat="false" ht="15" hidden="false" customHeight="false" outlineLevel="0" collapsed="false">
      <c r="A13" s="19" t="str">
        <f aca="false">'Zoned land vs need'!A12</f>
        <v>Dooradoyle</v>
      </c>
      <c r="B13" s="19" t="str">
        <f aca="false">'Zoned land vs need'!B12</f>
        <v>City neighbourhood</v>
      </c>
      <c r="C13" s="48" t="n">
        <f aca="false">'Zoned land vs need'!C12</f>
        <v>35.7875115598027</v>
      </c>
      <c r="D13" s="49" t="n">
        <f aca="false">'Zoned land vs need'!D12</f>
        <v>5460.07140374958</v>
      </c>
      <c r="E13" s="49" t="n">
        <f aca="false">'Zoned land vs need'!I12</f>
        <v>3823.17520422318</v>
      </c>
      <c r="F13" s="49" t="n">
        <f aca="false">MAX(D13-E13,0)</f>
        <v>1636.8961995264</v>
      </c>
      <c r="G13" s="49" t="n">
        <v>5</v>
      </c>
      <c r="H13" s="49" t="n">
        <v>6</v>
      </c>
      <c r="I13" s="49" t="n">
        <v>1013</v>
      </c>
      <c r="J13" s="49" t="n">
        <f aca="false">MAX(F13-H13,0)</f>
        <v>1630.8961995264</v>
      </c>
      <c r="K13" s="65" t="n">
        <f aca="false">MAX(J13-I13,0)</f>
        <v>617.896199526404</v>
      </c>
      <c r="L13" s="66"/>
      <c r="M13" s="49" t="n">
        <f aca="false">IF(L13="",K13,0)</f>
        <v>617.896199526404</v>
      </c>
      <c r="N13" s="49" t="n">
        <f aca="false">IF(L13="",0,K13)</f>
        <v>0</v>
      </c>
      <c r="O13" s="50" t="n">
        <f aca="false">IF(C13&gt;0,K13/C13,0)</f>
        <v>17.2656933269548</v>
      </c>
      <c r="P13" s="54" t="n">
        <f aca="false">IF(B13="City neighbourhood",IF($C$4&gt;0,K13/MAX($C$4,C13),0),IF(C13&gt;0,K13/C13,0))</f>
        <v>6.17896199526404</v>
      </c>
      <c r="Q13" s="49" t="n">
        <f aca="false">MAX(D13*(1+$C$5)-E13-H13-I13,0)</f>
        <v>2801.92476102624</v>
      </c>
    </row>
    <row r="14" customFormat="false" ht="15" hidden="false" customHeight="false" outlineLevel="0" collapsed="false">
      <c r="A14" s="19" t="str">
        <f aca="false">'Zoned land vs need'!A13</f>
        <v>Kings Island</v>
      </c>
      <c r="B14" s="19" t="str">
        <f aca="false">'Zoned land vs need'!B13</f>
        <v>City neighbourhood</v>
      </c>
      <c r="C14" s="48" t="n">
        <f aca="false">'Zoned land vs need'!C13</f>
        <v>50</v>
      </c>
      <c r="D14" s="49" t="n">
        <f aca="false">'Zoned land vs need'!D13</f>
        <v>633.34060186459</v>
      </c>
      <c r="E14" s="49" t="n">
        <f aca="false">'Zoned land vs need'!I13</f>
        <v>64</v>
      </c>
      <c r="F14" s="49" t="n">
        <f aca="false">MAX(D14-E14,0)</f>
        <v>569.34060186459</v>
      </c>
      <c r="G14" s="49" t="n">
        <v>4</v>
      </c>
      <c r="H14" s="49" t="n">
        <v>25</v>
      </c>
      <c r="I14" s="49" t="n">
        <v>9</v>
      </c>
      <c r="J14" s="49" t="n">
        <f aca="false">MAX(F14-H14,0)</f>
        <v>544.34060186459</v>
      </c>
      <c r="K14" s="65" t="n">
        <f aca="false">MAX(J14-I14,0)</f>
        <v>535.34060186459</v>
      </c>
      <c r="L14" s="66" t="s">
        <v>297</v>
      </c>
      <c r="M14" s="49" t="n">
        <f aca="false">IF(L14="",K14,0)</f>
        <v>0</v>
      </c>
      <c r="N14" s="49" t="n">
        <f aca="false">IF(L14="",0,K14)</f>
        <v>535.34060186459</v>
      </c>
      <c r="O14" s="50" t="n">
        <f aca="false">IF(C14&gt;0,K14/C14,0)</f>
        <v>10.7068120372918</v>
      </c>
      <c r="P14" s="54" t="n">
        <f aca="false">IF(B14="City neighbourhood",IF($C$4&gt;0,K14/MAX($C$4,C14),0),IF(C14&gt;0,K14/C14,0))</f>
        <v>5.3534060186459</v>
      </c>
      <c r="Q14" s="49" t="n">
        <f aca="false">MAX(D14*(1+$C$5)-E14-H14-I14,0)</f>
        <v>788.676842610426</v>
      </c>
    </row>
    <row r="15" customFormat="false" ht="15" hidden="false" customHeight="false" outlineLevel="0" collapsed="false">
      <c r="A15" s="19" t="str">
        <f aca="false">'Zoned land vs need'!A14</f>
        <v>Singland/Garryowen</v>
      </c>
      <c r="B15" s="19" t="str">
        <f aca="false">'Zoned land vs need'!B14</f>
        <v>City neighbourhood</v>
      </c>
      <c r="C15" s="48" t="n">
        <f aca="false">'Zoned land vs need'!C14</f>
        <v>48.9511823035851</v>
      </c>
      <c r="D15" s="49" t="n">
        <f aca="false">'Zoned land vs need'!D14</f>
        <v>3147.3263300701</v>
      </c>
      <c r="E15" s="49" t="n">
        <f aca="false">'Zoned land vs need'!I14</f>
        <v>792.176392067124</v>
      </c>
      <c r="F15" s="49" t="n">
        <f aca="false">MAX(D15-E15,0)</f>
        <v>2355.14993800298</v>
      </c>
      <c r="G15" s="49" t="n">
        <v>1</v>
      </c>
      <c r="H15" s="49" t="n">
        <v>0</v>
      </c>
      <c r="I15" s="49" t="n">
        <v>25</v>
      </c>
      <c r="J15" s="49" t="n">
        <f aca="false">MAX(F15-H15,0)</f>
        <v>2355.14993800298</v>
      </c>
      <c r="K15" s="65" t="n">
        <f aca="false">MAX(J15-I15,0)</f>
        <v>2330.14993800298</v>
      </c>
      <c r="L15" s="66"/>
      <c r="M15" s="49" t="n">
        <f aca="false">IF(L15="",K15,0)</f>
        <v>2330.14993800298</v>
      </c>
      <c r="N15" s="49" t="n">
        <f aca="false">IF(L15="",0,K15)</f>
        <v>0</v>
      </c>
      <c r="O15" s="50" t="n">
        <f aca="false">IF(C15&gt;0,K15/C15,0)</f>
        <v>47.6015047716697</v>
      </c>
      <c r="P15" s="54" t="n">
        <f aca="false">IF(B15="City neighbourhood",IF($C$4&gt;0,K15/MAX($C$4,C15),0),IF(C15&gt;0,K15/C15,0))</f>
        <v>23.3014993800298</v>
      </c>
      <c r="Q15" s="49" t="n">
        <f aca="false">MAX(D15*(1+$C$5)-E15-H15-I15,0)</f>
        <v>3589.08047003102</v>
      </c>
    </row>
    <row r="16" customFormat="false" ht="15" hidden="false" customHeight="false" outlineLevel="0" collapsed="false">
      <c r="A16" s="19" t="str">
        <f aca="false">'Zoned land vs need'!A15</f>
        <v>Southhill</v>
      </c>
      <c r="B16" s="19" t="str">
        <f aca="false">'Zoned land vs need'!B15</f>
        <v>City neighbourhood</v>
      </c>
      <c r="C16" s="48" t="n">
        <f aca="false">'Zoned land vs need'!C15</f>
        <v>48.9505676680398</v>
      </c>
      <c r="D16" s="49" t="n">
        <f aca="false">'Zoned land vs need'!D15</f>
        <v>1725.63169231812</v>
      </c>
      <c r="E16" s="49" t="n">
        <f aca="false">'Zoned land vs need'!I15</f>
        <v>1201.64307746408</v>
      </c>
      <c r="F16" s="49" t="n">
        <f aca="false">MAX(D16-E16,0)</f>
        <v>523.988614854035</v>
      </c>
      <c r="G16" s="49" t="n">
        <v>10</v>
      </c>
      <c r="H16" s="49" t="n">
        <v>0</v>
      </c>
      <c r="I16" s="49" t="n">
        <v>3914</v>
      </c>
      <c r="J16" s="49" t="n">
        <f aca="false">MAX(F16-H16,0)</f>
        <v>523.988614854035</v>
      </c>
      <c r="K16" s="65" t="n">
        <f aca="false">MAX(J16-I16,0)</f>
        <v>0</v>
      </c>
      <c r="L16" s="66"/>
      <c r="M16" s="49" t="n">
        <f aca="false">IF(L16="",K16,0)</f>
        <v>0</v>
      </c>
      <c r="N16" s="49" t="n">
        <f aca="false">IF(L16="",0,K16)</f>
        <v>0</v>
      </c>
      <c r="O16" s="50" t="n">
        <f aca="false">IF(C16&gt;0,K16/C16,0)</f>
        <v>0</v>
      </c>
      <c r="P16" s="54" t="n">
        <f aca="false">IF(B16="City neighbourhood",IF($C$4&gt;0,K16/MAX($C$4,C16),0),IF(C16&gt;0,K16/C16,0))</f>
        <v>0</v>
      </c>
      <c r="Q16" s="49" t="n">
        <f aca="false">MAX(D16*(1+$C$5)-E16-H16-I16,0)</f>
        <v>0</v>
      </c>
    </row>
    <row r="17" customFormat="false" ht="15" hidden="false" customHeight="false" outlineLevel="0" collapsed="false">
      <c r="A17" s="19" t="str">
        <f aca="false">'Zoned land vs need'!A16</f>
        <v>Abbeyfeale</v>
      </c>
      <c r="B17" s="19" t="str">
        <f aca="false">'Zoned land vs need'!B16</f>
        <v>Key town</v>
      </c>
      <c r="C17" s="48" t="n">
        <f aca="false">'Zoned land vs need'!C16</f>
        <v>25</v>
      </c>
      <c r="D17" s="49" t="n">
        <f aca="false">'Zoned land vs need'!D16</f>
        <v>539.25552756787</v>
      </c>
      <c r="E17" s="49" t="n">
        <f aca="false">'Zoned land vs need'!I16</f>
        <v>357</v>
      </c>
      <c r="F17" s="49" t="n">
        <f aca="false">MAX(D17-E17,0)</f>
        <v>182.25552756787</v>
      </c>
      <c r="G17" s="49" t="n">
        <v>4</v>
      </c>
      <c r="H17" s="49" t="n">
        <v>0</v>
      </c>
      <c r="I17" s="49" t="n">
        <v>460</v>
      </c>
      <c r="J17" s="49" t="n">
        <f aca="false">MAX(F17-H17,0)</f>
        <v>182.25552756787</v>
      </c>
      <c r="K17" s="65" t="n">
        <f aca="false">MAX(J17-I17,0)</f>
        <v>0</v>
      </c>
      <c r="L17" s="66"/>
      <c r="M17" s="49" t="n">
        <f aca="false">IF(L17="",K17,0)</f>
        <v>0</v>
      </c>
      <c r="N17" s="49" t="n">
        <f aca="false">IF(L17="",0,K17)</f>
        <v>0</v>
      </c>
      <c r="O17" s="50" t="n">
        <f aca="false">IF(C17&gt;0,K17/C17,0)</f>
        <v>0</v>
      </c>
      <c r="P17" s="54" t="n">
        <f aca="false">IF(B17="City neighbourhood",IF($C$4&gt;0,K17/MAX($C$4,C17),0),IF(C17&gt;0,K17/C17,0))</f>
        <v>0</v>
      </c>
      <c r="Q17" s="49" t="n">
        <f aca="false">MAX(D17*(1+$C$5)-E17-H17-I17,0)</f>
        <v>0</v>
      </c>
    </row>
    <row r="18" customFormat="false" ht="15" hidden="false" customHeight="false" outlineLevel="0" collapsed="false">
      <c r="A18" s="19" t="str">
        <f aca="false">'Zoned land vs need'!A17</f>
        <v>Caherconlish</v>
      </c>
      <c r="B18" s="19" t="str">
        <f aca="false">'Zoned land vs need'!B17</f>
        <v>Key town</v>
      </c>
      <c r="C18" s="48" t="n">
        <f aca="false">'Zoned land vs need'!C17</f>
        <v>25</v>
      </c>
      <c r="D18" s="49" t="n">
        <f aca="false">'Zoned land vs need'!D17</f>
        <v>319.834312902323</v>
      </c>
      <c r="E18" s="49" t="n">
        <f aca="false">'Zoned land vs need'!I17</f>
        <v>370.5</v>
      </c>
      <c r="F18" s="49" t="n">
        <f aca="false">MAX(D18-E18,0)</f>
        <v>0</v>
      </c>
      <c r="G18" s="49" t="n">
        <v>2</v>
      </c>
      <c r="H18" s="49" t="n">
        <v>0</v>
      </c>
      <c r="I18" s="49" t="n">
        <v>87</v>
      </c>
      <c r="J18" s="49" t="n">
        <f aca="false">MAX(F18-H18,0)</f>
        <v>0</v>
      </c>
      <c r="K18" s="65" t="n">
        <f aca="false">MAX(J18-I18,0)</f>
        <v>0</v>
      </c>
      <c r="L18" s="66"/>
      <c r="M18" s="49" t="n">
        <f aca="false">IF(L18="",K18,0)</f>
        <v>0</v>
      </c>
      <c r="N18" s="49" t="n">
        <f aca="false">IF(L18="",0,K18)</f>
        <v>0</v>
      </c>
      <c r="O18" s="50" t="n">
        <f aca="false">IF(C18&gt;0,K18/C18,0)</f>
        <v>0</v>
      </c>
      <c r="P18" s="54" t="n">
        <f aca="false">IF(B18="City neighbourhood",IF($C$4&gt;0,K18/MAX($C$4,C18),0),IF(C18&gt;0,K18/C18,0))</f>
        <v>0</v>
      </c>
      <c r="Q18" s="49" t="n">
        <f aca="false">MAX(D18*(1+$C$5)-E18-H18-I18,0)</f>
        <v>0</v>
      </c>
    </row>
    <row r="19" customFormat="false" ht="15" hidden="false" customHeight="false" outlineLevel="0" collapsed="false">
      <c r="A19" s="19" t="str">
        <f aca="false">'Zoned land vs need'!A18</f>
        <v>Castleconnell</v>
      </c>
      <c r="B19" s="19" t="str">
        <f aca="false">'Zoned land vs need'!B18</f>
        <v>Key town</v>
      </c>
      <c r="C19" s="48" t="n">
        <f aca="false">'Zoned land vs need'!C18</f>
        <v>35</v>
      </c>
      <c r="D19" s="49" t="n">
        <f aca="false">'Zoned land vs need'!D18</f>
        <v>524.379513014274</v>
      </c>
      <c r="E19" s="49" t="n">
        <f aca="false">'Zoned land vs need'!I18</f>
        <v>826.85</v>
      </c>
      <c r="F19" s="49" t="n">
        <f aca="false">MAX(D19-E19,0)</f>
        <v>0</v>
      </c>
      <c r="G19" s="49" t="n">
        <v>0</v>
      </c>
      <c r="H19" s="49" t="n">
        <v>0</v>
      </c>
      <c r="I19" s="49" t="n">
        <v>0</v>
      </c>
      <c r="J19" s="49" t="n">
        <f aca="false">MAX(F19-H19,0)</f>
        <v>0</v>
      </c>
      <c r="K19" s="65" t="n">
        <f aca="false">MAX(J19-I19,0)</f>
        <v>0</v>
      </c>
      <c r="L19" s="66"/>
      <c r="M19" s="49" t="n">
        <f aca="false">IF(L19="",K19,0)</f>
        <v>0</v>
      </c>
      <c r="N19" s="49" t="n">
        <f aca="false">IF(L19="",0,K19)</f>
        <v>0</v>
      </c>
      <c r="O19" s="50" t="n">
        <f aca="false">IF(C19&gt;0,K19/C19,0)</f>
        <v>0</v>
      </c>
      <c r="P19" s="54" t="n">
        <f aca="false">IF(B19="City neighbourhood",IF($C$4&gt;0,K19/MAX($C$4,C19),0),IF(C19&gt;0,K19/C19,0))</f>
        <v>0</v>
      </c>
      <c r="Q19" s="49" t="n">
        <f aca="false">MAX(D19*(1+$C$5)-E19-H19-I19,0)</f>
        <v>0</v>
      </c>
    </row>
    <row r="20" customFormat="false" ht="15" hidden="false" customHeight="false" outlineLevel="0" collapsed="false">
      <c r="A20" s="19" t="str">
        <f aca="false">'Zoned land vs need'!A19</f>
        <v>Kilmallock</v>
      </c>
      <c r="B20" s="19" t="str">
        <f aca="false">'Zoned land vs need'!B19</f>
        <v>Key town</v>
      </c>
      <c r="C20" s="48" t="n">
        <f aca="false">'Zoned land vs need'!C19</f>
        <v>25</v>
      </c>
      <c r="D20" s="49" t="n">
        <f aca="false">'Zoned land vs need'!D19</f>
        <v>414.6689056815</v>
      </c>
      <c r="E20" s="49" t="n">
        <f aca="false">'Zoned land vs need'!I19</f>
        <v>1032.75</v>
      </c>
      <c r="F20" s="49" t="n">
        <f aca="false">MAX(D20-E20,0)</f>
        <v>0</v>
      </c>
      <c r="G20" s="49" t="n">
        <v>0</v>
      </c>
      <c r="H20" s="49" t="n">
        <v>0</v>
      </c>
      <c r="I20" s="49" t="n">
        <v>0</v>
      </c>
      <c r="J20" s="49" t="n">
        <f aca="false">MAX(F20-H20,0)</f>
        <v>0</v>
      </c>
      <c r="K20" s="65" t="n">
        <f aca="false">MAX(J20-I20,0)</f>
        <v>0</v>
      </c>
      <c r="L20" s="66"/>
      <c r="M20" s="49" t="n">
        <f aca="false">IF(L20="",K20,0)</f>
        <v>0</v>
      </c>
      <c r="N20" s="49" t="n">
        <f aca="false">IF(L20="",0,K20)</f>
        <v>0</v>
      </c>
      <c r="O20" s="50" t="n">
        <f aca="false">IF(C20&gt;0,K20/C20,0)</f>
        <v>0</v>
      </c>
      <c r="P20" s="54" t="n">
        <f aca="false">IF(B20="City neighbourhood",IF($C$4&gt;0,K20/MAX($C$4,C20),0),IF(C20&gt;0,K20/C20,0))</f>
        <v>0</v>
      </c>
      <c r="Q20" s="49" t="n">
        <f aca="false">MAX(D20*(1+$C$5)-E20-H20-I20,0)</f>
        <v>0</v>
      </c>
    </row>
    <row r="21" customFormat="false" ht="15" hidden="false" customHeight="false" outlineLevel="0" collapsed="false">
      <c r="A21" s="19" t="str">
        <f aca="false">'Zoned land vs need'!A20</f>
        <v>Newcastle West</v>
      </c>
      <c r="B21" s="19" t="str">
        <f aca="false">'Zoned land vs need'!B20</f>
        <v>Key town</v>
      </c>
      <c r="C21" s="48" t="n">
        <f aca="false">'Zoned land vs need'!C20</f>
        <v>30</v>
      </c>
      <c r="D21" s="49" t="n">
        <f aca="false">'Zoned land vs need'!D20</f>
        <v>1805.57626644277</v>
      </c>
      <c r="E21" s="49" t="n">
        <f aca="false">'Zoned land vs need'!I20</f>
        <v>2890.6</v>
      </c>
      <c r="F21" s="49" t="n">
        <f aca="false">MAX(D21-E21,0)</f>
        <v>0</v>
      </c>
      <c r="G21" s="49" t="n">
        <v>0</v>
      </c>
      <c r="H21" s="49" t="n">
        <v>0</v>
      </c>
      <c r="I21" s="49" t="n">
        <v>0</v>
      </c>
      <c r="J21" s="49" t="n">
        <f aca="false">MAX(F21-H21,0)</f>
        <v>0</v>
      </c>
      <c r="K21" s="65" t="n">
        <f aca="false">MAX(J21-I21,0)</f>
        <v>0</v>
      </c>
      <c r="L21" s="66"/>
      <c r="M21" s="49" t="n">
        <f aca="false">IF(L21="",K21,0)</f>
        <v>0</v>
      </c>
      <c r="N21" s="49" t="n">
        <f aca="false">IF(L21="",0,K21)</f>
        <v>0</v>
      </c>
      <c r="O21" s="50" t="n">
        <f aca="false">IF(C21&gt;0,K21/C21,0)</f>
        <v>0</v>
      </c>
      <c r="P21" s="54" t="n">
        <f aca="false">IF(B21="City neighbourhood",IF($C$4&gt;0,K21/MAX($C$4,C21),0),IF(C21&gt;0,K21/C21,0))</f>
        <v>0</v>
      </c>
      <c r="Q21" s="49" t="n">
        <f aca="false">MAX(D21*(1+$C$5)-E21-H21-I21,0)</f>
        <v>0</v>
      </c>
    </row>
    <row r="22" customFormat="false" ht="15" hidden="false" customHeight="false" outlineLevel="0" collapsed="false">
      <c r="A22" s="19" t="str">
        <f aca="false">'Zoned land vs need'!A21</f>
        <v>Rathkeale</v>
      </c>
      <c r="B22" s="19" t="str">
        <f aca="false">'Zoned land vs need'!B21</f>
        <v>Key town</v>
      </c>
      <c r="C22" s="48" t="n">
        <f aca="false">'Zoned land vs need'!C21</f>
        <v>25</v>
      </c>
      <c r="D22" s="49" t="n">
        <f aca="false">'Zoned land vs need'!D21</f>
        <v>375.61936747831</v>
      </c>
      <c r="E22" s="49" t="n">
        <f aca="false">'Zoned land vs need'!I21</f>
        <v>1377.75</v>
      </c>
      <c r="F22" s="49" t="n">
        <f aca="false">MAX(D22-E22,0)</f>
        <v>0</v>
      </c>
      <c r="G22" s="49" t="n">
        <v>4</v>
      </c>
      <c r="H22" s="49" t="n">
        <v>64</v>
      </c>
      <c r="I22" s="49" t="n">
        <v>0</v>
      </c>
      <c r="J22" s="49" t="n">
        <f aca="false">MAX(F22-H22,0)</f>
        <v>0</v>
      </c>
      <c r="K22" s="65" t="n">
        <f aca="false">MAX(J22-I22,0)</f>
        <v>0</v>
      </c>
      <c r="L22" s="66"/>
      <c r="M22" s="49" t="n">
        <f aca="false">IF(L22="",K22,0)</f>
        <v>0</v>
      </c>
      <c r="N22" s="49" t="n">
        <f aca="false">IF(L22="",0,K22)</f>
        <v>0</v>
      </c>
      <c r="O22" s="50" t="n">
        <f aca="false">IF(C22&gt;0,K22/C22,0)</f>
        <v>0</v>
      </c>
      <c r="P22" s="54" t="n">
        <f aca="false">IF(B22="City neighbourhood",IF($C$4&gt;0,K22/MAX($C$4,C22),0),IF(C22&gt;0,K22/C22,0))</f>
        <v>0</v>
      </c>
      <c r="Q22" s="49" t="n">
        <f aca="false">MAX(D22*(1+$C$5)-E22-H22-I22,0)</f>
        <v>0</v>
      </c>
    </row>
    <row r="23" customFormat="false" ht="15" hidden="false" customHeight="false" outlineLevel="0" collapsed="false">
      <c r="A23" s="19" t="str">
        <f aca="false">'Zoned land vs need'!A22</f>
        <v>Adare</v>
      </c>
      <c r="B23" s="19" t="str">
        <f aca="false">'Zoned land vs need'!B22</f>
        <v>Village</v>
      </c>
      <c r="C23" s="48" t="n">
        <f aca="false">'Zoned land vs need'!C22</f>
        <v>22</v>
      </c>
      <c r="D23" s="49" t="n">
        <f aca="false">'Zoned land vs need'!D22</f>
        <v>371.90036383991</v>
      </c>
      <c r="E23" s="49" t="n">
        <f aca="false">'Zoned land vs need'!I22</f>
        <v>437.62</v>
      </c>
      <c r="F23" s="49" t="n">
        <f aca="false">MAX(D23-E23,0)</f>
        <v>0</v>
      </c>
      <c r="G23" s="49" t="n">
        <v>6</v>
      </c>
      <c r="H23" s="49" t="n">
        <v>50</v>
      </c>
      <c r="I23" s="49" t="n">
        <v>120</v>
      </c>
      <c r="J23" s="49" t="n">
        <f aca="false">MAX(F23-H23,0)</f>
        <v>0</v>
      </c>
      <c r="K23" s="65" t="n">
        <f aca="false">MAX(J23-I23,0)</f>
        <v>0</v>
      </c>
      <c r="L23" s="66"/>
      <c r="M23" s="49" t="n">
        <f aca="false">IF(L23="",K23,0)</f>
        <v>0</v>
      </c>
      <c r="N23" s="49" t="n">
        <f aca="false">IF(L23="",0,K23)</f>
        <v>0</v>
      </c>
      <c r="O23" s="50" t="n">
        <f aca="false">IF(C23&gt;0,K23/C23,0)</f>
        <v>0</v>
      </c>
      <c r="P23" s="54" t="n">
        <f aca="false">IF(B23="City neighbourhood",IF($C$4&gt;0,K23/MAX($C$4,C23),0),IF(C23&gt;0,K23/C23,0))</f>
        <v>0</v>
      </c>
      <c r="Q23" s="49" t="n">
        <f aca="false">MAX(D23*(1+$C$5)-E23-H23-I23,0)</f>
        <v>0</v>
      </c>
    </row>
    <row r="24" customFormat="false" ht="15" hidden="false" customHeight="false" outlineLevel="0" collapsed="false">
      <c r="A24" s="19" t="str">
        <f aca="false">'Zoned land vs need'!A23</f>
        <v>Askeaton</v>
      </c>
      <c r="B24" s="19" t="str">
        <f aca="false">'Zoned land vs need'!B23</f>
        <v>Village</v>
      </c>
      <c r="C24" s="48" t="n">
        <f aca="false">'Zoned land vs need'!C23</f>
        <v>22</v>
      </c>
      <c r="D24" s="49" t="n">
        <f aca="false">'Zoned land vs need'!D23</f>
        <v>303.098796529527</v>
      </c>
      <c r="E24" s="49" t="n">
        <f aca="false">'Zoned land vs need'!I23</f>
        <v>519.64</v>
      </c>
      <c r="F24" s="49" t="n">
        <f aca="false">MAX(D24-E24,0)</f>
        <v>0</v>
      </c>
      <c r="G24" s="49" t="n">
        <v>0</v>
      </c>
      <c r="H24" s="49" t="n">
        <v>0</v>
      </c>
      <c r="I24" s="49" t="n">
        <v>0</v>
      </c>
      <c r="J24" s="49" t="n">
        <f aca="false">MAX(F24-H24,0)</f>
        <v>0</v>
      </c>
      <c r="K24" s="65" t="n">
        <f aca="false">MAX(J24-I24,0)</f>
        <v>0</v>
      </c>
      <c r="L24" s="66"/>
      <c r="M24" s="49" t="n">
        <f aca="false">IF(L24="",K24,0)</f>
        <v>0</v>
      </c>
      <c r="N24" s="49" t="n">
        <f aca="false">IF(L24="",0,K24)</f>
        <v>0</v>
      </c>
      <c r="O24" s="50" t="n">
        <f aca="false">IF(C24&gt;0,K24/C24,0)</f>
        <v>0</v>
      </c>
      <c r="P24" s="54" t="n">
        <f aca="false">IF(B24="City neighbourhood",IF($C$4&gt;0,K24/MAX($C$4,C24),0),IF(C24&gt;0,K24/C24,0))</f>
        <v>0</v>
      </c>
      <c r="Q24" s="49" t="n">
        <f aca="false">MAX(D24*(1+$C$5)-E24-H24-I24,0)</f>
        <v>0</v>
      </c>
    </row>
    <row r="25" customFormat="false" ht="15" hidden="false" customHeight="false" outlineLevel="0" collapsed="false">
      <c r="A25" s="19" t="str">
        <f aca="false">'Zoned land vs need'!A24</f>
        <v>Bruff</v>
      </c>
      <c r="B25" s="19" t="str">
        <f aca="false">'Zoned land vs need'!B24</f>
        <v>Village</v>
      </c>
      <c r="C25" s="48" t="n">
        <f aca="false">'Zoned land vs need'!C24</f>
        <v>22</v>
      </c>
      <c r="D25" s="49" t="n">
        <f aca="false">'Zoned land vs need'!D24</f>
        <v>211.983207388749</v>
      </c>
      <c r="E25" s="49" t="n">
        <f aca="false">'Zoned land vs need'!I24</f>
        <v>151.04</v>
      </c>
      <c r="F25" s="49" t="n">
        <f aca="false">MAX(D25-E25,0)</f>
        <v>60.943207388749</v>
      </c>
      <c r="G25" s="49" t="n">
        <v>15</v>
      </c>
      <c r="H25" s="49" t="n">
        <v>45</v>
      </c>
      <c r="I25" s="49" t="n">
        <v>145</v>
      </c>
      <c r="J25" s="49" t="n">
        <f aca="false">MAX(F25-H25,0)</f>
        <v>15.943207388749</v>
      </c>
      <c r="K25" s="65" t="n">
        <f aca="false">MAX(J25-I25,0)</f>
        <v>0</v>
      </c>
      <c r="L25" s="66"/>
      <c r="M25" s="49" t="n">
        <f aca="false">IF(L25="",K25,0)</f>
        <v>0</v>
      </c>
      <c r="N25" s="49" t="n">
        <f aca="false">IF(L25="",0,K25)</f>
        <v>0</v>
      </c>
      <c r="O25" s="50" t="n">
        <f aca="false">IF(C25&gt;0,K25/C25,0)</f>
        <v>0</v>
      </c>
      <c r="P25" s="54" t="n">
        <f aca="false">IF(B25="City neighbourhood",IF($C$4&gt;0,K25/MAX($C$4,C25),0),IF(C25&gt;0,K25/C25,0))</f>
        <v>0</v>
      </c>
      <c r="Q25" s="49" t="n">
        <f aca="false">MAX(D25*(1+$C$5)-E25-H25-I25,0)</f>
        <v>0</v>
      </c>
    </row>
    <row r="26" customFormat="false" ht="15" hidden="false" customHeight="false" outlineLevel="0" collapsed="false">
      <c r="A26" s="19" t="str">
        <f aca="false">'Zoned land vs need'!A25</f>
        <v>Cappamore</v>
      </c>
      <c r="B26" s="19" t="str">
        <f aca="false">'Zoned land vs need'!B25</f>
        <v>Village</v>
      </c>
      <c r="C26" s="48" t="n">
        <f aca="false">'Zoned land vs need'!C25</f>
        <v>22</v>
      </c>
      <c r="D26" s="49" t="n">
        <f aca="false">'Zoned land vs need'!D25</f>
        <v>165.49566190876</v>
      </c>
      <c r="E26" s="49" t="n">
        <f aca="false">'Zoned land vs need'!I25</f>
        <v>58.26</v>
      </c>
      <c r="F26" s="49" t="n">
        <f aca="false">MAX(D26-E26,0)</f>
        <v>107.23566190876</v>
      </c>
      <c r="G26" s="49" t="n">
        <v>7</v>
      </c>
      <c r="H26" s="49" t="n">
        <v>33</v>
      </c>
      <c r="I26" s="49" t="n">
        <v>202</v>
      </c>
      <c r="J26" s="49" t="n">
        <f aca="false">MAX(F26-H26,0)</f>
        <v>74.2356619087602</v>
      </c>
      <c r="K26" s="65" t="n">
        <f aca="false">MAX(J26-I26,0)</f>
        <v>0</v>
      </c>
      <c r="L26" s="66"/>
      <c r="M26" s="49" t="n">
        <f aca="false">IF(L26="",K26,0)</f>
        <v>0</v>
      </c>
      <c r="N26" s="49" t="n">
        <f aca="false">IF(L26="",0,K26)</f>
        <v>0</v>
      </c>
      <c r="O26" s="50" t="n">
        <f aca="false">IF(C26&gt;0,K26/C26,0)</f>
        <v>0</v>
      </c>
      <c r="P26" s="54" t="n">
        <f aca="false">IF(B26="City neighbourhood",IF($C$4&gt;0,K26/MAX($C$4,C26),0),IF(C26&gt;0,K26/C26,0))</f>
        <v>0</v>
      </c>
      <c r="Q26" s="49" t="n">
        <f aca="false">MAX(D26*(1+$C$5)-E26-H26-I26,0)</f>
        <v>0</v>
      </c>
    </row>
    <row r="27" customFormat="false" ht="15" hidden="false" customHeight="false" outlineLevel="0" collapsed="false">
      <c r="A27" s="19" t="str">
        <f aca="false">'Zoned land vs need'!A26</f>
        <v>Croom</v>
      </c>
      <c r="B27" s="19" t="str">
        <f aca="false">'Zoned land vs need'!B26</f>
        <v>Village</v>
      </c>
      <c r="C27" s="48" t="n">
        <f aca="false">'Zoned land vs need'!C26</f>
        <v>22</v>
      </c>
      <c r="D27" s="49" t="n">
        <f aca="false">'Zoned land vs need'!D26</f>
        <v>265.908760145536</v>
      </c>
      <c r="E27" s="49" t="n">
        <f aca="false">'Zoned land vs need'!I26</f>
        <v>347.82</v>
      </c>
      <c r="F27" s="49" t="n">
        <f aca="false">MAX(D27-E27,0)</f>
        <v>0</v>
      </c>
      <c r="G27" s="49" t="n">
        <v>5</v>
      </c>
      <c r="H27" s="49" t="n">
        <v>50</v>
      </c>
      <c r="I27" s="49" t="n">
        <v>12</v>
      </c>
      <c r="J27" s="49" t="n">
        <f aca="false">MAX(F27-H27,0)</f>
        <v>0</v>
      </c>
      <c r="K27" s="65" t="n">
        <f aca="false">MAX(J27-I27,0)</f>
        <v>0</v>
      </c>
      <c r="L27" s="66"/>
      <c r="M27" s="49" t="n">
        <f aca="false">IF(L27="",K27,0)</f>
        <v>0</v>
      </c>
      <c r="N27" s="49" t="n">
        <f aca="false">IF(L27="",0,K27)</f>
        <v>0</v>
      </c>
      <c r="O27" s="50" t="n">
        <f aca="false">IF(C27&gt;0,K27/C27,0)</f>
        <v>0</v>
      </c>
      <c r="P27" s="54" t="n">
        <f aca="false">IF(B27="City neighbourhood",IF($C$4&gt;0,K27/MAX($C$4,C27),0),IF(C27&gt;0,K27/C27,0))</f>
        <v>0</v>
      </c>
      <c r="Q27" s="49" t="n">
        <f aca="false">MAX(D27*(1+$C$5)-E27-H27-I27,0)</f>
        <v>0</v>
      </c>
    </row>
    <row r="28" customFormat="false" ht="15" hidden="false" customHeight="false" outlineLevel="0" collapsed="false">
      <c r="A28" s="19" t="str">
        <f aca="false">'Zoned land vs need'!A27</f>
        <v>Hospital</v>
      </c>
      <c r="B28" s="19" t="str">
        <f aca="false">'Zoned land vs need'!B27</f>
        <v>Village</v>
      </c>
      <c r="C28" s="48" t="n">
        <f aca="false">'Zoned land vs need'!C27</f>
        <v>22</v>
      </c>
      <c r="D28" s="49" t="n">
        <f aca="false">'Zoned land vs need'!D27</f>
        <v>163.636160089561</v>
      </c>
      <c r="E28" s="49" t="n">
        <f aca="false">'Zoned land vs need'!I27</f>
        <v>132</v>
      </c>
      <c r="F28" s="49" t="n">
        <f aca="false">MAX(D28-E28,0)</f>
        <v>31.6361600895606</v>
      </c>
      <c r="G28" s="49" t="n">
        <v>8</v>
      </c>
      <c r="H28" s="49" t="n">
        <v>26</v>
      </c>
      <c r="I28" s="49" t="n">
        <v>122</v>
      </c>
      <c r="J28" s="49" t="n">
        <f aca="false">MAX(F28-H28,0)</f>
        <v>5.6361600895606</v>
      </c>
      <c r="K28" s="65" t="n">
        <f aca="false">MAX(J28-I28,0)</f>
        <v>0</v>
      </c>
      <c r="L28" s="66"/>
      <c r="M28" s="49" t="n">
        <f aca="false">IF(L28="",K28,0)</f>
        <v>0</v>
      </c>
      <c r="N28" s="49" t="n">
        <f aca="false">IF(L28="",0,K28)</f>
        <v>0</v>
      </c>
      <c r="O28" s="50" t="n">
        <f aca="false">IF(C28&gt;0,K28/C28,0)</f>
        <v>0</v>
      </c>
      <c r="P28" s="54" t="n">
        <f aca="false">IF(B28="City neighbourhood",IF($C$4&gt;0,K28/MAX($C$4,C28),0),IF(C28&gt;0,K28/C28,0))</f>
        <v>0</v>
      </c>
      <c r="Q28" s="49" t="n">
        <f aca="false">MAX(D28*(1+$C$5)-E28-H28-I28,0)</f>
        <v>0</v>
      </c>
    </row>
    <row r="29" customFormat="false" ht="15" hidden="false" customHeight="false" outlineLevel="0" collapsed="false">
      <c r="A29" s="19" t="str">
        <f aca="false">'Zoned land vs need'!A28</f>
        <v>Kilfinnane</v>
      </c>
      <c r="B29" s="19" t="str">
        <f aca="false">'Zoned land vs need'!B28</f>
        <v>Village</v>
      </c>
      <c r="C29" s="48" t="n">
        <f aca="false">'Zoned land vs need'!C28</f>
        <v>22</v>
      </c>
      <c r="D29" s="49" t="n">
        <f aca="false">'Zoned land vs need'!D28</f>
        <v>208.26420375035</v>
      </c>
      <c r="E29" s="49" t="n">
        <f aca="false">'Zoned land vs need'!I28</f>
        <v>88.8</v>
      </c>
      <c r="F29" s="49" t="n">
        <f aca="false">MAX(D29-E29,0)</f>
        <v>119.46420375035</v>
      </c>
      <c r="G29" s="49" t="n">
        <v>8</v>
      </c>
      <c r="H29" s="49" t="n">
        <v>3</v>
      </c>
      <c r="I29" s="49" t="n">
        <v>105</v>
      </c>
      <c r="J29" s="49" t="n">
        <f aca="false">MAX(F29-H29,0)</f>
        <v>116.46420375035</v>
      </c>
      <c r="K29" s="65" t="n">
        <f aca="false">MAX(J29-I29,0)</f>
        <v>11.4642037503499</v>
      </c>
      <c r="L29" s="66"/>
      <c r="M29" s="49" t="n">
        <f aca="false">IF(L29="",K29,0)</f>
        <v>11.4642037503499</v>
      </c>
      <c r="N29" s="49" t="n">
        <f aca="false">IF(L29="",0,K29)</f>
        <v>0</v>
      </c>
      <c r="O29" s="50" t="n">
        <f aca="false">IF(C29&gt;0,K29/C29,0)</f>
        <v>0.521100170470448</v>
      </c>
      <c r="P29" s="54" t="n">
        <f aca="false">IF(B29="City neighbourhood",IF($C$4&gt;0,K29/MAX($C$4,C29),0),IF(C29&gt;0,K29/C29,0))</f>
        <v>0.521100170470448</v>
      </c>
      <c r="Q29" s="49" t="n">
        <f aca="false">MAX(D29*(1+$C$5)-E29-H29-I29,0)</f>
        <v>94.7698852504898</v>
      </c>
    </row>
    <row r="30" customFormat="false" ht="15" hidden="false" customHeight="false" outlineLevel="0" collapsed="false">
      <c r="A30" s="19" t="str">
        <f aca="false">'Zoned land vs need'!A29</f>
        <v>Moroe</v>
      </c>
      <c r="B30" s="19" t="str">
        <f aca="false">'Zoned land vs need'!B29</f>
        <v>Village</v>
      </c>
      <c r="C30" s="48" t="n">
        <f aca="false">'Zoned land vs need'!C29</f>
        <v>22</v>
      </c>
      <c r="D30" s="49" t="n">
        <f aca="false">'Zoned land vs need'!D29</f>
        <v>299.379792891128</v>
      </c>
      <c r="E30" s="49" t="n">
        <f aca="false">'Zoned land vs need'!I29</f>
        <v>140.28</v>
      </c>
      <c r="F30" s="49" t="n">
        <f aca="false">MAX(D30-E30,0)</f>
        <v>159.099792891128</v>
      </c>
      <c r="G30" s="49" t="n">
        <v>10</v>
      </c>
      <c r="H30" s="49" t="n">
        <v>48</v>
      </c>
      <c r="I30" s="49" t="n">
        <v>190</v>
      </c>
      <c r="J30" s="49" t="n">
        <f aca="false">MAX(F30-H30,0)</f>
        <v>111.099792891128</v>
      </c>
      <c r="K30" s="65" t="n">
        <f aca="false">MAX(J30-I30,0)</f>
        <v>0</v>
      </c>
      <c r="L30" s="66"/>
      <c r="M30" s="49" t="n">
        <f aca="false">IF(L30="",K30,0)</f>
        <v>0</v>
      </c>
      <c r="N30" s="49" t="n">
        <f aca="false">IF(L30="",0,K30)</f>
        <v>0</v>
      </c>
      <c r="O30" s="50" t="n">
        <f aca="false">IF(C30&gt;0,K30/C30,0)</f>
        <v>0</v>
      </c>
      <c r="P30" s="54" t="n">
        <f aca="false">IF(B30="City neighbourhood",IF($C$4&gt;0,K30/MAX($C$4,C30),0),IF(C30&gt;0,K30/C30,0))</f>
        <v>0</v>
      </c>
      <c r="Q30" s="49" t="n">
        <f aca="false">MAX(D30*(1+$C$5)-E30-H30-I30,0)</f>
        <v>40.8517100475791</v>
      </c>
    </row>
    <row r="31" customFormat="false" ht="15" hidden="false" customHeight="false" outlineLevel="0" collapsed="false">
      <c r="A31" s="19" t="str">
        <f aca="false">'Zoned land vs need'!A30</f>
        <v>Patrickswell</v>
      </c>
      <c r="B31" s="19" t="str">
        <f aca="false">'Zoned land vs need'!B30</f>
        <v>Village</v>
      </c>
      <c r="C31" s="48" t="n">
        <f aca="false">'Zoned land vs need'!C30</f>
        <v>25</v>
      </c>
      <c r="D31" s="49" t="n">
        <f aca="false">'Zoned land vs need'!D30</f>
        <v>743.800727679821</v>
      </c>
      <c r="E31" s="49" t="n">
        <f aca="false">'Zoned land vs need'!I30</f>
        <v>538</v>
      </c>
      <c r="F31" s="49" t="n">
        <f aca="false">MAX(D31-E31,0)</f>
        <v>205.800727679821</v>
      </c>
      <c r="G31" s="49" t="n">
        <v>5</v>
      </c>
      <c r="H31" s="49" t="n">
        <v>83</v>
      </c>
      <c r="I31" s="49" t="n">
        <v>956</v>
      </c>
      <c r="J31" s="49" t="n">
        <f aca="false">MAX(F31-H31,0)</f>
        <v>122.800727679821</v>
      </c>
      <c r="K31" s="65" t="n">
        <f aca="false">MAX(J31-I31,0)</f>
        <v>0</v>
      </c>
      <c r="L31" s="66"/>
      <c r="M31" s="49" t="n">
        <f aca="false">IF(L31="",K31,0)</f>
        <v>0</v>
      </c>
      <c r="N31" s="49" t="n">
        <f aca="false">IF(L31="",0,K31)</f>
        <v>0</v>
      </c>
      <c r="O31" s="50" t="n">
        <f aca="false">IF(C31&gt;0,K31/C31,0)</f>
        <v>0</v>
      </c>
      <c r="P31" s="54" t="n">
        <f aca="false">IF(B31="City neighbourhood",IF($C$4&gt;0,K31/MAX($C$4,C31),0),IF(C31&gt;0,K31/C31,0))</f>
        <v>0</v>
      </c>
      <c r="Q31" s="49" t="n">
        <f aca="false">MAX(D31*(1+$C$5)-E31-H31-I31,0)</f>
        <v>0</v>
      </c>
    </row>
    <row r="32" customFormat="false" ht="15" hidden="false" customHeight="false" outlineLevel="0" collapsed="false">
      <c r="A32" s="55" t="s">
        <v>251</v>
      </c>
      <c r="B32" s="55"/>
      <c r="C32" s="55"/>
      <c r="D32" s="57" t="n">
        <f aca="false">SUM(D8:D31)</f>
        <v>35970.2031905962</v>
      </c>
      <c r="E32" s="57" t="n">
        <f aca="false">SUM(E8:E31)</f>
        <v>25735.1715858092</v>
      </c>
      <c r="F32" s="57" t="n">
        <f aca="false">SUM(F8:F31)</f>
        <v>13657.5753187528</v>
      </c>
      <c r="G32" s="57" t="n">
        <f aca="false">SUM(G8:G31)</f>
        <v>142</v>
      </c>
      <c r="H32" s="57" t="n">
        <f aca="false">SUM(H8:H31)</f>
        <v>1151</v>
      </c>
      <c r="I32" s="57" t="n">
        <f aca="false">SUM(I8:I31)</f>
        <v>13518</v>
      </c>
      <c r="J32" s="57" t="n">
        <f aca="false">SUM(J8:J31)</f>
        <v>12670.5753187528</v>
      </c>
      <c r="K32" s="57" t="n">
        <f aca="false">SUM(K8:K31)</f>
        <v>6150.01046268883</v>
      </c>
      <c r="L32" s="55"/>
      <c r="M32" s="57" t="n">
        <f aca="false">SUM(M8:M31)</f>
        <v>5614.66986082424</v>
      </c>
      <c r="N32" s="57" t="n">
        <f aca="false">SUM(N8:N31)</f>
        <v>535.34060186459</v>
      </c>
      <c r="O32" s="58" t="n">
        <f aca="false">SUM(O8:O31)</f>
        <v>137.469851621861</v>
      </c>
      <c r="P32" s="58" t="n">
        <f aca="false">SUM(P8:P31)</f>
        <v>61.9065627598553</v>
      </c>
      <c r="Q32" s="57" t="n">
        <f aca="false">SUM(Q8:Q31)</f>
        <v>15461.4809903077</v>
      </c>
    </row>
    <row r="33" customFormat="false" ht="15" hidden="false" customHeight="false" outlineLevel="0" collapsed="false">
      <c r="A33" s="45" t="s">
        <v>298</v>
      </c>
      <c r="G33" s="60" t="n">
        <v>29</v>
      </c>
      <c r="I33" s="60" t="n">
        <v>6665</v>
      </c>
      <c r="J33" s="45" t="s">
        <v>299</v>
      </c>
    </row>
    <row r="35" customFormat="false" ht="15" hidden="false" customHeight="false" outlineLevel="0" collapsed="false">
      <c r="A35" s="61" t="s">
        <v>208</v>
      </c>
    </row>
    <row r="36" customFormat="false" ht="42" hidden="false" customHeight="true" outlineLevel="0" collapsed="false">
      <c r="A36" s="47" t="s">
        <v>133</v>
      </c>
      <c r="B36" s="47"/>
      <c r="C36" s="47"/>
      <c r="D36" s="47" t="s">
        <v>254</v>
      </c>
      <c r="E36" s="47" t="s">
        <v>257</v>
      </c>
      <c r="F36" s="47" t="s">
        <v>300</v>
      </c>
      <c r="G36" s="47" t="s">
        <v>286</v>
      </c>
      <c r="H36" s="47" t="s">
        <v>301</v>
      </c>
      <c r="I36" s="47" t="s">
        <v>302</v>
      </c>
      <c r="J36" s="47" t="s">
        <v>303</v>
      </c>
      <c r="K36" s="47" t="s">
        <v>304</v>
      </c>
      <c r="L36" s="47" t="s">
        <v>305</v>
      </c>
      <c r="M36" s="47" t="s">
        <v>306</v>
      </c>
      <c r="N36" s="47" t="s">
        <v>307</v>
      </c>
      <c r="O36" s="47" t="s">
        <v>308</v>
      </c>
      <c r="P36" s="47" t="s">
        <v>309</v>
      </c>
      <c r="Q36" s="47" t="s">
        <v>310</v>
      </c>
    </row>
    <row r="37" customFormat="false" ht="15" hidden="false" customHeight="false" outlineLevel="0" collapsed="false">
      <c r="A37" s="19" t="s">
        <v>154</v>
      </c>
      <c r="D37" s="49" t="n">
        <f aca="false">SUMIFS(D$8:D$31,$B$8:$B$31,$A37)</f>
        <v>29257.4016232858</v>
      </c>
      <c r="E37" s="49" t="n">
        <f aca="false">SUMIFS(E$8:E$31,$B$8:$B$31,$A37)</f>
        <v>16466.2615858092</v>
      </c>
      <c r="F37" s="49" t="n">
        <f aca="false">SUMIFS(F$8:F$31,$B$8:$B$31,$A37)</f>
        <v>12791.1400374766</v>
      </c>
      <c r="G37" s="49" t="n">
        <f aca="false">SUMIFS(G$8:G$31,$B$8:$B$31,$A37)</f>
        <v>68</v>
      </c>
      <c r="H37" s="49" t="n">
        <f aca="false">SUMIFS(H$8:H$31,$B$8:$B$31,$A37)</f>
        <v>749</v>
      </c>
      <c r="I37" s="49" t="n">
        <f aca="false">SUMIFS(I$8:I$31,$B$8:$B$31,$A37)</f>
        <v>11119</v>
      </c>
      <c r="J37" s="49" t="n">
        <f aca="false">SUMIFS(J$8:J$31,$B$8:$B$31,$A37)</f>
        <v>12042.1400374766</v>
      </c>
      <c r="K37" s="49" t="n">
        <f aca="false">SUMIFS(K$8:K$31,$B$8:$B$31,$A37)</f>
        <v>6138.54625893848</v>
      </c>
      <c r="L37" s="19" t="n">
        <f aca="false">COUNTIFS($B$8:$B$31,$A37,$K$8:$K$31,"&gt;0")</f>
        <v>7</v>
      </c>
      <c r="M37" s="49" t="n">
        <f aca="false">SUMIFS(M$8:M$31,$B$8:$B$31,$A37)</f>
        <v>5603.20565707389</v>
      </c>
      <c r="N37" s="49" t="n">
        <f aca="false">SUMIFS(N$8:N$31,$B$8:$B$31,$A37)</f>
        <v>535.34060186459</v>
      </c>
      <c r="O37" s="50" t="n">
        <f aca="false">SUMIFS(O$8:O$31,$B$8:$B$31,$A37)</f>
        <v>136.94875145139</v>
      </c>
      <c r="P37" s="50" t="n">
        <f aca="false">SUMIFS(P$8:P$31,$B$8:$B$31,$A37)</f>
        <v>61.3854625893848</v>
      </c>
      <c r="Q37" s="49" t="n">
        <f aca="false">SUMIFS(Q$8:Q$31,$B$8:$B$31,$A37)</f>
        <v>15325.8593950096</v>
      </c>
    </row>
    <row r="38" customFormat="false" ht="15" hidden="false" customHeight="false" outlineLevel="0" collapsed="false">
      <c r="A38" s="19" t="s">
        <v>173</v>
      </c>
      <c r="D38" s="49" t="n">
        <f aca="false">SUMIFS(D$8:D$31,$B$8:$B$31,$A38)</f>
        <v>3979.33389308704</v>
      </c>
      <c r="E38" s="49" t="n">
        <f aca="false">SUMIFS(E$8:E$31,$B$8:$B$31,$A38)</f>
        <v>6855.45</v>
      </c>
      <c r="F38" s="49" t="n">
        <f aca="false">SUMIFS(F$8:F$31,$B$8:$B$31,$A38)</f>
        <v>182.25552756787</v>
      </c>
      <c r="G38" s="49" t="n">
        <f aca="false">SUMIFS(G$8:G$31,$B$8:$B$31,$A38)</f>
        <v>10</v>
      </c>
      <c r="H38" s="49" t="n">
        <f aca="false">SUMIFS(H$8:H$31,$B$8:$B$31,$A38)</f>
        <v>64</v>
      </c>
      <c r="I38" s="49" t="n">
        <f aca="false">SUMIFS(I$8:I$31,$B$8:$B$31,$A38)</f>
        <v>547</v>
      </c>
      <c r="J38" s="49" t="n">
        <f aca="false">SUMIFS(J$8:J$31,$B$8:$B$31,$A38)</f>
        <v>182.25552756787</v>
      </c>
      <c r="K38" s="49" t="n">
        <f aca="false">SUMIFS(K$8:K$31,$B$8:$B$31,$A38)</f>
        <v>0</v>
      </c>
      <c r="L38" s="19" t="n">
        <f aca="false">COUNTIFS($B$8:$B$31,$A38,$K$8:$K$31,"&gt;0")</f>
        <v>0</v>
      </c>
      <c r="M38" s="49" t="n">
        <f aca="false">SUMIFS(M$8:M$31,$B$8:$B$31,$A38)</f>
        <v>0</v>
      </c>
      <c r="N38" s="49" t="n">
        <f aca="false">SUMIFS(N$8:N$31,$B$8:$B$31,$A38)</f>
        <v>0</v>
      </c>
      <c r="O38" s="50" t="n">
        <f aca="false">SUMIFS(O$8:O$31,$B$8:$B$31,$A38)</f>
        <v>0</v>
      </c>
      <c r="P38" s="50" t="n">
        <f aca="false">SUMIFS(P$8:P$31,$B$8:$B$31,$A38)</f>
        <v>0</v>
      </c>
      <c r="Q38" s="49" t="n">
        <f aca="false">SUMIFS(Q$8:Q$31,$B$8:$B$31,$A38)</f>
        <v>0</v>
      </c>
    </row>
    <row r="39" customFormat="false" ht="15" hidden="false" customHeight="false" outlineLevel="0" collapsed="false">
      <c r="A39" s="19" t="s">
        <v>186</v>
      </c>
      <c r="D39" s="49" t="n">
        <f aca="false">SUMIFS(D$8:D$31,$B$8:$B$31,$A39)</f>
        <v>2733.46767422334</v>
      </c>
      <c r="E39" s="49" t="n">
        <f aca="false">SUMIFS(E$8:E$31,$B$8:$B$31,$A39)</f>
        <v>2413.46</v>
      </c>
      <c r="F39" s="49" t="n">
        <f aca="false">SUMIFS(F$8:F$31,$B$8:$B$31,$A39)</f>
        <v>684.179753708368</v>
      </c>
      <c r="G39" s="49" t="n">
        <f aca="false">SUMIFS(G$8:G$31,$B$8:$B$31,$A39)</f>
        <v>64</v>
      </c>
      <c r="H39" s="49" t="n">
        <f aca="false">SUMIFS(H$8:H$31,$B$8:$B$31,$A39)</f>
        <v>338</v>
      </c>
      <c r="I39" s="49" t="n">
        <f aca="false">SUMIFS(I$8:I$31,$B$8:$B$31,$A39)</f>
        <v>1852</v>
      </c>
      <c r="J39" s="49" t="n">
        <f aca="false">SUMIFS(J$8:J$31,$B$8:$B$31,$A39)</f>
        <v>446.179753708368</v>
      </c>
      <c r="K39" s="49" t="n">
        <f aca="false">SUMIFS(K$8:K$31,$B$8:$B$31,$A39)</f>
        <v>11.4642037503499</v>
      </c>
      <c r="L39" s="19" t="n">
        <f aca="false">COUNTIFS($B$8:$B$31,$A39,$K$8:$K$31,"&gt;0")</f>
        <v>1</v>
      </c>
      <c r="M39" s="49" t="n">
        <f aca="false">SUMIFS(M$8:M$31,$B$8:$B$31,$A39)</f>
        <v>11.4642037503499</v>
      </c>
      <c r="N39" s="49" t="n">
        <f aca="false">SUMIFS(N$8:N$31,$B$8:$B$31,$A39)</f>
        <v>0</v>
      </c>
      <c r="O39" s="50" t="n">
        <f aca="false">SUMIFS(O$8:O$31,$B$8:$B$31,$A39)</f>
        <v>0.521100170470448</v>
      </c>
      <c r="P39" s="50" t="n">
        <f aca="false">SUMIFS(P$8:P$31,$B$8:$B$31,$A39)</f>
        <v>0.521100170470448</v>
      </c>
      <c r="Q39" s="49" t="n">
        <f aca="false">SUMIFS(Q$8:Q$31,$B$8:$B$31,$A39)</f>
        <v>135.621595298069</v>
      </c>
    </row>
    <row r="42" customFormat="false" ht="15" hidden="false" customHeight="false" outlineLevel="0" collapsed="false">
      <c r="A42" s="61" t="s">
        <v>311</v>
      </c>
    </row>
    <row r="43" customFormat="false" ht="15" hidden="false" customHeight="false" outlineLevel="0" collapsed="false">
      <c r="A43" s="19" t="str">
        <f aca="false">"Key towns: "&amp;TEXT(F38,"#,##0")&amp;" homes short now across "&amp;COUNTIFS($B$8:$B$31,"Key town",$F$8:$F$31,"&gt;0")&amp;" town(s); after opportunity sites, "&amp;TEXT(K38,"#,##0")&amp;" short."</f>
        <v>Key towns: 182 homes short now across 1 town(s); after opportunity sites, 0 short.</v>
      </c>
    </row>
    <row r="44" customFormat="false" ht="15" hidden="false" customHeight="false" outlineLevel="0" collapsed="false">
      <c r="A44" s="19" t="str">
        <f aca="false">"Villages: "&amp;TEXT(F39,"#,##0")&amp;" homes short now across "&amp;COUNTIFS($B$8:$B$31,"Village",$F$8:$F$31,"&gt;0")&amp;" villages; after opportunity sites where zoning allows, "&amp;TEXT(J39,"#,##0")&amp;"; after all opportunity sites, "&amp;TEXT(K39,"#,##0")&amp;"."</f>
        <v>Villages: 684 homes short now across 6 villages; after opportunity sites where zoning allows, 446; after all opportunity sites, 11.</v>
      </c>
    </row>
    <row r="45" customFormat="false" ht="15" hidden="false" customHeight="false" outlineLevel="0" collapsed="false">
      <c r="A45" s="19" t="str">
        <f aca="false">"City neighbourhoods: "&amp;TEXT(F37,"#,##0")&amp;" homes short now. Opportunity sites where zoning allows cover "&amp;TEXT(F37-J37,"#,##0")&amp;"; with rezoned opportunity sites, "&amp;TEXT(F37-K37,"#,##0")&amp;". That leaves "&amp;TEXT(K37,"#,##0")&amp;" homes for infill on sites not yet identified."</f>
        <v>City neighbourhoods: 12,791 homes short now. Opportunity sites where zoning allows cover 749; with rezoned opportunity sites, 6,653. That leaves 6,139 homes for infill on sites not yet identified.</v>
      </c>
    </row>
    <row r="46" customFormat="false" ht="15" hidden="false" customHeight="false" outlineLevel="0" collapsed="false">
      <c r="A46" s="19" t="str">
        <f aca="false">"That remaining city infill needs about "&amp;TEXT(O37,"#,##0")&amp;" ha at Council densities, or about "&amp;TEXT(P37,"#,##0")&amp;" ha at "&amp;$C$4&amp;" homes/ha."</f>
        <v>That remaining city infill needs about 137 ha at Council densities, or about 61 ha at 100 homes/ha.</v>
      </c>
    </row>
    <row r="47" customFormat="false" ht="15" hidden="false" customHeight="false" outlineLevel="0" collapsed="false">
      <c r="A47" s="19" t="str">
        <f aca="false">"Constrained catchments (flagged in column L) leave "&amp;TEXT(N32,"#,##0")&amp;" homes to be placed in other neighbourhoods."</f>
        <v>Constrained catchments (flagged in column L) leave 535 homes to be placed in other neighbourhoods.</v>
      </c>
    </row>
    <row r="50" customFormat="false" ht="15" hidden="false" customHeight="false" outlineLevel="0" collapsed="false">
      <c r="A50" s="61" t="s">
        <v>312</v>
      </c>
    </row>
    <row r="51" customFormat="false" ht="15" hidden="false" customHeight="false" outlineLevel="0" collapsed="false">
      <c r="A51" s="18" t="s">
        <v>313</v>
      </c>
      <c r="D51" s="45" t="s">
        <v>314</v>
      </c>
    </row>
    <row r="52" customFormat="false" ht="15" hidden="false" customHeight="false" outlineLevel="0" collapsed="false">
      <c r="A52" s="18" t="s">
        <v>315</v>
      </c>
      <c r="D52" s="45" t="s">
        <v>316</v>
      </c>
    </row>
    <row r="53" customFormat="false" ht="15" hidden="false" customHeight="false" outlineLevel="0" collapsed="false">
      <c r="A53" s="18" t="s">
        <v>317</v>
      </c>
      <c r="D53" s="45" t="s">
        <v>318</v>
      </c>
    </row>
    <row r="54" customFormat="false" ht="15" hidden="false" customHeight="false" outlineLevel="0" collapsed="false">
      <c r="A54" s="18" t="s">
        <v>319</v>
      </c>
      <c r="D54" s="45" t="s">
        <v>320</v>
      </c>
    </row>
    <row r="55" customFormat="false" ht="15" hidden="false" customHeight="false" outlineLevel="0" collapsed="false">
      <c r="A55" s="18" t="s">
        <v>321</v>
      </c>
      <c r="D55" s="45" t="s">
        <v>322</v>
      </c>
    </row>
    <row r="56" customFormat="false" ht="15" hidden="false" customHeight="false" outlineLevel="0" collapsed="false">
      <c r="A56" s="18" t="s">
        <v>323</v>
      </c>
      <c r="D56" s="45" t="s">
        <v>324</v>
      </c>
    </row>
    <row r="57" customFormat="false" ht="15" hidden="false" customHeight="false" outlineLevel="0" collapsed="false">
      <c r="A57" s="18" t="s">
        <v>325</v>
      </c>
      <c r="D57" s="45" t="s">
        <v>326</v>
      </c>
    </row>
    <row r="60" customFormat="false" ht="15" hidden="false" customHeight="false" outlineLevel="0" collapsed="false">
      <c r="A60" s="61" t="s">
        <v>327</v>
      </c>
    </row>
    <row r="61" customFormat="false" ht="15" hidden="false" customHeight="false" outlineLevel="0" collapsed="false">
      <c r="A61" s="45" t="s">
        <v>328</v>
      </c>
    </row>
    <row r="62" customFormat="false" ht="15" hidden="false" customHeight="false" outlineLevel="0" collapsed="false">
      <c r="A62" s="45" t="s">
        <v>329</v>
      </c>
    </row>
    <row r="63" customFormat="false" ht="15" hidden="false" customHeight="false" outlineLevel="0" collapsed="false">
      <c r="A63" s="45" t="s">
        <v>330</v>
      </c>
    </row>
    <row r="64" customFormat="false" ht="15" hidden="false" customHeight="false" outlineLevel="0" collapsed="false">
      <c r="A64" s="45" t="s">
        <v>331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6CDA9"/>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153</v>
      </c>
    </row>
    <row r="2" customFormat="false" ht="15" hidden="false" customHeight="true" outlineLevel="0" collapsed="false">
      <c r="A2" s="3" t="str">
        <f aca="false">Model!$B$46&amp;" · new homes per year, 2026–"&amp;Model!$B$3&amp;" · set by the levers on the Intro tab"</f>
        <v>City neighbourhood · new homes per year, 2026–2040 · set by the levers on the Intro tab</v>
      </c>
    </row>
    <row r="4" customFormat="false" ht="15" hidden="false" customHeight="true" outlineLevel="0" collapsed="false">
      <c r="A4" s="13" t="s">
        <v>332</v>
      </c>
      <c r="C4" s="67" t="n">
        <f aca="false">Model!$D$46</f>
        <v>0.0303168564612339</v>
      </c>
    </row>
    <row r="5" customFormat="false" ht="15" hidden="false" customHeight="true" outlineLevel="0" collapsed="false">
      <c r="A5" s="13" t="s">
        <v>53</v>
      </c>
      <c r="C5" s="14" t="n">
        <f aca="false">Model!$E$46</f>
        <v>1208.55116597063</v>
      </c>
    </row>
    <row r="6" customFormat="false" ht="15" hidden="false" customHeight="true" outlineLevel="0" collapsed="false">
      <c r="A6" s="13" t="s">
        <v>99</v>
      </c>
      <c r="C6" s="15" t="n">
        <f aca="false">Model!$Q$46</f>
        <v>0.276027861874792</v>
      </c>
    </row>
    <row r="7" customFormat="false" ht="15" hidden="false" customHeight="true" outlineLevel="0" collapsed="false">
      <c r="A7" s="13" t="s">
        <v>100</v>
      </c>
      <c r="C7" s="15" t="n">
        <f aca="false">Model!$G$46</f>
        <v>0.0841</v>
      </c>
    </row>
    <row r="8" customFormat="false" ht="15" hidden="false" customHeight="true" outlineLevel="0" collapsed="false">
      <c r="A8" s="13" t="s">
        <v>101</v>
      </c>
      <c r="C8" s="15" t="n">
        <f aca="false">Model!$R$46</f>
        <v>0.162237322984355</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IF($A13&lt;=Model!$B$3,Data!$B$4*Model!$D$46,0)</f>
        <v>129.24075909424</v>
      </c>
      <c r="C13" s="21" t="n">
        <f aca="false">$B13*IF(Model!$B$5=1,Data!$D$4,Model!$AC$46)</f>
        <v>33.4316503942184</v>
      </c>
      <c r="D13" s="21" t="n">
        <f aca="false">$B13*IF(Model!$B$5=1,Data!$E$4,Model!$AD$46)</f>
        <v>40.9181577807749</v>
      </c>
      <c r="E13" s="21" t="n">
        <f aca="false">$B13*IF(Model!$B$5=1,Data!$F$4,Model!$AE$46)</f>
        <v>23.9143899918752</v>
      </c>
      <c r="F13" s="21" t="n">
        <f aca="false">$B13*IF(Model!$B$5=1,Data!$G$4,Model!$AF$46)</f>
        <v>30.9765609273718</v>
      </c>
      <c r="G13" s="21" t="n">
        <f aca="false">$B13*Model!$S$46</f>
        <v>62.9430947613013</v>
      </c>
      <c r="H13" s="21" t="n">
        <f aca="false">$B13*Model!$T$46</f>
        <v>15.7172112243102</v>
      </c>
      <c r="I13" s="21" t="n">
        <f aca="false">$B13*Model!$U$46</f>
        <v>7.45320135438521</v>
      </c>
      <c r="J13" s="21" t="n">
        <f aca="false">$B13*Model!$V$46</f>
        <v>7.45320135438521</v>
      </c>
      <c r="K13" s="21" t="n">
        <f aca="false">$B13*Model!$W$46</f>
        <v>24.1885483939881</v>
      </c>
      <c r="L13" s="21" t="n">
        <f aca="false">$B13*Model!$X$46</f>
        <v>6.62885274779316</v>
      </c>
      <c r="M13" s="21" t="n">
        <f aca="false">$B13*Model!$Y$46</f>
        <v>3.80144412679567</v>
      </c>
      <c r="N13" s="21" t="n">
        <f aca="false">$B13*Model!$Z$46</f>
        <v>0.392319856502044</v>
      </c>
      <c r="O13" s="21" t="n">
        <f aca="false">$B13*Model!$AA$46</f>
        <v>0.662885274779316</v>
      </c>
    </row>
    <row r="14" customFormat="false" ht="15" hidden="false" customHeight="true" outlineLevel="0" collapsed="false">
      <c r="A14" s="23" t="n">
        <v>2027</v>
      </c>
      <c r="B14" s="21" t="n">
        <f aca="false">IF($A14&lt;=Model!$B$3,Data!$B$5*Model!$D$46,0)</f>
        <v>129.24075909424</v>
      </c>
      <c r="C14" s="21" t="n">
        <f aca="false">$B14*IF(Model!$B$5=1,Data!$D$5,Model!$AC$46)</f>
        <v>32.4920482525857</v>
      </c>
      <c r="D14" s="21" t="n">
        <f aca="false">$B14*IF(Model!$B$5=1,Data!$E$5,Model!$AD$46)</f>
        <v>41.039396766792</v>
      </c>
      <c r="E14" s="21" t="n">
        <f aca="false">$B14*IF(Model!$B$5=1,Data!$F$5,Model!$AE$46)</f>
        <v>23.8537704988666</v>
      </c>
      <c r="F14" s="21" t="n">
        <f aca="false">$B14*IF(Model!$B$5=1,Data!$G$5,Model!$AF$46)</f>
        <v>31.8555435759959</v>
      </c>
      <c r="G14" s="21" t="n">
        <f aca="false">$B14*Model!$S$46</f>
        <v>62.9430947613013</v>
      </c>
      <c r="H14" s="21" t="n">
        <f aca="false">$B14*Model!$T$46</f>
        <v>15.7172112243102</v>
      </c>
      <c r="I14" s="21" t="n">
        <f aca="false">$B14*Model!$U$46</f>
        <v>7.45320135438521</v>
      </c>
      <c r="J14" s="21" t="n">
        <f aca="false">$B14*Model!$V$46</f>
        <v>7.45320135438521</v>
      </c>
      <c r="K14" s="21" t="n">
        <f aca="false">$B14*Model!$W$46</f>
        <v>24.1885483939881</v>
      </c>
      <c r="L14" s="21" t="n">
        <f aca="false">$B14*Model!$X$46</f>
        <v>6.62885274779316</v>
      </c>
      <c r="M14" s="21" t="n">
        <f aca="false">$B14*Model!$Y$46</f>
        <v>3.80144412679567</v>
      </c>
      <c r="N14" s="21" t="n">
        <f aca="false">$B14*Model!$Z$46</f>
        <v>0.392319856502044</v>
      </c>
      <c r="O14" s="21" t="n">
        <f aca="false">$B14*Model!$AA$46</f>
        <v>0.662885274779316</v>
      </c>
    </row>
    <row r="15" customFormat="false" ht="15" hidden="false" customHeight="true" outlineLevel="0" collapsed="false">
      <c r="A15" s="23" t="n">
        <v>2028</v>
      </c>
      <c r="B15" s="21" t="n">
        <f aca="false">IF($A15&lt;=Model!$B$3,Data!$B$6*Model!$D$46,0)</f>
        <v>129.24075909424</v>
      </c>
      <c r="C15" s="21" t="n">
        <f aca="false">$B15*IF(Model!$B$5=1,Data!$D$6,Model!$AC$46)</f>
        <v>32.3859996979467</v>
      </c>
      <c r="D15" s="21" t="n">
        <f aca="false">$B15*IF(Model!$B$5=1,Data!$E$6,Model!$AD$46)</f>
        <v>41.0586550477713</v>
      </c>
      <c r="E15" s="21" t="n">
        <f aca="false">$B15*IF(Model!$B$5=1,Data!$F$6,Model!$AE$46)</f>
        <v>23.8649641968951</v>
      </c>
      <c r="F15" s="21" t="n">
        <f aca="false">$B15*IF(Model!$B$5=1,Data!$G$6,Model!$AF$46)</f>
        <v>31.9311401516271</v>
      </c>
      <c r="G15" s="21" t="n">
        <f aca="false">$B15*Model!$S$46</f>
        <v>62.9430947613013</v>
      </c>
      <c r="H15" s="21" t="n">
        <f aca="false">$B15*Model!$T$46</f>
        <v>15.7172112243102</v>
      </c>
      <c r="I15" s="21" t="n">
        <f aca="false">$B15*Model!$U$46</f>
        <v>7.45320135438521</v>
      </c>
      <c r="J15" s="21" t="n">
        <f aca="false">$B15*Model!$V$46</f>
        <v>7.45320135438521</v>
      </c>
      <c r="K15" s="21" t="n">
        <f aca="false">$B15*Model!$W$46</f>
        <v>24.1885483939881</v>
      </c>
      <c r="L15" s="21" t="n">
        <f aca="false">$B15*Model!$X$46</f>
        <v>6.62885274779316</v>
      </c>
      <c r="M15" s="21" t="n">
        <f aca="false">$B15*Model!$Y$46</f>
        <v>3.80144412679567</v>
      </c>
      <c r="N15" s="21" t="n">
        <f aca="false">$B15*Model!$Z$46</f>
        <v>0.392319856502044</v>
      </c>
      <c r="O15" s="21" t="n">
        <f aca="false">$B15*Model!$AA$46</f>
        <v>0.662885274779316</v>
      </c>
    </row>
    <row r="16" customFormat="false" ht="15" hidden="false" customHeight="true" outlineLevel="0" collapsed="false">
      <c r="A16" s="23" t="n">
        <v>2029</v>
      </c>
      <c r="B16" s="21" t="n">
        <f aca="false">IF($A16&lt;=Model!$B$3,Data!$B$7*Model!$D$46,0)</f>
        <v>129.24075909424</v>
      </c>
      <c r="C16" s="21" t="n">
        <f aca="false">$B16*IF(Model!$B$5=1,Data!$D$7,Model!$AC$46)</f>
        <v>32.0449172795243</v>
      </c>
      <c r="D16" s="21" t="n">
        <f aca="false">$B16*IF(Model!$B$5=1,Data!$E$7,Model!$AD$46)</f>
        <v>40.8368056532821</v>
      </c>
      <c r="E16" s="21" t="n">
        <f aca="false">$B16*IF(Model!$B$5=1,Data!$F$7,Model!$AE$46)</f>
        <v>23.707781752685</v>
      </c>
      <c r="F16" s="21" t="n">
        <f aca="false">$B16*IF(Model!$B$5=1,Data!$G$7,Model!$AF$46)</f>
        <v>32.6512544087489</v>
      </c>
      <c r="G16" s="21" t="n">
        <f aca="false">$B16*Model!$S$46</f>
        <v>62.9430947613013</v>
      </c>
      <c r="H16" s="21" t="n">
        <f aca="false">$B16*Model!$T$46</f>
        <v>15.7172112243102</v>
      </c>
      <c r="I16" s="21" t="n">
        <f aca="false">$B16*Model!$U$46</f>
        <v>7.45320135438521</v>
      </c>
      <c r="J16" s="21" t="n">
        <f aca="false">$B16*Model!$V$46</f>
        <v>7.45320135438521</v>
      </c>
      <c r="K16" s="21" t="n">
        <f aca="false">$B16*Model!$W$46</f>
        <v>24.1885483939881</v>
      </c>
      <c r="L16" s="21" t="n">
        <f aca="false">$B16*Model!$X$46</f>
        <v>6.62885274779316</v>
      </c>
      <c r="M16" s="21" t="n">
        <f aca="false">$B16*Model!$Y$46</f>
        <v>3.80144412679567</v>
      </c>
      <c r="N16" s="21" t="n">
        <f aca="false">$B16*Model!$Z$46</f>
        <v>0.392319856502044</v>
      </c>
      <c r="O16" s="21" t="n">
        <f aca="false">$B16*Model!$AA$46</f>
        <v>0.662885274779316</v>
      </c>
    </row>
    <row r="17" customFormat="false" ht="15" hidden="false" customHeight="true" outlineLevel="0" collapsed="false">
      <c r="A17" s="23" t="n">
        <v>2030</v>
      </c>
      <c r="B17" s="21" t="n">
        <f aca="false">IF($A17&lt;=Model!$B$3,Data!$B$8*Model!$D$46,0)</f>
        <v>129.24075909424</v>
      </c>
      <c r="C17" s="21" t="n">
        <f aca="false">$B17*IF(Model!$B$5=1,Data!$D$8,Model!$AC$46)</f>
        <v>31.9917880911364</v>
      </c>
      <c r="D17" s="21" t="n">
        <f aca="false">$B17*IF(Model!$B$5=1,Data!$E$8,Model!$AD$46)</f>
        <v>40.2399078643962</v>
      </c>
      <c r="E17" s="21" t="n">
        <f aca="false">$B17*IF(Model!$B$5=1,Data!$F$8,Model!$AE$46)</f>
        <v>23.7436683178766</v>
      </c>
      <c r="F17" s="21" t="n">
        <f aca="false">$B17*IF(Model!$B$5=1,Data!$G$8,Model!$AF$46)</f>
        <v>33.2653948208309</v>
      </c>
      <c r="G17" s="21" t="n">
        <f aca="false">$B17*Model!$S$46</f>
        <v>62.9430947613013</v>
      </c>
      <c r="H17" s="21" t="n">
        <f aca="false">$B17*Model!$T$46</f>
        <v>15.7172112243102</v>
      </c>
      <c r="I17" s="21" t="n">
        <f aca="false">$B17*Model!$U$46</f>
        <v>7.45320135438521</v>
      </c>
      <c r="J17" s="21" t="n">
        <f aca="false">$B17*Model!$V$46</f>
        <v>7.45320135438521</v>
      </c>
      <c r="K17" s="21" t="n">
        <f aca="false">$B17*Model!$W$46</f>
        <v>24.1885483939881</v>
      </c>
      <c r="L17" s="21" t="n">
        <f aca="false">$B17*Model!$X$46</f>
        <v>6.62885274779316</v>
      </c>
      <c r="M17" s="21" t="n">
        <f aca="false">$B17*Model!$Y$46</f>
        <v>3.80144412679567</v>
      </c>
      <c r="N17" s="21" t="n">
        <f aca="false">$B17*Model!$Z$46</f>
        <v>0.392319856502044</v>
      </c>
      <c r="O17" s="21" t="n">
        <f aca="false">$B17*Model!$AA$46</f>
        <v>0.662885274779316</v>
      </c>
    </row>
    <row r="18" customFormat="false" ht="15" hidden="false" customHeight="true" outlineLevel="0" collapsed="false">
      <c r="A18" s="23" t="n">
        <v>2031</v>
      </c>
      <c r="B18" s="21" t="n">
        <f aca="false">IF($A18&lt;=Model!$B$3,Data!$B$9*Model!$D$46,0)</f>
        <v>65.7269448079552</v>
      </c>
      <c r="C18" s="21" t="n">
        <f aca="false">$B18*IF(Model!$B$5=1,Data!$D$9,Model!$AC$46)</f>
        <v>15.1887450870782</v>
      </c>
      <c r="D18" s="21" t="n">
        <f aca="false">$B18*IF(Model!$B$5=1,Data!$E$9,Model!$AD$46)</f>
        <v>19.9788084079532</v>
      </c>
      <c r="E18" s="21" t="n">
        <f aca="false">$B18*IF(Model!$B$5=1,Data!$F$9,Model!$AE$46)</f>
        <v>12.4905448620284</v>
      </c>
      <c r="F18" s="21" t="n">
        <f aca="false">$B18*IF(Model!$B$5=1,Data!$G$9,Model!$AF$46)</f>
        <v>18.0688464508954</v>
      </c>
      <c r="G18" s="21" t="n">
        <f aca="false">$B18*Model!$S$46</f>
        <v>32.0104690224024</v>
      </c>
      <c r="H18" s="21" t="n">
        <f aca="false">$B18*Model!$T$46</f>
        <v>7.99317708991428</v>
      </c>
      <c r="I18" s="21" t="n">
        <f aca="false">$B18*Model!$U$46</f>
        <v>3.79041532636808</v>
      </c>
      <c r="J18" s="21" t="n">
        <f aca="false">$B18*Model!$V$46</f>
        <v>3.79041532636808</v>
      </c>
      <c r="K18" s="21" t="n">
        <f aca="false">$B18*Model!$W$46</f>
        <v>12.3013776491124</v>
      </c>
      <c r="L18" s="21" t="n">
        <f aca="false">$B18*Model!$X$46</f>
        <v>3.37118291278808</v>
      </c>
      <c r="M18" s="21" t="n">
        <f aca="false">$B18*Model!$Y$46</f>
        <v>1.93327020100704</v>
      </c>
      <c r="N18" s="21" t="n">
        <f aca="false">$B18*Model!$Z$46</f>
        <v>0.199518988716029</v>
      </c>
      <c r="O18" s="21" t="n">
        <f aca="false">$B18*Model!$AA$46</f>
        <v>0.337118291278808</v>
      </c>
    </row>
    <row r="19" customFormat="false" ht="15" hidden="false" customHeight="true" outlineLevel="0" collapsed="false">
      <c r="A19" s="23" t="n">
        <v>2032</v>
      </c>
      <c r="B19" s="21" t="n">
        <f aca="false">IF($A19&lt;=Model!$B$3,Data!$B$10*Model!$D$46,0)</f>
        <v>65.7269448079552</v>
      </c>
      <c r="C19" s="21" t="n">
        <f aca="false">$B19*IF(Model!$B$5=1,Data!$D$10,Model!$AC$46)</f>
        <v>14.6127248143148</v>
      </c>
      <c r="D19" s="21" t="n">
        <f aca="false">$B19*IF(Model!$B$5=1,Data!$E$10,Model!$AD$46)</f>
        <v>19.5846892739571</v>
      </c>
      <c r="E19" s="21" t="n">
        <f aca="false">$B19*IF(Model!$B$5=1,Data!$F$10,Model!$AE$46)</f>
        <v>12.702762857257</v>
      </c>
      <c r="F19" s="21" t="n">
        <f aca="false">$B19*IF(Model!$B$5=1,Data!$G$10,Model!$AF$46)</f>
        <v>18.8267678624263</v>
      </c>
      <c r="G19" s="21" t="n">
        <f aca="false">$B19*Model!$S$46</f>
        <v>32.0104690224024</v>
      </c>
      <c r="H19" s="21" t="n">
        <f aca="false">$B19*Model!$T$46</f>
        <v>7.99317708991428</v>
      </c>
      <c r="I19" s="21" t="n">
        <f aca="false">$B19*Model!$U$46</f>
        <v>3.79041532636808</v>
      </c>
      <c r="J19" s="21" t="n">
        <f aca="false">$B19*Model!$V$46</f>
        <v>3.79041532636808</v>
      </c>
      <c r="K19" s="21" t="n">
        <f aca="false">$B19*Model!$W$46</f>
        <v>12.3013776491124</v>
      </c>
      <c r="L19" s="21" t="n">
        <f aca="false">$B19*Model!$X$46</f>
        <v>3.37118291278808</v>
      </c>
      <c r="M19" s="21" t="n">
        <f aca="false">$B19*Model!$Y$46</f>
        <v>1.93327020100704</v>
      </c>
      <c r="N19" s="21" t="n">
        <f aca="false">$B19*Model!$Z$46</f>
        <v>0.199518988716029</v>
      </c>
      <c r="O19" s="21" t="n">
        <f aca="false">$B19*Model!$AA$46</f>
        <v>0.337118291278808</v>
      </c>
    </row>
    <row r="20" customFormat="false" ht="15" hidden="false" customHeight="true" outlineLevel="0" collapsed="false">
      <c r="A20" s="23" t="n">
        <v>2033</v>
      </c>
      <c r="B20" s="21" t="n">
        <f aca="false">IF($A20&lt;=Model!$B$3,Data!$B$11*Model!$D$46,0)</f>
        <v>65.7269448079552</v>
      </c>
      <c r="C20" s="21" t="n">
        <f aca="false">$B20*IF(Model!$B$5=1,Data!$D$11,Model!$AC$46)</f>
        <v>14.4981447245974</v>
      </c>
      <c r="D20" s="21" t="n">
        <f aca="false">$B20*IF(Model!$B$5=1,Data!$E$11,Model!$AD$46)</f>
        <v>19.6543886643078</v>
      </c>
      <c r="E20" s="21" t="n">
        <f aca="false">$B20*IF(Model!$B$5=1,Data!$F$11,Model!$AE$46)</f>
        <v>12.7086247690509</v>
      </c>
      <c r="F20" s="21" t="n">
        <f aca="false">$B20*IF(Model!$B$5=1,Data!$G$11,Model!$AF$46)</f>
        <v>18.8657866499992</v>
      </c>
      <c r="G20" s="21" t="n">
        <f aca="false">$B20*Model!$S$46</f>
        <v>32.0104690224024</v>
      </c>
      <c r="H20" s="21" t="n">
        <f aca="false">$B20*Model!$T$46</f>
        <v>7.99317708991428</v>
      </c>
      <c r="I20" s="21" t="n">
        <f aca="false">$B20*Model!$U$46</f>
        <v>3.79041532636808</v>
      </c>
      <c r="J20" s="21" t="n">
        <f aca="false">$B20*Model!$V$46</f>
        <v>3.79041532636808</v>
      </c>
      <c r="K20" s="21" t="n">
        <f aca="false">$B20*Model!$W$46</f>
        <v>12.3013776491124</v>
      </c>
      <c r="L20" s="21" t="n">
        <f aca="false">$B20*Model!$X$46</f>
        <v>3.37118291278808</v>
      </c>
      <c r="M20" s="21" t="n">
        <f aca="false">$B20*Model!$Y$46</f>
        <v>1.93327020100704</v>
      </c>
      <c r="N20" s="21" t="n">
        <f aca="false">$B20*Model!$Z$46</f>
        <v>0.199518988716029</v>
      </c>
      <c r="O20" s="21" t="n">
        <f aca="false">$B20*Model!$AA$46</f>
        <v>0.337118291278808</v>
      </c>
    </row>
    <row r="21" customFormat="false" ht="15" hidden="false" customHeight="true" outlineLevel="0" collapsed="false">
      <c r="A21" s="23" t="n">
        <v>2034</v>
      </c>
      <c r="B21" s="21" t="n">
        <f aca="false">IF($A21&lt;=Model!$B$3,Data!$B$12*Model!$D$46,0)</f>
        <v>65.7269448079552</v>
      </c>
      <c r="C21" s="21" t="n">
        <f aca="false">$B21*IF(Model!$B$5=1,Data!$D$12,Model!$AC$46)</f>
        <v>14.3701899626249</v>
      </c>
      <c r="D21" s="21" t="n">
        <f aca="false">$B21*IF(Model!$B$5=1,Data!$E$12,Model!$AD$46)</f>
        <v>19.7059566998021</v>
      </c>
      <c r="E21" s="21" t="n">
        <f aca="false">$B21*IF(Model!$B$5=1,Data!$F$12,Model!$AE$46)</f>
        <v>12.702762857257</v>
      </c>
      <c r="F21" s="21" t="n">
        <f aca="false">$B21*IF(Model!$B$5=1,Data!$G$12,Model!$AF$46)</f>
        <v>18.9480352882712</v>
      </c>
      <c r="G21" s="21" t="n">
        <f aca="false">$B21*Model!$S$46</f>
        <v>32.0104690224024</v>
      </c>
      <c r="H21" s="21" t="n">
        <f aca="false">$B21*Model!$T$46</f>
        <v>7.99317708991428</v>
      </c>
      <c r="I21" s="21" t="n">
        <f aca="false">$B21*Model!$U$46</f>
        <v>3.79041532636808</v>
      </c>
      <c r="J21" s="21" t="n">
        <f aca="false">$B21*Model!$V$46</f>
        <v>3.79041532636808</v>
      </c>
      <c r="K21" s="21" t="n">
        <f aca="false">$B21*Model!$W$46</f>
        <v>12.3013776491124</v>
      </c>
      <c r="L21" s="21" t="n">
        <f aca="false">$B21*Model!$X$46</f>
        <v>3.37118291278808</v>
      </c>
      <c r="M21" s="21" t="n">
        <f aca="false">$B21*Model!$Y$46</f>
        <v>1.93327020100704</v>
      </c>
      <c r="N21" s="21" t="n">
        <f aca="false">$B21*Model!$Z$46</f>
        <v>0.199518988716029</v>
      </c>
      <c r="O21" s="21" t="n">
        <f aca="false">$B21*Model!$AA$46</f>
        <v>0.337118291278808</v>
      </c>
    </row>
    <row r="22" customFormat="false" ht="15" hidden="false" customHeight="true" outlineLevel="0" collapsed="false">
      <c r="A22" s="23" t="n">
        <v>2035</v>
      </c>
      <c r="B22" s="21" t="n">
        <f aca="false">IF($A22&lt;=Model!$B$3,Data!$B$13*Model!$D$46,0)</f>
        <v>63.5138142862851</v>
      </c>
      <c r="C22" s="21" t="n">
        <f aca="false">$B22*IF(Model!$B$5=1,Data!$D$13,Model!$AC$46)</f>
        <v>13.612268551094</v>
      </c>
      <c r="D22" s="21" t="n">
        <f aca="false">$B22*IF(Model!$B$5=1,Data!$E$13,Model!$AD$46)</f>
        <v>18.7661341495038</v>
      </c>
      <c r="E22" s="21" t="n">
        <f aca="false">$B22*IF(Model!$B$5=1,Data!$F$13,Model!$AE$46)</f>
        <v>12.187376297416</v>
      </c>
      <c r="F22" s="21" t="n">
        <f aca="false">$B22*IF(Model!$B$5=1,Data!$G$13,Model!$AF$46)</f>
        <v>18.9480352882712</v>
      </c>
      <c r="G22" s="21" t="n">
        <f aca="false">$B22*Model!$S$46</f>
        <v>30.932625738899</v>
      </c>
      <c r="H22" s="21" t="n">
        <f aca="false">$B22*Model!$T$46</f>
        <v>7.72403413439595</v>
      </c>
      <c r="I22" s="21" t="n">
        <f aca="false">$B22*Model!$U$46</f>
        <v>3.66278602801713</v>
      </c>
      <c r="J22" s="21" t="n">
        <f aca="false">$B22*Model!$V$46</f>
        <v>3.66278602801713</v>
      </c>
      <c r="K22" s="21" t="n">
        <f aca="false">$B22*Model!$W$46</f>
        <v>11.8871707448757</v>
      </c>
      <c r="L22" s="21" t="n">
        <f aca="false">$B22*Model!$X$46</f>
        <v>3.25766983500508</v>
      </c>
      <c r="M22" s="21" t="n">
        <f aca="false">$B22*Model!$Y$46</f>
        <v>1.86817392578863</v>
      </c>
      <c r="N22" s="21" t="n">
        <f aca="false">$B22*Model!$Z$46</f>
        <v>0.192800867786015</v>
      </c>
      <c r="O22" s="21" t="n">
        <f aca="false">$B22*Model!$AA$46</f>
        <v>0.325766983500508</v>
      </c>
    </row>
    <row r="23" customFormat="false" ht="15" hidden="false" customHeight="true" outlineLevel="0" collapsed="false">
      <c r="A23" s="23" t="n">
        <v>2036</v>
      </c>
      <c r="B23" s="21" t="n">
        <f aca="false">IF($A23&lt;=Model!$B$3,Data!$B$14*Model!$D$46,0)</f>
        <v>48.1128512039782</v>
      </c>
      <c r="C23" s="21" t="n">
        <f aca="false">$B23*IF(Model!$B$5=1,Data!$D$14,Model!$AC$46)</f>
        <v>11.6064136238767</v>
      </c>
      <c r="D23" s="21" t="n">
        <f aca="false">$B23*IF(Model!$B$5=1,Data!$E$14,Model!$AD$46)</f>
        <v>14.9283164765562</v>
      </c>
      <c r="E23" s="21" t="n">
        <f aca="false">$B23*IF(Model!$B$5=1,Data!$F$14,Model!$AE$46)</f>
        <v>8.99688271477403</v>
      </c>
      <c r="F23" s="21" t="n">
        <f aca="false">$B23*IF(Model!$B$5=1,Data!$G$14,Model!$AF$46)</f>
        <v>12.5812383887713</v>
      </c>
      <c r="G23" s="21" t="n">
        <f aca="false">$B23*Model!$S$46</f>
        <v>23.4320176838342</v>
      </c>
      <c r="H23" s="21" t="n">
        <f aca="false">$B23*Model!$T$46</f>
        <v>5.85109411517249</v>
      </c>
      <c r="I23" s="21" t="n">
        <f aca="false">$B23*Model!$U$46</f>
        <v>2.7746259792187</v>
      </c>
      <c r="J23" s="21" t="n">
        <f aca="false">$B23*Model!$V$46</f>
        <v>2.7746259792187</v>
      </c>
      <c r="K23" s="21" t="n">
        <f aca="false">$B23*Model!$W$46</f>
        <v>9.00474461676263</v>
      </c>
      <c r="L23" s="21" t="n">
        <f aca="false">$B23*Model!$X$46</f>
        <v>2.46774321152891</v>
      </c>
      <c r="M23" s="21" t="n">
        <f aca="false">$B23*Model!$Y$46</f>
        <v>1.41517518865229</v>
      </c>
      <c r="N23" s="21" t="n">
        <f aca="false">$B23*Model!$Z$46</f>
        <v>0.146050108437425</v>
      </c>
      <c r="O23" s="21" t="n">
        <f aca="false">$B23*Model!$AA$46</f>
        <v>0.246774321152891</v>
      </c>
    </row>
    <row r="24" customFormat="false" ht="15" hidden="false" customHeight="true" outlineLevel="0" collapsed="false">
      <c r="A24" s="23" t="n">
        <v>2037</v>
      </c>
      <c r="B24" s="21" t="n">
        <f aca="false">IF($A24&lt;=Model!$B$3,Data!$B$15*Model!$D$46,0)</f>
        <v>47.7187320699822</v>
      </c>
      <c r="C24" s="21" t="n">
        <f aca="false">$B24*IF(Model!$B$5=1,Data!$D$15,Model!$AC$46)</f>
        <v>11.5113390321247</v>
      </c>
      <c r="D24" s="21" t="n">
        <f aca="false">$B24*IF(Model!$B$5=1,Data!$E$15,Model!$AD$46)</f>
        <v>14.8060303302454</v>
      </c>
      <c r="E24" s="21" t="n">
        <f aca="false">$B24*IF(Model!$B$5=1,Data!$F$15,Model!$AE$46)</f>
        <v>8.92318424263033</v>
      </c>
      <c r="F24" s="21" t="n">
        <f aca="false">$B24*IF(Model!$B$5=1,Data!$G$15,Model!$AF$46)</f>
        <v>12.4781784649818</v>
      </c>
      <c r="G24" s="21" t="n">
        <f aca="false">$B24*Model!$S$46</f>
        <v>23.2400729895117</v>
      </c>
      <c r="H24" s="21" t="n">
        <f aca="false">$B24*Model!$T$46</f>
        <v>5.80316454775142</v>
      </c>
      <c r="I24" s="21" t="n">
        <f aca="false">$B24*Model!$U$46</f>
        <v>2.75189747403291</v>
      </c>
      <c r="J24" s="21" t="n">
        <f aca="false">$B24*Model!$V$46</f>
        <v>2.75189747403291</v>
      </c>
      <c r="K24" s="21" t="n">
        <f aca="false">$B24*Model!$W$46</f>
        <v>8.93098174340541</v>
      </c>
      <c r="L24" s="21" t="n">
        <f aca="false">$B24*Model!$X$46</f>
        <v>2.44752855384153</v>
      </c>
      <c r="M24" s="21" t="n">
        <f aca="false">$B24*Model!$Y$46</f>
        <v>1.40358270128463</v>
      </c>
      <c r="N24" s="21" t="n">
        <f aca="false">$B24*Model!$Z$46</f>
        <v>0.14485373073756</v>
      </c>
      <c r="O24" s="21" t="n">
        <f aca="false">$B24*Model!$AA$46</f>
        <v>0.244752855384153</v>
      </c>
    </row>
    <row r="25" customFormat="false" ht="15" hidden="false" customHeight="true" outlineLevel="0" collapsed="false">
      <c r="A25" s="23" t="n">
        <v>2038</v>
      </c>
      <c r="B25" s="21" t="n">
        <f aca="false">IF($A25&lt;=Model!$B$3,Data!$B$16*Model!$D$46,0)</f>
        <v>47.1427117972188</v>
      </c>
      <c r="C25" s="21" t="n">
        <f aca="false">$B25*IF(Model!$B$5=1,Data!$D$16,Model!$AC$46)</f>
        <v>11.3723838595641</v>
      </c>
      <c r="D25" s="21" t="n">
        <f aca="false">$B25*IF(Model!$B$5=1,Data!$E$16,Model!$AD$46)</f>
        <v>14.6273044240989</v>
      </c>
      <c r="E25" s="21" t="n">
        <f aca="false">$B25*IF(Model!$B$5=1,Data!$F$16,Model!$AE$46)</f>
        <v>8.81547109103568</v>
      </c>
      <c r="F25" s="21" t="n">
        <f aca="false">$B25*IF(Model!$B$5=1,Data!$G$16,Model!$AF$46)</f>
        <v>12.3275524225201</v>
      </c>
      <c r="G25" s="21" t="n">
        <f aca="false">$B25*Model!$S$46</f>
        <v>22.9595384362711</v>
      </c>
      <c r="H25" s="21" t="n">
        <f aca="false">$B25*Model!$T$46</f>
        <v>5.73311364152062</v>
      </c>
      <c r="I25" s="21" t="n">
        <f aca="false">$B25*Model!$U$46</f>
        <v>2.71867888953061</v>
      </c>
      <c r="J25" s="21" t="n">
        <f aca="false">$B25*Model!$V$46</f>
        <v>2.71867888953061</v>
      </c>
      <c r="K25" s="21" t="n">
        <f aca="false">$B25*Model!$W$46</f>
        <v>8.82317446696023</v>
      </c>
      <c r="L25" s="21" t="n">
        <f aca="false">$B25*Model!$X$46</f>
        <v>2.41798405414458</v>
      </c>
      <c r="M25" s="21" t="n">
        <f aca="false">$B25*Model!$Y$46</f>
        <v>1.38663983513189</v>
      </c>
      <c r="N25" s="21" t="n">
        <f aca="false">$B25*Model!$Z$46</f>
        <v>0.143105178714679</v>
      </c>
      <c r="O25" s="21" t="n">
        <f aca="false">$B25*Model!$AA$46</f>
        <v>0.241798405414458</v>
      </c>
    </row>
    <row r="26" customFormat="false" ht="15" hidden="false" customHeight="true" outlineLevel="0" collapsed="false">
      <c r="A26" s="23" t="n">
        <v>2039</v>
      </c>
      <c r="B26" s="21" t="n">
        <f aca="false">IF($A26&lt;=Model!$B$3,Data!$B$17*Model!$D$46,0)</f>
        <v>46.7182758067615</v>
      </c>
      <c r="C26" s="21" t="n">
        <f aca="false">$B26*IF(Model!$B$5=1,Data!$D$17,Model!$AC$46)</f>
        <v>11.2699958376773</v>
      </c>
      <c r="D26" s="21" t="n">
        <f aca="false">$B26*IF(Model!$B$5=1,Data!$E$17,Model!$AD$46)</f>
        <v>14.4956116511487</v>
      </c>
      <c r="E26" s="21" t="n">
        <f aca="false">$B26*IF(Model!$B$5=1,Data!$F$17,Model!$AE$46)</f>
        <v>8.73610350565015</v>
      </c>
      <c r="F26" s="21" t="n">
        <f aca="false">$B26*IF(Model!$B$5=1,Data!$G$17,Model!$AF$46)</f>
        <v>12.2165648122852</v>
      </c>
      <c r="G26" s="21" t="n">
        <f aca="false">$B26*Model!$S$46</f>
        <v>22.7528287654622</v>
      </c>
      <c r="H26" s="21" t="n">
        <f aca="false">$B26*Model!$T$46</f>
        <v>5.68149718429793</v>
      </c>
      <c r="I26" s="21" t="n">
        <f aca="false">$B26*Model!$U$46</f>
        <v>2.69420203779207</v>
      </c>
      <c r="J26" s="21" t="n">
        <f aca="false">$B26*Model!$V$46</f>
        <v>2.69420203779207</v>
      </c>
      <c r="K26" s="21" t="n">
        <f aca="false">$B26*Model!$W$46</f>
        <v>8.74373752642168</v>
      </c>
      <c r="L26" s="21" t="n">
        <f aca="false">$B26*Model!$X$46</f>
        <v>2.39621442278894</v>
      </c>
      <c r="M26" s="21" t="n">
        <f aca="false">$B26*Model!$Y$46</f>
        <v>1.37415561796672</v>
      </c>
      <c r="N26" s="21" t="n">
        <f aca="false">$B26*Model!$Z$46</f>
        <v>0.141816771960978</v>
      </c>
      <c r="O26" s="21" t="n">
        <f aca="false">$B26*Model!$AA$46</f>
        <v>0.239621442278894</v>
      </c>
    </row>
    <row r="27" customFormat="false" ht="15" hidden="false" customHeight="true" outlineLevel="0" collapsed="false">
      <c r="A27" s="23" t="n">
        <v>2040</v>
      </c>
      <c r="B27" s="21" t="n">
        <f aca="false">IF($A27&lt;=Model!$B$3,Data!$B$18*Model!$D$46,0)</f>
        <v>46.2332061033817</v>
      </c>
      <c r="C27" s="21" t="n">
        <f aca="false">$B27*IF(Model!$B$5=1,Data!$D$18,Model!$AC$46)</f>
        <v>11.1529809555211</v>
      </c>
      <c r="D27" s="21" t="n">
        <f aca="false">$B27*IF(Model!$B$5=1,Data!$E$18,Model!$AD$46)</f>
        <v>14.3451056249201</v>
      </c>
      <c r="E27" s="21" t="n">
        <f aca="false">$B27*IF(Model!$B$5=1,Data!$F$18,Model!$AE$46)</f>
        <v>8.64539769378097</v>
      </c>
      <c r="F27" s="21" t="n">
        <f aca="false">$B27*IF(Model!$B$5=1,Data!$G$18,Model!$AF$46)</f>
        <v>12.0897218291596</v>
      </c>
      <c r="G27" s="21" t="n">
        <f aca="false">$B27*Model!$S$46</f>
        <v>22.5165891416806</v>
      </c>
      <c r="H27" s="21" t="n">
        <f aca="false">$B27*Model!$T$46</f>
        <v>5.62250694747199</v>
      </c>
      <c r="I27" s="21" t="n">
        <f aca="false">$B27*Model!$U$46</f>
        <v>2.66622849294803</v>
      </c>
      <c r="J27" s="21" t="n">
        <f aca="false">$B27*Model!$V$46</f>
        <v>2.66622849294803</v>
      </c>
      <c r="K27" s="21" t="n">
        <f aca="false">$B27*Model!$W$46</f>
        <v>8.65295245152049</v>
      </c>
      <c r="L27" s="21" t="n">
        <f aca="false">$B27*Model!$X$46</f>
        <v>2.37133484409678</v>
      </c>
      <c r="M27" s="21" t="n">
        <f aca="false">$B27*Model!$Y$46</f>
        <v>1.35988794120652</v>
      </c>
      <c r="N27" s="21" t="n">
        <f aca="false">$B27*Model!$Z$46</f>
        <v>0.140344307099605</v>
      </c>
      <c r="O27" s="21" t="n">
        <f aca="false">$B27*Model!$AA$46</f>
        <v>0.237133484409678</v>
      </c>
    </row>
    <row r="28" customFormat="false" ht="15" hidden="false" customHeight="true" outlineLevel="0" collapsed="false">
      <c r="A28" s="24" t="s">
        <v>118</v>
      </c>
      <c r="B28" s="25" t="n">
        <f aca="false">SUM(B13:B27)</f>
        <v>1208.55116597063</v>
      </c>
      <c r="C28" s="25" t="n">
        <f aca="false">SUM(C13:C27)</f>
        <v>291.541590163885</v>
      </c>
      <c r="D28" s="25" t="n">
        <f aca="false">SUM(D13:D27)</f>
        <v>374.98526881551</v>
      </c>
      <c r="E28" s="25" t="n">
        <f aca="false">SUM(E13:E27)</f>
        <v>225.993685649079</v>
      </c>
      <c r="F28" s="25" t="n">
        <f aca="false">SUM(F13:F27)</f>
        <v>316.030621342156</v>
      </c>
      <c r="G28" s="25" t="n">
        <f aca="false">SUM(G13:G27)</f>
        <v>588.591022651775</v>
      </c>
      <c r="H28" s="25" t="n">
        <f aca="false">SUM(H13:H27)</f>
        <v>146.974175051819</v>
      </c>
      <c r="I28" s="25" t="n">
        <f aca="false">SUM(I13:I27)</f>
        <v>69.6960869789378</v>
      </c>
      <c r="J28" s="25" t="n">
        <f aca="false">SUM(J13:J27)</f>
        <v>69.6960869789378</v>
      </c>
      <c r="K28" s="25" t="n">
        <f aca="false">SUM(K13:K27)</f>
        <v>226.191014116336</v>
      </c>
      <c r="L28" s="25" t="n">
        <f aca="false">SUM(L13:L27)</f>
        <v>61.9874703115239</v>
      </c>
      <c r="M28" s="25" t="n">
        <f aca="false">SUM(M13:M27)</f>
        <v>35.5479166480372</v>
      </c>
      <c r="N28" s="25" t="n">
        <f aca="false">SUM(N13:N27)</f>
        <v>3.6686462021106</v>
      </c>
      <c r="O28" s="25" t="n">
        <f aca="false">SUM(O13:O27)</f>
        <v>6.19874703115239</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0.186995546413276</v>
      </c>
      <c r="F29" s="26" t="n">
        <f aca="false">IF($B$28&gt;0,F28/$B$28,0)</f>
        <v>0.261495442014109</v>
      </c>
      <c r="G29" s="26" t="n">
        <f aca="false">IF($B$28&gt;0,G28/$B$28,0)</f>
        <v>0.487022013816897</v>
      </c>
      <c r="H29" s="26" t="n">
        <f aca="false">IF($B$28&gt;0,H28/$B$28,0)</f>
        <v>0.121611876427076</v>
      </c>
      <c r="I29" s="26" t="n">
        <f aca="false">IF($B$28&gt;0,I28/$B$28,0)</f>
        <v>0.0576691239406173</v>
      </c>
      <c r="J29" s="26" t="n">
        <f aca="false">IF($B$28&gt;0,J28/$B$28,0)</f>
        <v>0.0576691239406173</v>
      </c>
      <c r="K29" s="26" t="n">
        <f aca="false">IF($B$28&gt;0,K28/$B$28,0)</f>
        <v>0.187158823296219</v>
      </c>
      <c r="L29" s="26" t="n">
        <f aca="false">IF($B$28&gt;0,L28/$B$28,0)</f>
        <v>0.0512907289793888</v>
      </c>
      <c r="M29" s="26" t="n">
        <f aca="false">IF($B$28&gt;0,M28/$B$28,0)</f>
        <v>0.029413662945323</v>
      </c>
      <c r="N29" s="26" t="n">
        <f aca="false">IF($B$28&gt;0,N28/$B$28,0)</f>
        <v>0.00303557375592301</v>
      </c>
      <c r="O29" s="26" t="n">
        <f aca="false">IF($B$28&gt;0,O28/$B$28,0)</f>
        <v>0.00512907289793888</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Data!$H$23*Data!$M$23/SUM(Data!$H$23:$K$23)</f>
        <v>38.2860909690178</v>
      </c>
      <c r="C34" s="22" t="n">
        <f aca="false">IF($B$38&gt;0,B34/$B$38,0)</f>
        <v>0.021753460777851</v>
      </c>
      <c r="D34" s="21" t="n">
        <f aca="false">C28</f>
        <v>291.541590163885</v>
      </c>
      <c r="E34" s="22" t="n">
        <f aca="false">IF($D$38&gt;0,D34/$D$38,0)</f>
        <v>0.241232310532536</v>
      </c>
      <c r="F34" s="21" t="n">
        <f aca="false">B34+D34</f>
        <v>329.827681132903</v>
      </c>
      <c r="G34" s="22" t="n">
        <f aca="false">IF($F$38&gt;0,F34/$F$38,0)</f>
        <v>0.111107291972533</v>
      </c>
    </row>
    <row r="35" customFormat="false" ht="15" hidden="false" customHeight="true" outlineLevel="0" collapsed="false">
      <c r="A35" s="13" t="s">
        <v>106</v>
      </c>
      <c r="B35" s="21" t="n">
        <f aca="false">Data!$I$23*Data!$M$23/SUM(Data!$H$23:$K$23)</f>
        <v>316.730388925511</v>
      </c>
      <c r="C35" s="22" t="n">
        <f aca="false">IF($B$38&gt;0,B35/$B$38,0)</f>
        <v>0.179960448253131</v>
      </c>
      <c r="D35" s="21" t="n">
        <f aca="false">D28</f>
        <v>374.98526881551</v>
      </c>
      <c r="E35" s="22" t="n">
        <f aca="false">IF($D$38&gt;0,D35/$D$38,0)</f>
        <v>0.310276701040081</v>
      </c>
      <c r="F35" s="21" t="n">
        <f aca="false">B35+D35</f>
        <v>691.715657741021</v>
      </c>
      <c r="G35" s="22" t="n">
        <f aca="false">IF($F$38&gt;0,F35/$F$38,0)</f>
        <v>0.233014564704277</v>
      </c>
    </row>
    <row r="36" customFormat="false" ht="15" hidden="false" customHeight="true" outlineLevel="0" collapsed="false">
      <c r="A36" s="13" t="s">
        <v>107</v>
      </c>
      <c r="B36" s="21" t="n">
        <f aca="false">Data!$J$23*Data!$M$23/SUM(Data!$H$23:$K$23)</f>
        <v>885.220830586684</v>
      </c>
      <c r="C36" s="22" t="n">
        <f aca="false">IF($B$38&gt;0,B36/$B$38,0)</f>
        <v>0.502966381015161</v>
      </c>
      <c r="D36" s="21" t="n">
        <f aca="false">E28</f>
        <v>225.993685649079</v>
      </c>
      <c r="E36" s="22" t="n">
        <f aca="false">IF($D$38&gt;0,D36/$D$38,0)</f>
        <v>0.186995546413276</v>
      </c>
      <c r="F36" s="21" t="n">
        <f aca="false">B36+D36</f>
        <v>1111.21451623576</v>
      </c>
      <c r="G36" s="22" t="n">
        <f aca="false">IF($F$38&gt;0,F36/$F$38,0)</f>
        <v>0.37432890797839</v>
      </c>
    </row>
    <row r="37" customFormat="false" ht="15" hidden="false" customHeight="true" outlineLevel="0" collapsed="false">
      <c r="A37" s="13" t="s">
        <v>108</v>
      </c>
      <c r="B37" s="21" t="n">
        <f aca="false">Data!$K$23*Data!$M$23/SUM(Data!$H$23:$K$23)</f>
        <v>519.762689518787</v>
      </c>
      <c r="C37" s="22" t="n">
        <f aca="false">IF($B$38&gt;0,B37/$B$38,0)</f>
        <v>0.295319709953856</v>
      </c>
      <c r="D37" s="21" t="n">
        <f aca="false">F28</f>
        <v>316.030621342156</v>
      </c>
      <c r="E37" s="22" t="n">
        <f aca="false">IF($D$38&gt;0,D37/$D$38,0)</f>
        <v>0.261495442014109</v>
      </c>
      <c r="F37" s="21" t="n">
        <f aca="false">B37+D37</f>
        <v>835.793310860943</v>
      </c>
      <c r="G37" s="22" t="n">
        <f aca="false">IF($F$38&gt;0,F37/$F$38,0)</f>
        <v>0.281549235344799</v>
      </c>
    </row>
    <row r="38" customFormat="false" ht="15" hidden="false" customHeight="true" outlineLevel="0" collapsed="false">
      <c r="A38" s="24" t="s">
        <v>61</v>
      </c>
      <c r="B38" s="25" t="n">
        <f aca="false">SUM(B34:B37)</f>
        <v>1760</v>
      </c>
      <c r="C38" s="27" t="n">
        <f aca="false">SUM(C34:C37)</f>
        <v>1</v>
      </c>
      <c r="D38" s="25" t="n">
        <f aca="false">SUM(D34:D37)</f>
        <v>1208.55116597063</v>
      </c>
      <c r="E38" s="27" t="n">
        <f aca="false">SUM(E34:E37)</f>
        <v>1</v>
      </c>
      <c r="F38" s="25" t="n">
        <f aca="false">SUM(F34:F37)</f>
        <v>2968.55116597063</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6CDA9"/>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156</v>
      </c>
    </row>
    <row r="2" customFormat="false" ht="15" hidden="false" customHeight="true" outlineLevel="0" collapsed="false">
      <c r="A2" s="3" t="str">
        <f aca="false">Model!$B$47&amp;" · new homes per year, 2026–"&amp;Model!$B$3&amp;" · set by the levers on the Intro tab"</f>
        <v>City neighbourhood · new homes per year, 2026–2040 · set by the levers on the Intro tab</v>
      </c>
    </row>
    <row r="4" customFormat="false" ht="15" hidden="false" customHeight="true" outlineLevel="0" collapsed="false">
      <c r="A4" s="13" t="s">
        <v>332</v>
      </c>
      <c r="C4" s="67" t="n">
        <f aca="false">Model!$D$47</f>
        <v>0.123218648168712</v>
      </c>
    </row>
    <row r="5" customFormat="false" ht="15" hidden="false" customHeight="true" outlineLevel="0" collapsed="false">
      <c r="A5" s="13" t="s">
        <v>53</v>
      </c>
      <c r="C5" s="14" t="n">
        <f aca="false">Model!$E$47</f>
        <v>4911.98819059752</v>
      </c>
    </row>
    <row r="6" customFormat="false" ht="15" hidden="false" customHeight="true" outlineLevel="0" collapsed="false">
      <c r="A6" s="13" t="s">
        <v>99</v>
      </c>
      <c r="C6" s="15" t="n">
        <f aca="false">Model!$Q$47</f>
        <v>0.236417369720557</v>
      </c>
    </row>
    <row r="7" customFormat="false" ht="15" hidden="false" customHeight="true" outlineLevel="0" collapsed="false">
      <c r="A7" s="13" t="s">
        <v>100</v>
      </c>
      <c r="C7" s="15" t="n">
        <f aca="false">Model!$G$47</f>
        <v>0.17369</v>
      </c>
    </row>
    <row r="8" customFormat="false" ht="15" hidden="false" customHeight="true" outlineLevel="0" collapsed="false">
      <c r="A8" s="13" t="s">
        <v>101</v>
      </c>
      <c r="C8" s="15" t="n">
        <f aca="false">Model!$R$47</f>
        <v>0.2</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IF($A13&lt;=Model!$B$3,Data!$B$4*Model!$D$47,0)</f>
        <v>525.281097143218</v>
      </c>
      <c r="C13" s="21" t="n">
        <f aca="false">$B13*IF(Model!$B$5=1,Data!$D$4,Model!$AC$47)</f>
        <v>135.878295063079</v>
      </c>
      <c r="D13" s="21" t="n">
        <f aca="false">$B13*IF(Model!$B$5=1,Data!$E$4,Model!$AD$47)</f>
        <v>166.306163495156</v>
      </c>
      <c r="E13" s="21" t="n">
        <f aca="false">$B13*IF(Model!$B$5=1,Data!$F$4,Model!$AE$47)</f>
        <v>97.1967133316134</v>
      </c>
      <c r="F13" s="21" t="n">
        <f aca="false">$B13*IF(Model!$B$5=1,Data!$G$4,Model!$AF$47)</f>
        <v>125.89992525337</v>
      </c>
      <c r="G13" s="21" t="n">
        <f aca="false">$B13*Model!$S$47</f>
        <v>269.820257534042</v>
      </c>
      <c r="H13" s="21" t="n">
        <f aca="false">$B13*Model!$T$47</f>
        <v>67.3754920431347</v>
      </c>
      <c r="I13" s="21" t="n">
        <f aca="false">$B13*Model!$U$47</f>
        <v>31.9498861077563</v>
      </c>
      <c r="J13" s="21" t="n">
        <f aca="false">$B13*Model!$V$47</f>
        <v>31.9498861077563</v>
      </c>
      <c r="K13" s="21" t="n">
        <f aca="false">$B13*Model!$W$47</f>
        <v>84.2031887473432</v>
      </c>
      <c r="L13" s="21" t="n">
        <f aca="false">$B13*Model!$X$47</f>
        <v>23.075817945301</v>
      </c>
      <c r="M13" s="21" t="n">
        <f aca="false">$B13*Model!$Y$47</f>
        <v>13.23327518904</v>
      </c>
      <c r="N13" s="21" t="n">
        <f aca="false">$B13*Model!$Z$47</f>
        <v>1.36571167431373</v>
      </c>
      <c r="O13" s="21" t="n">
        <f aca="false">$B13*Model!$AA$47</f>
        <v>2.3075817945301</v>
      </c>
    </row>
    <row r="14" customFormat="false" ht="15" hidden="false" customHeight="true" outlineLevel="0" collapsed="false">
      <c r="A14" s="23" t="n">
        <v>2027</v>
      </c>
      <c r="B14" s="21" t="n">
        <f aca="false">IF($A14&lt;=Model!$B$3,Data!$B$5*Model!$D$47,0)</f>
        <v>525.281097143218</v>
      </c>
      <c r="C14" s="21" t="n">
        <f aca="false">$B14*IF(Model!$B$5=1,Data!$D$5,Model!$AC$47)</f>
        <v>132.059412790227</v>
      </c>
      <c r="D14" s="21" t="n">
        <f aca="false">$B14*IF(Model!$B$5=1,Data!$E$5,Model!$AD$47)</f>
        <v>166.798922498104</v>
      </c>
      <c r="E14" s="21" t="n">
        <f aca="false">$B14*IF(Model!$B$5=1,Data!$F$5,Model!$AE$47)</f>
        <v>96.9503338301391</v>
      </c>
      <c r="F14" s="21" t="n">
        <f aca="false">$B14*IF(Model!$B$5=1,Data!$G$5,Model!$AF$47)</f>
        <v>129.472428024747</v>
      </c>
      <c r="G14" s="21" t="n">
        <f aca="false">$B14*Model!$S$47</f>
        <v>269.820257534042</v>
      </c>
      <c r="H14" s="21" t="n">
        <f aca="false">$B14*Model!$T$47</f>
        <v>67.3754920431347</v>
      </c>
      <c r="I14" s="21" t="n">
        <f aca="false">$B14*Model!$U$47</f>
        <v>31.9498861077563</v>
      </c>
      <c r="J14" s="21" t="n">
        <f aca="false">$B14*Model!$V$47</f>
        <v>31.9498861077563</v>
      </c>
      <c r="K14" s="21" t="n">
        <f aca="false">$B14*Model!$W$47</f>
        <v>84.2031887473432</v>
      </c>
      <c r="L14" s="21" t="n">
        <f aca="false">$B14*Model!$X$47</f>
        <v>23.075817945301</v>
      </c>
      <c r="M14" s="21" t="n">
        <f aca="false">$B14*Model!$Y$47</f>
        <v>13.23327518904</v>
      </c>
      <c r="N14" s="21" t="n">
        <f aca="false">$B14*Model!$Z$47</f>
        <v>1.36571167431373</v>
      </c>
      <c r="O14" s="21" t="n">
        <f aca="false">$B14*Model!$AA$47</f>
        <v>2.3075817945301</v>
      </c>
    </row>
    <row r="15" customFormat="false" ht="15" hidden="false" customHeight="true" outlineLevel="0" collapsed="false">
      <c r="A15" s="23" t="n">
        <v>2028</v>
      </c>
      <c r="B15" s="21" t="n">
        <f aca="false">IF($A15&lt;=Model!$B$3,Data!$B$6*Model!$D$47,0)</f>
        <v>525.281097143218</v>
      </c>
      <c r="C15" s="21" t="n">
        <f aca="false">$B15*IF(Model!$B$5=1,Data!$D$6,Model!$AC$47)</f>
        <v>131.628393183707</v>
      </c>
      <c r="D15" s="21" t="n">
        <f aca="false">$B15*IF(Model!$B$5=1,Data!$E$6,Model!$AD$47)</f>
        <v>166.877195103688</v>
      </c>
      <c r="E15" s="21" t="n">
        <f aca="false">$B15*IF(Model!$B$5=1,Data!$F$6,Model!$AE$47)</f>
        <v>96.9958290595289</v>
      </c>
      <c r="F15" s="21" t="n">
        <f aca="false">$B15*IF(Model!$B$5=1,Data!$G$6,Model!$AF$47)</f>
        <v>129.779679796295</v>
      </c>
      <c r="G15" s="21" t="n">
        <f aca="false">$B15*Model!$S$47</f>
        <v>269.820257534042</v>
      </c>
      <c r="H15" s="21" t="n">
        <f aca="false">$B15*Model!$T$47</f>
        <v>67.3754920431347</v>
      </c>
      <c r="I15" s="21" t="n">
        <f aca="false">$B15*Model!$U$47</f>
        <v>31.9498861077563</v>
      </c>
      <c r="J15" s="21" t="n">
        <f aca="false">$B15*Model!$V$47</f>
        <v>31.9498861077563</v>
      </c>
      <c r="K15" s="21" t="n">
        <f aca="false">$B15*Model!$W$47</f>
        <v>84.2031887473432</v>
      </c>
      <c r="L15" s="21" t="n">
        <f aca="false">$B15*Model!$X$47</f>
        <v>23.075817945301</v>
      </c>
      <c r="M15" s="21" t="n">
        <f aca="false">$B15*Model!$Y$47</f>
        <v>13.23327518904</v>
      </c>
      <c r="N15" s="21" t="n">
        <f aca="false">$B15*Model!$Z$47</f>
        <v>1.36571167431373</v>
      </c>
      <c r="O15" s="21" t="n">
        <f aca="false">$B15*Model!$AA$47</f>
        <v>2.3075817945301</v>
      </c>
    </row>
    <row r="16" customFormat="false" ht="15" hidden="false" customHeight="true" outlineLevel="0" collapsed="false">
      <c r="A16" s="23" t="n">
        <v>2029</v>
      </c>
      <c r="B16" s="21" t="n">
        <f aca="false">IF($A16&lt;=Model!$B$3,Data!$B$7*Model!$D$47,0)</f>
        <v>525.281097143218</v>
      </c>
      <c r="C16" s="21" t="n">
        <f aca="false">$B16*IF(Model!$B$5=1,Data!$D$7,Model!$AC$47)</f>
        <v>130.242111114328</v>
      </c>
      <c r="D16" s="21" t="n">
        <f aca="false">$B16*IF(Model!$B$5=1,Data!$E$7,Model!$AD$47)</f>
        <v>165.975519083254</v>
      </c>
      <c r="E16" s="21" t="n">
        <f aca="false">$B16*IF(Model!$B$5=1,Data!$F$7,Model!$AE$47)</f>
        <v>96.3569828679327</v>
      </c>
      <c r="F16" s="21" t="n">
        <f aca="false">$B16*IF(Model!$B$5=1,Data!$G$7,Model!$AF$47)</f>
        <v>132.706484077702</v>
      </c>
      <c r="G16" s="21" t="n">
        <f aca="false">$B16*Model!$S$47</f>
        <v>269.820257534042</v>
      </c>
      <c r="H16" s="21" t="n">
        <f aca="false">$B16*Model!$T$47</f>
        <v>67.3754920431347</v>
      </c>
      <c r="I16" s="21" t="n">
        <f aca="false">$B16*Model!$U$47</f>
        <v>31.9498861077563</v>
      </c>
      <c r="J16" s="21" t="n">
        <f aca="false">$B16*Model!$V$47</f>
        <v>31.9498861077563</v>
      </c>
      <c r="K16" s="21" t="n">
        <f aca="false">$B16*Model!$W$47</f>
        <v>84.2031887473432</v>
      </c>
      <c r="L16" s="21" t="n">
        <f aca="false">$B16*Model!$X$47</f>
        <v>23.075817945301</v>
      </c>
      <c r="M16" s="21" t="n">
        <f aca="false">$B16*Model!$Y$47</f>
        <v>13.23327518904</v>
      </c>
      <c r="N16" s="21" t="n">
        <f aca="false">$B16*Model!$Z$47</f>
        <v>1.36571167431373</v>
      </c>
      <c r="O16" s="21" t="n">
        <f aca="false">$B16*Model!$AA$47</f>
        <v>2.3075817945301</v>
      </c>
    </row>
    <row r="17" customFormat="false" ht="15" hidden="false" customHeight="true" outlineLevel="0" collapsed="false">
      <c r="A17" s="23" t="n">
        <v>2030</v>
      </c>
      <c r="B17" s="21" t="n">
        <f aca="false">IF($A17&lt;=Model!$B$3,Data!$B$8*Model!$D$47,0)</f>
        <v>525.281097143218</v>
      </c>
      <c r="C17" s="21" t="n">
        <f aca="false">$B17*IF(Model!$B$5=1,Data!$D$8,Model!$AC$47)</f>
        <v>130.026174914616</v>
      </c>
      <c r="D17" s="21" t="n">
        <f aca="false">$B17*IF(Model!$B$5=1,Data!$E$8,Model!$AD$47)</f>
        <v>163.549511006347</v>
      </c>
      <c r="E17" s="21" t="n">
        <f aca="false">$B17*IF(Model!$B$5=1,Data!$F$8,Model!$AE$47)</f>
        <v>96.5028388228858</v>
      </c>
      <c r="F17" s="21" t="n">
        <f aca="false">$B17*IF(Model!$B$5=1,Data!$G$8,Model!$AF$47)</f>
        <v>135.202572399369</v>
      </c>
      <c r="G17" s="21" t="n">
        <f aca="false">$B17*Model!$S$47</f>
        <v>269.820257534042</v>
      </c>
      <c r="H17" s="21" t="n">
        <f aca="false">$B17*Model!$T$47</f>
        <v>67.3754920431347</v>
      </c>
      <c r="I17" s="21" t="n">
        <f aca="false">$B17*Model!$U$47</f>
        <v>31.9498861077563</v>
      </c>
      <c r="J17" s="21" t="n">
        <f aca="false">$B17*Model!$V$47</f>
        <v>31.9498861077563</v>
      </c>
      <c r="K17" s="21" t="n">
        <f aca="false">$B17*Model!$W$47</f>
        <v>84.2031887473432</v>
      </c>
      <c r="L17" s="21" t="n">
        <f aca="false">$B17*Model!$X$47</f>
        <v>23.075817945301</v>
      </c>
      <c r="M17" s="21" t="n">
        <f aca="false">$B17*Model!$Y$47</f>
        <v>13.23327518904</v>
      </c>
      <c r="N17" s="21" t="n">
        <f aca="false">$B17*Model!$Z$47</f>
        <v>1.36571167431373</v>
      </c>
      <c r="O17" s="21" t="n">
        <f aca="false">$B17*Model!$AA$47</f>
        <v>2.3075817945301</v>
      </c>
    </row>
    <row r="18" customFormat="false" ht="15" hidden="false" customHeight="true" outlineLevel="0" collapsed="false">
      <c r="A18" s="23" t="n">
        <v>2031</v>
      </c>
      <c r="B18" s="21" t="n">
        <f aca="false">IF($A18&lt;=Model!$B$3,Data!$B$9*Model!$D$47,0)</f>
        <v>267.138029229767</v>
      </c>
      <c r="C18" s="21" t="n">
        <f aca="false">$B18*IF(Model!$B$5=1,Data!$D$9,Model!$AC$47)</f>
        <v>61.7325427325246</v>
      </c>
      <c r="D18" s="21" t="n">
        <f aca="false">$B18*IF(Model!$B$5=1,Data!$E$9,Model!$AD$47)</f>
        <v>81.201089143181</v>
      </c>
      <c r="E18" s="21" t="n">
        <f aca="false">$B18*IF(Model!$B$5=1,Data!$F$9,Model!$AE$47)</f>
        <v>50.7660830455093</v>
      </c>
      <c r="F18" s="21" t="n">
        <f aca="false">$B18*IF(Model!$B$5=1,Data!$G$9,Model!$AF$47)</f>
        <v>73.4383143085522</v>
      </c>
      <c r="G18" s="21" t="n">
        <f aca="false">$B18*Model!$S$47</f>
        <v>137.22034209097</v>
      </c>
      <c r="H18" s="21" t="n">
        <f aca="false">$B18*Model!$T$47</f>
        <v>34.264618050555</v>
      </c>
      <c r="I18" s="21" t="n">
        <f aca="false">$B18*Model!$U$47</f>
        <v>16.2484994327037</v>
      </c>
      <c r="J18" s="21" t="n">
        <f aca="false">$B18*Model!$V$47</f>
        <v>16.2484994327037</v>
      </c>
      <c r="K18" s="21" t="n">
        <f aca="false">$B18*Model!$W$47</f>
        <v>42.8225459076331</v>
      </c>
      <c r="L18" s="21" t="n">
        <f aca="false">$B18*Model!$X$47</f>
        <v>11.7354851760292</v>
      </c>
      <c r="M18" s="21" t="n">
        <f aca="false">$B18*Model!$Y$47</f>
        <v>6.72994149890655</v>
      </c>
      <c r="N18" s="21" t="n">
        <f aca="false">$B18*Model!$Z$47</f>
        <v>0.694549122662953</v>
      </c>
      <c r="O18" s="21" t="n">
        <f aca="false">$B18*Model!$AA$47</f>
        <v>1.17354851760292</v>
      </c>
    </row>
    <row r="19" customFormat="false" ht="15" hidden="false" customHeight="true" outlineLevel="0" collapsed="false">
      <c r="A19" s="23" t="n">
        <v>2032</v>
      </c>
      <c r="B19" s="21" t="n">
        <f aca="false">IF($A19&lt;=Model!$B$3,Data!$B$10*Model!$D$47,0)</f>
        <v>267.138029229767</v>
      </c>
      <c r="C19" s="21" t="n">
        <f aca="false">$B19*IF(Model!$B$5=1,Data!$D$10,Model!$AC$47)</f>
        <v>59.3913884173192</v>
      </c>
      <c r="D19" s="21" t="n">
        <f aca="false">$B19*IF(Model!$B$5=1,Data!$E$10,Model!$AD$47)</f>
        <v>79.5992467169877</v>
      </c>
      <c r="E19" s="21" t="n">
        <f aca="false">$B19*IF(Model!$B$5=1,Data!$F$10,Model!$AE$47)</f>
        <v>51.6286135826903</v>
      </c>
      <c r="F19" s="21" t="n">
        <f aca="false">$B19*IF(Model!$B$5=1,Data!$G$10,Model!$AF$47)</f>
        <v>76.5187805127699</v>
      </c>
      <c r="G19" s="21" t="n">
        <f aca="false">$B19*Model!$S$47</f>
        <v>137.22034209097</v>
      </c>
      <c r="H19" s="21" t="n">
        <f aca="false">$B19*Model!$T$47</f>
        <v>34.264618050555</v>
      </c>
      <c r="I19" s="21" t="n">
        <f aca="false">$B19*Model!$U$47</f>
        <v>16.2484994327037</v>
      </c>
      <c r="J19" s="21" t="n">
        <f aca="false">$B19*Model!$V$47</f>
        <v>16.2484994327037</v>
      </c>
      <c r="K19" s="21" t="n">
        <f aca="false">$B19*Model!$W$47</f>
        <v>42.8225459076331</v>
      </c>
      <c r="L19" s="21" t="n">
        <f aca="false">$B19*Model!$X$47</f>
        <v>11.7354851760292</v>
      </c>
      <c r="M19" s="21" t="n">
        <f aca="false">$B19*Model!$Y$47</f>
        <v>6.72994149890655</v>
      </c>
      <c r="N19" s="21" t="n">
        <f aca="false">$B19*Model!$Z$47</f>
        <v>0.694549122662953</v>
      </c>
      <c r="O19" s="21" t="n">
        <f aca="false">$B19*Model!$AA$47</f>
        <v>1.17354851760292</v>
      </c>
    </row>
    <row r="20" customFormat="false" ht="15" hidden="false" customHeight="true" outlineLevel="0" collapsed="false">
      <c r="A20" s="23" t="n">
        <v>2033</v>
      </c>
      <c r="B20" s="21" t="n">
        <f aca="false">IF($A20&lt;=Model!$B$3,Data!$B$11*Model!$D$47,0)</f>
        <v>267.138029229767</v>
      </c>
      <c r="C20" s="21" t="n">
        <f aca="false">$B20*IF(Model!$B$5=1,Data!$D$11,Model!$AC$47)</f>
        <v>58.925693572602</v>
      </c>
      <c r="D20" s="21" t="n">
        <f aca="false">$B20*IF(Model!$B$5=1,Data!$E$11,Model!$AD$47)</f>
        <v>79.8825301988411</v>
      </c>
      <c r="E20" s="21" t="n">
        <f aca="false">$B20*IF(Model!$B$5=1,Data!$F$11,Model!$AE$47)</f>
        <v>51.6524385082013</v>
      </c>
      <c r="F20" s="21" t="n">
        <f aca="false">$B20*IF(Model!$B$5=1,Data!$G$11,Model!$AF$47)</f>
        <v>76.6773669501224</v>
      </c>
      <c r="G20" s="21" t="n">
        <f aca="false">$B20*Model!$S$47</f>
        <v>137.22034209097</v>
      </c>
      <c r="H20" s="21" t="n">
        <f aca="false">$B20*Model!$T$47</f>
        <v>34.264618050555</v>
      </c>
      <c r="I20" s="21" t="n">
        <f aca="false">$B20*Model!$U$47</f>
        <v>16.2484994327037</v>
      </c>
      <c r="J20" s="21" t="n">
        <f aca="false">$B20*Model!$V$47</f>
        <v>16.2484994327037</v>
      </c>
      <c r="K20" s="21" t="n">
        <f aca="false">$B20*Model!$W$47</f>
        <v>42.8225459076331</v>
      </c>
      <c r="L20" s="21" t="n">
        <f aca="false">$B20*Model!$X$47</f>
        <v>11.7354851760292</v>
      </c>
      <c r="M20" s="21" t="n">
        <f aca="false">$B20*Model!$Y$47</f>
        <v>6.72994149890655</v>
      </c>
      <c r="N20" s="21" t="n">
        <f aca="false">$B20*Model!$Z$47</f>
        <v>0.694549122662953</v>
      </c>
      <c r="O20" s="21" t="n">
        <f aca="false">$B20*Model!$AA$47</f>
        <v>1.17354851760292</v>
      </c>
    </row>
    <row r="21" customFormat="false" ht="15" hidden="false" customHeight="true" outlineLevel="0" collapsed="false">
      <c r="A21" s="23" t="n">
        <v>2034</v>
      </c>
      <c r="B21" s="21" t="n">
        <f aca="false">IF($A21&lt;=Model!$B$3,Data!$B$12*Model!$D$47,0)</f>
        <v>267.138029229767</v>
      </c>
      <c r="C21" s="21" t="n">
        <f aca="false">$B21*IF(Model!$B$5=1,Data!$D$12,Model!$AC$47)</f>
        <v>58.4056392319695</v>
      </c>
      <c r="D21" s="21" t="n">
        <f aca="false">$B21*IF(Model!$B$5=1,Data!$E$12,Model!$AD$47)</f>
        <v>80.0921213096627</v>
      </c>
      <c r="E21" s="21" t="n">
        <f aca="false">$B21*IF(Model!$B$5=1,Data!$F$12,Model!$AE$47)</f>
        <v>51.6286135826903</v>
      </c>
      <c r="F21" s="21" t="n">
        <f aca="false">$B21*IF(Model!$B$5=1,Data!$G$12,Model!$AF$47)</f>
        <v>77.0116551054447</v>
      </c>
      <c r="G21" s="21" t="n">
        <f aca="false">$B21*Model!$S$47</f>
        <v>137.22034209097</v>
      </c>
      <c r="H21" s="21" t="n">
        <f aca="false">$B21*Model!$T$47</f>
        <v>34.264618050555</v>
      </c>
      <c r="I21" s="21" t="n">
        <f aca="false">$B21*Model!$U$47</f>
        <v>16.2484994327037</v>
      </c>
      <c r="J21" s="21" t="n">
        <f aca="false">$B21*Model!$V$47</f>
        <v>16.2484994327037</v>
      </c>
      <c r="K21" s="21" t="n">
        <f aca="false">$B21*Model!$W$47</f>
        <v>42.8225459076331</v>
      </c>
      <c r="L21" s="21" t="n">
        <f aca="false">$B21*Model!$X$47</f>
        <v>11.7354851760292</v>
      </c>
      <c r="M21" s="21" t="n">
        <f aca="false">$B21*Model!$Y$47</f>
        <v>6.72994149890655</v>
      </c>
      <c r="N21" s="21" t="n">
        <f aca="false">$B21*Model!$Z$47</f>
        <v>0.694549122662953</v>
      </c>
      <c r="O21" s="21" t="n">
        <f aca="false">$B21*Model!$AA$47</f>
        <v>1.17354851760292</v>
      </c>
    </row>
    <row r="22" customFormat="false" ht="15" hidden="false" customHeight="true" outlineLevel="0" collapsed="false">
      <c r="A22" s="23" t="n">
        <v>2035</v>
      </c>
      <c r="B22" s="21" t="n">
        <f aca="false">IF($A22&lt;=Model!$B$3,Data!$B$13*Model!$D$47,0)</f>
        <v>258.143067913451</v>
      </c>
      <c r="C22" s="21" t="n">
        <f aca="false">$B22*IF(Model!$B$5=1,Data!$D$13,Model!$AC$47)</f>
        <v>55.3251730277514</v>
      </c>
      <c r="D22" s="21" t="n">
        <f aca="false">$B22*IF(Model!$B$5=1,Data!$E$13,Model!$AD$47)</f>
        <v>76.2723432164324</v>
      </c>
      <c r="E22" s="21" t="n">
        <f aca="false">$B22*IF(Model!$B$5=1,Data!$F$13,Model!$AE$47)</f>
        <v>49.533896563822</v>
      </c>
      <c r="F22" s="21" t="n">
        <f aca="false">$B22*IF(Model!$B$5=1,Data!$G$13,Model!$AF$47)</f>
        <v>77.0116551054448</v>
      </c>
      <c r="G22" s="21" t="n">
        <f aca="false">$B22*Model!$S$47</f>
        <v>132.599915443073</v>
      </c>
      <c r="H22" s="21" t="n">
        <f aca="false">$B22*Model!$T$47</f>
        <v>33.1108739925797</v>
      </c>
      <c r="I22" s="21" t="n">
        <f aca="false">$B22*Model!$U$47</f>
        <v>15.7013866750527</v>
      </c>
      <c r="J22" s="21" t="n">
        <f aca="false">$B22*Model!$V$47</f>
        <v>15.7013866750527</v>
      </c>
      <c r="K22" s="21" t="n">
        <f aca="false">$B22*Model!$W$47</f>
        <v>41.3806428397101</v>
      </c>
      <c r="L22" s="21" t="n">
        <f aca="false">$B22*Model!$X$47</f>
        <v>11.3403327692718</v>
      </c>
      <c r="M22" s="21" t="n">
        <f aca="false">$B22*Model!$Y$47</f>
        <v>6.5033336901334</v>
      </c>
      <c r="N22" s="21" t="n">
        <f aca="false">$B22*Model!$Z$47</f>
        <v>0.671162551650778</v>
      </c>
      <c r="O22" s="21" t="n">
        <f aca="false">$B22*Model!$AA$47</f>
        <v>1.13403327692718</v>
      </c>
    </row>
    <row r="23" customFormat="false" ht="15" hidden="false" customHeight="true" outlineLevel="0" collapsed="false">
      <c r="A23" s="23" t="n">
        <v>2036</v>
      </c>
      <c r="B23" s="21" t="n">
        <f aca="false">IF($A23&lt;=Model!$B$3,Data!$B$14*Model!$D$47,0)</f>
        <v>195.547994643745</v>
      </c>
      <c r="C23" s="21" t="n">
        <f aca="false">$B23*IF(Model!$B$5=1,Data!$D$14,Model!$AC$47)</f>
        <v>47.1726545477992</v>
      </c>
      <c r="D23" s="21" t="n">
        <f aca="false">$B23*IF(Model!$B$5=1,Data!$E$14,Model!$AD$47)</f>
        <v>60.6740668521506</v>
      </c>
      <c r="E23" s="21" t="n">
        <f aca="false">$B23*IF(Model!$B$5=1,Data!$F$14,Model!$AE$47)</f>
        <v>36.5665789678573</v>
      </c>
      <c r="F23" s="21" t="n">
        <f aca="false">$B23*IF(Model!$B$5=1,Data!$G$14,Model!$AF$47)</f>
        <v>51.1346942759383</v>
      </c>
      <c r="G23" s="21" t="n">
        <f aca="false">$B23*Model!$S$47</f>
        <v>100.446809454967</v>
      </c>
      <c r="H23" s="21" t="n">
        <f aca="false">$B23*Model!$T$47</f>
        <v>25.0820797261212</v>
      </c>
      <c r="I23" s="21" t="n">
        <f aca="false">$B23*Model!$U$47</f>
        <v>11.8940814574265</v>
      </c>
      <c r="J23" s="21" t="n">
        <f aca="false">$B23*Model!$V$47</f>
        <v>11.8940814574265</v>
      </c>
      <c r="K23" s="21" t="n">
        <f aca="false">$B23*Model!$W$47</f>
        <v>31.3465776547111</v>
      </c>
      <c r="L23" s="21" t="n">
        <f aca="false">$B23*Model!$X$47</f>
        <v>8.59050506197341</v>
      </c>
      <c r="M23" s="21" t="n">
        <f aca="false">$B23*Model!$Y$47</f>
        <v>4.926391678397</v>
      </c>
      <c r="N23" s="21" t="n">
        <f aca="false">$B23*Model!$Z$47</f>
        <v>0.508417646524957</v>
      </c>
      <c r="O23" s="21" t="n">
        <f aca="false">$B23*Model!$AA$47</f>
        <v>0.859050506197341</v>
      </c>
    </row>
    <row r="24" customFormat="false" ht="15" hidden="false" customHeight="true" outlineLevel="0" collapsed="false">
      <c r="A24" s="23" t="n">
        <v>2037</v>
      </c>
      <c r="B24" s="21" t="n">
        <f aca="false">IF($A24&lt;=Model!$B$3,Data!$B$15*Model!$D$47,0)</f>
        <v>193.946152217552</v>
      </c>
      <c r="C24" s="21" t="n">
        <f aca="false">$B24*IF(Model!$B$5=1,Data!$D$15,Model!$AC$47)</f>
        <v>46.7862370877353</v>
      </c>
      <c r="D24" s="21" t="n">
        <f aca="false">$B24*IF(Model!$B$5=1,Data!$E$15,Model!$AD$47)</f>
        <v>60.1770518117738</v>
      </c>
      <c r="E24" s="21" t="n">
        <f aca="false">$B24*IF(Model!$B$5=1,Data!$F$15,Model!$AE$47)</f>
        <v>36.2670417740437</v>
      </c>
      <c r="F24" s="21" t="n">
        <f aca="false">$B24*IF(Model!$B$5=1,Data!$G$15,Model!$AF$47)</f>
        <v>50.7158215439995</v>
      </c>
      <c r="G24" s="21" t="n">
        <f aca="false">$B24*Model!$S$47</f>
        <v>99.6239937505472</v>
      </c>
      <c r="H24" s="21" t="n">
        <f aca="false">$B24*Model!$T$47</f>
        <v>24.8766184555229</v>
      </c>
      <c r="I24" s="21" t="n">
        <f aca="false">$B24*Model!$U$47</f>
        <v>11.7966504183928</v>
      </c>
      <c r="J24" s="21" t="n">
        <f aca="false">$B24*Model!$V$47</f>
        <v>11.7966504183928</v>
      </c>
      <c r="K24" s="21" t="n">
        <f aca="false">$B24*Model!$W$47</f>
        <v>31.0898003960399</v>
      </c>
      <c r="L24" s="21" t="n">
        <f aca="false">$B24*Model!$X$47</f>
        <v>8.52013545529058</v>
      </c>
      <c r="M24" s="21" t="n">
        <f aca="false">$B24*Model!$Y$47</f>
        <v>4.88603686313603</v>
      </c>
      <c r="N24" s="21" t="n">
        <f aca="false">$B24*Model!$Z$47</f>
        <v>0.504252914700871</v>
      </c>
      <c r="O24" s="21" t="n">
        <f aca="false">$B24*Model!$AA$47</f>
        <v>0.852013545529058</v>
      </c>
    </row>
    <row r="25" customFormat="false" ht="15" hidden="false" customHeight="true" outlineLevel="0" collapsed="false">
      <c r="A25" s="23" t="n">
        <v>2038</v>
      </c>
      <c r="B25" s="21" t="n">
        <f aca="false">IF($A25&lt;=Model!$B$3,Data!$B$16*Model!$D$47,0)</f>
        <v>191.604997902347</v>
      </c>
      <c r="C25" s="21" t="n">
        <f aca="false">$B25*IF(Model!$B$5=1,Data!$D$16,Model!$AC$47)</f>
        <v>46.2214731076421</v>
      </c>
      <c r="D25" s="21" t="n">
        <f aca="false">$B25*IF(Model!$B$5=1,Data!$E$16,Model!$AD$47)</f>
        <v>59.4506452143</v>
      </c>
      <c r="E25" s="21" t="n">
        <f aca="false">$B25*IF(Model!$B$5=1,Data!$F$16,Model!$AE$47)</f>
        <v>35.8292566446239</v>
      </c>
      <c r="F25" s="21" t="n">
        <f aca="false">$B25*IF(Model!$B$5=1,Data!$G$16,Model!$AF$47)</f>
        <v>50.1036229357808</v>
      </c>
      <c r="G25" s="21" t="n">
        <f aca="false">$B25*Model!$S$47</f>
        <v>98.4214169517795</v>
      </c>
      <c r="H25" s="21" t="n">
        <f aca="false">$B25*Model!$T$47</f>
        <v>24.5763289061868</v>
      </c>
      <c r="I25" s="21" t="n">
        <f aca="false">$B25*Model!$U$47</f>
        <v>11.6542512074973</v>
      </c>
      <c r="J25" s="21" t="n">
        <f aca="false">$B25*Model!$V$47</f>
        <v>11.6542512074973</v>
      </c>
      <c r="K25" s="21" t="n">
        <f aca="false">$B25*Model!$W$47</f>
        <v>30.7145105564435</v>
      </c>
      <c r="L25" s="21" t="n">
        <f aca="false">$B25*Model!$X$47</f>
        <v>8.41728756860029</v>
      </c>
      <c r="M25" s="21" t="n">
        <f aca="false">$B25*Model!$Y$47</f>
        <v>4.82705674852384</v>
      </c>
      <c r="N25" s="21" t="n">
        <f aca="false">$B25*Model!$Z$47</f>
        <v>0.498165998957976</v>
      </c>
      <c r="O25" s="21" t="n">
        <f aca="false">$B25*Model!$AA$47</f>
        <v>0.841728756860029</v>
      </c>
    </row>
    <row r="26" customFormat="false" ht="15" hidden="false" customHeight="true" outlineLevel="0" collapsed="false">
      <c r="A26" s="23" t="n">
        <v>2039</v>
      </c>
      <c r="B26" s="21" t="n">
        <f aca="false">IF($A26&lt;=Model!$B$3,Data!$B$17*Model!$D$47,0)</f>
        <v>189.879936827985</v>
      </c>
      <c r="C26" s="21" t="n">
        <f aca="false">$B26*IF(Model!$B$5=1,Data!$D$17,Model!$AC$47)</f>
        <v>45.8053312275731</v>
      </c>
      <c r="D26" s="21" t="n">
        <f aca="false">$B26*IF(Model!$B$5=1,Data!$E$17,Model!$AD$47)</f>
        <v>58.9153982477402</v>
      </c>
      <c r="E26" s="21" t="n">
        <f aca="false">$B26*IF(Model!$B$5=1,Data!$F$17,Model!$AE$47)</f>
        <v>35.5066781282092</v>
      </c>
      <c r="F26" s="21" t="n">
        <f aca="false">$B26*IF(Model!$B$5=1,Data!$G$17,Model!$AF$47)</f>
        <v>49.652529224462</v>
      </c>
      <c r="G26" s="21" t="n">
        <f aca="false">$B26*Model!$S$47</f>
        <v>97.5353077316349</v>
      </c>
      <c r="H26" s="21" t="n">
        <f aca="false">$B26*Model!$T$47</f>
        <v>24.3550629224655</v>
      </c>
      <c r="I26" s="21" t="n">
        <f aca="false">$B26*Model!$U$47</f>
        <v>11.5493254731533</v>
      </c>
      <c r="J26" s="21" t="n">
        <f aca="false">$B26*Model!$V$47</f>
        <v>11.5493254731533</v>
      </c>
      <c r="K26" s="21" t="n">
        <f aca="false">$B26*Model!$W$47</f>
        <v>30.4379812009514</v>
      </c>
      <c r="L26" s="21" t="n">
        <f aca="false">$B26*Model!$X$47</f>
        <v>8.34150491524955</v>
      </c>
      <c r="M26" s="21" t="n">
        <f aca="false">$B26*Model!$Y$47</f>
        <v>4.78359771670433</v>
      </c>
      <c r="N26" s="21" t="n">
        <f aca="false">$B26*Model!$Z$47</f>
        <v>0.493680903147422</v>
      </c>
      <c r="O26" s="21" t="n">
        <f aca="false">$B26*Model!$AA$47</f>
        <v>0.834150491524955</v>
      </c>
    </row>
    <row r="27" customFormat="false" ht="15" hidden="false" customHeight="true" outlineLevel="0" collapsed="false">
      <c r="A27" s="23" t="n">
        <v>2040</v>
      </c>
      <c r="B27" s="21" t="n">
        <f aca="false">IF($A27&lt;=Model!$B$3,Data!$B$18*Model!$D$47,0)</f>
        <v>187.908438457285</v>
      </c>
      <c r="C27" s="21" t="n">
        <f aca="false">$B27*IF(Model!$B$5=1,Data!$D$18,Model!$AC$47)</f>
        <v>45.3297405074945</v>
      </c>
      <c r="D27" s="21" t="n">
        <f aca="false">$B27*IF(Model!$B$5=1,Data!$E$18,Model!$AD$47)</f>
        <v>58.3036874288152</v>
      </c>
      <c r="E27" s="21" t="n">
        <f aca="false">$B27*IF(Model!$B$5=1,Data!$F$18,Model!$AE$47)</f>
        <v>35.1380169665925</v>
      </c>
      <c r="F27" s="21" t="n">
        <f aca="false">$B27*IF(Model!$B$5=1,Data!$G$18,Model!$AF$47)</f>
        <v>49.1369935543831</v>
      </c>
      <c r="G27" s="21" t="n">
        <f aca="false">$B27*Model!$S$47</f>
        <v>96.522611480041</v>
      </c>
      <c r="H27" s="21" t="n">
        <f aca="false">$B27*Model!$T$47</f>
        <v>24.1021875124983</v>
      </c>
      <c r="I27" s="21" t="n">
        <f aca="false">$B27*Model!$U$47</f>
        <v>11.4294103481887</v>
      </c>
      <c r="J27" s="21" t="n">
        <f aca="false">$B27*Model!$V$47</f>
        <v>11.4294103481887</v>
      </c>
      <c r="K27" s="21" t="n">
        <f aca="false">$B27*Model!$W$47</f>
        <v>30.1219476518176</v>
      </c>
      <c r="L27" s="21" t="n">
        <f aca="false">$B27*Model!$X$47</f>
        <v>8.25489616856298</v>
      </c>
      <c r="M27" s="21" t="n">
        <f aca="false">$B27*Model!$Y$47</f>
        <v>4.73393025176775</v>
      </c>
      <c r="N27" s="21" t="n">
        <f aca="false">$B27*Model!$Z$47</f>
        <v>0.488555079363932</v>
      </c>
      <c r="O27" s="21" t="n">
        <f aca="false">$B27*Model!$AA$47</f>
        <v>0.825489616856298</v>
      </c>
    </row>
    <row r="28" customFormat="false" ht="15" hidden="false" customHeight="true" outlineLevel="0" collapsed="false">
      <c r="A28" s="24" t="s">
        <v>118</v>
      </c>
      <c r="B28" s="25" t="n">
        <f aca="false">SUM(B13:B27)</f>
        <v>4911.98819059752</v>
      </c>
      <c r="C28" s="25" t="n">
        <f aca="false">SUM(C13:C27)</f>
        <v>1184.93026052637</v>
      </c>
      <c r="D28" s="25" t="n">
        <f aca="false">SUM(D13:D27)</f>
        <v>1524.07549132643</v>
      </c>
      <c r="E28" s="25" t="n">
        <f aca="false">SUM(E13:E27)</f>
        <v>918.51991567634</v>
      </c>
      <c r="F28" s="25" t="n">
        <f aca="false">SUM(F13:F27)</f>
        <v>1284.46252306838</v>
      </c>
      <c r="G28" s="25" t="n">
        <f aca="false">SUM(G13:G27)</f>
        <v>2523.13271084613</v>
      </c>
      <c r="H28" s="25" t="n">
        <f aca="false">SUM(H13:H27)</f>
        <v>630.039083933268</v>
      </c>
      <c r="I28" s="25" t="n">
        <f aca="false">SUM(I13:I27)</f>
        <v>298.768533849307</v>
      </c>
      <c r="J28" s="25" t="n">
        <f aca="false">SUM(J13:J27)</f>
        <v>298.768533849307</v>
      </c>
      <c r="K28" s="25" t="n">
        <f aca="false">SUM(K13:K27)</f>
        <v>787.397587666922</v>
      </c>
      <c r="L28" s="25" t="n">
        <f aca="false">SUM(L13:L27)</f>
        <v>215.78569236957</v>
      </c>
      <c r="M28" s="25" t="n">
        <f aca="false">SUM(M13:M27)</f>
        <v>123.746488889488</v>
      </c>
      <c r="N28" s="25" t="n">
        <f aca="false">SUM(N13:N27)</f>
        <v>12.7709899565664</v>
      </c>
      <c r="O28" s="25" t="n">
        <f aca="false">SUM(O13:O27)</f>
        <v>21.578569236957</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0.186995546413275</v>
      </c>
      <c r="F29" s="26" t="n">
        <f aca="false">IF($B$28&gt;0,F28/$B$28,0)</f>
        <v>0.261495442014109</v>
      </c>
      <c r="G29" s="26" t="n">
        <f aca="false">IF($B$28&gt;0,G28/$B$28,0)</f>
        <v>0.513668317785432</v>
      </c>
      <c r="H29" s="26" t="n">
        <f aca="false">IF($B$28&gt;0,H28/$B$28,0)</f>
        <v>0.128265594192446</v>
      </c>
      <c r="I29" s="26" t="n">
        <f aca="false">IF($B$28&gt;0,I28/$B$28,0)</f>
        <v>0.0608243591507828</v>
      </c>
      <c r="J29" s="26" t="n">
        <f aca="false">IF($B$28&gt;0,J28/$B$28,0)</f>
        <v>0.0608243591507828</v>
      </c>
      <c r="K29" s="26" t="n">
        <f aca="false">IF($B$28&gt;0,K28/$B$28,0)</f>
        <v>0.160301197216669</v>
      </c>
      <c r="L29" s="26" t="n">
        <f aca="false">IF($B$28&gt;0,L28/$B$28,0)</f>
        <v>0.0439304175817493</v>
      </c>
      <c r="M29" s="26" t="n">
        <f aca="false">IF($B$28&gt;0,M28/$B$28,0)</f>
        <v>0.0251927496744317</v>
      </c>
      <c r="N29" s="26" t="n">
        <f aca="false">IF($B$28&gt;0,N28/$B$28,0)</f>
        <v>0.0025999634895321</v>
      </c>
      <c r="O29" s="26" t="n">
        <f aca="false">IF($B$28&gt;0,O28/$B$28,0)</f>
        <v>0.00439304175817493</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Data!$H$24*Data!$M$24/SUM(Data!$H$24:$K$24)</f>
        <v>206.677019659673</v>
      </c>
      <c r="C34" s="22" t="n">
        <f aca="false">IF($B$38&gt;0,B34/$B$38,0)</f>
        <v>0.0303981496778457</v>
      </c>
      <c r="D34" s="21" t="n">
        <f aca="false">C28</f>
        <v>1184.93026052637</v>
      </c>
      <c r="E34" s="22" t="n">
        <f aca="false">IF($D$38&gt;0,D34/$D$38,0)</f>
        <v>0.241232310532536</v>
      </c>
      <c r="F34" s="21" t="n">
        <f aca="false">B34+D34</f>
        <v>1391.60728018604</v>
      </c>
      <c r="G34" s="22" t="n">
        <f aca="false">IF($F$38&gt;0,F34/$F$38,0)</f>
        <v>0.118829193364171</v>
      </c>
    </row>
    <row r="35" customFormat="false" ht="15" hidden="false" customHeight="true" outlineLevel="0" collapsed="false">
      <c r="A35" s="13" t="s">
        <v>106</v>
      </c>
      <c r="B35" s="21" t="n">
        <f aca="false">Data!$I$24*Data!$M$24/SUM(Data!$H$24:$K$24)</f>
        <v>903.088716339006</v>
      </c>
      <c r="C35" s="22" t="n">
        <f aca="false">IF($B$38&gt;0,B35/$B$38,0)</f>
        <v>0.132826697505369</v>
      </c>
      <c r="D35" s="21" t="n">
        <f aca="false">D28</f>
        <v>1524.07549132643</v>
      </c>
      <c r="E35" s="22" t="n">
        <f aca="false">IF($D$38&gt;0,D35/$D$38,0)</f>
        <v>0.310276701040081</v>
      </c>
      <c r="F35" s="21" t="n">
        <f aca="false">B35+D35</f>
        <v>2427.16420766544</v>
      </c>
      <c r="G35" s="22" t="n">
        <f aca="false">IF($F$38&gt;0,F35/$F$38,0)</f>
        <v>0.207255286075188</v>
      </c>
    </row>
    <row r="36" customFormat="false" ht="15" hidden="false" customHeight="true" outlineLevel="0" collapsed="false">
      <c r="A36" s="13" t="s">
        <v>107</v>
      </c>
      <c r="B36" s="21" t="n">
        <f aca="false">Data!$J$24*Data!$M$24/SUM(Data!$H$24:$K$24)</f>
        <v>3894.28927804395</v>
      </c>
      <c r="C36" s="22" t="n">
        <f aca="false">IF($B$38&gt;0,B36/$B$38,0)</f>
        <v>0.572773831158103</v>
      </c>
      <c r="D36" s="21" t="n">
        <f aca="false">E28</f>
        <v>918.51991567634</v>
      </c>
      <c r="E36" s="22" t="n">
        <f aca="false">IF($D$38&gt;0,D36/$D$38,0)</f>
        <v>0.186995546413275</v>
      </c>
      <c r="F36" s="21" t="n">
        <f aca="false">B36+D36</f>
        <v>4812.80919372029</v>
      </c>
      <c r="G36" s="22" t="n">
        <f aca="false">IF($F$38&gt;0,F36/$F$38,0)</f>
        <v>0.410965250360715</v>
      </c>
    </row>
    <row r="37" customFormat="false" ht="15" hidden="false" customHeight="true" outlineLevel="0" collapsed="false">
      <c r="A37" s="13" t="s">
        <v>108</v>
      </c>
      <c r="B37" s="21" t="n">
        <f aca="false">Data!$K$24*Data!$M$24/SUM(Data!$H$24:$K$24)</f>
        <v>1794.94498595738</v>
      </c>
      <c r="C37" s="22" t="n">
        <f aca="false">IF($B$38&gt;0,B37/$B$38,0)</f>
        <v>0.264001321658682</v>
      </c>
      <c r="D37" s="21" t="n">
        <f aca="false">F28</f>
        <v>1284.46252306838</v>
      </c>
      <c r="E37" s="22" t="n">
        <f aca="false">IF($D$38&gt;0,D37/$D$38,0)</f>
        <v>0.261495442014109</v>
      </c>
      <c r="F37" s="21" t="n">
        <f aca="false">B37+D37</f>
        <v>3079.40750902576</v>
      </c>
      <c r="G37" s="22" t="n">
        <f aca="false">IF($F$38&gt;0,F37/$F$38,0)</f>
        <v>0.262950270199926</v>
      </c>
    </row>
    <row r="38" customFormat="false" ht="15" hidden="false" customHeight="true" outlineLevel="0" collapsed="false">
      <c r="A38" s="24" t="s">
        <v>61</v>
      </c>
      <c r="B38" s="25" t="n">
        <f aca="false">SUM(B34:B37)</f>
        <v>6799</v>
      </c>
      <c r="C38" s="27" t="n">
        <f aca="false">SUM(C34:C37)</f>
        <v>1</v>
      </c>
      <c r="D38" s="25" t="n">
        <f aca="false">SUM(D34:D37)</f>
        <v>4911.98819059752</v>
      </c>
      <c r="E38" s="27" t="n">
        <f aca="false">SUM(E34:E37)</f>
        <v>1</v>
      </c>
      <c r="F38" s="25" t="n">
        <f aca="false">SUM(F34:F37)</f>
        <v>11710.9881905975</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6CDA9"/>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158</v>
      </c>
    </row>
    <row r="2" customFormat="false" ht="15" hidden="false" customHeight="true" outlineLevel="0" collapsed="false">
      <c r="A2" s="3" t="str">
        <f aca="false">Model!$B$48&amp;" · new homes per year, 2026–"&amp;Model!$B$3&amp;" · set by the levers on the Intro tab"</f>
        <v>City neighbourhood · new homes per year, 2026–2040 · set by the levers on the Intro tab</v>
      </c>
    </row>
    <row r="4" customFormat="false" ht="15" hidden="false" customHeight="true" outlineLevel="0" collapsed="false">
      <c r="A4" s="13" t="s">
        <v>332</v>
      </c>
      <c r="C4" s="67" t="n">
        <f aca="false">Model!$D$48</f>
        <v>0.14618890954612</v>
      </c>
    </row>
    <row r="5" customFormat="false" ht="15" hidden="false" customHeight="true" outlineLevel="0" collapsed="false">
      <c r="A5" s="13" t="s">
        <v>53</v>
      </c>
      <c r="C5" s="14" t="n">
        <f aca="false">Model!$E$48</f>
        <v>5827.67469014651</v>
      </c>
    </row>
    <row r="6" customFormat="false" ht="15" hidden="false" customHeight="true" outlineLevel="0" collapsed="false">
      <c r="A6" s="13" t="s">
        <v>99</v>
      </c>
      <c r="C6" s="15" t="n">
        <f aca="false">Model!$Q$48</f>
        <v>0.276027861874792</v>
      </c>
    </row>
    <row r="7" customFormat="false" ht="15" hidden="false" customHeight="true" outlineLevel="0" collapsed="false">
      <c r="A7" s="13" t="s">
        <v>100</v>
      </c>
      <c r="C7" s="15" t="n">
        <f aca="false">Model!$G$48</f>
        <v>0.03637</v>
      </c>
    </row>
    <row r="8" customFormat="false" ht="15" hidden="false" customHeight="true" outlineLevel="0" collapsed="false">
      <c r="A8" s="13" t="s">
        <v>101</v>
      </c>
      <c r="C8" s="15" t="n">
        <f aca="false">Model!$R$48</f>
        <v>0.144943023617597</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IF($A13&lt;=Model!$B$3,Data!$B$4*Model!$D$48,0)</f>
        <v>623.203321395108</v>
      </c>
      <c r="C13" s="21" t="n">
        <f aca="false">$B13*IF(Model!$B$5=1,Data!$D$4,Model!$AC$48)</f>
        <v>161.208551477206</v>
      </c>
      <c r="D13" s="21" t="n">
        <f aca="false">$B13*IF(Model!$B$5=1,Data!$E$4,Model!$AD$48)</f>
        <v>197.308743875092</v>
      </c>
      <c r="E13" s="21" t="n">
        <f aca="false">$B13*IF(Model!$B$5=1,Data!$F$4,Model!$AE$48)</f>
        <v>115.31599919811</v>
      </c>
      <c r="F13" s="21" t="n">
        <f aca="false">$B13*IF(Model!$B$5=1,Data!$G$4,Model!$AF$48)</f>
        <v>149.3700268447</v>
      </c>
      <c r="G13" s="21" t="n">
        <f aca="false">$B13*Model!$S$48</f>
        <v>303.513736603224</v>
      </c>
      <c r="H13" s="21" t="n">
        <f aca="false">$B13*Model!$T$48</f>
        <v>75.7889253104451</v>
      </c>
      <c r="I13" s="21" t="n">
        <f aca="false">$B13*Model!$U$48</f>
        <v>35.9395895817388</v>
      </c>
      <c r="J13" s="21" t="n">
        <f aca="false">$B13*Model!$V$48</f>
        <v>35.9395895817388</v>
      </c>
      <c r="K13" s="21" t="n">
        <f aca="false">$B13*Model!$W$48</f>
        <v>116.638000306604</v>
      </c>
      <c r="L13" s="21" t="n">
        <f aca="false">$B13*Model!$X$48</f>
        <v>31.9645526567314</v>
      </c>
      <c r="M13" s="21" t="n">
        <f aca="false">$B13*Model!$Y$48</f>
        <v>18.3306924419215</v>
      </c>
      <c r="N13" s="21" t="n">
        <f aca="false">$B13*Model!$Z$48</f>
        <v>1.89177964703104</v>
      </c>
      <c r="O13" s="21" t="n">
        <f aca="false">$B13*Model!$AA$48</f>
        <v>3.19645526567314</v>
      </c>
    </row>
    <row r="14" customFormat="false" ht="15" hidden="false" customHeight="true" outlineLevel="0" collapsed="false">
      <c r="A14" s="23" t="n">
        <v>2027</v>
      </c>
      <c r="B14" s="21" t="n">
        <f aca="false">IF($A14&lt;=Model!$B$3,Data!$B$5*Model!$D$48,0)</f>
        <v>623.203321395108</v>
      </c>
      <c r="C14" s="21" t="n">
        <f aca="false">$B14*IF(Model!$B$5=1,Data!$D$5,Model!$AC$48)</f>
        <v>156.677758099333</v>
      </c>
      <c r="D14" s="21" t="n">
        <f aca="false">$B14*IF(Model!$B$5=1,Data!$E$5,Model!$AD$48)</f>
        <v>197.893362375463</v>
      </c>
      <c r="E14" s="21" t="n">
        <f aca="false">$B14*IF(Model!$B$5=1,Data!$F$5,Model!$AE$48)</f>
        <v>115.023689947925</v>
      </c>
      <c r="F14" s="21" t="n">
        <f aca="false">$B14*IF(Model!$B$5=1,Data!$G$5,Model!$AF$48)</f>
        <v>153.608510972387</v>
      </c>
      <c r="G14" s="21" t="n">
        <f aca="false">$B14*Model!$S$48</f>
        <v>303.513736603224</v>
      </c>
      <c r="H14" s="21" t="n">
        <f aca="false">$B14*Model!$T$48</f>
        <v>75.7889253104451</v>
      </c>
      <c r="I14" s="21" t="n">
        <f aca="false">$B14*Model!$U$48</f>
        <v>35.9395895817388</v>
      </c>
      <c r="J14" s="21" t="n">
        <f aca="false">$B14*Model!$V$48</f>
        <v>35.9395895817388</v>
      </c>
      <c r="K14" s="21" t="n">
        <f aca="false">$B14*Model!$W$48</f>
        <v>116.638000306604</v>
      </c>
      <c r="L14" s="21" t="n">
        <f aca="false">$B14*Model!$X$48</f>
        <v>31.9645526567314</v>
      </c>
      <c r="M14" s="21" t="n">
        <f aca="false">$B14*Model!$Y$48</f>
        <v>18.3306924419215</v>
      </c>
      <c r="N14" s="21" t="n">
        <f aca="false">$B14*Model!$Z$48</f>
        <v>1.89177964703104</v>
      </c>
      <c r="O14" s="21" t="n">
        <f aca="false">$B14*Model!$AA$48</f>
        <v>3.19645526567314</v>
      </c>
    </row>
    <row r="15" customFormat="false" ht="15" hidden="false" customHeight="true" outlineLevel="0" collapsed="false">
      <c r="A15" s="23" t="n">
        <v>2028</v>
      </c>
      <c r="B15" s="21" t="n">
        <f aca="false">IF($A15&lt;=Model!$B$3,Data!$B$6*Model!$D$48,0)</f>
        <v>623.203321395108</v>
      </c>
      <c r="C15" s="21" t="n">
        <f aca="false">$B15*IF(Model!$B$5=1,Data!$D$6,Model!$AC$48)</f>
        <v>156.166388373997</v>
      </c>
      <c r="D15" s="21" t="n">
        <f aca="false">$B15*IF(Model!$B$5=1,Data!$E$6,Model!$AD$48)</f>
        <v>197.986226459168</v>
      </c>
      <c r="E15" s="21" t="n">
        <f aca="false">$B15*IF(Model!$B$5=1,Data!$F$6,Model!$AE$48)</f>
        <v>115.077666339265</v>
      </c>
      <c r="F15" s="21" t="n">
        <f aca="false">$B15*IF(Model!$B$5=1,Data!$G$6,Model!$AF$48)</f>
        <v>153.973040222677</v>
      </c>
      <c r="G15" s="21" t="n">
        <f aca="false">$B15*Model!$S$48</f>
        <v>303.513736603224</v>
      </c>
      <c r="H15" s="21" t="n">
        <f aca="false">$B15*Model!$T$48</f>
        <v>75.7889253104451</v>
      </c>
      <c r="I15" s="21" t="n">
        <f aca="false">$B15*Model!$U$48</f>
        <v>35.9395895817388</v>
      </c>
      <c r="J15" s="21" t="n">
        <f aca="false">$B15*Model!$V$48</f>
        <v>35.9395895817388</v>
      </c>
      <c r="K15" s="21" t="n">
        <f aca="false">$B15*Model!$W$48</f>
        <v>116.638000306604</v>
      </c>
      <c r="L15" s="21" t="n">
        <f aca="false">$B15*Model!$X$48</f>
        <v>31.9645526567314</v>
      </c>
      <c r="M15" s="21" t="n">
        <f aca="false">$B15*Model!$Y$48</f>
        <v>18.3306924419215</v>
      </c>
      <c r="N15" s="21" t="n">
        <f aca="false">$B15*Model!$Z$48</f>
        <v>1.89177964703104</v>
      </c>
      <c r="O15" s="21" t="n">
        <f aca="false">$B15*Model!$AA$48</f>
        <v>3.19645526567314</v>
      </c>
    </row>
    <row r="16" customFormat="false" ht="15" hidden="false" customHeight="true" outlineLevel="0" collapsed="false">
      <c r="A16" s="23" t="n">
        <v>2029</v>
      </c>
      <c r="B16" s="21" t="n">
        <f aca="false">IF($A16&lt;=Model!$B$3,Data!$B$7*Model!$D$48,0)</f>
        <v>623.203321395108</v>
      </c>
      <c r="C16" s="21" t="n">
        <f aca="false">$B16*IF(Model!$B$5=1,Data!$D$7,Model!$AC$48)</f>
        <v>154.521677390249</v>
      </c>
      <c r="D16" s="21" t="n">
        <f aca="false">$B16*IF(Model!$B$5=1,Data!$E$7,Model!$AD$48)</f>
        <v>196.916461158623</v>
      </c>
      <c r="E16" s="21" t="n">
        <f aca="false">$B16*IF(Model!$B$5=1,Data!$F$7,Model!$AE$48)</f>
        <v>114.319727265066</v>
      </c>
      <c r="F16" s="21" t="n">
        <f aca="false">$B16*IF(Model!$B$5=1,Data!$G$7,Model!$AF$48)</f>
        <v>157.44545558117</v>
      </c>
      <c r="G16" s="21" t="n">
        <f aca="false">$B16*Model!$S$48</f>
        <v>303.513736603224</v>
      </c>
      <c r="H16" s="21" t="n">
        <f aca="false">$B16*Model!$T$48</f>
        <v>75.7889253104451</v>
      </c>
      <c r="I16" s="21" t="n">
        <f aca="false">$B16*Model!$U$48</f>
        <v>35.9395895817388</v>
      </c>
      <c r="J16" s="21" t="n">
        <f aca="false">$B16*Model!$V$48</f>
        <v>35.9395895817388</v>
      </c>
      <c r="K16" s="21" t="n">
        <f aca="false">$B16*Model!$W$48</f>
        <v>116.638000306604</v>
      </c>
      <c r="L16" s="21" t="n">
        <f aca="false">$B16*Model!$X$48</f>
        <v>31.9645526567314</v>
      </c>
      <c r="M16" s="21" t="n">
        <f aca="false">$B16*Model!$Y$48</f>
        <v>18.3306924419215</v>
      </c>
      <c r="N16" s="21" t="n">
        <f aca="false">$B16*Model!$Z$48</f>
        <v>1.89177964703104</v>
      </c>
      <c r="O16" s="21" t="n">
        <f aca="false">$B16*Model!$AA$48</f>
        <v>3.19645526567314</v>
      </c>
    </row>
    <row r="17" customFormat="false" ht="15" hidden="false" customHeight="true" outlineLevel="0" collapsed="false">
      <c r="A17" s="23" t="n">
        <v>2030</v>
      </c>
      <c r="B17" s="21" t="n">
        <f aca="false">IF($A17&lt;=Model!$B$3,Data!$B$8*Model!$D$48,0)</f>
        <v>623.203321395108</v>
      </c>
      <c r="C17" s="21" t="n">
        <f aca="false">$B17*IF(Model!$B$5=1,Data!$D$8,Model!$AC$48)</f>
        <v>154.265486642853</v>
      </c>
      <c r="D17" s="21" t="n">
        <f aca="false">$B17*IF(Model!$B$5=1,Data!$E$8,Model!$AD$48)</f>
        <v>194.038199786792</v>
      </c>
      <c r="E17" s="21" t="n">
        <f aca="false">$B17*IF(Model!$B$5=1,Data!$F$8,Model!$AE$48)</f>
        <v>114.492773498913</v>
      </c>
      <c r="F17" s="21" t="n">
        <f aca="false">$B17*IF(Model!$B$5=1,Data!$G$8,Model!$AF$48)</f>
        <v>160.406861466549</v>
      </c>
      <c r="G17" s="21" t="n">
        <f aca="false">$B17*Model!$S$48</f>
        <v>303.513736603224</v>
      </c>
      <c r="H17" s="21" t="n">
        <f aca="false">$B17*Model!$T$48</f>
        <v>75.7889253104451</v>
      </c>
      <c r="I17" s="21" t="n">
        <f aca="false">$B17*Model!$U$48</f>
        <v>35.9395895817388</v>
      </c>
      <c r="J17" s="21" t="n">
        <f aca="false">$B17*Model!$V$48</f>
        <v>35.9395895817388</v>
      </c>
      <c r="K17" s="21" t="n">
        <f aca="false">$B17*Model!$W$48</f>
        <v>116.638000306604</v>
      </c>
      <c r="L17" s="21" t="n">
        <f aca="false">$B17*Model!$X$48</f>
        <v>31.9645526567314</v>
      </c>
      <c r="M17" s="21" t="n">
        <f aca="false">$B17*Model!$Y$48</f>
        <v>18.3306924419215</v>
      </c>
      <c r="N17" s="21" t="n">
        <f aca="false">$B17*Model!$Z$48</f>
        <v>1.89177964703104</v>
      </c>
      <c r="O17" s="21" t="n">
        <f aca="false">$B17*Model!$AA$48</f>
        <v>3.19645526567314</v>
      </c>
    </row>
    <row r="18" customFormat="false" ht="15" hidden="false" customHeight="true" outlineLevel="0" collapsed="false">
      <c r="A18" s="23" t="n">
        <v>2031</v>
      </c>
      <c r="B18" s="21" t="n">
        <f aca="false">IF($A18&lt;=Model!$B$3,Data!$B$9*Model!$D$48,0)</f>
        <v>316.937555895987</v>
      </c>
      <c r="C18" s="21" t="n">
        <f aca="false">$B18*IF(Model!$B$5=1,Data!$D$9,Model!$AC$48)</f>
        <v>73.2406436826059</v>
      </c>
      <c r="D18" s="21" t="n">
        <f aca="false">$B18*IF(Model!$B$5=1,Data!$E$9,Model!$AD$48)</f>
        <v>96.3384913908928</v>
      </c>
      <c r="E18" s="21" t="n">
        <f aca="false">$B18*IF(Model!$B$5=1,Data!$F$9,Model!$AE$48)</f>
        <v>60.2298307330013</v>
      </c>
      <c r="F18" s="21" t="n">
        <f aca="false">$B18*IF(Model!$B$5=1,Data!$G$9,Model!$AF$48)</f>
        <v>87.1285900894873</v>
      </c>
      <c r="G18" s="21" t="n">
        <f aca="false">$B18*Model!$S$48</f>
        <v>154.355566726669</v>
      </c>
      <c r="H18" s="21" t="n">
        <f aca="false">$B18*Model!$T$48</f>
        <v>38.5433708827222</v>
      </c>
      <c r="I18" s="21" t="n">
        <f aca="false">$B18*Model!$U$48</f>
        <v>18.277511192402</v>
      </c>
      <c r="J18" s="21" t="n">
        <f aca="false">$B18*Model!$V$48</f>
        <v>18.277511192402</v>
      </c>
      <c r="K18" s="21" t="n">
        <f aca="false">$B18*Model!$W$48</f>
        <v>59.3176600198725</v>
      </c>
      <c r="L18" s="21" t="n">
        <f aca="false">$B18*Model!$X$48</f>
        <v>16.255958282851</v>
      </c>
      <c r="M18" s="21" t="n">
        <f aca="false">$B18*Model!$Y$48</f>
        <v>9.32229444383902</v>
      </c>
      <c r="N18" s="21" t="n">
        <f aca="false">$B18*Model!$Z$48</f>
        <v>0.962087326944241</v>
      </c>
      <c r="O18" s="21" t="n">
        <f aca="false">$B18*Model!$AA$48</f>
        <v>1.6255958282851</v>
      </c>
    </row>
    <row r="19" customFormat="false" ht="15" hidden="false" customHeight="true" outlineLevel="0" collapsed="false">
      <c r="A19" s="23" t="n">
        <v>2032</v>
      </c>
      <c r="B19" s="21" t="n">
        <f aca="false">IF($A19&lt;=Model!$B$3,Data!$B$10*Model!$D$48,0)</f>
        <v>316.937555895987</v>
      </c>
      <c r="C19" s="21" t="n">
        <f aca="false">$B19*IF(Model!$B$5=1,Data!$D$10,Model!$AC$48)</f>
        <v>70.4630544012298</v>
      </c>
      <c r="D19" s="21" t="n">
        <f aca="false">$B19*IF(Model!$B$5=1,Data!$E$10,Model!$AD$48)</f>
        <v>94.4380355667932</v>
      </c>
      <c r="E19" s="21" t="n">
        <f aca="false">$B19*IF(Model!$B$5=1,Data!$F$10,Model!$AE$48)</f>
        <v>61.2531530998242</v>
      </c>
      <c r="F19" s="21" t="n">
        <f aca="false">$B19*IF(Model!$B$5=1,Data!$G$10,Model!$AF$48)</f>
        <v>90.7833128281402</v>
      </c>
      <c r="G19" s="21" t="n">
        <f aca="false">$B19*Model!$S$48</f>
        <v>154.355566726669</v>
      </c>
      <c r="H19" s="21" t="n">
        <f aca="false">$B19*Model!$T$48</f>
        <v>38.5433708827222</v>
      </c>
      <c r="I19" s="21" t="n">
        <f aca="false">$B19*Model!$U$48</f>
        <v>18.277511192402</v>
      </c>
      <c r="J19" s="21" t="n">
        <f aca="false">$B19*Model!$V$48</f>
        <v>18.277511192402</v>
      </c>
      <c r="K19" s="21" t="n">
        <f aca="false">$B19*Model!$W$48</f>
        <v>59.3176600198725</v>
      </c>
      <c r="L19" s="21" t="n">
        <f aca="false">$B19*Model!$X$48</f>
        <v>16.255958282851</v>
      </c>
      <c r="M19" s="21" t="n">
        <f aca="false">$B19*Model!$Y$48</f>
        <v>9.32229444383902</v>
      </c>
      <c r="N19" s="21" t="n">
        <f aca="false">$B19*Model!$Z$48</f>
        <v>0.962087326944241</v>
      </c>
      <c r="O19" s="21" t="n">
        <f aca="false">$B19*Model!$AA$48</f>
        <v>1.6255958282851</v>
      </c>
    </row>
    <row r="20" customFormat="false" ht="15" hidden="false" customHeight="true" outlineLevel="0" collapsed="false">
      <c r="A20" s="23" t="n">
        <v>2033</v>
      </c>
      <c r="B20" s="21" t="n">
        <f aca="false">IF($A20&lt;=Model!$B$3,Data!$B$11*Model!$D$48,0)</f>
        <v>316.937555895987</v>
      </c>
      <c r="C20" s="21" t="n">
        <f aca="false">$B20*IF(Model!$B$5=1,Data!$D$11,Model!$AC$48)</f>
        <v>69.9105453245417</v>
      </c>
      <c r="D20" s="21" t="n">
        <f aca="false">$B20*IF(Model!$B$5=1,Data!$E$11,Model!$AD$48)</f>
        <v>94.7741283897551</v>
      </c>
      <c r="E20" s="21" t="n">
        <f aca="false">$B20*IF(Model!$B$5=1,Data!$F$11,Model!$AE$48)</f>
        <v>61.2814194372028</v>
      </c>
      <c r="F20" s="21" t="n">
        <f aca="false">$B20*IF(Model!$B$5=1,Data!$G$11,Model!$AF$48)</f>
        <v>90.9714627444874</v>
      </c>
      <c r="G20" s="21" t="n">
        <f aca="false">$B20*Model!$S$48</f>
        <v>154.355566726669</v>
      </c>
      <c r="H20" s="21" t="n">
        <f aca="false">$B20*Model!$T$48</f>
        <v>38.5433708827222</v>
      </c>
      <c r="I20" s="21" t="n">
        <f aca="false">$B20*Model!$U$48</f>
        <v>18.277511192402</v>
      </c>
      <c r="J20" s="21" t="n">
        <f aca="false">$B20*Model!$V$48</f>
        <v>18.277511192402</v>
      </c>
      <c r="K20" s="21" t="n">
        <f aca="false">$B20*Model!$W$48</f>
        <v>59.3176600198725</v>
      </c>
      <c r="L20" s="21" t="n">
        <f aca="false">$B20*Model!$X$48</f>
        <v>16.255958282851</v>
      </c>
      <c r="M20" s="21" t="n">
        <f aca="false">$B20*Model!$Y$48</f>
        <v>9.32229444383902</v>
      </c>
      <c r="N20" s="21" t="n">
        <f aca="false">$B20*Model!$Z$48</f>
        <v>0.962087326944241</v>
      </c>
      <c r="O20" s="21" t="n">
        <f aca="false">$B20*Model!$AA$48</f>
        <v>1.6255958282851</v>
      </c>
    </row>
    <row r="21" customFormat="false" ht="15" hidden="false" customHeight="true" outlineLevel="0" collapsed="false">
      <c r="A21" s="23" t="n">
        <v>2034</v>
      </c>
      <c r="B21" s="21" t="n">
        <f aca="false">IF($A21&lt;=Model!$B$3,Data!$B$12*Model!$D$48,0)</f>
        <v>316.937555895987</v>
      </c>
      <c r="C21" s="21" t="n">
        <f aca="false">$B21*IF(Model!$B$5=1,Data!$D$12,Model!$AC$48)</f>
        <v>69.2935431248608</v>
      </c>
      <c r="D21" s="21" t="n">
        <f aca="false">$B21*IF(Model!$B$5=1,Data!$E$12,Model!$AD$48)</f>
        <v>95.0227912049778</v>
      </c>
      <c r="E21" s="21" t="n">
        <f aca="false">$B21*IF(Model!$B$5=1,Data!$F$12,Model!$AE$48)</f>
        <v>61.2531530998242</v>
      </c>
      <c r="F21" s="21" t="n">
        <f aca="false">$B21*IF(Model!$B$5=1,Data!$G$12,Model!$AF$48)</f>
        <v>91.3680684663246</v>
      </c>
      <c r="G21" s="21" t="n">
        <f aca="false">$B21*Model!$S$48</f>
        <v>154.355566726669</v>
      </c>
      <c r="H21" s="21" t="n">
        <f aca="false">$B21*Model!$T$48</f>
        <v>38.5433708827222</v>
      </c>
      <c r="I21" s="21" t="n">
        <f aca="false">$B21*Model!$U$48</f>
        <v>18.277511192402</v>
      </c>
      <c r="J21" s="21" t="n">
        <f aca="false">$B21*Model!$V$48</f>
        <v>18.277511192402</v>
      </c>
      <c r="K21" s="21" t="n">
        <f aca="false">$B21*Model!$W$48</f>
        <v>59.3176600198725</v>
      </c>
      <c r="L21" s="21" t="n">
        <f aca="false">$B21*Model!$X$48</f>
        <v>16.255958282851</v>
      </c>
      <c r="M21" s="21" t="n">
        <f aca="false">$B21*Model!$Y$48</f>
        <v>9.32229444383902</v>
      </c>
      <c r="N21" s="21" t="n">
        <f aca="false">$B21*Model!$Z$48</f>
        <v>0.962087326944241</v>
      </c>
      <c r="O21" s="21" t="n">
        <f aca="false">$B21*Model!$AA$48</f>
        <v>1.6255958282851</v>
      </c>
    </row>
    <row r="22" customFormat="false" ht="15" hidden="false" customHeight="true" outlineLevel="0" collapsed="false">
      <c r="A22" s="23" t="n">
        <v>2035</v>
      </c>
      <c r="B22" s="21" t="n">
        <f aca="false">IF($A22&lt;=Model!$B$3,Data!$B$13*Model!$D$48,0)</f>
        <v>306.26576549912</v>
      </c>
      <c r="C22" s="21" t="n">
        <f aca="false">$B22*IF(Model!$B$5=1,Data!$D$13,Model!$AC$48)</f>
        <v>65.6388203862075</v>
      </c>
      <c r="D22" s="21" t="n">
        <f aca="false">$B22*IF(Model!$B$5=1,Data!$E$13,Model!$AD$48)</f>
        <v>90.4909350090479</v>
      </c>
      <c r="E22" s="21" t="n">
        <f aca="false">$B22*IF(Model!$B$5=1,Data!$F$13,Model!$AE$48)</f>
        <v>58.76794163754</v>
      </c>
      <c r="F22" s="21" t="n">
        <f aca="false">$B22*IF(Model!$B$5=1,Data!$G$13,Model!$AF$48)</f>
        <v>91.3680684663247</v>
      </c>
      <c r="G22" s="21" t="n">
        <f aca="false">$B22*Model!$S$48</f>
        <v>149.158169876555</v>
      </c>
      <c r="H22" s="21" t="n">
        <f aca="false">$B22*Model!$T$48</f>
        <v>37.2455544277228</v>
      </c>
      <c r="I22" s="21" t="n">
        <f aca="false">$B22*Model!$U$48</f>
        <v>17.6620783893368</v>
      </c>
      <c r="J22" s="21" t="n">
        <f aca="false">$B22*Model!$V$48</f>
        <v>17.6620783893368</v>
      </c>
      <c r="K22" s="21" t="n">
        <f aca="false">$B22*Model!$W$48</f>
        <v>57.320340286731</v>
      </c>
      <c r="L22" s="21" t="n">
        <f aca="false">$B22*Model!$X$48</f>
        <v>15.7085943738804</v>
      </c>
      <c r="M22" s="21" t="n">
        <f aca="false">$B22*Model!$Y$48</f>
        <v>9.00839799808245</v>
      </c>
      <c r="N22" s="21" t="n">
        <f aca="false">$B22*Model!$Z$48</f>
        <v>0.929692320086801</v>
      </c>
      <c r="O22" s="21" t="n">
        <f aca="false">$B22*Model!$AA$48</f>
        <v>1.57085943738804</v>
      </c>
    </row>
    <row r="23" customFormat="false" ht="15" hidden="false" customHeight="true" outlineLevel="0" collapsed="false">
      <c r="A23" s="23" t="n">
        <v>2036</v>
      </c>
      <c r="B23" s="21" t="n">
        <f aca="false">IF($A23&lt;=Model!$B$3,Data!$B$14*Model!$D$48,0)</f>
        <v>232.001799449692</v>
      </c>
      <c r="C23" s="21" t="n">
        <f aca="false">$B23*IF(Model!$B$5=1,Data!$D$14,Model!$AC$48)</f>
        <v>55.9665199320833</v>
      </c>
      <c r="D23" s="21" t="n">
        <f aca="false">$B23*IF(Model!$B$5=1,Data!$E$14,Model!$AD$48)</f>
        <v>71.9848480945804</v>
      </c>
      <c r="E23" s="21" t="n">
        <f aca="false">$B23*IF(Model!$B$5=1,Data!$F$14,Model!$AE$48)</f>
        <v>43.3832734297155</v>
      </c>
      <c r="F23" s="21" t="n">
        <f aca="false">$B23*IF(Model!$B$5=1,Data!$G$14,Model!$AF$48)</f>
        <v>60.6671579933126</v>
      </c>
      <c r="G23" s="21" t="n">
        <f aca="false">$B23*Model!$S$48</f>
        <v>112.989983577133</v>
      </c>
      <c r="H23" s="21" t="n">
        <f aca="false">$B23*Model!$T$48</f>
        <v>28.2141741655351</v>
      </c>
      <c r="I23" s="21" t="n">
        <f aca="false">$B23*Model!$U$48</f>
        <v>13.3793405269105</v>
      </c>
      <c r="J23" s="21" t="n">
        <f aca="false">$B23*Model!$V$48</f>
        <v>13.3793405269105</v>
      </c>
      <c r="K23" s="21" t="n">
        <f aca="false">$B23*Model!$W$48</f>
        <v>43.4211837876096</v>
      </c>
      <c r="L23" s="21" t="n">
        <f aca="false">$B23*Model!$X$48</f>
        <v>11.8995414183047</v>
      </c>
      <c r="M23" s="21" t="n">
        <f aca="false">$B23*Model!$Y$48</f>
        <v>6.82402273172165</v>
      </c>
      <c r="N23" s="21" t="n">
        <f aca="false">$B23*Model!$Z$48</f>
        <v>0.704258573736398</v>
      </c>
      <c r="O23" s="21" t="n">
        <f aca="false">$B23*Model!$AA$48</f>
        <v>1.18995414183047</v>
      </c>
    </row>
    <row r="24" customFormat="false" ht="15" hidden="false" customHeight="true" outlineLevel="0" collapsed="false">
      <c r="A24" s="23" t="n">
        <v>2037</v>
      </c>
      <c r="B24" s="21" t="n">
        <f aca="false">IF($A24&lt;=Model!$B$3,Data!$B$15*Model!$D$48,0)</f>
        <v>230.101343625592</v>
      </c>
      <c r="C24" s="21" t="n">
        <f aca="false">$B24*IF(Model!$B$5=1,Data!$D$15,Model!$AC$48)</f>
        <v>55.5080670277877</v>
      </c>
      <c r="D24" s="21" t="n">
        <f aca="false">$B24*IF(Model!$B$5=1,Data!$E$15,Model!$AD$48)</f>
        <v>71.3951801517766</v>
      </c>
      <c r="E24" s="21" t="n">
        <f aca="false">$B24*IF(Model!$B$5=1,Data!$F$15,Model!$AE$48)</f>
        <v>43.0278968987852</v>
      </c>
      <c r="F24" s="21" t="n">
        <f aca="false">$B24*IF(Model!$B$5=1,Data!$G$15,Model!$AF$48)</f>
        <v>60.1701995472428</v>
      </c>
      <c r="G24" s="21" t="n">
        <f aca="false">$B24*Model!$S$48</f>
        <v>112.06441975451</v>
      </c>
      <c r="H24" s="21" t="n">
        <f aca="false">$B24*Model!$T$48</f>
        <v>27.9830561666996</v>
      </c>
      <c r="I24" s="21" t="n">
        <f aca="false">$B24*Model!$U$48</f>
        <v>13.2697429044468</v>
      </c>
      <c r="J24" s="21" t="n">
        <f aca="false">$B24*Model!$V$48</f>
        <v>13.2697429044468</v>
      </c>
      <c r="K24" s="21" t="n">
        <f aca="false">$B24*Model!$W$48</f>
        <v>43.0654967118447</v>
      </c>
      <c r="L24" s="21" t="n">
        <f aca="false">$B24*Model!$X$48</f>
        <v>11.8020656536935</v>
      </c>
      <c r="M24" s="21" t="n">
        <f aca="false">$B24*Model!$Y$48</f>
        <v>6.76812336466911</v>
      </c>
      <c r="N24" s="21" t="n">
        <f aca="false">$B24*Model!$Z$48</f>
        <v>0.69848959991247</v>
      </c>
      <c r="O24" s="21" t="n">
        <f aca="false">$B24*Model!$AA$48</f>
        <v>1.18020656536935</v>
      </c>
    </row>
    <row r="25" customFormat="false" ht="15" hidden="false" customHeight="true" outlineLevel="0" collapsed="false">
      <c r="A25" s="23" t="n">
        <v>2038</v>
      </c>
      <c r="B25" s="21" t="n">
        <f aca="false">IF($A25&lt;=Model!$B$3,Data!$B$16*Model!$D$48,0)</f>
        <v>227.323754344216</v>
      </c>
      <c r="C25" s="21" t="n">
        <f aca="false">$B25*IF(Model!$B$5=1,Data!$D$16,Model!$AC$48)</f>
        <v>54.8380204753559</v>
      </c>
      <c r="D25" s="21" t="n">
        <f aca="false">$B25*IF(Model!$B$5=1,Data!$E$16,Model!$AD$48)</f>
        <v>70.5333577738327</v>
      </c>
      <c r="E25" s="21" t="n">
        <f aca="false">$B25*IF(Model!$B$5=1,Data!$F$16,Model!$AE$48)</f>
        <v>42.5085004305025</v>
      </c>
      <c r="F25" s="21" t="n">
        <f aca="false">$B25*IF(Model!$B$5=1,Data!$G$16,Model!$AF$48)</f>
        <v>59.4438756645249</v>
      </c>
      <c r="G25" s="21" t="n">
        <f aca="false">$B25*Model!$S$48</f>
        <v>110.711672629138</v>
      </c>
      <c r="H25" s="21" t="n">
        <f aca="false">$B25*Model!$T$48</f>
        <v>27.6452683222477</v>
      </c>
      <c r="I25" s="21" t="n">
        <f aca="false">$B25*Model!$U$48</f>
        <v>13.109561763923</v>
      </c>
      <c r="J25" s="21" t="n">
        <f aca="false">$B25*Model!$V$48</f>
        <v>13.109561763923</v>
      </c>
      <c r="K25" s="21" t="n">
        <f aca="false">$B25*Model!$W$48</f>
        <v>42.5456463703421</v>
      </c>
      <c r="L25" s="21" t="n">
        <f aca="false">$B25*Model!$X$48</f>
        <v>11.6596010746463</v>
      </c>
      <c r="M25" s="21" t="n">
        <f aca="false">$B25*Model!$Y$48</f>
        <v>6.68642428974616</v>
      </c>
      <c r="N25" s="21" t="n">
        <f aca="false">$B25*Model!$Z$48</f>
        <v>0.690058022785191</v>
      </c>
      <c r="O25" s="21" t="n">
        <f aca="false">$B25*Model!$AA$48</f>
        <v>1.16596010746463</v>
      </c>
    </row>
    <row r="26" customFormat="false" ht="15" hidden="false" customHeight="true" outlineLevel="0" collapsed="false">
      <c r="A26" s="23" t="n">
        <v>2039</v>
      </c>
      <c r="B26" s="21" t="n">
        <f aca="false">IF($A26&lt;=Model!$B$3,Data!$B$17*Model!$D$48,0)</f>
        <v>225.27710961057</v>
      </c>
      <c r="C26" s="21" t="n">
        <f aca="false">$B26*IF(Model!$B$5=1,Data!$D$17,Model!$AC$48)</f>
        <v>54.3443019630374</v>
      </c>
      <c r="D26" s="21" t="n">
        <f aca="false">$B26*IF(Model!$B$5=1,Data!$E$17,Model!$AD$48)</f>
        <v>69.8983307585054</v>
      </c>
      <c r="E26" s="21" t="n">
        <f aca="false">$B26*IF(Model!$B$5=1,Data!$F$17,Model!$AE$48)</f>
        <v>42.1257872433469</v>
      </c>
      <c r="F26" s="21" t="n">
        <f aca="false">$B26*IF(Model!$B$5=1,Data!$G$17,Model!$AF$48)</f>
        <v>58.9086896456805</v>
      </c>
      <c r="G26" s="21" t="n">
        <f aca="false">$B26*Model!$S$48</f>
        <v>109.71491158939</v>
      </c>
      <c r="H26" s="21" t="n">
        <f aca="false">$B26*Model!$T$48</f>
        <v>27.3963720158095</v>
      </c>
      <c r="I26" s="21" t="n">
        <f aca="false">$B26*Model!$U$48</f>
        <v>12.991533555116</v>
      </c>
      <c r="J26" s="21" t="n">
        <f aca="false">$B26*Model!$V$48</f>
        <v>12.991533555116</v>
      </c>
      <c r="K26" s="21" t="n">
        <f aca="false">$B26*Model!$W$48</f>
        <v>42.1625987502876</v>
      </c>
      <c r="L26" s="21" t="n">
        <f aca="false">$B26*Model!$X$48</f>
        <v>11.5546271742958</v>
      </c>
      <c r="M26" s="21" t="n">
        <f aca="false">$B26*Model!$Y$48</f>
        <v>6.62622497138189</v>
      </c>
      <c r="N26" s="21" t="n">
        <f aca="false">$B26*Model!$Z$48</f>
        <v>0.683845281744038</v>
      </c>
      <c r="O26" s="21" t="n">
        <f aca="false">$B26*Model!$AA$48</f>
        <v>1.15546271742958</v>
      </c>
    </row>
    <row r="27" customFormat="false" ht="15" hidden="false" customHeight="true" outlineLevel="0" collapsed="false">
      <c r="A27" s="23" t="n">
        <v>2040</v>
      </c>
      <c r="B27" s="21" t="n">
        <f aca="false">IF($A27&lt;=Model!$B$3,Data!$B$18*Model!$D$48,0)</f>
        <v>222.938087057832</v>
      </c>
      <c r="C27" s="21" t="n">
        <f aca="false">$B27*IF(Model!$B$5=1,Data!$D$18,Model!$AC$48)</f>
        <v>53.7800522346736</v>
      </c>
      <c r="D27" s="21" t="n">
        <f aca="false">$B27*IF(Model!$B$5=1,Data!$E$18,Model!$AD$48)</f>
        <v>69.1725855981317</v>
      </c>
      <c r="E27" s="21" t="n">
        <f aca="false">$B27*IF(Model!$B$5=1,Data!$F$18,Model!$AE$48)</f>
        <v>41.6884007437404</v>
      </c>
      <c r="F27" s="21" t="n">
        <f aca="false">$B27*IF(Model!$B$5=1,Data!$G$18,Model!$AF$48)</f>
        <v>58.2970484812865</v>
      </c>
      <c r="G27" s="21" t="n">
        <f aca="false">$B27*Model!$S$48</f>
        <v>108.575756115392</v>
      </c>
      <c r="H27" s="21" t="n">
        <f aca="false">$B27*Model!$T$48</f>
        <v>27.1119190941658</v>
      </c>
      <c r="I27" s="21" t="n">
        <f aca="false">$B27*Model!$U$48</f>
        <v>12.8566441736223</v>
      </c>
      <c r="J27" s="21" t="n">
        <f aca="false">$B27*Model!$V$48</f>
        <v>12.8566441736223</v>
      </c>
      <c r="K27" s="21" t="n">
        <f aca="false">$B27*Model!$W$48</f>
        <v>41.7248300416539</v>
      </c>
      <c r="L27" s="21" t="n">
        <f aca="false">$B27*Model!$X$48</f>
        <v>11.4346570024667</v>
      </c>
      <c r="M27" s="21" t="n">
        <f aca="false">$B27*Model!$Y$48</f>
        <v>6.55742575039415</v>
      </c>
      <c r="N27" s="21" t="n">
        <f aca="false">$B27*Model!$Z$48</f>
        <v>0.676745006268435</v>
      </c>
      <c r="O27" s="21" t="n">
        <f aca="false">$B27*Model!$AA$48</f>
        <v>1.14346570024667</v>
      </c>
    </row>
    <row r="28" customFormat="false" ht="15" hidden="false" customHeight="true" outlineLevel="0" collapsed="false">
      <c r="A28" s="24" t="s">
        <v>118</v>
      </c>
      <c r="B28" s="25" t="n">
        <f aca="false">SUM(B13:B27)</f>
        <v>5827.67469014651</v>
      </c>
      <c r="C28" s="25" t="n">
        <f aca="false">SUM(C13:C27)</f>
        <v>1405.82343053602</v>
      </c>
      <c r="D28" s="25" t="n">
        <f aca="false">SUM(D13:D27)</f>
        <v>1808.19167759343</v>
      </c>
      <c r="E28" s="25" t="n">
        <f aca="false">SUM(E13:E27)</f>
        <v>1089.74921300276</v>
      </c>
      <c r="F28" s="25" t="n">
        <f aca="false">SUM(F13:F27)</f>
        <v>1523.91036901429</v>
      </c>
      <c r="G28" s="25" t="n">
        <f aca="false">SUM(G13:G27)</f>
        <v>2838.20586346491</v>
      </c>
      <c r="H28" s="25" t="n">
        <f aca="false">SUM(H13:H27)</f>
        <v>708.714454275295</v>
      </c>
      <c r="I28" s="25" t="n">
        <f aca="false">SUM(I13:I27)</f>
        <v>336.076893991658</v>
      </c>
      <c r="J28" s="25" t="n">
        <f aca="false">SUM(J13:J27)</f>
        <v>336.076893991658</v>
      </c>
      <c r="K28" s="25" t="n">
        <f aca="false">SUM(K13:K27)</f>
        <v>1090.70073756098</v>
      </c>
      <c r="L28" s="25" t="n">
        <f aca="false">SUM(L13:L27)</f>
        <v>298.905683112348</v>
      </c>
      <c r="M28" s="25" t="n">
        <f aca="false">SUM(M13:M27)</f>
        <v>171.413259090959</v>
      </c>
      <c r="N28" s="25" t="n">
        <f aca="false">SUM(N13:N27)</f>
        <v>17.6903363474655</v>
      </c>
      <c r="O28" s="25" t="n">
        <f aca="false">SUM(O13:O27)</f>
        <v>29.8905683112348</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0.186995546413275</v>
      </c>
      <c r="F29" s="26" t="n">
        <f aca="false">IF($B$28&gt;0,F28/$B$28,0)</f>
        <v>0.261495442014109</v>
      </c>
      <c r="G29" s="26" t="n">
        <f aca="false">IF($B$28&gt;0,G28/$B$28,0)</f>
        <v>0.487022013816897</v>
      </c>
      <c r="H29" s="26" t="n">
        <f aca="false">IF($B$28&gt;0,H28/$B$28,0)</f>
        <v>0.121611876427076</v>
      </c>
      <c r="I29" s="26" t="n">
        <f aca="false">IF($B$28&gt;0,I28/$B$28,0)</f>
        <v>0.0576691239406173</v>
      </c>
      <c r="J29" s="26" t="n">
        <f aca="false">IF($B$28&gt;0,J28/$B$28,0)</f>
        <v>0.0576691239406173</v>
      </c>
      <c r="K29" s="26" t="n">
        <f aca="false">IF($B$28&gt;0,K28/$B$28,0)</f>
        <v>0.187158823296219</v>
      </c>
      <c r="L29" s="26" t="n">
        <f aca="false">IF($B$28&gt;0,L28/$B$28,0)</f>
        <v>0.0512907289793888</v>
      </c>
      <c r="M29" s="26" t="n">
        <f aca="false">IF($B$28&gt;0,M28/$B$28,0)</f>
        <v>0.029413662945323</v>
      </c>
      <c r="N29" s="26" t="n">
        <f aca="false">IF($B$28&gt;0,N28/$B$28,0)</f>
        <v>0.00303557375592301</v>
      </c>
      <c r="O29" s="26" t="n">
        <f aca="false">IF($B$28&gt;0,O28/$B$28,0)</f>
        <v>0.00512907289793888</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Data!$H$25*Data!$M$25/SUM(Data!$H$25:$K$25)</f>
        <v>133.221849865952</v>
      </c>
      <c r="C34" s="22" t="n">
        <f aca="false">IF($B$38&gt;0,B34/$B$38,0)</f>
        <v>0.0189343163538874</v>
      </c>
      <c r="D34" s="21" t="n">
        <f aca="false">C28</f>
        <v>1405.82343053602</v>
      </c>
      <c r="E34" s="22" t="n">
        <f aca="false">IF($D$38&gt;0,D34/$D$38,0)</f>
        <v>0.241232310532536</v>
      </c>
      <c r="F34" s="21" t="n">
        <f aca="false">B34+D34</f>
        <v>1539.04528040197</v>
      </c>
      <c r="G34" s="22" t="n">
        <f aca="false">IF($F$38&gt;0,F34/$F$38,0)</f>
        <v>0.119642739533896</v>
      </c>
    </row>
    <row r="35" customFormat="false" ht="15" hidden="false" customHeight="true" outlineLevel="0" collapsed="false">
      <c r="A35" s="13" t="s">
        <v>106</v>
      </c>
      <c r="B35" s="21" t="n">
        <f aca="false">Data!$I$25*Data!$M$25/SUM(Data!$H$25:$K$25)</f>
        <v>716.804289544236</v>
      </c>
      <c r="C35" s="22" t="n">
        <f aca="false">IF($B$38&gt;0,B35/$B$38,0)</f>
        <v>0.101876675603217</v>
      </c>
      <c r="D35" s="21" t="n">
        <f aca="false">D28</f>
        <v>1808.19167759343</v>
      </c>
      <c r="E35" s="22" t="n">
        <f aca="false">IF($D$38&gt;0,D35/$D$38,0)</f>
        <v>0.310276701040081</v>
      </c>
      <c r="F35" s="21" t="n">
        <f aca="false">B35+D35</f>
        <v>2524.99596713767</v>
      </c>
      <c r="G35" s="22" t="n">
        <f aca="false">IF($F$38&gt;0,F35/$F$38,0)</f>
        <v>0.196288854309399</v>
      </c>
    </row>
    <row r="36" customFormat="false" ht="15" hidden="false" customHeight="true" outlineLevel="0" collapsed="false">
      <c r="A36" s="13" t="s">
        <v>107</v>
      </c>
      <c r="B36" s="21" t="n">
        <f aca="false">Data!$J$25*Data!$M$25/SUM(Data!$H$25:$K$25)</f>
        <v>1927.59048257373</v>
      </c>
      <c r="C36" s="22" t="n">
        <f aca="false">IF($B$38&gt;0,B36/$B$38,0)</f>
        <v>0.273961126005362</v>
      </c>
      <c r="D36" s="21" t="n">
        <f aca="false">E28</f>
        <v>1089.74921300276</v>
      </c>
      <c r="E36" s="22" t="n">
        <f aca="false">IF($D$38&gt;0,D36/$D$38,0)</f>
        <v>0.186995546413275</v>
      </c>
      <c r="F36" s="21" t="n">
        <f aca="false">B36+D36</f>
        <v>3017.33969557649</v>
      </c>
      <c r="G36" s="22" t="n">
        <f aca="false">IF($F$38&gt;0,F36/$F$38,0)</f>
        <v>0.234562811036239</v>
      </c>
    </row>
    <row r="37" customFormat="false" ht="15" hidden="false" customHeight="true" outlineLevel="0" collapsed="false">
      <c r="A37" s="13" t="s">
        <v>108</v>
      </c>
      <c r="B37" s="21" t="n">
        <f aca="false">Data!$K$25*Data!$M$25/SUM(Data!$H$25:$K$25)</f>
        <v>4258.38337801609</v>
      </c>
      <c r="C37" s="22" t="n">
        <f aca="false">IF($B$38&gt;0,B37/$B$38,0)</f>
        <v>0.605227882037534</v>
      </c>
      <c r="D37" s="21" t="n">
        <f aca="false">F28</f>
        <v>1523.91036901429</v>
      </c>
      <c r="E37" s="22" t="n">
        <f aca="false">IF($D$38&gt;0,D37/$D$38,0)</f>
        <v>0.261495442014109</v>
      </c>
      <c r="F37" s="21" t="n">
        <f aca="false">B37+D37</f>
        <v>5782.29374703038</v>
      </c>
      <c r="G37" s="22" t="n">
        <f aca="false">IF($F$38&gt;0,F37/$F$38,0)</f>
        <v>0.449505595120466</v>
      </c>
    </row>
    <row r="38" customFormat="false" ht="15" hidden="false" customHeight="true" outlineLevel="0" collapsed="false">
      <c r="A38" s="24" t="s">
        <v>61</v>
      </c>
      <c r="B38" s="25" t="n">
        <f aca="false">SUM(B34:B37)</f>
        <v>7036</v>
      </c>
      <c r="C38" s="27" t="n">
        <f aca="false">SUM(C34:C37)</f>
        <v>1</v>
      </c>
      <c r="D38" s="25" t="n">
        <f aca="false">SUM(D34:D37)</f>
        <v>5827.67469014651</v>
      </c>
      <c r="E38" s="27" t="n">
        <f aca="false">SUM(E34:E37)</f>
        <v>1</v>
      </c>
      <c r="F38" s="25" t="n">
        <f aca="false">SUM(F34:F37)</f>
        <v>12863.6746901465</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6CDA9"/>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160</v>
      </c>
    </row>
    <row r="2" customFormat="false" ht="15" hidden="false" customHeight="true" outlineLevel="0" collapsed="false">
      <c r="A2" s="3" t="str">
        <f aca="false">Model!$B$49&amp;" · new homes per year, 2026–"&amp;Model!$B$3&amp;" · set by the levers on the Intro tab"</f>
        <v>City neighbourhood · new homes per year, 2026–2040 · set by the levers on the Intro tab</v>
      </c>
    </row>
    <row r="4" customFormat="false" ht="15" hidden="false" customHeight="true" outlineLevel="0" collapsed="false">
      <c r="A4" s="13" t="s">
        <v>332</v>
      </c>
      <c r="C4" s="67" t="n">
        <f aca="false">Model!$D$49</f>
        <v>0.126989159634229</v>
      </c>
    </row>
    <row r="5" customFormat="false" ht="15" hidden="false" customHeight="true" outlineLevel="0" collapsed="false">
      <c r="A5" s="13" t="s">
        <v>53</v>
      </c>
      <c r="C5" s="14" t="n">
        <f aca="false">Model!$E$49</f>
        <v>5062.29585965892</v>
      </c>
    </row>
    <row r="6" customFormat="false" ht="15" hidden="false" customHeight="true" outlineLevel="0" collapsed="false">
      <c r="A6" s="13" t="s">
        <v>99</v>
      </c>
      <c r="C6" s="15" t="n">
        <f aca="false">Model!$Q$49</f>
        <v>0.243565110794386</v>
      </c>
    </row>
    <row r="7" customFormat="false" ht="15" hidden="false" customHeight="true" outlineLevel="0" collapsed="false">
      <c r="A7" s="13" t="s">
        <v>100</v>
      </c>
      <c r="C7" s="15" t="n">
        <f aca="false">Model!$G$49</f>
        <v>0.17116</v>
      </c>
    </row>
    <row r="8" customFormat="false" ht="15" hidden="false" customHeight="true" outlineLevel="0" collapsed="false">
      <c r="A8" s="13" t="s">
        <v>101</v>
      </c>
      <c r="C8" s="15" t="n">
        <f aca="false">Model!$R$49</f>
        <v>0.2</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IF($A13&lt;=Model!$B$3,Data!$B$4*Model!$D$49,0)</f>
        <v>541.35478752072</v>
      </c>
      <c r="C13" s="21" t="n">
        <f aca="false">$B13*IF(Model!$B$5=1,Data!$D$4,Model!$AC$49)</f>
        <v>140.036193863826</v>
      </c>
      <c r="D13" s="21" t="n">
        <f aca="false">$B13*IF(Model!$B$5=1,Data!$E$4,Model!$AD$49)</f>
        <v>171.395160214111</v>
      </c>
      <c r="E13" s="21" t="n">
        <f aca="false">$B13*IF(Model!$B$5=1,Data!$F$4,Model!$AE$49)</f>
        <v>100.170949191803</v>
      </c>
      <c r="F13" s="21" t="n">
        <f aca="false">$B13*IF(Model!$B$5=1,Data!$G$4,Model!$AF$49)</f>
        <v>129.752484250979</v>
      </c>
      <c r="G13" s="21" t="n">
        <f aca="false">$B13*Model!$S$49</f>
        <v>275.473782862661</v>
      </c>
      <c r="H13" s="21" t="n">
        <f aca="false">$B13*Model!$T$49</f>
        <v>68.7872061015052</v>
      </c>
      <c r="I13" s="21" t="n">
        <f aca="false">$B13*Model!$U$49</f>
        <v>32.6193298774995</v>
      </c>
      <c r="J13" s="21" t="n">
        <f aca="false">$B13*Model!$V$49</f>
        <v>32.6193298774995</v>
      </c>
      <c r="K13" s="21" t="n">
        <f aca="false">$B13*Model!$W$49</f>
        <v>89.4034843296097</v>
      </c>
      <c r="L13" s="21" t="n">
        <f aca="false">$B13*Model!$X$49</f>
        <v>24.5009548778013</v>
      </c>
      <c r="M13" s="21" t="n">
        <f aca="false">$B13*Model!$Y$49</f>
        <v>14.0505475931881</v>
      </c>
      <c r="N13" s="21" t="n">
        <f aca="false">$B13*Model!$Z$49</f>
        <v>1.450056513176</v>
      </c>
      <c r="O13" s="21" t="n">
        <f aca="false">$B13*Model!$AA$49</f>
        <v>2.45009548778013</v>
      </c>
    </row>
    <row r="14" customFormat="false" ht="15" hidden="false" customHeight="true" outlineLevel="0" collapsed="false">
      <c r="A14" s="23" t="n">
        <v>2027</v>
      </c>
      <c r="B14" s="21" t="n">
        <f aca="false">IF($A14&lt;=Model!$B$3,Data!$B$5*Model!$D$49,0)</f>
        <v>541.35478752072</v>
      </c>
      <c r="C14" s="21" t="n">
        <f aca="false">$B14*IF(Model!$B$5=1,Data!$D$5,Model!$AC$49)</f>
        <v>136.100453147798</v>
      </c>
      <c r="D14" s="21" t="n">
        <f aca="false">$B14*IF(Model!$B$5=1,Data!$E$5,Model!$AD$49)</f>
        <v>171.902997725857</v>
      </c>
      <c r="E14" s="21" t="n">
        <f aca="false">$B14*IF(Model!$B$5=1,Data!$F$5,Model!$AE$49)</f>
        <v>99.9170304359305</v>
      </c>
      <c r="F14" s="21" t="n">
        <f aca="false">$B14*IF(Model!$B$5=1,Data!$G$5,Model!$AF$49)</f>
        <v>133.434306211134</v>
      </c>
      <c r="G14" s="21" t="n">
        <f aca="false">$B14*Model!$S$49</f>
        <v>275.473782862661</v>
      </c>
      <c r="H14" s="21" t="n">
        <f aca="false">$B14*Model!$T$49</f>
        <v>68.7872061015052</v>
      </c>
      <c r="I14" s="21" t="n">
        <f aca="false">$B14*Model!$U$49</f>
        <v>32.6193298774995</v>
      </c>
      <c r="J14" s="21" t="n">
        <f aca="false">$B14*Model!$V$49</f>
        <v>32.6193298774995</v>
      </c>
      <c r="K14" s="21" t="n">
        <f aca="false">$B14*Model!$W$49</f>
        <v>89.4034843296097</v>
      </c>
      <c r="L14" s="21" t="n">
        <f aca="false">$B14*Model!$X$49</f>
        <v>24.5009548778013</v>
      </c>
      <c r="M14" s="21" t="n">
        <f aca="false">$B14*Model!$Y$49</f>
        <v>14.0505475931881</v>
      </c>
      <c r="N14" s="21" t="n">
        <f aca="false">$B14*Model!$Z$49</f>
        <v>1.450056513176</v>
      </c>
      <c r="O14" s="21" t="n">
        <f aca="false">$B14*Model!$AA$49</f>
        <v>2.45009548778013</v>
      </c>
    </row>
    <row r="15" customFormat="false" ht="15" hidden="false" customHeight="true" outlineLevel="0" collapsed="false">
      <c r="A15" s="23" t="n">
        <v>2028</v>
      </c>
      <c r="B15" s="21" t="n">
        <f aca="false">IF($A15&lt;=Model!$B$3,Data!$B$6*Model!$D$49,0)</f>
        <v>541.35478752072</v>
      </c>
      <c r="C15" s="21" t="n">
        <f aca="false">$B15*IF(Model!$B$5=1,Data!$D$6,Model!$AC$49)</f>
        <v>135.656244268449</v>
      </c>
      <c r="D15" s="21" t="n">
        <f aca="false">$B15*IF(Model!$B$5=1,Data!$E$6,Model!$AD$49)</f>
        <v>171.983665486404</v>
      </c>
      <c r="E15" s="21" t="n">
        <f aca="false">$B15*IF(Model!$B$5=1,Data!$F$6,Model!$AE$49)</f>
        <v>99.9639178270311</v>
      </c>
      <c r="F15" s="21" t="n">
        <f aca="false">$B15*IF(Model!$B$5=1,Data!$G$6,Model!$AF$49)</f>
        <v>133.750959938836</v>
      </c>
      <c r="G15" s="21" t="n">
        <f aca="false">$B15*Model!$S$49</f>
        <v>275.473782862661</v>
      </c>
      <c r="H15" s="21" t="n">
        <f aca="false">$B15*Model!$T$49</f>
        <v>68.7872061015052</v>
      </c>
      <c r="I15" s="21" t="n">
        <f aca="false">$B15*Model!$U$49</f>
        <v>32.6193298774995</v>
      </c>
      <c r="J15" s="21" t="n">
        <f aca="false">$B15*Model!$V$49</f>
        <v>32.6193298774995</v>
      </c>
      <c r="K15" s="21" t="n">
        <f aca="false">$B15*Model!$W$49</f>
        <v>89.4034843296097</v>
      </c>
      <c r="L15" s="21" t="n">
        <f aca="false">$B15*Model!$X$49</f>
        <v>24.5009548778013</v>
      </c>
      <c r="M15" s="21" t="n">
        <f aca="false">$B15*Model!$Y$49</f>
        <v>14.0505475931881</v>
      </c>
      <c r="N15" s="21" t="n">
        <f aca="false">$B15*Model!$Z$49</f>
        <v>1.450056513176</v>
      </c>
      <c r="O15" s="21" t="n">
        <f aca="false">$B15*Model!$AA$49</f>
        <v>2.45009548778013</v>
      </c>
    </row>
    <row r="16" customFormat="false" ht="15" hidden="false" customHeight="true" outlineLevel="0" collapsed="false">
      <c r="A16" s="23" t="n">
        <v>2029</v>
      </c>
      <c r="B16" s="21" t="n">
        <f aca="false">IF($A16&lt;=Model!$B$3,Data!$B$7*Model!$D$49,0)</f>
        <v>541.35478752072</v>
      </c>
      <c r="C16" s="21" t="n">
        <f aca="false">$B16*IF(Model!$B$5=1,Data!$D$7,Model!$AC$49)</f>
        <v>134.227541733381</v>
      </c>
      <c r="D16" s="21" t="n">
        <f aca="false">$B16*IF(Model!$B$5=1,Data!$E$7,Model!$AD$49)</f>
        <v>171.054398027307</v>
      </c>
      <c r="E16" s="21" t="n">
        <f aca="false">$B16*IF(Model!$B$5=1,Data!$F$7,Model!$AE$49)</f>
        <v>99.3055228339676</v>
      </c>
      <c r="F16" s="21" t="n">
        <f aca="false">$B16*IF(Model!$B$5=1,Data!$G$7,Model!$AF$49)</f>
        <v>136.767324926065</v>
      </c>
      <c r="G16" s="21" t="n">
        <f aca="false">$B16*Model!$S$49</f>
        <v>275.473782862661</v>
      </c>
      <c r="H16" s="21" t="n">
        <f aca="false">$B16*Model!$T$49</f>
        <v>68.7872061015052</v>
      </c>
      <c r="I16" s="21" t="n">
        <f aca="false">$B16*Model!$U$49</f>
        <v>32.6193298774995</v>
      </c>
      <c r="J16" s="21" t="n">
        <f aca="false">$B16*Model!$V$49</f>
        <v>32.6193298774995</v>
      </c>
      <c r="K16" s="21" t="n">
        <f aca="false">$B16*Model!$W$49</f>
        <v>89.4034843296097</v>
      </c>
      <c r="L16" s="21" t="n">
        <f aca="false">$B16*Model!$X$49</f>
        <v>24.5009548778013</v>
      </c>
      <c r="M16" s="21" t="n">
        <f aca="false">$B16*Model!$Y$49</f>
        <v>14.0505475931881</v>
      </c>
      <c r="N16" s="21" t="n">
        <f aca="false">$B16*Model!$Z$49</f>
        <v>1.450056513176</v>
      </c>
      <c r="O16" s="21" t="n">
        <f aca="false">$B16*Model!$AA$49</f>
        <v>2.45009548778013</v>
      </c>
    </row>
    <row r="17" customFormat="false" ht="15" hidden="false" customHeight="true" outlineLevel="0" collapsed="false">
      <c r="A17" s="23" t="n">
        <v>2030</v>
      </c>
      <c r="B17" s="21" t="n">
        <f aca="false">IF($A17&lt;=Model!$B$3,Data!$B$8*Model!$D$49,0)</f>
        <v>541.35478752072</v>
      </c>
      <c r="C17" s="21" t="n">
        <f aca="false">$B17*IF(Model!$B$5=1,Data!$D$8,Model!$AC$49)</f>
        <v>134.004997849451</v>
      </c>
      <c r="D17" s="21" t="n">
        <f aca="false">$B17*IF(Model!$B$5=1,Data!$E$8,Model!$AD$49)</f>
        <v>168.554153693101</v>
      </c>
      <c r="E17" s="21" t="n">
        <f aca="false">$B17*IF(Model!$B$5=1,Data!$F$8,Model!$AE$49)</f>
        <v>99.4558420058009</v>
      </c>
      <c r="F17" s="21" t="n">
        <f aca="false">$B17*IF(Model!$B$5=1,Data!$G$8,Model!$AF$49)</f>
        <v>139.339793972367</v>
      </c>
      <c r="G17" s="21" t="n">
        <f aca="false">$B17*Model!$S$49</f>
        <v>275.473782862661</v>
      </c>
      <c r="H17" s="21" t="n">
        <f aca="false">$B17*Model!$T$49</f>
        <v>68.7872061015052</v>
      </c>
      <c r="I17" s="21" t="n">
        <f aca="false">$B17*Model!$U$49</f>
        <v>32.6193298774995</v>
      </c>
      <c r="J17" s="21" t="n">
        <f aca="false">$B17*Model!$V$49</f>
        <v>32.6193298774995</v>
      </c>
      <c r="K17" s="21" t="n">
        <f aca="false">$B17*Model!$W$49</f>
        <v>89.4034843296097</v>
      </c>
      <c r="L17" s="21" t="n">
        <f aca="false">$B17*Model!$X$49</f>
        <v>24.5009548778013</v>
      </c>
      <c r="M17" s="21" t="n">
        <f aca="false">$B17*Model!$Y$49</f>
        <v>14.0505475931881</v>
      </c>
      <c r="N17" s="21" t="n">
        <f aca="false">$B17*Model!$Z$49</f>
        <v>1.450056513176</v>
      </c>
      <c r="O17" s="21" t="n">
        <f aca="false">$B17*Model!$AA$49</f>
        <v>2.45009548778013</v>
      </c>
    </row>
    <row r="18" customFormat="false" ht="15" hidden="false" customHeight="true" outlineLevel="0" collapsed="false">
      <c r="A18" s="23" t="n">
        <v>2031</v>
      </c>
      <c r="B18" s="21" t="n">
        <f aca="false">IF($A18&lt;=Model!$B$3,Data!$B$9*Model!$D$49,0)</f>
        <v>275.312498087009</v>
      </c>
      <c r="C18" s="21" t="n">
        <f aca="false">$B18*IF(Model!$B$5=1,Data!$D$9,Model!$AC$49)</f>
        <v>63.621568976749</v>
      </c>
      <c r="D18" s="21" t="n">
        <f aca="false">$B18*IF(Model!$B$5=1,Data!$E$9,Model!$AD$49)</f>
        <v>83.6858561989573</v>
      </c>
      <c r="E18" s="21" t="n">
        <f aca="false">$B18*IF(Model!$B$5=1,Data!$F$9,Model!$AE$49)</f>
        <v>52.3195337693026</v>
      </c>
      <c r="F18" s="21" t="n">
        <f aca="false">$B18*IF(Model!$B$5=1,Data!$G$9,Model!$AF$49)</f>
        <v>75.6855391420008</v>
      </c>
      <c r="G18" s="21" t="n">
        <f aca="false">$B18*Model!$S$49</f>
        <v>140.095510496422</v>
      </c>
      <c r="H18" s="21" t="n">
        <f aca="false">$B18*Model!$T$49</f>
        <v>34.9825622397521</v>
      </c>
      <c r="I18" s="21" t="n">
        <f aca="false">$B18*Model!$U$49</f>
        <v>16.5889531255967</v>
      </c>
      <c r="J18" s="21" t="n">
        <f aca="false">$B18*Model!$V$49</f>
        <v>16.5889531255967</v>
      </c>
      <c r="K18" s="21" t="n">
        <f aca="false">$B18*Model!$W$49</f>
        <v>45.4672188661961</v>
      </c>
      <c r="L18" s="21" t="n">
        <f aca="false">$B18*Model!$X$49</f>
        <v>12.4602557295504</v>
      </c>
      <c r="M18" s="21" t="n">
        <f aca="false">$B18*Model!$Y$49</f>
        <v>7.14557522449726</v>
      </c>
      <c r="N18" s="21" t="n">
        <f aca="false">$B18*Model!$Z$49</f>
        <v>0.737443706442777</v>
      </c>
      <c r="O18" s="21" t="n">
        <f aca="false">$B18*Model!$AA$49</f>
        <v>1.24602557295504</v>
      </c>
    </row>
    <row r="19" customFormat="false" ht="15" hidden="false" customHeight="true" outlineLevel="0" collapsed="false">
      <c r="A19" s="23" t="n">
        <v>2032</v>
      </c>
      <c r="B19" s="21" t="n">
        <f aca="false">IF($A19&lt;=Model!$B$3,Data!$B$10*Model!$D$49,0)</f>
        <v>275.312498087009</v>
      </c>
      <c r="C19" s="21" t="n">
        <f aca="false">$B19*IF(Model!$B$5=1,Data!$D$10,Model!$AC$49)</f>
        <v>61.2087749436987</v>
      </c>
      <c r="D19" s="21" t="n">
        <f aca="false">$B19*IF(Model!$B$5=1,Data!$E$10,Model!$AD$49)</f>
        <v>82.0349971237122</v>
      </c>
      <c r="E19" s="21" t="n">
        <f aca="false">$B19*IF(Model!$B$5=1,Data!$F$10,Model!$AE$49)</f>
        <v>53.2084578867422</v>
      </c>
      <c r="F19" s="21" t="n">
        <f aca="false">$B19*IF(Model!$B$5=1,Data!$G$10,Model!$AF$49)</f>
        <v>78.8602681328565</v>
      </c>
      <c r="G19" s="21" t="n">
        <f aca="false">$B19*Model!$S$49</f>
        <v>140.095510496422</v>
      </c>
      <c r="H19" s="21" t="n">
        <f aca="false">$B19*Model!$T$49</f>
        <v>34.9825622397521</v>
      </c>
      <c r="I19" s="21" t="n">
        <f aca="false">$B19*Model!$U$49</f>
        <v>16.5889531255967</v>
      </c>
      <c r="J19" s="21" t="n">
        <f aca="false">$B19*Model!$V$49</f>
        <v>16.5889531255967</v>
      </c>
      <c r="K19" s="21" t="n">
        <f aca="false">$B19*Model!$W$49</f>
        <v>45.4672188661961</v>
      </c>
      <c r="L19" s="21" t="n">
        <f aca="false">$B19*Model!$X$49</f>
        <v>12.4602557295504</v>
      </c>
      <c r="M19" s="21" t="n">
        <f aca="false">$B19*Model!$Y$49</f>
        <v>7.14557522449726</v>
      </c>
      <c r="N19" s="21" t="n">
        <f aca="false">$B19*Model!$Z$49</f>
        <v>0.737443706442777</v>
      </c>
      <c r="O19" s="21" t="n">
        <f aca="false">$B19*Model!$AA$49</f>
        <v>1.24602557295504</v>
      </c>
    </row>
    <row r="20" customFormat="false" ht="15" hidden="false" customHeight="true" outlineLevel="0" collapsed="false">
      <c r="A20" s="23" t="n">
        <v>2033</v>
      </c>
      <c r="B20" s="21" t="n">
        <f aca="false">IF($A20&lt;=Model!$B$3,Data!$B$11*Model!$D$49,0)</f>
        <v>275.312498087009</v>
      </c>
      <c r="C20" s="21" t="n">
        <f aca="false">$B20*IF(Model!$B$5=1,Data!$D$11,Model!$AC$49)</f>
        <v>60.7288297580021</v>
      </c>
      <c r="D20" s="21" t="n">
        <f aca="false">$B20*IF(Model!$B$5=1,Data!$E$11,Model!$AD$49)</f>
        <v>82.3269491280027</v>
      </c>
      <c r="E20" s="21" t="n">
        <f aca="false">$B20*IF(Model!$B$5=1,Data!$F$11,Model!$AE$49)</f>
        <v>53.2330118590018</v>
      </c>
      <c r="F20" s="21" t="n">
        <f aca="false">$B20*IF(Model!$B$5=1,Data!$G$11,Model!$AF$49)</f>
        <v>79.0237073420028</v>
      </c>
      <c r="G20" s="21" t="n">
        <f aca="false">$B20*Model!$S$49</f>
        <v>140.095510496422</v>
      </c>
      <c r="H20" s="21" t="n">
        <f aca="false">$B20*Model!$T$49</f>
        <v>34.9825622397521</v>
      </c>
      <c r="I20" s="21" t="n">
        <f aca="false">$B20*Model!$U$49</f>
        <v>16.5889531255967</v>
      </c>
      <c r="J20" s="21" t="n">
        <f aca="false">$B20*Model!$V$49</f>
        <v>16.5889531255967</v>
      </c>
      <c r="K20" s="21" t="n">
        <f aca="false">$B20*Model!$W$49</f>
        <v>45.4672188661961</v>
      </c>
      <c r="L20" s="21" t="n">
        <f aca="false">$B20*Model!$X$49</f>
        <v>12.4602557295504</v>
      </c>
      <c r="M20" s="21" t="n">
        <f aca="false">$B20*Model!$Y$49</f>
        <v>7.14557522449726</v>
      </c>
      <c r="N20" s="21" t="n">
        <f aca="false">$B20*Model!$Z$49</f>
        <v>0.737443706442777</v>
      </c>
      <c r="O20" s="21" t="n">
        <f aca="false">$B20*Model!$AA$49</f>
        <v>1.24602557295504</v>
      </c>
    </row>
    <row r="21" customFormat="false" ht="15" hidden="false" customHeight="true" outlineLevel="0" collapsed="false">
      <c r="A21" s="23" t="n">
        <v>2034</v>
      </c>
      <c r="B21" s="21" t="n">
        <f aca="false">IF($A21&lt;=Model!$B$3,Data!$B$12*Model!$D$49,0)</f>
        <v>275.312498087009</v>
      </c>
      <c r="C21" s="21" t="n">
        <f aca="false">$B21*IF(Model!$B$5=1,Data!$D$12,Model!$AC$49)</f>
        <v>60.1928616666249</v>
      </c>
      <c r="D21" s="21" t="n">
        <f aca="false">$B21*IF(Model!$B$5=1,Data!$E$12,Model!$AD$49)</f>
        <v>82.5429537622492</v>
      </c>
      <c r="E21" s="21" t="n">
        <f aca="false">$B21*IF(Model!$B$5=1,Data!$F$12,Model!$AE$49)</f>
        <v>53.2084578867422</v>
      </c>
      <c r="F21" s="21" t="n">
        <f aca="false">$B21*IF(Model!$B$5=1,Data!$G$12,Model!$AF$49)</f>
        <v>79.3682247713933</v>
      </c>
      <c r="G21" s="21" t="n">
        <f aca="false">$B21*Model!$S$49</f>
        <v>140.095510496422</v>
      </c>
      <c r="H21" s="21" t="n">
        <f aca="false">$B21*Model!$T$49</f>
        <v>34.9825622397521</v>
      </c>
      <c r="I21" s="21" t="n">
        <f aca="false">$B21*Model!$U$49</f>
        <v>16.5889531255967</v>
      </c>
      <c r="J21" s="21" t="n">
        <f aca="false">$B21*Model!$V$49</f>
        <v>16.5889531255967</v>
      </c>
      <c r="K21" s="21" t="n">
        <f aca="false">$B21*Model!$W$49</f>
        <v>45.4672188661961</v>
      </c>
      <c r="L21" s="21" t="n">
        <f aca="false">$B21*Model!$X$49</f>
        <v>12.4602557295504</v>
      </c>
      <c r="M21" s="21" t="n">
        <f aca="false">$B21*Model!$Y$49</f>
        <v>7.14557522449726</v>
      </c>
      <c r="N21" s="21" t="n">
        <f aca="false">$B21*Model!$Z$49</f>
        <v>0.737443706442777</v>
      </c>
      <c r="O21" s="21" t="n">
        <f aca="false">$B21*Model!$AA$49</f>
        <v>1.24602557295504</v>
      </c>
    </row>
    <row r="22" customFormat="false" ht="15" hidden="false" customHeight="true" outlineLevel="0" collapsed="false">
      <c r="A22" s="23" t="n">
        <v>2035</v>
      </c>
      <c r="B22" s="21" t="n">
        <f aca="false">IF($A22&lt;=Model!$B$3,Data!$B$13*Model!$D$49,0)</f>
        <v>266.042289433711</v>
      </c>
      <c r="C22" s="21" t="n">
        <f aca="false">$B22*IF(Model!$B$5=1,Data!$D$13,Model!$AC$49)</f>
        <v>57.0181326757689</v>
      </c>
      <c r="D22" s="21" t="n">
        <f aca="false">$B22*IF(Model!$B$5=1,Data!$E$13,Model!$AD$49)</f>
        <v>78.6062898135879</v>
      </c>
      <c r="E22" s="21" t="n">
        <f aca="false">$B22*IF(Model!$B$5=1,Data!$F$13,Model!$AE$49)</f>
        <v>51.0496421729601</v>
      </c>
      <c r="F22" s="21" t="n">
        <f aca="false">$B22*IF(Model!$B$5=1,Data!$G$13,Model!$AF$49)</f>
        <v>79.3682247713934</v>
      </c>
      <c r="G22" s="21" t="n">
        <f aca="false">$B22*Model!$S$49</f>
        <v>135.378272366238</v>
      </c>
      <c r="H22" s="21" t="n">
        <f aca="false">$B22*Model!$T$49</f>
        <v>33.8046438617531</v>
      </c>
      <c r="I22" s="21" t="n">
        <f aca="false">$B22*Model!$U$49</f>
        <v>16.0303767519028</v>
      </c>
      <c r="J22" s="21" t="n">
        <f aca="false">$B22*Model!$V$49</f>
        <v>16.0303767519028</v>
      </c>
      <c r="K22" s="21" t="n">
        <f aca="false">$B22*Model!$W$49</f>
        <v>43.9362654634136</v>
      </c>
      <c r="L22" s="21" t="n">
        <f aca="false">$B22*Model!$X$49</f>
        <v>12.0406991482509</v>
      </c>
      <c r="M22" s="21" t="n">
        <f aca="false">$B22*Model!$Y$49</f>
        <v>6.90497236869085</v>
      </c>
      <c r="N22" s="21" t="n">
        <f aca="false">$B22*Model!$Z$49</f>
        <v>0.712612806733219</v>
      </c>
      <c r="O22" s="21" t="n">
        <f aca="false">$B22*Model!$AA$49</f>
        <v>1.20406991482509</v>
      </c>
    </row>
    <row r="23" customFormat="false" ht="15" hidden="false" customHeight="true" outlineLevel="0" collapsed="false">
      <c r="A23" s="23" t="n">
        <v>2036</v>
      </c>
      <c r="B23" s="21" t="n">
        <f aca="false">IF($A23&lt;=Model!$B$3,Data!$B$14*Model!$D$49,0)</f>
        <v>201.531796339522</v>
      </c>
      <c r="C23" s="21" t="n">
        <f aca="false">$B23*IF(Model!$B$5=1,Data!$D$14,Model!$AC$49)</f>
        <v>48.6161457520514</v>
      </c>
      <c r="D23" s="21" t="n">
        <f aca="false">$B23*IF(Model!$B$5=1,Data!$E$14,Model!$AD$49)</f>
        <v>62.5307035554878</v>
      </c>
      <c r="E23" s="21" t="n">
        <f aca="false">$B23*IF(Model!$B$5=1,Data!$F$14,Model!$AE$49)</f>
        <v>37.685522466282</v>
      </c>
      <c r="F23" s="21" t="n">
        <f aca="false">$B23*IF(Model!$B$5=1,Data!$G$14,Model!$AF$49)</f>
        <v>52.6994245657008</v>
      </c>
      <c r="G23" s="21" t="n">
        <f aca="false">$B23*Model!$S$49</f>
        <v>102.551464556191</v>
      </c>
      <c r="H23" s="21" t="n">
        <f aca="false">$B23*Model!$T$49</f>
        <v>25.6076228203352</v>
      </c>
      <c r="I23" s="21" t="n">
        <f aca="false">$B23*Model!$U$49</f>
        <v>12.1432973294843</v>
      </c>
      <c r="J23" s="21" t="n">
        <f aca="false">$B23*Model!$V$49</f>
        <v>12.1432973294843</v>
      </c>
      <c r="K23" s="21" t="n">
        <f aca="false">$B23*Model!$W$49</f>
        <v>33.2825075372016</v>
      </c>
      <c r="L23" s="21" t="n">
        <f aca="false">$B23*Model!$X$49</f>
        <v>9.12104513044117</v>
      </c>
      <c r="M23" s="21" t="n">
        <f aca="false">$B23*Model!$Y$49</f>
        <v>5.23064016664075</v>
      </c>
      <c r="N23" s="21" t="n">
        <f aca="false">$B23*Model!$Z$49</f>
        <v>0.539816956699579</v>
      </c>
      <c r="O23" s="21" t="n">
        <f aca="false">$B23*Model!$AA$49</f>
        <v>0.912104513044116</v>
      </c>
    </row>
    <row r="24" customFormat="false" ht="15" hidden="false" customHeight="true" outlineLevel="0" collapsed="false">
      <c r="A24" s="23" t="n">
        <v>2037</v>
      </c>
      <c r="B24" s="21" t="n">
        <f aca="false">IF($A24&lt;=Model!$B$3,Data!$B$15*Model!$D$49,0)</f>
        <v>199.880937264277</v>
      </c>
      <c r="C24" s="21" t="n">
        <f aca="false">$B24*IF(Model!$B$5=1,Data!$D$15,Model!$AC$49)</f>
        <v>48.2179038523812</v>
      </c>
      <c r="D24" s="21" t="n">
        <f aca="false">$B24*IF(Model!$B$5=1,Data!$E$15,Model!$AD$49)</f>
        <v>62.0184797708493</v>
      </c>
      <c r="E24" s="21" t="n">
        <f aca="false">$B24*IF(Model!$B$5=1,Data!$F$15,Model!$AE$49)</f>
        <v>37.3768193836975</v>
      </c>
      <c r="F24" s="21" t="n">
        <f aca="false">$B24*IF(Model!$B$5=1,Data!$G$15,Model!$AF$49)</f>
        <v>52.2677342573494</v>
      </c>
      <c r="G24" s="21" t="n">
        <f aca="false">$B24*Model!$S$49</f>
        <v>101.711408450816</v>
      </c>
      <c r="H24" s="21" t="n">
        <f aca="false">$B24*Model!$T$49</f>
        <v>25.3978565338422</v>
      </c>
      <c r="I24" s="21" t="n">
        <f aca="false">$B24*Model!$U$49</f>
        <v>12.0438248245799</v>
      </c>
      <c r="J24" s="21" t="n">
        <f aca="false">$B24*Model!$V$49</f>
        <v>12.0438248245799</v>
      </c>
      <c r="K24" s="21" t="n">
        <f aca="false">$B24*Model!$W$49</f>
        <v>33.0098719997198</v>
      </c>
      <c r="L24" s="21" t="n">
        <f aca="false">$B24*Model!$X$49</f>
        <v>9.04632957486729</v>
      </c>
      <c r="M24" s="21" t="n">
        <f aca="false">$B24*Model!$Y$49</f>
        <v>5.18779308273002</v>
      </c>
      <c r="N24" s="21" t="n">
        <f aca="false">$B24*Model!$Z$49</f>
        <v>0.535395015655411</v>
      </c>
      <c r="O24" s="21" t="n">
        <f aca="false">$B24*Model!$AA$49</f>
        <v>0.904632957486729</v>
      </c>
    </row>
    <row r="25" customFormat="false" ht="15" hidden="false" customHeight="true" outlineLevel="0" collapsed="false">
      <c r="A25" s="23" t="n">
        <v>2038</v>
      </c>
      <c r="B25" s="21" t="n">
        <f aca="false">IF($A25&lt;=Model!$B$3,Data!$B$16*Model!$D$49,0)</f>
        <v>197.468143231227</v>
      </c>
      <c r="C25" s="21" t="n">
        <f aca="false">$B25*IF(Model!$B$5=1,Data!$D$16,Model!$AC$49)</f>
        <v>47.6358579990172</v>
      </c>
      <c r="D25" s="21" t="n">
        <f aca="false">$B25*IF(Model!$B$5=1,Data!$E$16,Model!$AD$49)</f>
        <v>61.2698450086853</v>
      </c>
      <c r="E25" s="21" t="n">
        <f aca="false">$B25*IF(Model!$B$5=1,Data!$F$16,Model!$AE$49)</f>
        <v>36.9256379553047</v>
      </c>
      <c r="F25" s="21" t="n">
        <f aca="false">$B25*IF(Model!$B$5=1,Data!$G$16,Model!$AF$49)</f>
        <v>51.6368022682198</v>
      </c>
      <c r="G25" s="21" t="n">
        <f aca="false">$B25*Model!$S$49</f>
        <v>100.48363414296</v>
      </c>
      <c r="H25" s="21" t="n">
        <f aca="false">$B25*Model!$T$49</f>
        <v>25.0912750381986</v>
      </c>
      <c r="I25" s="21" t="n">
        <f aca="false">$B25*Model!$U$49</f>
        <v>11.8984419327966</v>
      </c>
      <c r="J25" s="21" t="n">
        <f aca="false">$B25*Model!$V$49</f>
        <v>11.8984419327966</v>
      </c>
      <c r="K25" s="21" t="n">
        <f aca="false">$B25*Model!$W$49</f>
        <v>32.611404675708</v>
      </c>
      <c r="L25" s="21" t="n">
        <f aca="false">$B25*Model!$X$49</f>
        <v>8.93712991672087</v>
      </c>
      <c r="M25" s="21" t="n">
        <f aca="false">$B25*Model!$Y$49</f>
        <v>5.12517042162972</v>
      </c>
      <c r="N25" s="21" t="n">
        <f aca="false">$B25*Model!$Z$49</f>
        <v>0.528932178744704</v>
      </c>
      <c r="O25" s="21" t="n">
        <f aca="false">$B25*Model!$AA$49</f>
        <v>0.893712991672086</v>
      </c>
    </row>
    <row r="26" customFormat="false" ht="15" hidden="false" customHeight="true" outlineLevel="0" collapsed="false">
      <c r="A26" s="23" t="n">
        <v>2039</v>
      </c>
      <c r="B26" s="21" t="n">
        <f aca="false">IF($A26&lt;=Model!$B$3,Data!$B$17*Model!$D$49,0)</f>
        <v>195.690294996348</v>
      </c>
      <c r="C26" s="21" t="n">
        <f aca="false">$B26*IF(Model!$B$5=1,Data!$D$17,Model!$AC$49)</f>
        <v>47.2069821070644</v>
      </c>
      <c r="D26" s="21" t="n">
        <f aca="false">$B26*IF(Model!$B$5=1,Data!$E$17,Model!$AD$49)</f>
        <v>60.718219394459</v>
      </c>
      <c r="E26" s="21" t="n">
        <f aca="false">$B26*IF(Model!$B$5=1,Data!$F$17,Model!$AE$49)</f>
        <v>36.5931884817521</v>
      </c>
      <c r="F26" s="21" t="n">
        <f aca="false">$B26*IF(Model!$B$5=1,Data!$G$17,Model!$AF$49)</f>
        <v>51.171905013072</v>
      </c>
      <c r="G26" s="21" t="n">
        <f aca="false">$B26*Model!$S$49</f>
        <v>99.578958337171</v>
      </c>
      <c r="H26" s="21" t="n">
        <f aca="false">$B26*Model!$T$49</f>
        <v>24.8653728835138</v>
      </c>
      <c r="I26" s="21" t="n">
        <f aca="false">$B26*Model!$U$49</f>
        <v>11.7913176967457</v>
      </c>
      <c r="J26" s="21" t="n">
        <f aca="false">$B26*Model!$V$49</f>
        <v>11.7913176967457</v>
      </c>
      <c r="K26" s="21" t="n">
        <f aca="false">$B26*Model!$W$49</f>
        <v>32.3177971738045</v>
      </c>
      <c r="L26" s="21" t="n">
        <f aca="false">$B26*Model!$X$49</f>
        <v>8.85666701071823</v>
      </c>
      <c r="M26" s="21" t="n">
        <f aca="false">$B26*Model!$Y$49</f>
        <v>5.0790274081874</v>
      </c>
      <c r="N26" s="21" t="n">
        <f aca="false">$B26*Model!$Z$49</f>
        <v>0.524170088389447</v>
      </c>
      <c r="O26" s="21" t="n">
        <f aca="false">$B26*Model!$AA$49</f>
        <v>0.885666701071823</v>
      </c>
    </row>
    <row r="27" customFormat="false" ht="15" hidden="false" customHeight="true" outlineLevel="0" collapsed="false">
      <c r="A27" s="23" t="n">
        <v>2040</v>
      </c>
      <c r="B27" s="21" t="n">
        <f aca="false">IF($A27&lt;=Model!$B$3,Data!$B$18*Model!$D$49,0)</f>
        <v>193.6584684422</v>
      </c>
      <c r="C27" s="21" t="n">
        <f aca="false">$B27*IF(Model!$B$5=1,Data!$D$18,Model!$AC$49)</f>
        <v>46.7168382305472</v>
      </c>
      <c r="D27" s="21" t="n">
        <f aca="false">$B27*IF(Model!$B$5=1,Data!$E$18,Model!$AD$49)</f>
        <v>60.0877901210579</v>
      </c>
      <c r="E27" s="21" t="n">
        <f aca="false">$B27*IF(Model!$B$5=1,Data!$F$18,Model!$AE$49)</f>
        <v>36.2132462262635</v>
      </c>
      <c r="F27" s="21" t="n">
        <f aca="false">$B27*IF(Model!$B$5=1,Data!$G$18,Model!$AF$49)</f>
        <v>50.6405938643313</v>
      </c>
      <c r="G27" s="21" t="n">
        <f aca="false">$B27*Model!$S$49</f>
        <v>98.5450431305553</v>
      </c>
      <c r="H27" s="21" t="n">
        <f aca="false">$B27*Model!$T$49</f>
        <v>24.6071989924456</v>
      </c>
      <c r="I27" s="21" t="n">
        <f aca="false">$B27*Model!$U$49</f>
        <v>11.6688899984018</v>
      </c>
      <c r="J27" s="21" t="n">
        <f aca="false">$B27*Model!$V$49</f>
        <v>11.6688899984018</v>
      </c>
      <c r="K27" s="21" t="n">
        <f aca="false">$B27*Model!$W$49</f>
        <v>31.9822457430577</v>
      </c>
      <c r="L27" s="21" t="n">
        <f aca="false">$B27*Model!$X$49</f>
        <v>8.76470940385808</v>
      </c>
      <c r="M27" s="21" t="n">
        <f aca="false">$B27*Model!$Y$49</f>
        <v>5.02629253568188</v>
      </c>
      <c r="N27" s="21" t="n">
        <f aca="false">$B27*Model!$Z$49</f>
        <v>0.518727699412009</v>
      </c>
      <c r="O27" s="21" t="n">
        <f aca="false">$B27*Model!$AA$49</f>
        <v>0.876470940385808</v>
      </c>
    </row>
    <row r="28" customFormat="false" ht="15" hidden="false" customHeight="true" outlineLevel="0" collapsed="false">
      <c r="A28" s="24" t="s">
        <v>118</v>
      </c>
      <c r="B28" s="25" t="n">
        <f aca="false">SUM(B13:B27)</f>
        <v>5062.29585965892</v>
      </c>
      <c r="C28" s="25" t="n">
        <f aca="false">SUM(C13:C27)</f>
        <v>1221.18932682481</v>
      </c>
      <c r="D28" s="25" t="n">
        <f aca="false">SUM(D13:D27)</f>
        <v>1570.71245902383</v>
      </c>
      <c r="E28" s="25" t="n">
        <f aca="false">SUM(E13:E27)</f>
        <v>946.626780382582</v>
      </c>
      <c r="F28" s="25" t="n">
        <f aca="false">SUM(F13:F27)</f>
        <v>1323.7672934277</v>
      </c>
      <c r="G28" s="25" t="n">
        <f aca="false">SUM(G13:G27)</f>
        <v>2575.99973728292</v>
      </c>
      <c r="H28" s="25" t="n">
        <f aca="false">SUM(H13:H27)</f>
        <v>643.240249596623</v>
      </c>
      <c r="I28" s="25" t="n">
        <f aca="false">SUM(I13:I27)</f>
        <v>305.028610423795</v>
      </c>
      <c r="J28" s="25" t="n">
        <f aca="false">SUM(J13:J27)</f>
        <v>305.028610423795</v>
      </c>
      <c r="K28" s="25" t="n">
        <f aca="false">SUM(K13:K27)</f>
        <v>836.026389705738</v>
      </c>
      <c r="L28" s="25" t="n">
        <f aca="false">SUM(L13:L27)</f>
        <v>229.112377492065</v>
      </c>
      <c r="M28" s="25" t="n">
        <f aca="false">SUM(M13:M27)</f>
        <v>131.38893484749</v>
      </c>
      <c r="N28" s="25" t="n">
        <f aca="false">SUM(N13:N27)</f>
        <v>13.5597121372855</v>
      </c>
      <c r="O28" s="25" t="n">
        <f aca="false">SUM(O13:O27)</f>
        <v>22.9112377492065</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0.186995546413276</v>
      </c>
      <c r="F29" s="26" t="n">
        <f aca="false">IF($B$28&gt;0,F28/$B$28,0)</f>
        <v>0.261495442014109</v>
      </c>
      <c r="G29" s="26" t="n">
        <f aca="false">IF($B$28&gt;0,G28/$B$28,0)</f>
        <v>0.508859973556837</v>
      </c>
      <c r="H29" s="26" t="n">
        <f aca="false">IF($B$28&gt;0,H28/$B$28,0)</f>
        <v>0.127064926157825</v>
      </c>
      <c r="I29" s="26" t="n">
        <f aca="false">IF($B$28&gt;0,I28/$B$28,0)</f>
        <v>0.0602549947454764</v>
      </c>
      <c r="J29" s="26" t="n">
        <f aca="false">IF($B$28&gt;0,J28/$B$28,0)</f>
        <v>0.0602549947454764</v>
      </c>
      <c r="K29" s="26" t="n">
        <f aca="false">IF($B$28&gt;0,K28/$B$28,0)</f>
        <v>0.165147674668321</v>
      </c>
      <c r="L29" s="26" t="n">
        <f aca="false">IF($B$28&gt;0,L28/$B$28,0)</f>
        <v>0.0452585909325935</v>
      </c>
      <c r="M29" s="26" t="n">
        <f aca="false">IF($B$28&gt;0,M28/$B$28,0)</f>
        <v>0.025954416432773</v>
      </c>
      <c r="N29" s="26" t="n">
        <f aca="false">IF($B$28&gt;0,N28/$B$28,0)</f>
        <v>0.00267856966743921</v>
      </c>
      <c r="O29" s="26" t="n">
        <f aca="false">IF($B$28&gt;0,O28/$B$28,0)</f>
        <v>0.00452585909325935</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Data!$H$26*Data!$M$26/SUM(Data!$H$26:$K$26)</f>
        <v>1377.09991631799</v>
      </c>
      <c r="C34" s="22" t="n">
        <f aca="false">IF($B$38&gt;0,B34/$B$38,0)</f>
        <v>0.180083682008368</v>
      </c>
      <c r="D34" s="21" t="n">
        <f aca="false">C28</f>
        <v>1221.18932682481</v>
      </c>
      <c r="E34" s="22" t="n">
        <f aca="false">IF($D$38&gt;0,D34/$D$38,0)</f>
        <v>0.241232310532536</v>
      </c>
      <c r="F34" s="21" t="n">
        <f aca="false">B34+D34</f>
        <v>2598.2892431428</v>
      </c>
      <c r="G34" s="22" t="n">
        <f aca="false">IF($F$38&gt;0,F34/$F$38,0)</f>
        <v>0.204440062756752</v>
      </c>
    </row>
    <row r="35" customFormat="false" ht="15" hidden="false" customHeight="true" outlineLevel="0" collapsed="false">
      <c r="A35" s="13" t="s">
        <v>106</v>
      </c>
      <c r="B35" s="21" t="n">
        <f aca="false">Data!$I$26*Data!$M$26/SUM(Data!$H$26:$K$26)</f>
        <v>3532.33807531381</v>
      </c>
      <c r="C35" s="22" t="n">
        <f aca="false">IF($B$38&gt;0,B35/$B$38,0)</f>
        <v>0.461924686192469</v>
      </c>
      <c r="D35" s="21" t="n">
        <f aca="false">D28</f>
        <v>1570.71245902383</v>
      </c>
      <c r="E35" s="22" t="n">
        <f aca="false">IF($D$38&gt;0,D35/$D$38,0)</f>
        <v>0.310276701040081</v>
      </c>
      <c r="F35" s="21" t="n">
        <f aca="false">B35+D35</f>
        <v>5103.05053433764</v>
      </c>
      <c r="G35" s="22" t="n">
        <f aca="false">IF($F$38&gt;0,F35/$F$38,0)</f>
        <v>0.401521106337246</v>
      </c>
    </row>
    <row r="36" customFormat="false" ht="15" hidden="false" customHeight="true" outlineLevel="0" collapsed="false">
      <c r="A36" s="13" t="s">
        <v>107</v>
      </c>
      <c r="B36" s="21" t="n">
        <f aca="false">Data!$J$26*Data!$M$26/SUM(Data!$H$26:$K$26)</f>
        <v>1880.07414225941</v>
      </c>
      <c r="C36" s="22" t="n">
        <f aca="false">IF($B$38&gt;0,B36/$B$38,0)</f>
        <v>0.245857740585774</v>
      </c>
      <c r="D36" s="21" t="n">
        <f aca="false">E28</f>
        <v>946.626780382582</v>
      </c>
      <c r="E36" s="22" t="n">
        <f aca="false">IF($D$38&gt;0,D36/$D$38,0)</f>
        <v>0.186995546413275</v>
      </c>
      <c r="F36" s="21" t="n">
        <f aca="false">B36+D36</f>
        <v>2826.700922642</v>
      </c>
      <c r="G36" s="22" t="n">
        <f aca="false">IF($F$38&gt;0,F36/$F$38,0)</f>
        <v>0.222412079619166</v>
      </c>
    </row>
    <row r="37" customFormat="false" ht="15" hidden="false" customHeight="true" outlineLevel="0" collapsed="false">
      <c r="A37" s="13" t="s">
        <v>108</v>
      </c>
      <c r="B37" s="21" t="n">
        <f aca="false">Data!$K$26*Data!$M$26/SUM(Data!$H$26:$K$26)</f>
        <v>857.487866108787</v>
      </c>
      <c r="C37" s="22" t="n">
        <f aca="false">IF($B$38&gt;0,B37/$B$38,0)</f>
        <v>0.112133891213389</v>
      </c>
      <c r="D37" s="21" t="n">
        <f aca="false">F28</f>
        <v>1323.7672934277</v>
      </c>
      <c r="E37" s="22" t="n">
        <f aca="false">IF($D$38&gt;0,D37/$D$38,0)</f>
        <v>0.261495442014109</v>
      </c>
      <c r="F37" s="21" t="n">
        <f aca="false">B37+D37</f>
        <v>2181.25515953649</v>
      </c>
      <c r="G37" s="22" t="n">
        <f aca="false">IF($F$38&gt;0,F37/$F$38,0)</f>
        <v>0.171626751286835</v>
      </c>
    </row>
    <row r="38" customFormat="false" ht="15" hidden="false" customHeight="true" outlineLevel="0" collapsed="false">
      <c r="A38" s="24" t="s">
        <v>61</v>
      </c>
      <c r="B38" s="25" t="n">
        <f aca="false">SUM(B34:B37)</f>
        <v>7647</v>
      </c>
      <c r="C38" s="27" t="n">
        <f aca="false">SUM(C34:C37)</f>
        <v>1</v>
      </c>
      <c r="D38" s="25" t="n">
        <f aca="false">SUM(D34:D37)</f>
        <v>5062.29585965892</v>
      </c>
      <c r="E38" s="27" t="n">
        <f aca="false">SUM(E34:E37)</f>
        <v>1</v>
      </c>
      <c r="F38" s="25" t="n">
        <f aca="false">SUM(F34:F37)</f>
        <v>12709.2958596589</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6CDA9"/>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162</v>
      </c>
    </row>
    <row r="2" customFormat="false" ht="15" hidden="false" customHeight="true" outlineLevel="0" collapsed="false">
      <c r="A2" s="3" t="str">
        <f aca="false">Model!$B$50&amp;" · new homes per year, 2026–"&amp;Model!$B$3&amp;" · set by the levers on the Intro tab"</f>
        <v>City neighbourhood · new homes per year, 2026–2040 · set by the levers on the Intro tab</v>
      </c>
    </row>
    <row r="4" customFormat="false" ht="15" hidden="false" customHeight="true" outlineLevel="0" collapsed="false">
      <c r="A4" s="13" t="s">
        <v>332</v>
      </c>
      <c r="C4" s="67" t="n">
        <f aca="false">Model!$D$50</f>
        <v>0.0321222578996033</v>
      </c>
    </row>
    <row r="5" customFormat="false" ht="15" hidden="false" customHeight="true" outlineLevel="0" collapsed="false">
      <c r="A5" s="13" t="s">
        <v>53</v>
      </c>
      <c r="C5" s="14" t="n">
        <f aca="false">Model!$E$50</f>
        <v>1280.52168890979</v>
      </c>
    </row>
    <row r="6" customFormat="false" ht="15" hidden="false" customHeight="true" outlineLevel="0" collapsed="false">
      <c r="A6" s="13" t="s">
        <v>99</v>
      </c>
      <c r="C6" s="15" t="n">
        <f aca="false">Model!$Q$50</f>
        <v>0.276027861874792</v>
      </c>
    </row>
    <row r="7" customFormat="false" ht="15" hidden="false" customHeight="true" outlineLevel="0" collapsed="false">
      <c r="A7" s="13" t="s">
        <v>100</v>
      </c>
      <c r="C7" s="15" t="n">
        <f aca="false">Model!$G$50</f>
        <v>0.03802</v>
      </c>
    </row>
    <row r="8" customFormat="false" ht="15" hidden="false" customHeight="true" outlineLevel="0" collapsed="false">
      <c r="A8" s="13" t="s">
        <v>101</v>
      </c>
      <c r="C8" s="15" t="n">
        <f aca="false">Model!$R$50</f>
        <v>0.13935733378734</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IF($A13&lt;=Model!$B$3,Data!$B$4*Model!$D$50,0)</f>
        <v>136.937185426009</v>
      </c>
      <c r="C13" s="21" t="n">
        <f aca="false">$B13*IF(Model!$B$5=1,Data!$D$4,Model!$AC$50)</f>
        <v>35.4225411643734</v>
      </c>
      <c r="D13" s="21" t="n">
        <f aca="false">$B13*IF(Model!$B$5=1,Data!$E$4,Model!$AD$50)</f>
        <v>43.3548781250263</v>
      </c>
      <c r="E13" s="21" t="n">
        <f aca="false">$B13*IF(Model!$B$5=1,Data!$F$4,Model!$AE$50)</f>
        <v>25.3385176597376</v>
      </c>
      <c r="F13" s="21" t="n">
        <f aca="false">$B13*IF(Model!$B$5=1,Data!$G$4,Model!$AF$50)</f>
        <v>32.8212484768717</v>
      </c>
      <c r="G13" s="21" t="n">
        <f aca="false">$B13*Model!$S$50</f>
        <v>66.6914238125927</v>
      </c>
      <c r="H13" s="21" t="n">
        <f aca="false">$B13*Model!$T$50</f>
        <v>16.6531880722994</v>
      </c>
      <c r="I13" s="21" t="n">
        <f aca="false">$B13*Model!$U$50</f>
        <v>7.89704751841181</v>
      </c>
      <c r="J13" s="21" t="n">
        <f aca="false">$B13*Model!$V$50</f>
        <v>7.89704751841181</v>
      </c>
      <c r="K13" s="21" t="n">
        <f aca="false">$B13*Model!$W$50</f>
        <v>25.629002489828</v>
      </c>
      <c r="L13" s="21" t="n">
        <f aca="false">$B13*Model!$X$50</f>
        <v>7.02360806488574</v>
      </c>
      <c r="M13" s="21" t="n">
        <f aca="false">$B13*Model!$Y$50</f>
        <v>4.02782421680182</v>
      </c>
      <c r="N13" s="21" t="n">
        <f aca="false">$B13*Model!$Z$50</f>
        <v>0.415682926289156</v>
      </c>
      <c r="O13" s="21" t="n">
        <f aca="false">$B13*Model!$AA$50</f>
        <v>0.702360806488574</v>
      </c>
    </row>
    <row r="14" customFormat="false" ht="15" hidden="false" customHeight="true" outlineLevel="0" collapsed="false">
      <c r="A14" s="23" t="n">
        <v>2027</v>
      </c>
      <c r="B14" s="21" t="n">
        <f aca="false">IF($A14&lt;=Model!$B$3,Data!$B$5*Model!$D$50,0)</f>
        <v>136.937185426009</v>
      </c>
      <c r="C14" s="21" t="n">
        <f aca="false">$B14*IF(Model!$B$5=1,Data!$D$5,Model!$AC$50)</f>
        <v>34.4269847037246</v>
      </c>
      <c r="D14" s="21" t="n">
        <f aca="false">$B14*IF(Model!$B$5=1,Data!$E$5,Model!$AD$50)</f>
        <v>43.4833370231745</v>
      </c>
      <c r="E14" s="21" t="n">
        <f aca="false">$B14*IF(Model!$B$5=1,Data!$F$5,Model!$AE$50)</f>
        <v>25.2742882106635</v>
      </c>
      <c r="F14" s="21" t="n">
        <f aca="false">$B14*IF(Model!$B$5=1,Data!$G$5,Model!$AF$50)</f>
        <v>33.7525754884464</v>
      </c>
      <c r="G14" s="21" t="n">
        <f aca="false">$B14*Model!$S$50</f>
        <v>66.6914238125927</v>
      </c>
      <c r="H14" s="21" t="n">
        <f aca="false">$B14*Model!$T$50</f>
        <v>16.6531880722994</v>
      </c>
      <c r="I14" s="21" t="n">
        <f aca="false">$B14*Model!$U$50</f>
        <v>7.89704751841181</v>
      </c>
      <c r="J14" s="21" t="n">
        <f aca="false">$B14*Model!$V$50</f>
        <v>7.89704751841181</v>
      </c>
      <c r="K14" s="21" t="n">
        <f aca="false">$B14*Model!$W$50</f>
        <v>25.629002489828</v>
      </c>
      <c r="L14" s="21" t="n">
        <f aca="false">$B14*Model!$X$50</f>
        <v>7.02360806488574</v>
      </c>
      <c r="M14" s="21" t="n">
        <f aca="false">$B14*Model!$Y$50</f>
        <v>4.02782421680182</v>
      </c>
      <c r="N14" s="21" t="n">
        <f aca="false">$B14*Model!$Z$50</f>
        <v>0.415682926289156</v>
      </c>
      <c r="O14" s="21" t="n">
        <f aca="false">$B14*Model!$AA$50</f>
        <v>0.702360806488574</v>
      </c>
    </row>
    <row r="15" customFormat="false" ht="15" hidden="false" customHeight="true" outlineLevel="0" collapsed="false">
      <c r="A15" s="23" t="n">
        <v>2028</v>
      </c>
      <c r="B15" s="21" t="n">
        <f aca="false">IF($A15&lt;=Model!$B$3,Data!$B$6*Model!$D$50,0)</f>
        <v>136.937185426009</v>
      </c>
      <c r="C15" s="21" t="n">
        <f aca="false">$B15*IF(Model!$B$5=1,Data!$D$6,Model!$AC$50)</f>
        <v>34.3146208434955</v>
      </c>
      <c r="D15" s="21" t="n">
        <f aca="false">$B15*IF(Model!$B$5=1,Data!$E$6,Model!$AD$50)</f>
        <v>43.5037421555176</v>
      </c>
      <c r="E15" s="21" t="n">
        <f aca="false">$B15*IF(Model!$B$5=1,Data!$F$6,Model!$AE$50)</f>
        <v>25.2861485054597</v>
      </c>
      <c r="F15" s="21" t="n">
        <f aca="false">$B15*IF(Model!$B$5=1,Data!$G$6,Model!$AF$50)</f>
        <v>33.8326739215362</v>
      </c>
      <c r="G15" s="21" t="n">
        <f aca="false">$B15*Model!$S$50</f>
        <v>66.6914238125927</v>
      </c>
      <c r="H15" s="21" t="n">
        <f aca="false">$B15*Model!$T$50</f>
        <v>16.6531880722994</v>
      </c>
      <c r="I15" s="21" t="n">
        <f aca="false">$B15*Model!$U$50</f>
        <v>7.89704751841181</v>
      </c>
      <c r="J15" s="21" t="n">
        <f aca="false">$B15*Model!$V$50</f>
        <v>7.89704751841181</v>
      </c>
      <c r="K15" s="21" t="n">
        <f aca="false">$B15*Model!$W$50</f>
        <v>25.629002489828</v>
      </c>
      <c r="L15" s="21" t="n">
        <f aca="false">$B15*Model!$X$50</f>
        <v>7.02360806488574</v>
      </c>
      <c r="M15" s="21" t="n">
        <f aca="false">$B15*Model!$Y$50</f>
        <v>4.02782421680182</v>
      </c>
      <c r="N15" s="21" t="n">
        <f aca="false">$B15*Model!$Z$50</f>
        <v>0.415682926289156</v>
      </c>
      <c r="O15" s="21" t="n">
        <f aca="false">$B15*Model!$AA$50</f>
        <v>0.702360806488574</v>
      </c>
    </row>
    <row r="16" customFormat="false" ht="15" hidden="false" customHeight="true" outlineLevel="0" collapsed="false">
      <c r="A16" s="23" t="n">
        <v>2029</v>
      </c>
      <c r="B16" s="21" t="n">
        <f aca="false">IF($A16&lt;=Model!$B$3,Data!$B$7*Model!$D$50,0)</f>
        <v>136.937185426009</v>
      </c>
      <c r="C16" s="21" t="n">
        <f aca="false">$B16*IF(Model!$B$5=1,Data!$D$7,Model!$AC$50)</f>
        <v>33.9532265998808</v>
      </c>
      <c r="D16" s="21" t="n">
        <f aca="false">$B16*IF(Model!$B$5=1,Data!$E$7,Model!$AD$50)</f>
        <v>43.2686813907656</v>
      </c>
      <c r="E16" s="21" t="n">
        <f aca="false">$B16*IF(Model!$B$5=1,Data!$F$7,Model!$AE$50)</f>
        <v>25.1196056774898</v>
      </c>
      <c r="F16" s="21" t="n">
        <f aca="false">$B16*IF(Model!$B$5=1,Data!$G$7,Model!$AF$50)</f>
        <v>34.5956717578727</v>
      </c>
      <c r="G16" s="21" t="n">
        <f aca="false">$B16*Model!$S$50</f>
        <v>66.6914238125927</v>
      </c>
      <c r="H16" s="21" t="n">
        <f aca="false">$B16*Model!$T$50</f>
        <v>16.6531880722994</v>
      </c>
      <c r="I16" s="21" t="n">
        <f aca="false">$B16*Model!$U$50</f>
        <v>7.89704751841181</v>
      </c>
      <c r="J16" s="21" t="n">
        <f aca="false">$B16*Model!$V$50</f>
        <v>7.89704751841181</v>
      </c>
      <c r="K16" s="21" t="n">
        <f aca="false">$B16*Model!$W$50</f>
        <v>25.629002489828</v>
      </c>
      <c r="L16" s="21" t="n">
        <f aca="false">$B16*Model!$X$50</f>
        <v>7.02360806488574</v>
      </c>
      <c r="M16" s="21" t="n">
        <f aca="false">$B16*Model!$Y$50</f>
        <v>4.02782421680182</v>
      </c>
      <c r="N16" s="21" t="n">
        <f aca="false">$B16*Model!$Z$50</f>
        <v>0.415682926289156</v>
      </c>
      <c r="O16" s="21" t="n">
        <f aca="false">$B16*Model!$AA$50</f>
        <v>0.702360806488574</v>
      </c>
    </row>
    <row r="17" customFormat="false" ht="15" hidden="false" customHeight="true" outlineLevel="0" collapsed="false">
      <c r="A17" s="23" t="n">
        <v>2030</v>
      </c>
      <c r="B17" s="21" t="n">
        <f aca="false">IF($A17&lt;=Model!$B$3,Data!$B$8*Model!$D$50,0)</f>
        <v>136.937185426009</v>
      </c>
      <c r="C17" s="21" t="n">
        <f aca="false">$B17*IF(Model!$B$5=1,Data!$D$8,Model!$AC$50)</f>
        <v>33.8969335111308</v>
      </c>
      <c r="D17" s="21" t="n">
        <f aca="false">$B17*IF(Model!$B$5=1,Data!$E$8,Model!$AD$50)</f>
        <v>42.636237695991</v>
      </c>
      <c r="E17" s="21" t="n">
        <f aca="false">$B17*IF(Model!$B$5=1,Data!$F$8,Model!$AE$50)</f>
        <v>25.1576293262705</v>
      </c>
      <c r="F17" s="21" t="n">
        <f aca="false">$B17*IF(Model!$B$5=1,Data!$G$8,Model!$AF$50)</f>
        <v>35.2463848926165</v>
      </c>
      <c r="G17" s="21" t="n">
        <f aca="false">$B17*Model!$S$50</f>
        <v>66.6914238125927</v>
      </c>
      <c r="H17" s="21" t="n">
        <f aca="false">$B17*Model!$T$50</f>
        <v>16.6531880722994</v>
      </c>
      <c r="I17" s="21" t="n">
        <f aca="false">$B17*Model!$U$50</f>
        <v>7.89704751841181</v>
      </c>
      <c r="J17" s="21" t="n">
        <f aca="false">$B17*Model!$V$50</f>
        <v>7.89704751841181</v>
      </c>
      <c r="K17" s="21" t="n">
        <f aca="false">$B17*Model!$W$50</f>
        <v>25.629002489828</v>
      </c>
      <c r="L17" s="21" t="n">
        <f aca="false">$B17*Model!$X$50</f>
        <v>7.02360806488574</v>
      </c>
      <c r="M17" s="21" t="n">
        <f aca="false">$B17*Model!$Y$50</f>
        <v>4.02782421680182</v>
      </c>
      <c r="N17" s="21" t="n">
        <f aca="false">$B17*Model!$Z$50</f>
        <v>0.415682926289156</v>
      </c>
      <c r="O17" s="21" t="n">
        <f aca="false">$B17*Model!$AA$50</f>
        <v>0.702360806488574</v>
      </c>
    </row>
    <row r="18" customFormat="false" ht="15" hidden="false" customHeight="true" outlineLevel="0" collapsed="false">
      <c r="A18" s="23" t="n">
        <v>2031</v>
      </c>
      <c r="B18" s="21" t="n">
        <f aca="false">IF($A18&lt;=Model!$B$3,Data!$B$9*Model!$D$50,0)</f>
        <v>69.64105512634</v>
      </c>
      <c r="C18" s="21" t="n">
        <f aca="false">$B18*IF(Model!$B$5=1,Data!$D$9,Model!$AC$50)</f>
        <v>16.0932512077013</v>
      </c>
      <c r="D18" s="21" t="n">
        <f aca="false">$B18*IF(Model!$B$5=1,Data!$E$9,Model!$AD$50)</f>
        <v>21.1685679558386</v>
      </c>
      <c r="E18" s="21" t="n">
        <f aca="false">$B18*IF(Model!$B$5=1,Data!$F$9,Model!$AE$50)</f>
        <v>13.2343702546366</v>
      </c>
      <c r="F18" s="21" t="n">
        <f aca="false">$B18*IF(Model!$B$5=1,Data!$G$9,Model!$AF$50)</f>
        <v>19.1448657081636</v>
      </c>
      <c r="G18" s="21" t="n">
        <f aca="false">$B18*Model!$S$50</f>
        <v>33.9167269119637</v>
      </c>
      <c r="H18" s="21" t="n">
        <f aca="false">$B18*Model!$T$50</f>
        <v>8.46917939027564</v>
      </c>
      <c r="I18" s="21" t="n">
        <f aca="false">$B18*Model!$U$50</f>
        <v>4.01613863943627</v>
      </c>
      <c r="J18" s="21" t="n">
        <f aca="false">$B18*Model!$V$50</f>
        <v>4.01613863943627</v>
      </c>
      <c r="K18" s="21" t="n">
        <f aca="false">$B18*Model!$W$50</f>
        <v>13.0339379305529</v>
      </c>
      <c r="L18" s="21" t="n">
        <f aca="false">$B18*Model!$X$50</f>
        <v>3.57194048432378</v>
      </c>
      <c r="M18" s="21" t="n">
        <f aca="false">$B18*Model!$Y$50</f>
        <v>2.04839852264282</v>
      </c>
      <c r="N18" s="21" t="n">
        <f aca="false">$B18*Model!$Z$50</f>
        <v>0.211400559276305</v>
      </c>
      <c r="O18" s="21" t="n">
        <f aca="false">$B18*Model!$AA$50</f>
        <v>0.357194048432378</v>
      </c>
    </row>
    <row r="19" customFormat="false" ht="15" hidden="false" customHeight="true" outlineLevel="0" collapsed="false">
      <c r="A19" s="23" t="n">
        <v>2032</v>
      </c>
      <c r="B19" s="21" t="n">
        <f aca="false">IF($A19&lt;=Model!$B$3,Data!$B$10*Model!$D$50,0)</f>
        <v>69.64105512634</v>
      </c>
      <c r="C19" s="21" t="n">
        <f aca="false">$B19*IF(Model!$B$5=1,Data!$D$10,Model!$AC$50)</f>
        <v>15.4829283076088</v>
      </c>
      <c r="D19" s="21" t="n">
        <f aca="false">$B19*IF(Model!$B$5=1,Data!$E$10,Model!$AD$50)</f>
        <v>20.7509786031437</v>
      </c>
      <c r="E19" s="21" t="n">
        <f aca="false">$B19*IF(Model!$B$5=1,Data!$F$10,Model!$AE$50)</f>
        <v>13.4592260599338</v>
      </c>
      <c r="F19" s="21" t="n">
        <f aca="false">$B19*IF(Model!$B$5=1,Data!$G$10,Model!$AF$50)</f>
        <v>19.9479221556537</v>
      </c>
      <c r="G19" s="21" t="n">
        <f aca="false">$B19*Model!$S$50</f>
        <v>33.9167269119637</v>
      </c>
      <c r="H19" s="21" t="n">
        <f aca="false">$B19*Model!$T$50</f>
        <v>8.46917939027564</v>
      </c>
      <c r="I19" s="21" t="n">
        <f aca="false">$B19*Model!$U$50</f>
        <v>4.01613863943627</v>
      </c>
      <c r="J19" s="21" t="n">
        <f aca="false">$B19*Model!$V$50</f>
        <v>4.01613863943627</v>
      </c>
      <c r="K19" s="21" t="n">
        <f aca="false">$B19*Model!$W$50</f>
        <v>13.0339379305529</v>
      </c>
      <c r="L19" s="21" t="n">
        <f aca="false">$B19*Model!$X$50</f>
        <v>3.57194048432378</v>
      </c>
      <c r="M19" s="21" t="n">
        <f aca="false">$B19*Model!$Y$50</f>
        <v>2.04839852264282</v>
      </c>
      <c r="N19" s="21" t="n">
        <f aca="false">$B19*Model!$Z$50</f>
        <v>0.211400559276305</v>
      </c>
      <c r="O19" s="21" t="n">
        <f aca="false">$B19*Model!$AA$50</f>
        <v>0.357194048432378</v>
      </c>
    </row>
    <row r="20" customFormat="false" ht="15" hidden="false" customHeight="true" outlineLevel="0" collapsed="false">
      <c r="A20" s="23" t="n">
        <v>2033</v>
      </c>
      <c r="B20" s="21" t="n">
        <f aca="false">IF($A20&lt;=Model!$B$3,Data!$B$11*Model!$D$50,0)</f>
        <v>69.64105512634</v>
      </c>
      <c r="C20" s="21" t="n">
        <f aca="false">$B20*IF(Model!$B$5=1,Data!$D$11,Model!$AC$50)</f>
        <v>15.3615248502033</v>
      </c>
      <c r="D20" s="21" t="n">
        <f aca="false">$B20*IF(Model!$B$5=1,Data!$E$11,Model!$AD$50)</f>
        <v>20.8248286672212</v>
      </c>
      <c r="E20" s="21" t="n">
        <f aca="false">$B20*IF(Model!$B$5=1,Data!$F$11,Model!$AE$50)</f>
        <v>13.4654370548853</v>
      </c>
      <c r="F20" s="21" t="n">
        <f aca="false">$B20*IF(Model!$B$5=1,Data!$G$11,Model!$AF$50)</f>
        <v>19.9892645540303</v>
      </c>
      <c r="G20" s="21" t="n">
        <f aca="false">$B20*Model!$S$50</f>
        <v>33.9167269119637</v>
      </c>
      <c r="H20" s="21" t="n">
        <f aca="false">$B20*Model!$T$50</f>
        <v>8.46917939027564</v>
      </c>
      <c r="I20" s="21" t="n">
        <f aca="false">$B20*Model!$U$50</f>
        <v>4.01613863943627</v>
      </c>
      <c r="J20" s="21" t="n">
        <f aca="false">$B20*Model!$V$50</f>
        <v>4.01613863943627</v>
      </c>
      <c r="K20" s="21" t="n">
        <f aca="false">$B20*Model!$W$50</f>
        <v>13.0339379305529</v>
      </c>
      <c r="L20" s="21" t="n">
        <f aca="false">$B20*Model!$X$50</f>
        <v>3.57194048432378</v>
      </c>
      <c r="M20" s="21" t="n">
        <f aca="false">$B20*Model!$Y$50</f>
        <v>2.04839852264282</v>
      </c>
      <c r="N20" s="21" t="n">
        <f aca="false">$B20*Model!$Z$50</f>
        <v>0.211400559276305</v>
      </c>
      <c r="O20" s="21" t="n">
        <f aca="false">$B20*Model!$AA$50</f>
        <v>0.357194048432378</v>
      </c>
    </row>
    <row r="21" customFormat="false" ht="15" hidden="false" customHeight="true" outlineLevel="0" collapsed="false">
      <c r="A21" s="23" t="n">
        <v>2034</v>
      </c>
      <c r="B21" s="21" t="n">
        <f aca="false">IF($A21&lt;=Model!$B$3,Data!$B$12*Model!$D$50,0)</f>
        <v>69.64105512634</v>
      </c>
      <c r="C21" s="21" t="n">
        <f aca="false">$B21*IF(Model!$B$5=1,Data!$D$12,Model!$AC$50)</f>
        <v>15.225950244412</v>
      </c>
      <c r="D21" s="21" t="n">
        <f aca="false">$B21*IF(Model!$B$5=1,Data!$E$12,Model!$AD$50)</f>
        <v>20.8794676347422</v>
      </c>
      <c r="E21" s="21" t="n">
        <f aca="false">$B21*IF(Model!$B$5=1,Data!$F$12,Model!$AE$50)</f>
        <v>13.4592260599338</v>
      </c>
      <c r="F21" s="21" t="n">
        <f aca="false">$B21*IF(Model!$B$5=1,Data!$G$12,Model!$AF$50)</f>
        <v>20.0764111872521</v>
      </c>
      <c r="G21" s="21" t="n">
        <f aca="false">$B21*Model!$S$50</f>
        <v>33.9167269119637</v>
      </c>
      <c r="H21" s="21" t="n">
        <f aca="false">$B21*Model!$T$50</f>
        <v>8.46917939027564</v>
      </c>
      <c r="I21" s="21" t="n">
        <f aca="false">$B21*Model!$U$50</f>
        <v>4.01613863943627</v>
      </c>
      <c r="J21" s="21" t="n">
        <f aca="false">$B21*Model!$V$50</f>
        <v>4.01613863943627</v>
      </c>
      <c r="K21" s="21" t="n">
        <f aca="false">$B21*Model!$W$50</f>
        <v>13.0339379305529</v>
      </c>
      <c r="L21" s="21" t="n">
        <f aca="false">$B21*Model!$X$50</f>
        <v>3.57194048432378</v>
      </c>
      <c r="M21" s="21" t="n">
        <f aca="false">$B21*Model!$Y$50</f>
        <v>2.04839852264282</v>
      </c>
      <c r="N21" s="21" t="n">
        <f aca="false">$B21*Model!$Z$50</f>
        <v>0.211400559276305</v>
      </c>
      <c r="O21" s="21" t="n">
        <f aca="false">$B21*Model!$AA$50</f>
        <v>0.357194048432378</v>
      </c>
    </row>
    <row r="22" customFormat="false" ht="15" hidden="false" customHeight="true" outlineLevel="0" collapsed="false">
      <c r="A22" s="23" t="n">
        <v>2035</v>
      </c>
      <c r="B22" s="21" t="n">
        <f aca="false">IF($A22&lt;=Model!$B$3,Data!$B$13*Model!$D$50,0)</f>
        <v>67.296130299669</v>
      </c>
      <c r="C22" s="21" t="n">
        <f aca="false">$B22*IF(Model!$B$5=1,Data!$D$13,Model!$AC$50)</f>
        <v>14.4228937969219</v>
      </c>
      <c r="D22" s="21" t="n">
        <f aca="false">$B22*IF(Model!$B$5=1,Data!$E$13,Model!$AD$50)</f>
        <v>19.8836776398544</v>
      </c>
      <c r="E22" s="21" t="n">
        <f aca="false">$B22*IF(Model!$B$5=1,Data!$F$13,Model!$AE$50)</f>
        <v>12.9131476756405</v>
      </c>
      <c r="F22" s="21" t="n">
        <f aca="false">$B22*IF(Model!$B$5=1,Data!$G$13,Model!$AF$50)</f>
        <v>20.0764111872521</v>
      </c>
      <c r="G22" s="21" t="n">
        <f aca="false">$B22*Model!$S$50</f>
        <v>32.7746969006291</v>
      </c>
      <c r="H22" s="21" t="n">
        <f aca="false">$B22*Model!$T$50</f>
        <v>8.18400868202374</v>
      </c>
      <c r="I22" s="21" t="n">
        <f aca="false">$B22*Model!$U$50</f>
        <v>3.88090887897554</v>
      </c>
      <c r="J22" s="21" t="n">
        <f aca="false">$B22*Model!$V$50</f>
        <v>3.88090887897554</v>
      </c>
      <c r="K22" s="21" t="n">
        <f aca="false">$B22*Model!$W$50</f>
        <v>12.5950645592751</v>
      </c>
      <c r="L22" s="21" t="n">
        <f aca="false">$B22*Model!$X$50</f>
        <v>3.45166758056196</v>
      </c>
      <c r="M22" s="21" t="n">
        <f aca="false">$B22*Model!$Y$50</f>
        <v>1.979425694159</v>
      </c>
      <c r="N22" s="21" t="n">
        <f aca="false">$B22*Model!$Z$50</f>
        <v>0.20428236701285</v>
      </c>
      <c r="O22" s="21" t="n">
        <f aca="false">$B22*Model!$AA$50</f>
        <v>0.345166758056196</v>
      </c>
    </row>
    <row r="23" customFormat="false" ht="15" hidden="false" customHeight="true" outlineLevel="0" collapsed="false">
      <c r="A23" s="23" t="n">
        <v>2036</v>
      </c>
      <c r="B23" s="21" t="n">
        <f aca="false">IF($A23&lt;=Model!$B$3,Data!$B$14*Model!$D$50,0)</f>
        <v>50.9780232866705</v>
      </c>
      <c r="C23" s="21" t="n">
        <f aca="false">$B23*IF(Model!$B$5=1,Data!$D$14,Model!$AC$50)</f>
        <v>12.2975880494854</v>
      </c>
      <c r="D23" s="21" t="n">
        <f aca="false">$B23*IF(Model!$B$5=1,Data!$E$14,Model!$AD$50)</f>
        <v>15.8173137930712</v>
      </c>
      <c r="E23" s="21" t="n">
        <f aca="false">$B23*IF(Model!$B$5=1,Data!$F$14,Model!$AE$50)</f>
        <v>9.53265676558513</v>
      </c>
      <c r="F23" s="21" t="n">
        <f aca="false">$B23*IF(Model!$B$5=1,Data!$G$14,Model!$AF$50)</f>
        <v>13.3304646785287</v>
      </c>
      <c r="G23" s="21" t="n">
        <f aca="false">$B23*Model!$S$50</f>
        <v>24.8274195614789</v>
      </c>
      <c r="H23" s="21" t="n">
        <f aca="false">$B23*Model!$T$50</f>
        <v>6.19953306843517</v>
      </c>
      <c r="I23" s="21" t="n">
        <f aca="false">$B23*Model!$U$50</f>
        <v>2.93985794316668</v>
      </c>
      <c r="J23" s="21" t="n">
        <f aca="false">$B23*Model!$V$50</f>
        <v>2.93985794316668</v>
      </c>
      <c r="K23" s="21" t="n">
        <f aca="false">$B23*Model!$W$50</f>
        <v>9.54098685230048</v>
      </c>
      <c r="L23" s="21" t="n">
        <f aca="false">$B23*Model!$X$50</f>
        <v>2.61469997630159</v>
      </c>
      <c r="M23" s="21" t="n">
        <f aca="false">$B23*Model!$Y$50</f>
        <v>1.49945039457295</v>
      </c>
      <c r="N23" s="21" t="n">
        <f aca="false">$B23*Model!$Z$50</f>
        <v>0.154747549617849</v>
      </c>
      <c r="O23" s="21" t="n">
        <f aca="false">$B23*Model!$AA$50</f>
        <v>0.261469997630159</v>
      </c>
    </row>
    <row r="24" customFormat="false" ht="15" hidden="false" customHeight="true" outlineLevel="0" collapsed="false">
      <c r="A24" s="23" t="n">
        <v>2037</v>
      </c>
      <c r="B24" s="21" t="n">
        <f aca="false">IF($A24&lt;=Model!$B$3,Data!$B$15*Model!$D$50,0)</f>
        <v>50.5604339339756</v>
      </c>
      <c r="C24" s="21" t="n">
        <f aca="false">$B24*IF(Model!$B$5=1,Data!$D$15,Model!$AC$50)</f>
        <v>12.1968516634468</v>
      </c>
      <c r="D24" s="21" t="n">
        <f aca="false">$B24*IF(Model!$B$5=1,Data!$E$15,Model!$AD$50)</f>
        <v>15.6877453751066</v>
      </c>
      <c r="E24" s="21" t="n">
        <f aca="false">$B24*IF(Model!$B$5=1,Data!$F$15,Model!$AE$50)</f>
        <v>9.45456947008884</v>
      </c>
      <c r="F24" s="21" t="n">
        <f aca="false">$B24*IF(Model!$B$5=1,Data!$G$15,Model!$AF$50)</f>
        <v>13.2212674253335</v>
      </c>
      <c r="G24" s="21" t="n">
        <f aca="false">$B24*Model!$S$50</f>
        <v>24.624044353981</v>
      </c>
      <c r="H24" s="21" t="n">
        <f aca="false">$B24*Model!$T$50</f>
        <v>6.14874924367798</v>
      </c>
      <c r="I24" s="21" t="n">
        <f aca="false">$B24*Model!$U$50</f>
        <v>2.91577593102984</v>
      </c>
      <c r="J24" s="21" t="n">
        <f aca="false">$B24*Model!$V$50</f>
        <v>2.91577593102984</v>
      </c>
      <c r="K24" s="21" t="n">
        <f aca="false">$B24*Model!$W$50</f>
        <v>9.46283132042909</v>
      </c>
      <c r="L24" s="21" t="n">
        <f aca="false">$B24*Model!$X$50</f>
        <v>2.59328151398784</v>
      </c>
      <c r="M24" s="21" t="n">
        <f aca="false">$B24*Model!$Y$50</f>
        <v>1.48716756210323</v>
      </c>
      <c r="N24" s="21" t="n">
        <f aca="false">$B24*Model!$Z$50</f>
        <v>0.153479926338056</v>
      </c>
      <c r="O24" s="21" t="n">
        <f aca="false">$B24*Model!$AA$50</f>
        <v>0.259328151398784</v>
      </c>
    </row>
    <row r="25" customFormat="false" ht="15" hidden="false" customHeight="true" outlineLevel="0" collapsed="false">
      <c r="A25" s="23" t="n">
        <v>2038</v>
      </c>
      <c r="B25" s="21" t="n">
        <f aca="false">IF($A25&lt;=Model!$B$3,Data!$B$16*Model!$D$50,0)</f>
        <v>49.9501110338832</v>
      </c>
      <c r="C25" s="21" t="n">
        <f aca="false">$B25*IF(Model!$B$5=1,Data!$D$16,Model!$AC$50)</f>
        <v>12.049621560775</v>
      </c>
      <c r="D25" s="21" t="n">
        <f aca="false">$B25*IF(Model!$B$5=1,Data!$E$16,Model!$AD$50)</f>
        <v>15.4983761488505</v>
      </c>
      <c r="E25" s="21" t="n">
        <f aca="false">$B25*IF(Model!$B$5=1,Data!$F$16,Model!$AE$50)</f>
        <v>9.3404418843635</v>
      </c>
      <c r="F25" s="21" t="n">
        <f aca="false">$B25*IF(Model!$B$5=1,Data!$G$16,Model!$AF$50)</f>
        <v>13.0616714398942</v>
      </c>
      <c r="G25" s="21" t="n">
        <f aca="false">$B25*Model!$S$50</f>
        <v>24.3268036660994</v>
      </c>
      <c r="H25" s="21" t="n">
        <f aca="false">$B25*Model!$T$50</f>
        <v>6.07452673057132</v>
      </c>
      <c r="I25" s="21" t="n">
        <f aca="false">$B25*Model!$U$50</f>
        <v>2.88057914406061</v>
      </c>
      <c r="J25" s="21" t="n">
        <f aca="false">$B25*Model!$V$50</f>
        <v>2.88057914406061</v>
      </c>
      <c r="K25" s="21" t="n">
        <f aca="false">$B25*Model!$W$50</f>
        <v>9.34860400461704</v>
      </c>
      <c r="L25" s="21" t="n">
        <f aca="false">$B25*Model!$X$50</f>
        <v>2.56197760752928</v>
      </c>
      <c r="M25" s="21" t="n">
        <f aca="false">$B25*Model!$Y$50</f>
        <v>1.4692157300321</v>
      </c>
      <c r="N25" s="21" t="n">
        <f aca="false">$B25*Model!$Z$50</f>
        <v>0.151627246159896</v>
      </c>
      <c r="O25" s="21" t="n">
        <f aca="false">$B25*Model!$AA$50</f>
        <v>0.256197760752928</v>
      </c>
    </row>
    <row r="26" customFormat="false" ht="15" hidden="false" customHeight="true" outlineLevel="0" collapsed="false">
      <c r="A26" s="23" t="n">
        <v>2039</v>
      </c>
      <c r="B26" s="21" t="n">
        <f aca="false">IF($A26&lt;=Model!$B$3,Data!$B$17*Model!$D$50,0)</f>
        <v>49.5003994232887</v>
      </c>
      <c r="C26" s="21" t="n">
        <f aca="false">$B26*IF(Model!$B$5=1,Data!$D$17,Model!$AC$50)</f>
        <v>11.9411362219641</v>
      </c>
      <c r="D26" s="21" t="n">
        <f aca="false">$B26*IF(Model!$B$5=1,Data!$E$17,Model!$AD$50)</f>
        <v>15.3588409295039</v>
      </c>
      <c r="E26" s="21" t="n">
        <f aca="false">$B26*IF(Model!$B$5=1,Data!$F$17,Model!$AE$50)</f>
        <v>9.25634787382904</v>
      </c>
      <c r="F26" s="21" t="n">
        <f aca="false">$B26*IF(Model!$B$5=1,Data!$G$17,Model!$AF$50)</f>
        <v>12.9440743979916</v>
      </c>
      <c r="G26" s="21" t="n">
        <f aca="false">$B26*Model!$S$50</f>
        <v>24.1077842118708</v>
      </c>
      <c r="H26" s="21" t="n">
        <f aca="false">$B26*Model!$T$50</f>
        <v>6.01983645775589</v>
      </c>
      <c r="I26" s="21" t="n">
        <f aca="false">$B26*Model!$U$50</f>
        <v>2.8546446694517</v>
      </c>
      <c r="J26" s="21" t="n">
        <f aca="false">$B26*Model!$V$50</f>
        <v>2.8546446694517</v>
      </c>
      <c r="K26" s="21" t="n">
        <f aca="false">$B26*Model!$W$50</f>
        <v>9.26443650875554</v>
      </c>
      <c r="L26" s="21" t="n">
        <f aca="false">$B26*Model!$X$50</f>
        <v>2.5389115711914</v>
      </c>
      <c r="M26" s="21" t="n">
        <f aca="false">$B26*Model!$Y$50</f>
        <v>1.45598806429547</v>
      </c>
      <c r="N26" s="21" t="n">
        <f aca="false">$B26*Model!$Z$50</f>
        <v>0.150262113397042</v>
      </c>
      <c r="O26" s="21" t="n">
        <f aca="false">$B26*Model!$AA$50</f>
        <v>0.25389115711914</v>
      </c>
    </row>
    <row r="27" customFormat="false" ht="15" hidden="false" customHeight="true" outlineLevel="0" collapsed="false">
      <c r="A27" s="23" t="n">
        <v>2040</v>
      </c>
      <c r="B27" s="21" t="n">
        <f aca="false">IF($A27&lt;=Model!$B$3,Data!$B$18*Model!$D$50,0)</f>
        <v>48.9864432968951</v>
      </c>
      <c r="C27" s="21" t="n">
        <f aca="false">$B27*IF(Model!$B$5=1,Data!$D$18,Model!$AC$50)</f>
        <v>11.8171529776089</v>
      </c>
      <c r="D27" s="21" t="n">
        <f aca="false">$B27*IF(Model!$B$5=1,Data!$E$18,Model!$AD$50)</f>
        <v>15.1993721073936</v>
      </c>
      <c r="E27" s="21" t="n">
        <f aca="false">$B27*IF(Model!$B$5=1,Data!$F$18,Model!$AE$50)</f>
        <v>9.16024043321822</v>
      </c>
      <c r="F27" s="21" t="n">
        <f aca="false">$B27*IF(Model!$B$5=1,Data!$G$18,Model!$AF$50)</f>
        <v>12.8096777786744</v>
      </c>
      <c r="G27" s="21" t="n">
        <f aca="false">$B27*Model!$S$50</f>
        <v>23.8574762641811</v>
      </c>
      <c r="H27" s="21" t="n">
        <f aca="false">$B27*Model!$T$50</f>
        <v>5.95733328882396</v>
      </c>
      <c r="I27" s="21" t="n">
        <f aca="false">$B27*Model!$U$50</f>
        <v>2.82500526989866</v>
      </c>
      <c r="J27" s="21" t="n">
        <f aca="false">$B27*Model!$V$50</f>
        <v>2.82500526989866</v>
      </c>
      <c r="K27" s="21" t="n">
        <f aca="false">$B27*Model!$W$50</f>
        <v>9.16824508491382</v>
      </c>
      <c r="L27" s="21" t="n">
        <f aca="false">$B27*Model!$X$50</f>
        <v>2.51255038680524</v>
      </c>
      <c r="M27" s="21" t="n">
        <f aca="false">$B27*Model!$Y$50</f>
        <v>1.44087073202505</v>
      </c>
      <c r="N27" s="21" t="n">
        <f aca="false">$B27*Model!$Z$50</f>
        <v>0.148701961668065</v>
      </c>
      <c r="O27" s="21" t="n">
        <f aca="false">$B27*Model!$AA$50</f>
        <v>0.251255038680524</v>
      </c>
    </row>
    <row r="28" customFormat="false" ht="15" hidden="false" customHeight="true" outlineLevel="0" collapsed="false">
      <c r="A28" s="24" t="s">
        <v>118</v>
      </c>
      <c r="B28" s="25" t="n">
        <f aca="false">SUM(B13:B27)</f>
        <v>1280.52168890979</v>
      </c>
      <c r="C28" s="25" t="n">
        <f aca="false">SUM(C13:C27)</f>
        <v>308.903205702733</v>
      </c>
      <c r="D28" s="25" t="n">
        <f aca="false">SUM(D13:D27)</f>
        <v>397.316045245201</v>
      </c>
      <c r="E28" s="25" t="n">
        <f aca="false">SUM(E13:E27)</f>
        <v>239.451852911736</v>
      </c>
      <c r="F28" s="25" t="n">
        <f aca="false">SUM(F13:F27)</f>
        <v>334.850585050118</v>
      </c>
      <c r="G28" s="25" t="n">
        <f aca="false">SUM(G13:G27)</f>
        <v>623.642251669059</v>
      </c>
      <c r="H28" s="25" t="n">
        <f aca="false">SUM(H13:H27)</f>
        <v>155.726645393888</v>
      </c>
      <c r="I28" s="25" t="n">
        <f aca="false">SUM(I13:I27)</f>
        <v>73.8465639863871</v>
      </c>
      <c r="J28" s="25" t="n">
        <f aca="false">SUM(J13:J27)</f>
        <v>73.8465639863871</v>
      </c>
      <c r="K28" s="25" t="n">
        <f aca="false">SUM(K13:K27)</f>
        <v>239.660932501642</v>
      </c>
      <c r="L28" s="25" t="n">
        <f aca="false">SUM(L13:L27)</f>
        <v>65.6788908981011</v>
      </c>
      <c r="M28" s="25" t="n">
        <f aca="false">SUM(M13:M27)</f>
        <v>37.6648333517682</v>
      </c>
      <c r="N28" s="25" t="n">
        <f aca="false">SUM(N13:N27)</f>
        <v>3.88711803274476</v>
      </c>
      <c r="O28" s="25" t="n">
        <f aca="false">SUM(O13:O27)</f>
        <v>6.56788908981011</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0.186995546413275</v>
      </c>
      <c r="F29" s="26" t="n">
        <f aca="false">IF($B$28&gt;0,F28/$B$28,0)</f>
        <v>0.261495442014109</v>
      </c>
      <c r="G29" s="26" t="n">
        <f aca="false">IF($B$28&gt;0,G28/$B$28,0)</f>
        <v>0.487022013816897</v>
      </c>
      <c r="H29" s="26" t="n">
        <f aca="false">IF($B$28&gt;0,H28/$B$28,0)</f>
        <v>0.121611876427076</v>
      </c>
      <c r="I29" s="26" t="n">
        <f aca="false">IF($B$28&gt;0,I28/$B$28,0)</f>
        <v>0.0576691239406173</v>
      </c>
      <c r="J29" s="26" t="n">
        <f aca="false">IF($B$28&gt;0,J28/$B$28,0)</f>
        <v>0.0576691239406173</v>
      </c>
      <c r="K29" s="26" t="n">
        <f aca="false">IF($B$28&gt;0,K28/$B$28,0)</f>
        <v>0.187158823296219</v>
      </c>
      <c r="L29" s="26" t="n">
        <f aca="false">IF($B$28&gt;0,L28/$B$28,0)</f>
        <v>0.0512907289793888</v>
      </c>
      <c r="M29" s="26" t="n">
        <f aca="false">IF($B$28&gt;0,M28/$B$28,0)</f>
        <v>0.029413662945323</v>
      </c>
      <c r="N29" s="26" t="n">
        <f aca="false">IF($B$28&gt;0,N28/$B$28,0)</f>
        <v>0.00303557375592301</v>
      </c>
      <c r="O29" s="26" t="n">
        <f aca="false">IF($B$28&gt;0,O28/$B$28,0)</f>
        <v>0.00512907289793888</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Data!$H$27*Data!$M$27/SUM(Data!$H$27:$K$27)</f>
        <v>18.3968042609854</v>
      </c>
      <c r="C34" s="22" t="n">
        <f aca="false">IF($B$38&gt;0,B34/$B$38,0)</f>
        <v>0.0106524633821571</v>
      </c>
      <c r="D34" s="21" t="n">
        <f aca="false">C28</f>
        <v>308.903205702733</v>
      </c>
      <c r="E34" s="22" t="n">
        <f aca="false">IF($D$38&gt;0,D34/$D$38,0)</f>
        <v>0.241232310532536</v>
      </c>
      <c r="F34" s="21" t="n">
        <f aca="false">B34+D34</f>
        <v>327.300009963718</v>
      </c>
      <c r="G34" s="22" t="n">
        <f aca="false">IF($F$38&gt;0,F34/$F$38,0)</f>
        <v>0.108827148668831</v>
      </c>
    </row>
    <row r="35" customFormat="false" ht="15" hidden="false" customHeight="true" outlineLevel="0" collapsed="false">
      <c r="A35" s="13" t="s">
        <v>106</v>
      </c>
      <c r="B35" s="21" t="n">
        <f aca="false">Data!$I$27*Data!$M$27/SUM(Data!$H$27:$K$27)</f>
        <v>194.316245006658</v>
      </c>
      <c r="C35" s="22" t="n">
        <f aca="false">IF($B$38&gt;0,B35/$B$38,0)</f>
        <v>0.112516644474035</v>
      </c>
      <c r="D35" s="21" t="n">
        <f aca="false">D28</f>
        <v>397.316045245201</v>
      </c>
      <c r="E35" s="22" t="n">
        <f aca="false">IF($D$38&gt;0,D35/$D$38,0)</f>
        <v>0.310276701040081</v>
      </c>
      <c r="F35" s="21" t="n">
        <f aca="false">B35+D35</f>
        <v>591.632290251859</v>
      </c>
      <c r="G35" s="22" t="n">
        <f aca="false">IF($F$38&gt;0,F35/$F$38,0)</f>
        <v>0.196717547352526</v>
      </c>
    </row>
    <row r="36" customFormat="false" ht="15" hidden="false" customHeight="true" outlineLevel="0" collapsed="false">
      <c r="A36" s="13" t="s">
        <v>107</v>
      </c>
      <c r="B36" s="21" t="n">
        <f aca="false">Data!$J$27*Data!$M$27/SUM(Data!$H$27:$K$27)</f>
        <v>831.305592543276</v>
      </c>
      <c r="C36" s="22" t="n">
        <f aca="false">IF($B$38&gt;0,B36/$B$38,0)</f>
        <v>0.481358189081225</v>
      </c>
      <c r="D36" s="21" t="n">
        <f aca="false">E28</f>
        <v>239.451852911736</v>
      </c>
      <c r="E36" s="22" t="n">
        <f aca="false">IF($D$38&gt;0,D36/$D$38,0)</f>
        <v>0.186995546413275</v>
      </c>
      <c r="F36" s="21" t="n">
        <f aca="false">B36+D36</f>
        <v>1070.75744545501</v>
      </c>
      <c r="G36" s="22" t="n">
        <f aca="false">IF($F$38&gt;0,F36/$F$38,0)</f>
        <v>0.356026508272051</v>
      </c>
    </row>
    <row r="37" customFormat="false" ht="15" hidden="false" customHeight="true" outlineLevel="0" collapsed="false">
      <c r="A37" s="13" t="s">
        <v>108</v>
      </c>
      <c r="B37" s="21" t="n">
        <f aca="false">Data!$K$27*Data!$M$27/SUM(Data!$H$27:$K$27)</f>
        <v>682.981358189081</v>
      </c>
      <c r="C37" s="22" t="n">
        <f aca="false">IF($B$38&gt;0,B37/$B$38,0)</f>
        <v>0.395472703062583</v>
      </c>
      <c r="D37" s="21" t="n">
        <f aca="false">F28</f>
        <v>334.850585050118</v>
      </c>
      <c r="E37" s="22" t="n">
        <f aca="false">IF($D$38&gt;0,D37/$D$38,0)</f>
        <v>0.261495442014109</v>
      </c>
      <c r="F37" s="21" t="n">
        <f aca="false">B37+D37</f>
        <v>1017.8319432392</v>
      </c>
      <c r="G37" s="22" t="n">
        <f aca="false">IF($F$38&gt;0,F37/$F$38,0)</f>
        <v>0.338428795706593</v>
      </c>
    </row>
    <row r="38" customFormat="false" ht="15" hidden="false" customHeight="true" outlineLevel="0" collapsed="false">
      <c r="A38" s="24" t="s">
        <v>61</v>
      </c>
      <c r="B38" s="25" t="n">
        <f aca="false">SUM(B34:B37)</f>
        <v>1727</v>
      </c>
      <c r="C38" s="27" t="n">
        <f aca="false">SUM(C34:C37)</f>
        <v>1</v>
      </c>
      <c r="D38" s="25" t="n">
        <f aca="false">SUM(D34:D37)</f>
        <v>1280.52168890979</v>
      </c>
      <c r="E38" s="27" t="n">
        <f aca="false">SUM(E34:E37)</f>
        <v>1</v>
      </c>
      <c r="F38" s="25" t="n">
        <f aca="false">SUM(F34:F37)</f>
        <v>3007.52168890979</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6CDA9"/>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164</v>
      </c>
    </row>
    <row r="2" customFormat="false" ht="15" hidden="false" customHeight="true" outlineLevel="0" collapsed="false">
      <c r="A2" s="3" t="str">
        <f aca="false">Model!$B$51&amp;" · new homes per year, 2026–"&amp;Model!$B$3&amp;" · set by the levers on the Intro tab"</f>
        <v>City neighbourhood · new homes per year, 2026–2040 · set by the levers on the Intro tab</v>
      </c>
    </row>
    <row r="4" customFormat="false" ht="15" hidden="false" customHeight="true" outlineLevel="0" collapsed="false">
      <c r="A4" s="13" t="s">
        <v>332</v>
      </c>
      <c r="C4" s="67" t="n">
        <f aca="false">Model!$D$51</f>
        <v>0.136967474507064</v>
      </c>
    </row>
    <row r="5" customFormat="false" ht="15" hidden="false" customHeight="true" outlineLevel="0" collapsed="false">
      <c r="A5" s="13" t="s">
        <v>53</v>
      </c>
      <c r="C5" s="14" t="n">
        <f aca="false">Model!$E$51</f>
        <v>5460.07140374958</v>
      </c>
    </row>
    <row r="6" customFormat="false" ht="15" hidden="false" customHeight="true" outlineLevel="0" collapsed="false">
      <c r="A6" s="13" t="s">
        <v>99</v>
      </c>
      <c r="C6" s="15" t="n">
        <f aca="false">Model!$Q$51</f>
        <v>0.276027861874792</v>
      </c>
    </row>
    <row r="7" customFormat="false" ht="15" hidden="false" customHeight="true" outlineLevel="0" collapsed="false">
      <c r="A7" s="13" t="s">
        <v>100</v>
      </c>
      <c r="C7" s="15" t="n">
        <f aca="false">Model!$G$51</f>
        <v>0.04887</v>
      </c>
    </row>
    <row r="8" customFormat="false" ht="15" hidden="false" customHeight="true" outlineLevel="0" collapsed="false">
      <c r="A8" s="13" t="s">
        <v>101</v>
      </c>
      <c r="C8" s="15" t="n">
        <f aca="false">Model!$R$51</f>
        <v>0.149788709502457</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IF($A13&lt;=Model!$B$3,Data!$B$4*Model!$D$51,0)</f>
        <v>583.892343823612</v>
      </c>
      <c r="C13" s="21" t="n">
        <f aca="false">$B13*IF(Model!$B$5=1,Data!$D$4,Model!$AC$51)</f>
        <v>151.039694005029</v>
      </c>
      <c r="D13" s="21" t="n">
        <f aca="false">$B13*IF(Model!$B$5=1,Data!$E$4,Model!$AD$51)</f>
        <v>184.862726116763</v>
      </c>
      <c r="E13" s="21" t="n">
        <f aca="false">$B13*IF(Model!$B$5=1,Data!$F$4,Model!$AE$51)</f>
        <v>108.041993263797</v>
      </c>
      <c r="F13" s="21" t="n">
        <f aca="false">$B13*IF(Model!$B$5=1,Data!$G$4,Model!$AF$51)</f>
        <v>139.947930438023</v>
      </c>
      <c r="G13" s="21" t="n">
        <f aca="false">$B13*Model!$S$51</f>
        <v>284.368425141244</v>
      </c>
      <c r="H13" s="21" t="n">
        <f aca="false">$B13*Model!$T$51</f>
        <v>71.0082435637928</v>
      </c>
      <c r="I13" s="21" t="n">
        <f aca="false">$B13*Model!$U$51</f>
        <v>33.6725599439414</v>
      </c>
      <c r="J13" s="21" t="n">
        <f aca="false">$B13*Model!$V$51</f>
        <v>33.6725599439414</v>
      </c>
      <c r="K13" s="21" t="n">
        <f aca="false">$B13*Model!$W$51</f>
        <v>109.280604001698</v>
      </c>
      <c r="L13" s="21" t="n">
        <f aca="false">$B13*Model!$X$51</f>
        <v>29.948263960197</v>
      </c>
      <c r="M13" s="21" t="n">
        <f aca="false">$B13*Model!$Y$51</f>
        <v>17.1744125975824</v>
      </c>
      <c r="N13" s="21" t="n">
        <f aca="false">$B13*Model!$Z$51</f>
        <v>1.77244827519533</v>
      </c>
      <c r="O13" s="21" t="n">
        <f aca="false">$B13*Model!$AA$51</f>
        <v>2.9948263960197</v>
      </c>
    </row>
    <row r="14" customFormat="false" ht="15" hidden="false" customHeight="true" outlineLevel="0" collapsed="false">
      <c r="A14" s="23" t="n">
        <v>2027</v>
      </c>
      <c r="B14" s="21" t="n">
        <f aca="false">IF($A14&lt;=Model!$B$3,Data!$B$5*Model!$D$51,0)</f>
        <v>583.892343823612</v>
      </c>
      <c r="C14" s="21" t="n">
        <f aca="false">$B14*IF(Model!$B$5=1,Data!$D$5,Model!$AC$51)</f>
        <v>146.794698071978</v>
      </c>
      <c r="D14" s="21" t="n">
        <f aca="false">$B14*IF(Model!$B$5=1,Data!$E$5,Model!$AD$51)</f>
        <v>185.410467527479</v>
      </c>
      <c r="E14" s="21" t="n">
        <f aca="false">$B14*IF(Model!$B$5=1,Data!$F$5,Model!$AE$51)</f>
        <v>107.768122558439</v>
      </c>
      <c r="F14" s="21" t="n">
        <f aca="false">$B14*IF(Model!$B$5=1,Data!$G$5,Model!$AF$51)</f>
        <v>143.919055665717</v>
      </c>
      <c r="G14" s="21" t="n">
        <f aca="false">$B14*Model!$S$51</f>
        <v>284.368425141244</v>
      </c>
      <c r="H14" s="21" t="n">
        <f aca="false">$B14*Model!$T$51</f>
        <v>71.0082435637928</v>
      </c>
      <c r="I14" s="21" t="n">
        <f aca="false">$B14*Model!$U$51</f>
        <v>33.6725599439414</v>
      </c>
      <c r="J14" s="21" t="n">
        <f aca="false">$B14*Model!$V$51</f>
        <v>33.6725599439414</v>
      </c>
      <c r="K14" s="21" t="n">
        <f aca="false">$B14*Model!$W$51</f>
        <v>109.280604001698</v>
      </c>
      <c r="L14" s="21" t="n">
        <f aca="false">$B14*Model!$X$51</f>
        <v>29.948263960197</v>
      </c>
      <c r="M14" s="21" t="n">
        <f aca="false">$B14*Model!$Y$51</f>
        <v>17.1744125975824</v>
      </c>
      <c r="N14" s="21" t="n">
        <f aca="false">$B14*Model!$Z$51</f>
        <v>1.77244827519533</v>
      </c>
      <c r="O14" s="21" t="n">
        <f aca="false">$B14*Model!$AA$51</f>
        <v>2.9948263960197</v>
      </c>
    </row>
    <row r="15" customFormat="false" ht="15" hidden="false" customHeight="true" outlineLevel="0" collapsed="false">
      <c r="A15" s="23" t="n">
        <v>2028</v>
      </c>
      <c r="B15" s="21" t="n">
        <f aca="false">IF($A15&lt;=Model!$B$3,Data!$B$6*Model!$D$51,0)</f>
        <v>583.892343823612</v>
      </c>
      <c r="C15" s="21" t="n">
        <f aca="false">$B15*IF(Model!$B$5=1,Data!$D$6,Model!$AC$51)</f>
        <v>146.315584984425</v>
      </c>
      <c r="D15" s="21" t="n">
        <f aca="false">$B15*IF(Model!$B$5=1,Data!$E$6,Model!$AD$51)</f>
        <v>185.497473847295</v>
      </c>
      <c r="E15" s="21" t="n">
        <f aca="false">$B15*IF(Model!$B$5=1,Data!$F$6,Model!$AE$51)</f>
        <v>107.818694178598</v>
      </c>
      <c r="F15" s="21" t="n">
        <f aca="false">$B15*IF(Model!$B$5=1,Data!$G$6,Model!$AF$51)</f>
        <v>144.260590813295</v>
      </c>
      <c r="G15" s="21" t="n">
        <f aca="false">$B15*Model!$S$51</f>
        <v>284.368425141244</v>
      </c>
      <c r="H15" s="21" t="n">
        <f aca="false">$B15*Model!$T$51</f>
        <v>71.0082435637928</v>
      </c>
      <c r="I15" s="21" t="n">
        <f aca="false">$B15*Model!$U$51</f>
        <v>33.6725599439414</v>
      </c>
      <c r="J15" s="21" t="n">
        <f aca="false">$B15*Model!$V$51</f>
        <v>33.6725599439414</v>
      </c>
      <c r="K15" s="21" t="n">
        <f aca="false">$B15*Model!$W$51</f>
        <v>109.280604001698</v>
      </c>
      <c r="L15" s="21" t="n">
        <f aca="false">$B15*Model!$X$51</f>
        <v>29.948263960197</v>
      </c>
      <c r="M15" s="21" t="n">
        <f aca="false">$B15*Model!$Y$51</f>
        <v>17.1744125975824</v>
      </c>
      <c r="N15" s="21" t="n">
        <f aca="false">$B15*Model!$Z$51</f>
        <v>1.77244827519533</v>
      </c>
      <c r="O15" s="21" t="n">
        <f aca="false">$B15*Model!$AA$51</f>
        <v>2.9948263960197</v>
      </c>
    </row>
    <row r="16" customFormat="false" ht="15" hidden="false" customHeight="true" outlineLevel="0" collapsed="false">
      <c r="A16" s="23" t="n">
        <v>2029</v>
      </c>
      <c r="B16" s="21" t="n">
        <f aca="false">IF($A16&lt;=Model!$B$3,Data!$B$7*Model!$D$51,0)</f>
        <v>583.892343823612</v>
      </c>
      <c r="C16" s="21" t="n">
        <f aca="false">$B16*IF(Model!$B$5=1,Data!$D$7,Model!$AC$51)</f>
        <v>144.774620553966</v>
      </c>
      <c r="D16" s="21" t="n">
        <f aca="false">$B16*IF(Model!$B$5=1,Data!$E$7,Model!$AD$51)</f>
        <v>184.495188161015</v>
      </c>
      <c r="E16" s="21" t="n">
        <f aca="false">$B16*IF(Model!$B$5=1,Data!$F$7,Model!$AE$51)</f>
        <v>107.108565064524</v>
      </c>
      <c r="F16" s="21" t="n">
        <f aca="false">$B16*IF(Model!$B$5=1,Data!$G$7,Model!$AF$51)</f>
        <v>147.513970044107</v>
      </c>
      <c r="G16" s="21" t="n">
        <f aca="false">$B16*Model!$S$51</f>
        <v>284.368425141244</v>
      </c>
      <c r="H16" s="21" t="n">
        <f aca="false">$B16*Model!$T$51</f>
        <v>71.0082435637928</v>
      </c>
      <c r="I16" s="21" t="n">
        <f aca="false">$B16*Model!$U$51</f>
        <v>33.6725599439414</v>
      </c>
      <c r="J16" s="21" t="n">
        <f aca="false">$B16*Model!$V$51</f>
        <v>33.6725599439414</v>
      </c>
      <c r="K16" s="21" t="n">
        <f aca="false">$B16*Model!$W$51</f>
        <v>109.280604001698</v>
      </c>
      <c r="L16" s="21" t="n">
        <f aca="false">$B16*Model!$X$51</f>
        <v>29.948263960197</v>
      </c>
      <c r="M16" s="21" t="n">
        <f aca="false">$B16*Model!$Y$51</f>
        <v>17.1744125975824</v>
      </c>
      <c r="N16" s="21" t="n">
        <f aca="false">$B16*Model!$Z$51</f>
        <v>1.77244827519533</v>
      </c>
      <c r="O16" s="21" t="n">
        <f aca="false">$B16*Model!$AA$51</f>
        <v>2.9948263960197</v>
      </c>
    </row>
    <row r="17" customFormat="false" ht="15" hidden="false" customHeight="true" outlineLevel="0" collapsed="false">
      <c r="A17" s="23" t="n">
        <v>2030</v>
      </c>
      <c r="B17" s="21" t="n">
        <f aca="false">IF($A17&lt;=Model!$B$3,Data!$B$8*Model!$D$51,0)</f>
        <v>583.892343823612</v>
      </c>
      <c r="C17" s="21" t="n">
        <f aca="false">$B17*IF(Model!$B$5=1,Data!$D$8,Model!$AC$51)</f>
        <v>144.534590036112</v>
      </c>
      <c r="D17" s="21" t="n">
        <f aca="false">$B17*IF(Model!$B$5=1,Data!$E$8,Model!$AD$51)</f>
        <v>181.798484339261</v>
      </c>
      <c r="E17" s="21" t="n">
        <f aca="false">$B17*IF(Model!$B$5=1,Data!$F$8,Model!$AE$51)</f>
        <v>107.270695732963</v>
      </c>
      <c r="F17" s="21" t="n">
        <f aca="false">$B17*IF(Model!$B$5=1,Data!$G$8,Model!$AF$51)</f>
        <v>150.288573715275</v>
      </c>
      <c r="G17" s="21" t="n">
        <f aca="false">$B17*Model!$S$51</f>
        <v>284.368425141244</v>
      </c>
      <c r="H17" s="21" t="n">
        <f aca="false">$B17*Model!$T$51</f>
        <v>71.0082435637928</v>
      </c>
      <c r="I17" s="21" t="n">
        <f aca="false">$B17*Model!$U$51</f>
        <v>33.6725599439414</v>
      </c>
      <c r="J17" s="21" t="n">
        <f aca="false">$B17*Model!$V$51</f>
        <v>33.6725599439414</v>
      </c>
      <c r="K17" s="21" t="n">
        <f aca="false">$B17*Model!$W$51</f>
        <v>109.280604001698</v>
      </c>
      <c r="L17" s="21" t="n">
        <f aca="false">$B17*Model!$X$51</f>
        <v>29.948263960197</v>
      </c>
      <c r="M17" s="21" t="n">
        <f aca="false">$B17*Model!$Y$51</f>
        <v>17.1744125975824</v>
      </c>
      <c r="N17" s="21" t="n">
        <f aca="false">$B17*Model!$Z$51</f>
        <v>1.77244827519533</v>
      </c>
      <c r="O17" s="21" t="n">
        <f aca="false">$B17*Model!$AA$51</f>
        <v>2.9948263960197</v>
      </c>
    </row>
    <row r="18" customFormat="false" ht="15" hidden="false" customHeight="true" outlineLevel="0" collapsed="false">
      <c r="A18" s="23" t="n">
        <v>2031</v>
      </c>
      <c r="B18" s="21" t="n">
        <f aca="false">IF($A18&lt;=Model!$B$3,Data!$B$9*Model!$D$51,0)</f>
        <v>296.945484731314</v>
      </c>
      <c r="C18" s="21" t="n">
        <f aca="false">$B18*IF(Model!$B$5=1,Data!$D$9,Model!$AC$51)</f>
        <v>68.6207047280389</v>
      </c>
      <c r="D18" s="21" t="n">
        <f aca="false">$B18*IF(Model!$B$5=1,Data!$E$9,Model!$AD$51)</f>
        <v>90.261565700155</v>
      </c>
      <c r="E18" s="21" t="n">
        <f aca="false">$B18*IF(Model!$B$5=1,Data!$F$9,Model!$AE$51)</f>
        <v>56.4305994969103</v>
      </c>
      <c r="F18" s="21" t="n">
        <f aca="false">$B18*IF(Model!$B$5=1,Data!$G$9,Model!$AF$51)</f>
        <v>81.63261480621</v>
      </c>
      <c r="G18" s="21" t="n">
        <f aca="false">$B18*Model!$S$51</f>
        <v>144.618987967679</v>
      </c>
      <c r="H18" s="21" t="n">
        <f aca="false">$B18*Model!$T$51</f>
        <v>36.1120975947227</v>
      </c>
      <c r="I18" s="21" t="n">
        <f aca="false">$B18*Model!$U$51</f>
        <v>17.1245859625768</v>
      </c>
      <c r="J18" s="21" t="n">
        <f aca="false">$B18*Model!$V$51</f>
        <v>17.1245859625768</v>
      </c>
      <c r="K18" s="21" t="n">
        <f aca="false">$B18*Model!$W$51</f>
        <v>55.575967505438</v>
      </c>
      <c r="L18" s="21" t="n">
        <f aca="false">$B18*Model!$X$51</f>
        <v>15.2305503790071</v>
      </c>
      <c r="M18" s="21" t="n">
        <f aca="false">$B18*Model!$Y$51</f>
        <v>8.73425440102242</v>
      </c>
      <c r="N18" s="21" t="n">
        <f aca="false">$B18*Model!$Z$51</f>
        <v>0.901399920390214</v>
      </c>
      <c r="O18" s="21" t="n">
        <f aca="false">$B18*Model!$AA$51</f>
        <v>1.52305503790071</v>
      </c>
    </row>
    <row r="19" customFormat="false" ht="15" hidden="false" customHeight="true" outlineLevel="0" collapsed="false">
      <c r="A19" s="23" t="n">
        <v>2032</v>
      </c>
      <c r="B19" s="21" t="n">
        <f aca="false">IF($A19&lt;=Model!$B$3,Data!$B$10*Model!$D$51,0)</f>
        <v>296.945484731314</v>
      </c>
      <c r="C19" s="21" t="n">
        <f aca="false">$B19*IF(Model!$B$5=1,Data!$D$10,Model!$AC$51)</f>
        <v>66.0183227124048</v>
      </c>
      <c r="D19" s="21" t="n">
        <f aca="false">$B19*IF(Model!$B$5=1,Data!$E$10,Model!$AD$51)</f>
        <v>88.4809885315631</v>
      </c>
      <c r="E19" s="21" t="n">
        <f aca="false">$B19*IF(Model!$B$5=1,Data!$F$10,Model!$AE$51)</f>
        <v>57.3893718184598</v>
      </c>
      <c r="F19" s="21" t="n">
        <f aca="false">$B19*IF(Model!$B$5=1,Data!$G$10,Model!$AF$51)</f>
        <v>85.0568016688865</v>
      </c>
      <c r="G19" s="21" t="n">
        <f aca="false">$B19*Model!$S$51</f>
        <v>144.618987967679</v>
      </c>
      <c r="H19" s="21" t="n">
        <f aca="false">$B19*Model!$T$51</f>
        <v>36.1120975947227</v>
      </c>
      <c r="I19" s="21" t="n">
        <f aca="false">$B19*Model!$U$51</f>
        <v>17.1245859625768</v>
      </c>
      <c r="J19" s="21" t="n">
        <f aca="false">$B19*Model!$V$51</f>
        <v>17.1245859625768</v>
      </c>
      <c r="K19" s="21" t="n">
        <f aca="false">$B19*Model!$W$51</f>
        <v>55.575967505438</v>
      </c>
      <c r="L19" s="21" t="n">
        <f aca="false">$B19*Model!$X$51</f>
        <v>15.2305503790071</v>
      </c>
      <c r="M19" s="21" t="n">
        <f aca="false">$B19*Model!$Y$51</f>
        <v>8.73425440102242</v>
      </c>
      <c r="N19" s="21" t="n">
        <f aca="false">$B19*Model!$Z$51</f>
        <v>0.901399920390214</v>
      </c>
      <c r="O19" s="21" t="n">
        <f aca="false">$B19*Model!$AA$51</f>
        <v>1.52305503790071</v>
      </c>
    </row>
    <row r="20" customFormat="false" ht="15" hidden="false" customHeight="true" outlineLevel="0" collapsed="false">
      <c r="A20" s="23" t="n">
        <v>2033</v>
      </c>
      <c r="B20" s="21" t="n">
        <f aca="false">IF($A20&lt;=Model!$B$3,Data!$B$11*Model!$D$51,0)</f>
        <v>296.945484731314</v>
      </c>
      <c r="C20" s="21" t="n">
        <f aca="false">$B20*IF(Model!$B$5=1,Data!$D$11,Model!$AC$51)</f>
        <v>65.5006652983701</v>
      </c>
      <c r="D20" s="21" t="n">
        <f aca="false">$B20*IF(Model!$B$5=1,Data!$E$11,Model!$AD$51)</f>
        <v>88.795880990259</v>
      </c>
      <c r="E20" s="21" t="n">
        <f aca="false">$B20*IF(Model!$B$5=1,Data!$F$11,Model!$AE$51)</f>
        <v>57.4158551464792</v>
      </c>
      <c r="F20" s="21" t="n">
        <f aca="false">$B20*IF(Model!$B$5=1,Data!$G$11,Model!$AF$51)</f>
        <v>85.2330832962056</v>
      </c>
      <c r="G20" s="21" t="n">
        <f aca="false">$B20*Model!$S$51</f>
        <v>144.618987967679</v>
      </c>
      <c r="H20" s="21" t="n">
        <f aca="false">$B20*Model!$T$51</f>
        <v>36.1120975947227</v>
      </c>
      <c r="I20" s="21" t="n">
        <f aca="false">$B20*Model!$U$51</f>
        <v>17.1245859625768</v>
      </c>
      <c r="J20" s="21" t="n">
        <f aca="false">$B20*Model!$V$51</f>
        <v>17.1245859625768</v>
      </c>
      <c r="K20" s="21" t="n">
        <f aca="false">$B20*Model!$W$51</f>
        <v>55.575967505438</v>
      </c>
      <c r="L20" s="21" t="n">
        <f aca="false">$B20*Model!$X$51</f>
        <v>15.2305503790071</v>
      </c>
      <c r="M20" s="21" t="n">
        <f aca="false">$B20*Model!$Y$51</f>
        <v>8.73425440102242</v>
      </c>
      <c r="N20" s="21" t="n">
        <f aca="false">$B20*Model!$Z$51</f>
        <v>0.901399920390214</v>
      </c>
      <c r="O20" s="21" t="n">
        <f aca="false">$B20*Model!$AA$51</f>
        <v>1.52305503790071</v>
      </c>
    </row>
    <row r="21" customFormat="false" ht="15" hidden="false" customHeight="true" outlineLevel="0" collapsed="false">
      <c r="A21" s="23" t="n">
        <v>2034</v>
      </c>
      <c r="B21" s="21" t="n">
        <f aca="false">IF($A21&lt;=Model!$B$3,Data!$B$12*Model!$D$51,0)</f>
        <v>296.945484731314</v>
      </c>
      <c r="C21" s="21" t="n">
        <f aca="false">$B21*IF(Model!$B$5=1,Data!$D$12,Model!$AC$51)</f>
        <v>64.9225829163483</v>
      </c>
      <c r="D21" s="21" t="n">
        <f aca="false">$B21*IF(Model!$B$5=1,Data!$E$12,Model!$AD$51)</f>
        <v>89.0288584295915</v>
      </c>
      <c r="E21" s="21" t="n">
        <f aca="false">$B21*IF(Model!$B$5=1,Data!$F$12,Model!$AE$51)</f>
        <v>57.3893718184598</v>
      </c>
      <c r="F21" s="21" t="n">
        <f aca="false">$B21*IF(Model!$B$5=1,Data!$G$12,Model!$AF$51)</f>
        <v>85.6046715669146</v>
      </c>
      <c r="G21" s="21" t="n">
        <f aca="false">$B21*Model!$S$51</f>
        <v>144.618987967679</v>
      </c>
      <c r="H21" s="21" t="n">
        <f aca="false">$B21*Model!$T$51</f>
        <v>36.1120975947227</v>
      </c>
      <c r="I21" s="21" t="n">
        <f aca="false">$B21*Model!$U$51</f>
        <v>17.1245859625768</v>
      </c>
      <c r="J21" s="21" t="n">
        <f aca="false">$B21*Model!$V$51</f>
        <v>17.1245859625768</v>
      </c>
      <c r="K21" s="21" t="n">
        <f aca="false">$B21*Model!$W$51</f>
        <v>55.575967505438</v>
      </c>
      <c r="L21" s="21" t="n">
        <f aca="false">$B21*Model!$X$51</f>
        <v>15.2305503790071</v>
      </c>
      <c r="M21" s="21" t="n">
        <f aca="false">$B21*Model!$Y$51</f>
        <v>8.73425440102242</v>
      </c>
      <c r="N21" s="21" t="n">
        <f aca="false">$B21*Model!$Z$51</f>
        <v>0.901399920390214</v>
      </c>
      <c r="O21" s="21" t="n">
        <f aca="false">$B21*Model!$AA$51</f>
        <v>1.52305503790071</v>
      </c>
    </row>
    <row r="22" customFormat="false" ht="15" hidden="false" customHeight="true" outlineLevel="0" collapsed="false">
      <c r="A22" s="23" t="n">
        <v>2035</v>
      </c>
      <c r="B22" s="21" t="n">
        <f aca="false">IF($A22&lt;=Model!$B$3,Data!$B$13*Model!$D$51,0)</f>
        <v>286.946859092298</v>
      </c>
      <c r="C22" s="21" t="n">
        <f aca="false">$B22*IF(Model!$B$5=1,Data!$D$13,Model!$AC$51)</f>
        <v>61.4983960536714</v>
      </c>
      <c r="D22" s="21" t="n">
        <f aca="false">$B22*IF(Model!$B$5=1,Data!$E$13,Model!$AD$51)</f>
        <v>84.7828667198723</v>
      </c>
      <c r="E22" s="21" t="n">
        <f aca="false">$B22*IF(Model!$B$5=1,Data!$F$13,Model!$AE$51)</f>
        <v>55.0609247518395</v>
      </c>
      <c r="F22" s="21" t="n">
        <f aca="false">$B22*IF(Model!$B$5=1,Data!$G$13,Model!$AF$51)</f>
        <v>85.6046715669148</v>
      </c>
      <c r="G22" s="21" t="n">
        <f aca="false">$B22*Model!$S$51</f>
        <v>139.749437173565</v>
      </c>
      <c r="H22" s="21" t="n">
        <f aca="false">$B22*Model!$T$51</f>
        <v>34.8961459690701</v>
      </c>
      <c r="I22" s="21" t="n">
        <f aca="false">$B22*Model!$U$51</f>
        <v>16.5479739813646</v>
      </c>
      <c r="J22" s="21" t="n">
        <f aca="false">$B22*Model!$V$51</f>
        <v>16.5479739813646</v>
      </c>
      <c r="K22" s="21" t="n">
        <f aca="false">$B22*Model!$W$51</f>
        <v>53.7046364962604</v>
      </c>
      <c r="L22" s="21" t="n">
        <f aca="false">$B22*Model!$X$51</f>
        <v>14.7177135811899</v>
      </c>
      <c r="M22" s="21" t="n">
        <f aca="false">$B22*Model!$Y$51</f>
        <v>8.44015819655995</v>
      </c>
      <c r="N22" s="21" t="n">
        <f aca="false">$B22*Model!$Z$51</f>
        <v>0.871048354805119</v>
      </c>
      <c r="O22" s="21" t="n">
        <f aca="false">$B22*Model!$AA$51</f>
        <v>1.47177135811899</v>
      </c>
    </row>
    <row r="23" customFormat="false" ht="15" hidden="false" customHeight="true" outlineLevel="0" collapsed="false">
      <c r="A23" s="23" t="n">
        <v>2036</v>
      </c>
      <c r="B23" s="21" t="n">
        <f aca="false">IF($A23&lt;=Model!$B$3,Data!$B$14*Model!$D$51,0)</f>
        <v>217.36738204271</v>
      </c>
      <c r="C23" s="21" t="n">
        <f aca="false">$B23*IF(Model!$B$5=1,Data!$D$14,Model!$AC$51)</f>
        <v>52.4362136351277</v>
      </c>
      <c r="D23" s="21" t="n">
        <f aca="false">$B23*IF(Model!$B$5=1,Data!$E$14,Model!$AD$51)</f>
        <v>67.4441233394575</v>
      </c>
      <c r="E23" s="21" t="n">
        <f aca="false">$B23*IF(Model!$B$5=1,Data!$F$14,Model!$AE$51)</f>
        <v>40.6467044317265</v>
      </c>
      <c r="F23" s="21" t="n">
        <f aca="false">$B23*IF(Model!$B$5=1,Data!$G$14,Model!$AF$51)</f>
        <v>56.8403406363982</v>
      </c>
      <c r="G23" s="21" t="n">
        <f aca="false">$B23*Model!$S$51</f>
        <v>105.862700140547</v>
      </c>
      <c r="H23" s="21" t="n">
        <f aca="false">$B23*Model!$T$51</f>
        <v>26.434455204255</v>
      </c>
      <c r="I23" s="21" t="n">
        <f aca="false">$B23*Model!$U$51</f>
        <v>12.5353864956686</v>
      </c>
      <c r="J23" s="21" t="n">
        <f aca="false">$B23*Model!$V$51</f>
        <v>12.5353864956686</v>
      </c>
      <c r="K23" s="21" t="n">
        <f aca="false">$B23*Model!$W$51</f>
        <v>40.6822234460932</v>
      </c>
      <c r="L23" s="21" t="n">
        <f aca="false">$B23*Model!$X$51</f>
        <v>11.1489314813119</v>
      </c>
      <c r="M23" s="21" t="n">
        <f aca="false">$B23*Model!$Y$51</f>
        <v>6.39357091071152</v>
      </c>
      <c r="N23" s="21" t="n">
        <f aca="false">$B23*Model!$Z$51</f>
        <v>0.659834720322541</v>
      </c>
      <c r="O23" s="21" t="n">
        <f aca="false">$B23*Model!$AA$51</f>
        <v>1.11489314813119</v>
      </c>
    </row>
    <row r="24" customFormat="false" ht="15" hidden="false" customHeight="true" outlineLevel="0" collapsed="false">
      <c r="A24" s="23" t="n">
        <v>2037</v>
      </c>
      <c r="B24" s="21" t="n">
        <f aca="false">IF($A24&lt;=Model!$B$3,Data!$B$15*Model!$D$51,0)</f>
        <v>215.586804874118</v>
      </c>
      <c r="C24" s="21" t="n">
        <f aca="false">$B24*IF(Model!$B$5=1,Data!$D$15,Model!$AC$51)</f>
        <v>52.0066794339578</v>
      </c>
      <c r="D24" s="21" t="n">
        <f aca="false">$B24*IF(Model!$B$5=1,Data!$E$15,Model!$AD$51)</f>
        <v>66.8916509995628</v>
      </c>
      <c r="E24" s="21" t="n">
        <f aca="false">$B24*IF(Model!$B$5=1,Data!$F$15,Model!$AE$51)</f>
        <v>40.3137446600741</v>
      </c>
      <c r="F24" s="21" t="n">
        <f aca="false">$B24*IF(Model!$B$5=1,Data!$G$15,Model!$AF$51)</f>
        <v>56.3747297805237</v>
      </c>
      <c r="G24" s="21" t="n">
        <f aca="false">$B24*Model!$S$51</f>
        <v>104.995519862143</v>
      </c>
      <c r="H24" s="21" t="n">
        <f aca="false">$B24*Model!$T$51</f>
        <v>26.2179158736594</v>
      </c>
      <c r="I24" s="21" t="n">
        <f aca="false">$B24*Model!$U$51</f>
        <v>12.4327021702472</v>
      </c>
      <c r="J24" s="21" t="n">
        <f aca="false">$B24*Model!$V$51</f>
        <v>12.4327021702472</v>
      </c>
      <c r="K24" s="21" t="n">
        <f aca="false">$B24*Model!$W$51</f>
        <v>40.3489727184315</v>
      </c>
      <c r="L24" s="21" t="n">
        <f aca="false">$B24*Model!$X$51</f>
        <v>11.0576043803308</v>
      </c>
      <c r="M24" s="21" t="n">
        <f aca="false">$B24*Model!$Y$51</f>
        <v>6.34119761402642</v>
      </c>
      <c r="N24" s="21" t="n">
        <f aca="false">$B24*Model!$Z$51</f>
        <v>0.654429646999168</v>
      </c>
      <c r="O24" s="21" t="n">
        <f aca="false">$B24*Model!$AA$51</f>
        <v>1.10576043803308</v>
      </c>
    </row>
    <row r="25" customFormat="false" ht="15" hidden="false" customHeight="true" outlineLevel="0" collapsed="false">
      <c r="A25" s="23" t="n">
        <v>2038</v>
      </c>
      <c r="B25" s="21" t="n">
        <f aca="false">IF($A25&lt;=Model!$B$3,Data!$B$16*Model!$D$51,0)</f>
        <v>212.984422858484</v>
      </c>
      <c r="C25" s="21" t="n">
        <f aca="false">$B25*IF(Model!$B$5=1,Data!$D$16,Model!$AC$51)</f>
        <v>51.378898678402</v>
      </c>
      <c r="D25" s="21" t="n">
        <f aca="false">$B25*IF(Model!$B$5=1,Data!$E$16,Model!$AD$51)</f>
        <v>66.0841914258705</v>
      </c>
      <c r="E25" s="21" t="n">
        <f aca="false">$B25*IF(Model!$B$5=1,Data!$F$16,Model!$AE$51)</f>
        <v>39.8271111476589</v>
      </c>
      <c r="F25" s="21" t="n">
        <f aca="false">$B25*IF(Model!$B$5=1,Data!$G$16,Model!$AF$51)</f>
        <v>55.6942216065528</v>
      </c>
      <c r="G25" s="21" t="n">
        <f aca="false">$B25*Model!$S$51</f>
        <v>103.728102532168</v>
      </c>
      <c r="H25" s="21" t="n">
        <f aca="false">$B25*Model!$T$51</f>
        <v>25.901435313558</v>
      </c>
      <c r="I25" s="21" t="n">
        <f aca="false">$B25*Model!$U$51</f>
        <v>12.2826250792468</v>
      </c>
      <c r="J25" s="21" t="n">
        <f aca="false">$B25*Model!$V$51</f>
        <v>12.2826250792468</v>
      </c>
      <c r="K25" s="21" t="n">
        <f aca="false">$B25*Model!$W$51</f>
        <v>39.8619139626181</v>
      </c>
      <c r="L25" s="21" t="n">
        <f aca="false">$B25*Model!$X$51</f>
        <v>10.924126309666</v>
      </c>
      <c r="M25" s="21" t="n">
        <f aca="false">$B25*Model!$Y$51</f>
        <v>6.26465202656359</v>
      </c>
      <c r="N25" s="21" t="n">
        <f aca="false">$B25*Model!$Z$51</f>
        <v>0.646529924449623</v>
      </c>
      <c r="O25" s="21" t="n">
        <f aca="false">$B25*Model!$AA$51</f>
        <v>1.0924126309666</v>
      </c>
    </row>
    <row r="26" customFormat="false" ht="15" hidden="false" customHeight="true" outlineLevel="0" collapsed="false">
      <c r="A26" s="23" t="n">
        <v>2039</v>
      </c>
      <c r="B26" s="21" t="n">
        <f aca="false">IF($A26&lt;=Model!$B$3,Data!$B$17*Model!$D$51,0)</f>
        <v>211.066878215385</v>
      </c>
      <c r="C26" s="21" t="n">
        <f aca="false">$B26*IF(Model!$B$5=1,Data!$D$17,Model!$AC$51)</f>
        <v>50.9163233848341</v>
      </c>
      <c r="D26" s="21" t="n">
        <f aca="false">$B26*IF(Model!$B$5=1,Data!$E$17,Model!$AD$51)</f>
        <v>65.4892212136759</v>
      </c>
      <c r="E26" s="21" t="n">
        <f aca="false">$B26*IF(Model!$B$5=1,Data!$F$17,Model!$AE$51)</f>
        <v>39.4685390858794</v>
      </c>
      <c r="F26" s="21" t="n">
        <f aca="false">$B26*IF(Model!$B$5=1,Data!$G$17,Model!$AF$51)</f>
        <v>55.1927945309956</v>
      </c>
      <c r="G26" s="21" t="n">
        <f aca="false">$B26*Model!$S$51</f>
        <v>102.794216078503</v>
      </c>
      <c r="H26" s="21" t="n">
        <f aca="false">$B26*Model!$T$51</f>
        <v>25.6682391113781</v>
      </c>
      <c r="I26" s="21" t="n">
        <f aca="false">$B26*Model!$U$51</f>
        <v>12.1720419595622</v>
      </c>
      <c r="J26" s="21" t="n">
        <f aca="false">$B26*Model!$V$51</f>
        <v>12.1720419595622</v>
      </c>
      <c r="K26" s="21" t="n">
        <f aca="false">$B26*Model!$W$51</f>
        <v>39.5030285635978</v>
      </c>
      <c r="L26" s="21" t="n">
        <f aca="false">$B26*Model!$X$51</f>
        <v>10.825774047071</v>
      </c>
      <c r="M26" s="21" t="n">
        <f aca="false">$B26*Model!$Y$51</f>
        <v>6.20825001474887</v>
      </c>
      <c r="N26" s="21" t="n">
        <f aca="false">$B26*Model!$Z$51</f>
        <v>0.640709076255221</v>
      </c>
      <c r="O26" s="21" t="n">
        <f aca="false">$B26*Model!$AA$51</f>
        <v>1.0825774047071</v>
      </c>
    </row>
    <row r="27" customFormat="false" ht="15" hidden="false" customHeight="true" outlineLevel="0" collapsed="false">
      <c r="A27" s="23" t="n">
        <v>2040</v>
      </c>
      <c r="B27" s="21" t="n">
        <f aca="false">IF($A27&lt;=Model!$B$3,Data!$B$18*Model!$D$51,0)</f>
        <v>208.875398623272</v>
      </c>
      <c r="C27" s="21" t="n">
        <f aca="false">$B27*IF(Model!$B$5=1,Data!$D$18,Model!$AC$51)</f>
        <v>50.3876659064712</v>
      </c>
      <c r="D27" s="21" t="n">
        <f aca="false">$B27*IF(Model!$B$5=1,Data!$E$18,Model!$AD$51)</f>
        <v>64.8092552568826</v>
      </c>
      <c r="E27" s="21" t="n">
        <f aca="false">$B27*IF(Model!$B$5=1,Data!$F$18,Model!$AE$51)</f>
        <v>39.0587424438456</v>
      </c>
      <c r="F27" s="21" t="n">
        <f aca="false">$B27*IF(Model!$B$5=1,Data!$G$18,Model!$AF$51)</f>
        <v>54.6197350160726</v>
      </c>
      <c r="G27" s="21" t="n">
        <f aca="false">$B27*Model!$S$51</f>
        <v>101.726917274313</v>
      </c>
      <c r="H27" s="21" t="n">
        <f aca="false">$B27*Model!$T$51</f>
        <v>25.4017291660296</v>
      </c>
      <c r="I27" s="21" t="n">
        <f aca="false">$B27*Model!$U$51</f>
        <v>12.0456612513513</v>
      </c>
      <c r="J27" s="21" t="n">
        <f aca="false">$B27*Model!$V$51</f>
        <v>12.0456612513513</v>
      </c>
      <c r="K27" s="21" t="n">
        <f aca="false">$B27*Model!$W$51</f>
        <v>39.0928738218602</v>
      </c>
      <c r="L27" s="21" t="n">
        <f aca="false">$B27*Model!$X$51</f>
        <v>10.713371461248</v>
      </c>
      <c r="M27" s="21" t="n">
        <f aca="false">$B27*Model!$Y$51</f>
        <v>6.1437905726749</v>
      </c>
      <c r="N27" s="21" t="n">
        <f aca="false">$B27*Model!$Z$51</f>
        <v>0.634056678318762</v>
      </c>
      <c r="O27" s="21" t="n">
        <f aca="false">$B27*Model!$AA$51</f>
        <v>1.07133714612481</v>
      </c>
    </row>
    <row r="28" customFormat="false" ht="15" hidden="false" customHeight="true" outlineLevel="0" collapsed="false">
      <c r="A28" s="24" t="s">
        <v>118</v>
      </c>
      <c r="B28" s="25" t="n">
        <f aca="false">SUM(B13:B27)</f>
        <v>5460.07140374958</v>
      </c>
      <c r="C28" s="25" t="n">
        <f aca="false">SUM(C13:C27)</f>
        <v>1317.14564039914</v>
      </c>
      <c r="D28" s="25" t="n">
        <f aca="false">SUM(D13:D27)</f>
        <v>1694.1329425987</v>
      </c>
      <c r="E28" s="25" t="n">
        <f aca="false">SUM(E13:E27)</f>
        <v>1021.00903559965</v>
      </c>
      <c r="F28" s="25" t="n">
        <f aca="false">SUM(F13:F27)</f>
        <v>1427.78378515209</v>
      </c>
      <c r="G28" s="25" t="n">
        <f aca="false">SUM(G13:G27)</f>
        <v>2659.17497063817</v>
      </c>
      <c r="H28" s="25" t="n">
        <f aca="false">SUM(H13:H27)</f>
        <v>664.009528835805</v>
      </c>
      <c r="I28" s="25" t="n">
        <f aca="false">SUM(I13:I27)</f>
        <v>314.877534507455</v>
      </c>
      <c r="J28" s="25" t="n">
        <f aca="false">SUM(J13:J27)</f>
        <v>314.877534507455</v>
      </c>
      <c r="K28" s="25" t="n">
        <f aca="false">SUM(K13:K27)</f>
        <v>1021.90053903911</v>
      </c>
      <c r="L28" s="25" t="n">
        <f aca="false">SUM(L13:L27)</f>
        <v>280.051042577831</v>
      </c>
      <c r="M28" s="25" t="n">
        <f aca="false">SUM(M13:M27)</f>
        <v>160.600699927287</v>
      </c>
      <c r="N28" s="25" t="n">
        <f aca="false">SUM(N13:N27)</f>
        <v>16.574449458688</v>
      </c>
      <c r="O28" s="25" t="n">
        <f aca="false">SUM(O13:O27)</f>
        <v>28.0051042577831</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0.186995546413275</v>
      </c>
      <c r="F29" s="26" t="n">
        <f aca="false">IF($B$28&gt;0,F28/$B$28,0)</f>
        <v>0.261495442014109</v>
      </c>
      <c r="G29" s="26" t="n">
        <f aca="false">IF($B$28&gt;0,G28/$B$28,0)</f>
        <v>0.487022013816897</v>
      </c>
      <c r="H29" s="26" t="n">
        <f aca="false">IF($B$28&gt;0,H28/$B$28,0)</f>
        <v>0.121611876427076</v>
      </c>
      <c r="I29" s="26" t="n">
        <f aca="false">IF($B$28&gt;0,I28/$B$28,0)</f>
        <v>0.0576691239406173</v>
      </c>
      <c r="J29" s="26" t="n">
        <f aca="false">IF($B$28&gt;0,J28/$B$28,0)</f>
        <v>0.0576691239406173</v>
      </c>
      <c r="K29" s="26" t="n">
        <f aca="false">IF($B$28&gt;0,K28/$B$28,0)</f>
        <v>0.187158823296219</v>
      </c>
      <c r="L29" s="26" t="n">
        <f aca="false">IF($B$28&gt;0,L28/$B$28,0)</f>
        <v>0.0512907289793888</v>
      </c>
      <c r="M29" s="26" t="n">
        <f aca="false">IF($B$28&gt;0,M28/$B$28,0)</f>
        <v>0.029413662945323</v>
      </c>
      <c r="N29" s="26" t="n">
        <f aca="false">IF($B$28&gt;0,N28/$B$28,0)</f>
        <v>0.00303557375592301</v>
      </c>
      <c r="O29" s="26" t="n">
        <f aca="false">IF($B$28&gt;0,O28/$B$28,0)</f>
        <v>0.00512907289793888</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Data!$H$28*Data!$M$28/SUM(Data!$H$28:$K$28)</f>
        <v>117.085714285714</v>
      </c>
      <c r="C34" s="22" t="n">
        <f aca="false">IF($B$38&gt;0,B34/$B$38,0)</f>
        <v>0.0171428571428571</v>
      </c>
      <c r="D34" s="21" t="n">
        <f aca="false">C28</f>
        <v>1317.14564039914</v>
      </c>
      <c r="E34" s="22" t="n">
        <f aca="false">IF($D$38&gt;0,D34/$D$38,0)</f>
        <v>0.241232310532536</v>
      </c>
      <c r="F34" s="21" t="n">
        <f aca="false">B34+D34</f>
        <v>1434.23135468485</v>
      </c>
      <c r="G34" s="22" t="n">
        <f aca="false">IF($F$38&gt;0,F34/$F$38,0)</f>
        <v>0.116698374449418</v>
      </c>
    </row>
    <row r="35" customFormat="false" ht="15" hidden="false" customHeight="true" outlineLevel="0" collapsed="false">
      <c r="A35" s="13" t="s">
        <v>106</v>
      </c>
      <c r="B35" s="21" t="n">
        <f aca="false">Data!$I$28*Data!$M$28/SUM(Data!$H$28:$K$28)</f>
        <v>864.049206349206</v>
      </c>
      <c r="C35" s="22" t="n">
        <f aca="false">IF($B$38&gt;0,B35/$B$38,0)</f>
        <v>0.126507936507937</v>
      </c>
      <c r="D35" s="21" t="n">
        <f aca="false">D28</f>
        <v>1694.1329425987</v>
      </c>
      <c r="E35" s="22" t="n">
        <f aca="false">IF($D$38&gt;0,D35/$D$38,0)</f>
        <v>0.310276701040081</v>
      </c>
      <c r="F35" s="21" t="n">
        <f aca="false">B35+D35</f>
        <v>2558.18214894791</v>
      </c>
      <c r="G35" s="22" t="n">
        <f aca="false">IF($F$38&gt;0,F35/$F$38,0)</f>
        <v>0.208150308074486</v>
      </c>
    </row>
    <row r="36" customFormat="false" ht="15" hidden="false" customHeight="true" outlineLevel="0" collapsed="false">
      <c r="A36" s="13" t="s">
        <v>107</v>
      </c>
      <c r="B36" s="21" t="n">
        <f aca="false">Data!$J$28*Data!$M$28/SUM(Data!$H$28:$K$28)</f>
        <v>3301.16666666667</v>
      </c>
      <c r="C36" s="22" t="n">
        <f aca="false">IF($B$38&gt;0,B36/$B$38,0)</f>
        <v>0.483333333333333</v>
      </c>
      <c r="D36" s="21" t="n">
        <f aca="false">E28</f>
        <v>1021.00903559965</v>
      </c>
      <c r="E36" s="22" t="n">
        <f aca="false">IF($D$38&gt;0,D36/$D$38,0)</f>
        <v>0.186995546413275</v>
      </c>
      <c r="F36" s="21" t="n">
        <f aca="false">B36+D36</f>
        <v>4322.17570226632</v>
      </c>
      <c r="G36" s="22" t="n">
        <f aca="false">IF($F$38&gt;0,F36/$F$38,0)</f>
        <v>0.351680275913423</v>
      </c>
    </row>
    <row r="37" customFormat="false" ht="15" hidden="false" customHeight="true" outlineLevel="0" collapsed="false">
      <c r="A37" s="13" t="s">
        <v>108</v>
      </c>
      <c r="B37" s="21" t="n">
        <f aca="false">Data!$K$28*Data!$M$28/SUM(Data!$H$28:$K$28)</f>
        <v>2547.69841269841</v>
      </c>
      <c r="C37" s="22" t="n">
        <f aca="false">IF($B$38&gt;0,B37/$B$38,0)</f>
        <v>0.373015873015873</v>
      </c>
      <c r="D37" s="21" t="n">
        <f aca="false">F28</f>
        <v>1427.78378515209</v>
      </c>
      <c r="E37" s="22" t="n">
        <f aca="false">IF($D$38&gt;0,D37/$D$38,0)</f>
        <v>0.261495442014109</v>
      </c>
      <c r="F37" s="21" t="n">
        <f aca="false">B37+D37</f>
        <v>3975.4821978505</v>
      </c>
      <c r="G37" s="22" t="n">
        <f aca="false">IF($F$38&gt;0,F37/$F$38,0)</f>
        <v>0.323471041562673</v>
      </c>
    </row>
    <row r="38" customFormat="false" ht="15" hidden="false" customHeight="true" outlineLevel="0" collapsed="false">
      <c r="A38" s="24" t="s">
        <v>61</v>
      </c>
      <c r="B38" s="25" t="n">
        <f aca="false">SUM(B34:B37)</f>
        <v>6830</v>
      </c>
      <c r="C38" s="27" t="n">
        <f aca="false">SUM(C34:C37)</f>
        <v>1</v>
      </c>
      <c r="D38" s="25" t="n">
        <f aca="false">SUM(D34:D37)</f>
        <v>5460.07140374958</v>
      </c>
      <c r="E38" s="27" t="n">
        <f aca="false">SUM(E34:E37)</f>
        <v>1</v>
      </c>
      <c r="F38" s="25" t="n">
        <f aca="false">SUM(F34:F37)</f>
        <v>12290.0714037496</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6CDA9"/>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166</v>
      </c>
    </row>
    <row r="2" customFormat="false" ht="15" hidden="false" customHeight="true" outlineLevel="0" collapsed="false">
      <c r="A2" s="3" t="str">
        <f aca="false">Model!$B$52&amp;" · new homes per year, 2026–"&amp;Model!$B$3&amp;" · set by the levers on the Intro tab"</f>
        <v>City neighbourhood · new homes per year, 2026–2040 · set by the levers on the Intro tab</v>
      </c>
    </row>
    <row r="4" customFormat="false" ht="15" hidden="false" customHeight="true" outlineLevel="0" collapsed="false">
      <c r="A4" s="13" t="s">
        <v>332</v>
      </c>
      <c r="C4" s="67" t="n">
        <f aca="false">Model!$D$52</f>
        <v>0.0158875326576508</v>
      </c>
    </row>
    <row r="5" customFormat="false" ht="15" hidden="false" customHeight="true" outlineLevel="0" collapsed="false">
      <c r="A5" s="13" t="s">
        <v>53</v>
      </c>
      <c r="C5" s="14" t="n">
        <f aca="false">Model!$E$52</f>
        <v>633.34060186459</v>
      </c>
    </row>
    <row r="6" customFormat="false" ht="15" hidden="false" customHeight="true" outlineLevel="0" collapsed="false">
      <c r="A6" s="13" t="s">
        <v>99</v>
      </c>
      <c r="C6" s="15" t="n">
        <f aca="false">Model!$Q$52</f>
        <v>0.1</v>
      </c>
    </row>
    <row r="7" customFormat="false" ht="15" hidden="false" customHeight="true" outlineLevel="0" collapsed="false">
      <c r="A7" s="13" t="s">
        <v>100</v>
      </c>
      <c r="C7" s="15" t="n">
        <f aca="false">Model!$G$52</f>
        <v>0.35414</v>
      </c>
    </row>
    <row r="8" customFormat="false" ht="15" hidden="false" customHeight="true" outlineLevel="0" collapsed="false">
      <c r="A8" s="13" t="s">
        <v>101</v>
      </c>
      <c r="C8" s="15" t="n">
        <f aca="false">Model!$R$52</f>
        <v>0.254125633636919</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IF($A13&lt;=Model!$B$3,Data!$B$4*Model!$D$52,0)</f>
        <v>67.7285517195652</v>
      </c>
      <c r="C13" s="21" t="n">
        <f aca="false">$B13*IF(Model!$B$5=1,Data!$D$4,Model!$AC$52)</f>
        <v>17.5198387773641</v>
      </c>
      <c r="D13" s="21" t="n">
        <f aca="false">$B13*IF(Model!$B$5=1,Data!$E$4,Model!$AD$52)</f>
        <v>21.443139029412</v>
      </c>
      <c r="E13" s="21" t="n">
        <f aca="false">$B13*IF(Model!$B$5=1,Data!$F$4,Model!$AE$52)</f>
        <v>12.5323234771897</v>
      </c>
      <c r="F13" s="21" t="n">
        <f aca="false">$B13*IF(Model!$B$5=1,Data!$G$4,Model!$AF$52)</f>
        <v>16.2332504355993</v>
      </c>
      <c r="G13" s="21" t="n">
        <f aca="false">$B13*Model!$S$52</f>
        <v>41.005398582195</v>
      </c>
      <c r="H13" s="21" t="n">
        <f aca="false">$B13*Model!$T$52</f>
        <v>10.2392567969129</v>
      </c>
      <c r="I13" s="21" t="n">
        <f aca="false">$B13*Model!$U$52</f>
        <v>4.85552058425038</v>
      </c>
      <c r="J13" s="21" t="n">
        <f aca="false">$B13*Model!$V$52</f>
        <v>4.85552058425038</v>
      </c>
      <c r="K13" s="21" t="n">
        <f aca="false">$B13*Model!$W$52</f>
        <v>4.5922886035109</v>
      </c>
      <c r="L13" s="21" t="n">
        <f aca="false">$B13*Model!$X$52</f>
        <v>1.25851309604046</v>
      </c>
      <c r="M13" s="21" t="n">
        <f aca="false">$B13*Model!$Y$52</f>
        <v>0.721718734668101</v>
      </c>
      <c r="N13" s="21" t="n">
        <f aca="false">$B13*Model!$Z$52</f>
        <v>0.0744834281330069</v>
      </c>
      <c r="O13" s="21" t="n">
        <f aca="false">$B13*Model!$AA$52</f>
        <v>0.125851309604046</v>
      </c>
    </row>
    <row r="14" customFormat="false" ht="15" hidden="false" customHeight="true" outlineLevel="0" collapsed="false">
      <c r="A14" s="23" t="n">
        <v>2027</v>
      </c>
      <c r="B14" s="21" t="n">
        <f aca="false">IF($A14&lt;=Model!$B$3,Data!$B$5*Model!$D$52,0)</f>
        <v>67.7285517195652</v>
      </c>
      <c r="C14" s="21" t="n">
        <f aca="false">$B14*IF(Model!$B$5=1,Data!$D$5,Model!$AC$52)</f>
        <v>17.027440770022</v>
      </c>
      <c r="D14" s="21" t="n">
        <f aca="false">$B14*IF(Model!$B$5=1,Data!$E$5,Model!$AD$52)</f>
        <v>21.5066742561658</v>
      </c>
      <c r="E14" s="21" t="n">
        <f aca="false">$B14*IF(Model!$B$5=1,Data!$F$5,Model!$AE$52)</f>
        <v>12.5005558638128</v>
      </c>
      <c r="F14" s="21" t="n">
        <f aca="false">$B14*IF(Model!$B$5=1,Data!$G$5,Model!$AF$52)</f>
        <v>16.6938808295645</v>
      </c>
      <c r="G14" s="21" t="n">
        <f aca="false">$B14*Model!$S$52</f>
        <v>41.005398582195</v>
      </c>
      <c r="H14" s="21" t="n">
        <f aca="false">$B14*Model!$T$52</f>
        <v>10.2392567969129</v>
      </c>
      <c r="I14" s="21" t="n">
        <f aca="false">$B14*Model!$U$52</f>
        <v>4.85552058425038</v>
      </c>
      <c r="J14" s="21" t="n">
        <f aca="false">$B14*Model!$V$52</f>
        <v>4.85552058425038</v>
      </c>
      <c r="K14" s="21" t="n">
        <f aca="false">$B14*Model!$W$52</f>
        <v>4.5922886035109</v>
      </c>
      <c r="L14" s="21" t="n">
        <f aca="false">$B14*Model!$X$52</f>
        <v>1.25851309604046</v>
      </c>
      <c r="M14" s="21" t="n">
        <f aca="false">$B14*Model!$Y$52</f>
        <v>0.721718734668101</v>
      </c>
      <c r="N14" s="21" t="n">
        <f aca="false">$B14*Model!$Z$52</f>
        <v>0.0744834281330069</v>
      </c>
      <c r="O14" s="21" t="n">
        <f aca="false">$B14*Model!$AA$52</f>
        <v>0.125851309604046</v>
      </c>
    </row>
    <row r="15" customFormat="false" ht="15" hidden="false" customHeight="true" outlineLevel="0" collapsed="false">
      <c r="A15" s="23" t="n">
        <v>2028</v>
      </c>
      <c r="B15" s="21" t="n">
        <f aca="false">IF($A15&lt;=Model!$B$3,Data!$B$6*Model!$D$52,0)</f>
        <v>67.7285517195652</v>
      </c>
      <c r="C15" s="21" t="n">
        <f aca="false">$B15*IF(Model!$B$5=1,Data!$D$6,Model!$AC$52)</f>
        <v>16.9718660808296</v>
      </c>
      <c r="D15" s="21" t="n">
        <f aca="false">$B15*IF(Model!$B$5=1,Data!$E$6,Model!$AD$52)</f>
        <v>21.5167665481678</v>
      </c>
      <c r="E15" s="21" t="n">
        <f aca="false">$B15*IF(Model!$B$5=1,Data!$F$6,Model!$AE$52)</f>
        <v>12.5064219153679</v>
      </c>
      <c r="F15" s="21" t="n">
        <f aca="false">$B15*IF(Model!$B$5=1,Data!$G$6,Model!$AF$52)</f>
        <v>16.7334971751999</v>
      </c>
      <c r="G15" s="21" t="n">
        <f aca="false">$B15*Model!$S$52</f>
        <v>41.005398582195</v>
      </c>
      <c r="H15" s="21" t="n">
        <f aca="false">$B15*Model!$T$52</f>
        <v>10.2392567969129</v>
      </c>
      <c r="I15" s="21" t="n">
        <f aca="false">$B15*Model!$U$52</f>
        <v>4.85552058425038</v>
      </c>
      <c r="J15" s="21" t="n">
        <f aca="false">$B15*Model!$V$52</f>
        <v>4.85552058425038</v>
      </c>
      <c r="K15" s="21" t="n">
        <f aca="false">$B15*Model!$W$52</f>
        <v>4.5922886035109</v>
      </c>
      <c r="L15" s="21" t="n">
        <f aca="false">$B15*Model!$X$52</f>
        <v>1.25851309604046</v>
      </c>
      <c r="M15" s="21" t="n">
        <f aca="false">$B15*Model!$Y$52</f>
        <v>0.721718734668101</v>
      </c>
      <c r="N15" s="21" t="n">
        <f aca="false">$B15*Model!$Z$52</f>
        <v>0.0744834281330069</v>
      </c>
      <c r="O15" s="21" t="n">
        <f aca="false">$B15*Model!$AA$52</f>
        <v>0.125851309604046</v>
      </c>
    </row>
    <row r="16" customFormat="false" ht="15" hidden="false" customHeight="true" outlineLevel="0" collapsed="false">
      <c r="A16" s="23" t="n">
        <v>2029</v>
      </c>
      <c r="B16" s="21" t="n">
        <f aca="false">IF($A16&lt;=Model!$B$3,Data!$B$7*Model!$D$52,0)</f>
        <v>67.7285517195652</v>
      </c>
      <c r="C16" s="21" t="n">
        <f aca="false">$B16*IF(Model!$B$5=1,Data!$D$7,Model!$AC$52)</f>
        <v>16.7931220191369</v>
      </c>
      <c r="D16" s="21" t="n">
        <f aca="false">$B16*IF(Model!$B$5=1,Data!$E$7,Model!$AD$52)</f>
        <v>21.4005064898556</v>
      </c>
      <c r="E16" s="21" t="n">
        <f aca="false">$B16*IF(Model!$B$5=1,Data!$F$7,Model!$AE$52)</f>
        <v>12.4240505382829</v>
      </c>
      <c r="F16" s="21" t="n">
        <f aca="false">$B16*IF(Model!$B$5=1,Data!$G$7,Model!$AF$52)</f>
        <v>17.1108726722898</v>
      </c>
      <c r="G16" s="21" t="n">
        <f aca="false">$B16*Model!$S$52</f>
        <v>41.005398582195</v>
      </c>
      <c r="H16" s="21" t="n">
        <f aca="false">$B16*Model!$T$52</f>
        <v>10.2392567969129</v>
      </c>
      <c r="I16" s="21" t="n">
        <f aca="false">$B16*Model!$U$52</f>
        <v>4.85552058425038</v>
      </c>
      <c r="J16" s="21" t="n">
        <f aca="false">$B16*Model!$V$52</f>
        <v>4.85552058425038</v>
      </c>
      <c r="K16" s="21" t="n">
        <f aca="false">$B16*Model!$W$52</f>
        <v>4.5922886035109</v>
      </c>
      <c r="L16" s="21" t="n">
        <f aca="false">$B16*Model!$X$52</f>
        <v>1.25851309604046</v>
      </c>
      <c r="M16" s="21" t="n">
        <f aca="false">$B16*Model!$Y$52</f>
        <v>0.721718734668101</v>
      </c>
      <c r="N16" s="21" t="n">
        <f aca="false">$B16*Model!$Z$52</f>
        <v>0.0744834281330069</v>
      </c>
      <c r="O16" s="21" t="n">
        <f aca="false">$B16*Model!$AA$52</f>
        <v>0.125851309604046</v>
      </c>
    </row>
    <row r="17" customFormat="false" ht="15" hidden="false" customHeight="true" outlineLevel="0" collapsed="false">
      <c r="A17" s="23" t="n">
        <v>2030</v>
      </c>
      <c r="B17" s="21" t="n">
        <f aca="false">IF($A17&lt;=Model!$B$3,Data!$B$8*Model!$D$52,0)</f>
        <v>67.7285517195652</v>
      </c>
      <c r="C17" s="21" t="n">
        <f aca="false">$B17*IF(Model!$B$5=1,Data!$D$8,Model!$AC$52)</f>
        <v>16.7652796959505</v>
      </c>
      <c r="D17" s="21" t="n">
        <f aca="false">$B17*IF(Model!$B$5=1,Data!$E$8,Model!$AD$52)</f>
        <v>21.0877025180345</v>
      </c>
      <c r="E17" s="21" t="n">
        <f aca="false">$B17*IF(Model!$B$5=1,Data!$F$8,Model!$AE$52)</f>
        <v>12.4428568738666</v>
      </c>
      <c r="F17" s="21" t="n">
        <f aca="false">$B17*IF(Model!$B$5=1,Data!$G$8,Model!$AF$52)</f>
        <v>17.4327126317135</v>
      </c>
      <c r="G17" s="21" t="n">
        <f aca="false">$B17*Model!$S$52</f>
        <v>41.005398582195</v>
      </c>
      <c r="H17" s="21" t="n">
        <f aca="false">$B17*Model!$T$52</f>
        <v>10.2392567969129</v>
      </c>
      <c r="I17" s="21" t="n">
        <f aca="false">$B17*Model!$U$52</f>
        <v>4.85552058425038</v>
      </c>
      <c r="J17" s="21" t="n">
        <f aca="false">$B17*Model!$V$52</f>
        <v>4.85552058425038</v>
      </c>
      <c r="K17" s="21" t="n">
        <f aca="false">$B17*Model!$W$52</f>
        <v>4.5922886035109</v>
      </c>
      <c r="L17" s="21" t="n">
        <f aca="false">$B17*Model!$X$52</f>
        <v>1.25851309604046</v>
      </c>
      <c r="M17" s="21" t="n">
        <f aca="false">$B17*Model!$Y$52</f>
        <v>0.721718734668101</v>
      </c>
      <c r="N17" s="21" t="n">
        <f aca="false">$B17*Model!$Z$52</f>
        <v>0.0744834281330069</v>
      </c>
      <c r="O17" s="21" t="n">
        <f aca="false">$B17*Model!$AA$52</f>
        <v>0.125851309604046</v>
      </c>
    </row>
    <row r="18" customFormat="false" ht="15" hidden="false" customHeight="true" outlineLevel="0" collapsed="false">
      <c r="A18" s="23" t="n">
        <v>2031</v>
      </c>
      <c r="B18" s="21" t="n">
        <f aca="false">IF($A18&lt;=Model!$B$3,Data!$B$9*Model!$D$52,0)</f>
        <v>34.4441708017868</v>
      </c>
      <c r="C18" s="21" t="n">
        <f aca="false">$B18*IF(Model!$B$5=1,Data!$D$9,Model!$AC$52)</f>
        <v>7.95965386148304</v>
      </c>
      <c r="D18" s="21" t="n">
        <f aca="false">$B18*IF(Model!$B$5=1,Data!$E$9,Model!$AD$52)</f>
        <v>10.4698840213919</v>
      </c>
      <c r="E18" s="21" t="n">
        <f aca="false">$B18*IF(Model!$B$5=1,Data!$F$9,Model!$AE$52)</f>
        <v>6.54566345495212</v>
      </c>
      <c r="F18" s="21" t="n">
        <f aca="false">$B18*IF(Model!$B$5=1,Data!$G$9,Model!$AF$52)</f>
        <v>9.46896946395986</v>
      </c>
      <c r="G18" s="21" t="n">
        <f aca="false">$B18*Model!$S$52</f>
        <v>20.8537893798261</v>
      </c>
      <c r="H18" s="21" t="n">
        <f aca="false">$B18*Model!$T$52</f>
        <v>5.20729738111828</v>
      </c>
      <c r="I18" s="21" t="n">
        <f aca="false">$B18*Model!$U$52</f>
        <v>2.46933348033188</v>
      </c>
      <c r="J18" s="21" t="n">
        <f aca="false">$B18*Model!$V$52</f>
        <v>2.46933348033188</v>
      </c>
      <c r="K18" s="21" t="n">
        <f aca="false">$B18*Model!$W$52</f>
        <v>2.33546368576393</v>
      </c>
      <c r="L18" s="21" t="n">
        <f aca="false">$B18*Model!$X$52</f>
        <v>0.640031994420764</v>
      </c>
      <c r="M18" s="21" t="n">
        <f aca="false">$B18*Model!$Y$52</f>
        <v>0.367038755984153</v>
      </c>
      <c r="N18" s="21" t="n">
        <f aca="false">$B18*Model!$Z$52</f>
        <v>0.0378794445677595</v>
      </c>
      <c r="O18" s="21" t="n">
        <f aca="false">$B18*Model!$AA$52</f>
        <v>0.0640031994420764</v>
      </c>
    </row>
    <row r="19" customFormat="false" ht="15" hidden="false" customHeight="true" outlineLevel="0" collapsed="false">
      <c r="A19" s="23" t="n">
        <v>2032</v>
      </c>
      <c r="B19" s="21" t="n">
        <f aca="false">IF($A19&lt;=Model!$B$3,Data!$B$10*Model!$D$52,0)</f>
        <v>34.4441708017868</v>
      </c>
      <c r="C19" s="21" t="n">
        <f aca="false">$B19*IF(Model!$B$5=1,Data!$D$10,Model!$AC$52)</f>
        <v>7.65779074098769</v>
      </c>
      <c r="D19" s="21" t="n">
        <f aca="false">$B19*IF(Model!$B$5=1,Data!$E$10,Model!$AD$52)</f>
        <v>10.2633460968424</v>
      </c>
      <c r="E19" s="21" t="n">
        <f aca="false">$B19*IF(Model!$B$5=1,Data!$F$10,Model!$AE$52)</f>
        <v>6.65687618355568</v>
      </c>
      <c r="F19" s="21" t="n">
        <f aca="false">$B19*IF(Model!$B$5=1,Data!$G$10,Model!$AF$52)</f>
        <v>9.86615778040112</v>
      </c>
      <c r="G19" s="21" t="n">
        <f aca="false">$B19*Model!$S$52</f>
        <v>20.8537893798261</v>
      </c>
      <c r="H19" s="21" t="n">
        <f aca="false">$B19*Model!$T$52</f>
        <v>5.20729738111828</v>
      </c>
      <c r="I19" s="21" t="n">
        <f aca="false">$B19*Model!$U$52</f>
        <v>2.46933348033188</v>
      </c>
      <c r="J19" s="21" t="n">
        <f aca="false">$B19*Model!$V$52</f>
        <v>2.46933348033188</v>
      </c>
      <c r="K19" s="21" t="n">
        <f aca="false">$B19*Model!$W$52</f>
        <v>2.33546368576393</v>
      </c>
      <c r="L19" s="21" t="n">
        <f aca="false">$B19*Model!$X$52</f>
        <v>0.640031994420764</v>
      </c>
      <c r="M19" s="21" t="n">
        <f aca="false">$B19*Model!$Y$52</f>
        <v>0.367038755984153</v>
      </c>
      <c r="N19" s="21" t="n">
        <f aca="false">$B19*Model!$Z$52</f>
        <v>0.0378794445677595</v>
      </c>
      <c r="O19" s="21" t="n">
        <f aca="false">$B19*Model!$AA$52</f>
        <v>0.0640031994420764</v>
      </c>
    </row>
    <row r="20" customFormat="false" ht="15" hidden="false" customHeight="true" outlineLevel="0" collapsed="false">
      <c r="A20" s="23" t="n">
        <v>2033</v>
      </c>
      <c r="B20" s="21" t="n">
        <f aca="false">IF($A20&lt;=Model!$B$3,Data!$B$11*Model!$D$52,0)</f>
        <v>34.4441708017868</v>
      </c>
      <c r="C20" s="21" t="n">
        <f aca="false">$B20*IF(Model!$B$5=1,Data!$D$11,Model!$AC$52)</f>
        <v>7.59774510533185</v>
      </c>
      <c r="D20" s="21" t="n">
        <f aca="false">$B20*IF(Model!$B$5=1,Data!$E$11,Model!$AD$52)</f>
        <v>10.2998720256381</v>
      </c>
      <c r="E20" s="21" t="n">
        <f aca="false">$B20*IF(Model!$B$5=1,Data!$F$11,Model!$AE$52)</f>
        <v>6.65994811534319</v>
      </c>
      <c r="F20" s="21" t="n">
        <f aca="false">$B20*IF(Model!$B$5=1,Data!$G$11,Model!$AF$52)</f>
        <v>9.88660555547367</v>
      </c>
      <c r="G20" s="21" t="n">
        <f aca="false">$B20*Model!$S$52</f>
        <v>20.8537893798261</v>
      </c>
      <c r="H20" s="21" t="n">
        <f aca="false">$B20*Model!$T$52</f>
        <v>5.20729738111828</v>
      </c>
      <c r="I20" s="21" t="n">
        <f aca="false">$B20*Model!$U$52</f>
        <v>2.46933348033188</v>
      </c>
      <c r="J20" s="21" t="n">
        <f aca="false">$B20*Model!$V$52</f>
        <v>2.46933348033188</v>
      </c>
      <c r="K20" s="21" t="n">
        <f aca="false">$B20*Model!$W$52</f>
        <v>2.33546368576393</v>
      </c>
      <c r="L20" s="21" t="n">
        <f aca="false">$B20*Model!$X$52</f>
        <v>0.640031994420764</v>
      </c>
      <c r="M20" s="21" t="n">
        <f aca="false">$B20*Model!$Y$52</f>
        <v>0.367038755984153</v>
      </c>
      <c r="N20" s="21" t="n">
        <f aca="false">$B20*Model!$Z$52</f>
        <v>0.0378794445677595</v>
      </c>
      <c r="O20" s="21" t="n">
        <f aca="false">$B20*Model!$AA$52</f>
        <v>0.0640031994420764</v>
      </c>
    </row>
    <row r="21" customFormat="false" ht="15" hidden="false" customHeight="true" outlineLevel="0" collapsed="false">
      <c r="A21" s="23" t="n">
        <v>2034</v>
      </c>
      <c r="B21" s="21" t="n">
        <f aca="false">IF($A21&lt;=Model!$B$3,Data!$B$12*Model!$D$52,0)</f>
        <v>34.4441708017868</v>
      </c>
      <c r="C21" s="21" t="n">
        <f aca="false">$B21*IF(Model!$B$5=1,Data!$D$12,Model!$AC$52)</f>
        <v>7.53069047972648</v>
      </c>
      <c r="D21" s="21" t="n">
        <f aca="false">$B21*IF(Model!$B$5=1,Data!$E$12,Model!$AD$52)</f>
        <v>10.326896227473</v>
      </c>
      <c r="E21" s="21" t="n">
        <f aca="false">$B21*IF(Model!$B$5=1,Data!$F$12,Model!$AE$52)</f>
        <v>6.65687618355568</v>
      </c>
      <c r="F21" s="21" t="n">
        <f aca="false">$B21*IF(Model!$B$5=1,Data!$G$12,Model!$AF$52)</f>
        <v>9.92970791103171</v>
      </c>
      <c r="G21" s="21" t="n">
        <f aca="false">$B21*Model!$S$52</f>
        <v>20.8537893798261</v>
      </c>
      <c r="H21" s="21" t="n">
        <f aca="false">$B21*Model!$T$52</f>
        <v>5.20729738111828</v>
      </c>
      <c r="I21" s="21" t="n">
        <f aca="false">$B21*Model!$U$52</f>
        <v>2.46933348033188</v>
      </c>
      <c r="J21" s="21" t="n">
        <f aca="false">$B21*Model!$V$52</f>
        <v>2.46933348033188</v>
      </c>
      <c r="K21" s="21" t="n">
        <f aca="false">$B21*Model!$W$52</f>
        <v>2.33546368576393</v>
      </c>
      <c r="L21" s="21" t="n">
        <f aca="false">$B21*Model!$X$52</f>
        <v>0.640031994420764</v>
      </c>
      <c r="M21" s="21" t="n">
        <f aca="false">$B21*Model!$Y$52</f>
        <v>0.367038755984153</v>
      </c>
      <c r="N21" s="21" t="n">
        <f aca="false">$B21*Model!$Z$52</f>
        <v>0.0378794445677595</v>
      </c>
      <c r="O21" s="21" t="n">
        <f aca="false">$B21*Model!$AA$52</f>
        <v>0.0640031994420764</v>
      </c>
    </row>
    <row r="22" customFormat="false" ht="15" hidden="false" customHeight="true" outlineLevel="0" collapsed="false">
      <c r="A22" s="23" t="n">
        <v>2035</v>
      </c>
      <c r="B22" s="21" t="n">
        <f aca="false">IF($A22&lt;=Model!$B$3,Data!$B$13*Model!$D$52,0)</f>
        <v>33.2843809177783</v>
      </c>
      <c r="C22" s="21" t="n">
        <f aca="false">$B22*IF(Model!$B$5=1,Data!$D$13,Model!$AC$52)</f>
        <v>7.13350216328518</v>
      </c>
      <c r="D22" s="21" t="n">
        <f aca="false">$B22*IF(Model!$B$5=1,Data!$E$13,Model!$AD$52)</f>
        <v>9.83438271508581</v>
      </c>
      <c r="E22" s="21" t="n">
        <f aca="false">$B22*IF(Model!$B$5=1,Data!$F$13,Model!$AE$52)</f>
        <v>6.3867881283756</v>
      </c>
      <c r="F22" s="21" t="n">
        <f aca="false">$B22*IF(Model!$B$5=1,Data!$G$13,Model!$AF$52)</f>
        <v>9.92970791103173</v>
      </c>
      <c r="G22" s="21" t="n">
        <f aca="false">$B22*Model!$S$52</f>
        <v>20.1516092023689</v>
      </c>
      <c r="H22" s="21" t="n">
        <f aca="false">$B22*Model!$T$52</f>
        <v>5.03195941579465</v>
      </c>
      <c r="I22" s="21" t="n">
        <f aca="false">$B22*Model!$U$52</f>
        <v>2.3861871039185</v>
      </c>
      <c r="J22" s="21" t="n">
        <f aca="false">$B22*Model!$V$52</f>
        <v>2.3861871039185</v>
      </c>
      <c r="K22" s="21" t="n">
        <f aca="false">$B22*Model!$W$52</f>
        <v>2.25682491774697</v>
      </c>
      <c r="L22" s="21" t="n">
        <f aca="false">$B22*Model!$X$52</f>
        <v>0.618481101619696</v>
      </c>
      <c r="M22" s="21" t="n">
        <f aca="false">$B22*Model!$Y$52</f>
        <v>0.354679978683948</v>
      </c>
      <c r="N22" s="21" t="n">
        <f aca="false">$B22*Model!$Z$52</f>
        <v>0.0366039835652473</v>
      </c>
      <c r="O22" s="21" t="n">
        <f aca="false">$B22*Model!$AA$52</f>
        <v>0.0618481101619696</v>
      </c>
    </row>
    <row r="23" customFormat="false" ht="15" hidden="false" customHeight="true" outlineLevel="0" collapsed="false">
      <c r="A23" s="23" t="n">
        <v>2036</v>
      </c>
      <c r="B23" s="21" t="n">
        <f aca="false">IF($A23&lt;=Model!$B$3,Data!$B$14*Model!$D$52,0)</f>
        <v>25.2135143276918</v>
      </c>
      <c r="C23" s="21" t="n">
        <f aca="false">$B23*IF(Model!$B$5=1,Data!$D$14,Model!$AC$52)</f>
        <v>6.08233494535727</v>
      </c>
      <c r="D23" s="21" t="n">
        <f aca="false">$B23*IF(Model!$B$5=1,Data!$E$14,Model!$AD$52)</f>
        <v>7.82317638533225</v>
      </c>
      <c r="E23" s="21" t="n">
        <f aca="false">$B23*IF(Model!$B$5=1,Data!$F$14,Model!$AE$52)</f>
        <v>4.71481164713765</v>
      </c>
      <c r="F23" s="21" t="n">
        <f aca="false">$B23*IF(Model!$B$5=1,Data!$G$14,Model!$AF$52)</f>
        <v>6.59319134986459</v>
      </c>
      <c r="G23" s="21" t="n">
        <f aca="false">$B23*Model!$S$52</f>
        <v>15.2652046797897</v>
      </c>
      <c r="H23" s="21" t="n">
        <f aca="false">$B23*Model!$T$52</f>
        <v>3.81179932833705</v>
      </c>
      <c r="I23" s="21" t="n">
        <f aca="false">$B23*Model!$U$52</f>
        <v>1.80757944339792</v>
      </c>
      <c r="J23" s="21" t="n">
        <f aca="false">$B23*Model!$V$52</f>
        <v>1.80757944339792</v>
      </c>
      <c r="K23" s="21" t="n">
        <f aca="false">$B23*Model!$W$52</f>
        <v>1.70958527182074</v>
      </c>
      <c r="L23" s="21" t="n">
        <f aca="false">$B23*Model!$X$52</f>
        <v>0.46851050514103</v>
      </c>
      <c r="M23" s="21" t="n">
        <f aca="false">$B23*Model!$Y$52</f>
        <v>0.26867643254006</v>
      </c>
      <c r="N23" s="21" t="n">
        <f aca="false">$B23*Model!$Z$52</f>
        <v>0.0277281727532446</v>
      </c>
      <c r="O23" s="21" t="n">
        <f aca="false">$B23*Model!$AA$52</f>
        <v>0.046851050514103</v>
      </c>
    </row>
    <row r="24" customFormat="false" ht="15" hidden="false" customHeight="true" outlineLevel="0" collapsed="false">
      <c r="A24" s="23" t="n">
        <v>2037</v>
      </c>
      <c r="B24" s="21" t="n">
        <f aca="false">IF($A24&lt;=Model!$B$3,Data!$B$15*Model!$D$52,0)</f>
        <v>25.0069764031423</v>
      </c>
      <c r="C24" s="21" t="n">
        <f aca="false">$B24*IF(Model!$B$5=1,Data!$D$15,Model!$AC$52)</f>
        <v>6.03251115563474</v>
      </c>
      <c r="D24" s="21" t="n">
        <f aca="false">$B24*IF(Model!$B$5=1,Data!$E$15,Model!$AD$52)</f>
        <v>7.75909239477818</v>
      </c>
      <c r="E24" s="21" t="n">
        <f aca="false">$B24*IF(Model!$B$5=1,Data!$F$15,Model!$AE$52)</f>
        <v>4.67619000163495</v>
      </c>
      <c r="F24" s="21" t="n">
        <f aca="false">$B24*IF(Model!$B$5=1,Data!$G$15,Model!$AF$52)</f>
        <v>6.53918285109446</v>
      </c>
      <c r="G24" s="21" t="n">
        <f aca="false">$B24*Model!$S$52</f>
        <v>15.1401588947631</v>
      </c>
      <c r="H24" s="21" t="n">
        <f aca="false">$B24*Model!$T$52</f>
        <v>3.78057475916982</v>
      </c>
      <c r="I24" s="21" t="n">
        <f aca="false">$B24*Model!$U$52</f>
        <v>1.7927725544476</v>
      </c>
      <c r="J24" s="21" t="n">
        <f aca="false">$B24*Model!$V$52</f>
        <v>1.7927725544476</v>
      </c>
      <c r="K24" s="21" t="n">
        <f aca="false">$B24*Model!$W$52</f>
        <v>1.69558110765333</v>
      </c>
      <c r="L24" s="21" t="n">
        <f aca="false">$B24*Model!$X$52</f>
        <v>0.464672674916182</v>
      </c>
      <c r="M24" s="21" t="n">
        <f aca="false">$B24*Model!$Y$52</f>
        <v>0.266475554390709</v>
      </c>
      <c r="N24" s="21" t="n">
        <f aca="false">$B24*Model!$Z$52</f>
        <v>0.0275010358623863</v>
      </c>
      <c r="O24" s="21" t="n">
        <f aca="false">$B24*Model!$AA$52</f>
        <v>0.0464672674916182</v>
      </c>
    </row>
    <row r="25" customFormat="false" ht="15" hidden="false" customHeight="true" outlineLevel="0" collapsed="false">
      <c r="A25" s="23" t="n">
        <v>2038</v>
      </c>
      <c r="B25" s="21" t="n">
        <f aca="false">IF($A25&lt;=Model!$B$3,Data!$B$16*Model!$D$52,0)</f>
        <v>24.7051132826469</v>
      </c>
      <c r="C25" s="21" t="n">
        <f aca="false">$B25*IF(Model!$B$5=1,Data!$D$16,Model!$AC$52)</f>
        <v>5.95969177065569</v>
      </c>
      <c r="D25" s="21" t="n">
        <f aca="false">$B25*IF(Model!$B$5=1,Data!$E$16,Model!$AD$52)</f>
        <v>7.66543117781453</v>
      </c>
      <c r="E25" s="21" t="n">
        <f aca="false">$B25*IF(Model!$B$5=1,Data!$F$16,Model!$AE$52)</f>
        <v>4.61974298128484</v>
      </c>
      <c r="F25" s="21" t="n">
        <f aca="false">$B25*IF(Model!$B$5=1,Data!$G$16,Model!$AF$52)</f>
        <v>6.46024735289189</v>
      </c>
      <c r="G25" s="21" t="n">
        <f aca="false">$B25*Model!$S$52</f>
        <v>14.9573996704934</v>
      </c>
      <c r="H25" s="21" t="n">
        <f aca="false">$B25*Model!$T$52</f>
        <v>3.73493885038696</v>
      </c>
      <c r="I25" s="21" t="n">
        <f aca="false">$B25*Model!$U$52</f>
        <v>1.77113171675096</v>
      </c>
      <c r="J25" s="21" t="n">
        <f aca="false">$B25*Model!$V$52</f>
        <v>1.77113171675096</v>
      </c>
      <c r="K25" s="21" t="n">
        <f aca="false">$B25*Model!$W$52</f>
        <v>1.67511348310098</v>
      </c>
      <c r="L25" s="21" t="n">
        <f aca="false">$B25*Model!$X$52</f>
        <v>0.459063538433713</v>
      </c>
      <c r="M25" s="21" t="n">
        <f aca="false">$B25*Model!$Y$52</f>
        <v>0.263258886326272</v>
      </c>
      <c r="N25" s="21" t="n">
        <f aca="false">$B25*Model!$Z$52</f>
        <v>0.0271690665603626</v>
      </c>
      <c r="O25" s="21" t="n">
        <f aca="false">$B25*Model!$AA$52</f>
        <v>0.0459063538433712</v>
      </c>
    </row>
    <row r="26" customFormat="false" ht="15" hidden="false" customHeight="true" outlineLevel="0" collapsed="false">
      <c r="A26" s="23" t="n">
        <v>2039</v>
      </c>
      <c r="B26" s="21" t="n">
        <f aca="false">IF($A26&lt;=Model!$B$3,Data!$B$17*Model!$D$52,0)</f>
        <v>24.4826878254398</v>
      </c>
      <c r="C26" s="21" t="n">
        <f aca="false">$B26*IF(Model!$B$5=1,Data!$D$17,Model!$AC$52)</f>
        <v>5.90603538172372</v>
      </c>
      <c r="D26" s="21" t="n">
        <f aca="false">$B26*IF(Model!$B$5=1,Data!$E$17,Model!$AD$52)</f>
        <v>7.5964176495255</v>
      </c>
      <c r="E26" s="21" t="n">
        <f aca="false">$B26*IF(Model!$B$5=1,Data!$F$17,Model!$AE$52)</f>
        <v>4.57815043997424</v>
      </c>
      <c r="F26" s="21" t="n">
        <f aca="false">$B26*IF(Model!$B$5=1,Data!$G$17,Model!$AF$52)</f>
        <v>6.40208435421636</v>
      </c>
      <c r="G26" s="21" t="n">
        <f aca="false">$B26*Model!$S$52</f>
        <v>14.8227349789262</v>
      </c>
      <c r="H26" s="21" t="n">
        <f aca="false">$B26*Model!$T$52</f>
        <v>3.7013123912838</v>
      </c>
      <c r="I26" s="21" t="n">
        <f aca="false">$B26*Model!$U$52</f>
        <v>1.75518583634291</v>
      </c>
      <c r="J26" s="21" t="n">
        <f aca="false">$B26*Model!$V$52</f>
        <v>1.75518583634291</v>
      </c>
      <c r="K26" s="21" t="n">
        <f aca="false">$B26*Model!$W$52</f>
        <v>1.66003207553608</v>
      </c>
      <c r="L26" s="21" t="n">
        <f aca="false">$B26*Model!$X$52</f>
        <v>0.454930490499261</v>
      </c>
      <c r="M26" s="21" t="n">
        <f aca="false">$B26*Model!$Y$52</f>
        <v>0.26088870985774</v>
      </c>
      <c r="N26" s="21" t="n">
        <f aca="false">$B26*Model!$Z$52</f>
        <v>0.0269244576009767</v>
      </c>
      <c r="O26" s="21" t="n">
        <f aca="false">$B26*Model!$AA$52</f>
        <v>0.0454930490499261</v>
      </c>
    </row>
    <row r="27" customFormat="false" ht="15" hidden="false" customHeight="true" outlineLevel="0" collapsed="false">
      <c r="A27" s="23" t="n">
        <v>2040</v>
      </c>
      <c r="B27" s="21" t="n">
        <f aca="false">IF($A27&lt;=Model!$B$3,Data!$B$18*Model!$D$52,0)</f>
        <v>24.2284873029174</v>
      </c>
      <c r="C27" s="21" t="n">
        <f aca="false">$B27*IF(Model!$B$5=1,Data!$D$18,Model!$AC$52)</f>
        <v>5.84471379437292</v>
      </c>
      <c r="D27" s="21" t="n">
        <f aca="false">$B27*IF(Model!$B$5=1,Data!$E$18,Model!$AD$52)</f>
        <v>7.51754504576666</v>
      </c>
      <c r="E27" s="21" t="n">
        <f aca="false">$B27*IF(Model!$B$5=1,Data!$F$18,Model!$AE$52)</f>
        <v>4.53061610704784</v>
      </c>
      <c r="F27" s="21" t="n">
        <f aca="false">$B27*IF(Model!$B$5=1,Data!$G$18,Model!$AF$52)</f>
        <v>6.33561235572999</v>
      </c>
      <c r="G27" s="21" t="n">
        <f aca="false">$B27*Model!$S$52</f>
        <v>14.6688324742781</v>
      </c>
      <c r="H27" s="21" t="n">
        <f aca="false">$B27*Model!$T$52</f>
        <v>3.66288215230876</v>
      </c>
      <c r="I27" s="21" t="n">
        <f aca="false">$B27*Model!$U$52</f>
        <v>1.73696197301943</v>
      </c>
      <c r="J27" s="21" t="n">
        <f aca="false">$B27*Model!$V$52</f>
        <v>1.73696197301943</v>
      </c>
      <c r="K27" s="21" t="n">
        <f aca="false">$B27*Model!$W$52</f>
        <v>1.6427961811762</v>
      </c>
      <c r="L27" s="21" t="n">
        <f aca="false">$B27*Model!$X$52</f>
        <v>0.450207007145602</v>
      </c>
      <c r="M27" s="21" t="n">
        <f aca="false">$B27*Model!$Y$52</f>
        <v>0.258179936750845</v>
      </c>
      <c r="N27" s="21" t="n">
        <f aca="false">$B27*Model!$Z$52</f>
        <v>0.0266449045045356</v>
      </c>
      <c r="O27" s="21" t="n">
        <f aca="false">$B27*Model!$AA$52</f>
        <v>0.0450207007145602</v>
      </c>
    </row>
    <row r="28" customFormat="false" ht="15" hidden="false" customHeight="true" outlineLevel="0" collapsed="false">
      <c r="A28" s="24" t="s">
        <v>118</v>
      </c>
      <c r="B28" s="25" t="n">
        <f aca="false">SUM(B13:B27)</f>
        <v>633.34060186459</v>
      </c>
      <c r="C28" s="25" t="n">
        <f aca="false">SUM(C13:C27)</f>
        <v>152.782216741862</v>
      </c>
      <c r="D28" s="25" t="n">
        <f aca="false">SUM(D13:D27)</f>
        <v>196.510832581284</v>
      </c>
      <c r="E28" s="25" t="n">
        <f aca="false">SUM(E13:E27)</f>
        <v>118.431871911382</v>
      </c>
      <c r="F28" s="25" t="n">
        <f aca="false">SUM(F13:F27)</f>
        <v>165.615680630062</v>
      </c>
      <c r="G28" s="25" t="n">
        <f aca="false">SUM(G13:G27)</f>
        <v>383.448090330899</v>
      </c>
      <c r="H28" s="25" t="n">
        <f aca="false">SUM(H13:H27)</f>
        <v>95.7489404063188</v>
      </c>
      <c r="I28" s="25" t="n">
        <f aca="false">SUM(I13:I27)</f>
        <v>45.4047554704568</v>
      </c>
      <c r="J28" s="25" t="n">
        <f aca="false">SUM(J13:J27)</f>
        <v>45.4047554704568</v>
      </c>
      <c r="K28" s="25" t="n">
        <f aca="false">SUM(K13:K27)</f>
        <v>42.9432307976445</v>
      </c>
      <c r="L28" s="25" t="n">
        <f aca="false">SUM(L13:L27)</f>
        <v>11.7685587756408</v>
      </c>
      <c r="M28" s="25" t="n">
        <f aca="false">SUM(M13:M27)</f>
        <v>6.74890819582669</v>
      </c>
      <c r="N28" s="25" t="n">
        <f aca="false">SUM(N13:N27)</f>
        <v>0.696506539782825</v>
      </c>
      <c r="O28" s="25" t="n">
        <f aca="false">SUM(O13:O27)</f>
        <v>1.17685587756408</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0.186995546413275</v>
      </c>
      <c r="F29" s="26" t="n">
        <f aca="false">IF($B$28&gt;0,F28/$B$28,0)</f>
        <v>0.261495442014109</v>
      </c>
      <c r="G29" s="26" t="n">
        <f aca="false">IF($B$28&gt;0,G28/$B$28,0)</f>
        <v>0.605437404773997</v>
      </c>
      <c r="H29" s="26" t="n">
        <f aca="false">IF($B$28&gt;0,H28/$B$28,0)</f>
        <v>0.151180802437786</v>
      </c>
      <c r="I29" s="26" t="n">
        <f aca="false">IF($B$28&gt;0,I28/$B$28,0)</f>
        <v>0.0716908963941087</v>
      </c>
      <c r="J29" s="26" t="n">
        <f aca="false">IF($B$28&gt;0,J28/$B$28,0)</f>
        <v>0.0716908963941087</v>
      </c>
      <c r="K29" s="26" t="n">
        <f aca="false">IF($B$28&gt;0,K28/$B$28,0)</f>
        <v>0.0678043230944255</v>
      </c>
      <c r="L29" s="26" t="n">
        <f aca="false">IF($B$28&gt;0,L28/$B$28,0)</f>
        <v>0.018581721653394</v>
      </c>
      <c r="M29" s="26" t="n">
        <f aca="false">IF($B$28&gt;0,M28/$B$28,0)</f>
        <v>0.0106560485400076</v>
      </c>
      <c r="N29" s="26" t="n">
        <f aca="false">IF($B$28&gt;0,N28/$B$28,0)</f>
        <v>0.00109973454683352</v>
      </c>
      <c r="O29" s="26" t="n">
        <f aca="false">IF($B$28&gt;0,O28/$B$28,0)</f>
        <v>0.0018581721653394</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Data!$H$29*Data!$M$29/SUM(Data!$H$29:$K$29)</f>
        <v>76.9401459854015</v>
      </c>
      <c r="C34" s="22" t="n">
        <f aca="false">IF($B$38&gt;0,B34/$B$38,0)</f>
        <v>0.0788321167883212</v>
      </c>
      <c r="D34" s="21" t="n">
        <f aca="false">C28</f>
        <v>152.782216741862</v>
      </c>
      <c r="E34" s="22" t="n">
        <f aca="false">IF($D$38&gt;0,D34/$D$38,0)</f>
        <v>0.241232310532536</v>
      </c>
      <c r="F34" s="21" t="n">
        <f aca="false">B34+D34</f>
        <v>229.722362727263</v>
      </c>
      <c r="G34" s="22" t="n">
        <f aca="false">IF($F$38&gt;0,F34/$F$38,0)</f>
        <v>0.142743159814091</v>
      </c>
    </row>
    <row r="35" customFormat="false" ht="15" hidden="false" customHeight="true" outlineLevel="0" collapsed="false">
      <c r="A35" s="13" t="s">
        <v>106</v>
      </c>
      <c r="B35" s="21" t="n">
        <f aca="false">Data!$I$29*Data!$M$29/SUM(Data!$H$29:$K$29)</f>
        <v>504.385401459854</v>
      </c>
      <c r="C35" s="22" t="n">
        <f aca="false">IF($B$38&gt;0,B35/$B$38,0)</f>
        <v>0.516788321167883</v>
      </c>
      <c r="D35" s="21" t="n">
        <f aca="false">D28</f>
        <v>196.510832581284</v>
      </c>
      <c r="E35" s="22" t="n">
        <f aca="false">IF($D$38&gt;0,D35/$D$38,0)</f>
        <v>0.310276701040081</v>
      </c>
      <c r="F35" s="21" t="n">
        <f aca="false">B35+D35</f>
        <v>700.896234041138</v>
      </c>
      <c r="G35" s="22" t="n">
        <f aca="false">IF($F$38&gt;0,F35/$F$38,0)</f>
        <v>0.435517648177817</v>
      </c>
    </row>
    <row r="36" customFormat="false" ht="15" hidden="false" customHeight="true" outlineLevel="0" collapsed="false">
      <c r="A36" s="13" t="s">
        <v>107</v>
      </c>
      <c r="B36" s="21" t="n">
        <f aca="false">Data!$J$29*Data!$M$29/SUM(Data!$H$29:$K$29)</f>
        <v>331.982481751825</v>
      </c>
      <c r="C36" s="22" t="n">
        <f aca="false">IF($B$38&gt;0,B36/$B$38,0)</f>
        <v>0.34014598540146</v>
      </c>
      <c r="D36" s="21" t="n">
        <f aca="false">E28</f>
        <v>118.431871911382</v>
      </c>
      <c r="E36" s="22" t="n">
        <f aca="false">IF($D$38&gt;0,D36/$D$38,0)</f>
        <v>0.186995546413275</v>
      </c>
      <c r="F36" s="21" t="n">
        <f aca="false">B36+D36</f>
        <v>450.414353663207</v>
      </c>
      <c r="G36" s="22" t="n">
        <f aca="false">IF($F$38&gt;0,F36/$F$38,0)</f>
        <v>0.279875094893744</v>
      </c>
    </row>
    <row r="37" customFormat="false" ht="15" hidden="false" customHeight="true" outlineLevel="0" collapsed="false">
      <c r="A37" s="13" t="s">
        <v>108</v>
      </c>
      <c r="B37" s="21" t="n">
        <f aca="false">Data!$K$29*Data!$M$29/SUM(Data!$H$29:$K$29)</f>
        <v>62.6919708029197</v>
      </c>
      <c r="C37" s="22" t="n">
        <f aca="false">IF($B$38&gt;0,B37/$B$38,0)</f>
        <v>0.0642335766423358</v>
      </c>
      <c r="D37" s="21" t="n">
        <f aca="false">F28</f>
        <v>165.615680630062</v>
      </c>
      <c r="E37" s="22" t="n">
        <f aca="false">IF($D$38&gt;0,D37/$D$38,0)</f>
        <v>0.261495442014109</v>
      </c>
      <c r="F37" s="21" t="n">
        <f aca="false">B37+D37</f>
        <v>228.307651432982</v>
      </c>
      <c r="G37" s="22" t="n">
        <f aca="false">IF($F$38&gt;0,F37/$F$38,0)</f>
        <v>0.141864097114348</v>
      </c>
    </row>
    <row r="38" customFormat="false" ht="15" hidden="false" customHeight="true" outlineLevel="0" collapsed="false">
      <c r="A38" s="24" t="s">
        <v>61</v>
      </c>
      <c r="B38" s="25" t="n">
        <f aca="false">SUM(B34:B37)</f>
        <v>976</v>
      </c>
      <c r="C38" s="27" t="n">
        <f aca="false">SUM(C34:C37)</f>
        <v>1</v>
      </c>
      <c r="D38" s="25" t="n">
        <f aca="false">SUM(D34:D37)</f>
        <v>633.34060186459</v>
      </c>
      <c r="E38" s="27" t="n">
        <f aca="false">SUM(E34:E37)</f>
        <v>1</v>
      </c>
      <c r="F38" s="25" t="n">
        <f aca="false">SUM(F34:F37)</f>
        <v>1609.34060186459</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6CDA9"/>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168</v>
      </c>
    </row>
    <row r="2" customFormat="false" ht="15" hidden="false" customHeight="true" outlineLevel="0" collapsed="false">
      <c r="A2" s="3" t="str">
        <f aca="false">Model!$B$53&amp;" · new homes per year, 2026–"&amp;Model!$B$3&amp;" · set by the levers on the Intro tab"</f>
        <v>City neighbourhood · new homes per year, 2026–2040 · set by the levers on the Intro tab</v>
      </c>
    </row>
    <row r="4" customFormat="false" ht="15" hidden="false" customHeight="true" outlineLevel="0" collapsed="false">
      <c r="A4" s="13" t="s">
        <v>332</v>
      </c>
      <c r="C4" s="67" t="n">
        <f aca="false">Model!$D$53</f>
        <v>0.0789515936702314</v>
      </c>
    </row>
    <row r="5" customFormat="false" ht="15" hidden="false" customHeight="true" outlineLevel="0" collapsed="false">
      <c r="A5" s="13" t="s">
        <v>53</v>
      </c>
      <c r="C5" s="14" t="n">
        <f aca="false">Model!$E$53</f>
        <v>3147.3263300701</v>
      </c>
    </row>
    <row r="6" customFormat="false" ht="15" hidden="false" customHeight="true" outlineLevel="0" collapsed="false">
      <c r="A6" s="13" t="s">
        <v>99</v>
      </c>
      <c r="C6" s="15" t="n">
        <f aca="false">Model!$Q$53</f>
        <v>0.276027861874792</v>
      </c>
    </row>
    <row r="7" customFormat="false" ht="15" hidden="false" customHeight="true" outlineLevel="0" collapsed="false">
      <c r="A7" s="13" t="s">
        <v>100</v>
      </c>
      <c r="C7" s="15" t="n">
        <f aca="false">Model!$G$53</f>
        <v>0.13674</v>
      </c>
    </row>
    <row r="8" customFormat="false" ht="15" hidden="false" customHeight="true" outlineLevel="0" collapsed="false">
      <c r="A8" s="13" t="s">
        <v>101</v>
      </c>
      <c r="C8" s="15" t="n">
        <f aca="false">Model!$R$53</f>
        <v>0.196446465693621</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IF($A13&lt;=Model!$B$3,Data!$B$4*Model!$D$53,0)</f>
        <v>336.570643816196</v>
      </c>
      <c r="C13" s="21" t="n">
        <f aca="false">$B13*IF(Model!$B$5=1,Data!$D$4,Model!$AC$53)</f>
        <v>87.0631848333173</v>
      </c>
      <c r="D13" s="21" t="n">
        <f aca="false">$B13*IF(Model!$B$5=1,Data!$E$4,Model!$AD$53)</f>
        <v>106.559655054377</v>
      </c>
      <c r="E13" s="21" t="n">
        <f aca="false">$B13*IF(Model!$B$5=1,Data!$F$4,Model!$AE$53)</f>
        <v>62.2781983984473</v>
      </c>
      <c r="F13" s="21" t="n">
        <f aca="false">$B13*IF(Model!$B$5=1,Data!$G$4,Model!$AF$53)</f>
        <v>80.6696055300544</v>
      </c>
      <c r="G13" s="21" t="n">
        <f aca="false">$B13*Model!$S$53</f>
        <v>163.917312743014</v>
      </c>
      <c r="H13" s="21" t="n">
        <f aca="false">$B13*Model!$T$53</f>
        <v>40.9309875447566</v>
      </c>
      <c r="I13" s="21" t="n">
        <f aca="false">$B13*Model!$U$53</f>
        <v>19.4097341730096</v>
      </c>
      <c r="J13" s="21" t="n">
        <f aca="false">$B13*Model!$V$53</f>
        <v>19.4097341730096</v>
      </c>
      <c r="K13" s="21" t="n">
        <f aca="false">$B13*Model!$W$53</f>
        <v>62.9921656526901</v>
      </c>
      <c r="L13" s="21" t="n">
        <f aca="false">$B13*Model!$X$53</f>
        <v>17.2629536743949</v>
      </c>
      <c r="M13" s="21" t="n">
        <f aca="false">$B13*Model!$Y$53</f>
        <v>9.89977547449995</v>
      </c>
      <c r="N13" s="21" t="n">
        <f aca="false">$B13*Model!$Z$53</f>
        <v>1.02168501338256</v>
      </c>
      <c r="O13" s="21" t="n">
        <f aca="false">$B13*Model!$AA$53</f>
        <v>1.72629536743949</v>
      </c>
    </row>
    <row r="14" customFormat="false" ht="15" hidden="false" customHeight="true" outlineLevel="0" collapsed="false">
      <c r="A14" s="23" t="n">
        <v>2027</v>
      </c>
      <c r="B14" s="21" t="n">
        <f aca="false">IF($A14&lt;=Model!$B$3,Data!$B$5*Model!$D$53,0)</f>
        <v>336.570643816196</v>
      </c>
      <c r="C14" s="21" t="n">
        <f aca="false">$B14*IF(Model!$B$5=1,Data!$D$5,Model!$AC$53)</f>
        <v>84.6162594209574</v>
      </c>
      <c r="D14" s="21" t="n">
        <f aca="false">$B14*IF(Model!$B$5=1,Data!$E$5,Model!$AD$53)</f>
        <v>106.875387365649</v>
      </c>
      <c r="E14" s="21" t="n">
        <f aca="false">$B14*IF(Model!$B$5=1,Data!$F$5,Model!$AE$53)</f>
        <v>62.1203322428112</v>
      </c>
      <c r="F14" s="21" t="n">
        <f aca="false">$B14*IF(Model!$B$5=1,Data!$G$5,Model!$AF$53)</f>
        <v>82.9586647867782</v>
      </c>
      <c r="G14" s="21" t="n">
        <f aca="false">$B14*Model!$S$53</f>
        <v>163.917312743014</v>
      </c>
      <c r="H14" s="21" t="n">
        <f aca="false">$B14*Model!$T$53</f>
        <v>40.9309875447566</v>
      </c>
      <c r="I14" s="21" t="n">
        <f aca="false">$B14*Model!$U$53</f>
        <v>19.4097341730096</v>
      </c>
      <c r="J14" s="21" t="n">
        <f aca="false">$B14*Model!$V$53</f>
        <v>19.4097341730096</v>
      </c>
      <c r="K14" s="21" t="n">
        <f aca="false">$B14*Model!$W$53</f>
        <v>62.9921656526901</v>
      </c>
      <c r="L14" s="21" t="n">
        <f aca="false">$B14*Model!$X$53</f>
        <v>17.2629536743949</v>
      </c>
      <c r="M14" s="21" t="n">
        <f aca="false">$B14*Model!$Y$53</f>
        <v>9.89977547449995</v>
      </c>
      <c r="N14" s="21" t="n">
        <f aca="false">$B14*Model!$Z$53</f>
        <v>1.02168501338256</v>
      </c>
      <c r="O14" s="21" t="n">
        <f aca="false">$B14*Model!$AA$53</f>
        <v>1.72629536743949</v>
      </c>
    </row>
    <row r="15" customFormat="false" ht="15" hidden="false" customHeight="true" outlineLevel="0" collapsed="false">
      <c r="A15" s="23" t="n">
        <v>2028</v>
      </c>
      <c r="B15" s="21" t="n">
        <f aca="false">IF($A15&lt;=Model!$B$3,Data!$B$6*Model!$D$53,0)</f>
        <v>336.570643816196</v>
      </c>
      <c r="C15" s="21" t="n">
        <f aca="false">$B15*IF(Model!$B$5=1,Data!$D$6,Model!$AC$53)</f>
        <v>84.3400862495772</v>
      </c>
      <c r="D15" s="21" t="n">
        <f aca="false">$B15*IF(Model!$B$5=1,Data!$E$6,Model!$AD$53)</f>
        <v>106.925540057984</v>
      </c>
      <c r="E15" s="21" t="n">
        <f aca="false">$B15*IF(Model!$B$5=1,Data!$F$6,Model!$AE$53)</f>
        <v>62.1494830322258</v>
      </c>
      <c r="F15" s="21" t="n">
        <f aca="false">$B15*IF(Model!$B$5=1,Data!$G$6,Model!$AF$53)</f>
        <v>83.1555344764088</v>
      </c>
      <c r="G15" s="21" t="n">
        <f aca="false">$B15*Model!$S$53</f>
        <v>163.917312743014</v>
      </c>
      <c r="H15" s="21" t="n">
        <f aca="false">$B15*Model!$T$53</f>
        <v>40.9309875447566</v>
      </c>
      <c r="I15" s="21" t="n">
        <f aca="false">$B15*Model!$U$53</f>
        <v>19.4097341730096</v>
      </c>
      <c r="J15" s="21" t="n">
        <f aca="false">$B15*Model!$V$53</f>
        <v>19.4097341730096</v>
      </c>
      <c r="K15" s="21" t="n">
        <f aca="false">$B15*Model!$W$53</f>
        <v>62.9921656526901</v>
      </c>
      <c r="L15" s="21" t="n">
        <f aca="false">$B15*Model!$X$53</f>
        <v>17.2629536743949</v>
      </c>
      <c r="M15" s="21" t="n">
        <f aca="false">$B15*Model!$Y$53</f>
        <v>9.89977547449995</v>
      </c>
      <c r="N15" s="21" t="n">
        <f aca="false">$B15*Model!$Z$53</f>
        <v>1.02168501338256</v>
      </c>
      <c r="O15" s="21" t="n">
        <f aca="false">$B15*Model!$AA$53</f>
        <v>1.72629536743949</v>
      </c>
    </row>
    <row r="16" customFormat="false" ht="15" hidden="false" customHeight="true" outlineLevel="0" collapsed="false">
      <c r="A16" s="23" t="n">
        <v>2029</v>
      </c>
      <c r="B16" s="21" t="n">
        <f aca="false">IF($A16&lt;=Model!$B$3,Data!$B$7*Model!$D$53,0)</f>
        <v>336.570643816196</v>
      </c>
      <c r="C16" s="21" t="n">
        <f aca="false">$B16*IF(Model!$B$5=1,Data!$D$7,Model!$AC$53)</f>
        <v>83.4518345094347</v>
      </c>
      <c r="D16" s="21" t="n">
        <f aca="false">$B16*IF(Model!$B$5=1,Data!$E$7,Model!$AD$53)</f>
        <v>106.347796673802</v>
      </c>
      <c r="E16" s="21" t="n">
        <f aca="false">$B16*IF(Model!$B$5=1,Data!$F$7,Model!$AE$53)</f>
        <v>61.740146250121</v>
      </c>
      <c r="F16" s="21" t="n">
        <f aca="false">$B16*IF(Model!$B$5=1,Data!$G$7,Model!$AF$53)</f>
        <v>85.030866382839</v>
      </c>
      <c r="G16" s="21" t="n">
        <f aca="false">$B16*Model!$S$53</f>
        <v>163.917312743014</v>
      </c>
      <c r="H16" s="21" t="n">
        <f aca="false">$B16*Model!$T$53</f>
        <v>40.9309875447566</v>
      </c>
      <c r="I16" s="21" t="n">
        <f aca="false">$B16*Model!$U$53</f>
        <v>19.4097341730096</v>
      </c>
      <c r="J16" s="21" t="n">
        <f aca="false">$B16*Model!$V$53</f>
        <v>19.4097341730096</v>
      </c>
      <c r="K16" s="21" t="n">
        <f aca="false">$B16*Model!$W$53</f>
        <v>62.9921656526901</v>
      </c>
      <c r="L16" s="21" t="n">
        <f aca="false">$B16*Model!$X$53</f>
        <v>17.2629536743949</v>
      </c>
      <c r="M16" s="21" t="n">
        <f aca="false">$B16*Model!$Y$53</f>
        <v>9.89977547449995</v>
      </c>
      <c r="N16" s="21" t="n">
        <f aca="false">$B16*Model!$Z$53</f>
        <v>1.02168501338256</v>
      </c>
      <c r="O16" s="21" t="n">
        <f aca="false">$B16*Model!$AA$53</f>
        <v>1.72629536743949</v>
      </c>
    </row>
    <row r="17" customFormat="false" ht="15" hidden="false" customHeight="true" outlineLevel="0" collapsed="false">
      <c r="A17" s="23" t="n">
        <v>2030</v>
      </c>
      <c r="B17" s="21" t="n">
        <f aca="false">IF($A17&lt;=Model!$B$3,Data!$B$8*Model!$D$53,0)</f>
        <v>336.570643816196</v>
      </c>
      <c r="C17" s="21" t="n">
        <f aca="false">$B17*IF(Model!$B$5=1,Data!$D$8,Model!$AC$53)</f>
        <v>83.3134747128312</v>
      </c>
      <c r="D17" s="21" t="n">
        <f aca="false">$B17*IF(Model!$B$5=1,Data!$E$8,Model!$AD$53)</f>
        <v>104.793346866282</v>
      </c>
      <c r="E17" s="21" t="n">
        <f aca="false">$B17*IF(Model!$B$5=1,Data!$F$8,Model!$AE$53)</f>
        <v>61.833602559381</v>
      </c>
      <c r="F17" s="21" t="n">
        <f aca="false">$B17*IF(Model!$B$5=1,Data!$G$8,Model!$AF$53)</f>
        <v>86.6302196777023</v>
      </c>
      <c r="G17" s="21" t="n">
        <f aca="false">$B17*Model!$S$53</f>
        <v>163.917312743014</v>
      </c>
      <c r="H17" s="21" t="n">
        <f aca="false">$B17*Model!$T$53</f>
        <v>40.9309875447566</v>
      </c>
      <c r="I17" s="21" t="n">
        <f aca="false">$B17*Model!$U$53</f>
        <v>19.4097341730096</v>
      </c>
      <c r="J17" s="21" t="n">
        <f aca="false">$B17*Model!$V$53</f>
        <v>19.4097341730096</v>
      </c>
      <c r="K17" s="21" t="n">
        <f aca="false">$B17*Model!$W$53</f>
        <v>62.9921656526901</v>
      </c>
      <c r="L17" s="21" t="n">
        <f aca="false">$B17*Model!$X$53</f>
        <v>17.2629536743949</v>
      </c>
      <c r="M17" s="21" t="n">
        <f aca="false">$B17*Model!$Y$53</f>
        <v>9.89977547449995</v>
      </c>
      <c r="N17" s="21" t="n">
        <f aca="false">$B17*Model!$Z$53</f>
        <v>1.02168501338256</v>
      </c>
      <c r="O17" s="21" t="n">
        <f aca="false">$B17*Model!$AA$53</f>
        <v>1.72629536743949</v>
      </c>
    </row>
    <row r="18" customFormat="false" ht="15" hidden="false" customHeight="true" outlineLevel="0" collapsed="false">
      <c r="A18" s="23" t="n">
        <v>2031</v>
      </c>
      <c r="B18" s="21" t="n">
        <f aca="false">IF($A18&lt;=Model!$B$3,Data!$B$9*Model!$D$53,0)</f>
        <v>171.167055077062</v>
      </c>
      <c r="C18" s="21" t="n">
        <f aca="false">$B18*IF(Model!$B$5=1,Data!$D$9,Model!$AC$53)</f>
        <v>39.5547484287859</v>
      </c>
      <c r="D18" s="21" t="n">
        <f aca="false">$B18*IF(Model!$B$5=1,Data!$E$9,Model!$AD$53)</f>
        <v>52.0291002286825</v>
      </c>
      <c r="E18" s="21" t="n">
        <f aca="false">$B18*IF(Model!$B$5=1,Data!$F$9,Model!$AE$53)</f>
        <v>32.5280565921354</v>
      </c>
      <c r="F18" s="21" t="n">
        <f aca="false">$B18*IF(Model!$B$5=1,Data!$G$9,Model!$AF$53)</f>
        <v>47.0551498274579</v>
      </c>
      <c r="G18" s="21" t="n">
        <f aca="false">$B18*Model!$S$53</f>
        <v>83.3621238627383</v>
      </c>
      <c r="H18" s="21" t="n">
        <f aca="false">$B18*Model!$T$53</f>
        <v>20.8159467504181</v>
      </c>
      <c r="I18" s="21" t="n">
        <f aca="false">$B18*Model!$U$53</f>
        <v>9.87105411378954</v>
      </c>
      <c r="J18" s="21" t="n">
        <f aca="false">$B18*Model!$V$53</f>
        <v>9.87105411378954</v>
      </c>
      <c r="K18" s="21" t="n">
        <f aca="false">$B18*Model!$W$53</f>
        <v>32.0354246153019</v>
      </c>
      <c r="L18" s="21" t="n">
        <f aca="false">$B18*Model!$X$53</f>
        <v>8.77928303215768</v>
      </c>
      <c r="M18" s="21" t="n">
        <f aca="false">$B18*Model!$Y$53</f>
        <v>5.03465006538022</v>
      </c>
      <c r="N18" s="21" t="n">
        <f aca="false">$B18*Model!$Z$53</f>
        <v>0.519590220270557</v>
      </c>
      <c r="O18" s="21" t="n">
        <f aca="false">$B18*Model!$AA$53</f>
        <v>0.877928303215769</v>
      </c>
    </row>
    <row r="19" customFormat="false" ht="15" hidden="false" customHeight="true" outlineLevel="0" collapsed="false">
      <c r="A19" s="23" t="n">
        <v>2032</v>
      </c>
      <c r="B19" s="21" t="n">
        <f aca="false">IF($A19&lt;=Model!$B$3,Data!$B$10*Model!$D$53,0)</f>
        <v>171.167055077062</v>
      </c>
      <c r="C19" s="21" t="n">
        <f aca="false">$B19*IF(Model!$B$5=1,Data!$D$10,Model!$AC$53)</f>
        <v>38.0546681490516</v>
      </c>
      <c r="D19" s="21" t="n">
        <f aca="false">$B19*IF(Model!$B$5=1,Data!$E$10,Model!$AD$53)</f>
        <v>51.0027295109695</v>
      </c>
      <c r="E19" s="21" t="n">
        <f aca="false">$B19*IF(Model!$B$5=1,Data!$F$10,Model!$AE$53)</f>
        <v>33.080717747827</v>
      </c>
      <c r="F19" s="21" t="n">
        <f aca="false">$B19*IF(Model!$B$5=1,Data!$G$10,Model!$AF$53)</f>
        <v>49.0289396692137</v>
      </c>
      <c r="G19" s="21" t="n">
        <f aca="false">$B19*Model!$S$53</f>
        <v>83.3621238627383</v>
      </c>
      <c r="H19" s="21" t="n">
        <f aca="false">$B19*Model!$T$53</f>
        <v>20.8159467504181</v>
      </c>
      <c r="I19" s="21" t="n">
        <f aca="false">$B19*Model!$U$53</f>
        <v>9.87105411378954</v>
      </c>
      <c r="J19" s="21" t="n">
        <f aca="false">$B19*Model!$V$53</f>
        <v>9.87105411378954</v>
      </c>
      <c r="K19" s="21" t="n">
        <f aca="false">$B19*Model!$W$53</f>
        <v>32.0354246153019</v>
      </c>
      <c r="L19" s="21" t="n">
        <f aca="false">$B19*Model!$X$53</f>
        <v>8.77928303215768</v>
      </c>
      <c r="M19" s="21" t="n">
        <f aca="false">$B19*Model!$Y$53</f>
        <v>5.03465006538022</v>
      </c>
      <c r="N19" s="21" t="n">
        <f aca="false">$B19*Model!$Z$53</f>
        <v>0.519590220270557</v>
      </c>
      <c r="O19" s="21" t="n">
        <f aca="false">$B19*Model!$AA$53</f>
        <v>0.877928303215769</v>
      </c>
    </row>
    <row r="20" customFormat="false" ht="15" hidden="false" customHeight="true" outlineLevel="0" collapsed="false">
      <c r="A20" s="23" t="n">
        <v>2033</v>
      </c>
      <c r="B20" s="21" t="n">
        <f aca="false">IF($A20&lt;=Model!$B$3,Data!$B$11*Model!$D$53,0)</f>
        <v>171.167055077062</v>
      </c>
      <c r="C20" s="21" t="n">
        <f aca="false">$B20*IF(Model!$B$5=1,Data!$D$11,Model!$AC$53)</f>
        <v>37.7562770313039</v>
      </c>
      <c r="D20" s="21" t="n">
        <f aca="false">$B20*IF(Model!$B$5=1,Data!$E$11,Model!$AD$53)</f>
        <v>51.1842416658679</v>
      </c>
      <c r="E20" s="21" t="n">
        <f aca="false">$B20*IF(Model!$B$5=1,Data!$F$11,Model!$AE$53)</f>
        <v>33.0959834228375</v>
      </c>
      <c r="F20" s="21" t="n">
        <f aca="false">$B20*IF(Model!$B$5=1,Data!$G$11,Model!$AF$53)</f>
        <v>49.1305529570524</v>
      </c>
      <c r="G20" s="21" t="n">
        <f aca="false">$B20*Model!$S$53</f>
        <v>83.3621238627383</v>
      </c>
      <c r="H20" s="21" t="n">
        <f aca="false">$B20*Model!$T$53</f>
        <v>20.8159467504181</v>
      </c>
      <c r="I20" s="21" t="n">
        <f aca="false">$B20*Model!$U$53</f>
        <v>9.87105411378954</v>
      </c>
      <c r="J20" s="21" t="n">
        <f aca="false">$B20*Model!$V$53</f>
        <v>9.87105411378954</v>
      </c>
      <c r="K20" s="21" t="n">
        <f aca="false">$B20*Model!$W$53</f>
        <v>32.0354246153019</v>
      </c>
      <c r="L20" s="21" t="n">
        <f aca="false">$B20*Model!$X$53</f>
        <v>8.77928303215768</v>
      </c>
      <c r="M20" s="21" t="n">
        <f aca="false">$B20*Model!$Y$53</f>
        <v>5.03465006538022</v>
      </c>
      <c r="N20" s="21" t="n">
        <f aca="false">$B20*Model!$Z$53</f>
        <v>0.519590220270557</v>
      </c>
      <c r="O20" s="21" t="n">
        <f aca="false">$B20*Model!$AA$53</f>
        <v>0.877928303215769</v>
      </c>
    </row>
    <row r="21" customFormat="false" ht="15" hidden="false" customHeight="true" outlineLevel="0" collapsed="false">
      <c r="A21" s="23" t="n">
        <v>2034</v>
      </c>
      <c r="B21" s="21" t="n">
        <f aca="false">IF($A21&lt;=Model!$B$3,Data!$B$12*Model!$D$53,0)</f>
        <v>171.167055077062</v>
      </c>
      <c r="C21" s="21" t="n">
        <f aca="false">$B21*IF(Model!$B$5=1,Data!$D$12,Model!$AC$53)</f>
        <v>37.4230553996898</v>
      </c>
      <c r="D21" s="21" t="n">
        <f aca="false">$B21*IF(Model!$B$5=1,Data!$E$12,Model!$AD$53)</f>
        <v>51.3185358856505</v>
      </c>
      <c r="E21" s="21" t="n">
        <f aca="false">$B21*IF(Model!$B$5=1,Data!$F$12,Model!$AE$53)</f>
        <v>33.080717747827</v>
      </c>
      <c r="F21" s="21" t="n">
        <f aca="false">$B21*IF(Model!$B$5=1,Data!$G$12,Model!$AF$53)</f>
        <v>49.3447460438945</v>
      </c>
      <c r="G21" s="21" t="n">
        <f aca="false">$B21*Model!$S$53</f>
        <v>83.3621238627383</v>
      </c>
      <c r="H21" s="21" t="n">
        <f aca="false">$B21*Model!$T$53</f>
        <v>20.8159467504181</v>
      </c>
      <c r="I21" s="21" t="n">
        <f aca="false">$B21*Model!$U$53</f>
        <v>9.87105411378954</v>
      </c>
      <c r="J21" s="21" t="n">
        <f aca="false">$B21*Model!$V$53</f>
        <v>9.87105411378954</v>
      </c>
      <c r="K21" s="21" t="n">
        <f aca="false">$B21*Model!$W$53</f>
        <v>32.0354246153019</v>
      </c>
      <c r="L21" s="21" t="n">
        <f aca="false">$B21*Model!$X$53</f>
        <v>8.77928303215768</v>
      </c>
      <c r="M21" s="21" t="n">
        <f aca="false">$B21*Model!$Y$53</f>
        <v>5.03465006538022</v>
      </c>
      <c r="N21" s="21" t="n">
        <f aca="false">$B21*Model!$Z$53</f>
        <v>0.519590220270557</v>
      </c>
      <c r="O21" s="21" t="n">
        <f aca="false">$B21*Model!$AA$53</f>
        <v>0.877928303215769</v>
      </c>
    </row>
    <row r="22" customFormat="false" ht="15" hidden="false" customHeight="true" outlineLevel="0" collapsed="false">
      <c r="A22" s="23" t="n">
        <v>2035</v>
      </c>
      <c r="B22" s="21" t="n">
        <f aca="false">IF($A22&lt;=Model!$B$3,Data!$B$13*Model!$D$53,0)</f>
        <v>165.403588739135</v>
      </c>
      <c r="C22" s="21" t="n">
        <f aca="false">$B22*IF(Model!$B$5=1,Data!$D$13,Model!$AC$53)</f>
        <v>35.4492655579338</v>
      </c>
      <c r="D22" s="21" t="n">
        <f aca="false">$B22*IF(Model!$B$5=1,Data!$E$13,Model!$AD$53)</f>
        <v>48.8710364818732</v>
      </c>
      <c r="E22" s="21" t="n">
        <f aca="false">$B22*IF(Model!$B$5=1,Data!$F$13,Model!$AE$53)</f>
        <v>31.738540655433</v>
      </c>
      <c r="F22" s="21" t="n">
        <f aca="false">$B22*IF(Model!$B$5=1,Data!$G$13,Model!$AF$53)</f>
        <v>49.3447460438946</v>
      </c>
      <c r="G22" s="21" t="n">
        <f aca="false">$B22*Model!$S$53</f>
        <v>80.5551888802752</v>
      </c>
      <c r="H22" s="21" t="n">
        <f aca="false">$B22*Model!$T$53</f>
        <v>20.1150407943385</v>
      </c>
      <c r="I22" s="21" t="n">
        <f aca="false">$B22*Model!$U$53</f>
        <v>9.53868005922006</v>
      </c>
      <c r="J22" s="21" t="n">
        <f aca="false">$B22*Model!$V$53</f>
        <v>9.53868005922006</v>
      </c>
      <c r="K22" s="21" t="n">
        <f aca="false">$B22*Model!$W$53</f>
        <v>30.9567410373882</v>
      </c>
      <c r="L22" s="21" t="n">
        <f aca="false">$B22*Model!$X$53</f>
        <v>8.48367064223725</v>
      </c>
      <c r="M22" s="21" t="n">
        <f aca="false">$B22*Model!$Y$53</f>
        <v>4.86512540911973</v>
      </c>
      <c r="N22" s="21" t="n">
        <f aca="false">$B22*Model!$Z$53</f>
        <v>0.502094793112</v>
      </c>
      <c r="O22" s="21" t="n">
        <f aca="false">$B22*Model!$AA$53</f>
        <v>0.848367064223725</v>
      </c>
    </row>
    <row r="23" customFormat="false" ht="15" hidden="false" customHeight="true" outlineLevel="0" collapsed="false">
      <c r="A23" s="23" t="n">
        <v>2036</v>
      </c>
      <c r="B23" s="21" t="n">
        <f aca="false">IF($A23&lt;=Model!$B$3,Data!$B$14*Model!$D$53,0)</f>
        <v>125.296179154657</v>
      </c>
      <c r="C23" s="21" t="n">
        <f aca="false">$B23*IF(Model!$B$5=1,Data!$D$14,Model!$AC$53)</f>
        <v>30.2255893045071</v>
      </c>
      <c r="D23" s="21" t="n">
        <f aca="false">$B23*IF(Model!$B$5=1,Data!$E$14,Model!$AD$53)</f>
        <v>38.8765364952919</v>
      </c>
      <c r="E23" s="21" t="n">
        <f aca="false">$B23*IF(Model!$B$5=1,Data!$F$14,Model!$AE$53)</f>
        <v>23.4298113758545</v>
      </c>
      <c r="F23" s="21" t="n">
        <f aca="false">$B23*IF(Model!$B$5=1,Data!$G$14,Model!$AF$53)</f>
        <v>32.7642419790037</v>
      </c>
      <c r="G23" s="21" t="n">
        <f aca="false">$B23*Model!$S$53</f>
        <v>61.0219974954639</v>
      </c>
      <c r="H23" s="21" t="n">
        <f aca="false">$B23*Model!$T$53</f>
        <v>15.2375034561409</v>
      </c>
      <c r="I23" s="21" t="n">
        <f aca="false">$B23*Model!$U$53</f>
        <v>7.22572088495572</v>
      </c>
      <c r="J23" s="21" t="n">
        <f aca="false">$B23*Model!$V$53</f>
        <v>7.22572088495572</v>
      </c>
      <c r="K23" s="21" t="n">
        <f aca="false">$B23*Model!$W$53</f>
        <v>23.4502854540979</v>
      </c>
      <c r="L23" s="21" t="n">
        <f aca="false">$B23*Model!$X$53</f>
        <v>6.42653236717447</v>
      </c>
      <c r="M23" s="21" t="n">
        <f aca="false">$B23*Model!$Y$53</f>
        <v>3.68541958199189</v>
      </c>
      <c r="N23" s="21" t="n">
        <f aca="false">$B23*Model!$Z$53</f>
        <v>0.380345793159305</v>
      </c>
      <c r="O23" s="21" t="n">
        <f aca="false">$B23*Model!$AA$53</f>
        <v>0.642653236717447</v>
      </c>
    </row>
    <row r="24" customFormat="false" ht="15" hidden="false" customHeight="true" outlineLevel="0" collapsed="false">
      <c r="A24" s="23" t="n">
        <v>2037</v>
      </c>
      <c r="B24" s="21" t="n">
        <f aca="false">IF($A24&lt;=Model!$B$3,Data!$B$15*Model!$D$53,0)</f>
        <v>124.269808436944</v>
      </c>
      <c r="C24" s="21" t="n">
        <f aca="false">$B24*IF(Model!$B$5=1,Data!$D$15,Model!$AC$53)</f>
        <v>29.9779946851255</v>
      </c>
      <c r="D24" s="21" t="n">
        <f aca="false">$B24*IF(Model!$B$5=1,Data!$E$15,Model!$AD$53)</f>
        <v>38.5580771541206</v>
      </c>
      <c r="E24" s="21" t="n">
        <f aca="false">$B24*IF(Model!$B$5=1,Data!$F$15,Model!$AE$53)</f>
        <v>23.2378847546282</v>
      </c>
      <c r="F24" s="21" t="n">
        <f aca="false">$B24*IF(Model!$B$5=1,Data!$G$15,Model!$AF$53)</f>
        <v>32.49585184307</v>
      </c>
      <c r="G24" s="21" t="n">
        <f aca="false">$B24*Model!$S$53</f>
        <v>60.5221323616006</v>
      </c>
      <c r="H24" s="21" t="n">
        <f aca="false">$B24*Model!$T$53</f>
        <v>15.11268458725</v>
      </c>
      <c r="I24" s="21" t="n">
        <f aca="false">$B24*Model!$U$53</f>
        <v>7.16653098482691</v>
      </c>
      <c r="J24" s="21" t="n">
        <f aca="false">$B24*Model!$V$53</f>
        <v>7.16653098482691</v>
      </c>
      <c r="K24" s="21" t="n">
        <f aca="false">$B24*Model!$W$53</f>
        <v>23.258191118305</v>
      </c>
      <c r="L24" s="21" t="n">
        <f aca="false">$B24*Model!$X$53</f>
        <v>6.37388906485987</v>
      </c>
      <c r="M24" s="21" t="n">
        <f aca="false">$B24*Model!$Y$53</f>
        <v>3.65523025964413</v>
      </c>
      <c r="N24" s="21" t="n">
        <f aca="false">$B24*Model!$Z$53</f>
        <v>0.377230169144768</v>
      </c>
      <c r="O24" s="21" t="n">
        <f aca="false">$B24*Model!$AA$53</f>
        <v>0.637388906485987</v>
      </c>
    </row>
    <row r="25" customFormat="false" ht="15" hidden="false" customHeight="true" outlineLevel="0" collapsed="false">
      <c r="A25" s="23" t="n">
        <v>2038</v>
      </c>
      <c r="B25" s="21" t="n">
        <f aca="false">IF($A25&lt;=Model!$B$3,Data!$B$16*Model!$D$53,0)</f>
        <v>122.76972815721</v>
      </c>
      <c r="C25" s="21" t="n">
        <f aca="false">$B25*IF(Model!$B$5=1,Data!$D$16,Model!$AC$53)</f>
        <v>29.6161256260294</v>
      </c>
      <c r="D25" s="21" t="n">
        <f aca="false">$B25*IF(Model!$B$5=1,Data!$E$16,Model!$AD$53)</f>
        <v>38.0926365785626</v>
      </c>
      <c r="E25" s="21" t="n">
        <f aca="false">$B25*IF(Model!$B$5=1,Data!$F$16,Model!$AE$53)</f>
        <v>22.9573766159129</v>
      </c>
      <c r="F25" s="21" t="n">
        <f aca="false">$B25*IF(Model!$B$5=1,Data!$G$16,Model!$AF$53)</f>
        <v>32.1035893367049</v>
      </c>
      <c r="G25" s="21" t="n">
        <f aca="false">$B25*Model!$S$53</f>
        <v>59.7915602428773</v>
      </c>
      <c r="H25" s="21" t="n">
        <f aca="false">$B25*Model!$T$53</f>
        <v>14.9302570096403</v>
      </c>
      <c r="I25" s="21" t="n">
        <f aca="false">$B25*Model!$U$53</f>
        <v>7.08002266925403</v>
      </c>
      <c r="J25" s="21" t="n">
        <f aca="false">$B25*Model!$V$53</f>
        <v>7.08002266925403</v>
      </c>
      <c r="K25" s="21" t="n">
        <f aca="false">$B25*Model!$W$53</f>
        <v>22.9774378583</v>
      </c>
      <c r="L25" s="21" t="n">
        <f aca="false">$B25*Model!$X$53</f>
        <v>6.29694885378469</v>
      </c>
      <c r="M25" s="21" t="n">
        <f aca="false">$B25*Model!$Y$53</f>
        <v>3.6111074039051</v>
      </c>
      <c r="N25" s="21" t="n">
        <f aca="false">$B25*Model!$Z$53</f>
        <v>0.372676564815828</v>
      </c>
      <c r="O25" s="21" t="n">
        <f aca="false">$B25*Model!$AA$53</f>
        <v>0.629694885378469</v>
      </c>
    </row>
    <row r="26" customFormat="false" ht="15" hidden="false" customHeight="true" outlineLevel="0" collapsed="false">
      <c r="A26" s="23" t="n">
        <v>2039</v>
      </c>
      <c r="B26" s="21" t="n">
        <f aca="false">IF($A26&lt;=Model!$B$3,Data!$B$17*Model!$D$53,0)</f>
        <v>121.664405845827</v>
      </c>
      <c r="C26" s="21" t="n">
        <f aca="false">$B26*IF(Model!$B$5=1,Data!$D$17,Model!$AC$53)</f>
        <v>29.3494852666953</v>
      </c>
      <c r="D26" s="21" t="n">
        <f aca="false">$B26*IF(Model!$B$5=1,Data!$E$17,Model!$AD$53)</f>
        <v>37.7496803649934</v>
      </c>
      <c r="E26" s="21" t="n">
        <f aca="false">$B26*IF(Model!$B$5=1,Data!$F$17,Model!$AE$53)</f>
        <v>22.7506864084385</v>
      </c>
      <c r="F26" s="21" t="n">
        <f aca="false">$B26*IF(Model!$B$5=1,Data!$G$17,Model!$AF$53)</f>
        <v>31.8145538056994</v>
      </c>
      <c r="G26" s="21" t="n">
        <f aca="false">$B26*Model!$S$53</f>
        <v>59.2532439448707</v>
      </c>
      <c r="H26" s="21" t="n">
        <f aca="false">$B26*Model!$T$53</f>
        <v>14.7958366892963</v>
      </c>
      <c r="I26" s="21" t="n">
        <f aca="false">$B26*Model!$U$53</f>
        <v>7.01627969988454</v>
      </c>
      <c r="J26" s="21" t="n">
        <f aca="false">$B26*Model!$V$53</f>
        <v>7.01627969988454</v>
      </c>
      <c r="K26" s="21" t="n">
        <f aca="false">$B26*Model!$W$53</f>
        <v>22.7705670351385</v>
      </c>
      <c r="L26" s="21" t="n">
        <f aca="false">$B26*Model!$X$53</f>
        <v>6.24025606667666</v>
      </c>
      <c r="M26" s="21" t="n">
        <f aca="false">$B26*Model!$Y$53</f>
        <v>3.57859582599212</v>
      </c>
      <c r="N26" s="21" t="n">
        <f aca="false">$B26*Model!$Z$53</f>
        <v>0.369321277415557</v>
      </c>
      <c r="O26" s="21" t="n">
        <f aca="false">$B26*Model!$AA$53</f>
        <v>0.624025606667666</v>
      </c>
    </row>
    <row r="27" customFormat="false" ht="15" hidden="false" customHeight="true" outlineLevel="0" collapsed="false">
      <c r="A27" s="23" t="n">
        <v>2040</v>
      </c>
      <c r="B27" s="21" t="n">
        <f aca="false">IF($A27&lt;=Model!$B$3,Data!$B$18*Model!$D$53,0)</f>
        <v>120.401180347103</v>
      </c>
      <c r="C27" s="21" t="n">
        <f aca="false">$B27*IF(Model!$B$5=1,Data!$D$18,Model!$AC$53)</f>
        <v>29.0447534274564</v>
      </c>
      <c r="D27" s="21" t="n">
        <f aca="false">$B27*IF(Model!$B$5=1,Data!$E$18,Model!$AD$53)</f>
        <v>37.3577304066289</v>
      </c>
      <c r="E27" s="21" t="n">
        <f aca="false">$B27*IF(Model!$B$5=1,Data!$F$18,Model!$AE$53)</f>
        <v>22.5144690284676</v>
      </c>
      <c r="F27" s="21" t="n">
        <f aca="false">$B27*IF(Model!$B$5=1,Data!$G$18,Model!$AF$53)</f>
        <v>31.4842274845499</v>
      </c>
      <c r="G27" s="21" t="n">
        <f aca="false">$B27*Model!$S$53</f>
        <v>58.6380253185774</v>
      </c>
      <c r="H27" s="21" t="n">
        <f aca="false">$B27*Model!$T$53</f>
        <v>14.6422134660459</v>
      </c>
      <c r="I27" s="21" t="n">
        <f aca="false">$B27*Model!$U$53</f>
        <v>6.94343059203369</v>
      </c>
      <c r="J27" s="21" t="n">
        <f aca="false">$B27*Model!$V$53</f>
        <v>6.94343059203369</v>
      </c>
      <c r="K27" s="21" t="n">
        <f aca="false">$B27*Model!$W$53</f>
        <v>22.5341432372396</v>
      </c>
      <c r="L27" s="21" t="n">
        <f aca="false">$B27*Model!$X$53</f>
        <v>6.17546430998177</v>
      </c>
      <c r="M27" s="21" t="n">
        <f aca="false">$B27*Model!$Y$53</f>
        <v>3.54143973694873</v>
      </c>
      <c r="N27" s="21" t="n">
        <f aca="false">$B27*Model!$Z$53</f>
        <v>0.365486663243819</v>
      </c>
      <c r="O27" s="21" t="n">
        <f aca="false">$B27*Model!$AA$53</f>
        <v>0.617546430998177</v>
      </c>
    </row>
    <row r="28" customFormat="false" ht="15" hidden="false" customHeight="true" outlineLevel="0" collapsed="false">
      <c r="A28" s="24" t="s">
        <v>118</v>
      </c>
      <c r="B28" s="25" t="n">
        <f aca="false">SUM(B13:B27)</f>
        <v>3147.3263300701</v>
      </c>
      <c r="C28" s="25" t="n">
        <f aca="false">SUM(C13:C27)</f>
        <v>759.236802602697</v>
      </c>
      <c r="D28" s="25" t="n">
        <f aca="false">SUM(D13:D27)</f>
        <v>976.542030790735</v>
      </c>
      <c r="E28" s="25" t="n">
        <f aca="false">SUM(E13:E27)</f>
        <v>588.536006832348</v>
      </c>
      <c r="F28" s="25" t="n">
        <f aca="false">SUM(F13:F27)</f>
        <v>823.011489844324</v>
      </c>
      <c r="G28" s="25" t="n">
        <f aca="false">SUM(G13:G27)</f>
        <v>1532.81720740969</v>
      </c>
      <c r="H28" s="25" t="n">
        <f aca="false">SUM(H13:H27)</f>
        <v>382.752260728168</v>
      </c>
      <c r="I28" s="25" t="n">
        <f aca="false">SUM(I13:I27)</f>
        <v>181.503552210381</v>
      </c>
      <c r="J28" s="25" t="n">
        <f aca="false">SUM(J13:J27)</f>
        <v>181.503552210381</v>
      </c>
      <c r="K28" s="25" t="n">
        <f aca="false">SUM(K13:K27)</f>
        <v>589.049892465127</v>
      </c>
      <c r="L28" s="25" t="n">
        <f aca="false">SUM(L13:L27)</f>
        <v>161.42866180532</v>
      </c>
      <c r="M28" s="25" t="n">
        <f aca="false">SUM(M13:M27)</f>
        <v>92.5743958516223</v>
      </c>
      <c r="N28" s="25" t="n">
        <f aca="false">SUM(N13:N27)</f>
        <v>9.55394120888629</v>
      </c>
      <c r="O28" s="25" t="n">
        <f aca="false">SUM(O13:O27)</f>
        <v>16.142866180532</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0.186995546413275</v>
      </c>
      <c r="F29" s="26" t="n">
        <f aca="false">IF($B$28&gt;0,F28/$B$28,0)</f>
        <v>0.261495442014109</v>
      </c>
      <c r="G29" s="26" t="n">
        <f aca="false">IF($B$28&gt;0,G28/$B$28,0)</f>
        <v>0.487022013816897</v>
      </c>
      <c r="H29" s="26" t="n">
        <f aca="false">IF($B$28&gt;0,H28/$B$28,0)</f>
        <v>0.121611876427076</v>
      </c>
      <c r="I29" s="26" t="n">
        <f aca="false">IF($B$28&gt;0,I28/$B$28,0)</f>
        <v>0.0576691239406173</v>
      </c>
      <c r="J29" s="26" t="n">
        <f aca="false">IF($B$28&gt;0,J28/$B$28,0)</f>
        <v>0.0576691239406173</v>
      </c>
      <c r="K29" s="26" t="n">
        <f aca="false">IF($B$28&gt;0,K28/$B$28,0)</f>
        <v>0.187158823296219</v>
      </c>
      <c r="L29" s="26" t="n">
        <f aca="false">IF($B$28&gt;0,L28/$B$28,0)</f>
        <v>0.0512907289793888</v>
      </c>
      <c r="M29" s="26" t="n">
        <f aca="false">IF($B$28&gt;0,M28/$B$28,0)</f>
        <v>0.029413662945323</v>
      </c>
      <c r="N29" s="26" t="n">
        <f aca="false">IF($B$28&gt;0,N28/$B$28,0)</f>
        <v>0.00303557375592301</v>
      </c>
      <c r="O29" s="26" t="n">
        <f aca="false">IF($B$28&gt;0,O28/$B$28,0)</f>
        <v>0.00512907289793888</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Data!$H$30*Data!$M$30/SUM(Data!$H$30:$K$30)</f>
        <v>205.518731988473</v>
      </c>
      <c r="C34" s="22" t="n">
        <f aca="false">IF($B$38&gt;0,B34/$B$38,0)</f>
        <v>0.0489913544668588</v>
      </c>
      <c r="D34" s="21" t="n">
        <f aca="false">C28</f>
        <v>759.236802602697</v>
      </c>
      <c r="E34" s="22" t="n">
        <f aca="false">IF($D$38&gt;0,D34/$D$38,0)</f>
        <v>0.241232310532536</v>
      </c>
      <c r="F34" s="21" t="n">
        <f aca="false">B34+D34</f>
        <v>964.755534591169</v>
      </c>
      <c r="G34" s="22" t="n">
        <f aca="false">IF($F$38&gt;0,F34/$F$38,0)</f>
        <v>0.131396439114953</v>
      </c>
    </row>
    <row r="35" customFormat="false" ht="15" hidden="false" customHeight="true" outlineLevel="0" collapsed="false">
      <c r="A35" s="13" t="s">
        <v>106</v>
      </c>
      <c r="B35" s="21" t="n">
        <f aca="false">Data!$I$30*Data!$M$30/SUM(Data!$H$30:$K$30)</f>
        <v>795.478386167147</v>
      </c>
      <c r="C35" s="22" t="n">
        <f aca="false">IF($B$38&gt;0,B35/$B$38,0)</f>
        <v>0.189625360230548</v>
      </c>
      <c r="D35" s="21" t="n">
        <f aca="false">D28</f>
        <v>976.542030790735</v>
      </c>
      <c r="E35" s="22" t="n">
        <f aca="false">IF($D$38&gt;0,D35/$D$38,0)</f>
        <v>0.310276701040081</v>
      </c>
      <c r="F35" s="21" t="n">
        <f aca="false">B35+D35</f>
        <v>1772.02041695788</v>
      </c>
      <c r="G35" s="22" t="n">
        <f aca="false">IF($F$38&gt;0,F35/$F$38,0)</f>
        <v>0.241343184339365</v>
      </c>
    </row>
    <row r="36" customFormat="false" ht="15" hidden="false" customHeight="true" outlineLevel="0" collapsed="false">
      <c r="A36" s="13" t="s">
        <v>107</v>
      </c>
      <c r="B36" s="21" t="n">
        <f aca="false">Data!$J$30*Data!$M$30/SUM(Data!$H$30:$K$30)</f>
        <v>2571.40201729107</v>
      </c>
      <c r="C36" s="22" t="n">
        <f aca="false">IF($B$38&gt;0,B36/$B$38,0)</f>
        <v>0.612968299711816</v>
      </c>
      <c r="D36" s="21" t="n">
        <f aca="false">E28</f>
        <v>588.536006832348</v>
      </c>
      <c r="E36" s="22" t="n">
        <f aca="false">IF($D$38&gt;0,D36/$D$38,0)</f>
        <v>0.186995546413275</v>
      </c>
      <c r="F36" s="21" t="n">
        <f aca="false">B36+D36</f>
        <v>3159.93802412341</v>
      </c>
      <c r="G36" s="22" t="n">
        <f aca="false">IF($F$38&gt;0,F36/$F$38,0)</f>
        <v>0.430372865774442</v>
      </c>
    </row>
    <row r="37" customFormat="false" ht="15" hidden="false" customHeight="true" outlineLevel="0" collapsed="false">
      <c r="A37" s="13" t="s">
        <v>108</v>
      </c>
      <c r="B37" s="21" t="n">
        <f aca="false">Data!$K$30*Data!$M$30/SUM(Data!$H$30:$K$30)</f>
        <v>622.600864553314</v>
      </c>
      <c r="C37" s="22" t="n">
        <f aca="false">IF($B$38&gt;0,B37/$B$38,0)</f>
        <v>0.148414985590778</v>
      </c>
      <c r="D37" s="21" t="n">
        <f aca="false">F28</f>
        <v>823.011489844324</v>
      </c>
      <c r="E37" s="22" t="n">
        <f aca="false">IF($D$38&gt;0,D37/$D$38,0)</f>
        <v>0.261495442014109</v>
      </c>
      <c r="F37" s="21" t="n">
        <f aca="false">B37+D37</f>
        <v>1445.61235439764</v>
      </c>
      <c r="G37" s="22" t="n">
        <f aca="false">IF($F$38&gt;0,F37/$F$38,0)</f>
        <v>0.19688751077124</v>
      </c>
    </row>
    <row r="38" customFormat="false" ht="15" hidden="false" customHeight="true" outlineLevel="0" collapsed="false">
      <c r="A38" s="24" t="s">
        <v>61</v>
      </c>
      <c r="B38" s="25" t="n">
        <f aca="false">SUM(B34:B37)</f>
        <v>4195</v>
      </c>
      <c r="C38" s="27" t="n">
        <f aca="false">SUM(C34:C37)</f>
        <v>1</v>
      </c>
      <c r="D38" s="25" t="n">
        <f aca="false">SUM(D34:D37)</f>
        <v>3147.3263300701</v>
      </c>
      <c r="E38" s="27" t="n">
        <f aca="false">SUM(E34:E37)</f>
        <v>1</v>
      </c>
      <c r="F38" s="25" t="n">
        <f aca="false">SUM(F34:F37)</f>
        <v>7342.3263300701</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6CDA9"/>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170</v>
      </c>
    </row>
    <row r="2" customFormat="false" ht="15" hidden="false" customHeight="true" outlineLevel="0" collapsed="false">
      <c r="A2" s="3" t="str">
        <f aca="false">Model!$B$54&amp;" · new homes per year, 2026–"&amp;Model!$B$3&amp;" · set by the levers on the Intro tab"</f>
        <v>City neighbourhood · new homes per year, 2026–2040 · set by the levers on the Intro tab</v>
      </c>
    </row>
    <row r="4" customFormat="false" ht="15" hidden="false" customHeight="true" outlineLevel="0" collapsed="false">
      <c r="A4" s="13" t="s">
        <v>332</v>
      </c>
      <c r="C4" s="67" t="n">
        <f aca="false">Model!$D$54</f>
        <v>0.0432879714107495</v>
      </c>
    </row>
    <row r="5" customFormat="false" ht="15" hidden="false" customHeight="true" outlineLevel="0" collapsed="false">
      <c r="A5" s="13" t="s">
        <v>53</v>
      </c>
      <c r="C5" s="14" t="n">
        <f aca="false">Model!$E$54</f>
        <v>1725.63169231812</v>
      </c>
    </row>
    <row r="6" customFormat="false" ht="15" hidden="false" customHeight="true" outlineLevel="0" collapsed="false">
      <c r="A6" s="13" t="s">
        <v>99</v>
      </c>
      <c r="C6" s="15" t="n">
        <f aca="false">Model!$Q$54</f>
        <v>0.1</v>
      </c>
    </row>
    <row r="7" customFormat="false" ht="15" hidden="false" customHeight="true" outlineLevel="0" collapsed="false">
      <c r="A7" s="13" t="s">
        <v>100</v>
      </c>
      <c r="C7" s="15" t="n">
        <f aca="false">Model!$G$54</f>
        <v>0.29598</v>
      </c>
    </row>
    <row r="8" customFormat="false" ht="15" hidden="false" customHeight="true" outlineLevel="0" collapsed="false">
      <c r="A8" s="13" t="s">
        <v>101</v>
      </c>
      <c r="C8" s="15" t="n">
        <f aca="false">Model!$R$54</f>
        <v>0.209500544590065</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IF($A13&lt;=Model!$B$3,Data!$B$4*Model!$D$54,0)</f>
        <v>184.536622124025</v>
      </c>
      <c r="C13" s="21" t="n">
        <f aca="false">$B13*IF(Model!$B$5=1,Data!$D$4,Model!$AC$54)</f>
        <v>47.7354348505628</v>
      </c>
      <c r="D13" s="21" t="n">
        <f aca="false">$B13*IF(Model!$B$5=1,Data!$E$4,Model!$AD$54)</f>
        <v>58.4250562540885</v>
      </c>
      <c r="E13" s="21" t="n">
        <f aca="false">$B13*IF(Model!$B$5=1,Data!$F$4,Model!$AE$54)</f>
        <v>34.1461995440563</v>
      </c>
      <c r="F13" s="21" t="n">
        <f aca="false">$B13*IF(Model!$B$5=1,Data!$G$4,Model!$AF$54)</f>
        <v>44.2299314753174</v>
      </c>
      <c r="G13" s="21" t="n">
        <f aca="false">$B13*Model!$S$54</f>
        <v>111.725373584529</v>
      </c>
      <c r="H13" s="21" t="n">
        <f aca="false">$B13*Model!$T$54</f>
        <v>27.8983946118685</v>
      </c>
      <c r="I13" s="21" t="n">
        <f aca="false">$B13*Model!$U$54</f>
        <v>13.2295958576123</v>
      </c>
      <c r="J13" s="21" t="n">
        <f aca="false">$B13*Model!$V$54</f>
        <v>13.2295958576123</v>
      </c>
      <c r="K13" s="21" t="n">
        <f aca="false">$B13*Model!$W$54</f>
        <v>12.5123807492513</v>
      </c>
      <c r="L13" s="21" t="n">
        <f aca="false">$B13*Model!$X$54</f>
        <v>3.42900814716618</v>
      </c>
      <c r="M13" s="21" t="n">
        <f aca="false">$B13*Model!$Y$54</f>
        <v>1.96643120276265</v>
      </c>
      <c r="N13" s="21" t="n">
        <f aca="false">$B13*Model!$Z$54</f>
        <v>0.202941298505754</v>
      </c>
      <c r="O13" s="21" t="n">
        <f aca="false">$B13*Model!$AA$54</f>
        <v>0.342900814716618</v>
      </c>
    </row>
    <row r="14" customFormat="false" ht="15" hidden="false" customHeight="true" outlineLevel="0" collapsed="false">
      <c r="A14" s="23" t="n">
        <v>2027</v>
      </c>
      <c r="B14" s="21" t="n">
        <f aca="false">IF($A14&lt;=Model!$B$3,Data!$B$5*Model!$D$54,0)</f>
        <v>184.536622124025</v>
      </c>
      <c r="C14" s="21" t="n">
        <f aca="false">$B14*IF(Model!$B$5=1,Data!$D$5,Model!$AC$54)</f>
        <v>46.3938224476911</v>
      </c>
      <c r="D14" s="21" t="n">
        <f aca="false">$B14*IF(Model!$B$5=1,Data!$E$5,Model!$AD$54)</f>
        <v>58.5981675318784</v>
      </c>
      <c r="E14" s="21" t="n">
        <f aca="false">$B14*IF(Model!$B$5=1,Data!$F$5,Model!$AE$54)</f>
        <v>34.0596439051613</v>
      </c>
      <c r="F14" s="21" t="n">
        <f aca="false">$B14*IF(Model!$B$5=1,Data!$G$5,Model!$AF$54)</f>
        <v>45.4849882392941</v>
      </c>
      <c r="G14" s="21" t="n">
        <f aca="false">$B14*Model!$S$54</f>
        <v>111.725373584529</v>
      </c>
      <c r="H14" s="21" t="n">
        <f aca="false">$B14*Model!$T$54</f>
        <v>27.8983946118685</v>
      </c>
      <c r="I14" s="21" t="n">
        <f aca="false">$B14*Model!$U$54</f>
        <v>13.2295958576123</v>
      </c>
      <c r="J14" s="21" t="n">
        <f aca="false">$B14*Model!$V$54</f>
        <v>13.2295958576123</v>
      </c>
      <c r="K14" s="21" t="n">
        <f aca="false">$B14*Model!$W$54</f>
        <v>12.5123807492513</v>
      </c>
      <c r="L14" s="21" t="n">
        <f aca="false">$B14*Model!$X$54</f>
        <v>3.42900814716618</v>
      </c>
      <c r="M14" s="21" t="n">
        <f aca="false">$B14*Model!$Y$54</f>
        <v>1.96643120276265</v>
      </c>
      <c r="N14" s="21" t="n">
        <f aca="false">$B14*Model!$Z$54</f>
        <v>0.202941298505754</v>
      </c>
      <c r="O14" s="21" t="n">
        <f aca="false">$B14*Model!$AA$54</f>
        <v>0.342900814716618</v>
      </c>
    </row>
    <row r="15" customFormat="false" ht="15" hidden="false" customHeight="true" outlineLevel="0" collapsed="false">
      <c r="A15" s="23" t="n">
        <v>2028</v>
      </c>
      <c r="B15" s="21" t="n">
        <f aca="false">IF($A15&lt;=Model!$B$3,Data!$B$6*Model!$D$54,0)</f>
        <v>184.536622124025</v>
      </c>
      <c r="C15" s="21" t="n">
        <f aca="false">$B15*IF(Model!$B$5=1,Data!$D$6,Model!$AC$54)</f>
        <v>46.2424008513512</v>
      </c>
      <c r="D15" s="21" t="n">
        <f aca="false">$B15*IF(Model!$B$5=1,Data!$E$6,Model!$AD$54)</f>
        <v>58.6256654988104</v>
      </c>
      <c r="E15" s="21" t="n">
        <f aca="false">$B15*IF(Model!$B$5=1,Data!$F$6,Model!$AE$54)</f>
        <v>34.0756268445818</v>
      </c>
      <c r="F15" s="21" t="n">
        <f aca="false">$B15*IF(Model!$B$5=1,Data!$G$6,Model!$AF$54)</f>
        <v>45.5929289292816</v>
      </c>
      <c r="G15" s="21" t="n">
        <f aca="false">$B15*Model!$S$54</f>
        <v>111.725373584529</v>
      </c>
      <c r="H15" s="21" t="n">
        <f aca="false">$B15*Model!$T$54</f>
        <v>27.8983946118685</v>
      </c>
      <c r="I15" s="21" t="n">
        <f aca="false">$B15*Model!$U$54</f>
        <v>13.2295958576123</v>
      </c>
      <c r="J15" s="21" t="n">
        <f aca="false">$B15*Model!$V$54</f>
        <v>13.2295958576123</v>
      </c>
      <c r="K15" s="21" t="n">
        <f aca="false">$B15*Model!$W$54</f>
        <v>12.5123807492513</v>
      </c>
      <c r="L15" s="21" t="n">
        <f aca="false">$B15*Model!$X$54</f>
        <v>3.42900814716618</v>
      </c>
      <c r="M15" s="21" t="n">
        <f aca="false">$B15*Model!$Y$54</f>
        <v>1.96643120276265</v>
      </c>
      <c r="N15" s="21" t="n">
        <f aca="false">$B15*Model!$Z$54</f>
        <v>0.202941298505754</v>
      </c>
      <c r="O15" s="21" t="n">
        <f aca="false">$B15*Model!$AA$54</f>
        <v>0.342900814716618</v>
      </c>
    </row>
    <row r="16" customFormat="false" ht="15" hidden="false" customHeight="true" outlineLevel="0" collapsed="false">
      <c r="A16" s="23" t="n">
        <v>2029</v>
      </c>
      <c r="B16" s="21" t="n">
        <f aca="false">IF($A16&lt;=Model!$B$3,Data!$B$7*Model!$D$54,0)</f>
        <v>184.536622124025</v>
      </c>
      <c r="C16" s="21" t="n">
        <f aca="false">$B16*IF(Model!$B$5=1,Data!$D$7,Model!$AC$54)</f>
        <v>45.7553857811623</v>
      </c>
      <c r="D16" s="21" t="n">
        <f aca="false">$B16*IF(Model!$B$5=1,Data!$E$7,Model!$AD$54)</f>
        <v>58.3088974902795</v>
      </c>
      <c r="E16" s="21" t="n">
        <f aca="false">$B16*IF(Model!$B$5=1,Data!$F$7,Model!$AE$54)</f>
        <v>33.8511936432061</v>
      </c>
      <c r="F16" s="21" t="n">
        <f aca="false">$B16*IF(Model!$B$5=1,Data!$G$7,Model!$AF$54)</f>
        <v>46.6211452093771</v>
      </c>
      <c r="G16" s="21" t="n">
        <f aca="false">$B16*Model!$S$54</f>
        <v>111.725373584529</v>
      </c>
      <c r="H16" s="21" t="n">
        <f aca="false">$B16*Model!$T$54</f>
        <v>27.8983946118685</v>
      </c>
      <c r="I16" s="21" t="n">
        <f aca="false">$B16*Model!$U$54</f>
        <v>13.2295958576123</v>
      </c>
      <c r="J16" s="21" t="n">
        <f aca="false">$B16*Model!$V$54</f>
        <v>13.2295958576123</v>
      </c>
      <c r="K16" s="21" t="n">
        <f aca="false">$B16*Model!$W$54</f>
        <v>12.5123807492513</v>
      </c>
      <c r="L16" s="21" t="n">
        <f aca="false">$B16*Model!$X$54</f>
        <v>3.42900814716618</v>
      </c>
      <c r="M16" s="21" t="n">
        <f aca="false">$B16*Model!$Y$54</f>
        <v>1.96643120276265</v>
      </c>
      <c r="N16" s="21" t="n">
        <f aca="false">$B16*Model!$Z$54</f>
        <v>0.202941298505754</v>
      </c>
      <c r="O16" s="21" t="n">
        <f aca="false">$B16*Model!$AA$54</f>
        <v>0.342900814716618</v>
      </c>
    </row>
    <row r="17" customFormat="false" ht="15" hidden="false" customHeight="true" outlineLevel="0" collapsed="false">
      <c r="A17" s="23" t="n">
        <v>2030</v>
      </c>
      <c r="B17" s="21" t="n">
        <f aca="false">IF($A17&lt;=Model!$B$3,Data!$B$8*Model!$D$54,0)</f>
        <v>184.536622124025</v>
      </c>
      <c r="C17" s="21" t="n">
        <f aca="false">$B17*IF(Model!$B$5=1,Data!$D$8,Model!$AC$54)</f>
        <v>45.6795251855575</v>
      </c>
      <c r="D17" s="21" t="n">
        <f aca="false">$B17*IF(Model!$B$5=1,Data!$E$8,Model!$AD$54)</f>
        <v>57.4566160390851</v>
      </c>
      <c r="E17" s="21" t="n">
        <f aca="false">$B17*IF(Model!$B$5=1,Data!$F$8,Model!$AE$54)</f>
        <v>33.9024343320299</v>
      </c>
      <c r="F17" s="21" t="n">
        <f aca="false">$B17*IF(Model!$B$5=1,Data!$G$8,Model!$AF$54)</f>
        <v>47.4980465673522</v>
      </c>
      <c r="G17" s="21" t="n">
        <f aca="false">$B17*Model!$S$54</f>
        <v>111.725373584529</v>
      </c>
      <c r="H17" s="21" t="n">
        <f aca="false">$B17*Model!$T$54</f>
        <v>27.8983946118685</v>
      </c>
      <c r="I17" s="21" t="n">
        <f aca="false">$B17*Model!$U$54</f>
        <v>13.2295958576123</v>
      </c>
      <c r="J17" s="21" t="n">
        <f aca="false">$B17*Model!$V$54</f>
        <v>13.2295958576123</v>
      </c>
      <c r="K17" s="21" t="n">
        <f aca="false">$B17*Model!$W$54</f>
        <v>12.5123807492513</v>
      </c>
      <c r="L17" s="21" t="n">
        <f aca="false">$B17*Model!$X$54</f>
        <v>3.42900814716618</v>
      </c>
      <c r="M17" s="21" t="n">
        <f aca="false">$B17*Model!$Y$54</f>
        <v>1.96643120276265</v>
      </c>
      <c r="N17" s="21" t="n">
        <f aca="false">$B17*Model!$Z$54</f>
        <v>0.202941298505754</v>
      </c>
      <c r="O17" s="21" t="n">
        <f aca="false">$B17*Model!$AA$54</f>
        <v>0.342900814716618</v>
      </c>
    </row>
    <row r="18" customFormat="false" ht="15" hidden="false" customHeight="true" outlineLevel="0" collapsed="false">
      <c r="A18" s="23" t="n">
        <v>2031</v>
      </c>
      <c r="B18" s="21" t="n">
        <f aca="false">IF($A18&lt;=Model!$B$3,Data!$B$9*Model!$D$54,0)</f>
        <v>93.8483220185048</v>
      </c>
      <c r="C18" s="21" t="n">
        <f aca="false">$B18*IF(Model!$B$5=1,Data!$D$9,Model!$AC$54)</f>
        <v>21.6872736767855</v>
      </c>
      <c r="D18" s="21" t="n">
        <f aca="false">$B18*IF(Model!$B$5=1,Data!$E$9,Model!$AD$54)</f>
        <v>28.5267731596839</v>
      </c>
      <c r="E18" s="21" t="n">
        <f aca="false">$B18*IF(Model!$B$5=1,Data!$F$9,Model!$AE$54)</f>
        <v>17.8346442212288</v>
      </c>
      <c r="F18" s="21" t="n">
        <f aca="false">$B18*IF(Model!$B$5=1,Data!$G$9,Model!$AF$54)</f>
        <v>25.7996309608067</v>
      </c>
      <c r="G18" s="21" t="n">
        <f aca="false">$B18*Model!$S$54</f>
        <v>56.8192845252779</v>
      </c>
      <c r="H18" s="21" t="n">
        <f aca="false">$B18*Model!$T$54</f>
        <v>14.1880646301973</v>
      </c>
      <c r="I18" s="21" t="n">
        <f aca="false">$B18*Model!$U$54</f>
        <v>6.72807033058958</v>
      </c>
      <c r="J18" s="21" t="n">
        <f aca="false">$B18*Model!$V$54</f>
        <v>6.72807033058958</v>
      </c>
      <c r="K18" s="21" t="n">
        <f aca="false">$B18*Model!$W$54</f>
        <v>6.36332194801239</v>
      </c>
      <c r="L18" s="21" t="n">
        <f aca="false">$B18*Model!$X$54</f>
        <v>1.74386339738595</v>
      </c>
      <c r="M18" s="21" t="n">
        <f aca="false">$B18*Model!$Y$54</f>
        <v>1.00005227482745</v>
      </c>
      <c r="N18" s="21" t="n">
        <f aca="false">$B18*Model!$Z$54</f>
        <v>0.103208241886107</v>
      </c>
      <c r="O18" s="21" t="n">
        <f aca="false">$B18*Model!$AA$54</f>
        <v>0.174386339738595</v>
      </c>
    </row>
    <row r="19" customFormat="false" ht="15" hidden="false" customHeight="true" outlineLevel="0" collapsed="false">
      <c r="A19" s="23" t="n">
        <v>2032</v>
      </c>
      <c r="B19" s="21" t="n">
        <f aca="false">IF($A19&lt;=Model!$B$3,Data!$B$10*Model!$D$54,0)</f>
        <v>93.8483220185048</v>
      </c>
      <c r="C19" s="21" t="n">
        <f aca="false">$B19*IF(Model!$B$5=1,Data!$D$10,Model!$AC$54)</f>
        <v>20.8648022199813</v>
      </c>
      <c r="D19" s="21" t="n">
        <f aca="false">$B19*IF(Model!$B$5=1,Data!$E$10,Model!$AD$54)</f>
        <v>27.9640295313442</v>
      </c>
      <c r="E19" s="21" t="n">
        <f aca="false">$B19*IF(Model!$B$5=1,Data!$F$10,Model!$AE$54)</f>
        <v>18.1376600211041</v>
      </c>
      <c r="F19" s="21" t="n">
        <f aca="false">$B19*IF(Model!$B$5=1,Data!$G$10,Model!$AF$54)</f>
        <v>26.8818302460754</v>
      </c>
      <c r="G19" s="21" t="n">
        <f aca="false">$B19*Model!$S$54</f>
        <v>56.8192845252779</v>
      </c>
      <c r="H19" s="21" t="n">
        <f aca="false">$B19*Model!$T$54</f>
        <v>14.1880646301973</v>
      </c>
      <c r="I19" s="21" t="n">
        <f aca="false">$B19*Model!$U$54</f>
        <v>6.72807033058958</v>
      </c>
      <c r="J19" s="21" t="n">
        <f aca="false">$B19*Model!$V$54</f>
        <v>6.72807033058958</v>
      </c>
      <c r="K19" s="21" t="n">
        <f aca="false">$B19*Model!$W$54</f>
        <v>6.36332194801239</v>
      </c>
      <c r="L19" s="21" t="n">
        <f aca="false">$B19*Model!$X$54</f>
        <v>1.74386339738595</v>
      </c>
      <c r="M19" s="21" t="n">
        <f aca="false">$B19*Model!$Y$54</f>
        <v>1.00005227482745</v>
      </c>
      <c r="N19" s="21" t="n">
        <f aca="false">$B19*Model!$Z$54</f>
        <v>0.103208241886107</v>
      </c>
      <c r="O19" s="21" t="n">
        <f aca="false">$B19*Model!$AA$54</f>
        <v>0.174386339738595</v>
      </c>
    </row>
    <row r="20" customFormat="false" ht="15" hidden="false" customHeight="true" outlineLevel="0" collapsed="false">
      <c r="A20" s="23" t="n">
        <v>2033</v>
      </c>
      <c r="B20" s="21" t="n">
        <f aca="false">IF($A20&lt;=Model!$B$3,Data!$B$11*Model!$D$54,0)</f>
        <v>93.8483220185048</v>
      </c>
      <c r="C20" s="21" t="n">
        <f aca="false">$B20*IF(Model!$B$5=1,Data!$D$11,Model!$AC$54)</f>
        <v>20.7011988577966</v>
      </c>
      <c r="D20" s="21" t="n">
        <f aca="false">$B20*IF(Model!$B$5=1,Data!$E$11,Model!$AD$54)</f>
        <v>28.0635499160088</v>
      </c>
      <c r="E20" s="21" t="n">
        <f aca="false">$B20*IF(Model!$B$5=1,Data!$F$11,Model!$AE$54)</f>
        <v>18.146029961123</v>
      </c>
      <c r="F20" s="21" t="n">
        <f aca="false">$B20*IF(Model!$B$5=1,Data!$G$11,Model!$AF$54)</f>
        <v>26.9375432835764</v>
      </c>
      <c r="G20" s="21" t="n">
        <f aca="false">$B20*Model!$S$54</f>
        <v>56.8192845252779</v>
      </c>
      <c r="H20" s="21" t="n">
        <f aca="false">$B20*Model!$T$54</f>
        <v>14.1880646301973</v>
      </c>
      <c r="I20" s="21" t="n">
        <f aca="false">$B20*Model!$U$54</f>
        <v>6.72807033058958</v>
      </c>
      <c r="J20" s="21" t="n">
        <f aca="false">$B20*Model!$V$54</f>
        <v>6.72807033058958</v>
      </c>
      <c r="K20" s="21" t="n">
        <f aca="false">$B20*Model!$W$54</f>
        <v>6.36332194801239</v>
      </c>
      <c r="L20" s="21" t="n">
        <f aca="false">$B20*Model!$X$54</f>
        <v>1.74386339738595</v>
      </c>
      <c r="M20" s="21" t="n">
        <f aca="false">$B20*Model!$Y$54</f>
        <v>1.00005227482745</v>
      </c>
      <c r="N20" s="21" t="n">
        <f aca="false">$B20*Model!$Z$54</f>
        <v>0.103208241886107</v>
      </c>
      <c r="O20" s="21" t="n">
        <f aca="false">$B20*Model!$AA$54</f>
        <v>0.174386339738595</v>
      </c>
    </row>
    <row r="21" customFormat="false" ht="15" hidden="false" customHeight="true" outlineLevel="0" collapsed="false">
      <c r="A21" s="23" t="n">
        <v>2034</v>
      </c>
      <c r="B21" s="21" t="n">
        <f aca="false">IF($A21&lt;=Model!$B$3,Data!$B$12*Model!$D$54,0)</f>
        <v>93.8483220185048</v>
      </c>
      <c r="C21" s="21" t="n">
        <f aca="false">$B21*IF(Model!$B$5=1,Data!$D$12,Model!$AC$54)</f>
        <v>20.5184984486953</v>
      </c>
      <c r="D21" s="21" t="n">
        <f aca="false">$B21*IF(Model!$B$5=1,Data!$E$12,Model!$AD$54)</f>
        <v>28.1371814169872</v>
      </c>
      <c r="E21" s="21" t="n">
        <f aca="false">$B21*IF(Model!$B$5=1,Data!$F$12,Model!$AE$54)</f>
        <v>18.1376600211041</v>
      </c>
      <c r="F21" s="21" t="n">
        <f aca="false">$B21*IF(Model!$B$5=1,Data!$G$12,Model!$AF$54)</f>
        <v>27.0549821317184</v>
      </c>
      <c r="G21" s="21" t="n">
        <f aca="false">$B21*Model!$S$54</f>
        <v>56.8192845252779</v>
      </c>
      <c r="H21" s="21" t="n">
        <f aca="false">$B21*Model!$T$54</f>
        <v>14.1880646301973</v>
      </c>
      <c r="I21" s="21" t="n">
        <f aca="false">$B21*Model!$U$54</f>
        <v>6.72807033058958</v>
      </c>
      <c r="J21" s="21" t="n">
        <f aca="false">$B21*Model!$V$54</f>
        <v>6.72807033058958</v>
      </c>
      <c r="K21" s="21" t="n">
        <f aca="false">$B21*Model!$W$54</f>
        <v>6.36332194801239</v>
      </c>
      <c r="L21" s="21" t="n">
        <f aca="false">$B21*Model!$X$54</f>
        <v>1.74386339738595</v>
      </c>
      <c r="M21" s="21" t="n">
        <f aca="false">$B21*Model!$Y$54</f>
        <v>1.00005227482745</v>
      </c>
      <c r="N21" s="21" t="n">
        <f aca="false">$B21*Model!$Z$54</f>
        <v>0.103208241886107</v>
      </c>
      <c r="O21" s="21" t="n">
        <f aca="false">$B21*Model!$AA$54</f>
        <v>0.174386339738595</v>
      </c>
    </row>
    <row r="22" customFormat="false" ht="15" hidden="false" customHeight="true" outlineLevel="0" collapsed="false">
      <c r="A22" s="23" t="n">
        <v>2035</v>
      </c>
      <c r="B22" s="21" t="n">
        <f aca="false">IF($A22&lt;=Model!$B$3,Data!$B$13*Model!$D$54,0)</f>
        <v>90.6883001055201</v>
      </c>
      <c r="C22" s="21" t="n">
        <f aca="false">$B22*IF(Model!$B$5=1,Data!$D$13,Model!$AC$54)</f>
        <v>19.4362991634265</v>
      </c>
      <c r="D22" s="21" t="n">
        <f aca="false">$B22*IF(Model!$B$5=1,Data!$E$13,Model!$AD$54)</f>
        <v>26.7952543032539</v>
      </c>
      <c r="E22" s="21" t="n">
        <f aca="false">$B22*IF(Model!$B$5=1,Data!$F$13,Model!$AE$54)</f>
        <v>17.4017645071213</v>
      </c>
      <c r="F22" s="21" t="n">
        <f aca="false">$B22*IF(Model!$B$5=1,Data!$G$13,Model!$AF$54)</f>
        <v>27.0549821317184</v>
      </c>
      <c r="G22" s="21" t="n">
        <f aca="false">$B22*Model!$S$54</f>
        <v>54.9060890592515</v>
      </c>
      <c r="H22" s="21" t="n">
        <f aca="false">$B22*Model!$T$54</f>
        <v>13.7103299816713</v>
      </c>
      <c r="I22" s="21" t="n">
        <f aca="false">$B22*Model!$U$54</f>
        <v>6.50152552702268</v>
      </c>
      <c r="J22" s="21" t="n">
        <f aca="false">$B22*Model!$V$54</f>
        <v>6.50152552702268</v>
      </c>
      <c r="K22" s="21" t="n">
        <f aca="false">$B22*Model!$W$54</f>
        <v>6.14905880123891</v>
      </c>
      <c r="L22" s="21" t="n">
        <f aca="false">$B22*Model!$X$54</f>
        <v>1.68514474978024</v>
      </c>
      <c r="M22" s="21" t="n">
        <f aca="false">$B22*Model!$Y$54</f>
        <v>0.966378927935198</v>
      </c>
      <c r="N22" s="21" t="n">
        <f aca="false">$B22*Model!$Z$54</f>
        <v>0.0997330566196467</v>
      </c>
      <c r="O22" s="21" t="n">
        <f aca="false">$B22*Model!$AA$54</f>
        <v>0.168514474978024</v>
      </c>
    </row>
    <row r="23" customFormat="false" ht="15" hidden="false" customHeight="true" outlineLevel="0" collapsed="false">
      <c r="A23" s="23" t="n">
        <v>2036</v>
      </c>
      <c r="B23" s="21" t="n">
        <f aca="false">IF($A23&lt;=Model!$B$3,Data!$B$14*Model!$D$54,0)</f>
        <v>68.6980106288594</v>
      </c>
      <c r="C23" s="21" t="n">
        <f aca="false">$B23*IF(Model!$B$5=1,Data!$D$14,Model!$AC$54)</f>
        <v>16.5722360355582</v>
      </c>
      <c r="D23" s="21" t="n">
        <f aca="false">$B23*IF(Model!$B$5=1,Data!$E$14,Model!$AD$54)</f>
        <v>21.3154202736719</v>
      </c>
      <c r="E23" s="21" t="n">
        <f aca="false">$B23*IF(Model!$B$5=1,Data!$F$14,Model!$AE$54)</f>
        <v>12.8462132029091</v>
      </c>
      <c r="F23" s="21" t="n">
        <f aca="false">$B23*IF(Model!$B$5=1,Data!$G$14,Model!$AF$54)</f>
        <v>17.9641411167202</v>
      </c>
      <c r="G23" s="21" t="n">
        <f aca="false">$B23*Model!$S$54</f>
        <v>41.5923452682731</v>
      </c>
      <c r="H23" s="21" t="n">
        <f aca="false">$B23*Model!$T$54</f>
        <v>10.3858203727505</v>
      </c>
      <c r="I23" s="21" t="n">
        <f aca="false">$B23*Model!$U$54</f>
        <v>4.92502196247494</v>
      </c>
      <c r="J23" s="21" t="n">
        <f aca="false">$B23*Model!$V$54</f>
        <v>4.92502196247494</v>
      </c>
      <c r="K23" s="21" t="n">
        <f aca="false">$B23*Model!$W$54</f>
        <v>4.65802210862346</v>
      </c>
      <c r="L23" s="21" t="n">
        <f aca="false">$B23*Model!$X$54</f>
        <v>1.27652731164737</v>
      </c>
      <c r="M23" s="21" t="n">
        <f aca="false">$B23*Model!$Y$54</f>
        <v>0.732049335863083</v>
      </c>
      <c r="N23" s="21" t="n">
        <f aca="false">$B23*Model!$Z$54</f>
        <v>0.0755495755872932</v>
      </c>
      <c r="O23" s="21" t="n">
        <f aca="false">$B23*Model!$AA$54</f>
        <v>0.127652731164737</v>
      </c>
    </row>
    <row r="24" customFormat="false" ht="15" hidden="false" customHeight="true" outlineLevel="0" collapsed="false">
      <c r="A24" s="23" t="n">
        <v>2037</v>
      </c>
      <c r="B24" s="21" t="n">
        <f aca="false">IF($A24&lt;=Model!$B$3,Data!$B$15*Model!$D$54,0)</f>
        <v>68.1352670005197</v>
      </c>
      <c r="C24" s="21" t="n">
        <f aca="false">$B24*IF(Model!$B$5=1,Data!$D$15,Model!$AC$54)</f>
        <v>16.4364836294698</v>
      </c>
      <c r="D24" s="21" t="n">
        <f aca="false">$B24*IF(Model!$B$5=1,Data!$E$15,Model!$AD$54)</f>
        <v>21.1408138064017</v>
      </c>
      <c r="E24" s="21" t="n">
        <f aca="false">$B24*IF(Model!$B$5=1,Data!$F$15,Model!$AE$54)</f>
        <v>12.7409827229861</v>
      </c>
      <c r="F24" s="21" t="n">
        <f aca="false">$B24*IF(Model!$B$5=1,Data!$G$15,Model!$AF$54)</f>
        <v>17.8169868416621</v>
      </c>
      <c r="G24" s="21" t="n">
        <f aca="false">$B24*Model!$S$54</f>
        <v>41.251639226378</v>
      </c>
      <c r="H24" s="21" t="n">
        <f aca="false">$B24*Model!$T$54</f>
        <v>10.3007443394513</v>
      </c>
      <c r="I24" s="21" t="n">
        <f aca="false">$B24*Model!$U$54</f>
        <v>4.88467836731919</v>
      </c>
      <c r="J24" s="21" t="n">
        <f aca="false">$B24*Model!$V$54</f>
        <v>4.88467836731919</v>
      </c>
      <c r="K24" s="21" t="n">
        <f aca="false">$B24*Model!$W$54</f>
        <v>4.61986565782818</v>
      </c>
      <c r="L24" s="21" t="n">
        <f aca="false">$B24*Model!$X$54</f>
        <v>1.26607056618334</v>
      </c>
      <c r="M24" s="21" t="n">
        <f aca="false">$B24*Model!$Y$54</f>
        <v>0.726052712443915</v>
      </c>
      <c r="N24" s="21" t="n">
        <f aca="false">$B24*Model!$Z$54</f>
        <v>0.0749307069781976</v>
      </c>
      <c r="O24" s="21" t="n">
        <f aca="false">$B24*Model!$AA$54</f>
        <v>0.126607056618334</v>
      </c>
    </row>
    <row r="25" customFormat="false" ht="15" hidden="false" customHeight="true" outlineLevel="0" collapsed="false">
      <c r="A25" s="23" t="n">
        <v>2038</v>
      </c>
      <c r="B25" s="21" t="n">
        <f aca="false">IF($A25&lt;=Model!$B$3,Data!$B$16*Model!$D$54,0)</f>
        <v>67.3127955437154</v>
      </c>
      <c r="C25" s="21" t="n">
        <f aca="false">$B25*IF(Model!$B$5=1,Data!$D$16,Model!$AC$54)</f>
        <v>16.2380762667253</v>
      </c>
      <c r="D25" s="21" t="n">
        <f aca="false">$B25*IF(Model!$B$5=1,Data!$E$16,Model!$AD$54)</f>
        <v>20.885619738853</v>
      </c>
      <c r="E25" s="21" t="n">
        <f aca="false">$B25*IF(Model!$B$5=1,Data!$F$16,Model!$AE$54)</f>
        <v>12.5871843292525</v>
      </c>
      <c r="F25" s="21" t="n">
        <f aca="false">$B25*IF(Model!$B$5=1,Data!$G$16,Model!$AF$54)</f>
        <v>17.6019152088846</v>
      </c>
      <c r="G25" s="21" t="n">
        <f aca="false">$B25*Model!$S$54</f>
        <v>40.7536842420697</v>
      </c>
      <c r="H25" s="21" t="n">
        <f aca="false">$B25*Model!$T$54</f>
        <v>10.1764024446295</v>
      </c>
      <c r="I25" s="21" t="n">
        <f aca="false">$B25*Model!$U$54</f>
        <v>4.82571465132232</v>
      </c>
      <c r="J25" s="21" t="n">
        <f aca="false">$B25*Model!$V$54</f>
        <v>4.82571465132232</v>
      </c>
      <c r="K25" s="21" t="n">
        <f aca="false">$B25*Model!$W$54</f>
        <v>4.56409853743508</v>
      </c>
      <c r="L25" s="21" t="n">
        <f aca="false">$B25*Model!$X$54</f>
        <v>1.25078763050514</v>
      </c>
      <c r="M25" s="21" t="n">
        <f aca="false">$B25*Model!$Y$54</f>
        <v>0.717288416677438</v>
      </c>
      <c r="N25" s="21" t="n">
        <f aca="false">$B25*Model!$Z$54</f>
        <v>0.0740262067033655</v>
      </c>
      <c r="O25" s="21" t="n">
        <f aca="false">$B25*Model!$AA$54</f>
        <v>0.125078763050514</v>
      </c>
    </row>
    <row r="26" customFormat="false" ht="15" hidden="false" customHeight="true" outlineLevel="0" collapsed="false">
      <c r="A26" s="23" t="n">
        <v>2039</v>
      </c>
      <c r="B26" s="21" t="n">
        <f aca="false">IF($A26&lt;=Model!$B$3,Data!$B$17*Model!$D$54,0)</f>
        <v>66.7067639439649</v>
      </c>
      <c r="C26" s="21" t="n">
        <f aca="false">$B26*IF(Model!$B$5=1,Data!$D$17,Model!$AC$54)</f>
        <v>16.0918813678609</v>
      </c>
      <c r="D26" s="21" t="n">
        <f aca="false">$B26*IF(Model!$B$5=1,Data!$E$17,Model!$AD$54)</f>
        <v>20.6975820048697</v>
      </c>
      <c r="E26" s="21" t="n">
        <f aca="false">$B26*IF(Model!$B$5=1,Data!$F$17,Model!$AE$54)</f>
        <v>12.4738591970277</v>
      </c>
      <c r="F26" s="21" t="n">
        <f aca="false">$B26*IF(Model!$B$5=1,Data!$G$17,Model!$AF$54)</f>
        <v>17.4434413742066</v>
      </c>
      <c r="G26" s="21" t="n">
        <f aca="false">$B26*Model!$S$54</f>
        <v>40.3867700431058</v>
      </c>
      <c r="H26" s="21" t="n">
        <f aca="false">$B26*Model!$T$54</f>
        <v>10.0847821010766</v>
      </c>
      <c r="I26" s="21" t="n">
        <f aca="false">$B26*Model!$U$54</f>
        <v>4.78226770269306</v>
      </c>
      <c r="J26" s="21" t="n">
        <f aca="false">$B26*Model!$V$54</f>
        <v>4.78226770269306</v>
      </c>
      <c r="K26" s="21" t="n">
        <f aca="false">$B26*Model!$W$54</f>
        <v>4.52300697504017</v>
      </c>
      <c r="L26" s="21" t="n">
        <f aca="false">$B26*Model!$X$54</f>
        <v>1.23952652000542</v>
      </c>
      <c r="M26" s="21" t="n">
        <f aca="false">$B26*Model!$Y$54</f>
        <v>0.710830514533718</v>
      </c>
      <c r="N26" s="21" t="n">
        <f aca="false">$B26*Model!$Z$54</f>
        <v>0.0733597328166471</v>
      </c>
      <c r="O26" s="21" t="n">
        <f aca="false">$B26*Model!$AA$54</f>
        <v>0.123952652000542</v>
      </c>
    </row>
    <row r="27" customFormat="false" ht="15" hidden="false" customHeight="true" outlineLevel="0" collapsed="false">
      <c r="A27" s="23" t="n">
        <v>2040</v>
      </c>
      <c r="B27" s="21" t="n">
        <f aca="false">IF($A27&lt;=Model!$B$3,Data!$B$18*Model!$D$54,0)</f>
        <v>66.0141564013929</v>
      </c>
      <c r="C27" s="21" t="n">
        <f aca="false">$B27*IF(Model!$B$5=1,Data!$D$18,Model!$AC$54)</f>
        <v>15.9248014834444</v>
      </c>
      <c r="D27" s="21" t="n">
        <f aca="false">$B27*IF(Model!$B$5=1,Data!$E$18,Model!$AD$54)</f>
        <v>20.4826817374604</v>
      </c>
      <c r="E27" s="21" t="n">
        <f aca="false">$B27*IF(Model!$B$5=1,Data!$F$18,Model!$AE$54)</f>
        <v>12.3443447601994</v>
      </c>
      <c r="F27" s="21" t="n">
        <f aca="false">$B27*IF(Model!$B$5=1,Data!$G$18,Model!$AF$54)</f>
        <v>17.2623284202888</v>
      </c>
      <c r="G27" s="21" t="n">
        <f aca="false">$B27*Model!$S$54</f>
        <v>39.9674395300041</v>
      </c>
      <c r="H27" s="21" t="n">
        <f aca="false">$B27*Model!$T$54</f>
        <v>9.98007313701607</v>
      </c>
      <c r="I27" s="21" t="n">
        <f aca="false">$B27*Model!$U$54</f>
        <v>4.73261404711675</v>
      </c>
      <c r="J27" s="21" t="n">
        <f aca="false">$B27*Model!$V$54</f>
        <v>4.73261404711675</v>
      </c>
      <c r="K27" s="21" t="n">
        <f aca="false">$B27*Model!$W$54</f>
        <v>4.47604518944598</v>
      </c>
      <c r="L27" s="21" t="n">
        <f aca="false">$B27*Model!$X$54</f>
        <v>1.2266566794343</v>
      </c>
      <c r="M27" s="21" t="n">
        <f aca="false">$B27*Model!$Y$54</f>
        <v>0.703450054940896</v>
      </c>
      <c r="N27" s="21" t="n">
        <f aca="false">$B27*Model!$Z$54</f>
        <v>0.0725980483746832</v>
      </c>
      <c r="O27" s="21" t="n">
        <f aca="false">$B27*Model!$AA$54</f>
        <v>0.12266566794343</v>
      </c>
    </row>
    <row r="28" customFormat="false" ht="15" hidden="false" customHeight="true" outlineLevel="0" collapsed="false">
      <c r="A28" s="24" t="s">
        <v>118</v>
      </c>
      <c r="B28" s="25" t="n">
        <f aca="false">SUM(B13:B27)</f>
        <v>1725.63169231812</v>
      </c>
      <c r="C28" s="25" t="n">
        <f aca="false">SUM(C13:C27)</f>
        <v>416.278120266069</v>
      </c>
      <c r="D28" s="25" t="n">
        <f aca="false">SUM(D13:D27)</f>
        <v>535.423308702677</v>
      </c>
      <c r="E28" s="25" t="n">
        <f aca="false">SUM(E13:E27)</f>
        <v>322.685441213091</v>
      </c>
      <c r="F28" s="25" t="n">
        <f aca="false">SUM(F13:F27)</f>
        <v>451.24482213628</v>
      </c>
      <c r="G28" s="25" t="n">
        <f aca="false">SUM(G13:G27)</f>
        <v>1044.76197339284</v>
      </c>
      <c r="H28" s="25" t="n">
        <f aca="false">SUM(H13:H27)</f>
        <v>260.882383956727</v>
      </c>
      <c r="I28" s="25" t="n">
        <f aca="false">SUM(I13:I27)</f>
        <v>123.712082868369</v>
      </c>
      <c r="J28" s="25" t="n">
        <f aca="false">SUM(J13:J27)</f>
        <v>123.712082868369</v>
      </c>
      <c r="K28" s="25" t="n">
        <f aca="false">SUM(K13:K27)</f>
        <v>117.005288807918</v>
      </c>
      <c r="L28" s="25" t="n">
        <f aca="false">SUM(L13:L27)</f>
        <v>32.0652077829305</v>
      </c>
      <c r="M28" s="25" t="n">
        <f aca="false">SUM(M13:M27)</f>
        <v>18.3884150755173</v>
      </c>
      <c r="N28" s="25" t="n">
        <f aca="false">SUM(N13:N27)</f>
        <v>1.89773678715303</v>
      </c>
      <c r="O28" s="25" t="n">
        <f aca="false">SUM(O13:O27)</f>
        <v>3.20652077829305</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0.186995546413275</v>
      </c>
      <c r="F29" s="26" t="n">
        <f aca="false">IF($B$28&gt;0,F28/$B$28,0)</f>
        <v>0.261495442014109</v>
      </c>
      <c r="G29" s="26" t="n">
        <f aca="false">IF($B$28&gt;0,G28/$B$28,0)</f>
        <v>0.605437404773997</v>
      </c>
      <c r="H29" s="26" t="n">
        <f aca="false">IF($B$28&gt;0,H28/$B$28,0)</f>
        <v>0.151180802437786</v>
      </c>
      <c r="I29" s="26" t="n">
        <f aca="false">IF($B$28&gt;0,I28/$B$28,0)</f>
        <v>0.0716908963941087</v>
      </c>
      <c r="J29" s="26" t="n">
        <f aca="false">IF($B$28&gt;0,J28/$B$28,0)</f>
        <v>0.0716908963941087</v>
      </c>
      <c r="K29" s="26" t="n">
        <f aca="false">IF($B$28&gt;0,K28/$B$28,0)</f>
        <v>0.0678043230944255</v>
      </c>
      <c r="L29" s="26" t="n">
        <f aca="false">IF($B$28&gt;0,L28/$B$28,0)</f>
        <v>0.018581721653394</v>
      </c>
      <c r="M29" s="26" t="n">
        <f aca="false">IF($B$28&gt;0,M28/$B$28,0)</f>
        <v>0.0106560485400076</v>
      </c>
      <c r="N29" s="26" t="n">
        <f aca="false">IF($B$28&gt;0,N28/$B$28,0)</f>
        <v>0.00109973454683352</v>
      </c>
      <c r="O29" s="26" t="n">
        <f aca="false">IF($B$28&gt;0,O28/$B$28,0)</f>
        <v>0.0018581721653394</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Data!$H$31*Data!$M$31/SUM(Data!$H$31:$K$31)</f>
        <v>88.6809470124014</v>
      </c>
      <c r="C34" s="22" t="n">
        <f aca="false">IF($B$38&gt;0,B34/$B$38,0)</f>
        <v>0.0405862457722661</v>
      </c>
      <c r="D34" s="21" t="n">
        <f aca="false">C28</f>
        <v>416.278120266069</v>
      </c>
      <c r="E34" s="22" t="n">
        <f aca="false">IF($D$38&gt;0,D34/$D$38,0)</f>
        <v>0.241232310532536</v>
      </c>
      <c r="F34" s="21" t="n">
        <f aca="false">B34+D34</f>
        <v>504.95906727847</v>
      </c>
      <c r="G34" s="22" t="n">
        <f aca="false">IF($F$38&gt;0,F34/$F$38,0)</f>
        <v>0.129124680360564</v>
      </c>
    </row>
    <row r="35" customFormat="false" ht="15" hidden="false" customHeight="true" outlineLevel="0" collapsed="false">
      <c r="A35" s="13" t="s">
        <v>106</v>
      </c>
      <c r="B35" s="21" t="n">
        <f aca="false">Data!$I$31*Data!$M$31/SUM(Data!$H$31:$K$31)</f>
        <v>549.329199549042</v>
      </c>
      <c r="C35" s="22" t="n">
        <f aca="false">IF($B$38&gt;0,B35/$B$38,0)</f>
        <v>0.25140924464487</v>
      </c>
      <c r="D35" s="21" t="n">
        <f aca="false">D28</f>
        <v>535.423308702677</v>
      </c>
      <c r="E35" s="22" t="n">
        <f aca="false">IF($D$38&gt;0,D35/$D$38,0)</f>
        <v>0.310276701040081</v>
      </c>
      <c r="F35" s="21" t="n">
        <f aca="false">B35+D35</f>
        <v>1084.75250825172</v>
      </c>
      <c r="G35" s="22" t="n">
        <f aca="false">IF($F$38&gt;0,F35/$F$38,0)</f>
        <v>0.277385495131787</v>
      </c>
    </row>
    <row r="36" customFormat="false" ht="15" hidden="false" customHeight="true" outlineLevel="0" collapsed="false">
      <c r="A36" s="13" t="s">
        <v>107</v>
      </c>
      <c r="B36" s="21" t="n">
        <f aca="false">Data!$J$31*Data!$M$31/SUM(Data!$H$31:$K$31)</f>
        <v>1189.80270574972</v>
      </c>
      <c r="C36" s="22" t="n">
        <f aca="false">IF($B$38&gt;0,B36/$B$38,0)</f>
        <v>0.544532130777903</v>
      </c>
      <c r="D36" s="21" t="n">
        <f aca="false">E28</f>
        <v>322.685441213091</v>
      </c>
      <c r="E36" s="22" t="n">
        <f aca="false">IF($D$38&gt;0,D36/$D$38,0)</f>
        <v>0.186995546413275</v>
      </c>
      <c r="F36" s="21" t="n">
        <f aca="false">B36+D36</f>
        <v>1512.48814696281</v>
      </c>
      <c r="G36" s="22" t="n">
        <f aca="false">IF($F$38&gt;0,F36/$F$38,0)</f>
        <v>0.386763128303256</v>
      </c>
    </row>
    <row r="37" customFormat="false" ht="15" hidden="false" customHeight="true" outlineLevel="0" collapsed="false">
      <c r="A37" s="13" t="s">
        <v>108</v>
      </c>
      <c r="B37" s="21" t="n">
        <f aca="false">Data!$K$31*Data!$M$31/SUM(Data!$H$31:$K$31)</f>
        <v>357.187147688839</v>
      </c>
      <c r="C37" s="22" t="n">
        <f aca="false">IF($B$38&gt;0,B37/$B$38,0)</f>
        <v>0.163472378804961</v>
      </c>
      <c r="D37" s="21" t="n">
        <f aca="false">F28</f>
        <v>451.24482213628</v>
      </c>
      <c r="E37" s="22" t="n">
        <f aca="false">IF($D$38&gt;0,D37/$D$38,0)</f>
        <v>0.261495442014109</v>
      </c>
      <c r="F37" s="21" t="n">
        <f aca="false">B37+D37</f>
        <v>808.431969825119</v>
      </c>
      <c r="G37" s="22" t="n">
        <f aca="false">IF($F$38&gt;0,F37/$F$38,0)</f>
        <v>0.206726696204393</v>
      </c>
    </row>
    <row r="38" customFormat="false" ht="15" hidden="false" customHeight="true" outlineLevel="0" collapsed="false">
      <c r="A38" s="24" t="s">
        <v>61</v>
      </c>
      <c r="B38" s="25" t="n">
        <f aca="false">SUM(B34:B37)</f>
        <v>2185</v>
      </c>
      <c r="C38" s="27" t="n">
        <f aca="false">SUM(C34:C37)</f>
        <v>1</v>
      </c>
      <c r="D38" s="25" t="n">
        <f aca="false">SUM(D34:D37)</f>
        <v>1725.63169231812</v>
      </c>
      <c r="E38" s="27" t="n">
        <f aca="false">SUM(E34:E37)</f>
        <v>1</v>
      </c>
      <c r="F38" s="25" t="n">
        <f aca="false">SUM(F34:F37)</f>
        <v>3910.63169231812</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8B79C"/>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172</v>
      </c>
    </row>
    <row r="2" customFormat="false" ht="15" hidden="false" customHeight="true" outlineLevel="0" collapsed="false">
      <c r="A2" s="3" t="str">
        <f aca="false">Model!$B$55&amp;" · new homes per year, 2026–"&amp;Model!$B$3&amp;" · set by the levers on the Intro tab"</f>
        <v>Key town · new homes per year, 2026–2040 · set by the levers on the Intro tab</v>
      </c>
    </row>
    <row r="4" customFormat="false" ht="15" hidden="false" customHeight="true" outlineLevel="0" collapsed="false">
      <c r="A4" s="13" t="s">
        <v>332</v>
      </c>
      <c r="C4" s="67" t="n">
        <f aca="false">Model!$D$55</f>
        <v>0.0135273812855677</v>
      </c>
    </row>
    <row r="5" customFormat="false" ht="15" hidden="false" customHeight="true" outlineLevel="0" collapsed="false">
      <c r="A5" s="13" t="s">
        <v>53</v>
      </c>
      <c r="C5" s="14" t="n">
        <f aca="false">Model!$E$55</f>
        <v>539.25552756787</v>
      </c>
    </row>
    <row r="6" customFormat="false" ht="15" hidden="false" customHeight="true" outlineLevel="0" collapsed="false">
      <c r="A6" s="13" t="s">
        <v>99</v>
      </c>
      <c r="C6" s="15" t="n">
        <f aca="false">Model!$Q$55</f>
        <v>0.1</v>
      </c>
    </row>
    <row r="7" customFormat="false" ht="15" hidden="false" customHeight="true" outlineLevel="0" collapsed="false">
      <c r="A7" s="13" t="s">
        <v>100</v>
      </c>
      <c r="C7" s="15" t="n">
        <f aca="false">Model!$G$55</f>
        <v>0.21444</v>
      </c>
    </row>
    <row r="8" customFormat="false" ht="15" hidden="false" customHeight="true" outlineLevel="0" collapsed="false">
      <c r="A8" s="13" t="s">
        <v>101</v>
      </c>
      <c r="C8" s="15" t="n">
        <f aca="false">Model!$R$55</f>
        <v>0.172265272884879</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IF($A13&lt;=Model!$B$3,Data!$B$4*Model!$D$55,0)</f>
        <v>57.667226420375</v>
      </c>
      <c r="C13" s="21" t="n">
        <f aca="false">$B13*IF(Model!$B$5=1,Data!$D$4,Model!$AC$55)</f>
        <v>14.917202331537</v>
      </c>
      <c r="D13" s="21" t="n">
        <f aca="false">$B13*IF(Model!$B$5=1,Data!$E$4,Model!$AD$55)</f>
        <v>18.257681910766</v>
      </c>
      <c r="E13" s="21" t="n">
        <f aca="false">$B13*IF(Model!$B$5=1,Data!$F$4,Model!$AE$55)</f>
        <v>10.6706007611811</v>
      </c>
      <c r="F13" s="21" t="n">
        <f aca="false">$B13*IF(Model!$B$5=1,Data!$G$4,Model!$AF$55)</f>
        <v>13.821741416891</v>
      </c>
      <c r="G13" s="21" t="n">
        <f aca="false">$B13*Model!$S$55</f>
        <v>34.9138959044663</v>
      </c>
      <c r="H13" s="21" t="n">
        <f aca="false">$B13*Model!$T$55</f>
        <v>8.71817756459377</v>
      </c>
      <c r="I13" s="21" t="n">
        <f aca="false">$B13*Model!$U$55</f>
        <v>4.13421515463871</v>
      </c>
      <c r="J13" s="21" t="n">
        <f aca="false">$B13*Model!$V$55</f>
        <v>4.13421515463871</v>
      </c>
      <c r="K13" s="21" t="n">
        <f aca="false">$B13*Model!$W$55</f>
        <v>3.9100872521665</v>
      </c>
      <c r="L13" s="21" t="n">
        <f aca="false">$B13*Model!$X$55</f>
        <v>1.07155634986666</v>
      </c>
      <c r="M13" s="21" t="n">
        <f aca="false">$B13*Model!$Y$55</f>
        <v>0.614504763903124</v>
      </c>
      <c r="N13" s="21" t="n">
        <f aca="false">$B13*Model!$Z$55</f>
        <v>0.0634186411145573</v>
      </c>
      <c r="O13" s="21" t="n">
        <f aca="false">$B13*Model!$AA$55</f>
        <v>0.107155634986666</v>
      </c>
    </row>
    <row r="14" customFormat="false" ht="15" hidden="false" customHeight="true" outlineLevel="0" collapsed="false">
      <c r="A14" s="23" t="n">
        <v>2027</v>
      </c>
      <c r="B14" s="21" t="n">
        <f aca="false">IF($A14&lt;=Model!$B$3,Data!$B$5*Model!$D$55,0)</f>
        <v>57.667226420375</v>
      </c>
      <c r="C14" s="21" t="n">
        <f aca="false">$B14*IF(Model!$B$5=1,Data!$D$5,Model!$AC$55)</f>
        <v>14.4979518580305</v>
      </c>
      <c r="D14" s="21" t="n">
        <f aca="false">$B14*IF(Model!$B$5=1,Data!$E$5,Model!$AD$55)</f>
        <v>18.3117787460572</v>
      </c>
      <c r="E14" s="21" t="n">
        <f aca="false">$B14*IF(Model!$B$5=1,Data!$F$5,Model!$AE$55)</f>
        <v>10.6435523435355</v>
      </c>
      <c r="F14" s="21" t="n">
        <f aca="false">$B14*IF(Model!$B$5=1,Data!$G$5,Model!$AF$55)</f>
        <v>14.2139434727519</v>
      </c>
      <c r="G14" s="21" t="n">
        <f aca="false">$B14*Model!$S$55</f>
        <v>34.9138959044663</v>
      </c>
      <c r="H14" s="21" t="n">
        <f aca="false">$B14*Model!$T$55</f>
        <v>8.71817756459377</v>
      </c>
      <c r="I14" s="21" t="n">
        <f aca="false">$B14*Model!$U$55</f>
        <v>4.13421515463871</v>
      </c>
      <c r="J14" s="21" t="n">
        <f aca="false">$B14*Model!$V$55</f>
        <v>4.13421515463871</v>
      </c>
      <c r="K14" s="21" t="n">
        <f aca="false">$B14*Model!$W$55</f>
        <v>3.9100872521665</v>
      </c>
      <c r="L14" s="21" t="n">
        <f aca="false">$B14*Model!$X$55</f>
        <v>1.07155634986666</v>
      </c>
      <c r="M14" s="21" t="n">
        <f aca="false">$B14*Model!$Y$55</f>
        <v>0.614504763903124</v>
      </c>
      <c r="N14" s="21" t="n">
        <f aca="false">$B14*Model!$Z$55</f>
        <v>0.0634186411145573</v>
      </c>
      <c r="O14" s="21" t="n">
        <f aca="false">$B14*Model!$AA$55</f>
        <v>0.107155634986666</v>
      </c>
    </row>
    <row r="15" customFormat="false" ht="15" hidden="false" customHeight="true" outlineLevel="0" collapsed="false">
      <c r="A15" s="23" t="n">
        <v>2028</v>
      </c>
      <c r="B15" s="21" t="n">
        <f aca="false">IF($A15&lt;=Model!$B$3,Data!$B$6*Model!$D$55,0)</f>
        <v>57.667226420375</v>
      </c>
      <c r="C15" s="21" t="n">
        <f aca="false">$B15*IF(Model!$B$5=1,Data!$D$6,Model!$AC$55)</f>
        <v>14.4506329931864</v>
      </c>
      <c r="D15" s="21" t="n">
        <f aca="false">$B15*IF(Model!$B$5=1,Data!$E$6,Model!$AD$55)</f>
        <v>18.3203717909873</v>
      </c>
      <c r="E15" s="21" t="n">
        <f aca="false">$B15*IF(Model!$B$5=1,Data!$F$6,Model!$AE$55)</f>
        <v>10.6485469715709</v>
      </c>
      <c r="F15" s="21" t="n">
        <f aca="false">$B15*IF(Model!$B$5=1,Data!$G$6,Model!$AF$55)</f>
        <v>14.2476746646304</v>
      </c>
      <c r="G15" s="21" t="n">
        <f aca="false">$B15*Model!$S$55</f>
        <v>34.9138959044663</v>
      </c>
      <c r="H15" s="21" t="n">
        <f aca="false">$B15*Model!$T$55</f>
        <v>8.71817756459377</v>
      </c>
      <c r="I15" s="21" t="n">
        <f aca="false">$B15*Model!$U$55</f>
        <v>4.13421515463871</v>
      </c>
      <c r="J15" s="21" t="n">
        <f aca="false">$B15*Model!$V$55</f>
        <v>4.13421515463871</v>
      </c>
      <c r="K15" s="21" t="n">
        <f aca="false">$B15*Model!$W$55</f>
        <v>3.9100872521665</v>
      </c>
      <c r="L15" s="21" t="n">
        <f aca="false">$B15*Model!$X$55</f>
        <v>1.07155634986666</v>
      </c>
      <c r="M15" s="21" t="n">
        <f aca="false">$B15*Model!$Y$55</f>
        <v>0.614504763903124</v>
      </c>
      <c r="N15" s="21" t="n">
        <f aca="false">$B15*Model!$Z$55</f>
        <v>0.0634186411145573</v>
      </c>
      <c r="O15" s="21" t="n">
        <f aca="false">$B15*Model!$AA$55</f>
        <v>0.107155634986666</v>
      </c>
    </row>
    <row r="16" customFormat="false" ht="15" hidden="false" customHeight="true" outlineLevel="0" collapsed="false">
      <c r="A16" s="23" t="n">
        <v>2029</v>
      </c>
      <c r="B16" s="21" t="n">
        <f aca="false">IF($A16&lt;=Model!$B$3,Data!$B$7*Model!$D$55,0)</f>
        <v>57.667226420375</v>
      </c>
      <c r="C16" s="21" t="n">
        <f aca="false">$B16*IF(Model!$B$5=1,Data!$D$7,Model!$AC$55)</f>
        <v>14.2984420188451</v>
      </c>
      <c r="D16" s="21" t="n">
        <f aca="false">$B16*IF(Model!$B$5=1,Data!$E$7,Model!$AD$55)</f>
        <v>18.2213825916597</v>
      </c>
      <c r="E16" s="21" t="n">
        <f aca="false">$B16*IF(Model!$B$5=1,Data!$F$7,Model!$AE$55)</f>
        <v>10.5784121653139</v>
      </c>
      <c r="F16" s="21" t="n">
        <f aca="false">$B16*IF(Model!$B$5=1,Data!$G$7,Model!$AF$55)</f>
        <v>14.5689896445564</v>
      </c>
      <c r="G16" s="21" t="n">
        <f aca="false">$B16*Model!$S$55</f>
        <v>34.9138959044663</v>
      </c>
      <c r="H16" s="21" t="n">
        <f aca="false">$B16*Model!$T$55</f>
        <v>8.71817756459377</v>
      </c>
      <c r="I16" s="21" t="n">
        <f aca="false">$B16*Model!$U$55</f>
        <v>4.13421515463871</v>
      </c>
      <c r="J16" s="21" t="n">
        <f aca="false">$B16*Model!$V$55</f>
        <v>4.13421515463871</v>
      </c>
      <c r="K16" s="21" t="n">
        <f aca="false">$B16*Model!$W$55</f>
        <v>3.9100872521665</v>
      </c>
      <c r="L16" s="21" t="n">
        <f aca="false">$B16*Model!$X$55</f>
        <v>1.07155634986666</v>
      </c>
      <c r="M16" s="21" t="n">
        <f aca="false">$B16*Model!$Y$55</f>
        <v>0.614504763903124</v>
      </c>
      <c r="N16" s="21" t="n">
        <f aca="false">$B16*Model!$Z$55</f>
        <v>0.0634186411145573</v>
      </c>
      <c r="O16" s="21" t="n">
        <f aca="false">$B16*Model!$AA$55</f>
        <v>0.107155634986666</v>
      </c>
    </row>
    <row r="17" customFormat="false" ht="15" hidden="false" customHeight="true" outlineLevel="0" collapsed="false">
      <c r="A17" s="23" t="n">
        <v>2030</v>
      </c>
      <c r="B17" s="21" t="n">
        <f aca="false">IF($A17&lt;=Model!$B$3,Data!$B$8*Model!$D$55,0)</f>
        <v>57.667226420375</v>
      </c>
      <c r="C17" s="21" t="n">
        <f aca="false">$B17*IF(Model!$B$5=1,Data!$D$8,Model!$AC$55)</f>
        <v>14.2747357751046</v>
      </c>
      <c r="D17" s="21" t="n">
        <f aca="false">$B17*IF(Model!$B$5=1,Data!$E$8,Model!$AD$55)</f>
        <v>17.9550467995865</v>
      </c>
      <c r="E17" s="21" t="n">
        <f aca="false">$B17*IF(Model!$B$5=1,Data!$F$8,Model!$AE$55)</f>
        <v>10.5944247506226</v>
      </c>
      <c r="F17" s="21" t="n">
        <f aca="false">$B17*IF(Model!$B$5=1,Data!$G$8,Model!$AF$55)</f>
        <v>14.8430190950613</v>
      </c>
      <c r="G17" s="21" t="n">
        <f aca="false">$B17*Model!$S$55</f>
        <v>34.9138959044663</v>
      </c>
      <c r="H17" s="21" t="n">
        <f aca="false">$B17*Model!$T$55</f>
        <v>8.71817756459377</v>
      </c>
      <c r="I17" s="21" t="n">
        <f aca="false">$B17*Model!$U$55</f>
        <v>4.13421515463871</v>
      </c>
      <c r="J17" s="21" t="n">
        <f aca="false">$B17*Model!$V$55</f>
        <v>4.13421515463871</v>
      </c>
      <c r="K17" s="21" t="n">
        <f aca="false">$B17*Model!$W$55</f>
        <v>3.9100872521665</v>
      </c>
      <c r="L17" s="21" t="n">
        <f aca="false">$B17*Model!$X$55</f>
        <v>1.07155634986666</v>
      </c>
      <c r="M17" s="21" t="n">
        <f aca="false">$B17*Model!$Y$55</f>
        <v>0.614504763903124</v>
      </c>
      <c r="N17" s="21" t="n">
        <f aca="false">$B17*Model!$Z$55</f>
        <v>0.0634186411145573</v>
      </c>
      <c r="O17" s="21" t="n">
        <f aca="false">$B17*Model!$AA$55</f>
        <v>0.107155634986666</v>
      </c>
    </row>
    <row r="18" customFormat="false" ht="15" hidden="false" customHeight="true" outlineLevel="0" collapsed="false">
      <c r="A18" s="23" t="n">
        <v>2031</v>
      </c>
      <c r="B18" s="21" t="n">
        <f aca="false">IF($A18&lt;=Model!$B$3,Data!$B$9*Model!$D$55,0)</f>
        <v>29.3273626271107</v>
      </c>
      <c r="C18" s="21" t="n">
        <f aca="false">$B18*IF(Model!$B$5=1,Data!$D$9,Model!$AC$55)</f>
        <v>6.77721802406941</v>
      </c>
      <c r="D18" s="21" t="n">
        <f aca="false">$B18*IF(Model!$B$5=1,Data!$E$9,Model!$AD$55)</f>
        <v>8.91454426718911</v>
      </c>
      <c r="E18" s="21" t="n">
        <f aca="false">$B18*IF(Model!$B$5=1,Data!$F$9,Model!$AE$55)</f>
        <v>5.5732810896539</v>
      </c>
      <c r="F18" s="21" t="n">
        <f aca="false">$B18*IF(Model!$B$5=1,Data!$G$9,Model!$AF$55)</f>
        <v>8.06231924619835</v>
      </c>
      <c r="G18" s="21" t="n">
        <f aca="false">$B18*Model!$S$55</f>
        <v>17.7558823178238</v>
      </c>
      <c r="H18" s="21" t="n">
        <f aca="false">$B18*Model!$T$55</f>
        <v>4.43373421535053</v>
      </c>
      <c r="I18" s="21" t="n">
        <f aca="false">$B18*Model!$U$55</f>
        <v>2.10250491561265</v>
      </c>
      <c r="J18" s="21" t="n">
        <f aca="false">$B18*Model!$V$55</f>
        <v>2.10250491561265</v>
      </c>
      <c r="K18" s="21" t="n">
        <f aca="false">$B18*Model!$W$55</f>
        <v>1.988521971076</v>
      </c>
      <c r="L18" s="21" t="n">
        <f aca="false">$B18*Model!$X$55</f>
        <v>0.544952889165122</v>
      </c>
      <c r="M18" s="21" t="n">
        <f aca="false">$B18*Model!$Y$55</f>
        <v>0.312513799704896</v>
      </c>
      <c r="N18" s="21" t="n">
        <f aca="false">$B18*Model!$Z$55</f>
        <v>0.032252313848548</v>
      </c>
      <c r="O18" s="21" t="n">
        <f aca="false">$B18*Model!$AA$55</f>
        <v>0.0544952889165122</v>
      </c>
    </row>
    <row r="19" customFormat="false" ht="15" hidden="false" customHeight="true" outlineLevel="0" collapsed="false">
      <c r="A19" s="23" t="n">
        <v>2032</v>
      </c>
      <c r="B19" s="21" t="n">
        <f aca="false">IF($A19&lt;=Model!$B$3,Data!$B$10*Model!$D$55,0)</f>
        <v>29.3273626271107</v>
      </c>
      <c r="C19" s="21" t="n">
        <f aca="false">$B19*IF(Model!$B$5=1,Data!$D$10,Model!$AC$55)</f>
        <v>6.52019777964364</v>
      </c>
      <c r="D19" s="21" t="n">
        <f aca="false">$B19*IF(Model!$B$5=1,Data!$E$10,Model!$AD$55)</f>
        <v>8.73868831047672</v>
      </c>
      <c r="E19" s="21" t="n">
        <f aca="false">$B19*IF(Model!$B$5=1,Data!$F$10,Model!$AE$55)</f>
        <v>5.66797275865287</v>
      </c>
      <c r="F19" s="21" t="n">
        <f aca="false">$B19*IF(Model!$B$5=1,Data!$G$10,Model!$AF$55)</f>
        <v>8.40050377833753</v>
      </c>
      <c r="G19" s="21" t="n">
        <f aca="false">$B19*Model!$S$55</f>
        <v>17.7558823178238</v>
      </c>
      <c r="H19" s="21" t="n">
        <f aca="false">$B19*Model!$T$55</f>
        <v>4.43373421535053</v>
      </c>
      <c r="I19" s="21" t="n">
        <f aca="false">$B19*Model!$U$55</f>
        <v>2.10250491561265</v>
      </c>
      <c r="J19" s="21" t="n">
        <f aca="false">$B19*Model!$V$55</f>
        <v>2.10250491561265</v>
      </c>
      <c r="K19" s="21" t="n">
        <f aca="false">$B19*Model!$W$55</f>
        <v>1.988521971076</v>
      </c>
      <c r="L19" s="21" t="n">
        <f aca="false">$B19*Model!$X$55</f>
        <v>0.544952889165122</v>
      </c>
      <c r="M19" s="21" t="n">
        <f aca="false">$B19*Model!$Y$55</f>
        <v>0.312513799704896</v>
      </c>
      <c r="N19" s="21" t="n">
        <f aca="false">$B19*Model!$Z$55</f>
        <v>0.032252313848548</v>
      </c>
      <c r="O19" s="21" t="n">
        <f aca="false">$B19*Model!$AA$55</f>
        <v>0.0544952889165122</v>
      </c>
    </row>
    <row r="20" customFormat="false" ht="15" hidden="false" customHeight="true" outlineLevel="0" collapsed="false">
      <c r="A20" s="23" t="n">
        <v>2033</v>
      </c>
      <c r="B20" s="21" t="n">
        <f aca="false">IF($A20&lt;=Model!$B$3,Data!$B$11*Model!$D$55,0)</f>
        <v>29.3273626271107</v>
      </c>
      <c r="C20" s="21" t="n">
        <f aca="false">$B20*IF(Model!$B$5=1,Data!$D$11,Model!$AC$55)</f>
        <v>6.46907214386661</v>
      </c>
      <c r="D20" s="21" t="n">
        <f aca="false">$B20*IF(Model!$B$5=1,Data!$E$11,Model!$AD$55)</f>
        <v>8.76978817829614</v>
      </c>
      <c r="E20" s="21" t="n">
        <f aca="false">$B20*IF(Model!$B$5=1,Data!$F$11,Model!$AE$55)</f>
        <v>5.67058834368223</v>
      </c>
      <c r="F20" s="21" t="n">
        <f aca="false">$B20*IF(Model!$B$5=1,Data!$G$11,Model!$AF$55)</f>
        <v>8.41791396126576</v>
      </c>
      <c r="G20" s="21" t="n">
        <f aca="false">$B20*Model!$S$55</f>
        <v>17.7558823178238</v>
      </c>
      <c r="H20" s="21" t="n">
        <f aca="false">$B20*Model!$T$55</f>
        <v>4.43373421535053</v>
      </c>
      <c r="I20" s="21" t="n">
        <f aca="false">$B20*Model!$U$55</f>
        <v>2.10250491561265</v>
      </c>
      <c r="J20" s="21" t="n">
        <f aca="false">$B20*Model!$V$55</f>
        <v>2.10250491561265</v>
      </c>
      <c r="K20" s="21" t="n">
        <f aca="false">$B20*Model!$W$55</f>
        <v>1.988521971076</v>
      </c>
      <c r="L20" s="21" t="n">
        <f aca="false">$B20*Model!$X$55</f>
        <v>0.544952889165122</v>
      </c>
      <c r="M20" s="21" t="n">
        <f aca="false">$B20*Model!$Y$55</f>
        <v>0.312513799704896</v>
      </c>
      <c r="N20" s="21" t="n">
        <f aca="false">$B20*Model!$Z$55</f>
        <v>0.032252313848548</v>
      </c>
      <c r="O20" s="21" t="n">
        <f aca="false">$B20*Model!$AA$55</f>
        <v>0.0544952889165122</v>
      </c>
    </row>
    <row r="21" customFormat="false" ht="15" hidden="false" customHeight="true" outlineLevel="0" collapsed="false">
      <c r="A21" s="23" t="n">
        <v>2034</v>
      </c>
      <c r="B21" s="21" t="n">
        <f aca="false">IF($A21&lt;=Model!$B$3,Data!$B$12*Model!$D$55,0)</f>
        <v>29.3273626271107</v>
      </c>
      <c r="C21" s="21" t="n">
        <f aca="false">$B21*IF(Model!$B$5=1,Data!$D$12,Model!$AC$55)</f>
        <v>6.4119787293591</v>
      </c>
      <c r="D21" s="21" t="n">
        <f aca="false">$B21*IF(Model!$B$5=1,Data!$E$12,Model!$AD$55)</f>
        <v>8.79279783561901</v>
      </c>
      <c r="E21" s="21" t="n">
        <f aca="false">$B21*IF(Model!$B$5=1,Data!$F$12,Model!$AE$55)</f>
        <v>5.66797275865287</v>
      </c>
      <c r="F21" s="21" t="n">
        <f aca="false">$B21*IF(Model!$B$5=1,Data!$G$12,Model!$AF$55)</f>
        <v>8.45461330347979</v>
      </c>
      <c r="G21" s="21" t="n">
        <f aca="false">$B21*Model!$S$55</f>
        <v>17.7558823178238</v>
      </c>
      <c r="H21" s="21" t="n">
        <f aca="false">$B21*Model!$T$55</f>
        <v>4.43373421535053</v>
      </c>
      <c r="I21" s="21" t="n">
        <f aca="false">$B21*Model!$U$55</f>
        <v>2.10250491561265</v>
      </c>
      <c r="J21" s="21" t="n">
        <f aca="false">$B21*Model!$V$55</f>
        <v>2.10250491561265</v>
      </c>
      <c r="K21" s="21" t="n">
        <f aca="false">$B21*Model!$W$55</f>
        <v>1.988521971076</v>
      </c>
      <c r="L21" s="21" t="n">
        <f aca="false">$B21*Model!$X$55</f>
        <v>0.544952889165122</v>
      </c>
      <c r="M21" s="21" t="n">
        <f aca="false">$B21*Model!$Y$55</f>
        <v>0.312513799704896</v>
      </c>
      <c r="N21" s="21" t="n">
        <f aca="false">$B21*Model!$Z$55</f>
        <v>0.032252313848548</v>
      </c>
      <c r="O21" s="21" t="n">
        <f aca="false">$B21*Model!$AA$55</f>
        <v>0.0544952889165122</v>
      </c>
    </row>
    <row r="22" customFormat="false" ht="15" hidden="false" customHeight="true" outlineLevel="0" collapsed="false">
      <c r="A22" s="23" t="n">
        <v>2035</v>
      </c>
      <c r="B22" s="21" t="n">
        <f aca="false">IF($A22&lt;=Model!$B$3,Data!$B$13*Model!$D$55,0)</f>
        <v>28.3398637932643</v>
      </c>
      <c r="C22" s="21" t="n">
        <f aca="false">$B22*IF(Model!$B$5=1,Data!$D$13,Model!$AC$55)</f>
        <v>6.07379419721988</v>
      </c>
      <c r="D22" s="21" t="n">
        <f aca="false">$B22*IF(Model!$B$5=1,Data!$E$13,Model!$AD$55)</f>
        <v>8.37344901576639</v>
      </c>
      <c r="E22" s="21" t="n">
        <f aca="false">$B22*IF(Model!$B$5=1,Data!$F$13,Model!$AE$55)</f>
        <v>5.4380072767982</v>
      </c>
      <c r="F22" s="21" t="n">
        <f aca="false">$B22*IF(Model!$B$5=1,Data!$G$13,Model!$AF$55)</f>
        <v>8.45461330347981</v>
      </c>
      <c r="G22" s="21" t="n">
        <f aca="false">$B22*Model!$S$55</f>
        <v>17.1580135866425</v>
      </c>
      <c r="H22" s="21" t="n">
        <f aca="false">$B22*Model!$T$55</f>
        <v>4.28444334924324</v>
      </c>
      <c r="I22" s="21" t="n">
        <f aca="false">$B22*Model!$U$55</f>
        <v>2.03171023902606</v>
      </c>
      <c r="J22" s="21" t="n">
        <f aca="false">$B22*Model!$V$55</f>
        <v>2.03171023902606</v>
      </c>
      <c r="K22" s="21" t="n">
        <f aca="false">$B22*Model!$W$55</f>
        <v>1.9215652810905</v>
      </c>
      <c r="L22" s="21" t="n">
        <f aca="false">$B22*Model!$X$55</f>
        <v>0.526603460701536</v>
      </c>
      <c r="M22" s="21" t="n">
        <f aca="false">$B22*Model!$Y$55</f>
        <v>0.301990964198228</v>
      </c>
      <c r="N22" s="21" t="n">
        <f aca="false">$B22*Model!$Z$55</f>
        <v>0.0311663272660093</v>
      </c>
      <c r="O22" s="21" t="n">
        <f aca="false">$B22*Model!$AA$55</f>
        <v>0.0526603460701536</v>
      </c>
    </row>
    <row r="23" customFormat="false" ht="15" hidden="false" customHeight="true" outlineLevel="0" collapsed="false">
      <c r="A23" s="23" t="n">
        <v>2036</v>
      </c>
      <c r="B23" s="21" t="n">
        <f aca="false">IF($A23&lt;=Model!$B$3,Data!$B$14*Model!$D$55,0)</f>
        <v>21.4679541001959</v>
      </c>
      <c r="C23" s="21" t="n">
        <f aca="false">$B23*IF(Model!$B$5=1,Data!$D$14,Model!$AC$55)</f>
        <v>5.1787817331572</v>
      </c>
      <c r="D23" s="21" t="n">
        <f aca="false">$B23*IF(Model!$B$5=1,Data!$E$14,Model!$AD$55)</f>
        <v>6.66101477863378</v>
      </c>
      <c r="E23" s="21" t="n">
        <f aca="false">$B23*IF(Model!$B$5=1,Data!$F$14,Model!$AE$55)</f>
        <v>4.01440904732008</v>
      </c>
      <c r="F23" s="21" t="n">
        <f aca="false">$B23*IF(Model!$B$5=1,Data!$G$14,Model!$AF$55)</f>
        <v>5.61374854108486</v>
      </c>
      <c r="G23" s="21" t="n">
        <f aca="false">$B23*Model!$S$55</f>
        <v>12.9975024162299</v>
      </c>
      <c r="H23" s="21" t="n">
        <f aca="false">$B23*Model!$T$55</f>
        <v>3.24554252756517</v>
      </c>
      <c r="I23" s="21" t="n">
        <f aca="false">$B23*Model!$U$55</f>
        <v>1.53905687319063</v>
      </c>
      <c r="J23" s="21" t="n">
        <f aca="false">$B23*Model!$V$55</f>
        <v>1.53905687319063</v>
      </c>
      <c r="K23" s="21" t="n">
        <f aca="false">$B23*Model!$W$55</f>
        <v>1.45562009598598</v>
      </c>
      <c r="L23" s="21" t="n">
        <f aca="false">$B23*Model!$X$55</f>
        <v>0.398911547557679</v>
      </c>
      <c r="M23" s="21" t="n">
        <f aca="false">$B23*Model!$Y$55</f>
        <v>0.228763560946343</v>
      </c>
      <c r="N23" s="21" t="n">
        <f aca="false">$B23*Model!$Z$55</f>
        <v>0.0236090507738218</v>
      </c>
      <c r="O23" s="21" t="n">
        <f aca="false">$B23*Model!$AA$55</f>
        <v>0.0398911547557679</v>
      </c>
    </row>
    <row r="24" customFormat="false" ht="15" hidden="false" customHeight="true" outlineLevel="0" collapsed="false">
      <c r="A24" s="23" t="n">
        <v>2037</v>
      </c>
      <c r="B24" s="21" t="n">
        <f aca="false">IF($A24&lt;=Model!$B$3,Data!$B$15*Model!$D$55,0)</f>
        <v>21.2920981434835</v>
      </c>
      <c r="C24" s="21" t="n">
        <f aca="false">$B24*IF(Model!$B$5=1,Data!$D$15,Model!$AC$55)</f>
        <v>5.13635945052894</v>
      </c>
      <c r="D24" s="21" t="n">
        <f aca="false">$B24*IF(Model!$B$5=1,Data!$E$15,Model!$AD$55)</f>
        <v>6.60645070042191</v>
      </c>
      <c r="E24" s="21" t="n">
        <f aca="false">$B24*IF(Model!$B$5=1,Data!$F$15,Model!$AE$55)</f>
        <v>3.98152478921349</v>
      </c>
      <c r="F24" s="21" t="n">
        <f aca="false">$B24*IF(Model!$B$5=1,Data!$G$15,Model!$AF$55)</f>
        <v>5.56776320331922</v>
      </c>
      <c r="G24" s="21" t="n">
        <f aca="false">$B24*Model!$S$55</f>
        <v>12.8910326421839</v>
      </c>
      <c r="H24" s="21" t="n">
        <f aca="false">$B24*Model!$T$55</f>
        <v>3.21895648291593</v>
      </c>
      <c r="I24" s="21" t="n">
        <f aca="false">$B24*Model!$U$55</f>
        <v>1.52644960201767</v>
      </c>
      <c r="J24" s="21" t="n">
        <f aca="false">$B24*Model!$V$55</f>
        <v>1.52644960201767</v>
      </c>
      <c r="K24" s="21" t="n">
        <f aca="false">$B24*Model!$W$55</f>
        <v>1.44369630187897</v>
      </c>
      <c r="L24" s="21" t="n">
        <f aca="false">$B24*Model!$X$55</f>
        <v>0.395643841118958</v>
      </c>
      <c r="M24" s="21" t="n">
        <f aca="false">$B24*Model!$Y$55</f>
        <v>0.226889631335566</v>
      </c>
      <c r="N24" s="21" t="n">
        <f aca="false">$B24*Model!$Z$55</f>
        <v>0.0234156559029588</v>
      </c>
      <c r="O24" s="21" t="n">
        <f aca="false">$B24*Model!$AA$55</f>
        <v>0.0395643841118958</v>
      </c>
    </row>
    <row r="25" customFormat="false" ht="15" hidden="false" customHeight="true" outlineLevel="0" collapsed="false">
      <c r="A25" s="23" t="n">
        <v>2038</v>
      </c>
      <c r="B25" s="21" t="n">
        <f aca="false">IF($A25&lt;=Model!$B$3,Data!$B$16*Model!$D$55,0)</f>
        <v>21.0350778990577</v>
      </c>
      <c r="C25" s="21" t="n">
        <f aca="false">$B25*IF(Model!$B$5=1,Data!$D$16,Model!$AC$55)</f>
        <v>5.07435765284151</v>
      </c>
      <c r="D25" s="21" t="n">
        <f aca="false">$B25*IF(Model!$B$5=1,Data!$E$16,Model!$AD$55)</f>
        <v>6.52670320149687</v>
      </c>
      <c r="E25" s="21" t="n">
        <f aca="false">$B25*IF(Model!$B$5=1,Data!$F$16,Model!$AE$55)</f>
        <v>3.93346318121154</v>
      </c>
      <c r="F25" s="21" t="n">
        <f aca="false">$B25*IF(Model!$B$5=1,Data!$G$16,Model!$AF$55)</f>
        <v>5.50055386350785</v>
      </c>
      <c r="G25" s="21" t="n">
        <f aca="false">$B25*Model!$S$55</f>
        <v>12.7354229724244</v>
      </c>
      <c r="H25" s="21" t="n">
        <f aca="false">$B25*Model!$T$55</f>
        <v>3.18009995612088</v>
      </c>
      <c r="I25" s="21" t="n">
        <f aca="false">$B25*Model!$U$55</f>
        <v>1.50802359030335</v>
      </c>
      <c r="J25" s="21" t="n">
        <f aca="false">$B25*Model!$V$55</f>
        <v>1.50802359030335</v>
      </c>
      <c r="K25" s="21" t="n">
        <f aca="false">$B25*Model!$W$55</f>
        <v>1.42626921818412</v>
      </c>
      <c r="L25" s="21" t="n">
        <f aca="false">$B25*Model!$X$55</f>
        <v>0.390867962477751</v>
      </c>
      <c r="M25" s="21" t="n">
        <f aca="false">$B25*Model!$Y$55</f>
        <v>0.2241508111352</v>
      </c>
      <c r="N25" s="21" t="n">
        <f aca="false">$B25*Model!$Z$55</f>
        <v>0.0231330018609281</v>
      </c>
      <c r="O25" s="21" t="n">
        <f aca="false">$B25*Model!$AA$55</f>
        <v>0.0390867962477751</v>
      </c>
    </row>
    <row r="26" customFormat="false" ht="15" hidden="false" customHeight="true" outlineLevel="0" collapsed="false">
      <c r="A26" s="23" t="n">
        <v>2039</v>
      </c>
      <c r="B26" s="21" t="n">
        <f aca="false">IF($A26&lt;=Model!$B$3,Data!$B$17*Model!$D$55,0)</f>
        <v>20.8456945610598</v>
      </c>
      <c r="C26" s="21" t="n">
        <f aca="false">$B26*IF(Model!$B$5=1,Data!$D$17,Model!$AC$55)</f>
        <v>5.02867211770337</v>
      </c>
      <c r="D26" s="21" t="n">
        <f aca="false">$B26*IF(Model!$B$5=1,Data!$E$17,Model!$AD$55)</f>
        <v>6.46794188649945</v>
      </c>
      <c r="E26" s="21" t="n">
        <f aca="false">$B26*IF(Model!$B$5=1,Data!$F$17,Model!$AE$55)</f>
        <v>3.89804936478906</v>
      </c>
      <c r="F26" s="21" t="n">
        <f aca="false">$B26*IF(Model!$B$5=1,Data!$G$17,Model!$AF$55)</f>
        <v>5.45103119206793</v>
      </c>
      <c r="G26" s="21" t="n">
        <f aca="false">$B26*Model!$S$55</f>
        <v>12.6207632157595</v>
      </c>
      <c r="H26" s="21" t="n">
        <f aca="false">$B26*Model!$T$55</f>
        <v>3.15146883111401</v>
      </c>
      <c r="I26" s="21" t="n">
        <f aca="false">$B26*Model!$U$55</f>
        <v>1.49444652904017</v>
      </c>
      <c r="J26" s="21" t="n">
        <f aca="false">$B26*Model!$V$55</f>
        <v>1.49444652904017</v>
      </c>
      <c r="K26" s="21" t="n">
        <f aca="false">$B26*Model!$W$55</f>
        <v>1.41342820914581</v>
      </c>
      <c r="L26" s="21" t="n">
        <f aca="false">$B26*Model!$X$55</f>
        <v>0.387348894005283</v>
      </c>
      <c r="M26" s="21" t="n">
        <f aca="false">$B26*Model!$Y$55</f>
        <v>0.222132733092825</v>
      </c>
      <c r="N26" s="21" t="n">
        <f aca="false">$B26*Model!$Z$55</f>
        <v>0.0229247304615371</v>
      </c>
      <c r="O26" s="21" t="n">
        <f aca="false">$B26*Model!$AA$55</f>
        <v>0.0387348894005283</v>
      </c>
    </row>
    <row r="27" customFormat="false" ht="15" hidden="false" customHeight="true" outlineLevel="0" collapsed="false">
      <c r="A27" s="23" t="n">
        <v>2040</v>
      </c>
      <c r="B27" s="21" t="n">
        <f aca="false">IF($A27&lt;=Model!$B$3,Data!$B$18*Model!$D$55,0)</f>
        <v>20.6292564604907</v>
      </c>
      <c r="C27" s="21" t="n">
        <f aca="false">$B27*IF(Model!$B$5=1,Data!$D$18,Model!$AC$55)</f>
        <v>4.97646007754551</v>
      </c>
      <c r="D27" s="21" t="n">
        <f aca="false">$B27*IF(Model!$B$5=1,Data!$E$18,Model!$AD$55)</f>
        <v>6.40078609793101</v>
      </c>
      <c r="E27" s="21" t="n">
        <f aca="false">$B27*IF(Model!$B$5=1,Data!$F$18,Model!$AE$55)</f>
        <v>3.85757643173479</v>
      </c>
      <c r="F27" s="21" t="n">
        <f aca="false">$B27*IF(Model!$B$5=1,Data!$G$18,Model!$AF$55)</f>
        <v>5.3944338532794</v>
      </c>
      <c r="G27" s="21" t="n">
        <f aca="false">$B27*Model!$S$55</f>
        <v>12.4897234938567</v>
      </c>
      <c r="H27" s="21" t="n">
        <f aca="false">$B27*Model!$T$55</f>
        <v>3.11874754539186</v>
      </c>
      <c r="I27" s="21" t="n">
        <f aca="false">$B27*Model!$U$55</f>
        <v>1.47892988759654</v>
      </c>
      <c r="J27" s="21" t="n">
        <f aca="false">$B27*Model!$V$55</f>
        <v>1.47892988759654</v>
      </c>
      <c r="K27" s="21" t="n">
        <f aca="false">$B27*Model!$W$55</f>
        <v>1.39875277024488</v>
      </c>
      <c r="L27" s="21" t="n">
        <f aca="false">$B27*Model!$X$55</f>
        <v>0.383327101465319</v>
      </c>
      <c r="M27" s="21" t="n">
        <f aca="false">$B27*Model!$Y$55</f>
        <v>0.219826358187254</v>
      </c>
      <c r="N27" s="21" t="n">
        <f aca="false">$B27*Model!$Z$55</f>
        <v>0.0226867060050903</v>
      </c>
      <c r="O27" s="21" t="n">
        <f aca="false">$B27*Model!$AA$55</f>
        <v>0.0383327101465319</v>
      </c>
    </row>
    <row r="28" customFormat="false" ht="15" hidden="false" customHeight="true" outlineLevel="0" collapsed="false">
      <c r="A28" s="24" t="s">
        <v>118</v>
      </c>
      <c r="B28" s="25" t="n">
        <f aca="false">SUM(B13:B27)</f>
        <v>539.25552756787</v>
      </c>
      <c r="C28" s="25" t="n">
        <f aca="false">SUM(C13:C27)</f>
        <v>130.085856882639</v>
      </c>
      <c r="D28" s="25" t="n">
        <f aca="false">SUM(D13:D27)</f>
        <v>167.318426111387</v>
      </c>
      <c r="E28" s="25" t="n">
        <f aca="false">SUM(E13:E27)</f>
        <v>100.838382033933</v>
      </c>
      <c r="F28" s="25" t="n">
        <f aca="false">SUM(F13:F27)</f>
        <v>141.012862539911</v>
      </c>
      <c r="G28" s="25" t="n">
        <f aca="false">SUM(G13:G27)</f>
        <v>326.485467120724</v>
      </c>
      <c r="H28" s="25" t="n">
        <f aca="false">SUM(H13:H27)</f>
        <v>81.5250833767221</v>
      </c>
      <c r="I28" s="25" t="n">
        <f aca="false">SUM(I13:I27)</f>
        <v>38.6597121568186</v>
      </c>
      <c r="J28" s="25" t="n">
        <f aca="false">SUM(J13:J27)</f>
        <v>38.6597121568186</v>
      </c>
      <c r="K28" s="25" t="n">
        <f aca="false">SUM(K13:K27)</f>
        <v>36.5638560216667</v>
      </c>
      <c r="L28" s="25" t="n">
        <f aca="false">SUM(L13:L27)</f>
        <v>10.0202961133203</v>
      </c>
      <c r="M28" s="25" t="n">
        <f aca="false">SUM(M13:M27)</f>
        <v>5.74633307723062</v>
      </c>
      <c r="N28" s="25" t="n">
        <f aca="false">SUM(N13:N27)</f>
        <v>0.593037933237324</v>
      </c>
      <c r="O28" s="25" t="n">
        <f aca="false">SUM(O13:O27)</f>
        <v>1.00202961133203</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0.186995546413275</v>
      </c>
      <c r="F29" s="26" t="n">
        <f aca="false">IF($B$28&gt;0,F28/$B$28,0)</f>
        <v>0.261495442014108</v>
      </c>
      <c r="G29" s="26" t="n">
        <f aca="false">IF($B$28&gt;0,G28/$B$28,0)</f>
        <v>0.605437404773997</v>
      </c>
      <c r="H29" s="26" t="n">
        <f aca="false">IF($B$28&gt;0,H28/$B$28,0)</f>
        <v>0.151180802437786</v>
      </c>
      <c r="I29" s="26" t="n">
        <f aca="false">IF($B$28&gt;0,I28/$B$28,0)</f>
        <v>0.0716908963941087</v>
      </c>
      <c r="J29" s="26" t="n">
        <f aca="false">IF($B$28&gt;0,J28/$B$28,0)</f>
        <v>0.0716908963941087</v>
      </c>
      <c r="K29" s="26" t="n">
        <f aca="false">IF($B$28&gt;0,K28/$B$28,0)</f>
        <v>0.0678043230944255</v>
      </c>
      <c r="L29" s="26" t="n">
        <f aca="false">IF($B$28&gt;0,L28/$B$28,0)</f>
        <v>0.018581721653394</v>
      </c>
      <c r="M29" s="26" t="n">
        <f aca="false">IF($B$28&gt;0,M28/$B$28,0)</f>
        <v>0.0106560485400076</v>
      </c>
      <c r="N29" s="26" t="n">
        <f aca="false">IF($B$28&gt;0,N28/$B$28,0)</f>
        <v>0.00109973454683352</v>
      </c>
      <c r="O29" s="26" t="n">
        <f aca="false">IF($B$28&gt;0,O28/$B$28,0)</f>
        <v>0.0018581721653394</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Data!$H$32*Data!$M$32/SUM(Data!$H$32:$K$32)</f>
        <v>46.2</v>
      </c>
      <c r="C34" s="22" t="n">
        <f aca="false">IF($B$38&gt;0,B34/$B$38,0)</f>
        <v>0.05</v>
      </c>
      <c r="D34" s="21" t="n">
        <f aca="false">C28</f>
        <v>130.085856882639</v>
      </c>
      <c r="E34" s="22" t="n">
        <f aca="false">IF($D$38&gt;0,D34/$D$38,0)</f>
        <v>0.241232310532536</v>
      </c>
      <c r="F34" s="21" t="n">
        <f aca="false">B34+D34</f>
        <v>176.285856882639</v>
      </c>
      <c r="G34" s="22" t="n">
        <f aca="false">IF($F$38&gt;0,F34/$F$38,0)</f>
        <v>0.120475100596852</v>
      </c>
    </row>
    <row r="35" customFormat="false" ht="15" hidden="false" customHeight="true" outlineLevel="0" collapsed="false">
      <c r="A35" s="13" t="s">
        <v>106</v>
      </c>
      <c r="B35" s="21" t="n">
        <f aca="false">Data!$I$32*Data!$M$32/SUM(Data!$H$32:$K$32)</f>
        <v>165.460465116279</v>
      </c>
      <c r="C35" s="22" t="n">
        <f aca="false">IF($B$38&gt;0,B35/$B$38,0)</f>
        <v>0.17906976744186</v>
      </c>
      <c r="D35" s="21" t="n">
        <f aca="false">D28</f>
        <v>167.318426111387</v>
      </c>
      <c r="E35" s="22" t="n">
        <f aca="false">IF($D$38&gt;0,D35/$D$38,0)</f>
        <v>0.310276701040081</v>
      </c>
      <c r="F35" s="21" t="n">
        <f aca="false">B35+D35</f>
        <v>332.778891227666</v>
      </c>
      <c r="G35" s="22" t="n">
        <f aca="false">IF($F$38&gt;0,F35/$F$38,0)</f>
        <v>0.22742363514648</v>
      </c>
    </row>
    <row r="36" customFormat="false" ht="15" hidden="false" customHeight="true" outlineLevel="0" collapsed="false">
      <c r="A36" s="13" t="s">
        <v>107</v>
      </c>
      <c r="B36" s="21" t="n">
        <f aca="false">Data!$J$32*Data!$M$32/SUM(Data!$H$32:$K$32)</f>
        <v>466.297674418605</v>
      </c>
      <c r="C36" s="22" t="n">
        <f aca="false">IF($B$38&gt;0,B36/$B$38,0)</f>
        <v>0.504651162790698</v>
      </c>
      <c r="D36" s="21" t="n">
        <f aca="false">E28</f>
        <v>100.838382033933</v>
      </c>
      <c r="E36" s="22" t="n">
        <f aca="false">IF($D$38&gt;0,D36/$D$38,0)</f>
        <v>0.186995546413275</v>
      </c>
      <c r="F36" s="21" t="n">
        <f aca="false">B36+D36</f>
        <v>567.136056452538</v>
      </c>
      <c r="G36" s="22" t="n">
        <f aca="false">IF($F$38&gt;0,F36/$F$38,0)</f>
        <v>0.387585111258862</v>
      </c>
    </row>
    <row r="37" customFormat="false" ht="15" hidden="false" customHeight="true" outlineLevel="0" collapsed="false">
      <c r="A37" s="13" t="s">
        <v>108</v>
      </c>
      <c r="B37" s="21" t="n">
        <f aca="false">Data!$K$32*Data!$M$32/SUM(Data!$H$32:$K$32)</f>
        <v>246.041860465116</v>
      </c>
      <c r="C37" s="22" t="n">
        <f aca="false">IF($B$38&gt;0,B37/$B$38,0)</f>
        <v>0.266279069767442</v>
      </c>
      <c r="D37" s="21" t="n">
        <f aca="false">F28</f>
        <v>141.012862539911</v>
      </c>
      <c r="E37" s="22" t="n">
        <f aca="false">IF($D$38&gt;0,D37/$D$38,0)</f>
        <v>0.261495442014108</v>
      </c>
      <c r="F37" s="21" t="n">
        <f aca="false">B37+D37</f>
        <v>387.054723005028</v>
      </c>
      <c r="G37" s="22" t="n">
        <f aca="false">IF($F$38&gt;0,F37/$F$38,0)</f>
        <v>0.264516152997806</v>
      </c>
    </row>
    <row r="38" customFormat="false" ht="15" hidden="false" customHeight="true" outlineLevel="0" collapsed="false">
      <c r="A38" s="24" t="s">
        <v>61</v>
      </c>
      <c r="B38" s="25" t="n">
        <f aca="false">SUM(B34:B37)</f>
        <v>924</v>
      </c>
      <c r="C38" s="27" t="n">
        <f aca="false">SUM(C34:C37)</f>
        <v>1</v>
      </c>
      <c r="D38" s="25" t="n">
        <f aca="false">SUM(D34:D37)</f>
        <v>539.25552756787</v>
      </c>
      <c r="E38" s="27" t="n">
        <f aca="false">SUM(E34:E37)</f>
        <v>1</v>
      </c>
      <c r="F38" s="25" t="n">
        <f aca="false">SUM(F34:F37)</f>
        <v>1463.25552756787</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8B79C"/>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175</v>
      </c>
    </row>
    <row r="2" customFormat="false" ht="15" hidden="false" customHeight="true" outlineLevel="0" collapsed="false">
      <c r="A2" s="3" t="str">
        <f aca="false">Model!$B$56&amp;" · new homes per year, 2026–"&amp;Model!$B$3&amp;" · set by the levers on the Intro tab"</f>
        <v>Key town · new homes per year, 2026–2040 · set by the levers on the Intro tab</v>
      </c>
    </row>
    <row r="4" customFormat="false" ht="15" hidden="false" customHeight="true" outlineLevel="0" collapsed="false">
      <c r="A4" s="13" t="s">
        <v>332</v>
      </c>
      <c r="C4" s="67" t="n">
        <f aca="false">Model!$D$56</f>
        <v>0.00802313648661256</v>
      </c>
    </row>
    <row r="5" customFormat="false" ht="15" hidden="false" customHeight="true" outlineLevel="0" collapsed="false">
      <c r="A5" s="13" t="s">
        <v>53</v>
      </c>
      <c r="C5" s="14" t="n">
        <f aca="false">Model!$E$56</f>
        <v>319.834312902323</v>
      </c>
    </row>
    <row r="6" customFormat="false" ht="15" hidden="false" customHeight="true" outlineLevel="0" collapsed="false">
      <c r="A6" s="13" t="s">
        <v>99</v>
      </c>
      <c r="C6" s="15" t="n">
        <f aca="false">Model!$Q$56</f>
        <v>0.1</v>
      </c>
    </row>
    <row r="7" customFormat="false" ht="15" hidden="false" customHeight="true" outlineLevel="0" collapsed="false">
      <c r="A7" s="13" t="s">
        <v>100</v>
      </c>
      <c r="C7" s="15" t="n">
        <f aca="false">Model!$G$56</f>
        <v>0.16367</v>
      </c>
    </row>
    <row r="8" customFormat="false" ht="15" hidden="false" customHeight="true" outlineLevel="0" collapsed="false">
      <c r="A8" s="13" t="s">
        <v>101</v>
      </c>
      <c r="C8" s="15" t="n">
        <f aca="false">Model!$R$56</f>
        <v>0.139451375248352</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IF($A13&lt;=Model!$B$3,Data!$B$4*Model!$D$56,0)</f>
        <v>34.2026308424293</v>
      </c>
      <c r="C13" s="21" t="n">
        <f aca="false">$B13*IF(Model!$B$5=1,Data!$D$4,Model!$AC$56)</f>
        <v>8.84744414146332</v>
      </c>
      <c r="D13" s="21" t="n">
        <f aca="false">$B13*IF(Model!$B$5=1,Data!$E$4,Model!$AD$56)</f>
        <v>10.8286940987991</v>
      </c>
      <c r="E13" s="21" t="n">
        <f aca="false">$B13*IF(Model!$B$5=1,Data!$F$4,Model!$AE$56)</f>
        <v>6.32877010663152</v>
      </c>
      <c r="F13" s="21" t="n">
        <f aca="false">$B13*IF(Model!$B$5=1,Data!$G$4,Model!$AF$56)</f>
        <v>8.19772249553535</v>
      </c>
      <c r="G13" s="21" t="n">
        <f aca="false">$B13*Model!$S$56</f>
        <v>20.7075520536835</v>
      </c>
      <c r="H13" s="21" t="n">
        <f aca="false">$B13*Model!$T$56</f>
        <v>5.17078117624182</v>
      </c>
      <c r="I13" s="21" t="n">
        <f aca="false">$B13*Model!$U$56</f>
        <v>2.45201726413055</v>
      </c>
      <c r="J13" s="21" t="n">
        <f aca="false">$B13*Model!$V$56</f>
        <v>2.45201726413055</v>
      </c>
      <c r="K13" s="21" t="n">
        <f aca="false">$B13*Model!$W$56</f>
        <v>2.31908623231944</v>
      </c>
      <c r="L13" s="21" t="n">
        <f aca="false">$B13*Model!$X$56</f>
        <v>0.635543766127811</v>
      </c>
      <c r="M13" s="21" t="n">
        <f aca="false">$B13*Model!$Y$56</f>
        <v>0.364464894452888</v>
      </c>
      <c r="N13" s="21" t="n">
        <f aca="false">$B13*Model!$Z$56</f>
        <v>0.0376138147300133</v>
      </c>
      <c r="O13" s="21" t="n">
        <f aca="false">$B13*Model!$AA$56</f>
        <v>0.0635543766127811</v>
      </c>
    </row>
    <row r="14" customFormat="false" ht="15" hidden="false" customHeight="true" outlineLevel="0" collapsed="false">
      <c r="A14" s="23" t="n">
        <v>2027</v>
      </c>
      <c r="B14" s="21" t="n">
        <f aca="false">IF($A14&lt;=Model!$B$3,Data!$B$5*Model!$D$56,0)</f>
        <v>34.2026308424293</v>
      </c>
      <c r="C14" s="21" t="n">
        <f aca="false">$B14*IF(Model!$B$5=1,Data!$D$5,Model!$AC$56)</f>
        <v>8.59878523993533</v>
      </c>
      <c r="D14" s="21" t="n">
        <f aca="false">$B14*IF(Model!$B$5=1,Data!$E$5,Model!$AD$56)</f>
        <v>10.8607791183511</v>
      </c>
      <c r="E14" s="21" t="n">
        <f aca="false">$B14*IF(Model!$B$5=1,Data!$F$5,Model!$AE$56)</f>
        <v>6.31272759685552</v>
      </c>
      <c r="F14" s="21" t="n">
        <f aca="false">$B14*IF(Model!$B$5=1,Data!$G$5,Model!$AF$56)</f>
        <v>8.43033888728734</v>
      </c>
      <c r="G14" s="21" t="n">
        <f aca="false">$B14*Model!$S$56</f>
        <v>20.7075520536835</v>
      </c>
      <c r="H14" s="21" t="n">
        <f aca="false">$B14*Model!$T$56</f>
        <v>5.17078117624182</v>
      </c>
      <c r="I14" s="21" t="n">
        <f aca="false">$B14*Model!$U$56</f>
        <v>2.45201726413055</v>
      </c>
      <c r="J14" s="21" t="n">
        <f aca="false">$B14*Model!$V$56</f>
        <v>2.45201726413055</v>
      </c>
      <c r="K14" s="21" t="n">
        <f aca="false">$B14*Model!$W$56</f>
        <v>2.31908623231944</v>
      </c>
      <c r="L14" s="21" t="n">
        <f aca="false">$B14*Model!$X$56</f>
        <v>0.635543766127811</v>
      </c>
      <c r="M14" s="21" t="n">
        <f aca="false">$B14*Model!$Y$56</f>
        <v>0.364464894452888</v>
      </c>
      <c r="N14" s="21" t="n">
        <f aca="false">$B14*Model!$Z$56</f>
        <v>0.0376138147300133</v>
      </c>
      <c r="O14" s="21" t="n">
        <f aca="false">$B14*Model!$AA$56</f>
        <v>0.0635543766127811</v>
      </c>
    </row>
    <row r="15" customFormat="false" ht="15" hidden="false" customHeight="true" outlineLevel="0" collapsed="false">
      <c r="A15" s="23" t="n">
        <v>2028</v>
      </c>
      <c r="B15" s="21" t="n">
        <f aca="false">IF($A15&lt;=Model!$B$3,Data!$B$6*Model!$D$56,0)</f>
        <v>34.2026308424293</v>
      </c>
      <c r="C15" s="21" t="n">
        <f aca="false">$B15*IF(Model!$B$5=1,Data!$D$6,Model!$AC$56)</f>
        <v>8.57072025802782</v>
      </c>
      <c r="D15" s="21" t="n">
        <f aca="false">$B15*IF(Model!$B$5=1,Data!$E$6,Model!$AD$56)</f>
        <v>10.8658756829304</v>
      </c>
      <c r="E15" s="21" t="n">
        <f aca="false">$B15*IF(Model!$B$5=1,Data!$F$6,Model!$AE$56)</f>
        <v>6.31568992796619</v>
      </c>
      <c r="F15" s="21" t="n">
        <f aca="false">$B15*IF(Model!$B$5=1,Data!$G$6,Model!$AF$56)</f>
        <v>8.45034497350494</v>
      </c>
      <c r="G15" s="21" t="n">
        <f aca="false">$B15*Model!$S$56</f>
        <v>20.7075520536835</v>
      </c>
      <c r="H15" s="21" t="n">
        <f aca="false">$B15*Model!$T$56</f>
        <v>5.17078117624182</v>
      </c>
      <c r="I15" s="21" t="n">
        <f aca="false">$B15*Model!$U$56</f>
        <v>2.45201726413055</v>
      </c>
      <c r="J15" s="21" t="n">
        <f aca="false">$B15*Model!$V$56</f>
        <v>2.45201726413055</v>
      </c>
      <c r="K15" s="21" t="n">
        <f aca="false">$B15*Model!$W$56</f>
        <v>2.31908623231944</v>
      </c>
      <c r="L15" s="21" t="n">
        <f aca="false">$B15*Model!$X$56</f>
        <v>0.635543766127811</v>
      </c>
      <c r="M15" s="21" t="n">
        <f aca="false">$B15*Model!$Y$56</f>
        <v>0.364464894452888</v>
      </c>
      <c r="N15" s="21" t="n">
        <f aca="false">$B15*Model!$Z$56</f>
        <v>0.0376138147300133</v>
      </c>
      <c r="O15" s="21" t="n">
        <f aca="false">$B15*Model!$AA$56</f>
        <v>0.0635543766127811</v>
      </c>
    </row>
    <row r="16" customFormat="false" ht="15" hidden="false" customHeight="true" outlineLevel="0" collapsed="false">
      <c r="A16" s="23" t="n">
        <v>2029</v>
      </c>
      <c r="B16" s="21" t="n">
        <f aca="false">IF($A16&lt;=Model!$B$3,Data!$B$7*Model!$D$56,0)</f>
        <v>34.2026308424293</v>
      </c>
      <c r="C16" s="21" t="n">
        <f aca="false">$B16*IF(Model!$B$5=1,Data!$D$7,Model!$AC$56)</f>
        <v>8.48045526634949</v>
      </c>
      <c r="D16" s="21" t="n">
        <f aca="false">$B16*IF(Model!$B$5=1,Data!$E$7,Model!$AD$56)</f>
        <v>10.8071648474671</v>
      </c>
      <c r="E16" s="21" t="n">
        <f aca="false">$B16*IF(Model!$B$5=1,Data!$F$7,Model!$AE$56)</f>
        <v>6.27409273253103</v>
      </c>
      <c r="F16" s="21" t="n">
        <f aca="false">$B16*IF(Model!$B$5=1,Data!$G$7,Model!$AF$56)</f>
        <v>8.64091799608171</v>
      </c>
      <c r="G16" s="21" t="n">
        <f aca="false">$B16*Model!$S$56</f>
        <v>20.7075520536835</v>
      </c>
      <c r="H16" s="21" t="n">
        <f aca="false">$B16*Model!$T$56</f>
        <v>5.17078117624182</v>
      </c>
      <c r="I16" s="21" t="n">
        <f aca="false">$B16*Model!$U$56</f>
        <v>2.45201726413055</v>
      </c>
      <c r="J16" s="21" t="n">
        <f aca="false">$B16*Model!$V$56</f>
        <v>2.45201726413055</v>
      </c>
      <c r="K16" s="21" t="n">
        <f aca="false">$B16*Model!$W$56</f>
        <v>2.31908623231944</v>
      </c>
      <c r="L16" s="21" t="n">
        <f aca="false">$B16*Model!$X$56</f>
        <v>0.635543766127811</v>
      </c>
      <c r="M16" s="21" t="n">
        <f aca="false">$B16*Model!$Y$56</f>
        <v>0.364464894452888</v>
      </c>
      <c r="N16" s="21" t="n">
        <f aca="false">$B16*Model!$Z$56</f>
        <v>0.0376138147300133</v>
      </c>
      <c r="O16" s="21" t="n">
        <f aca="false">$B16*Model!$AA$56</f>
        <v>0.0635543766127811</v>
      </c>
    </row>
    <row r="17" customFormat="false" ht="15" hidden="false" customHeight="true" outlineLevel="0" collapsed="false">
      <c r="A17" s="23" t="n">
        <v>2030</v>
      </c>
      <c r="B17" s="21" t="n">
        <f aca="false">IF($A17&lt;=Model!$B$3,Data!$B$8*Model!$D$56,0)</f>
        <v>34.2026308424293</v>
      </c>
      <c r="C17" s="21" t="n">
        <f aca="false">$B17*IF(Model!$B$5=1,Data!$D$8,Model!$AC$56)</f>
        <v>8.46639501144132</v>
      </c>
      <c r="D17" s="21" t="n">
        <f aca="false">$B17*IF(Model!$B$5=1,Data!$E$8,Model!$AD$56)</f>
        <v>10.6492001707892</v>
      </c>
      <c r="E17" s="21" t="n">
        <f aca="false">$B17*IF(Model!$B$5=1,Data!$F$8,Model!$AE$56)</f>
        <v>6.28358985209342</v>
      </c>
      <c r="F17" s="21" t="n">
        <f aca="false">$B17*IF(Model!$B$5=1,Data!$G$8,Model!$AF$56)</f>
        <v>8.80344580810534</v>
      </c>
      <c r="G17" s="21" t="n">
        <f aca="false">$B17*Model!$S$56</f>
        <v>20.7075520536835</v>
      </c>
      <c r="H17" s="21" t="n">
        <f aca="false">$B17*Model!$T$56</f>
        <v>5.17078117624182</v>
      </c>
      <c r="I17" s="21" t="n">
        <f aca="false">$B17*Model!$U$56</f>
        <v>2.45201726413055</v>
      </c>
      <c r="J17" s="21" t="n">
        <f aca="false">$B17*Model!$V$56</f>
        <v>2.45201726413055</v>
      </c>
      <c r="K17" s="21" t="n">
        <f aca="false">$B17*Model!$W$56</f>
        <v>2.31908623231944</v>
      </c>
      <c r="L17" s="21" t="n">
        <f aca="false">$B17*Model!$X$56</f>
        <v>0.635543766127811</v>
      </c>
      <c r="M17" s="21" t="n">
        <f aca="false">$B17*Model!$Y$56</f>
        <v>0.364464894452888</v>
      </c>
      <c r="N17" s="21" t="n">
        <f aca="false">$B17*Model!$Z$56</f>
        <v>0.0376138147300133</v>
      </c>
      <c r="O17" s="21" t="n">
        <f aca="false">$B17*Model!$AA$56</f>
        <v>0.0635543766127811</v>
      </c>
    </row>
    <row r="18" customFormat="false" ht="15" hidden="false" customHeight="true" outlineLevel="0" collapsed="false">
      <c r="A18" s="23" t="n">
        <v>2031</v>
      </c>
      <c r="B18" s="21" t="n">
        <f aca="false">IF($A18&lt;=Model!$B$3,Data!$B$9*Model!$D$56,0)</f>
        <v>17.394159902976</v>
      </c>
      <c r="C18" s="21" t="n">
        <f aca="false">$B18*IF(Model!$B$5=1,Data!$D$9,Model!$AC$56)</f>
        <v>4.01959137979289</v>
      </c>
      <c r="D18" s="21" t="n">
        <f aca="false">$B18*IF(Model!$B$5=1,Data!$E$9,Model!$AD$56)</f>
        <v>5.28724694467768</v>
      </c>
      <c r="E18" s="21" t="n">
        <f aca="false">$B18*IF(Model!$B$5=1,Data!$F$9,Model!$AE$56)</f>
        <v>3.30553223248438</v>
      </c>
      <c r="F18" s="21" t="n">
        <f aca="false">$B18*IF(Model!$B$5=1,Data!$G$9,Model!$AF$56)</f>
        <v>4.78178934602109</v>
      </c>
      <c r="G18" s="21" t="n">
        <f aca="false">$B18*Model!$S$56</f>
        <v>10.5310750298817</v>
      </c>
      <c r="H18" s="21" t="n">
        <f aca="false">$B18*Model!$T$56</f>
        <v>2.62966305186307</v>
      </c>
      <c r="I18" s="21" t="n">
        <f aca="false">$B18*Model!$U$56</f>
        <v>1.24700291546681</v>
      </c>
      <c r="J18" s="21" t="n">
        <f aca="false">$B18*Model!$V$56</f>
        <v>1.24700291546681</v>
      </c>
      <c r="K18" s="21" t="n">
        <f aca="false">$B18*Model!$W$56</f>
        <v>1.17939923801749</v>
      </c>
      <c r="L18" s="21" t="n">
        <f aca="false">$B18*Model!$X$56</f>
        <v>0.323213437711728</v>
      </c>
      <c r="M18" s="21" t="n">
        <f aca="false">$B18*Model!$Y$56</f>
        <v>0.185353012238766</v>
      </c>
      <c r="N18" s="21" t="n">
        <f aca="false">$B18*Model!$Z$56</f>
        <v>0.0191289585584492</v>
      </c>
      <c r="O18" s="21" t="n">
        <f aca="false">$B18*Model!$AA$56</f>
        <v>0.0323213437711727</v>
      </c>
    </row>
    <row r="19" customFormat="false" ht="15" hidden="false" customHeight="true" outlineLevel="0" collapsed="false">
      <c r="A19" s="23" t="n">
        <v>2032</v>
      </c>
      <c r="B19" s="21" t="n">
        <f aca="false">IF($A19&lt;=Model!$B$3,Data!$B$10*Model!$D$56,0)</f>
        <v>17.394159902976</v>
      </c>
      <c r="C19" s="21" t="n">
        <f aca="false">$B19*IF(Model!$B$5=1,Data!$D$10,Model!$AC$56)</f>
        <v>3.86715178654726</v>
      </c>
      <c r="D19" s="21" t="n">
        <f aca="false">$B19*IF(Model!$B$5=1,Data!$E$10,Model!$AD$56)</f>
        <v>5.18294617035171</v>
      </c>
      <c r="E19" s="21" t="n">
        <f aca="false">$B19*IF(Model!$B$5=1,Data!$F$10,Model!$AE$56)</f>
        <v>3.36169418789067</v>
      </c>
      <c r="F19" s="21" t="n">
        <f aca="false">$B19*IF(Model!$B$5=1,Data!$G$10,Model!$AF$56)</f>
        <v>4.9823677581864</v>
      </c>
      <c r="G19" s="21" t="n">
        <f aca="false">$B19*Model!$S$56</f>
        <v>10.5310750298817</v>
      </c>
      <c r="H19" s="21" t="n">
        <f aca="false">$B19*Model!$T$56</f>
        <v>2.62966305186307</v>
      </c>
      <c r="I19" s="21" t="n">
        <f aca="false">$B19*Model!$U$56</f>
        <v>1.24700291546681</v>
      </c>
      <c r="J19" s="21" t="n">
        <f aca="false">$B19*Model!$V$56</f>
        <v>1.24700291546681</v>
      </c>
      <c r="K19" s="21" t="n">
        <f aca="false">$B19*Model!$W$56</f>
        <v>1.17939923801749</v>
      </c>
      <c r="L19" s="21" t="n">
        <f aca="false">$B19*Model!$X$56</f>
        <v>0.323213437711728</v>
      </c>
      <c r="M19" s="21" t="n">
        <f aca="false">$B19*Model!$Y$56</f>
        <v>0.185353012238766</v>
      </c>
      <c r="N19" s="21" t="n">
        <f aca="false">$B19*Model!$Z$56</f>
        <v>0.0191289585584492</v>
      </c>
      <c r="O19" s="21" t="n">
        <f aca="false">$B19*Model!$AA$56</f>
        <v>0.0323213437711727</v>
      </c>
    </row>
    <row r="20" customFormat="false" ht="15" hidden="false" customHeight="true" outlineLevel="0" collapsed="false">
      <c r="A20" s="23" t="n">
        <v>2033</v>
      </c>
      <c r="B20" s="21" t="n">
        <f aca="false">IF($A20&lt;=Model!$B$3,Data!$B$11*Model!$D$56,0)</f>
        <v>17.394159902976</v>
      </c>
      <c r="C20" s="21" t="n">
        <f aca="false">$B20*IF(Model!$B$5=1,Data!$D$11,Model!$AC$56)</f>
        <v>3.83682899567261</v>
      </c>
      <c r="D20" s="21" t="n">
        <f aca="false">$B20*IF(Model!$B$5=1,Data!$E$11,Model!$AD$56)</f>
        <v>5.20139160919633</v>
      </c>
      <c r="E20" s="21" t="n">
        <f aca="false">$B20*IF(Model!$B$5=1,Data!$F$11,Model!$AE$56)</f>
        <v>3.36324550039084</v>
      </c>
      <c r="F20" s="21" t="n">
        <f aca="false">$B20*IF(Model!$B$5=1,Data!$G$11,Model!$AF$56)</f>
        <v>4.99269379771625</v>
      </c>
      <c r="G20" s="21" t="n">
        <f aca="false">$B20*Model!$S$56</f>
        <v>10.5310750298817</v>
      </c>
      <c r="H20" s="21" t="n">
        <f aca="false">$B20*Model!$T$56</f>
        <v>2.62966305186307</v>
      </c>
      <c r="I20" s="21" t="n">
        <f aca="false">$B20*Model!$U$56</f>
        <v>1.24700291546681</v>
      </c>
      <c r="J20" s="21" t="n">
        <f aca="false">$B20*Model!$V$56</f>
        <v>1.24700291546681</v>
      </c>
      <c r="K20" s="21" t="n">
        <f aca="false">$B20*Model!$W$56</f>
        <v>1.17939923801749</v>
      </c>
      <c r="L20" s="21" t="n">
        <f aca="false">$B20*Model!$X$56</f>
        <v>0.323213437711728</v>
      </c>
      <c r="M20" s="21" t="n">
        <f aca="false">$B20*Model!$Y$56</f>
        <v>0.185353012238766</v>
      </c>
      <c r="N20" s="21" t="n">
        <f aca="false">$B20*Model!$Z$56</f>
        <v>0.0191289585584492</v>
      </c>
      <c r="O20" s="21" t="n">
        <f aca="false">$B20*Model!$AA$56</f>
        <v>0.0323213437711727</v>
      </c>
    </row>
    <row r="21" customFormat="false" ht="15" hidden="false" customHeight="true" outlineLevel="0" collapsed="false">
      <c r="A21" s="23" t="n">
        <v>2034</v>
      </c>
      <c r="B21" s="21" t="n">
        <f aca="false">IF($A21&lt;=Model!$B$3,Data!$B$12*Model!$D$56,0)</f>
        <v>17.394159902976</v>
      </c>
      <c r="C21" s="21" t="n">
        <f aca="false">$B21*IF(Model!$B$5=1,Data!$D$12,Model!$AC$56)</f>
        <v>3.80296669465436</v>
      </c>
      <c r="D21" s="21" t="n">
        <f aca="false">$B21*IF(Model!$B$5=1,Data!$E$12,Model!$AD$56)</f>
        <v>5.21503871629817</v>
      </c>
      <c r="E21" s="21" t="n">
        <f aca="false">$B21*IF(Model!$B$5=1,Data!$F$12,Model!$AE$56)</f>
        <v>3.36169418789067</v>
      </c>
      <c r="F21" s="21" t="n">
        <f aca="false">$B21*IF(Model!$B$5=1,Data!$G$12,Model!$AF$56)</f>
        <v>5.01446030413284</v>
      </c>
      <c r="G21" s="21" t="n">
        <f aca="false">$B21*Model!$S$56</f>
        <v>10.5310750298817</v>
      </c>
      <c r="H21" s="21" t="n">
        <f aca="false">$B21*Model!$T$56</f>
        <v>2.62966305186307</v>
      </c>
      <c r="I21" s="21" t="n">
        <f aca="false">$B21*Model!$U$56</f>
        <v>1.24700291546681</v>
      </c>
      <c r="J21" s="21" t="n">
        <f aca="false">$B21*Model!$V$56</f>
        <v>1.24700291546681</v>
      </c>
      <c r="K21" s="21" t="n">
        <f aca="false">$B21*Model!$W$56</f>
        <v>1.17939923801749</v>
      </c>
      <c r="L21" s="21" t="n">
        <f aca="false">$B21*Model!$X$56</f>
        <v>0.323213437711728</v>
      </c>
      <c r="M21" s="21" t="n">
        <f aca="false">$B21*Model!$Y$56</f>
        <v>0.185353012238766</v>
      </c>
      <c r="N21" s="21" t="n">
        <f aca="false">$B21*Model!$Z$56</f>
        <v>0.0191289585584492</v>
      </c>
      <c r="O21" s="21" t="n">
        <f aca="false">$B21*Model!$AA$56</f>
        <v>0.0323213437711727</v>
      </c>
    </row>
    <row r="22" customFormat="false" ht="15" hidden="false" customHeight="true" outlineLevel="0" collapsed="false">
      <c r="A22" s="23" t="n">
        <v>2035</v>
      </c>
      <c r="B22" s="21" t="n">
        <f aca="false">IF($A22&lt;=Model!$B$3,Data!$B$13*Model!$D$56,0)</f>
        <v>16.8084709394533</v>
      </c>
      <c r="C22" s="21" t="n">
        <f aca="false">$B22*IF(Model!$B$5=1,Data!$D$13,Model!$AC$56)</f>
        <v>3.60238828248903</v>
      </c>
      <c r="D22" s="21" t="n">
        <f aca="false">$B22*IF(Model!$B$5=1,Data!$E$13,Model!$AD$56)</f>
        <v>4.96632148521317</v>
      </c>
      <c r="E22" s="21" t="n">
        <f aca="false">$B22*IF(Model!$B$5=1,Data!$F$13,Model!$AE$56)</f>
        <v>3.22530086761824</v>
      </c>
      <c r="F22" s="21" t="n">
        <f aca="false">$B22*IF(Model!$B$5=1,Data!$G$13,Model!$AF$56)</f>
        <v>5.01446030413285</v>
      </c>
      <c r="G22" s="21" t="n">
        <f aca="false">$B22*Model!$S$56</f>
        <v>10.1764770238018</v>
      </c>
      <c r="H22" s="21" t="n">
        <f aca="false">$B22*Model!$T$56</f>
        <v>2.54111812437875</v>
      </c>
      <c r="I22" s="21" t="n">
        <f aca="false">$B22*Model!$U$56</f>
        <v>1.20501434866373</v>
      </c>
      <c r="J22" s="21" t="n">
        <f aca="false">$B22*Model!$V$56</f>
        <v>1.20501434866373</v>
      </c>
      <c r="K22" s="21" t="n">
        <f aca="false">$B22*Model!$W$56</f>
        <v>1.13968699430195</v>
      </c>
      <c r="L22" s="21" t="n">
        <f aca="false">$B22*Model!$X$56</f>
        <v>0.312330328416084</v>
      </c>
      <c r="M22" s="21" t="n">
        <f aca="false">$B22*Model!$Y$56</f>
        <v>0.179111882214121</v>
      </c>
      <c r="N22" s="21" t="n">
        <f aca="false">$B22*Model!$Z$56</f>
        <v>0.0184848561715641</v>
      </c>
      <c r="O22" s="21" t="n">
        <f aca="false">$B22*Model!$AA$56</f>
        <v>0.0312330328416084</v>
      </c>
    </row>
    <row r="23" customFormat="false" ht="15" hidden="false" customHeight="true" outlineLevel="0" collapsed="false">
      <c r="A23" s="23" t="n">
        <v>2036</v>
      </c>
      <c r="B23" s="21" t="n">
        <f aca="false">IF($A23&lt;=Model!$B$3,Data!$B$14*Model!$D$56,0)</f>
        <v>12.7327176042541</v>
      </c>
      <c r="C23" s="21" t="n">
        <f aca="false">$B23*IF(Model!$B$5=1,Data!$D$14,Model!$AC$56)</f>
        <v>3.07155330380358</v>
      </c>
      <c r="D23" s="21" t="n">
        <f aca="false">$B23*IF(Model!$B$5=1,Data!$E$14,Model!$AD$56)</f>
        <v>3.95067083422417</v>
      </c>
      <c r="E23" s="21" t="n">
        <f aca="false">$B23*IF(Model!$B$5=1,Data!$F$14,Model!$AE$56)</f>
        <v>2.38095984875536</v>
      </c>
      <c r="F23" s="21" t="n">
        <f aca="false">$B23*IF(Model!$B$5=1,Data!$G$14,Model!$AF$56)</f>
        <v>3.32953361747102</v>
      </c>
      <c r="G23" s="21" t="n">
        <f aca="false">$B23*Model!$S$56</f>
        <v>7.7088635020398</v>
      </c>
      <c r="H23" s="21" t="n">
        <f aca="false">$B23*Model!$T$56</f>
        <v>1.92494246462486</v>
      </c>
      <c r="I23" s="21" t="n">
        <f aca="false">$B23*Model!$U$56</f>
        <v>0.912819938582027</v>
      </c>
      <c r="J23" s="21" t="n">
        <f aca="false">$B23*Model!$V$56</f>
        <v>0.912819938582027</v>
      </c>
      <c r="K23" s="21" t="n">
        <f aca="false">$B23*Model!$W$56</f>
        <v>0.863333298308926</v>
      </c>
      <c r="L23" s="21" t="n">
        <f aca="false">$B23*Model!$X$56</f>
        <v>0.23659581441352</v>
      </c>
      <c r="M23" s="21" t="n">
        <f aca="false">$B23*Model!$Y$56</f>
        <v>0.135680456837141</v>
      </c>
      <c r="N23" s="21" t="n">
        <f aca="false">$B23*Model!$Z$56</f>
        <v>0.0140026094244736</v>
      </c>
      <c r="O23" s="21" t="n">
        <f aca="false">$B23*Model!$AA$56</f>
        <v>0.023659581441352</v>
      </c>
    </row>
    <row r="24" customFormat="false" ht="15" hidden="false" customHeight="true" outlineLevel="0" collapsed="false">
      <c r="A24" s="23" t="n">
        <v>2037</v>
      </c>
      <c r="B24" s="21" t="n">
        <f aca="false">IF($A24&lt;=Model!$B$3,Data!$B$15*Model!$D$56,0)</f>
        <v>12.6284168299282</v>
      </c>
      <c r="C24" s="21" t="n">
        <f aca="false">$B24*IF(Model!$B$5=1,Data!$D$15,Model!$AC$56)</f>
        <v>3.04639250169303</v>
      </c>
      <c r="D24" s="21" t="n">
        <f aca="false">$B24*IF(Model!$B$5=1,Data!$E$15,Model!$AD$56)</f>
        <v>3.91830869128472</v>
      </c>
      <c r="E24" s="21" t="n">
        <f aca="false">$B24*IF(Model!$B$5=1,Data!$F$15,Model!$AE$56)</f>
        <v>2.36145608187834</v>
      </c>
      <c r="F24" s="21" t="n">
        <f aca="false">$B24*IF(Model!$B$5=1,Data!$G$15,Model!$AF$56)</f>
        <v>3.30225955507209</v>
      </c>
      <c r="G24" s="21" t="n">
        <f aca="false">$B24*Model!$S$56</f>
        <v>7.64571591191597</v>
      </c>
      <c r="H24" s="21" t="n">
        <f aca="false">$B24*Model!$T$56</f>
        <v>1.90917418986738</v>
      </c>
      <c r="I24" s="21" t="n">
        <f aca="false">$B24*Model!$U$56</f>
        <v>0.905342522575999</v>
      </c>
      <c r="J24" s="21" t="n">
        <f aca="false">$B24*Model!$V$56</f>
        <v>0.905342522575999</v>
      </c>
      <c r="K24" s="21" t="n">
        <f aca="false">$B24*Model!$W$56</f>
        <v>0.85626125490753</v>
      </c>
      <c r="L24" s="21" t="n">
        <f aca="false">$B24*Model!$X$56</f>
        <v>0.234657726456762</v>
      </c>
      <c r="M24" s="21" t="n">
        <f aca="false">$B24*Model!$Y$56</f>
        <v>0.134569022723163</v>
      </c>
      <c r="N24" s="21" t="n">
        <f aca="false">$B24*Model!$Z$56</f>
        <v>0.0138879062596859</v>
      </c>
      <c r="O24" s="21" t="n">
        <f aca="false">$B24*Model!$AA$56</f>
        <v>0.0234657726456762</v>
      </c>
    </row>
    <row r="25" customFormat="false" ht="15" hidden="false" customHeight="true" outlineLevel="0" collapsed="false">
      <c r="A25" s="23" t="n">
        <v>2038</v>
      </c>
      <c r="B25" s="21" t="n">
        <f aca="false">IF($A25&lt;=Model!$B$3,Data!$B$16*Model!$D$56,0)</f>
        <v>12.4759772366825</v>
      </c>
      <c r="C25" s="21" t="n">
        <f aca="false">$B25*IF(Model!$B$5=1,Data!$D$16,Model!$AC$56)</f>
        <v>3.00961902168531</v>
      </c>
      <c r="D25" s="21" t="n">
        <f aca="false">$B25*IF(Model!$B$5=1,Data!$E$16,Model!$AD$56)</f>
        <v>3.8710101746809</v>
      </c>
      <c r="E25" s="21" t="n">
        <f aca="false">$B25*IF(Model!$B$5=1,Data!$F$16,Model!$AE$56)</f>
        <v>2.33295057644271</v>
      </c>
      <c r="F25" s="21" t="n">
        <f aca="false">$B25*IF(Model!$B$5=1,Data!$G$16,Model!$AF$56)</f>
        <v>3.26239746387362</v>
      </c>
      <c r="G25" s="21" t="n">
        <f aca="false">$B25*Model!$S$56</f>
        <v>7.55342328019653</v>
      </c>
      <c r="H25" s="21" t="n">
        <f aca="false">$B25*Model!$T$56</f>
        <v>1.88612824983721</v>
      </c>
      <c r="I25" s="21" t="n">
        <f aca="false">$B25*Model!$U$56</f>
        <v>0.894413991490266</v>
      </c>
      <c r="J25" s="21" t="n">
        <f aca="false">$B25*Model!$V$56</f>
        <v>0.894413991490266</v>
      </c>
      <c r="K25" s="21" t="n">
        <f aca="false">$B25*Model!$W$56</f>
        <v>0.84592519147472</v>
      </c>
      <c r="L25" s="21" t="n">
        <f aca="false">$B25*Model!$X$56</f>
        <v>0.231825136366115</v>
      </c>
      <c r="M25" s="21" t="n">
        <f aca="false">$B25*Model!$Y$56</f>
        <v>0.132944619018119</v>
      </c>
      <c r="N25" s="21" t="n">
        <f aca="false">$B25*Model!$Z$56</f>
        <v>0.0137202631726884</v>
      </c>
      <c r="O25" s="21" t="n">
        <f aca="false">$B25*Model!$AA$56</f>
        <v>0.0231825136366114</v>
      </c>
    </row>
    <row r="26" customFormat="false" ht="15" hidden="false" customHeight="true" outlineLevel="0" collapsed="false">
      <c r="A26" s="23" t="n">
        <v>2039</v>
      </c>
      <c r="B26" s="21" t="n">
        <f aca="false">IF($A26&lt;=Model!$B$3,Data!$B$17*Model!$D$56,0)</f>
        <v>12.36365332587</v>
      </c>
      <c r="C26" s="21" t="n">
        <f aca="false">$B26*IF(Model!$B$5=1,Data!$D$17,Model!$AC$56)</f>
        <v>2.98252277325855</v>
      </c>
      <c r="D26" s="21" t="n">
        <f aca="false">$B26*IF(Model!$B$5=1,Data!$E$17,Model!$AD$56)</f>
        <v>3.83615863613071</v>
      </c>
      <c r="E26" s="21" t="n">
        <f aca="false">$B26*IF(Model!$B$5=1,Data!$F$17,Model!$AE$56)</f>
        <v>2.31194651980593</v>
      </c>
      <c r="F26" s="21" t="n">
        <f aca="false">$B26*IF(Model!$B$5=1,Data!$G$17,Model!$AF$56)</f>
        <v>3.23302539667477</v>
      </c>
      <c r="G26" s="21" t="n">
        <f aca="false">$B26*Model!$S$56</f>
        <v>7.4854181831401</v>
      </c>
      <c r="H26" s="21" t="n">
        <f aca="false">$B26*Model!$T$56</f>
        <v>1.86914703086762</v>
      </c>
      <c r="I26" s="21" t="n">
        <f aca="false">$B26*Model!$U$56</f>
        <v>0.88636138963762</v>
      </c>
      <c r="J26" s="21" t="n">
        <f aca="false">$B26*Model!$V$56</f>
        <v>0.88636138963762</v>
      </c>
      <c r="K26" s="21" t="n">
        <f aca="false">$B26*Model!$W$56</f>
        <v>0.838309144734754</v>
      </c>
      <c r="L26" s="21" t="n">
        <f aca="false">$B26*Model!$X$56</f>
        <v>0.229737964720375</v>
      </c>
      <c r="M26" s="21" t="n">
        <f aca="false">$B26*Model!$Y$56</f>
        <v>0.131747689972296</v>
      </c>
      <c r="N26" s="21" t="n">
        <f aca="false">$B26*Model!$Z$56</f>
        <v>0.0135967366875324</v>
      </c>
      <c r="O26" s="21" t="n">
        <f aca="false">$B26*Model!$AA$56</f>
        <v>0.0229737964720375</v>
      </c>
    </row>
    <row r="27" customFormat="false" ht="15" hidden="false" customHeight="true" outlineLevel="0" collapsed="false">
      <c r="A27" s="23" t="n">
        <v>2040</v>
      </c>
      <c r="B27" s="21" t="n">
        <f aca="false">IF($A27&lt;=Model!$B$3,Data!$B$18*Model!$D$56,0)</f>
        <v>12.2352831420842</v>
      </c>
      <c r="C27" s="21" t="n">
        <f aca="false">$B27*IF(Model!$B$5=1,Data!$D$18,Model!$AC$56)</f>
        <v>2.95155563219941</v>
      </c>
      <c r="D27" s="21" t="n">
        <f aca="false">$B27*IF(Model!$B$5=1,Data!$E$18,Model!$AD$56)</f>
        <v>3.79632830635908</v>
      </c>
      <c r="E27" s="21" t="n">
        <f aca="false">$B27*IF(Model!$B$5=1,Data!$F$18,Model!$AE$56)</f>
        <v>2.2879418836496</v>
      </c>
      <c r="F27" s="21" t="n">
        <f aca="false">$B27*IF(Model!$B$5=1,Data!$G$18,Model!$AF$56)</f>
        <v>3.19945731987606</v>
      </c>
      <c r="G27" s="21" t="n">
        <f aca="false">$B27*Model!$S$56</f>
        <v>7.40769807221846</v>
      </c>
      <c r="H27" s="21" t="n">
        <f aca="false">$B27*Model!$T$56</f>
        <v>1.84973992347379</v>
      </c>
      <c r="I27" s="21" t="n">
        <f aca="false">$B27*Model!$U$56</f>
        <v>0.87715841609174</v>
      </c>
      <c r="J27" s="21" t="n">
        <f aca="false">$B27*Model!$V$56</f>
        <v>0.87715841609174</v>
      </c>
      <c r="K27" s="21" t="n">
        <f aca="false">$B27*Model!$W$56</f>
        <v>0.829605091317651</v>
      </c>
      <c r="L27" s="21" t="n">
        <f aca="false">$B27*Model!$X$56</f>
        <v>0.227352625696672</v>
      </c>
      <c r="M27" s="21" t="n">
        <f aca="false">$B27*Model!$Y$56</f>
        <v>0.130379771062785</v>
      </c>
      <c r="N27" s="21" t="n">
        <f aca="false">$B27*Model!$Z$56</f>
        <v>0.0134555635616398</v>
      </c>
      <c r="O27" s="21" t="n">
        <f aca="false">$B27*Model!$AA$56</f>
        <v>0.0227352625696672</v>
      </c>
    </row>
    <row r="28" customFormat="false" ht="15" hidden="false" customHeight="true" outlineLevel="0" collapsed="false">
      <c r="A28" s="24" t="s">
        <v>118</v>
      </c>
      <c r="B28" s="25" t="n">
        <f aca="false">SUM(B13:B27)</f>
        <v>319.834312902323</v>
      </c>
      <c r="C28" s="25" t="n">
        <f aca="false">SUM(C13:C27)</f>
        <v>77.1543702890133</v>
      </c>
      <c r="D28" s="25" t="n">
        <f aca="false">SUM(D13:D27)</f>
        <v>99.2371354867537</v>
      </c>
      <c r="E28" s="25" t="n">
        <f aca="false">SUM(E13:E27)</f>
        <v>59.8075921028844</v>
      </c>
      <c r="F28" s="25" t="n">
        <f aca="false">SUM(F13:F27)</f>
        <v>83.6352150236717</v>
      </c>
      <c r="G28" s="25" t="n">
        <f aca="false">SUM(G13:G27)</f>
        <v>193.639656361257</v>
      </c>
      <c r="H28" s="25" t="n">
        <f aca="false">SUM(H13:H27)</f>
        <v>48.352808071711</v>
      </c>
      <c r="I28" s="25" t="n">
        <f aca="false">SUM(I13:I27)</f>
        <v>22.9292085895614</v>
      </c>
      <c r="J28" s="25" t="n">
        <f aca="false">SUM(J13:J27)</f>
        <v>22.9292085895614</v>
      </c>
      <c r="K28" s="25" t="n">
        <f aca="false">SUM(K13:K27)</f>
        <v>21.6861490887127</v>
      </c>
      <c r="L28" s="25" t="n">
        <f aca="false">SUM(L13:L27)</f>
        <v>5.94307217755549</v>
      </c>
      <c r="M28" s="25" t="n">
        <f aca="false">SUM(M13:M27)</f>
        <v>3.40816996304713</v>
      </c>
      <c r="N28" s="25" t="n">
        <f aca="false">SUM(N13:N27)</f>
        <v>0.351732843161447</v>
      </c>
      <c r="O28" s="25" t="n">
        <f aca="false">SUM(O13:O27)</f>
        <v>0.594307217755549</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0.186995546413275</v>
      </c>
      <c r="F29" s="26" t="n">
        <f aca="false">IF($B$28&gt;0,F28/$B$28,0)</f>
        <v>0.261495442014109</v>
      </c>
      <c r="G29" s="26" t="n">
        <f aca="false">IF($B$28&gt;0,G28/$B$28,0)</f>
        <v>0.605437404773997</v>
      </c>
      <c r="H29" s="26" t="n">
        <f aca="false">IF($B$28&gt;0,H28/$B$28,0)</f>
        <v>0.151180802437786</v>
      </c>
      <c r="I29" s="26" t="n">
        <f aca="false">IF($B$28&gt;0,I28/$B$28,0)</f>
        <v>0.0716908963941087</v>
      </c>
      <c r="J29" s="26" t="n">
        <f aca="false">IF($B$28&gt;0,J28/$B$28,0)</f>
        <v>0.0716908963941087</v>
      </c>
      <c r="K29" s="26" t="n">
        <f aca="false">IF($B$28&gt;0,K28/$B$28,0)</f>
        <v>0.0678043230944255</v>
      </c>
      <c r="L29" s="26" t="n">
        <f aca="false">IF($B$28&gt;0,L28/$B$28,0)</f>
        <v>0.018581721653394</v>
      </c>
      <c r="M29" s="26" t="n">
        <f aca="false">IF($B$28&gt;0,M28/$B$28,0)</f>
        <v>0.0106560485400076</v>
      </c>
      <c r="N29" s="26" t="n">
        <f aca="false">IF($B$28&gt;0,N28/$B$28,0)</f>
        <v>0.00109973454683352</v>
      </c>
      <c r="O29" s="26" t="n">
        <f aca="false">IF($B$28&gt;0,O28/$B$28,0)</f>
        <v>0.0018581721653394</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Data!$H$33*Data!$M$33/SUM(Data!$H$33:$K$33)</f>
        <v>14.4722222222222</v>
      </c>
      <c r="C34" s="22" t="n">
        <f aca="false">IF($B$38&gt;0,B34/$B$38,0)</f>
        <v>0.0277777777777778</v>
      </c>
      <c r="D34" s="21" t="n">
        <f aca="false">C28</f>
        <v>77.1543702890133</v>
      </c>
      <c r="E34" s="22" t="n">
        <f aca="false">IF($D$38&gt;0,D34/$D$38,0)</f>
        <v>0.241232310532535</v>
      </c>
      <c r="F34" s="21" t="n">
        <f aca="false">B34+D34</f>
        <v>91.6265925112355</v>
      </c>
      <c r="G34" s="22" t="n">
        <f aca="false">IF($F$38&gt;0,F34/$F$38,0)</f>
        <v>0.108971043528143</v>
      </c>
    </row>
    <row r="35" customFormat="false" ht="15" hidden="false" customHeight="true" outlineLevel="0" collapsed="false">
      <c r="A35" s="13" t="s">
        <v>106</v>
      </c>
      <c r="B35" s="21" t="n">
        <f aca="false">Data!$I$33*Data!$M$33/SUM(Data!$H$33:$K$33)</f>
        <v>63.4551282051282</v>
      </c>
      <c r="C35" s="22" t="n">
        <f aca="false">IF($B$38&gt;0,B35/$B$38,0)</f>
        <v>0.121794871794872</v>
      </c>
      <c r="D35" s="21" t="n">
        <f aca="false">D28</f>
        <v>99.2371354867537</v>
      </c>
      <c r="E35" s="22" t="n">
        <f aca="false">IF($D$38&gt;0,D35/$D$38,0)</f>
        <v>0.310276701040081</v>
      </c>
      <c r="F35" s="21" t="n">
        <f aca="false">B35+D35</f>
        <v>162.692263691882</v>
      </c>
      <c r="G35" s="22" t="n">
        <f aca="false">IF($F$38&gt;0,F35/$F$38,0)</f>
        <v>0.193489087202346</v>
      </c>
    </row>
    <row r="36" customFormat="false" ht="15" hidden="false" customHeight="true" outlineLevel="0" collapsed="false">
      <c r="A36" s="13" t="s">
        <v>107</v>
      </c>
      <c r="B36" s="21" t="n">
        <f aca="false">Data!$J$33*Data!$M$33/SUM(Data!$H$33:$K$33)</f>
        <v>215.970085470085</v>
      </c>
      <c r="C36" s="22" t="n">
        <f aca="false">IF($B$38&gt;0,B36/$B$38,0)</f>
        <v>0.414529914529915</v>
      </c>
      <c r="D36" s="21" t="n">
        <f aca="false">E28</f>
        <v>59.8075921028844</v>
      </c>
      <c r="E36" s="22" t="n">
        <f aca="false">IF($D$38&gt;0,D36/$D$38,0)</f>
        <v>0.186995546413275</v>
      </c>
      <c r="F36" s="21" t="n">
        <f aca="false">B36+D36</f>
        <v>275.77767757297</v>
      </c>
      <c r="G36" s="22" t="n">
        <f aca="false">IF($F$38&gt;0,F36/$F$38,0)</f>
        <v>0.327980998564465</v>
      </c>
    </row>
    <row r="37" customFormat="false" ht="15" hidden="false" customHeight="true" outlineLevel="0" collapsed="false">
      <c r="A37" s="13" t="s">
        <v>108</v>
      </c>
      <c r="B37" s="21" t="n">
        <f aca="false">Data!$K$33*Data!$M$33/SUM(Data!$H$33:$K$33)</f>
        <v>227.102564102564</v>
      </c>
      <c r="C37" s="22" t="n">
        <f aca="false">IF($B$38&gt;0,B37/$B$38,0)</f>
        <v>0.435897435897436</v>
      </c>
      <c r="D37" s="21" t="n">
        <f aca="false">F28</f>
        <v>83.6352150236717</v>
      </c>
      <c r="E37" s="22" t="n">
        <f aca="false">IF($D$38&gt;0,D37/$D$38,0)</f>
        <v>0.261495442014108</v>
      </c>
      <c r="F37" s="21" t="n">
        <f aca="false">B37+D37</f>
        <v>310.737779126236</v>
      </c>
      <c r="G37" s="22" t="n">
        <f aca="false">IF($F$38&gt;0,F37/$F$38,0)</f>
        <v>0.369558870705046</v>
      </c>
    </row>
    <row r="38" customFormat="false" ht="15" hidden="false" customHeight="true" outlineLevel="0" collapsed="false">
      <c r="A38" s="24" t="s">
        <v>61</v>
      </c>
      <c r="B38" s="25" t="n">
        <f aca="false">SUM(B34:B37)</f>
        <v>521</v>
      </c>
      <c r="C38" s="27" t="n">
        <f aca="false">SUM(C34:C37)</f>
        <v>1</v>
      </c>
      <c r="D38" s="25" t="n">
        <f aca="false">SUM(D34:D37)</f>
        <v>319.834312902323</v>
      </c>
      <c r="E38" s="27" t="n">
        <f aca="false">SUM(E34:E37)</f>
        <v>1</v>
      </c>
      <c r="F38" s="25" t="n">
        <f aca="false">SUM(F34:F37)</f>
        <v>840.834312902323</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8B79C"/>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177</v>
      </c>
    </row>
    <row r="2" customFormat="false" ht="15" hidden="false" customHeight="true" outlineLevel="0" collapsed="false">
      <c r="A2" s="3" t="str">
        <f aca="false">Model!$B$57&amp;" · new homes per year, 2026–"&amp;Model!$B$3&amp;" · set by the levers on the Intro tab"</f>
        <v>Key town · new homes per year, 2026–2040 · set by the levers on the Intro tab</v>
      </c>
    </row>
    <row r="4" customFormat="false" ht="15" hidden="false" customHeight="true" outlineLevel="0" collapsed="false">
      <c r="A4" s="13" t="s">
        <v>332</v>
      </c>
      <c r="C4" s="67" t="n">
        <f aca="false">Model!$D$57</f>
        <v>0.0131542121466555</v>
      </c>
    </row>
    <row r="5" customFormat="false" ht="15" hidden="false" customHeight="true" outlineLevel="0" collapsed="false">
      <c r="A5" s="13" t="s">
        <v>53</v>
      </c>
      <c r="C5" s="14" t="n">
        <f aca="false">Model!$E$57</f>
        <v>524.379513014274</v>
      </c>
    </row>
    <row r="6" customFormat="false" ht="15" hidden="false" customHeight="true" outlineLevel="0" collapsed="false">
      <c r="A6" s="13" t="s">
        <v>99</v>
      </c>
      <c r="C6" s="15" t="n">
        <f aca="false">Model!$Q$57</f>
        <v>0.1</v>
      </c>
    </row>
    <row r="7" customFormat="false" ht="15" hidden="false" customHeight="true" outlineLevel="0" collapsed="false">
      <c r="A7" s="13" t="s">
        <v>100</v>
      </c>
      <c r="C7" s="15" t="n">
        <f aca="false">Model!$G$57</f>
        <v>0.11251</v>
      </c>
    </row>
    <row r="8" customFormat="false" ht="15" hidden="false" customHeight="true" outlineLevel="0" collapsed="false">
      <c r="A8" s="13" t="s">
        <v>101</v>
      </c>
      <c r="C8" s="15" t="n">
        <f aca="false">Model!$R$57</f>
        <v>0.10792060463783</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IF($A13&lt;=Model!$B$3,Data!$B$4*Model!$D$57,0)</f>
        <v>56.0764063811923</v>
      </c>
      <c r="C13" s="21" t="n">
        <f aca="false">$B13*IF(Model!$B$5=1,Data!$D$4,Model!$AC$57)</f>
        <v>14.5056933017015</v>
      </c>
      <c r="D13" s="21" t="n">
        <f aca="false">$B13*IF(Model!$B$5=1,Data!$E$4,Model!$AD$57)</f>
        <v>17.7540217201242</v>
      </c>
      <c r="E13" s="21" t="n">
        <f aca="false">$B13*IF(Model!$B$5=1,Data!$F$4,Model!$AE$57)</f>
        <v>10.3762393608726</v>
      </c>
      <c r="F13" s="21" t="n">
        <f aca="false">$B13*IF(Model!$B$5=1,Data!$G$4,Model!$AF$57)</f>
        <v>13.440451998494</v>
      </c>
      <c r="G13" s="21" t="n">
        <f aca="false">$B13*Model!$S$57</f>
        <v>33.9507539484811</v>
      </c>
      <c r="H13" s="21" t="n">
        <f aca="false">$B13*Model!$T$57</f>
        <v>8.47767611453601</v>
      </c>
      <c r="I13" s="21" t="n">
        <f aca="false">$B13*Model!$U$57</f>
        <v>4.02016784002799</v>
      </c>
      <c r="J13" s="21" t="n">
        <f aca="false">$B13*Model!$V$57</f>
        <v>4.02016784002799</v>
      </c>
      <c r="K13" s="21" t="n">
        <f aca="false">$B13*Model!$W$57</f>
        <v>3.80222277624466</v>
      </c>
      <c r="L13" s="21" t="n">
        <f aca="false">$B13*Model!$X$57</f>
        <v>1.04199617469792</v>
      </c>
      <c r="M13" s="21" t="n">
        <f aca="false">$B13*Model!$Y$57</f>
        <v>0.597552908347176</v>
      </c>
      <c r="N13" s="21" t="n">
        <f aca="false">$B13*Model!$Z$57</f>
        <v>0.061669161359673</v>
      </c>
      <c r="O13" s="21" t="n">
        <f aca="false">$B13*Model!$AA$57</f>
        <v>0.104199617469792</v>
      </c>
    </row>
    <row r="14" customFormat="false" ht="15" hidden="false" customHeight="true" outlineLevel="0" collapsed="false">
      <c r="A14" s="23" t="n">
        <v>2027</v>
      </c>
      <c r="B14" s="21" t="n">
        <f aca="false">IF($A14&lt;=Model!$B$3,Data!$B$5*Model!$D$57,0)</f>
        <v>56.0764063811923</v>
      </c>
      <c r="C14" s="21" t="n">
        <f aca="false">$B14*IF(Model!$B$5=1,Data!$D$5,Model!$AC$57)</f>
        <v>14.0980083584986</v>
      </c>
      <c r="D14" s="21" t="n">
        <f aca="false">$B14*IF(Model!$B$5=1,Data!$E$5,Model!$AD$57)</f>
        <v>17.8066262289245</v>
      </c>
      <c r="E14" s="21" t="n">
        <f aca="false">$B14*IF(Model!$B$5=1,Data!$F$5,Model!$AE$57)</f>
        <v>10.3499371064724</v>
      </c>
      <c r="F14" s="21" t="n">
        <f aca="false">$B14*IF(Model!$B$5=1,Data!$G$5,Model!$AF$57)</f>
        <v>13.8218346872967</v>
      </c>
      <c r="G14" s="21" t="n">
        <f aca="false">$B14*Model!$S$57</f>
        <v>33.9507539484811</v>
      </c>
      <c r="H14" s="21" t="n">
        <f aca="false">$B14*Model!$T$57</f>
        <v>8.47767611453601</v>
      </c>
      <c r="I14" s="21" t="n">
        <f aca="false">$B14*Model!$U$57</f>
        <v>4.02016784002799</v>
      </c>
      <c r="J14" s="21" t="n">
        <f aca="false">$B14*Model!$V$57</f>
        <v>4.02016784002799</v>
      </c>
      <c r="K14" s="21" t="n">
        <f aca="false">$B14*Model!$W$57</f>
        <v>3.80222277624466</v>
      </c>
      <c r="L14" s="21" t="n">
        <f aca="false">$B14*Model!$X$57</f>
        <v>1.04199617469792</v>
      </c>
      <c r="M14" s="21" t="n">
        <f aca="false">$B14*Model!$Y$57</f>
        <v>0.597552908347176</v>
      </c>
      <c r="N14" s="21" t="n">
        <f aca="false">$B14*Model!$Z$57</f>
        <v>0.061669161359673</v>
      </c>
      <c r="O14" s="21" t="n">
        <f aca="false">$B14*Model!$AA$57</f>
        <v>0.104199617469792</v>
      </c>
    </row>
    <row r="15" customFormat="false" ht="15" hidden="false" customHeight="true" outlineLevel="0" collapsed="false">
      <c r="A15" s="23" t="n">
        <v>2028</v>
      </c>
      <c r="B15" s="21" t="n">
        <f aca="false">IF($A15&lt;=Model!$B$3,Data!$B$6*Model!$D$57,0)</f>
        <v>56.0764063811923</v>
      </c>
      <c r="C15" s="21" t="n">
        <f aca="false">$B15*IF(Model!$B$5=1,Data!$D$6,Model!$AC$57)</f>
        <v>14.0519948416503</v>
      </c>
      <c r="D15" s="21" t="n">
        <f aca="false">$B15*IF(Model!$B$5=1,Data!$E$6,Model!$AD$57)</f>
        <v>17.8149822243394</v>
      </c>
      <c r="E15" s="21" t="n">
        <f aca="false">$B15*IF(Model!$B$5=1,Data!$F$6,Model!$AE$57)</f>
        <v>10.3547939516655</v>
      </c>
      <c r="F15" s="21" t="n">
        <f aca="false">$B15*IF(Model!$B$5=1,Data!$G$6,Model!$AF$57)</f>
        <v>13.8546353635372</v>
      </c>
      <c r="G15" s="21" t="n">
        <f aca="false">$B15*Model!$S$57</f>
        <v>33.9507539484811</v>
      </c>
      <c r="H15" s="21" t="n">
        <f aca="false">$B15*Model!$T$57</f>
        <v>8.47767611453601</v>
      </c>
      <c r="I15" s="21" t="n">
        <f aca="false">$B15*Model!$U$57</f>
        <v>4.02016784002799</v>
      </c>
      <c r="J15" s="21" t="n">
        <f aca="false">$B15*Model!$V$57</f>
        <v>4.02016784002799</v>
      </c>
      <c r="K15" s="21" t="n">
        <f aca="false">$B15*Model!$W$57</f>
        <v>3.80222277624466</v>
      </c>
      <c r="L15" s="21" t="n">
        <f aca="false">$B15*Model!$X$57</f>
        <v>1.04199617469792</v>
      </c>
      <c r="M15" s="21" t="n">
        <f aca="false">$B15*Model!$Y$57</f>
        <v>0.597552908347176</v>
      </c>
      <c r="N15" s="21" t="n">
        <f aca="false">$B15*Model!$Z$57</f>
        <v>0.061669161359673</v>
      </c>
      <c r="O15" s="21" t="n">
        <f aca="false">$B15*Model!$AA$57</f>
        <v>0.104199617469792</v>
      </c>
    </row>
    <row r="16" customFormat="false" ht="15" hidden="false" customHeight="true" outlineLevel="0" collapsed="false">
      <c r="A16" s="23" t="n">
        <v>2029</v>
      </c>
      <c r="B16" s="21" t="n">
        <f aca="false">IF($A16&lt;=Model!$B$3,Data!$B$7*Model!$D$57,0)</f>
        <v>56.0764063811923</v>
      </c>
      <c r="C16" s="21" t="n">
        <f aca="false">$B16*IF(Model!$B$5=1,Data!$D$7,Model!$AC$57)</f>
        <v>13.9040022390149</v>
      </c>
      <c r="D16" s="21" t="n">
        <f aca="false">$B16*IF(Model!$B$5=1,Data!$E$7,Model!$AD$57)</f>
        <v>17.7187237615449</v>
      </c>
      <c r="E16" s="21" t="n">
        <f aca="false">$B16*IF(Model!$B$5=1,Data!$F$7,Model!$AE$57)</f>
        <v>10.2865938986846</v>
      </c>
      <c r="F16" s="21" t="n">
        <f aca="false">$B16*IF(Model!$B$5=1,Data!$G$7,Model!$AF$57)</f>
        <v>14.1670864819479</v>
      </c>
      <c r="G16" s="21" t="n">
        <f aca="false">$B16*Model!$S$57</f>
        <v>33.9507539484811</v>
      </c>
      <c r="H16" s="21" t="n">
        <f aca="false">$B16*Model!$T$57</f>
        <v>8.47767611453601</v>
      </c>
      <c r="I16" s="21" t="n">
        <f aca="false">$B16*Model!$U$57</f>
        <v>4.02016784002799</v>
      </c>
      <c r="J16" s="21" t="n">
        <f aca="false">$B16*Model!$V$57</f>
        <v>4.02016784002799</v>
      </c>
      <c r="K16" s="21" t="n">
        <f aca="false">$B16*Model!$W$57</f>
        <v>3.80222277624466</v>
      </c>
      <c r="L16" s="21" t="n">
        <f aca="false">$B16*Model!$X$57</f>
        <v>1.04199617469792</v>
      </c>
      <c r="M16" s="21" t="n">
        <f aca="false">$B16*Model!$Y$57</f>
        <v>0.597552908347176</v>
      </c>
      <c r="N16" s="21" t="n">
        <f aca="false">$B16*Model!$Z$57</f>
        <v>0.061669161359673</v>
      </c>
      <c r="O16" s="21" t="n">
        <f aca="false">$B16*Model!$AA$57</f>
        <v>0.104199617469792</v>
      </c>
    </row>
    <row r="17" customFormat="false" ht="15" hidden="false" customHeight="true" outlineLevel="0" collapsed="false">
      <c r="A17" s="23" t="n">
        <v>2030</v>
      </c>
      <c r="B17" s="21" t="n">
        <f aca="false">IF($A17&lt;=Model!$B$3,Data!$B$8*Model!$D$57,0)</f>
        <v>56.0764063811923</v>
      </c>
      <c r="C17" s="21" t="n">
        <f aca="false">$B17*IF(Model!$B$5=1,Data!$D$8,Model!$AC$57)</f>
        <v>13.8809499606189</v>
      </c>
      <c r="D17" s="21" t="n">
        <f aca="false">$B17*IF(Model!$B$5=1,Data!$E$8,Model!$AD$57)</f>
        <v>17.4597351637358</v>
      </c>
      <c r="E17" s="21" t="n">
        <f aca="false">$B17*IF(Model!$B$5=1,Data!$F$8,Model!$AE$57)</f>
        <v>10.302164757502</v>
      </c>
      <c r="F17" s="21" t="n">
        <f aca="false">$B17*IF(Model!$B$5=1,Data!$G$8,Model!$AF$57)</f>
        <v>14.4335564993355</v>
      </c>
      <c r="G17" s="21" t="n">
        <f aca="false">$B17*Model!$S$57</f>
        <v>33.9507539484811</v>
      </c>
      <c r="H17" s="21" t="n">
        <f aca="false">$B17*Model!$T$57</f>
        <v>8.47767611453601</v>
      </c>
      <c r="I17" s="21" t="n">
        <f aca="false">$B17*Model!$U$57</f>
        <v>4.02016784002799</v>
      </c>
      <c r="J17" s="21" t="n">
        <f aca="false">$B17*Model!$V$57</f>
        <v>4.02016784002799</v>
      </c>
      <c r="K17" s="21" t="n">
        <f aca="false">$B17*Model!$W$57</f>
        <v>3.80222277624466</v>
      </c>
      <c r="L17" s="21" t="n">
        <f aca="false">$B17*Model!$X$57</f>
        <v>1.04199617469792</v>
      </c>
      <c r="M17" s="21" t="n">
        <f aca="false">$B17*Model!$Y$57</f>
        <v>0.597552908347176</v>
      </c>
      <c r="N17" s="21" t="n">
        <f aca="false">$B17*Model!$Z$57</f>
        <v>0.061669161359673</v>
      </c>
      <c r="O17" s="21" t="n">
        <f aca="false">$B17*Model!$AA$57</f>
        <v>0.104199617469792</v>
      </c>
    </row>
    <row r="18" customFormat="false" ht="15" hidden="false" customHeight="true" outlineLevel="0" collapsed="false">
      <c r="A18" s="23" t="n">
        <v>2031</v>
      </c>
      <c r="B18" s="21" t="n">
        <f aca="false">IF($A18&lt;=Model!$B$3,Data!$B$9*Model!$D$57,0)</f>
        <v>28.5183319339491</v>
      </c>
      <c r="C18" s="21" t="n">
        <f aca="false">$B18*IF(Model!$B$5=1,Data!$D$9,Model!$AC$57)</f>
        <v>6.5902602854744</v>
      </c>
      <c r="D18" s="21" t="n">
        <f aca="false">$B18*IF(Model!$B$5=1,Data!$E$9,Model!$AD$57)</f>
        <v>8.66862580464596</v>
      </c>
      <c r="E18" s="21" t="n">
        <f aca="false">$B18*IF(Model!$B$5=1,Data!$F$9,Model!$AE$57)</f>
        <v>5.41953540442206</v>
      </c>
      <c r="F18" s="21" t="n">
        <f aca="false">$B18*IF(Model!$B$5=1,Data!$G$9,Model!$AF$57)</f>
        <v>7.83991043940667</v>
      </c>
      <c r="G18" s="21" t="n">
        <f aca="false">$B18*Model!$S$57</f>
        <v>17.2660648745735</v>
      </c>
      <c r="H18" s="21" t="n">
        <f aca="false">$B18*Model!$T$57</f>
        <v>4.31142430596155</v>
      </c>
      <c r="I18" s="21" t="n">
        <f aca="false">$B18*Model!$U$57</f>
        <v>2.04450478000954</v>
      </c>
      <c r="J18" s="21" t="n">
        <f aca="false">$B18*Model!$V$57</f>
        <v>2.04450478000954</v>
      </c>
      <c r="K18" s="21" t="n">
        <f aca="false">$B18*Model!$W$57</f>
        <v>1.93366619256355</v>
      </c>
      <c r="L18" s="21" t="n">
        <f aca="false">$B18*Model!$X$57</f>
        <v>0.529919706015739</v>
      </c>
      <c r="M18" s="21" t="n">
        <f aca="false">$B18*Model!$Y$57</f>
        <v>0.30389272936821</v>
      </c>
      <c r="N18" s="21" t="n">
        <f aca="false">$B18*Model!$Z$57</f>
        <v>0.0313625948458295</v>
      </c>
      <c r="O18" s="21" t="n">
        <f aca="false">$B18*Model!$AA$57</f>
        <v>0.0529919706015739</v>
      </c>
    </row>
    <row r="19" customFormat="false" ht="15" hidden="false" customHeight="true" outlineLevel="0" collapsed="false">
      <c r="A19" s="23" t="n">
        <v>2032</v>
      </c>
      <c r="B19" s="21" t="n">
        <f aca="false">IF($A19&lt;=Model!$B$3,Data!$B$10*Model!$D$57,0)</f>
        <v>28.5183319339491</v>
      </c>
      <c r="C19" s="21" t="n">
        <f aca="false">$B19*IF(Model!$B$5=1,Data!$D$10,Model!$AC$57)</f>
        <v>6.34033025468795</v>
      </c>
      <c r="D19" s="21" t="n">
        <f aca="false">$B19*IF(Model!$B$5=1,Data!$E$10,Model!$AD$57)</f>
        <v>8.49762104673943</v>
      </c>
      <c r="E19" s="21" t="n">
        <f aca="false">$B19*IF(Model!$B$5=1,Data!$F$10,Model!$AE$57)</f>
        <v>5.51161488944866</v>
      </c>
      <c r="F19" s="21" t="n">
        <f aca="false">$B19*IF(Model!$B$5=1,Data!$G$10,Model!$AF$57)</f>
        <v>8.16876574307305</v>
      </c>
      <c r="G19" s="21" t="n">
        <f aca="false">$B19*Model!$S$57</f>
        <v>17.2660648745735</v>
      </c>
      <c r="H19" s="21" t="n">
        <f aca="false">$B19*Model!$T$57</f>
        <v>4.31142430596155</v>
      </c>
      <c r="I19" s="21" t="n">
        <f aca="false">$B19*Model!$U$57</f>
        <v>2.04450478000954</v>
      </c>
      <c r="J19" s="21" t="n">
        <f aca="false">$B19*Model!$V$57</f>
        <v>2.04450478000954</v>
      </c>
      <c r="K19" s="21" t="n">
        <f aca="false">$B19*Model!$W$57</f>
        <v>1.93366619256355</v>
      </c>
      <c r="L19" s="21" t="n">
        <f aca="false">$B19*Model!$X$57</f>
        <v>0.529919706015739</v>
      </c>
      <c r="M19" s="21" t="n">
        <f aca="false">$B19*Model!$Y$57</f>
        <v>0.30389272936821</v>
      </c>
      <c r="N19" s="21" t="n">
        <f aca="false">$B19*Model!$Z$57</f>
        <v>0.0313625948458295</v>
      </c>
      <c r="O19" s="21" t="n">
        <f aca="false">$B19*Model!$AA$57</f>
        <v>0.0529919706015739</v>
      </c>
    </row>
    <row r="20" customFormat="false" ht="15" hidden="false" customHeight="true" outlineLevel="0" collapsed="false">
      <c r="A20" s="23" t="n">
        <v>2033</v>
      </c>
      <c r="B20" s="21" t="n">
        <f aca="false">IF($A20&lt;=Model!$B$3,Data!$B$11*Model!$D$57,0)</f>
        <v>28.5183319339491</v>
      </c>
      <c r="C20" s="21" t="n">
        <f aca="false">$B20*IF(Model!$B$5=1,Data!$D$11,Model!$AC$57)</f>
        <v>6.29061498127718</v>
      </c>
      <c r="D20" s="21" t="n">
        <f aca="false">$B20*IF(Model!$B$5=1,Data!$E$11,Model!$AD$57)</f>
        <v>8.52786298717073</v>
      </c>
      <c r="E20" s="21" t="n">
        <f aca="false">$B20*IF(Model!$B$5=1,Data!$F$11,Model!$AE$57)</f>
        <v>5.51415832040824</v>
      </c>
      <c r="F20" s="21" t="n">
        <f aca="false">$B20*IF(Model!$B$5=1,Data!$G$11,Model!$AF$57)</f>
        <v>8.18569564509291</v>
      </c>
      <c r="G20" s="21" t="n">
        <f aca="false">$B20*Model!$S$57</f>
        <v>17.2660648745735</v>
      </c>
      <c r="H20" s="21" t="n">
        <f aca="false">$B20*Model!$T$57</f>
        <v>4.31142430596155</v>
      </c>
      <c r="I20" s="21" t="n">
        <f aca="false">$B20*Model!$U$57</f>
        <v>2.04450478000954</v>
      </c>
      <c r="J20" s="21" t="n">
        <f aca="false">$B20*Model!$V$57</f>
        <v>2.04450478000954</v>
      </c>
      <c r="K20" s="21" t="n">
        <f aca="false">$B20*Model!$W$57</f>
        <v>1.93366619256355</v>
      </c>
      <c r="L20" s="21" t="n">
        <f aca="false">$B20*Model!$X$57</f>
        <v>0.529919706015739</v>
      </c>
      <c r="M20" s="21" t="n">
        <f aca="false">$B20*Model!$Y$57</f>
        <v>0.30389272936821</v>
      </c>
      <c r="N20" s="21" t="n">
        <f aca="false">$B20*Model!$Z$57</f>
        <v>0.0313625948458295</v>
      </c>
      <c r="O20" s="21" t="n">
        <f aca="false">$B20*Model!$AA$57</f>
        <v>0.0529919706015739</v>
      </c>
    </row>
    <row r="21" customFormat="false" ht="15" hidden="false" customHeight="true" outlineLevel="0" collapsed="false">
      <c r="A21" s="23" t="n">
        <v>2034</v>
      </c>
      <c r="B21" s="21" t="n">
        <f aca="false">IF($A21&lt;=Model!$B$3,Data!$B$12*Model!$D$57,0)</f>
        <v>28.5183319339491</v>
      </c>
      <c r="C21" s="21" t="n">
        <f aca="false">$B21*IF(Model!$B$5=1,Data!$D$12,Model!$AC$57)</f>
        <v>6.23509655751471</v>
      </c>
      <c r="D21" s="21" t="n">
        <f aca="false">$B21*IF(Model!$B$5=1,Data!$E$12,Model!$AD$57)</f>
        <v>8.55023789532607</v>
      </c>
      <c r="E21" s="21" t="n">
        <f aca="false">$B21*IF(Model!$B$5=1,Data!$F$12,Model!$AE$57)</f>
        <v>5.51161488944866</v>
      </c>
      <c r="F21" s="21" t="n">
        <f aca="false">$B21*IF(Model!$B$5=1,Data!$G$12,Model!$AF$57)</f>
        <v>8.22138259165966</v>
      </c>
      <c r="G21" s="21" t="n">
        <f aca="false">$B21*Model!$S$57</f>
        <v>17.2660648745735</v>
      </c>
      <c r="H21" s="21" t="n">
        <f aca="false">$B21*Model!$T$57</f>
        <v>4.31142430596155</v>
      </c>
      <c r="I21" s="21" t="n">
        <f aca="false">$B21*Model!$U$57</f>
        <v>2.04450478000954</v>
      </c>
      <c r="J21" s="21" t="n">
        <f aca="false">$B21*Model!$V$57</f>
        <v>2.04450478000954</v>
      </c>
      <c r="K21" s="21" t="n">
        <f aca="false">$B21*Model!$W$57</f>
        <v>1.93366619256355</v>
      </c>
      <c r="L21" s="21" t="n">
        <f aca="false">$B21*Model!$X$57</f>
        <v>0.529919706015739</v>
      </c>
      <c r="M21" s="21" t="n">
        <f aca="false">$B21*Model!$Y$57</f>
        <v>0.30389272936821</v>
      </c>
      <c r="N21" s="21" t="n">
        <f aca="false">$B21*Model!$Z$57</f>
        <v>0.0313625948458295</v>
      </c>
      <c r="O21" s="21" t="n">
        <f aca="false">$B21*Model!$AA$57</f>
        <v>0.0529919706015739</v>
      </c>
    </row>
    <row r="22" customFormat="false" ht="15" hidden="false" customHeight="true" outlineLevel="0" collapsed="false">
      <c r="A22" s="23" t="n">
        <v>2035</v>
      </c>
      <c r="B22" s="21" t="n">
        <f aca="false">IF($A22&lt;=Model!$B$3,Data!$B$13*Model!$D$57,0)</f>
        <v>27.5580744472432</v>
      </c>
      <c r="C22" s="21" t="n">
        <f aca="false">$B22*IF(Model!$B$5=1,Data!$D$13,Model!$AC$57)</f>
        <v>5.9062412538483</v>
      </c>
      <c r="D22" s="21" t="n">
        <f aca="false">$B22*IF(Model!$B$5=1,Data!$E$13,Model!$AD$57)</f>
        <v>8.14245731877973</v>
      </c>
      <c r="E22" s="21" t="n">
        <f aca="false">$B22*IF(Model!$B$5=1,Data!$F$13,Model!$AE$57)</f>
        <v>5.28799328295549</v>
      </c>
      <c r="F22" s="21" t="n">
        <f aca="false">$B22*IF(Model!$B$5=1,Data!$G$13,Model!$AF$57)</f>
        <v>8.22138259165967</v>
      </c>
      <c r="G22" s="21" t="n">
        <f aca="false">$B22*Model!$S$57</f>
        <v>16.6846890739075</v>
      </c>
      <c r="H22" s="21" t="n">
        <f aca="false">$B22*Model!$T$57</f>
        <v>4.16625180857447</v>
      </c>
      <c r="I22" s="21" t="n">
        <f aca="false">$B22*Model!$U$57</f>
        <v>1.97566306001845</v>
      </c>
      <c r="J22" s="21" t="n">
        <f aca="false">$B22*Model!$V$57</f>
        <v>1.97566306001845</v>
      </c>
      <c r="K22" s="21" t="n">
        <f aca="false">$B22*Model!$W$57</f>
        <v>1.86855658368111</v>
      </c>
      <c r="L22" s="21" t="n">
        <f aca="false">$B22*Model!$X$57</f>
        <v>0.512076468682183</v>
      </c>
      <c r="M22" s="21" t="n">
        <f aca="false">$B22*Model!$Y$57</f>
        <v>0.293660178978966</v>
      </c>
      <c r="N22" s="21" t="n">
        <f aca="false">$B22*Model!$Z$57</f>
        <v>0.0303065665138435</v>
      </c>
      <c r="O22" s="21" t="n">
        <f aca="false">$B22*Model!$AA$57</f>
        <v>0.0512076468682183</v>
      </c>
    </row>
    <row r="23" customFormat="false" ht="15" hidden="false" customHeight="true" outlineLevel="0" collapsed="false">
      <c r="A23" s="23" t="n">
        <v>2036</v>
      </c>
      <c r="B23" s="21" t="n">
        <f aca="false">IF($A23&lt;=Model!$B$3,Data!$B$14*Model!$D$57,0)</f>
        <v>20.8757346767422</v>
      </c>
      <c r="C23" s="21" t="n">
        <f aca="false">$B23*IF(Model!$B$5=1,Data!$D$14,Model!$AC$57)</f>
        <v>5.03591878879424</v>
      </c>
      <c r="D23" s="21" t="n">
        <f aca="false">$B23*IF(Model!$B$5=1,Data!$E$14,Model!$AD$57)</f>
        <v>6.4772626468094</v>
      </c>
      <c r="E23" s="21" t="n">
        <f aca="false">$B23*IF(Model!$B$5=1,Data!$F$14,Model!$AE$57)</f>
        <v>3.90366672877332</v>
      </c>
      <c r="F23" s="21" t="n">
        <f aca="false">$B23*IF(Model!$B$5=1,Data!$G$14,Model!$AF$57)</f>
        <v>5.45888651236527</v>
      </c>
      <c r="G23" s="21" t="n">
        <f aca="false">$B23*Model!$S$57</f>
        <v>12.6389506254374</v>
      </c>
      <c r="H23" s="21" t="n">
        <f aca="false">$B23*Model!$T$57</f>
        <v>3.1560103199082</v>
      </c>
      <c r="I23" s="21" t="n">
        <f aca="false">$B23*Model!$U$57</f>
        <v>1.49660013186123</v>
      </c>
      <c r="J23" s="21" t="n">
        <f aca="false">$B23*Model!$V$57</f>
        <v>1.49660013186123</v>
      </c>
      <c r="K23" s="21" t="n">
        <f aca="false">$B23*Model!$W$57</f>
        <v>1.41546505885533</v>
      </c>
      <c r="L23" s="21" t="n">
        <f aca="false">$B23*Model!$X$57</f>
        <v>0.387907091073329</v>
      </c>
      <c r="M23" s="21" t="n">
        <f aca="false">$B23*Model!$Y$57</f>
        <v>0.222452842023685</v>
      </c>
      <c r="N23" s="21" t="n">
        <f aca="false">$B23*Model!$Z$57</f>
        <v>0.022957766614544</v>
      </c>
      <c r="O23" s="21" t="n">
        <f aca="false">$B23*Model!$AA$57</f>
        <v>0.0387907091073329</v>
      </c>
    </row>
    <row r="24" customFormat="false" ht="15" hidden="false" customHeight="true" outlineLevel="0" collapsed="false">
      <c r="A24" s="23" t="n">
        <v>2037</v>
      </c>
      <c r="B24" s="21" t="n">
        <f aca="false">IF($A24&lt;=Model!$B$3,Data!$B$15*Model!$D$57,0)</f>
        <v>20.7047299188357</v>
      </c>
      <c r="C24" s="21" t="n">
        <f aca="false">$B24*IF(Model!$B$5=1,Data!$D$15,Model!$AC$57)</f>
        <v>4.99466677603159</v>
      </c>
      <c r="D24" s="21" t="n">
        <f aca="false">$B24*IF(Model!$B$5=1,Data!$E$15,Model!$AD$57)</f>
        <v>6.4242037845482</v>
      </c>
      <c r="E24" s="21" t="n">
        <f aca="false">$B24*IF(Model!$B$5=1,Data!$F$15,Model!$AE$57)</f>
        <v>3.87168962261449</v>
      </c>
      <c r="F24" s="21" t="n">
        <f aca="false">$B24*IF(Model!$B$5=1,Data!$G$15,Model!$AF$57)</f>
        <v>5.41416973564145</v>
      </c>
      <c r="G24" s="21" t="n">
        <f aca="false">$B24*Model!$S$57</f>
        <v>12.5354179486064</v>
      </c>
      <c r="H24" s="21" t="n">
        <f aca="false">$B24*Model!$T$57</f>
        <v>3.13015768338721</v>
      </c>
      <c r="I24" s="21" t="n">
        <f aca="false">$B24*Model!$U$57</f>
        <v>1.48434064747925</v>
      </c>
      <c r="J24" s="21" t="n">
        <f aca="false">$B24*Model!$V$57</f>
        <v>1.48434064747925</v>
      </c>
      <c r="K24" s="21" t="n">
        <f aca="false">$B24*Model!$W$57</f>
        <v>1.40387019699955</v>
      </c>
      <c r="L24" s="21" t="n">
        <f aca="false">$B24*Model!$X$57</f>
        <v>0.384729528260504</v>
      </c>
      <c r="M24" s="21" t="n">
        <f aca="false">$B24*Model!$Y$57</f>
        <v>0.220630607022861</v>
      </c>
      <c r="N24" s="21" t="n">
        <f aca="false">$B24*Model!$Z$57</f>
        <v>0.0227697067746013</v>
      </c>
      <c r="O24" s="21" t="n">
        <f aca="false">$B24*Model!$AA$57</f>
        <v>0.0384729528260504</v>
      </c>
    </row>
    <row r="25" customFormat="false" ht="15" hidden="false" customHeight="true" outlineLevel="0" collapsed="false">
      <c r="A25" s="23" t="n">
        <v>2038</v>
      </c>
      <c r="B25" s="21" t="n">
        <f aca="false">IF($A25&lt;=Model!$B$3,Data!$B$16*Model!$D$57,0)</f>
        <v>20.4547998880493</v>
      </c>
      <c r="C25" s="21" t="n">
        <f aca="false">$B25*IF(Model!$B$5=1,Data!$D$16,Model!$AC$57)</f>
        <v>4.93437537276312</v>
      </c>
      <c r="D25" s="21" t="n">
        <f aca="false">$B25*IF(Model!$B$5=1,Data!$E$16,Model!$AD$57)</f>
        <v>6.34665621662799</v>
      </c>
      <c r="E25" s="21" t="n">
        <f aca="false">$B25*IF(Model!$B$5=1,Data!$F$16,Model!$AE$57)</f>
        <v>3.82495385207467</v>
      </c>
      <c r="F25" s="21" t="n">
        <f aca="false">$B25*IF(Model!$B$5=1,Data!$G$16,Model!$AF$57)</f>
        <v>5.34881444658349</v>
      </c>
      <c r="G25" s="21" t="n">
        <f aca="false">$B25*Model!$S$57</f>
        <v>12.384100959392</v>
      </c>
      <c r="H25" s="21" t="n">
        <f aca="false">$B25*Model!$T$57</f>
        <v>3.09237306077962</v>
      </c>
      <c r="I25" s="21" t="n">
        <f aca="false">$B25*Model!$U$57</f>
        <v>1.46642293953637</v>
      </c>
      <c r="J25" s="21" t="n">
        <f aca="false">$B25*Model!$V$57</f>
        <v>1.46642293953637</v>
      </c>
      <c r="K25" s="21" t="n">
        <f aca="false">$B25*Model!$W$57</f>
        <v>1.38692386044111</v>
      </c>
      <c r="L25" s="21" t="n">
        <f aca="false">$B25*Model!$X$57</f>
        <v>0.380085397995606</v>
      </c>
      <c r="M25" s="21" t="n">
        <f aca="false">$B25*Model!$Y$57</f>
        <v>0.217967340483195</v>
      </c>
      <c r="N25" s="21" t="n">
        <f aca="false">$B25*Model!$Z$57</f>
        <v>0.0224948500854542</v>
      </c>
      <c r="O25" s="21" t="n">
        <f aca="false">$B25*Model!$AA$57</f>
        <v>0.0380085397995606</v>
      </c>
    </row>
    <row r="26" customFormat="false" ht="15" hidden="false" customHeight="true" outlineLevel="0" collapsed="false">
      <c r="A26" s="23" t="n">
        <v>2039</v>
      </c>
      <c r="B26" s="21" t="n">
        <f aca="false">IF($A26&lt;=Model!$B$3,Data!$B$17*Model!$D$57,0)</f>
        <v>20.2706409179961</v>
      </c>
      <c r="C26" s="21" t="n">
        <f aca="false">$B26*IF(Model!$B$5=1,Data!$D$17,Model!$AC$57)</f>
        <v>4.88995012824948</v>
      </c>
      <c r="D26" s="21" t="n">
        <f aca="false">$B26*IF(Model!$B$5=1,Data!$E$17,Model!$AD$57)</f>
        <v>6.2895159034236</v>
      </c>
      <c r="E26" s="21" t="n">
        <f aca="false">$B26*IF(Model!$B$5=1,Data!$F$17,Model!$AE$57)</f>
        <v>3.79051696851902</v>
      </c>
      <c r="F26" s="21" t="n">
        <f aca="false">$B26*IF(Model!$B$5=1,Data!$G$17,Model!$AF$57)</f>
        <v>5.30065791780398</v>
      </c>
      <c r="G26" s="21" t="n">
        <f aca="false">$B26*Model!$S$57</f>
        <v>12.2726042304971</v>
      </c>
      <c r="H26" s="21" t="n">
        <f aca="false">$B26*Model!$T$57</f>
        <v>3.06453175991086</v>
      </c>
      <c r="I26" s="21" t="n">
        <f aca="false">$B26*Model!$U$57</f>
        <v>1.45322041789424</v>
      </c>
      <c r="J26" s="21" t="n">
        <f aca="false">$B26*Model!$V$57</f>
        <v>1.45322041789424</v>
      </c>
      <c r="K26" s="21" t="n">
        <f aca="false">$B26*Model!$W$57</f>
        <v>1.37443708613489</v>
      </c>
      <c r="L26" s="21" t="n">
        <f aca="false">$B26*Model!$X$57</f>
        <v>0.376663407274102</v>
      </c>
      <c r="M26" s="21" t="n">
        <f aca="false">$B26*Model!$Y$57</f>
        <v>0.21600493355923</v>
      </c>
      <c r="N26" s="21" t="n">
        <f aca="false">$B26*Model!$Z$57</f>
        <v>0.0222923241039775</v>
      </c>
      <c r="O26" s="21" t="n">
        <f aca="false">$B26*Model!$AA$57</f>
        <v>0.0376663407274102</v>
      </c>
    </row>
    <row r="27" customFormat="false" ht="15" hidden="false" customHeight="true" outlineLevel="0" collapsed="false">
      <c r="A27" s="23" t="n">
        <v>2040</v>
      </c>
      <c r="B27" s="21" t="n">
        <f aca="false">IF($A27&lt;=Model!$B$3,Data!$B$18*Model!$D$57,0)</f>
        <v>20.0601735236496</v>
      </c>
      <c r="C27" s="21" t="n">
        <f aca="false">$B27*IF(Model!$B$5=1,Data!$D$18,Model!$AC$57)</f>
        <v>4.83917842023391</v>
      </c>
      <c r="D27" s="21" t="n">
        <f aca="false">$B27*IF(Model!$B$5=1,Data!$E$18,Model!$AD$57)</f>
        <v>6.22421268833291</v>
      </c>
      <c r="E27" s="21" t="n">
        <f aca="false">$B27*IF(Model!$B$5=1,Data!$F$18,Model!$AE$57)</f>
        <v>3.7511605301697</v>
      </c>
      <c r="F27" s="21" t="n">
        <f aca="false">$B27*IF(Model!$B$5=1,Data!$G$18,Model!$AF$57)</f>
        <v>5.24562188491307</v>
      </c>
      <c r="G27" s="21" t="n">
        <f aca="false">$B27*Model!$S$57</f>
        <v>12.1451793974745</v>
      </c>
      <c r="H27" s="21" t="n">
        <f aca="false">$B27*Model!$T$57</f>
        <v>3.03271313034657</v>
      </c>
      <c r="I27" s="21" t="n">
        <f aca="false">$B27*Model!$U$57</f>
        <v>1.43813182173181</v>
      </c>
      <c r="J27" s="21" t="n">
        <f aca="false">$B27*Model!$V$57</f>
        <v>1.43813182173181</v>
      </c>
      <c r="K27" s="21" t="n">
        <f aca="false">$B27*Model!$W$57</f>
        <v>1.36016648692778</v>
      </c>
      <c r="L27" s="21" t="n">
        <f aca="false">$B27*Model!$X$57</f>
        <v>0.372752560735241</v>
      </c>
      <c r="M27" s="21" t="n">
        <f aca="false">$B27*Model!$Y$57</f>
        <v>0.213762182788985</v>
      </c>
      <c r="N27" s="21" t="n">
        <f aca="false">$B27*Model!$Z$57</f>
        <v>0.0220608658394326</v>
      </c>
      <c r="O27" s="21" t="n">
        <f aca="false">$B27*Model!$AA$57</f>
        <v>0.0372752560735241</v>
      </c>
    </row>
    <row r="28" customFormat="false" ht="15" hidden="false" customHeight="true" outlineLevel="0" collapsed="false">
      <c r="A28" s="24" t="s">
        <v>118</v>
      </c>
      <c r="B28" s="25" t="n">
        <f aca="false">SUM(B13:B27)</f>
        <v>524.379513014274</v>
      </c>
      <c r="C28" s="25" t="n">
        <f aca="false">SUM(C13:C27)</f>
        <v>126.497281520359</v>
      </c>
      <c r="D28" s="25" t="n">
        <f aca="false">SUM(D13:D27)</f>
        <v>162.702745391073</v>
      </c>
      <c r="E28" s="25" t="n">
        <f aca="false">SUM(E13:E27)</f>
        <v>98.0566335640314</v>
      </c>
      <c r="F28" s="25" t="n">
        <f aca="false">SUM(F13:F27)</f>
        <v>137.122852538811</v>
      </c>
      <c r="G28" s="25" t="n">
        <f aca="false">SUM(G13:G27)</f>
        <v>317.478971476014</v>
      </c>
      <c r="H28" s="25" t="n">
        <f aca="false">SUM(H13:H27)</f>
        <v>79.2761155594332</v>
      </c>
      <c r="I28" s="25" t="n">
        <f aca="false">SUM(I13:I27)</f>
        <v>37.5932373386995</v>
      </c>
      <c r="J28" s="25" t="n">
        <f aca="false">SUM(J13:J27)</f>
        <v>37.5932373386995</v>
      </c>
      <c r="K28" s="25" t="n">
        <f aca="false">SUM(K13:K27)</f>
        <v>35.5551979245173</v>
      </c>
      <c r="L28" s="25" t="n">
        <f aca="false">SUM(L13:L27)</f>
        <v>9.74387415157354</v>
      </c>
      <c r="M28" s="25" t="n">
        <f aca="false">SUM(M13:M27)</f>
        <v>5.58781354406564</v>
      </c>
      <c r="N28" s="25" t="n">
        <f aca="false">SUM(N13:N27)</f>
        <v>0.576678266113536</v>
      </c>
      <c r="O28" s="25" t="n">
        <f aca="false">SUM(O13:O27)</f>
        <v>0.974387415157354</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0.186995546413275</v>
      </c>
      <c r="F29" s="26" t="n">
        <f aca="false">IF($B$28&gt;0,F28/$B$28,0)</f>
        <v>0.261495442014109</v>
      </c>
      <c r="G29" s="26" t="n">
        <f aca="false">IF($B$28&gt;0,G28/$B$28,0)</f>
        <v>0.605437404773997</v>
      </c>
      <c r="H29" s="26" t="n">
        <f aca="false">IF($B$28&gt;0,H28/$B$28,0)</f>
        <v>0.151180802437786</v>
      </c>
      <c r="I29" s="26" t="n">
        <f aca="false">IF($B$28&gt;0,I28/$B$28,0)</f>
        <v>0.0716908963941087</v>
      </c>
      <c r="J29" s="26" t="n">
        <f aca="false">IF($B$28&gt;0,J28/$B$28,0)</f>
        <v>0.0716908963941087</v>
      </c>
      <c r="K29" s="26" t="n">
        <f aca="false">IF($B$28&gt;0,K28/$B$28,0)</f>
        <v>0.0678043230944255</v>
      </c>
      <c r="L29" s="26" t="n">
        <f aca="false">IF($B$28&gt;0,L28/$B$28,0)</f>
        <v>0.018581721653394</v>
      </c>
      <c r="M29" s="26" t="n">
        <f aca="false">IF($B$28&gt;0,M28/$B$28,0)</f>
        <v>0.0106560485400076</v>
      </c>
      <c r="N29" s="26" t="n">
        <f aca="false">IF($B$28&gt;0,N28/$B$28,0)</f>
        <v>0.00109973454683352</v>
      </c>
      <c r="O29" s="26" t="n">
        <f aca="false">IF($B$28&gt;0,O28/$B$28,0)</f>
        <v>0.0018581721653394</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Data!$H$34*Data!$M$34/SUM(Data!$H$34:$K$34)</f>
        <v>29.9881656804734</v>
      </c>
      <c r="C34" s="22" t="n">
        <f aca="false">IF($B$38&gt;0,B34/$B$38,0)</f>
        <v>0.0331360946745562</v>
      </c>
      <c r="D34" s="21" t="n">
        <f aca="false">C28</f>
        <v>126.497281520359</v>
      </c>
      <c r="E34" s="22" t="n">
        <f aca="false">IF($D$38&gt;0,D34/$D$38,0)</f>
        <v>0.241232310532536</v>
      </c>
      <c r="F34" s="21" t="n">
        <f aca="false">B34+D34</f>
        <v>156.485447200832</v>
      </c>
      <c r="G34" s="22" t="n">
        <f aca="false">IF($F$38&gt;0,F34/$F$38,0)</f>
        <v>0.109477885877094</v>
      </c>
    </row>
    <row r="35" customFormat="false" ht="15" hidden="false" customHeight="true" outlineLevel="0" collapsed="false">
      <c r="A35" s="13" t="s">
        <v>106</v>
      </c>
      <c r="B35" s="21" t="n">
        <f aca="false">Data!$I$34*Data!$M$34/SUM(Data!$H$34:$K$34)</f>
        <v>126.378698224852</v>
      </c>
      <c r="C35" s="22" t="n">
        <f aca="false">IF($B$38&gt;0,B35/$B$38,0)</f>
        <v>0.139644970414201</v>
      </c>
      <c r="D35" s="21" t="n">
        <f aca="false">D28</f>
        <v>162.702745391073</v>
      </c>
      <c r="E35" s="22" t="n">
        <f aca="false">IF($D$38&gt;0,D35/$D$38,0)</f>
        <v>0.310276701040081</v>
      </c>
      <c r="F35" s="21" t="n">
        <f aca="false">B35+D35</f>
        <v>289.081443615925</v>
      </c>
      <c r="G35" s="22" t="n">
        <f aca="false">IF($F$38&gt;0,F35/$F$38,0)</f>
        <v>0.202242610156284</v>
      </c>
    </row>
    <row r="36" customFormat="false" ht="15" hidden="false" customHeight="true" outlineLevel="0" collapsed="false">
      <c r="A36" s="13" t="s">
        <v>107</v>
      </c>
      <c r="B36" s="21" t="n">
        <f aca="false">Data!$J$34*Data!$M$34/SUM(Data!$H$34:$K$34)</f>
        <v>423.047337278107</v>
      </c>
      <c r="C36" s="22" t="n">
        <f aca="false">IF($B$38&gt;0,B36/$B$38,0)</f>
        <v>0.467455621301775</v>
      </c>
      <c r="D36" s="21" t="n">
        <f aca="false">E28</f>
        <v>98.0566335640314</v>
      </c>
      <c r="E36" s="22" t="n">
        <f aca="false">IF($D$38&gt;0,D36/$D$38,0)</f>
        <v>0.186995546413275</v>
      </c>
      <c r="F36" s="21" t="n">
        <f aca="false">B36+D36</f>
        <v>521.103970842138</v>
      </c>
      <c r="G36" s="22" t="n">
        <f aca="false">IF($F$38&gt;0,F36/$F$38,0)</f>
        <v>0.36456655919409</v>
      </c>
    </row>
    <row r="37" customFormat="false" ht="15" hidden="false" customHeight="true" outlineLevel="0" collapsed="false">
      <c r="A37" s="13" t="s">
        <v>108</v>
      </c>
      <c r="B37" s="21" t="n">
        <f aca="false">Data!$K$34*Data!$M$34/SUM(Data!$H$34:$K$34)</f>
        <v>325.585798816568</v>
      </c>
      <c r="C37" s="22" t="n">
        <f aca="false">IF($B$38&gt;0,B37/$B$38,0)</f>
        <v>0.359763313609467</v>
      </c>
      <c r="D37" s="21" t="n">
        <f aca="false">F28</f>
        <v>137.122852538811</v>
      </c>
      <c r="E37" s="22" t="n">
        <f aca="false">IF($D$38&gt;0,D37/$D$38,0)</f>
        <v>0.261495442014109</v>
      </c>
      <c r="F37" s="21" t="n">
        <f aca="false">B37+D37</f>
        <v>462.708651355379</v>
      </c>
      <c r="G37" s="22" t="n">
        <f aca="false">IF($F$38&gt;0,F37/$F$38,0)</f>
        <v>0.323712944772532</v>
      </c>
    </row>
    <row r="38" customFormat="false" ht="15" hidden="false" customHeight="true" outlineLevel="0" collapsed="false">
      <c r="A38" s="24" t="s">
        <v>61</v>
      </c>
      <c r="B38" s="25" t="n">
        <f aca="false">SUM(B34:B37)</f>
        <v>905</v>
      </c>
      <c r="C38" s="27" t="n">
        <f aca="false">SUM(C34:C37)</f>
        <v>1</v>
      </c>
      <c r="D38" s="25" t="n">
        <f aca="false">SUM(D34:D37)</f>
        <v>524.379513014274</v>
      </c>
      <c r="E38" s="27" t="n">
        <f aca="false">SUM(E34:E37)</f>
        <v>1</v>
      </c>
      <c r="F38" s="25" t="n">
        <f aca="false">SUM(F34:F37)</f>
        <v>1429.37951301427</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8B79C"/>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179</v>
      </c>
    </row>
    <row r="2" customFormat="false" ht="15" hidden="false" customHeight="true" outlineLevel="0" collapsed="false">
      <c r="A2" s="3" t="str">
        <f aca="false">Model!$B$58&amp;" · new homes per year, 2026–"&amp;Model!$B$3&amp;" · set by the levers on the Intro tab"</f>
        <v>Key town · new homes per year, 2026–2040 · set by the levers on the Intro tab</v>
      </c>
    </row>
    <row r="4" customFormat="false" ht="15" hidden="false" customHeight="true" outlineLevel="0" collapsed="false">
      <c r="A4" s="13" t="s">
        <v>332</v>
      </c>
      <c r="C4" s="67" t="n">
        <f aca="false">Model!$D$58</f>
        <v>0.0104020897471779</v>
      </c>
    </row>
    <row r="5" customFormat="false" ht="15" hidden="false" customHeight="true" outlineLevel="0" collapsed="false">
      <c r="A5" s="13" t="s">
        <v>53</v>
      </c>
      <c r="C5" s="14" t="n">
        <f aca="false">Model!$E$58</f>
        <v>414.6689056815</v>
      </c>
    </row>
    <row r="6" customFormat="false" ht="15" hidden="false" customHeight="true" outlineLevel="0" collapsed="false">
      <c r="A6" s="13" t="s">
        <v>99</v>
      </c>
      <c r="C6" s="15" t="n">
        <f aca="false">Model!$Q$58</f>
        <v>0.1</v>
      </c>
    </row>
    <row r="7" customFormat="false" ht="15" hidden="false" customHeight="true" outlineLevel="0" collapsed="false">
      <c r="A7" s="13" t="s">
        <v>100</v>
      </c>
      <c r="C7" s="15" t="n">
        <f aca="false">Model!$G$58</f>
        <v>0.20437</v>
      </c>
    </row>
    <row r="8" customFormat="false" ht="15" hidden="false" customHeight="true" outlineLevel="0" collapsed="false">
      <c r="A8" s="13" t="s">
        <v>101</v>
      </c>
      <c r="C8" s="15" t="n">
        <f aca="false">Model!$R$58</f>
        <v>0.166160251794775</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IF($A13&lt;=Model!$B$3,Data!$B$4*Model!$D$58,0)</f>
        <v>44.3441085922194</v>
      </c>
      <c r="C13" s="21" t="n">
        <f aca="false">$B13*IF(Model!$B$5=1,Data!$D$4,Model!$AC$58)</f>
        <v>11.4708142066647</v>
      </c>
      <c r="D13" s="21" t="n">
        <f aca="false">$B13*IF(Model!$B$5=1,Data!$E$4,Model!$AD$58)</f>
        <v>14.0395278141408</v>
      </c>
      <c r="E13" s="21" t="n">
        <f aca="false">$B13*IF(Model!$B$5=1,Data!$F$4,Model!$AE$58)</f>
        <v>8.20532403359784</v>
      </c>
      <c r="F13" s="21" t="n">
        <f aca="false">$B13*IF(Model!$B$5=1,Data!$G$4,Model!$AF$58)</f>
        <v>10.6284425378162</v>
      </c>
      <c r="G13" s="21" t="n">
        <f aca="false">$B13*Model!$S$58</f>
        <v>26.8475820230896</v>
      </c>
      <c r="H13" s="21" t="n">
        <f aca="false">$B13*Model!$T$58</f>
        <v>6.70397792036004</v>
      </c>
      <c r="I13" s="21" t="n">
        <f aca="false">$B13*Model!$U$58</f>
        <v>3.17906889477391</v>
      </c>
      <c r="J13" s="21" t="n">
        <f aca="false">$B13*Model!$V$58</f>
        <v>3.17906889477391</v>
      </c>
      <c r="K13" s="21" t="n">
        <f aca="false">$B13*Model!$W$58</f>
        <v>3.00672226632114</v>
      </c>
      <c r="L13" s="21" t="n">
        <f aca="false">$B13*Model!$X$58</f>
        <v>0.823989882828499</v>
      </c>
      <c r="M13" s="21" t="n">
        <f aca="false">$B13*Model!$Y$58</f>
        <v>0.472532973622058</v>
      </c>
      <c r="N13" s="21" t="n">
        <f aca="false">$B13*Model!$Z$58</f>
        <v>0.048766748167401</v>
      </c>
      <c r="O13" s="21" t="n">
        <f aca="false">$B13*Model!$AA$58</f>
        <v>0.0823989882828499</v>
      </c>
    </row>
    <row r="14" customFormat="false" ht="15" hidden="false" customHeight="true" outlineLevel="0" collapsed="false">
      <c r="A14" s="23" t="n">
        <v>2027</v>
      </c>
      <c r="B14" s="21" t="n">
        <f aca="false">IF($A14&lt;=Model!$B$3,Data!$B$5*Model!$D$58,0)</f>
        <v>44.3441085922194</v>
      </c>
      <c r="C14" s="21" t="n">
        <f aca="false">$B14*IF(Model!$B$5=1,Data!$D$5,Model!$AC$58)</f>
        <v>11.148425049451</v>
      </c>
      <c r="D14" s="21" t="n">
        <f aca="false">$B14*IF(Model!$B$5=1,Data!$E$5,Model!$AD$58)</f>
        <v>14.0811264150715</v>
      </c>
      <c r="E14" s="21" t="n">
        <f aca="false">$B14*IF(Model!$B$5=1,Data!$F$5,Model!$AE$58)</f>
        <v>8.18452473313245</v>
      </c>
      <c r="F14" s="21" t="n">
        <f aca="false">$B14*IF(Model!$B$5=1,Data!$G$5,Model!$AF$58)</f>
        <v>10.9300323945644</v>
      </c>
      <c r="G14" s="21" t="n">
        <f aca="false">$B14*Model!$S$58</f>
        <v>26.8475820230896</v>
      </c>
      <c r="H14" s="21" t="n">
        <f aca="false">$B14*Model!$T$58</f>
        <v>6.70397792036004</v>
      </c>
      <c r="I14" s="21" t="n">
        <f aca="false">$B14*Model!$U$58</f>
        <v>3.17906889477391</v>
      </c>
      <c r="J14" s="21" t="n">
        <f aca="false">$B14*Model!$V$58</f>
        <v>3.17906889477391</v>
      </c>
      <c r="K14" s="21" t="n">
        <f aca="false">$B14*Model!$W$58</f>
        <v>3.00672226632114</v>
      </c>
      <c r="L14" s="21" t="n">
        <f aca="false">$B14*Model!$X$58</f>
        <v>0.823989882828499</v>
      </c>
      <c r="M14" s="21" t="n">
        <f aca="false">$B14*Model!$Y$58</f>
        <v>0.472532973622058</v>
      </c>
      <c r="N14" s="21" t="n">
        <f aca="false">$B14*Model!$Z$58</f>
        <v>0.048766748167401</v>
      </c>
      <c r="O14" s="21" t="n">
        <f aca="false">$B14*Model!$AA$58</f>
        <v>0.0823989882828499</v>
      </c>
    </row>
    <row r="15" customFormat="false" ht="15" hidden="false" customHeight="true" outlineLevel="0" collapsed="false">
      <c r="A15" s="23" t="n">
        <v>2028</v>
      </c>
      <c r="B15" s="21" t="n">
        <f aca="false">IF($A15&lt;=Model!$B$3,Data!$B$6*Model!$D$58,0)</f>
        <v>44.3441085922194</v>
      </c>
      <c r="C15" s="21" t="n">
        <f aca="false">$B15*IF(Model!$B$5=1,Data!$D$6,Model!$AC$58)</f>
        <v>11.112038474071</v>
      </c>
      <c r="D15" s="21" t="n">
        <f aca="false">$B15*IF(Model!$B$5=1,Data!$E$6,Model!$AD$58)</f>
        <v>14.0877341703109</v>
      </c>
      <c r="E15" s="21" t="n">
        <f aca="false">$B15*IF(Model!$B$5=1,Data!$F$6,Model!$AE$58)</f>
        <v>8.18836542986313</v>
      </c>
      <c r="F15" s="21" t="n">
        <f aca="false">$B15*IF(Model!$B$5=1,Data!$G$6,Model!$AF$58)</f>
        <v>10.9559705179744</v>
      </c>
      <c r="G15" s="21" t="n">
        <f aca="false">$B15*Model!$S$58</f>
        <v>26.8475820230896</v>
      </c>
      <c r="H15" s="21" t="n">
        <f aca="false">$B15*Model!$T$58</f>
        <v>6.70397792036004</v>
      </c>
      <c r="I15" s="21" t="n">
        <f aca="false">$B15*Model!$U$58</f>
        <v>3.17906889477391</v>
      </c>
      <c r="J15" s="21" t="n">
        <f aca="false">$B15*Model!$V$58</f>
        <v>3.17906889477391</v>
      </c>
      <c r="K15" s="21" t="n">
        <f aca="false">$B15*Model!$W$58</f>
        <v>3.00672226632114</v>
      </c>
      <c r="L15" s="21" t="n">
        <f aca="false">$B15*Model!$X$58</f>
        <v>0.823989882828499</v>
      </c>
      <c r="M15" s="21" t="n">
        <f aca="false">$B15*Model!$Y$58</f>
        <v>0.472532973622058</v>
      </c>
      <c r="N15" s="21" t="n">
        <f aca="false">$B15*Model!$Z$58</f>
        <v>0.048766748167401</v>
      </c>
      <c r="O15" s="21" t="n">
        <f aca="false">$B15*Model!$AA$58</f>
        <v>0.0823989882828499</v>
      </c>
    </row>
    <row r="16" customFormat="false" ht="15" hidden="false" customHeight="true" outlineLevel="0" collapsed="false">
      <c r="A16" s="23" t="n">
        <v>2029</v>
      </c>
      <c r="B16" s="21" t="n">
        <f aca="false">IF($A16&lt;=Model!$B$3,Data!$B$7*Model!$D$58,0)</f>
        <v>44.3441085922194</v>
      </c>
      <c r="C16" s="21" t="n">
        <f aca="false">$B16*IF(Model!$B$5=1,Data!$D$7,Model!$AC$58)</f>
        <v>10.9950088627671</v>
      </c>
      <c r="D16" s="21" t="n">
        <f aca="false">$B16*IF(Model!$B$5=1,Data!$E$7,Model!$AD$58)</f>
        <v>14.0116148894486</v>
      </c>
      <c r="E16" s="21" t="n">
        <f aca="false">$B16*IF(Model!$B$5=1,Data!$F$7,Model!$AE$58)</f>
        <v>8.13443418229314</v>
      </c>
      <c r="F16" s="21" t="n">
        <f aca="false">$B16*IF(Model!$B$5=1,Data!$G$7,Model!$AF$58)</f>
        <v>11.2030506577106</v>
      </c>
      <c r="G16" s="21" t="n">
        <f aca="false">$B16*Model!$S$58</f>
        <v>26.8475820230896</v>
      </c>
      <c r="H16" s="21" t="n">
        <f aca="false">$B16*Model!$T$58</f>
        <v>6.70397792036004</v>
      </c>
      <c r="I16" s="21" t="n">
        <f aca="false">$B16*Model!$U$58</f>
        <v>3.17906889477391</v>
      </c>
      <c r="J16" s="21" t="n">
        <f aca="false">$B16*Model!$V$58</f>
        <v>3.17906889477391</v>
      </c>
      <c r="K16" s="21" t="n">
        <f aca="false">$B16*Model!$W$58</f>
        <v>3.00672226632114</v>
      </c>
      <c r="L16" s="21" t="n">
        <f aca="false">$B16*Model!$X$58</f>
        <v>0.823989882828499</v>
      </c>
      <c r="M16" s="21" t="n">
        <f aca="false">$B16*Model!$Y$58</f>
        <v>0.472532973622058</v>
      </c>
      <c r="N16" s="21" t="n">
        <f aca="false">$B16*Model!$Z$58</f>
        <v>0.048766748167401</v>
      </c>
      <c r="O16" s="21" t="n">
        <f aca="false">$B16*Model!$AA$58</f>
        <v>0.0823989882828499</v>
      </c>
    </row>
    <row r="17" customFormat="false" ht="15" hidden="false" customHeight="true" outlineLevel="0" collapsed="false">
      <c r="A17" s="23" t="n">
        <v>2030</v>
      </c>
      <c r="B17" s="21" t="n">
        <f aca="false">IF($A17&lt;=Model!$B$3,Data!$B$8*Model!$D$58,0)</f>
        <v>44.3441085922194</v>
      </c>
      <c r="C17" s="21" t="n">
        <f aca="false">$B17*IF(Model!$B$5=1,Data!$D$8,Model!$AC$58)</f>
        <v>10.9767795787873</v>
      </c>
      <c r="D17" s="21" t="n">
        <f aca="false">$B17*IF(Model!$B$5=1,Data!$E$8,Model!$AD$58)</f>
        <v>13.8068118493372</v>
      </c>
      <c r="E17" s="21" t="n">
        <f aca="false">$B17*IF(Model!$B$5=1,Data!$F$8,Model!$AE$58)</f>
        <v>8.1467473082374</v>
      </c>
      <c r="F17" s="21" t="n">
        <f aca="false">$B17*IF(Model!$B$5=1,Data!$G$8,Model!$AF$58)</f>
        <v>11.4137698558575</v>
      </c>
      <c r="G17" s="21" t="n">
        <f aca="false">$B17*Model!$S$58</f>
        <v>26.8475820230896</v>
      </c>
      <c r="H17" s="21" t="n">
        <f aca="false">$B17*Model!$T$58</f>
        <v>6.70397792036004</v>
      </c>
      <c r="I17" s="21" t="n">
        <f aca="false">$B17*Model!$U$58</f>
        <v>3.17906889477391</v>
      </c>
      <c r="J17" s="21" t="n">
        <f aca="false">$B17*Model!$V$58</f>
        <v>3.17906889477391</v>
      </c>
      <c r="K17" s="21" t="n">
        <f aca="false">$B17*Model!$W$58</f>
        <v>3.00672226632114</v>
      </c>
      <c r="L17" s="21" t="n">
        <f aca="false">$B17*Model!$X$58</f>
        <v>0.823989882828499</v>
      </c>
      <c r="M17" s="21" t="n">
        <f aca="false">$B17*Model!$Y$58</f>
        <v>0.472532973622058</v>
      </c>
      <c r="N17" s="21" t="n">
        <f aca="false">$B17*Model!$Z$58</f>
        <v>0.048766748167401</v>
      </c>
      <c r="O17" s="21" t="n">
        <f aca="false">$B17*Model!$AA$58</f>
        <v>0.0823989882828499</v>
      </c>
    </row>
    <row r="18" customFormat="false" ht="15" hidden="false" customHeight="true" outlineLevel="0" collapsed="false">
      <c r="A18" s="23" t="n">
        <v>2031</v>
      </c>
      <c r="B18" s="21" t="n">
        <f aca="false">IF($A18&lt;=Model!$B$3,Data!$B$9*Model!$D$58,0)</f>
        <v>22.5517305718817</v>
      </c>
      <c r="C18" s="21" t="n">
        <f aca="false">$B18*IF(Model!$B$5=1,Data!$D$9,Model!$AC$58)</f>
        <v>5.21144696333614</v>
      </c>
      <c r="D18" s="21" t="n">
        <f aca="false">$B18*IF(Model!$B$5=1,Data!$E$9,Model!$AD$58)</f>
        <v>6.85497714339025</v>
      </c>
      <c r="E18" s="21" t="n">
        <f aca="false">$B18*IF(Model!$B$5=1,Data!$F$9,Model!$AE$58)</f>
        <v>4.28566097583731</v>
      </c>
      <c r="F18" s="21" t="n">
        <f aca="false">$B18*IF(Model!$B$5=1,Data!$G$9,Model!$AF$58)</f>
        <v>6.19964548931804</v>
      </c>
      <c r="G18" s="21" t="n">
        <f aca="false">$B18*Model!$S$58</f>
        <v>13.6536612306025</v>
      </c>
      <c r="H18" s="21" t="n">
        <f aca="false">$B18*Model!$T$58</f>
        <v>3.40938872421782</v>
      </c>
      <c r="I18" s="21" t="n">
        <f aca="false">$B18*Model!$U$58</f>
        <v>1.61675377993663</v>
      </c>
      <c r="J18" s="21" t="n">
        <f aca="false">$B18*Model!$V$58</f>
        <v>1.61675377993663</v>
      </c>
      <c r="K18" s="21" t="n">
        <f aca="false">$B18*Model!$W$58</f>
        <v>1.5291048260343</v>
      </c>
      <c r="L18" s="21" t="n">
        <f aca="false">$B18*Model!$X$58</f>
        <v>0.419049980289042</v>
      </c>
      <c r="M18" s="21" t="n">
        <f aca="false">$B18*Model!$Y$58</f>
        <v>0.240312335635144</v>
      </c>
      <c r="N18" s="21" t="n">
        <f aca="false">$B18*Model!$Z$58</f>
        <v>0.02480091720078</v>
      </c>
      <c r="O18" s="21" t="n">
        <f aca="false">$B18*Model!$AA$58</f>
        <v>0.0419049980289042</v>
      </c>
    </row>
    <row r="19" customFormat="false" ht="15" hidden="false" customHeight="true" outlineLevel="0" collapsed="false">
      <c r="A19" s="23" t="n">
        <v>2032</v>
      </c>
      <c r="B19" s="21" t="n">
        <f aca="false">IF($A19&lt;=Model!$B$3,Data!$B$10*Model!$D$58,0)</f>
        <v>22.5517305718817</v>
      </c>
      <c r="C19" s="21" t="n">
        <f aca="false">$B19*IF(Model!$B$5=1,Data!$D$10,Model!$AC$58)</f>
        <v>5.01380725813976</v>
      </c>
      <c r="D19" s="21" t="n">
        <f aca="false">$B19*IF(Model!$B$5=1,Data!$E$10,Model!$AD$58)</f>
        <v>6.71974997667693</v>
      </c>
      <c r="E19" s="21" t="n">
        <f aca="false">$B19*IF(Model!$B$5=1,Data!$F$10,Model!$AE$58)</f>
        <v>4.35847560406755</v>
      </c>
      <c r="F19" s="21" t="n">
        <f aca="false">$B19*IF(Model!$B$5=1,Data!$G$10,Model!$AF$58)</f>
        <v>6.45969773299748</v>
      </c>
      <c r="G19" s="21" t="n">
        <f aca="false">$B19*Model!$S$58</f>
        <v>13.6536612306025</v>
      </c>
      <c r="H19" s="21" t="n">
        <f aca="false">$B19*Model!$T$58</f>
        <v>3.40938872421782</v>
      </c>
      <c r="I19" s="21" t="n">
        <f aca="false">$B19*Model!$U$58</f>
        <v>1.61675377993663</v>
      </c>
      <c r="J19" s="21" t="n">
        <f aca="false">$B19*Model!$V$58</f>
        <v>1.61675377993663</v>
      </c>
      <c r="K19" s="21" t="n">
        <f aca="false">$B19*Model!$W$58</f>
        <v>1.5291048260343</v>
      </c>
      <c r="L19" s="21" t="n">
        <f aca="false">$B19*Model!$X$58</f>
        <v>0.419049980289042</v>
      </c>
      <c r="M19" s="21" t="n">
        <f aca="false">$B19*Model!$Y$58</f>
        <v>0.240312335635144</v>
      </c>
      <c r="N19" s="21" t="n">
        <f aca="false">$B19*Model!$Z$58</f>
        <v>0.02480091720078</v>
      </c>
      <c r="O19" s="21" t="n">
        <f aca="false">$B19*Model!$AA$58</f>
        <v>0.0419049980289042</v>
      </c>
    </row>
    <row r="20" customFormat="false" ht="15" hidden="false" customHeight="true" outlineLevel="0" collapsed="false">
      <c r="A20" s="23" t="n">
        <v>2033</v>
      </c>
      <c r="B20" s="21" t="n">
        <f aca="false">IF($A20&lt;=Model!$B$3,Data!$B$11*Model!$D$58,0)</f>
        <v>22.5517305718817</v>
      </c>
      <c r="C20" s="21" t="n">
        <f aca="false">$B20*IF(Model!$B$5=1,Data!$D$11,Model!$AC$58)</f>
        <v>4.97449340718018</v>
      </c>
      <c r="D20" s="21" t="n">
        <f aca="false">$B20*IF(Model!$B$5=1,Data!$E$11,Model!$AD$58)</f>
        <v>6.74366470262082</v>
      </c>
      <c r="E20" s="21" t="n">
        <f aca="false">$B20*IF(Model!$B$5=1,Data!$F$11,Model!$AE$58)</f>
        <v>4.36048689876254</v>
      </c>
      <c r="F20" s="21" t="n">
        <f aca="false">$B20*IF(Model!$B$5=1,Data!$G$11,Model!$AF$58)</f>
        <v>6.47308556331816</v>
      </c>
      <c r="G20" s="21" t="n">
        <f aca="false">$B20*Model!$S$58</f>
        <v>13.6536612306025</v>
      </c>
      <c r="H20" s="21" t="n">
        <f aca="false">$B20*Model!$T$58</f>
        <v>3.40938872421782</v>
      </c>
      <c r="I20" s="21" t="n">
        <f aca="false">$B20*Model!$U$58</f>
        <v>1.61675377993663</v>
      </c>
      <c r="J20" s="21" t="n">
        <f aca="false">$B20*Model!$V$58</f>
        <v>1.61675377993663</v>
      </c>
      <c r="K20" s="21" t="n">
        <f aca="false">$B20*Model!$W$58</f>
        <v>1.5291048260343</v>
      </c>
      <c r="L20" s="21" t="n">
        <f aca="false">$B20*Model!$X$58</f>
        <v>0.419049980289042</v>
      </c>
      <c r="M20" s="21" t="n">
        <f aca="false">$B20*Model!$Y$58</f>
        <v>0.240312335635144</v>
      </c>
      <c r="N20" s="21" t="n">
        <f aca="false">$B20*Model!$Z$58</f>
        <v>0.02480091720078</v>
      </c>
      <c r="O20" s="21" t="n">
        <f aca="false">$B20*Model!$AA$58</f>
        <v>0.0419049980289042</v>
      </c>
    </row>
    <row r="21" customFormat="false" ht="15" hidden="false" customHeight="true" outlineLevel="0" collapsed="false">
      <c r="A21" s="23" t="n">
        <v>2034</v>
      </c>
      <c r="B21" s="21" t="n">
        <f aca="false">IF($A21&lt;=Model!$B$3,Data!$B$12*Model!$D$58,0)</f>
        <v>22.5517305718817</v>
      </c>
      <c r="C21" s="21" t="n">
        <f aca="false">$B21*IF(Model!$B$5=1,Data!$D$12,Model!$AC$58)</f>
        <v>4.93059054016234</v>
      </c>
      <c r="D21" s="21" t="n">
        <f aca="false">$B21*IF(Model!$B$5=1,Data!$E$12,Model!$AD$58)</f>
        <v>6.76135833566565</v>
      </c>
      <c r="E21" s="21" t="n">
        <f aca="false">$B21*IF(Model!$B$5=1,Data!$F$12,Model!$AE$58)</f>
        <v>4.35847560406755</v>
      </c>
      <c r="F21" s="21" t="n">
        <f aca="false">$B21*IF(Model!$B$5=1,Data!$G$12,Model!$AF$58)</f>
        <v>6.50130609198618</v>
      </c>
      <c r="G21" s="21" t="n">
        <f aca="false">$B21*Model!$S$58</f>
        <v>13.6536612306025</v>
      </c>
      <c r="H21" s="21" t="n">
        <f aca="false">$B21*Model!$T$58</f>
        <v>3.40938872421782</v>
      </c>
      <c r="I21" s="21" t="n">
        <f aca="false">$B21*Model!$U$58</f>
        <v>1.61675377993663</v>
      </c>
      <c r="J21" s="21" t="n">
        <f aca="false">$B21*Model!$V$58</f>
        <v>1.61675377993663</v>
      </c>
      <c r="K21" s="21" t="n">
        <f aca="false">$B21*Model!$W$58</f>
        <v>1.5291048260343</v>
      </c>
      <c r="L21" s="21" t="n">
        <f aca="false">$B21*Model!$X$58</f>
        <v>0.419049980289042</v>
      </c>
      <c r="M21" s="21" t="n">
        <f aca="false">$B21*Model!$Y$58</f>
        <v>0.240312335635144</v>
      </c>
      <c r="N21" s="21" t="n">
        <f aca="false">$B21*Model!$Z$58</f>
        <v>0.02480091720078</v>
      </c>
      <c r="O21" s="21" t="n">
        <f aca="false">$B21*Model!$AA$58</f>
        <v>0.0419049980289042</v>
      </c>
    </row>
    <row r="22" customFormat="false" ht="15" hidden="false" customHeight="true" outlineLevel="0" collapsed="false">
      <c r="A22" s="23" t="n">
        <v>2035</v>
      </c>
      <c r="B22" s="21" t="n">
        <f aca="false">IF($A22&lt;=Model!$B$3,Data!$B$13*Model!$D$58,0)</f>
        <v>21.7923780203377</v>
      </c>
      <c r="C22" s="21" t="n">
        <f aca="false">$B22*IF(Model!$B$5=1,Data!$D$13,Model!$AC$58)</f>
        <v>4.67053829648287</v>
      </c>
      <c r="D22" s="21" t="n">
        <f aca="false">$B22*IF(Model!$B$5=1,Data!$E$13,Model!$AD$58)</f>
        <v>6.43889355350312</v>
      </c>
      <c r="E22" s="21" t="n">
        <f aca="false">$B22*IF(Model!$B$5=1,Data!$F$13,Model!$AE$58)</f>
        <v>4.18164007836551</v>
      </c>
      <c r="F22" s="21" t="n">
        <f aca="false">$B22*IF(Model!$B$5=1,Data!$G$13,Model!$AF$58)</f>
        <v>6.5013060919862</v>
      </c>
      <c r="G22" s="21" t="n">
        <f aca="false">$B22*Model!$S$58</f>
        <v>13.1939207924872</v>
      </c>
      <c r="H22" s="21" t="n">
        <f aca="false">$B22*Model!$T$58</f>
        <v>3.29458919614222</v>
      </c>
      <c r="I22" s="21" t="n">
        <f aca="false">$B22*Model!$U$58</f>
        <v>1.56231511483728</v>
      </c>
      <c r="J22" s="21" t="n">
        <f aca="false">$B22*Model!$V$58</f>
        <v>1.56231511483728</v>
      </c>
      <c r="K22" s="21" t="n">
        <f aca="false">$B22*Model!$W$58</f>
        <v>1.47761744028684</v>
      </c>
      <c r="L22" s="21" t="n">
        <f aca="false">$B22*Model!$X$58</f>
        <v>0.404939902539457</v>
      </c>
      <c r="M22" s="21" t="n">
        <f aca="false">$B22*Model!$Y$58</f>
        <v>0.232220637986913</v>
      </c>
      <c r="N22" s="21" t="n">
        <f aca="false">$B22*Model!$Z$58</f>
        <v>0.0239658309666209</v>
      </c>
      <c r="O22" s="21" t="n">
        <f aca="false">$B22*Model!$AA$58</f>
        <v>0.0404939902539457</v>
      </c>
    </row>
    <row r="23" customFormat="false" ht="15" hidden="false" customHeight="true" outlineLevel="0" collapsed="false">
      <c r="A23" s="23" t="n">
        <v>2036</v>
      </c>
      <c r="B23" s="21" t="n">
        <f aca="false">IF($A23&lt;=Model!$B$3,Data!$B$14*Model!$D$58,0)</f>
        <v>16.5081164287713</v>
      </c>
      <c r="C23" s="21" t="n">
        <f aca="false">$B23*IF(Model!$B$5=1,Data!$D$14,Model!$AC$58)</f>
        <v>3.98230457411743</v>
      </c>
      <c r="D23" s="21" t="n">
        <f aca="false">$B23*IF(Model!$B$5=1,Data!$E$14,Model!$AD$58)</f>
        <v>5.1220906746046</v>
      </c>
      <c r="E23" s="21" t="n">
        <f aca="false">$B23*IF(Model!$B$5=1,Data!$F$14,Model!$AE$58)</f>
        <v>3.08694212949096</v>
      </c>
      <c r="F23" s="21" t="n">
        <f aca="false">$B23*IF(Model!$B$5=1,Data!$G$14,Model!$AF$58)</f>
        <v>4.31677905055836</v>
      </c>
      <c r="G23" s="21" t="n">
        <f aca="false">$B23*Model!$S$58</f>
        <v>9.9946311683423</v>
      </c>
      <c r="H23" s="21" t="n">
        <f aca="false">$B23*Model!$T$58</f>
        <v>2.49571028843804</v>
      </c>
      <c r="I23" s="21" t="n">
        <f aca="false">$B23*Model!$U$58</f>
        <v>1.18348166455693</v>
      </c>
      <c r="J23" s="21" t="n">
        <f aca="false">$B23*Model!$V$58</f>
        <v>1.18348166455693</v>
      </c>
      <c r="K23" s="21" t="n">
        <f aca="false">$B23*Model!$W$58</f>
        <v>1.11932166001681</v>
      </c>
      <c r="L23" s="21" t="n">
        <f aca="false">$B23*Model!$X$58</f>
        <v>0.30674922450125</v>
      </c>
      <c r="M23" s="21" t="n">
        <f aca="false">$B23*Model!$Y$58</f>
        <v>0.175911289969084</v>
      </c>
      <c r="N23" s="21" t="n">
        <f aca="false">$B23*Model!$Z$58</f>
        <v>0.0181545459398699</v>
      </c>
      <c r="O23" s="21" t="n">
        <f aca="false">$B23*Model!$AA$58</f>
        <v>0.030674922450125</v>
      </c>
    </row>
    <row r="24" customFormat="false" ht="15" hidden="false" customHeight="true" outlineLevel="0" collapsed="false">
      <c r="A24" s="23" t="n">
        <v>2037</v>
      </c>
      <c r="B24" s="21" t="n">
        <f aca="false">IF($A24&lt;=Model!$B$3,Data!$B$15*Model!$D$58,0)</f>
        <v>16.372889262058</v>
      </c>
      <c r="C24" s="21" t="n">
        <f aca="false">$B24*IF(Model!$B$5=1,Data!$D$15,Model!$AC$58)</f>
        <v>3.94968330161364</v>
      </c>
      <c r="D24" s="21" t="n">
        <f aca="false">$B24*IF(Model!$B$5=1,Data!$E$15,Model!$AD$58)</f>
        <v>5.08013277997961</v>
      </c>
      <c r="E24" s="21" t="n">
        <f aca="false">$B24*IF(Model!$B$5=1,Data!$F$15,Model!$AE$58)</f>
        <v>3.06165526894692</v>
      </c>
      <c r="F24" s="21" t="n">
        <f aca="false">$B24*IF(Model!$B$5=1,Data!$G$15,Model!$AF$58)</f>
        <v>4.28141791151788</v>
      </c>
      <c r="G24" s="21" t="n">
        <f aca="false">$B24*Model!$S$58</f>
        <v>9.91275958347246</v>
      </c>
      <c r="H24" s="21" t="n">
        <f aca="false">$B24*Model!$T$58</f>
        <v>2.47526653686294</v>
      </c>
      <c r="I24" s="21" t="n">
        <f aca="false">$B24*Model!$U$58</f>
        <v>1.17378710775842</v>
      </c>
      <c r="J24" s="21" t="n">
        <f aca="false">$B24*Model!$V$58</f>
        <v>1.17378710775842</v>
      </c>
      <c r="K24" s="21" t="n">
        <f aca="false">$B24*Model!$W$58</f>
        <v>1.11015267351383</v>
      </c>
      <c r="L24" s="21" t="n">
        <f aca="false">$B24*Model!$X$58</f>
        <v>0.304236470929406</v>
      </c>
      <c r="M24" s="21" t="n">
        <f aca="false">$B24*Model!$Y$58</f>
        <v>0.174470302716659</v>
      </c>
      <c r="N24" s="21" t="n">
        <f aca="false">$B24*Model!$Z$58</f>
        <v>0.0180058319529648</v>
      </c>
      <c r="O24" s="21" t="n">
        <f aca="false">$B24*Model!$AA$58</f>
        <v>0.0304236470929406</v>
      </c>
    </row>
    <row r="25" customFormat="false" ht="15" hidden="false" customHeight="true" outlineLevel="0" collapsed="false">
      <c r="A25" s="23" t="n">
        <v>2038</v>
      </c>
      <c r="B25" s="21" t="n">
        <f aca="false">IF($A25&lt;=Model!$B$3,Data!$B$16*Model!$D$58,0)</f>
        <v>16.1752495568616</v>
      </c>
      <c r="C25" s="21" t="n">
        <f aca="false">$B25*IF(Model!$B$5=1,Data!$D$16,Model!$AC$58)</f>
        <v>3.90200605718502</v>
      </c>
      <c r="D25" s="21" t="n">
        <f aca="false">$B25*IF(Model!$B$5=1,Data!$E$16,Model!$AD$58)</f>
        <v>5.01880970322001</v>
      </c>
      <c r="E25" s="21" t="n">
        <f aca="false">$B25*IF(Model!$B$5=1,Data!$F$16,Model!$AE$58)</f>
        <v>3.02469754969026</v>
      </c>
      <c r="F25" s="21" t="n">
        <f aca="false">$B25*IF(Model!$B$5=1,Data!$G$16,Model!$AF$58)</f>
        <v>4.22973624676638</v>
      </c>
      <c r="G25" s="21" t="n">
        <f aca="false">$B25*Model!$S$58</f>
        <v>9.79310111327806</v>
      </c>
      <c r="H25" s="21" t="n">
        <f aca="false">$B25*Model!$T$58</f>
        <v>2.44538720763778</v>
      </c>
      <c r="I25" s="21" t="n">
        <f aca="false">$B25*Model!$U$58</f>
        <v>1.15961814012982</v>
      </c>
      <c r="J25" s="21" t="n">
        <f aca="false">$B25*Model!$V$58</f>
        <v>1.15961814012982</v>
      </c>
      <c r="K25" s="21" t="n">
        <f aca="false">$B25*Model!$W$58</f>
        <v>1.09675184708641</v>
      </c>
      <c r="L25" s="21" t="n">
        <f aca="false">$B25*Model!$X$58</f>
        <v>0.300563984939788</v>
      </c>
      <c r="M25" s="21" t="n">
        <f aca="false">$B25*Model!$Y$58</f>
        <v>0.172364244424654</v>
      </c>
      <c r="N25" s="21" t="n">
        <f aca="false">$B25*Model!$Z$58</f>
        <v>0.0177884807413344</v>
      </c>
      <c r="O25" s="21" t="n">
        <f aca="false">$B25*Model!$AA$58</f>
        <v>0.0300563984939788</v>
      </c>
    </row>
    <row r="26" customFormat="false" ht="15" hidden="false" customHeight="true" outlineLevel="0" collapsed="false">
      <c r="A26" s="23" t="n">
        <v>2039</v>
      </c>
      <c r="B26" s="21" t="n">
        <f aca="false">IF($A26&lt;=Model!$B$3,Data!$B$17*Model!$D$58,0)</f>
        <v>16.0296203004012</v>
      </c>
      <c r="C26" s="21" t="n">
        <f aca="false">$B26*IF(Model!$B$5=1,Data!$D$17,Model!$AC$58)</f>
        <v>3.86687545602707</v>
      </c>
      <c r="D26" s="21" t="n">
        <f aca="false">$B26*IF(Model!$B$5=1,Data!$E$17,Model!$AD$58)</f>
        <v>4.97362427823923</v>
      </c>
      <c r="E26" s="21" t="n">
        <f aca="false">$B26*IF(Model!$B$5=1,Data!$F$17,Model!$AE$58)</f>
        <v>2.99746554602745</v>
      </c>
      <c r="F26" s="21" t="n">
        <f aca="false">$B26*IF(Model!$B$5=1,Data!$G$17,Model!$AF$58)</f>
        <v>4.1916550201074</v>
      </c>
      <c r="G26" s="21" t="n">
        <f aca="false">$B26*Model!$S$58</f>
        <v>9.70493171418745</v>
      </c>
      <c r="H26" s="21" t="n">
        <f aca="false">$B26*Model!$T$58</f>
        <v>2.42337085978767</v>
      </c>
      <c r="I26" s="21" t="n">
        <f aca="false">$B26*Model!$U$58</f>
        <v>1.14917784819296</v>
      </c>
      <c r="J26" s="21" t="n">
        <f aca="false">$B26*Model!$V$58</f>
        <v>1.14917784819296</v>
      </c>
      <c r="K26" s="21" t="n">
        <f aca="false">$B26*Model!$W$58</f>
        <v>1.08687755392936</v>
      </c>
      <c r="L26" s="21" t="n">
        <f aca="false">$B26*Model!$X$58</f>
        <v>0.297857942631648</v>
      </c>
      <c r="M26" s="21" t="n">
        <f aca="false">$B26*Model!$Y$58</f>
        <v>0.170812411998966</v>
      </c>
      <c r="N26" s="21" t="n">
        <f aca="false">$B26*Model!$Z$58</f>
        <v>0.0176283272169751</v>
      </c>
      <c r="O26" s="21" t="n">
        <f aca="false">$B26*Model!$AA$58</f>
        <v>0.0297857942631648</v>
      </c>
    </row>
    <row r="27" customFormat="false" ht="15" hidden="false" customHeight="true" outlineLevel="0" collapsed="false">
      <c r="A27" s="23" t="n">
        <v>2040</v>
      </c>
      <c r="B27" s="21" t="n">
        <f aca="false">IF($A27&lt;=Model!$B$3,Data!$B$18*Model!$D$58,0)</f>
        <v>15.8631868644463</v>
      </c>
      <c r="C27" s="21" t="n">
        <f aca="false">$B27*IF(Model!$B$5=1,Data!$D$18,Model!$AC$58)</f>
        <v>3.82672619756086</v>
      </c>
      <c r="D27" s="21" t="n">
        <f aca="false">$B27*IF(Model!$B$5=1,Data!$E$18,Model!$AD$58)</f>
        <v>4.92198379254695</v>
      </c>
      <c r="E27" s="21" t="n">
        <f aca="false">$B27*IF(Model!$B$5=1,Data!$F$18,Model!$AE$58)</f>
        <v>2.9663432561271</v>
      </c>
      <c r="F27" s="21" t="n">
        <f aca="false">$B27*IF(Model!$B$5=1,Data!$G$18,Model!$AF$58)</f>
        <v>4.1481336182114</v>
      </c>
      <c r="G27" s="21" t="n">
        <f aca="false">$B27*Model!$S$58</f>
        <v>9.60416668665533</v>
      </c>
      <c r="H27" s="21" t="n">
        <f aca="false">$B27*Model!$T$58</f>
        <v>2.39820931938753</v>
      </c>
      <c r="I27" s="21" t="n">
        <f aca="false">$B27*Model!$U$58</f>
        <v>1.13724608597941</v>
      </c>
      <c r="J27" s="21" t="n">
        <f aca="false">$B27*Model!$V$58</f>
        <v>1.13724608597941</v>
      </c>
      <c r="K27" s="21" t="n">
        <f aca="false">$B27*Model!$W$58</f>
        <v>1.07559264746416</v>
      </c>
      <c r="L27" s="21" t="n">
        <f aca="false">$B27*Model!$X$58</f>
        <v>0.294765322850917</v>
      </c>
      <c r="M27" s="21" t="n">
        <f aca="false">$B27*Model!$Y$58</f>
        <v>0.169038889226751</v>
      </c>
      <c r="N27" s="21" t="n">
        <f aca="false">$B27*Model!$Z$58</f>
        <v>0.0174452946177074</v>
      </c>
      <c r="O27" s="21" t="n">
        <f aca="false">$B27*Model!$AA$58</f>
        <v>0.0294765322850917</v>
      </c>
    </row>
    <row r="28" customFormat="false" ht="15" hidden="false" customHeight="true" outlineLevel="0" collapsed="false">
      <c r="A28" s="24" t="s">
        <v>118</v>
      </c>
      <c r="B28" s="25" t="n">
        <f aca="false">SUM(B13:B27)</f>
        <v>414.6689056815</v>
      </c>
      <c r="C28" s="25" t="n">
        <f aca="false">SUM(C13:C27)</f>
        <v>100.031538223546</v>
      </c>
      <c r="D28" s="25" t="n">
        <f aca="false">SUM(D13:D27)</f>
        <v>128.662100078756</v>
      </c>
      <c r="E28" s="25" t="n">
        <f aca="false">SUM(E13:E27)</f>
        <v>77.5412385985071</v>
      </c>
      <c r="F28" s="25" t="n">
        <f aca="false">SUM(F13:F27)</f>
        <v>108.434028780691</v>
      </c>
      <c r="G28" s="25" t="n">
        <f aca="false">SUM(G13:G27)</f>
        <v>251.056066096281</v>
      </c>
      <c r="H28" s="25" t="n">
        <f aca="false">SUM(H13:H27)</f>
        <v>62.6899779069276</v>
      </c>
      <c r="I28" s="25" t="n">
        <f aca="false">SUM(I13:I27)</f>
        <v>29.7279855550709</v>
      </c>
      <c r="J28" s="25" t="n">
        <f aca="false">SUM(J13:J27)</f>
        <v>29.7279855550709</v>
      </c>
      <c r="K28" s="25" t="n">
        <f aca="false">SUM(K13:K27)</f>
        <v>28.1163444580403</v>
      </c>
      <c r="L28" s="25" t="n">
        <f aca="false">SUM(L13:L27)</f>
        <v>7.70526218369113</v>
      </c>
      <c r="M28" s="25" t="n">
        <f aca="false">SUM(M13:M27)</f>
        <v>4.41873198697389</v>
      </c>
      <c r="N28" s="25" t="n">
        <f aca="false">SUM(N13:N27)</f>
        <v>0.456025721075597</v>
      </c>
      <c r="O28" s="25" t="n">
        <f aca="false">SUM(O13:O27)</f>
        <v>0.770526218369113</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0.186995546413275</v>
      </c>
      <c r="F29" s="26" t="n">
        <f aca="false">IF($B$28&gt;0,F28/$B$28,0)</f>
        <v>0.261495442014109</v>
      </c>
      <c r="G29" s="26" t="n">
        <f aca="false">IF($B$28&gt;0,G28/$B$28,0)</f>
        <v>0.605437404773997</v>
      </c>
      <c r="H29" s="26" t="n">
        <f aca="false">IF($B$28&gt;0,H28/$B$28,0)</f>
        <v>0.151180802437786</v>
      </c>
      <c r="I29" s="26" t="n">
        <f aca="false">IF($B$28&gt;0,I28/$B$28,0)</f>
        <v>0.0716908963941087</v>
      </c>
      <c r="J29" s="26" t="n">
        <f aca="false">IF($B$28&gt;0,J28/$B$28,0)</f>
        <v>0.0716908963941087</v>
      </c>
      <c r="K29" s="26" t="n">
        <f aca="false">IF($B$28&gt;0,K28/$B$28,0)</f>
        <v>0.0678043230944255</v>
      </c>
      <c r="L29" s="26" t="n">
        <f aca="false">IF($B$28&gt;0,L28/$B$28,0)</f>
        <v>0.018581721653394</v>
      </c>
      <c r="M29" s="26" t="n">
        <f aca="false">IF($B$28&gt;0,M28/$B$28,0)</f>
        <v>0.0106560485400076</v>
      </c>
      <c r="N29" s="26" t="n">
        <f aca="false">IF($B$28&gt;0,N28/$B$28,0)</f>
        <v>0.00109973454683352</v>
      </c>
      <c r="O29" s="26" t="n">
        <f aca="false">IF($B$28&gt;0,O28/$B$28,0)</f>
        <v>0.0018581721653394</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Data!$H$35*Data!$M$35/SUM(Data!$H$35:$K$35)</f>
        <v>24.3389830508475</v>
      </c>
      <c r="C34" s="22" t="n">
        <f aca="false">IF($B$38&gt;0,B34/$B$38,0)</f>
        <v>0.0338983050847458</v>
      </c>
      <c r="D34" s="21" t="n">
        <f aca="false">C28</f>
        <v>100.031538223546</v>
      </c>
      <c r="E34" s="22" t="n">
        <f aca="false">IF($D$38&gt;0,D34/$D$38,0)</f>
        <v>0.241232310532536</v>
      </c>
      <c r="F34" s="21" t="n">
        <f aca="false">B34+D34</f>
        <v>124.370521274394</v>
      </c>
      <c r="G34" s="22" t="n">
        <f aca="false">IF($F$38&gt;0,F34/$F$38,0)</f>
        <v>0.109803068355234</v>
      </c>
    </row>
    <row r="35" customFormat="false" ht="15" hidden="false" customHeight="true" outlineLevel="0" collapsed="false">
      <c r="A35" s="13" t="s">
        <v>106</v>
      </c>
      <c r="B35" s="21" t="n">
        <f aca="false">Data!$I$35*Data!$M$35/SUM(Data!$H$35:$K$35)</f>
        <v>149.684745762712</v>
      </c>
      <c r="C35" s="22" t="n">
        <f aca="false">IF($B$38&gt;0,B35/$B$38,0)</f>
        <v>0.208474576271186</v>
      </c>
      <c r="D35" s="21" t="n">
        <f aca="false">D28</f>
        <v>128.662100078756</v>
      </c>
      <c r="E35" s="22" t="n">
        <f aca="false">IF($D$38&gt;0,D35/$D$38,0)</f>
        <v>0.310276701040081</v>
      </c>
      <c r="F35" s="21" t="n">
        <f aca="false">B35+D35</f>
        <v>278.346845841468</v>
      </c>
      <c r="G35" s="22" t="n">
        <f aca="false">IF($F$38&gt;0,F35/$F$38,0)</f>
        <v>0.245744228031044</v>
      </c>
    </row>
    <row r="36" customFormat="false" ht="15" hidden="false" customHeight="true" outlineLevel="0" collapsed="false">
      <c r="A36" s="13" t="s">
        <v>107</v>
      </c>
      <c r="B36" s="21" t="n">
        <f aca="false">Data!$J$35*Data!$M$35/SUM(Data!$H$35:$K$35)</f>
        <v>346.830508474576</v>
      </c>
      <c r="C36" s="22" t="n">
        <f aca="false">IF($B$38&gt;0,B36/$B$38,0)</f>
        <v>0.483050847457627</v>
      </c>
      <c r="D36" s="21" t="n">
        <f aca="false">E28</f>
        <v>77.5412385985071</v>
      </c>
      <c r="E36" s="22" t="n">
        <f aca="false">IF($D$38&gt;0,D36/$D$38,0)</f>
        <v>0.186995546413276</v>
      </c>
      <c r="F36" s="21" t="n">
        <f aca="false">B36+D36</f>
        <v>424.371747073083</v>
      </c>
      <c r="G36" s="22" t="n">
        <f aca="false">IF($F$38&gt;0,F36/$F$38,0)</f>
        <v>0.37466531035188</v>
      </c>
    </row>
    <row r="37" customFormat="false" ht="15" hidden="false" customHeight="true" outlineLevel="0" collapsed="false">
      <c r="A37" s="13" t="s">
        <v>108</v>
      </c>
      <c r="B37" s="21" t="n">
        <f aca="false">Data!$K$35*Data!$M$35/SUM(Data!$H$35:$K$35)</f>
        <v>197.145762711864</v>
      </c>
      <c r="C37" s="22" t="n">
        <f aca="false">IF($B$38&gt;0,B37/$B$38,0)</f>
        <v>0.274576271186441</v>
      </c>
      <c r="D37" s="21" t="n">
        <f aca="false">F28</f>
        <v>108.434028780691</v>
      </c>
      <c r="E37" s="22" t="n">
        <f aca="false">IF($D$38&gt;0,D37/$D$38,0)</f>
        <v>0.261495442014109</v>
      </c>
      <c r="F37" s="21" t="n">
        <f aca="false">B37+D37</f>
        <v>305.579791492555</v>
      </c>
      <c r="G37" s="22" t="n">
        <f aca="false">IF($F$38&gt;0,F37/$F$38,0)</f>
        <v>0.269787393261842</v>
      </c>
    </row>
    <row r="38" customFormat="false" ht="15" hidden="false" customHeight="true" outlineLevel="0" collapsed="false">
      <c r="A38" s="24" t="s">
        <v>61</v>
      </c>
      <c r="B38" s="25" t="n">
        <f aca="false">SUM(B34:B37)</f>
        <v>718</v>
      </c>
      <c r="C38" s="27" t="n">
        <f aca="false">SUM(C34:C37)</f>
        <v>1</v>
      </c>
      <c r="D38" s="25" t="n">
        <f aca="false">SUM(D34:D37)</f>
        <v>414.6689056815</v>
      </c>
      <c r="E38" s="27" t="n">
        <f aca="false">SUM(E34:E37)</f>
        <v>1</v>
      </c>
      <c r="F38" s="25" t="n">
        <f aca="false">SUM(F34:F37)</f>
        <v>1132.6689056815</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8B79C"/>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181</v>
      </c>
    </row>
    <row r="2" customFormat="false" ht="15" hidden="false" customHeight="true" outlineLevel="0" collapsed="false">
      <c r="A2" s="3" t="str">
        <f aca="false">Model!$B$59&amp;" · new homes per year, 2026–"&amp;Model!$B$3&amp;" · set by the levers on the Intro tab"</f>
        <v>Key town · new homes per year, 2026–2040 · set by the levers on the Intro tab</v>
      </c>
    </row>
    <row r="4" customFormat="false" ht="15" hidden="false" customHeight="true" outlineLevel="0" collapsed="false">
      <c r="A4" s="13" t="s">
        <v>332</v>
      </c>
      <c r="C4" s="67" t="n">
        <f aca="false">Model!$D$59</f>
        <v>0.0452934042354697</v>
      </c>
    </row>
    <row r="5" customFormat="false" ht="15" hidden="false" customHeight="true" outlineLevel="0" collapsed="false">
      <c r="A5" s="13" t="s">
        <v>53</v>
      </c>
      <c r="C5" s="14" t="n">
        <f aca="false">Model!$E$59</f>
        <v>1805.57626644277</v>
      </c>
    </row>
    <row r="6" customFormat="false" ht="15" hidden="false" customHeight="true" outlineLevel="0" collapsed="false">
      <c r="A6" s="13" t="s">
        <v>99</v>
      </c>
      <c r="C6" s="15" t="n">
        <f aca="false">Model!$Q$59</f>
        <v>0.1</v>
      </c>
    </row>
    <row r="7" customFormat="false" ht="15" hidden="false" customHeight="true" outlineLevel="0" collapsed="false">
      <c r="A7" s="13" t="s">
        <v>100</v>
      </c>
      <c r="C7" s="15" t="n">
        <f aca="false">Model!$G$59</f>
        <v>0.13176</v>
      </c>
    </row>
    <row r="8" customFormat="false" ht="15" hidden="false" customHeight="true" outlineLevel="0" collapsed="false">
      <c r="A8" s="13" t="s">
        <v>101</v>
      </c>
      <c r="C8" s="15" t="n">
        <f aca="false">Model!$R$59</f>
        <v>0.118952825133545</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IF($A13&lt;=Model!$B$3,Data!$B$4*Model!$D$59,0)</f>
        <v>193.085782255807</v>
      </c>
      <c r="C13" s="21" t="n">
        <f aca="false">$B13*IF(Model!$B$5=1,Data!$D$4,Model!$AC$59)</f>
        <v>49.9469084962842</v>
      </c>
      <c r="D13" s="21" t="n">
        <f aca="false">$B13*IF(Model!$B$5=1,Data!$E$4,Model!$AD$59)</f>
        <v>61.131755639151</v>
      </c>
      <c r="E13" s="21" t="n">
        <f aca="false">$B13*IF(Model!$B$5=1,Data!$F$4,Model!$AE$59)</f>
        <v>35.7281149624372</v>
      </c>
      <c r="F13" s="21" t="n">
        <f aca="false">$B13*IF(Model!$B$5=1,Data!$G$4,Model!$AF$59)</f>
        <v>46.279003157935</v>
      </c>
      <c r="G13" s="21" t="n">
        <f aca="false">$B13*Model!$S$59</f>
        <v>116.901354907713</v>
      </c>
      <c r="H13" s="21" t="n">
        <f aca="false">$B13*Model!$T$59</f>
        <v>29.1908635007605</v>
      </c>
      <c r="I13" s="21" t="n">
        <f aca="false">$B13*Model!$U$59</f>
        <v>13.8424928108765</v>
      </c>
      <c r="J13" s="21" t="n">
        <f aca="false">$B13*Model!$V$59</f>
        <v>13.8424928108765</v>
      </c>
      <c r="K13" s="21" t="n">
        <f aca="false">$B13*Model!$W$59</f>
        <v>13.0920507650127</v>
      </c>
      <c r="L13" s="21" t="n">
        <f aca="false">$B13*Model!$X$59</f>
        <v>3.58786626110526</v>
      </c>
      <c r="M13" s="21" t="n">
        <f aca="false">$B13*Model!$Y$59</f>
        <v>2.05753146810322</v>
      </c>
      <c r="N13" s="21" t="n">
        <f aca="false">$B13*Model!$Z$59</f>
        <v>0.212343105249087</v>
      </c>
      <c r="O13" s="21" t="n">
        <f aca="false">$B13*Model!$AA$59</f>
        <v>0.358786626110526</v>
      </c>
    </row>
    <row r="14" customFormat="false" ht="15" hidden="false" customHeight="true" outlineLevel="0" collapsed="false">
      <c r="A14" s="23" t="n">
        <v>2027</v>
      </c>
      <c r="B14" s="21" t="n">
        <f aca="false">IF($A14&lt;=Model!$B$3,Data!$B$5*Model!$D$59,0)</f>
        <v>193.085782255807</v>
      </c>
      <c r="C14" s="21" t="n">
        <f aca="false">$B14*IF(Model!$B$5=1,Data!$D$5,Model!$AC$59)</f>
        <v>48.5431422556814</v>
      </c>
      <c r="D14" s="21" t="n">
        <f aca="false">$B14*IF(Model!$B$5=1,Data!$E$5,Model!$AD$59)</f>
        <v>61.3128867669707</v>
      </c>
      <c r="E14" s="21" t="n">
        <f aca="false">$B14*IF(Model!$B$5=1,Data!$F$5,Model!$AE$59)</f>
        <v>35.6375493985274</v>
      </c>
      <c r="F14" s="21" t="n">
        <f aca="false">$B14*IF(Model!$B$5=1,Data!$G$5,Model!$AF$59)</f>
        <v>47.5922038346279</v>
      </c>
      <c r="G14" s="21" t="n">
        <f aca="false">$B14*Model!$S$59</f>
        <v>116.901354907713</v>
      </c>
      <c r="H14" s="21" t="n">
        <f aca="false">$B14*Model!$T$59</f>
        <v>29.1908635007605</v>
      </c>
      <c r="I14" s="21" t="n">
        <f aca="false">$B14*Model!$U$59</f>
        <v>13.8424928108765</v>
      </c>
      <c r="J14" s="21" t="n">
        <f aca="false">$B14*Model!$V$59</f>
        <v>13.8424928108765</v>
      </c>
      <c r="K14" s="21" t="n">
        <f aca="false">$B14*Model!$W$59</f>
        <v>13.0920507650127</v>
      </c>
      <c r="L14" s="21" t="n">
        <f aca="false">$B14*Model!$X$59</f>
        <v>3.58786626110526</v>
      </c>
      <c r="M14" s="21" t="n">
        <f aca="false">$B14*Model!$Y$59</f>
        <v>2.05753146810322</v>
      </c>
      <c r="N14" s="21" t="n">
        <f aca="false">$B14*Model!$Z$59</f>
        <v>0.212343105249087</v>
      </c>
      <c r="O14" s="21" t="n">
        <f aca="false">$B14*Model!$AA$59</f>
        <v>0.358786626110526</v>
      </c>
    </row>
    <row r="15" customFormat="false" ht="15" hidden="false" customHeight="true" outlineLevel="0" collapsed="false">
      <c r="A15" s="23" t="n">
        <v>2028</v>
      </c>
      <c r="B15" s="21" t="n">
        <f aca="false">IF($A15&lt;=Model!$B$3,Data!$B$6*Model!$D$59,0)</f>
        <v>193.085782255807</v>
      </c>
      <c r="C15" s="21" t="n">
        <f aca="false">$B15*IF(Model!$B$5=1,Data!$D$6,Model!$AC$59)</f>
        <v>48.3847056427036</v>
      </c>
      <c r="D15" s="21" t="n">
        <f aca="false">$B15*IF(Model!$B$5=1,Data!$E$6,Model!$AD$59)</f>
        <v>61.3416586518919</v>
      </c>
      <c r="E15" s="21" t="n">
        <f aca="false">$B15*IF(Model!$B$5=1,Data!$F$6,Model!$AE$59)</f>
        <v>35.6542727910184</v>
      </c>
      <c r="F15" s="21" t="n">
        <f aca="false">$B15*IF(Model!$B$5=1,Data!$G$6,Model!$AF$59)</f>
        <v>47.7051451701936</v>
      </c>
      <c r="G15" s="21" t="n">
        <f aca="false">$B15*Model!$S$59</f>
        <v>116.901354907713</v>
      </c>
      <c r="H15" s="21" t="n">
        <f aca="false">$B15*Model!$T$59</f>
        <v>29.1908635007605</v>
      </c>
      <c r="I15" s="21" t="n">
        <f aca="false">$B15*Model!$U$59</f>
        <v>13.8424928108765</v>
      </c>
      <c r="J15" s="21" t="n">
        <f aca="false">$B15*Model!$V$59</f>
        <v>13.8424928108765</v>
      </c>
      <c r="K15" s="21" t="n">
        <f aca="false">$B15*Model!$W$59</f>
        <v>13.0920507650127</v>
      </c>
      <c r="L15" s="21" t="n">
        <f aca="false">$B15*Model!$X$59</f>
        <v>3.58786626110526</v>
      </c>
      <c r="M15" s="21" t="n">
        <f aca="false">$B15*Model!$Y$59</f>
        <v>2.05753146810322</v>
      </c>
      <c r="N15" s="21" t="n">
        <f aca="false">$B15*Model!$Z$59</f>
        <v>0.212343105249087</v>
      </c>
      <c r="O15" s="21" t="n">
        <f aca="false">$B15*Model!$AA$59</f>
        <v>0.358786626110526</v>
      </c>
    </row>
    <row r="16" customFormat="false" ht="15" hidden="false" customHeight="true" outlineLevel="0" collapsed="false">
      <c r="A16" s="23" t="n">
        <v>2029</v>
      </c>
      <c r="B16" s="21" t="n">
        <f aca="false">IF($A16&lt;=Model!$B$3,Data!$B$7*Model!$D$59,0)</f>
        <v>193.085782255807</v>
      </c>
      <c r="C16" s="21" t="n">
        <f aca="false">$B16*IF(Model!$B$5=1,Data!$D$7,Model!$AC$59)</f>
        <v>47.8751282768916</v>
      </c>
      <c r="D16" s="21" t="n">
        <f aca="false">$B16*IF(Model!$B$5=1,Data!$E$7,Model!$AD$59)</f>
        <v>61.0102155051777</v>
      </c>
      <c r="E16" s="21" t="n">
        <f aca="false">$B16*IF(Model!$B$5=1,Data!$F$7,Model!$AE$59)</f>
        <v>35.4194421121374</v>
      </c>
      <c r="F16" s="21" t="n">
        <f aca="false">$B16*IF(Model!$B$5=1,Data!$G$7,Model!$AF$59)</f>
        <v>48.7809963616008</v>
      </c>
      <c r="G16" s="21" t="n">
        <f aca="false">$B16*Model!$S$59</f>
        <v>116.901354907713</v>
      </c>
      <c r="H16" s="21" t="n">
        <f aca="false">$B16*Model!$T$59</f>
        <v>29.1908635007605</v>
      </c>
      <c r="I16" s="21" t="n">
        <f aca="false">$B16*Model!$U$59</f>
        <v>13.8424928108765</v>
      </c>
      <c r="J16" s="21" t="n">
        <f aca="false">$B16*Model!$V$59</f>
        <v>13.8424928108765</v>
      </c>
      <c r="K16" s="21" t="n">
        <f aca="false">$B16*Model!$W$59</f>
        <v>13.0920507650127</v>
      </c>
      <c r="L16" s="21" t="n">
        <f aca="false">$B16*Model!$X$59</f>
        <v>3.58786626110526</v>
      </c>
      <c r="M16" s="21" t="n">
        <f aca="false">$B16*Model!$Y$59</f>
        <v>2.05753146810322</v>
      </c>
      <c r="N16" s="21" t="n">
        <f aca="false">$B16*Model!$Z$59</f>
        <v>0.212343105249087</v>
      </c>
      <c r="O16" s="21" t="n">
        <f aca="false">$B16*Model!$AA$59</f>
        <v>0.358786626110526</v>
      </c>
    </row>
    <row r="17" customFormat="false" ht="15" hidden="false" customHeight="true" outlineLevel="0" collapsed="false">
      <c r="A17" s="23" t="n">
        <v>2030</v>
      </c>
      <c r="B17" s="21" t="n">
        <f aca="false">IF($A17&lt;=Model!$B$3,Data!$B$8*Model!$D$59,0)</f>
        <v>193.085782255807</v>
      </c>
      <c r="C17" s="21" t="n">
        <f aca="false">$B17*IF(Model!$B$5=1,Data!$D$8,Model!$AC$59)</f>
        <v>47.7957532331949</v>
      </c>
      <c r="D17" s="21" t="n">
        <f aca="false">$B17*IF(Model!$B$5=1,Data!$E$8,Model!$AD$59)</f>
        <v>60.118449801374</v>
      </c>
      <c r="E17" s="21" t="n">
        <f aca="false">$B17*IF(Model!$B$5=1,Data!$F$8,Model!$AE$59)</f>
        <v>35.4730566650158</v>
      </c>
      <c r="F17" s="21" t="n">
        <f aca="false">$B17*IF(Model!$B$5=1,Data!$G$8,Model!$AF$59)</f>
        <v>49.6985225562226</v>
      </c>
      <c r="G17" s="21" t="n">
        <f aca="false">$B17*Model!$S$59</f>
        <v>116.901354907713</v>
      </c>
      <c r="H17" s="21" t="n">
        <f aca="false">$B17*Model!$T$59</f>
        <v>29.1908635007605</v>
      </c>
      <c r="I17" s="21" t="n">
        <f aca="false">$B17*Model!$U$59</f>
        <v>13.8424928108765</v>
      </c>
      <c r="J17" s="21" t="n">
        <f aca="false">$B17*Model!$V$59</f>
        <v>13.8424928108765</v>
      </c>
      <c r="K17" s="21" t="n">
        <f aca="false">$B17*Model!$W$59</f>
        <v>13.0920507650127</v>
      </c>
      <c r="L17" s="21" t="n">
        <f aca="false">$B17*Model!$X$59</f>
        <v>3.58786626110526</v>
      </c>
      <c r="M17" s="21" t="n">
        <f aca="false">$B17*Model!$Y$59</f>
        <v>2.05753146810322</v>
      </c>
      <c r="N17" s="21" t="n">
        <f aca="false">$B17*Model!$Z$59</f>
        <v>0.212343105249087</v>
      </c>
      <c r="O17" s="21" t="n">
        <f aca="false">$B17*Model!$AA$59</f>
        <v>0.358786626110526</v>
      </c>
    </row>
    <row r="18" customFormat="false" ht="15" hidden="false" customHeight="true" outlineLevel="0" collapsed="false">
      <c r="A18" s="23" t="n">
        <v>2031</v>
      </c>
      <c r="B18" s="21" t="n">
        <f aca="false">IF($A18&lt;=Model!$B$3,Data!$B$9*Model!$D$59,0)</f>
        <v>98.1961003824984</v>
      </c>
      <c r="C18" s="21" t="n">
        <f aca="false">$B18*IF(Model!$B$5=1,Data!$D$9,Model!$AC$59)</f>
        <v>22.6919955219703</v>
      </c>
      <c r="D18" s="21" t="n">
        <f aca="false">$B18*IF(Model!$B$5=1,Data!$E$9,Model!$AD$59)</f>
        <v>29.8483533911746</v>
      </c>
      <c r="E18" s="21" t="n">
        <f aca="false">$B18*IF(Model!$B$5=1,Data!$F$9,Model!$AE$59)</f>
        <v>18.6608825450136</v>
      </c>
      <c r="F18" s="21" t="n">
        <f aca="false">$B18*IF(Model!$B$5=1,Data!$G$9,Model!$AF$59)</f>
        <v>26.99486892434</v>
      </c>
      <c r="G18" s="21" t="n">
        <f aca="false">$B18*Model!$S$59</f>
        <v>59.4515921745067</v>
      </c>
      <c r="H18" s="21" t="n">
        <f aca="false">$B18*Model!$T$59</f>
        <v>14.8453652520875</v>
      </c>
      <c r="I18" s="21" t="n">
        <f aca="false">$B18*Model!$U$59</f>
        <v>7.03976645882719</v>
      </c>
      <c r="J18" s="21" t="n">
        <f aca="false">$B18*Model!$V$59</f>
        <v>7.03976645882719</v>
      </c>
      <c r="K18" s="21" t="n">
        <f aca="false">$B18*Model!$W$59</f>
        <v>6.65812011694756</v>
      </c>
      <c r="L18" s="21" t="n">
        <f aca="false">$B18*Model!$X$59</f>
        <v>1.82465260475632</v>
      </c>
      <c r="M18" s="21" t="n">
        <f aca="false">$B18*Model!$Y$59</f>
        <v>1.04638241211536</v>
      </c>
      <c r="N18" s="21" t="n">
        <f aca="false">$B18*Model!$Z$59</f>
        <v>0.107989643954966</v>
      </c>
      <c r="O18" s="21" t="n">
        <f aca="false">$B18*Model!$AA$59</f>
        <v>0.182465260475632</v>
      </c>
    </row>
    <row r="19" customFormat="false" ht="15" hidden="false" customHeight="true" outlineLevel="0" collapsed="false">
      <c r="A19" s="23" t="n">
        <v>2032</v>
      </c>
      <c r="B19" s="21" t="n">
        <f aca="false">IF($A19&lt;=Model!$B$3,Data!$B$10*Model!$D$59,0)</f>
        <v>98.1961003824984</v>
      </c>
      <c r="C19" s="21" t="n">
        <f aca="false">$B19*IF(Model!$B$5=1,Data!$D$10,Model!$AC$59)</f>
        <v>21.8314208414965</v>
      </c>
      <c r="D19" s="21" t="n">
        <f aca="false">$B19*IF(Model!$B$5=1,Data!$E$10,Model!$AD$59)</f>
        <v>29.2595391361134</v>
      </c>
      <c r="E19" s="21" t="n">
        <f aca="false">$B19*IF(Model!$B$5=1,Data!$F$10,Model!$AE$59)</f>
        <v>18.9779363746619</v>
      </c>
      <c r="F19" s="21" t="n">
        <f aca="false">$B19*IF(Model!$B$5=1,Data!$G$10,Model!$AF$59)</f>
        <v>28.1272040302267</v>
      </c>
      <c r="G19" s="21" t="n">
        <f aca="false">$B19*Model!$S$59</f>
        <v>59.4515921745067</v>
      </c>
      <c r="H19" s="21" t="n">
        <f aca="false">$B19*Model!$T$59</f>
        <v>14.8453652520875</v>
      </c>
      <c r="I19" s="21" t="n">
        <f aca="false">$B19*Model!$U$59</f>
        <v>7.03976645882719</v>
      </c>
      <c r="J19" s="21" t="n">
        <f aca="false">$B19*Model!$V$59</f>
        <v>7.03976645882719</v>
      </c>
      <c r="K19" s="21" t="n">
        <f aca="false">$B19*Model!$W$59</f>
        <v>6.65812011694756</v>
      </c>
      <c r="L19" s="21" t="n">
        <f aca="false">$B19*Model!$X$59</f>
        <v>1.82465260475632</v>
      </c>
      <c r="M19" s="21" t="n">
        <f aca="false">$B19*Model!$Y$59</f>
        <v>1.04638241211536</v>
      </c>
      <c r="N19" s="21" t="n">
        <f aca="false">$B19*Model!$Z$59</f>
        <v>0.107989643954966</v>
      </c>
      <c r="O19" s="21" t="n">
        <f aca="false">$B19*Model!$AA$59</f>
        <v>0.182465260475632</v>
      </c>
    </row>
    <row r="20" customFormat="false" ht="15" hidden="false" customHeight="true" outlineLevel="0" collapsed="false">
      <c r="A20" s="23" t="n">
        <v>2033</v>
      </c>
      <c r="B20" s="21" t="n">
        <f aca="false">IF($A20&lt;=Model!$B$3,Data!$B$11*Model!$D$59,0)</f>
        <v>98.1961003824984</v>
      </c>
      <c r="C20" s="21" t="n">
        <f aca="false">$B20*IF(Model!$B$5=1,Data!$D$11,Model!$AC$59)</f>
        <v>21.6602381092913</v>
      </c>
      <c r="D20" s="21" t="n">
        <f aca="false">$B20*IF(Model!$B$5=1,Data!$E$11,Model!$AD$59)</f>
        <v>29.3636700728467</v>
      </c>
      <c r="E20" s="21" t="n">
        <f aca="false">$B20*IF(Model!$B$5=1,Data!$F$11,Model!$AE$59)</f>
        <v>18.9866940748809</v>
      </c>
      <c r="F20" s="21" t="n">
        <f aca="false">$B20*IF(Model!$B$5=1,Data!$G$11,Model!$AF$59)</f>
        <v>28.1854981254795</v>
      </c>
      <c r="G20" s="21" t="n">
        <f aca="false">$B20*Model!$S$59</f>
        <v>59.4515921745067</v>
      </c>
      <c r="H20" s="21" t="n">
        <f aca="false">$B20*Model!$T$59</f>
        <v>14.8453652520875</v>
      </c>
      <c r="I20" s="21" t="n">
        <f aca="false">$B20*Model!$U$59</f>
        <v>7.03976645882719</v>
      </c>
      <c r="J20" s="21" t="n">
        <f aca="false">$B20*Model!$V$59</f>
        <v>7.03976645882719</v>
      </c>
      <c r="K20" s="21" t="n">
        <f aca="false">$B20*Model!$W$59</f>
        <v>6.65812011694756</v>
      </c>
      <c r="L20" s="21" t="n">
        <f aca="false">$B20*Model!$X$59</f>
        <v>1.82465260475632</v>
      </c>
      <c r="M20" s="21" t="n">
        <f aca="false">$B20*Model!$Y$59</f>
        <v>1.04638241211536</v>
      </c>
      <c r="N20" s="21" t="n">
        <f aca="false">$B20*Model!$Z$59</f>
        <v>0.107989643954966</v>
      </c>
      <c r="O20" s="21" t="n">
        <f aca="false">$B20*Model!$AA$59</f>
        <v>0.182465260475632</v>
      </c>
    </row>
    <row r="21" customFormat="false" ht="15" hidden="false" customHeight="true" outlineLevel="0" collapsed="false">
      <c r="A21" s="23" t="n">
        <v>2034</v>
      </c>
      <c r="B21" s="21" t="n">
        <f aca="false">IF($A21&lt;=Model!$B$3,Data!$B$12*Model!$D$59,0)</f>
        <v>98.1961003824984</v>
      </c>
      <c r="C21" s="21" t="n">
        <f aca="false">$B21*IF(Model!$B$5=1,Data!$D$12,Model!$AC$59)</f>
        <v>21.4690736076127</v>
      </c>
      <c r="D21" s="21" t="n">
        <f aca="false">$B21*IF(Model!$B$5=1,Data!$E$12,Model!$AD$59)</f>
        <v>29.4407127530554</v>
      </c>
      <c r="E21" s="21" t="n">
        <f aca="false">$B21*IF(Model!$B$5=1,Data!$F$12,Model!$AE$59)</f>
        <v>18.9779363746619</v>
      </c>
      <c r="F21" s="21" t="n">
        <f aca="false">$B21*IF(Model!$B$5=1,Data!$G$12,Model!$AF$59)</f>
        <v>28.3083776471685</v>
      </c>
      <c r="G21" s="21" t="n">
        <f aca="false">$B21*Model!$S$59</f>
        <v>59.4515921745067</v>
      </c>
      <c r="H21" s="21" t="n">
        <f aca="false">$B21*Model!$T$59</f>
        <v>14.8453652520875</v>
      </c>
      <c r="I21" s="21" t="n">
        <f aca="false">$B21*Model!$U$59</f>
        <v>7.03976645882719</v>
      </c>
      <c r="J21" s="21" t="n">
        <f aca="false">$B21*Model!$V$59</f>
        <v>7.03976645882719</v>
      </c>
      <c r="K21" s="21" t="n">
        <f aca="false">$B21*Model!$W$59</f>
        <v>6.65812011694756</v>
      </c>
      <c r="L21" s="21" t="n">
        <f aca="false">$B21*Model!$X$59</f>
        <v>1.82465260475632</v>
      </c>
      <c r="M21" s="21" t="n">
        <f aca="false">$B21*Model!$Y$59</f>
        <v>1.04638241211536</v>
      </c>
      <c r="N21" s="21" t="n">
        <f aca="false">$B21*Model!$Z$59</f>
        <v>0.107989643954966</v>
      </c>
      <c r="O21" s="21" t="n">
        <f aca="false">$B21*Model!$AA$59</f>
        <v>0.182465260475632</v>
      </c>
    </row>
    <row r="22" customFormat="false" ht="15" hidden="false" customHeight="true" outlineLevel="0" collapsed="false">
      <c r="A22" s="23" t="n">
        <v>2035</v>
      </c>
      <c r="B22" s="21" t="n">
        <f aca="false">IF($A22&lt;=Model!$B$3,Data!$B$13*Model!$D$59,0)</f>
        <v>94.8896818733091</v>
      </c>
      <c r="C22" s="21" t="n">
        <f aca="false">$B22*IF(Model!$B$5=1,Data!$D$13,Model!$AC$59)</f>
        <v>20.3367385017259</v>
      </c>
      <c r="D22" s="21" t="n">
        <f aca="false">$B22*IF(Model!$B$5=1,Data!$E$13,Model!$AD$59)</f>
        <v>28.0366172217557</v>
      </c>
      <c r="E22" s="21" t="n">
        <f aca="false">$B22*IF(Model!$B$5=1,Data!$F$13,Model!$AE$59)</f>
        <v>18.2079485026588</v>
      </c>
      <c r="F22" s="21" t="n">
        <f aca="false">$B22*IF(Model!$B$5=1,Data!$G$13,Model!$AF$59)</f>
        <v>28.3083776471686</v>
      </c>
      <c r="G22" s="21" t="n">
        <f aca="false">$B22*Model!$S$59</f>
        <v>57.4497627332064</v>
      </c>
      <c r="H22" s="21" t="n">
        <f aca="false">$B22*Model!$T$59</f>
        <v>14.3454982486731</v>
      </c>
      <c r="I22" s="21" t="n">
        <f aca="false">$B22*Model!$U$59</f>
        <v>6.80272635204934</v>
      </c>
      <c r="J22" s="21" t="n">
        <f aca="false">$B22*Model!$V$59</f>
        <v>6.80272635204934</v>
      </c>
      <c r="K22" s="21" t="n">
        <f aca="false">$B22*Model!$W$59</f>
        <v>6.4339306480651</v>
      </c>
      <c r="L22" s="21" t="n">
        <f aca="false">$B22*Model!$X$59</f>
        <v>1.76321365634894</v>
      </c>
      <c r="M22" s="21" t="n">
        <f aca="false">$B22*Model!$Y$59</f>
        <v>1.01114905598786</v>
      </c>
      <c r="N22" s="21" t="n">
        <f aca="false">$B22*Model!$Z$59</f>
        <v>0.104353461294121</v>
      </c>
      <c r="O22" s="21" t="n">
        <f aca="false">$B22*Model!$AA$59</f>
        <v>0.176321365634894</v>
      </c>
    </row>
    <row r="23" customFormat="false" ht="15" hidden="false" customHeight="true" outlineLevel="0" collapsed="false">
      <c r="A23" s="23" t="n">
        <v>2036</v>
      </c>
      <c r="B23" s="21" t="n">
        <f aca="false">IF($A23&lt;=Model!$B$3,Data!$B$14*Model!$D$59,0)</f>
        <v>71.8806325216905</v>
      </c>
      <c r="C23" s="21" t="n">
        <f aca="false">$B23*IF(Model!$B$5=1,Data!$D$14,Model!$AC$59)</f>
        <v>17.3399898720539</v>
      </c>
      <c r="D23" s="21" t="n">
        <f aca="false">$B23*IF(Model!$B$5=1,Data!$E$14,Model!$AD$59)</f>
        <v>22.3029150001841</v>
      </c>
      <c r="E23" s="21" t="n">
        <f aca="false">$B23*IF(Model!$B$5=1,Data!$F$14,Model!$AE$59)</f>
        <v>13.4413489136131</v>
      </c>
      <c r="F23" s="21" t="n">
        <f aca="false">$B23*IF(Model!$B$5=1,Data!$G$14,Model!$AF$59)</f>
        <v>18.7963787358393</v>
      </c>
      <c r="G23" s="21" t="n">
        <f aca="false">$B23*Model!$S$59</f>
        <v>43.5192236074456</v>
      </c>
      <c r="H23" s="21" t="n">
        <f aca="false">$B23*Model!$T$59</f>
        <v>10.8669717043648</v>
      </c>
      <c r="I23" s="21" t="n">
        <f aca="false">$B23*Model!$U$59</f>
        <v>5.15318697885551</v>
      </c>
      <c r="J23" s="21" t="n">
        <f aca="false">$B23*Model!$V$59</f>
        <v>5.15318697885551</v>
      </c>
      <c r="K23" s="21" t="n">
        <f aca="false">$B23*Model!$W$59</f>
        <v>4.87381763173237</v>
      </c>
      <c r="L23" s="21" t="n">
        <f aca="false">$B23*Model!$X$59</f>
        <v>1.33566590578795</v>
      </c>
      <c r="M23" s="21" t="n">
        <f aca="false">$B23*Model!$Y$59</f>
        <v>0.765963509237581</v>
      </c>
      <c r="N23" s="21" t="n">
        <f aca="false">$B23*Model!$Z$59</f>
        <v>0.0790496148323483</v>
      </c>
      <c r="O23" s="21" t="n">
        <f aca="false">$B23*Model!$AA$59</f>
        <v>0.133566590578795</v>
      </c>
    </row>
    <row r="24" customFormat="false" ht="15" hidden="false" customHeight="true" outlineLevel="0" collapsed="false">
      <c r="A24" s="23" t="n">
        <v>2037</v>
      </c>
      <c r="B24" s="21" t="n">
        <f aca="false">IF($A24&lt;=Model!$B$3,Data!$B$15*Model!$D$59,0)</f>
        <v>71.2918182666294</v>
      </c>
      <c r="C24" s="21" t="n">
        <f aca="false">$B24*IF(Model!$B$5=1,Data!$D$15,Model!$AC$59)</f>
        <v>17.1979483671159</v>
      </c>
      <c r="D24" s="21" t="n">
        <f aca="false">$B24*IF(Model!$B$5=1,Data!$E$15,Model!$AD$59)</f>
        <v>22.1202194141713</v>
      </c>
      <c r="E24" s="21" t="n">
        <f aca="false">$B24*IF(Model!$B$5=1,Data!$F$15,Model!$AE$59)</f>
        <v>13.3312433459527</v>
      </c>
      <c r="F24" s="21" t="n">
        <f aca="false">$B24*IF(Model!$B$5=1,Data!$G$15,Model!$AF$59)</f>
        <v>18.6424071393895</v>
      </c>
      <c r="G24" s="21" t="n">
        <f aca="false">$B24*Model!$S$59</f>
        <v>43.1627334329675</v>
      </c>
      <c r="H24" s="21" t="n">
        <f aca="false">$B24*Model!$T$59</f>
        <v>10.7779542927978</v>
      </c>
      <c r="I24" s="21" t="n">
        <f aca="false">$B24*Model!$U$59</f>
        <v>5.11097435710055</v>
      </c>
      <c r="J24" s="21" t="n">
        <f aca="false">$B24*Model!$V$59</f>
        <v>5.11097435710055</v>
      </c>
      <c r="K24" s="21" t="n">
        <f aca="false">$B24*Model!$W$59</f>
        <v>4.8338934797396</v>
      </c>
      <c r="L24" s="21" t="n">
        <f aca="false">$B24*Model!$X$59</f>
        <v>1.32472472319486</v>
      </c>
      <c r="M24" s="21" t="n">
        <f aca="false">$B24*Model!$Y$59</f>
        <v>0.759689075954602</v>
      </c>
      <c r="N24" s="21" t="n">
        <f aca="false">$B24*Model!$Z$59</f>
        <v>0.0784020754543895</v>
      </c>
      <c r="O24" s="21" t="n">
        <f aca="false">$B24*Model!$AA$59</f>
        <v>0.132472472319486</v>
      </c>
    </row>
    <row r="25" customFormat="false" ht="15" hidden="false" customHeight="true" outlineLevel="0" collapsed="false">
      <c r="A25" s="23" t="n">
        <v>2038</v>
      </c>
      <c r="B25" s="21" t="n">
        <f aca="false">IF($A25&lt;=Model!$B$3,Data!$B$16*Model!$D$59,0)</f>
        <v>70.4312435861554</v>
      </c>
      <c r="C25" s="21" t="n">
        <f aca="false">$B25*IF(Model!$B$5=1,Data!$D$16,Model!$AC$59)</f>
        <v>16.9903492445142</v>
      </c>
      <c r="D25" s="21" t="n">
        <f aca="false">$B25*IF(Model!$B$5=1,Data!$E$16,Model!$AD$59)</f>
        <v>21.8532027884602</v>
      </c>
      <c r="E25" s="21" t="n">
        <f aca="false">$B25*IF(Model!$B$5=1,Data!$F$16,Model!$AE$59)</f>
        <v>13.1703198239876</v>
      </c>
      <c r="F25" s="21" t="n">
        <f aca="false">$B25*IF(Model!$B$5=1,Data!$G$16,Model!$AF$59)</f>
        <v>18.4173717291935</v>
      </c>
      <c r="G25" s="21" t="n">
        <f aca="false">$B25*Model!$S$59</f>
        <v>42.6417093318072</v>
      </c>
      <c r="H25" s="21" t="n">
        <f aca="false">$B25*Model!$T$59</f>
        <v>10.6478519220461</v>
      </c>
      <c r="I25" s="21" t="n">
        <f aca="false">$B25*Model!$U$59</f>
        <v>5.0492789868433</v>
      </c>
      <c r="J25" s="21" t="n">
        <f aca="false">$B25*Model!$V$59</f>
        <v>5.0492789868433</v>
      </c>
      <c r="K25" s="21" t="n">
        <f aca="false">$B25*Model!$W$59</f>
        <v>4.77554279605787</v>
      </c>
      <c r="L25" s="21" t="n">
        <f aca="false">$B25*Model!$X$59</f>
        <v>1.30873376402033</v>
      </c>
      <c r="M25" s="21" t="n">
        <f aca="false">$B25*Model!$Y$59</f>
        <v>0.75051875038717</v>
      </c>
      <c r="N25" s="21" t="n">
        <f aca="false">$B25*Model!$Z$59</f>
        <v>0.0774556717481421</v>
      </c>
      <c r="O25" s="21" t="n">
        <f aca="false">$B25*Model!$AA$59</f>
        <v>0.130873376402033</v>
      </c>
    </row>
    <row r="26" customFormat="false" ht="15" hidden="false" customHeight="true" outlineLevel="0" collapsed="false">
      <c r="A26" s="23" t="n">
        <v>2039</v>
      </c>
      <c r="B26" s="21" t="n">
        <f aca="false">IF($A26&lt;=Model!$B$3,Data!$B$17*Model!$D$59,0)</f>
        <v>69.7971359268589</v>
      </c>
      <c r="C26" s="21" t="n">
        <f aca="false">$B26*IF(Model!$B$5=1,Data!$D$17,Model!$AC$59)</f>
        <v>16.8373814699654</v>
      </c>
      <c r="D26" s="21" t="n">
        <f aca="false">$B26*IF(Model!$B$5=1,Data!$E$17,Model!$AD$59)</f>
        <v>21.6564536958309</v>
      </c>
      <c r="E26" s="21" t="n">
        <f aca="false">$B26*IF(Model!$B$5=1,Data!$F$17,Model!$AE$59)</f>
        <v>13.0517445972765</v>
      </c>
      <c r="F26" s="21" t="n">
        <f aca="false">$B26*IF(Model!$B$5=1,Data!$G$17,Model!$AF$59)</f>
        <v>18.2515561637861</v>
      </c>
      <c r="G26" s="21" t="n">
        <f aca="false">$B26*Model!$S$59</f>
        <v>42.2577968362153</v>
      </c>
      <c r="H26" s="21" t="n">
        <f aca="false">$B26*Model!$T$59</f>
        <v>10.5519870172817</v>
      </c>
      <c r="I26" s="21" t="n">
        <f aca="false">$B26*Model!$U$59</f>
        <v>5.00381924033796</v>
      </c>
      <c r="J26" s="21" t="n">
        <f aca="false">$B26*Model!$V$59</f>
        <v>5.00381924033796</v>
      </c>
      <c r="K26" s="21" t="n">
        <f aca="false">$B26*Model!$W$59</f>
        <v>4.73254755545027</v>
      </c>
      <c r="L26" s="21" t="n">
        <f aca="false">$B26*Model!$X$59</f>
        <v>1.296950951997</v>
      </c>
      <c r="M26" s="21" t="n">
        <f aca="false">$B26*Model!$Y$59</f>
        <v>0.743761668390115</v>
      </c>
      <c r="N26" s="21" t="n">
        <f aca="false">$B26*Model!$Z$59</f>
        <v>0.0767583216488019</v>
      </c>
      <c r="O26" s="21" t="n">
        <f aca="false">$B26*Model!$AA$59</f>
        <v>0.1296950951997</v>
      </c>
    </row>
    <row r="27" customFormat="false" ht="15" hidden="false" customHeight="true" outlineLevel="0" collapsed="false">
      <c r="A27" s="23" t="n">
        <v>2040</v>
      </c>
      <c r="B27" s="21" t="n">
        <f aca="false">IF($A27&lt;=Model!$B$3,Data!$B$18*Model!$D$59,0)</f>
        <v>69.0724414590913</v>
      </c>
      <c r="C27" s="21" t="n">
        <f aca="false">$B27*IF(Model!$B$5=1,Data!$D$18,Model!$AC$59)</f>
        <v>16.6625611561955</v>
      </c>
      <c r="D27" s="21" t="n">
        <f aca="false">$B27*IF(Model!$B$5=1,Data!$E$18,Model!$AD$59)</f>
        <v>21.431597589969</v>
      </c>
      <c r="E27" s="21" t="n">
        <f aca="false">$B27*IF(Model!$B$5=1,Data!$F$18,Model!$AE$59)</f>
        <v>12.9162300524637</v>
      </c>
      <c r="F27" s="21" t="n">
        <f aca="false">$B27*IF(Model!$B$5=1,Data!$G$18,Model!$AF$59)</f>
        <v>18.0620526604631</v>
      </c>
      <c r="G27" s="21" t="n">
        <f aca="false">$B27*Model!$S$59</f>
        <v>41.8190396983961</v>
      </c>
      <c r="H27" s="21" t="n">
        <f aca="false">$B27*Model!$T$59</f>
        <v>10.4424271261224</v>
      </c>
      <c r="I27" s="21" t="n">
        <f aca="false">$B27*Model!$U$59</f>
        <v>4.95186524433186</v>
      </c>
      <c r="J27" s="21" t="n">
        <f aca="false">$B27*Model!$V$59</f>
        <v>4.95186524433186</v>
      </c>
      <c r="K27" s="21" t="n">
        <f aca="false">$B27*Model!$W$59</f>
        <v>4.68341013761302</v>
      </c>
      <c r="L27" s="21" t="n">
        <f aca="false">$B27*Model!$X$59</f>
        <v>1.28348488111319</v>
      </c>
      <c r="M27" s="21" t="n">
        <f aca="false">$B27*Model!$Y$59</f>
        <v>0.73603928896491</v>
      </c>
      <c r="N27" s="21" t="n">
        <f aca="false">$B27*Model!$Z$59</f>
        <v>0.0759613501066989</v>
      </c>
      <c r="O27" s="21" t="n">
        <f aca="false">$B27*Model!$AA$59</f>
        <v>0.128348488111319</v>
      </c>
    </row>
    <row r="28" customFormat="false" ht="15" hidden="false" customHeight="true" outlineLevel="0" collapsed="false">
      <c r="A28" s="24" t="s">
        <v>118</v>
      </c>
      <c r="B28" s="25" t="n">
        <f aca="false">SUM(B13:B27)</f>
        <v>1805.57626644277</v>
      </c>
      <c r="C28" s="25" t="n">
        <f aca="false">SUM(C13:C27)</f>
        <v>435.563334596697</v>
      </c>
      <c r="D28" s="25" t="n">
        <f aca="false">SUM(D13:D27)</f>
        <v>560.228247428127</v>
      </c>
      <c r="E28" s="25" t="n">
        <f aca="false">SUM(E13:E27)</f>
        <v>337.634720534307</v>
      </c>
      <c r="F28" s="25" t="n">
        <f aca="false">SUM(F13:F27)</f>
        <v>472.149963883635</v>
      </c>
      <c r="G28" s="25" t="n">
        <f aca="false">SUM(G13:G27)</f>
        <v>1093.16340887663</v>
      </c>
      <c r="H28" s="25" t="n">
        <f aca="false">SUM(H13:H27)</f>
        <v>272.968468823438</v>
      </c>
      <c r="I28" s="25" t="n">
        <f aca="false">SUM(I13:I27)</f>
        <v>129.44338104921</v>
      </c>
      <c r="J28" s="25" t="n">
        <f aca="false">SUM(J13:J27)</f>
        <v>129.44338104921</v>
      </c>
      <c r="K28" s="25" t="n">
        <f aca="false">SUM(K13:K27)</f>
        <v>122.425876541512</v>
      </c>
      <c r="L28" s="25" t="n">
        <f aca="false">SUM(L13:L27)</f>
        <v>33.5507156070139</v>
      </c>
      <c r="M28" s="25" t="n">
        <f aca="false">SUM(M13:M27)</f>
        <v>19.2403083378998</v>
      </c>
      <c r="N28" s="25" t="n">
        <f aca="false">SUM(N13:N27)</f>
        <v>1.9856545971498</v>
      </c>
      <c r="O28" s="25" t="n">
        <f aca="false">SUM(O13:O27)</f>
        <v>3.35507156070138</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0.186995546413275</v>
      </c>
      <c r="F29" s="26" t="n">
        <f aca="false">IF($B$28&gt;0,F28/$B$28,0)</f>
        <v>0.261495442014109</v>
      </c>
      <c r="G29" s="26" t="n">
        <f aca="false">IF($B$28&gt;0,G28/$B$28,0)</f>
        <v>0.605437404773997</v>
      </c>
      <c r="H29" s="26" t="n">
        <f aca="false">IF($B$28&gt;0,H28/$B$28,0)</f>
        <v>0.151180802437786</v>
      </c>
      <c r="I29" s="26" t="n">
        <f aca="false">IF($B$28&gt;0,I28/$B$28,0)</f>
        <v>0.0716908963941087</v>
      </c>
      <c r="J29" s="26" t="n">
        <f aca="false">IF($B$28&gt;0,J28/$B$28,0)</f>
        <v>0.0716908963941087</v>
      </c>
      <c r="K29" s="26" t="n">
        <f aca="false">IF($B$28&gt;0,K28/$B$28,0)</f>
        <v>0.0678043230944255</v>
      </c>
      <c r="L29" s="26" t="n">
        <f aca="false">IF($B$28&gt;0,L28/$B$28,0)</f>
        <v>0.018581721653394</v>
      </c>
      <c r="M29" s="26" t="n">
        <f aca="false">IF($B$28&gt;0,M28/$B$28,0)</f>
        <v>0.0106560485400076</v>
      </c>
      <c r="N29" s="26" t="n">
        <f aca="false">IF($B$28&gt;0,N28/$B$28,0)</f>
        <v>0.00109973454683352</v>
      </c>
      <c r="O29" s="26" t="n">
        <f aca="false">IF($B$28&gt;0,O28/$B$28,0)</f>
        <v>0.0018581721653394</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Data!$H$36*Data!$M$36/SUM(Data!$H$36:$K$36)</f>
        <v>130.531941544885</v>
      </c>
      <c r="C34" s="22" t="n">
        <f aca="false">IF($B$38&gt;0,B34/$B$38,0)</f>
        <v>0.0488517745302714</v>
      </c>
      <c r="D34" s="21" t="n">
        <f aca="false">C28</f>
        <v>435.563334596697</v>
      </c>
      <c r="E34" s="22" t="n">
        <f aca="false">IF($D$38&gt;0,D34/$D$38,0)</f>
        <v>0.241232310532536</v>
      </c>
      <c r="F34" s="21" t="n">
        <f aca="false">B34+D34</f>
        <v>566.095276141582</v>
      </c>
      <c r="G34" s="22" t="n">
        <f aca="false">IF($F$38&gt;0,F34/$F$38,0)</f>
        <v>0.126428952284786</v>
      </c>
    </row>
    <row r="35" customFormat="false" ht="15" hidden="false" customHeight="true" outlineLevel="0" collapsed="false">
      <c r="A35" s="13" t="s">
        <v>106</v>
      </c>
      <c r="B35" s="21" t="n">
        <f aca="false">Data!$I$36*Data!$M$36/SUM(Data!$H$36:$K$36)</f>
        <v>466.344885177453</v>
      </c>
      <c r="C35" s="22" t="n">
        <f aca="false">IF($B$38&gt;0,B35/$B$38,0)</f>
        <v>0.174530271398747</v>
      </c>
      <c r="D35" s="21" t="n">
        <f aca="false">D28</f>
        <v>560.228247428127</v>
      </c>
      <c r="E35" s="22" t="n">
        <f aca="false">IF($D$38&gt;0,D35/$D$38,0)</f>
        <v>0.310276701040081</v>
      </c>
      <c r="F35" s="21" t="n">
        <f aca="false">B35+D35</f>
        <v>1026.57313260558</v>
      </c>
      <c r="G35" s="22" t="n">
        <f aca="false">IF($F$38&gt;0,F35/$F$38,0)</f>
        <v>0.229269826244891</v>
      </c>
    </row>
    <row r="36" customFormat="false" ht="15" hidden="false" customHeight="true" outlineLevel="0" collapsed="false">
      <c r="A36" s="13" t="s">
        <v>107</v>
      </c>
      <c r="B36" s="21" t="n">
        <f aca="false">Data!$J$36*Data!$M$36/SUM(Data!$H$36:$K$36)</f>
        <v>1362.21795407098</v>
      </c>
      <c r="C36" s="22" t="n">
        <f aca="false">IF($B$38&gt;0,B36/$B$38,0)</f>
        <v>0.509812108559499</v>
      </c>
      <c r="D36" s="21" t="n">
        <f aca="false">E28</f>
        <v>337.634720534307</v>
      </c>
      <c r="E36" s="22" t="n">
        <f aca="false">IF($D$38&gt;0,D36/$D$38,0)</f>
        <v>0.186995546413275</v>
      </c>
      <c r="F36" s="21" t="n">
        <f aca="false">B36+D36</f>
        <v>1699.85267460529</v>
      </c>
      <c r="G36" s="22" t="n">
        <f aca="false">IF($F$38&gt;0,F36/$F$38,0)</f>
        <v>0.379636788622641</v>
      </c>
    </row>
    <row r="37" customFormat="false" ht="15" hidden="false" customHeight="true" outlineLevel="0" collapsed="false">
      <c r="A37" s="13" t="s">
        <v>108</v>
      </c>
      <c r="B37" s="21" t="n">
        <f aca="false">Data!$K$36*Data!$M$36/SUM(Data!$H$36:$K$36)</f>
        <v>712.905219206681</v>
      </c>
      <c r="C37" s="22" t="n">
        <f aca="false">IF($B$38&gt;0,B37/$B$38,0)</f>
        <v>0.266805845511482</v>
      </c>
      <c r="D37" s="21" t="n">
        <f aca="false">F28</f>
        <v>472.149963883635</v>
      </c>
      <c r="E37" s="22" t="n">
        <f aca="false">IF($D$38&gt;0,D37/$D$38,0)</f>
        <v>0.261495442014109</v>
      </c>
      <c r="F37" s="21" t="n">
        <f aca="false">B37+D37</f>
        <v>1185.05518309032</v>
      </c>
      <c r="G37" s="22" t="n">
        <f aca="false">IF($F$38&gt;0,F37/$F$38,0)</f>
        <v>0.264664432847682</v>
      </c>
    </row>
    <row r="38" customFormat="false" ht="15" hidden="false" customHeight="true" outlineLevel="0" collapsed="false">
      <c r="A38" s="24" t="s">
        <v>61</v>
      </c>
      <c r="B38" s="25" t="n">
        <f aca="false">SUM(B34:B37)</f>
        <v>2672</v>
      </c>
      <c r="C38" s="27" t="n">
        <f aca="false">SUM(C34:C37)</f>
        <v>1</v>
      </c>
      <c r="D38" s="25" t="n">
        <f aca="false">SUM(D34:D37)</f>
        <v>1805.57626644277</v>
      </c>
      <c r="E38" s="27" t="n">
        <f aca="false">SUM(E34:E37)</f>
        <v>1</v>
      </c>
      <c r="F38" s="25" t="n">
        <f aca="false">SUM(F34:F37)</f>
        <v>4477.57626644277</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8B79C"/>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183</v>
      </c>
    </row>
    <row r="2" customFormat="false" ht="15" hidden="false" customHeight="true" outlineLevel="0" collapsed="false">
      <c r="A2" s="3" t="str">
        <f aca="false">Model!$B$60&amp;" · new homes per year, 2026–"&amp;Model!$B$3&amp;" · set by the levers on the Intro tab"</f>
        <v>Key town · new homes per year, 2026–2040 · set by the levers on the Intro tab</v>
      </c>
    </row>
    <row r="4" customFormat="false" ht="15" hidden="false" customHeight="true" outlineLevel="0" collapsed="false">
      <c r="A4" s="13" t="s">
        <v>332</v>
      </c>
      <c r="C4" s="67" t="n">
        <f aca="false">Model!$D$60</f>
        <v>0.00942252075753335</v>
      </c>
    </row>
    <row r="5" customFormat="false" ht="15" hidden="false" customHeight="true" outlineLevel="0" collapsed="false">
      <c r="A5" s="13" t="s">
        <v>53</v>
      </c>
      <c r="C5" s="14" t="n">
        <f aca="false">Model!$E$60</f>
        <v>375.61936747831</v>
      </c>
    </row>
    <row r="6" customFormat="false" ht="15" hidden="false" customHeight="true" outlineLevel="0" collapsed="false">
      <c r="A6" s="13" t="s">
        <v>99</v>
      </c>
      <c r="C6" s="15" t="n">
        <f aca="false">Model!$Q$60</f>
        <v>0.1</v>
      </c>
    </row>
    <row r="7" customFormat="false" ht="15" hidden="false" customHeight="true" outlineLevel="0" collapsed="false">
      <c r="A7" s="13" t="s">
        <v>100</v>
      </c>
      <c r="C7" s="15" t="n">
        <f aca="false">Model!$G$60</f>
        <v>0.31382</v>
      </c>
    </row>
    <row r="8" customFormat="false" ht="15" hidden="false" customHeight="true" outlineLevel="0" collapsed="false">
      <c r="A8" s="13" t="s">
        <v>101</v>
      </c>
      <c r="C8" s="15" t="n">
        <f aca="false">Model!$R$60</f>
        <v>0.217590585390472</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IF($A13&lt;=Model!$B$3,Data!$B$4*Model!$D$60,0)</f>
        <v>40.1682059893647</v>
      </c>
      <c r="C13" s="21" t="n">
        <f aca="false">$B13*IF(Model!$B$5=1,Data!$D$4,Model!$AC$60)</f>
        <v>10.3906030033465</v>
      </c>
      <c r="D13" s="21" t="n">
        <f aca="false">$B13*IF(Model!$B$5=1,Data!$E$4,Model!$AD$60)</f>
        <v>12.717419813706</v>
      </c>
      <c r="E13" s="21" t="n">
        <f aca="false">$B13*IF(Model!$B$5=1,Data!$F$4,Model!$AE$60)</f>
        <v>7.43262535778818</v>
      </c>
      <c r="F13" s="21" t="n">
        <f aca="false">$B13*IF(Model!$B$5=1,Data!$G$4,Model!$AF$60)</f>
        <v>9.62755781452407</v>
      </c>
      <c r="G13" s="21" t="n">
        <f aca="false">$B13*Model!$S$60</f>
        <v>24.3193343886283</v>
      </c>
      <c r="H13" s="21" t="n">
        <f aca="false">$B13*Model!$T$60</f>
        <v>6.07266161395842</v>
      </c>
      <c r="I13" s="21" t="n">
        <f aca="false">$B13*Model!$U$60</f>
        <v>2.87969469392076</v>
      </c>
      <c r="J13" s="21" t="n">
        <f aca="false">$B13*Model!$V$60</f>
        <v>2.87969469392076</v>
      </c>
      <c r="K13" s="21" t="n">
        <f aca="false">$B13*Model!$W$60</f>
        <v>2.72357801702632</v>
      </c>
      <c r="L13" s="21" t="n">
        <f aca="false">$B13*Model!$X$60</f>
        <v>0.746394423010569</v>
      </c>
      <c r="M13" s="21" t="n">
        <f aca="false">$B13*Model!$Y$60</f>
        <v>0.428034352787693</v>
      </c>
      <c r="N13" s="21" t="n">
        <f aca="false">$B13*Model!$Z$60</f>
        <v>0.0441743638108296</v>
      </c>
      <c r="O13" s="21" t="n">
        <f aca="false">$B13*Model!$AA$60</f>
        <v>0.0746394423010569</v>
      </c>
    </row>
    <row r="14" customFormat="false" ht="15" hidden="false" customHeight="true" outlineLevel="0" collapsed="false">
      <c r="A14" s="23" t="n">
        <v>2027</v>
      </c>
      <c r="B14" s="21" t="n">
        <f aca="false">IF($A14&lt;=Model!$B$3,Data!$B$5*Model!$D$60,0)</f>
        <v>40.1682059893647</v>
      </c>
      <c r="C14" s="21" t="n">
        <f aca="false">$B14*IF(Model!$B$5=1,Data!$D$5,Model!$AC$60)</f>
        <v>10.0985733631799</v>
      </c>
      <c r="D14" s="21" t="n">
        <f aca="false">$B14*IF(Model!$B$5=1,Data!$E$5,Model!$AD$60)</f>
        <v>12.7551010575984</v>
      </c>
      <c r="E14" s="21" t="n">
        <f aca="false">$B14*IF(Model!$B$5=1,Data!$F$5,Model!$AE$60)</f>
        <v>7.41378473584195</v>
      </c>
      <c r="F14" s="21" t="n">
        <f aca="false">$B14*IF(Model!$B$5=1,Data!$G$5,Model!$AF$60)</f>
        <v>9.90074683274443</v>
      </c>
      <c r="G14" s="21" t="n">
        <f aca="false">$B14*Model!$S$60</f>
        <v>24.3193343886283</v>
      </c>
      <c r="H14" s="21" t="n">
        <f aca="false">$B14*Model!$T$60</f>
        <v>6.07266161395842</v>
      </c>
      <c r="I14" s="21" t="n">
        <f aca="false">$B14*Model!$U$60</f>
        <v>2.87969469392076</v>
      </c>
      <c r="J14" s="21" t="n">
        <f aca="false">$B14*Model!$V$60</f>
        <v>2.87969469392076</v>
      </c>
      <c r="K14" s="21" t="n">
        <f aca="false">$B14*Model!$W$60</f>
        <v>2.72357801702632</v>
      </c>
      <c r="L14" s="21" t="n">
        <f aca="false">$B14*Model!$X$60</f>
        <v>0.746394423010569</v>
      </c>
      <c r="M14" s="21" t="n">
        <f aca="false">$B14*Model!$Y$60</f>
        <v>0.428034352787693</v>
      </c>
      <c r="N14" s="21" t="n">
        <f aca="false">$B14*Model!$Z$60</f>
        <v>0.0441743638108296</v>
      </c>
      <c r="O14" s="21" t="n">
        <f aca="false">$B14*Model!$AA$60</f>
        <v>0.0746394423010569</v>
      </c>
    </row>
    <row r="15" customFormat="false" ht="15" hidden="false" customHeight="true" outlineLevel="0" collapsed="false">
      <c r="A15" s="23" t="n">
        <v>2028</v>
      </c>
      <c r="B15" s="21" t="n">
        <f aca="false">IF($A15&lt;=Model!$B$3,Data!$B$6*Model!$D$60,0)</f>
        <v>40.1682059893647</v>
      </c>
      <c r="C15" s="21" t="n">
        <f aca="false">$B15*IF(Model!$B$5=1,Data!$D$6,Model!$AC$60)</f>
        <v>10.0656133262885</v>
      </c>
      <c r="D15" s="21" t="n">
        <f aca="false">$B15*IF(Model!$B$5=1,Data!$E$6,Model!$AD$60)</f>
        <v>12.7610865578601</v>
      </c>
      <c r="E15" s="21" t="n">
        <f aca="false">$B15*IF(Model!$B$5=1,Data!$F$6,Model!$AE$60)</f>
        <v>7.41726375261145</v>
      </c>
      <c r="F15" s="21" t="n">
        <f aca="false">$B15*IF(Model!$B$5=1,Data!$G$6,Model!$AF$60)</f>
        <v>9.92424235260464</v>
      </c>
      <c r="G15" s="21" t="n">
        <f aca="false">$B15*Model!$S$60</f>
        <v>24.3193343886283</v>
      </c>
      <c r="H15" s="21" t="n">
        <f aca="false">$B15*Model!$T$60</f>
        <v>6.07266161395842</v>
      </c>
      <c r="I15" s="21" t="n">
        <f aca="false">$B15*Model!$U$60</f>
        <v>2.87969469392076</v>
      </c>
      <c r="J15" s="21" t="n">
        <f aca="false">$B15*Model!$V$60</f>
        <v>2.87969469392076</v>
      </c>
      <c r="K15" s="21" t="n">
        <f aca="false">$B15*Model!$W$60</f>
        <v>2.72357801702632</v>
      </c>
      <c r="L15" s="21" t="n">
        <f aca="false">$B15*Model!$X$60</f>
        <v>0.746394423010569</v>
      </c>
      <c r="M15" s="21" t="n">
        <f aca="false">$B15*Model!$Y$60</f>
        <v>0.428034352787693</v>
      </c>
      <c r="N15" s="21" t="n">
        <f aca="false">$B15*Model!$Z$60</f>
        <v>0.0441743638108296</v>
      </c>
      <c r="O15" s="21" t="n">
        <f aca="false">$B15*Model!$AA$60</f>
        <v>0.0746394423010569</v>
      </c>
    </row>
    <row r="16" customFormat="false" ht="15" hidden="false" customHeight="true" outlineLevel="0" collapsed="false">
      <c r="A16" s="23" t="n">
        <v>2029</v>
      </c>
      <c r="B16" s="21" t="n">
        <f aca="false">IF($A16&lt;=Model!$B$3,Data!$B$7*Model!$D$60,0)</f>
        <v>40.1682059893647</v>
      </c>
      <c r="C16" s="21" t="n">
        <f aca="false">$B16*IF(Model!$B$5=1,Data!$D$7,Model!$AC$60)</f>
        <v>9.95960444071277</v>
      </c>
      <c r="D16" s="21" t="n">
        <f aca="false">$B16*IF(Model!$B$5=1,Data!$E$7,Model!$AD$60)</f>
        <v>12.6921354603974</v>
      </c>
      <c r="E16" s="21" t="n">
        <f aca="false">$B16*IF(Model!$B$5=1,Data!$F$7,Model!$AE$60)</f>
        <v>7.36841123239109</v>
      </c>
      <c r="F16" s="21" t="n">
        <f aca="false">$B16*IF(Model!$B$5=1,Data!$G$7,Model!$AF$60)</f>
        <v>10.1480548558634</v>
      </c>
      <c r="G16" s="21" t="n">
        <f aca="false">$B16*Model!$S$60</f>
        <v>24.3193343886283</v>
      </c>
      <c r="H16" s="21" t="n">
        <f aca="false">$B16*Model!$T$60</f>
        <v>6.07266161395842</v>
      </c>
      <c r="I16" s="21" t="n">
        <f aca="false">$B16*Model!$U$60</f>
        <v>2.87969469392076</v>
      </c>
      <c r="J16" s="21" t="n">
        <f aca="false">$B16*Model!$V$60</f>
        <v>2.87969469392076</v>
      </c>
      <c r="K16" s="21" t="n">
        <f aca="false">$B16*Model!$W$60</f>
        <v>2.72357801702632</v>
      </c>
      <c r="L16" s="21" t="n">
        <f aca="false">$B16*Model!$X$60</f>
        <v>0.746394423010569</v>
      </c>
      <c r="M16" s="21" t="n">
        <f aca="false">$B16*Model!$Y$60</f>
        <v>0.428034352787693</v>
      </c>
      <c r="N16" s="21" t="n">
        <f aca="false">$B16*Model!$Z$60</f>
        <v>0.0441743638108296</v>
      </c>
      <c r="O16" s="21" t="n">
        <f aca="false">$B16*Model!$AA$60</f>
        <v>0.0746394423010569</v>
      </c>
    </row>
    <row r="17" customFormat="false" ht="15" hidden="false" customHeight="true" outlineLevel="0" collapsed="false">
      <c r="A17" s="23" t="n">
        <v>2030</v>
      </c>
      <c r="B17" s="21" t="n">
        <f aca="false">IF($A17&lt;=Model!$B$3,Data!$B$8*Model!$D$60,0)</f>
        <v>40.1682059893647</v>
      </c>
      <c r="C17" s="21" t="n">
        <f aca="false">$B17*IF(Model!$B$5=1,Data!$D$8,Model!$AC$60)</f>
        <v>9.94309181576248</v>
      </c>
      <c r="D17" s="21" t="n">
        <f aca="false">$B17*IF(Model!$B$5=1,Data!$E$8,Model!$AD$60)</f>
        <v>12.5066188052292</v>
      </c>
      <c r="E17" s="21" t="n">
        <f aca="false">$B17*IF(Model!$B$5=1,Data!$F$8,Model!$AE$60)</f>
        <v>7.37956482629576</v>
      </c>
      <c r="F17" s="21" t="n">
        <f aca="false">$B17*IF(Model!$B$5=1,Data!$G$8,Model!$AF$60)</f>
        <v>10.3389305420772</v>
      </c>
      <c r="G17" s="21" t="n">
        <f aca="false">$B17*Model!$S$60</f>
        <v>24.3193343886283</v>
      </c>
      <c r="H17" s="21" t="n">
        <f aca="false">$B17*Model!$T$60</f>
        <v>6.07266161395842</v>
      </c>
      <c r="I17" s="21" t="n">
        <f aca="false">$B17*Model!$U$60</f>
        <v>2.87969469392076</v>
      </c>
      <c r="J17" s="21" t="n">
        <f aca="false">$B17*Model!$V$60</f>
        <v>2.87969469392076</v>
      </c>
      <c r="K17" s="21" t="n">
        <f aca="false">$B17*Model!$W$60</f>
        <v>2.72357801702632</v>
      </c>
      <c r="L17" s="21" t="n">
        <f aca="false">$B17*Model!$X$60</f>
        <v>0.746394423010569</v>
      </c>
      <c r="M17" s="21" t="n">
        <f aca="false">$B17*Model!$Y$60</f>
        <v>0.428034352787693</v>
      </c>
      <c r="N17" s="21" t="n">
        <f aca="false">$B17*Model!$Z$60</f>
        <v>0.0441743638108296</v>
      </c>
      <c r="O17" s="21" t="n">
        <f aca="false">$B17*Model!$AA$60</f>
        <v>0.0746394423010569</v>
      </c>
    </row>
    <row r="18" customFormat="false" ht="15" hidden="false" customHeight="true" outlineLevel="0" collapsed="false">
      <c r="A18" s="23" t="n">
        <v>2031</v>
      </c>
      <c r="B18" s="21" t="n">
        <f aca="false">IF($A18&lt;=Model!$B$3,Data!$B$9*Model!$D$60,0)</f>
        <v>20.4280250023323</v>
      </c>
      <c r="C18" s="21" t="n">
        <f aca="false">$B18*IF(Model!$B$5=1,Data!$D$9,Model!$AC$60)</f>
        <v>4.72068289952421</v>
      </c>
      <c r="D18" s="21" t="n">
        <f aca="false">$B18*IF(Model!$B$5=1,Data!$E$9,Model!$AD$60)</f>
        <v>6.20944117921449</v>
      </c>
      <c r="E18" s="21" t="n">
        <f aca="false">$B18*IF(Model!$B$5=1,Data!$F$9,Model!$AE$60)</f>
        <v>3.88207855210375</v>
      </c>
      <c r="F18" s="21" t="n">
        <f aca="false">$B18*IF(Model!$B$5=1,Data!$G$9,Model!$AF$60)</f>
        <v>5.61582237148988</v>
      </c>
      <c r="G18" s="21" t="n">
        <f aca="false">$B18*Model!$S$60</f>
        <v>12.3678904420704</v>
      </c>
      <c r="H18" s="21" t="n">
        <f aca="false">$B18*Model!$T$60</f>
        <v>3.08832521207175</v>
      </c>
      <c r="I18" s="21" t="n">
        <f aca="false">$B18*Model!$U$60</f>
        <v>1.46450342397847</v>
      </c>
      <c r="J18" s="21" t="n">
        <f aca="false">$B18*Model!$V$60</f>
        <v>1.46450342397847</v>
      </c>
      <c r="K18" s="21" t="n">
        <f aca="false">$B18*Model!$W$60</f>
        <v>1.38510840743914</v>
      </c>
      <c r="L18" s="21" t="n">
        <f aca="false">$B18*Model!$X$60</f>
        <v>0.379587874521913</v>
      </c>
      <c r="M18" s="21" t="n">
        <f aca="false">$B18*Model!$Y$60</f>
        <v>0.217682026001342</v>
      </c>
      <c r="N18" s="21" t="n">
        <f aca="false">$B18*Model!$Z$60</f>
        <v>0.0224654048186438</v>
      </c>
      <c r="O18" s="21" t="n">
        <f aca="false">$B18*Model!$AA$60</f>
        <v>0.0379587874521913</v>
      </c>
    </row>
    <row r="19" customFormat="false" ht="15" hidden="false" customHeight="true" outlineLevel="0" collapsed="false">
      <c r="A19" s="23" t="n">
        <v>2032</v>
      </c>
      <c r="B19" s="21" t="n">
        <f aca="false">IF($A19&lt;=Model!$B$3,Data!$B$10*Model!$D$60,0)</f>
        <v>20.4280250023323</v>
      </c>
      <c r="C19" s="21" t="n">
        <f aca="false">$B19*IF(Model!$B$5=1,Data!$D$10,Model!$AC$60)</f>
        <v>4.54165500513109</v>
      </c>
      <c r="D19" s="21" t="n">
        <f aca="false">$B19*IF(Model!$B$5=1,Data!$E$10,Model!$AD$60)</f>
        <v>6.08694840936655</v>
      </c>
      <c r="E19" s="21" t="n">
        <f aca="false">$B19*IF(Model!$B$5=1,Data!$F$10,Model!$AE$60)</f>
        <v>3.94803619740648</v>
      </c>
      <c r="F19" s="21" t="n">
        <f aca="false">$B19*IF(Model!$B$5=1,Data!$G$10,Model!$AF$60)</f>
        <v>5.85138539042821</v>
      </c>
      <c r="G19" s="21" t="n">
        <f aca="false">$B19*Model!$S$60</f>
        <v>12.3678904420704</v>
      </c>
      <c r="H19" s="21" t="n">
        <f aca="false">$B19*Model!$T$60</f>
        <v>3.08832521207175</v>
      </c>
      <c r="I19" s="21" t="n">
        <f aca="false">$B19*Model!$U$60</f>
        <v>1.46450342397847</v>
      </c>
      <c r="J19" s="21" t="n">
        <f aca="false">$B19*Model!$V$60</f>
        <v>1.46450342397847</v>
      </c>
      <c r="K19" s="21" t="n">
        <f aca="false">$B19*Model!$W$60</f>
        <v>1.38510840743914</v>
      </c>
      <c r="L19" s="21" t="n">
        <f aca="false">$B19*Model!$X$60</f>
        <v>0.379587874521913</v>
      </c>
      <c r="M19" s="21" t="n">
        <f aca="false">$B19*Model!$Y$60</f>
        <v>0.217682026001342</v>
      </c>
      <c r="N19" s="21" t="n">
        <f aca="false">$B19*Model!$Z$60</f>
        <v>0.0224654048186438</v>
      </c>
      <c r="O19" s="21" t="n">
        <f aca="false">$B19*Model!$AA$60</f>
        <v>0.0379587874521913</v>
      </c>
    </row>
    <row r="20" customFormat="false" ht="15" hidden="false" customHeight="true" outlineLevel="0" collapsed="false">
      <c r="A20" s="23" t="n">
        <v>2033</v>
      </c>
      <c r="B20" s="21" t="n">
        <f aca="false">IF($A20&lt;=Model!$B$3,Data!$B$11*Model!$D$60,0)</f>
        <v>20.4280250023323</v>
      </c>
      <c r="C20" s="21" t="n">
        <f aca="false">$B20*IF(Model!$B$5=1,Data!$D$11,Model!$AC$60)</f>
        <v>4.50604335538295</v>
      </c>
      <c r="D20" s="21" t="n">
        <f aca="false">$B20*IF(Model!$B$5=1,Data!$E$11,Model!$AD$60)</f>
        <v>6.10861107591662</v>
      </c>
      <c r="E20" s="21" t="n">
        <f aca="false">$B20*IF(Model!$B$5=1,Data!$F$11,Model!$AE$60)</f>
        <v>3.94985808766831</v>
      </c>
      <c r="F20" s="21" t="n">
        <f aca="false">$B20*IF(Model!$B$5=1,Data!$G$11,Model!$AF$60)</f>
        <v>5.86351248336443</v>
      </c>
      <c r="G20" s="21" t="n">
        <f aca="false">$B20*Model!$S$60</f>
        <v>12.3678904420704</v>
      </c>
      <c r="H20" s="21" t="n">
        <f aca="false">$B20*Model!$T$60</f>
        <v>3.08832521207175</v>
      </c>
      <c r="I20" s="21" t="n">
        <f aca="false">$B20*Model!$U$60</f>
        <v>1.46450342397847</v>
      </c>
      <c r="J20" s="21" t="n">
        <f aca="false">$B20*Model!$V$60</f>
        <v>1.46450342397847</v>
      </c>
      <c r="K20" s="21" t="n">
        <f aca="false">$B20*Model!$W$60</f>
        <v>1.38510840743914</v>
      </c>
      <c r="L20" s="21" t="n">
        <f aca="false">$B20*Model!$X$60</f>
        <v>0.379587874521913</v>
      </c>
      <c r="M20" s="21" t="n">
        <f aca="false">$B20*Model!$Y$60</f>
        <v>0.217682026001342</v>
      </c>
      <c r="N20" s="21" t="n">
        <f aca="false">$B20*Model!$Z$60</f>
        <v>0.0224654048186438</v>
      </c>
      <c r="O20" s="21" t="n">
        <f aca="false">$B20*Model!$AA$60</f>
        <v>0.0379587874521913</v>
      </c>
    </row>
    <row r="21" customFormat="false" ht="15" hidden="false" customHeight="true" outlineLevel="0" collapsed="false">
      <c r="A21" s="23" t="n">
        <v>2034</v>
      </c>
      <c r="B21" s="21" t="n">
        <f aca="false">IF($A21&lt;=Model!$B$3,Data!$B$12*Model!$D$60,0)</f>
        <v>20.4280250023323</v>
      </c>
      <c r="C21" s="21" t="n">
        <f aca="false">$B21*IF(Model!$B$5=1,Data!$D$12,Model!$AC$60)</f>
        <v>4.46627483907082</v>
      </c>
      <c r="D21" s="21" t="n">
        <f aca="false">$B21*IF(Model!$B$5=1,Data!$E$12,Model!$AD$60)</f>
        <v>6.12463849239669</v>
      </c>
      <c r="E21" s="21" t="n">
        <f aca="false">$B21*IF(Model!$B$5=1,Data!$F$12,Model!$AE$60)</f>
        <v>3.94803619740648</v>
      </c>
      <c r="F21" s="21" t="n">
        <f aca="false">$B21*IF(Model!$B$5=1,Data!$G$12,Model!$AF$60)</f>
        <v>5.88907547345834</v>
      </c>
      <c r="G21" s="21" t="n">
        <f aca="false">$B21*Model!$S$60</f>
        <v>12.3678904420704</v>
      </c>
      <c r="H21" s="21" t="n">
        <f aca="false">$B21*Model!$T$60</f>
        <v>3.08832521207175</v>
      </c>
      <c r="I21" s="21" t="n">
        <f aca="false">$B21*Model!$U$60</f>
        <v>1.46450342397847</v>
      </c>
      <c r="J21" s="21" t="n">
        <f aca="false">$B21*Model!$V$60</f>
        <v>1.46450342397847</v>
      </c>
      <c r="K21" s="21" t="n">
        <f aca="false">$B21*Model!$W$60</f>
        <v>1.38510840743914</v>
      </c>
      <c r="L21" s="21" t="n">
        <f aca="false">$B21*Model!$X$60</f>
        <v>0.379587874521913</v>
      </c>
      <c r="M21" s="21" t="n">
        <f aca="false">$B21*Model!$Y$60</f>
        <v>0.217682026001342</v>
      </c>
      <c r="N21" s="21" t="n">
        <f aca="false">$B21*Model!$Z$60</f>
        <v>0.0224654048186438</v>
      </c>
      <c r="O21" s="21" t="n">
        <f aca="false">$B21*Model!$AA$60</f>
        <v>0.0379587874521913</v>
      </c>
    </row>
    <row r="22" customFormat="false" ht="15" hidden="false" customHeight="true" outlineLevel="0" collapsed="false">
      <c r="A22" s="23" t="n">
        <v>2035</v>
      </c>
      <c r="B22" s="21" t="n">
        <f aca="false">IF($A22&lt;=Model!$B$3,Data!$B$13*Model!$D$60,0)</f>
        <v>19.7401809870324</v>
      </c>
      <c r="C22" s="21" t="n">
        <f aca="false">$B22*IF(Model!$B$5=1,Data!$D$13,Model!$AC$60)</f>
        <v>4.23071182013247</v>
      </c>
      <c r="D22" s="21" t="n">
        <f aca="false">$B22*IF(Model!$B$5=1,Data!$E$13,Model!$AD$60)</f>
        <v>5.83254034891314</v>
      </c>
      <c r="E22" s="21" t="n">
        <f aca="false">$B22*IF(Model!$B$5=1,Data!$F$13,Model!$AE$60)</f>
        <v>3.7878533445284</v>
      </c>
      <c r="F22" s="21" t="n">
        <f aca="false">$B22*IF(Model!$B$5=1,Data!$G$13,Model!$AF$60)</f>
        <v>5.88907547345835</v>
      </c>
      <c r="G22" s="21" t="n">
        <f aca="false">$B22*Model!$S$60</f>
        <v>11.9514439465579</v>
      </c>
      <c r="H22" s="21" t="n">
        <f aca="false">$B22*Model!$T$60</f>
        <v>2.98433640188667</v>
      </c>
      <c r="I22" s="21" t="n">
        <f aca="false">$B22*Model!$U$60</f>
        <v>1.41519126994229</v>
      </c>
      <c r="J22" s="21" t="n">
        <f aca="false">$B22*Model!$V$60</f>
        <v>1.41519126994229</v>
      </c>
      <c r="K22" s="21" t="n">
        <f aca="false">$B22*Model!$W$60</f>
        <v>1.33846960958718</v>
      </c>
      <c r="L22" s="21" t="n">
        <f aca="false">$B22*Model!$X$60</f>
        <v>0.366806548488656</v>
      </c>
      <c r="M22" s="21" t="n">
        <f aca="false">$B22*Model!$Y$60</f>
        <v>0.210352326786352</v>
      </c>
      <c r="N22" s="21" t="n">
        <f aca="false">$B22*Model!$Z$60</f>
        <v>0.0217089589921858</v>
      </c>
      <c r="O22" s="21" t="n">
        <f aca="false">$B22*Model!$AA$60</f>
        <v>0.0366806548488656</v>
      </c>
    </row>
    <row r="23" customFormat="false" ht="15" hidden="false" customHeight="true" outlineLevel="0" collapsed="false">
      <c r="A23" s="23" t="n">
        <v>2036</v>
      </c>
      <c r="B23" s="21" t="n">
        <f aca="false">IF($A23&lt;=Model!$B$3,Data!$B$14*Model!$D$60,0)</f>
        <v>14.9535404422054</v>
      </c>
      <c r="C23" s="21" t="n">
        <f aca="false">$B23*IF(Model!$B$5=1,Data!$D$14,Model!$AC$60)</f>
        <v>3.60728934516467</v>
      </c>
      <c r="D23" s="21" t="n">
        <f aca="false">$B23*IF(Model!$B$5=1,Data!$E$14,Model!$AD$60)</f>
        <v>4.6397413285656</v>
      </c>
      <c r="E23" s="21" t="n">
        <f aca="false">$B23*IF(Model!$B$5=1,Data!$F$14,Model!$AE$60)</f>
        <v>2.79624354330571</v>
      </c>
      <c r="F23" s="21" t="n">
        <f aca="false">$B23*IF(Model!$B$5=1,Data!$G$14,Model!$AF$60)</f>
        <v>3.91026622516945</v>
      </c>
      <c r="G23" s="21" t="n">
        <f aca="false">$B23*Model!$S$60</f>
        <v>9.05343271751186</v>
      </c>
      <c r="H23" s="21" t="n">
        <f aca="false">$B23*Model!$T$60</f>
        <v>2.2606882433385</v>
      </c>
      <c r="I23" s="21" t="n">
        <f aca="false">$B23*Model!$U$60</f>
        <v>1.07203271856726</v>
      </c>
      <c r="J23" s="21" t="n">
        <f aca="false">$B23*Model!$V$60</f>
        <v>1.07203271856726</v>
      </c>
      <c r="K23" s="21" t="n">
        <f aca="false">$B23*Model!$W$60</f>
        <v>1.01391468754886</v>
      </c>
      <c r="L23" s="21" t="n">
        <f aca="false">$B23*Model!$X$60</f>
        <v>0.277862526229832</v>
      </c>
      <c r="M23" s="21" t="n">
        <f aca="false">$B23*Model!$Y$60</f>
        <v>0.159345652797108</v>
      </c>
      <c r="N23" s="21" t="n">
        <f aca="false">$B23*Model!$Z$60</f>
        <v>0.0164449250217655</v>
      </c>
      <c r="O23" s="21" t="n">
        <f aca="false">$B23*Model!$AA$60</f>
        <v>0.0277862526229832</v>
      </c>
    </row>
    <row r="24" customFormat="false" ht="15" hidden="false" customHeight="true" outlineLevel="0" collapsed="false">
      <c r="A24" s="23" t="n">
        <v>2037</v>
      </c>
      <c r="B24" s="21" t="n">
        <f aca="false">IF($A24&lt;=Model!$B$3,Data!$B$15*Model!$D$60,0)</f>
        <v>14.8310476723575</v>
      </c>
      <c r="C24" s="21" t="n">
        <f aca="false">$B24*IF(Model!$B$5=1,Data!$D$15,Model!$AC$60)</f>
        <v>3.57774003105809</v>
      </c>
      <c r="D24" s="21" t="n">
        <f aca="false">$B24*IF(Model!$B$5=1,Data!$E$15,Model!$AD$60)</f>
        <v>4.60173462581112</v>
      </c>
      <c r="E24" s="21" t="n">
        <f aca="false">$B24*IF(Model!$B$5=1,Data!$F$15,Model!$AE$60)</f>
        <v>2.77333795662457</v>
      </c>
      <c r="F24" s="21" t="n">
        <f aca="false">$B24*IF(Model!$B$5=1,Data!$G$15,Model!$AF$60)</f>
        <v>3.87823505886373</v>
      </c>
      <c r="G24" s="21" t="n">
        <f aca="false">$B24*Model!$S$60</f>
        <v>8.97927101283155</v>
      </c>
      <c r="H24" s="21" t="n">
        <f aca="false">$B24*Model!$T$60</f>
        <v>2.24216968810006</v>
      </c>
      <c r="I24" s="21" t="n">
        <f aca="false">$B24*Model!$U$60</f>
        <v>1.06325110209507</v>
      </c>
      <c r="J24" s="21" t="n">
        <f aca="false">$B24*Model!$V$60</f>
        <v>1.06325110209507</v>
      </c>
      <c r="K24" s="21" t="n">
        <f aca="false">$B24*Model!$W$60</f>
        <v>1.00560914820535</v>
      </c>
      <c r="L24" s="21" t="n">
        <f aca="false">$B24*Model!$X$60</f>
        <v>0.275586399675964</v>
      </c>
      <c r="M24" s="21" t="n">
        <f aca="false">$B24*Model!$Y$60</f>
        <v>0.158040363895808</v>
      </c>
      <c r="N24" s="21" t="n">
        <f aca="false">$B24*Model!$Z$60</f>
        <v>0.0163102154910264</v>
      </c>
      <c r="O24" s="21" t="n">
        <f aca="false">$B24*Model!$AA$60</f>
        <v>0.0275586399675964</v>
      </c>
    </row>
    <row r="25" customFormat="false" ht="15" hidden="false" customHeight="true" outlineLevel="0" collapsed="false">
      <c r="A25" s="23" t="n">
        <v>2038</v>
      </c>
      <c r="B25" s="21" t="n">
        <f aca="false">IF($A25&lt;=Model!$B$3,Data!$B$16*Model!$D$60,0)</f>
        <v>14.6520197779644</v>
      </c>
      <c r="C25" s="21" t="n">
        <f aca="false">$B25*IF(Model!$B$5=1,Data!$D$16,Model!$AC$60)</f>
        <v>3.53455257197926</v>
      </c>
      <c r="D25" s="21" t="n">
        <f aca="false">$B25*IF(Model!$B$5=1,Data!$E$16,Model!$AD$60)</f>
        <v>4.5461863679392</v>
      </c>
      <c r="E25" s="21" t="n">
        <f aca="false">$B25*IF(Model!$B$5=1,Data!$F$16,Model!$AE$60)</f>
        <v>2.73986056070597</v>
      </c>
      <c r="F25" s="21" t="n">
        <f aca="false">$B25*IF(Model!$B$5=1,Data!$G$16,Model!$AF$60)</f>
        <v>3.83142027733995</v>
      </c>
      <c r="G25" s="21" t="n">
        <f aca="false">$B25*Model!$S$60</f>
        <v>8.87088082906802</v>
      </c>
      <c r="H25" s="21" t="n">
        <f aca="false">$B25*Model!$T$60</f>
        <v>2.21510410736696</v>
      </c>
      <c r="I25" s="21" t="n">
        <f aca="false">$B25*Model!$U$60</f>
        <v>1.05041643186647</v>
      </c>
      <c r="J25" s="21" t="n">
        <f aca="false">$B25*Model!$V$60</f>
        <v>1.05041643186647</v>
      </c>
      <c r="K25" s="21" t="n">
        <f aca="false">$B25*Model!$W$60</f>
        <v>0.993470283011008</v>
      </c>
      <c r="L25" s="21" t="n">
        <f aca="false">$B25*Model!$X$60</f>
        <v>0.272259753174158</v>
      </c>
      <c r="M25" s="21" t="n">
        <f aca="false">$B25*Model!$Y$60</f>
        <v>0.156132633963139</v>
      </c>
      <c r="N25" s="21" t="n">
        <f aca="false">$B25*Model!$Z$60</f>
        <v>0.0161133323307155</v>
      </c>
      <c r="O25" s="21" t="n">
        <f aca="false">$B25*Model!$AA$60</f>
        <v>0.0272259753174158</v>
      </c>
    </row>
    <row r="26" customFormat="false" ht="15" hidden="false" customHeight="true" outlineLevel="0" collapsed="false">
      <c r="A26" s="23" t="n">
        <v>2039</v>
      </c>
      <c r="B26" s="21" t="n">
        <f aca="false">IF($A26&lt;=Model!$B$3,Data!$B$17*Model!$D$60,0)</f>
        <v>14.5201044873589</v>
      </c>
      <c r="C26" s="21" t="n">
        <f aca="false">$B26*IF(Model!$B$5=1,Data!$D$17,Model!$AC$60)</f>
        <v>3.50273023371062</v>
      </c>
      <c r="D26" s="21" t="n">
        <f aca="false">$B26*IF(Model!$B$5=1,Data!$E$17,Model!$AD$60)</f>
        <v>4.50525607266513</v>
      </c>
      <c r="E26" s="21" t="n">
        <f aca="false">$B26*IF(Model!$B$5=1,Data!$F$17,Model!$AE$60)</f>
        <v>2.71519300581859</v>
      </c>
      <c r="F26" s="21" t="n">
        <f aca="false">$B26*IF(Model!$B$5=1,Data!$G$17,Model!$AF$60)</f>
        <v>3.79692517516455</v>
      </c>
      <c r="G26" s="21" t="n">
        <f aca="false">$B26*Model!$S$60</f>
        <v>8.79101437787384</v>
      </c>
      <c r="H26" s="21" t="n">
        <f aca="false">$B26*Model!$T$60</f>
        <v>2.19516104787941</v>
      </c>
      <c r="I26" s="21" t="n">
        <f aca="false">$B26*Model!$U$60</f>
        <v>1.04095930643488</v>
      </c>
      <c r="J26" s="21" t="n">
        <f aca="false">$B26*Model!$V$60</f>
        <v>1.04095930643488</v>
      </c>
      <c r="K26" s="21" t="n">
        <f aca="false">$B26*Model!$W$60</f>
        <v>0.9845258560257</v>
      </c>
      <c r="L26" s="21" t="n">
        <f aca="false">$B26*Model!$X$60</f>
        <v>0.2698085399623</v>
      </c>
      <c r="M26" s="21" t="n">
        <f aca="false">$B26*Model!$Y$60</f>
        <v>0.154726938223278</v>
      </c>
      <c r="N26" s="21" t="n">
        <f aca="false">$B26*Model!$Z$60</f>
        <v>0.015968260528381</v>
      </c>
      <c r="O26" s="21" t="n">
        <f aca="false">$B26*Model!$AA$60</f>
        <v>0.02698085399623</v>
      </c>
    </row>
    <row r="27" customFormat="false" ht="15" hidden="false" customHeight="true" outlineLevel="0" collapsed="false">
      <c r="A27" s="23" t="n">
        <v>2040</v>
      </c>
      <c r="B27" s="21" t="n">
        <f aca="false">IF($A27&lt;=Model!$B$3,Data!$B$18*Model!$D$60,0)</f>
        <v>14.3693441552384</v>
      </c>
      <c r="C27" s="21" t="n">
        <f aca="false">$B27*IF(Model!$B$5=1,Data!$D$18,Model!$AC$60)</f>
        <v>3.46636184711791</v>
      </c>
      <c r="D27" s="21" t="n">
        <f aca="false">$B27*IF(Model!$B$5=1,Data!$E$18,Model!$AD$60)</f>
        <v>4.45847859235195</v>
      </c>
      <c r="E27" s="21" t="n">
        <f aca="false">$B27*IF(Model!$B$5=1,Data!$F$18,Model!$AE$60)</f>
        <v>2.68700151451872</v>
      </c>
      <c r="F27" s="21" t="n">
        <f aca="false">$B27*IF(Model!$B$5=1,Data!$G$18,Model!$AF$60)</f>
        <v>3.75750220124979</v>
      </c>
      <c r="G27" s="21" t="n">
        <f aca="false">$B27*Model!$S$60</f>
        <v>8.69973843365192</v>
      </c>
      <c r="H27" s="21" t="n">
        <f aca="false">$B27*Model!$T$60</f>
        <v>2.17236897989364</v>
      </c>
      <c r="I27" s="21" t="n">
        <f aca="false">$B27*Model!$U$60</f>
        <v>1.03015116308448</v>
      </c>
      <c r="J27" s="21" t="n">
        <f aca="false">$B27*Model!$V$60</f>
        <v>1.03015116308448</v>
      </c>
      <c r="K27" s="21" t="n">
        <f aca="false">$B27*Model!$W$60</f>
        <v>0.974303653756776</v>
      </c>
      <c r="L27" s="21" t="n">
        <f aca="false">$B27*Model!$X$60</f>
        <v>0.267007153434463</v>
      </c>
      <c r="M27" s="21" t="n">
        <f aca="false">$B27*Model!$Y$60</f>
        <v>0.153120428806294</v>
      </c>
      <c r="N27" s="21" t="n">
        <f aca="false">$B27*Model!$Z$60</f>
        <v>0.015802464182856</v>
      </c>
      <c r="O27" s="21" t="n">
        <f aca="false">$B27*Model!$AA$60</f>
        <v>0.0267007153434463</v>
      </c>
    </row>
    <row r="28" customFormat="false" ht="15" hidden="false" customHeight="true" outlineLevel="0" collapsed="false">
      <c r="A28" s="24" t="s">
        <v>118</v>
      </c>
      <c r="B28" s="25" t="n">
        <f aca="false">SUM(B13:B27)</f>
        <v>375.61936747831</v>
      </c>
      <c r="C28" s="25" t="n">
        <f aca="false">SUM(C13:C27)</f>
        <v>90.6115278975621</v>
      </c>
      <c r="D28" s="25" t="n">
        <f aca="false">SUM(D13:D27)</f>
        <v>116.545938187932</v>
      </c>
      <c r="E28" s="25" t="n">
        <f aca="false">SUM(E13:E27)</f>
        <v>70.2391488650154</v>
      </c>
      <c r="F28" s="25" t="n">
        <f aca="false">SUM(F13:F27)</f>
        <v>98.2227525278004</v>
      </c>
      <c r="G28" s="25" t="n">
        <f aca="false">SUM(G13:G27)</f>
        <v>227.414015028918</v>
      </c>
      <c r="H28" s="25" t="n">
        <f aca="false">SUM(H13:H27)</f>
        <v>56.7864373865443</v>
      </c>
      <c r="I28" s="25" t="n">
        <f aca="false">SUM(I13:I27)</f>
        <v>26.9284891575081</v>
      </c>
      <c r="J28" s="25" t="n">
        <f aca="false">SUM(J13:J27)</f>
        <v>26.9284891575081</v>
      </c>
      <c r="K28" s="25" t="n">
        <f aca="false">SUM(K13:K27)</f>
        <v>25.468616953023</v>
      </c>
      <c r="L28" s="25" t="n">
        <f aca="false">SUM(L13:L27)</f>
        <v>6.97965453410587</v>
      </c>
      <c r="M28" s="25" t="n">
        <f aca="false">SUM(M13:M27)</f>
        <v>4.00261821241581</v>
      </c>
      <c r="N28" s="25" t="n">
        <f aca="false">SUM(N13:N27)</f>
        <v>0.413081594875653</v>
      </c>
      <c r="O28" s="25" t="n">
        <f aca="false">SUM(O13:O27)</f>
        <v>0.697965453410587</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0.186995546413275</v>
      </c>
      <c r="F29" s="26" t="n">
        <f aca="false">IF($B$28&gt;0,F28/$B$28,0)</f>
        <v>0.261495442014109</v>
      </c>
      <c r="G29" s="26" t="n">
        <f aca="false">IF($B$28&gt;0,G28/$B$28,0)</f>
        <v>0.605437404773997</v>
      </c>
      <c r="H29" s="26" t="n">
        <f aca="false">IF($B$28&gt;0,H28/$B$28,0)</f>
        <v>0.151180802437786</v>
      </c>
      <c r="I29" s="26" t="n">
        <f aca="false">IF($B$28&gt;0,I28/$B$28,0)</f>
        <v>0.0716908963941087</v>
      </c>
      <c r="J29" s="26" t="n">
        <f aca="false">IF($B$28&gt;0,J28/$B$28,0)</f>
        <v>0.0716908963941087</v>
      </c>
      <c r="K29" s="26" t="n">
        <f aca="false">IF($B$28&gt;0,K28/$B$28,0)</f>
        <v>0.0678043230944255</v>
      </c>
      <c r="L29" s="26" t="n">
        <f aca="false">IF($B$28&gt;0,L28/$B$28,0)</f>
        <v>0.018581721653394</v>
      </c>
      <c r="M29" s="26" t="n">
        <f aca="false">IF($B$28&gt;0,M28/$B$28,0)</f>
        <v>0.0106560485400076</v>
      </c>
      <c r="N29" s="26" t="n">
        <f aca="false">IF($B$28&gt;0,N28/$B$28,0)</f>
        <v>0.00109973454683352</v>
      </c>
      <c r="O29" s="26" t="n">
        <f aca="false">IF($B$28&gt;0,O28/$B$28,0)</f>
        <v>0.0018581721653394</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Data!$H$37*Data!$M$37/SUM(Data!$H$37:$K$37)</f>
        <v>53.8622448979592</v>
      </c>
      <c r="C34" s="22" t="n">
        <f aca="false">IF($B$38&gt;0,B34/$B$38,0)</f>
        <v>0.11734693877551</v>
      </c>
      <c r="D34" s="21" t="n">
        <f aca="false">C28</f>
        <v>90.6115278975621</v>
      </c>
      <c r="E34" s="22" t="n">
        <f aca="false">IF($D$38&gt;0,D34/$D$38,0)</f>
        <v>0.241232310532536</v>
      </c>
      <c r="F34" s="21" t="n">
        <f aca="false">B34+D34</f>
        <v>144.473772795521</v>
      </c>
      <c r="G34" s="22" t="n">
        <f aca="false">IF($F$38&gt;0,F34/$F$38,0)</f>
        <v>0.173101390196623</v>
      </c>
    </row>
    <row r="35" customFormat="false" ht="15" hidden="false" customHeight="true" outlineLevel="0" collapsed="false">
      <c r="A35" s="13" t="s">
        <v>106</v>
      </c>
      <c r="B35" s="21" t="n">
        <f aca="false">Data!$I$37*Data!$M$37/SUM(Data!$H$37:$K$37)</f>
        <v>112.408163265306</v>
      </c>
      <c r="C35" s="22" t="n">
        <f aca="false">IF($B$38&gt;0,B35/$B$38,0)</f>
        <v>0.244897959183674</v>
      </c>
      <c r="D35" s="21" t="n">
        <f aca="false">D28</f>
        <v>116.545938187932</v>
      </c>
      <c r="E35" s="22" t="n">
        <f aca="false">IF($D$38&gt;0,D35/$D$38,0)</f>
        <v>0.310276701040081</v>
      </c>
      <c r="F35" s="21" t="n">
        <f aca="false">B35+D35</f>
        <v>228.954101453238</v>
      </c>
      <c r="G35" s="22" t="n">
        <f aca="false">IF($F$38&gt;0,F35/$F$38,0)</f>
        <v>0.274321577445527</v>
      </c>
    </row>
    <row r="36" customFormat="false" ht="15" hidden="false" customHeight="true" outlineLevel="0" collapsed="false">
      <c r="A36" s="13" t="s">
        <v>107</v>
      </c>
      <c r="B36" s="21" t="n">
        <f aca="false">Data!$J$37*Data!$M$37/SUM(Data!$H$37:$K$37)</f>
        <v>207.252551020408</v>
      </c>
      <c r="C36" s="22" t="n">
        <f aca="false">IF($B$38&gt;0,B36/$B$38,0)</f>
        <v>0.451530612244898</v>
      </c>
      <c r="D36" s="21" t="n">
        <f aca="false">E28</f>
        <v>70.2391488650154</v>
      </c>
      <c r="E36" s="22" t="n">
        <f aca="false">IF($D$38&gt;0,D36/$D$38,0)</f>
        <v>0.186995546413275</v>
      </c>
      <c r="F36" s="21" t="n">
        <f aca="false">B36+D36</f>
        <v>277.491699885424</v>
      </c>
      <c r="G36" s="22" t="n">
        <f aca="false">IF($F$38&gt;0,F36/$F$38,0)</f>
        <v>0.332476947813741</v>
      </c>
    </row>
    <row r="37" customFormat="false" ht="15" hidden="false" customHeight="true" outlineLevel="0" collapsed="false">
      <c r="A37" s="13" t="s">
        <v>108</v>
      </c>
      <c r="B37" s="21" t="n">
        <f aca="false">Data!$K$37*Data!$M$37/SUM(Data!$H$37:$K$37)</f>
        <v>85.4770408163265</v>
      </c>
      <c r="C37" s="22" t="n">
        <f aca="false">IF($B$38&gt;0,B37/$B$38,0)</f>
        <v>0.186224489795918</v>
      </c>
      <c r="D37" s="21" t="n">
        <f aca="false">F28</f>
        <v>98.2227525278004</v>
      </c>
      <c r="E37" s="22" t="n">
        <f aca="false">IF($D$38&gt;0,D37/$D$38,0)</f>
        <v>0.261495442014109</v>
      </c>
      <c r="F37" s="21" t="n">
        <f aca="false">B37+D37</f>
        <v>183.699793344127</v>
      </c>
      <c r="G37" s="22" t="n">
        <f aca="false">IF($F$38&gt;0,F37/$F$38,0)</f>
        <v>0.220100084544109</v>
      </c>
    </row>
    <row r="38" customFormat="false" ht="15" hidden="false" customHeight="true" outlineLevel="0" collapsed="false">
      <c r="A38" s="24" t="s">
        <v>61</v>
      </c>
      <c r="B38" s="25" t="n">
        <f aca="false">SUM(B34:B37)</f>
        <v>459</v>
      </c>
      <c r="C38" s="27" t="n">
        <f aca="false">SUM(C34:C37)</f>
        <v>1</v>
      </c>
      <c r="D38" s="25" t="n">
        <f aca="false">SUM(D34:D37)</f>
        <v>375.61936747831</v>
      </c>
      <c r="E38" s="27" t="n">
        <f aca="false">SUM(E34:E37)</f>
        <v>1</v>
      </c>
      <c r="F38" s="25" t="n">
        <f aca="false">SUM(F34:F37)</f>
        <v>834.61936747831</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BE6D8"/>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185</v>
      </c>
    </row>
    <row r="2" customFormat="false" ht="15" hidden="false" customHeight="true" outlineLevel="0" collapsed="false">
      <c r="A2" s="3" t="str">
        <f aca="false">Model!$B$61&amp;" · new homes per year, 2026–"&amp;Model!$B$3&amp;" · set by the levers on the Intro tab"</f>
        <v>Village · new homes per year, 2026–2040 · set by the levers on the Intro tab</v>
      </c>
    </row>
    <row r="4" customFormat="false" ht="15" hidden="false" customHeight="true" outlineLevel="0" collapsed="false">
      <c r="A4" s="13" t="s">
        <v>332</v>
      </c>
      <c r="C4" s="67" t="n">
        <f aca="false">Model!$D$61</f>
        <v>0.0093292284728053</v>
      </c>
    </row>
    <row r="5" customFormat="false" ht="15" hidden="false" customHeight="true" outlineLevel="0" collapsed="false">
      <c r="A5" s="13" t="s">
        <v>53</v>
      </c>
      <c r="C5" s="14" t="n">
        <f aca="false">Model!$E$61</f>
        <v>371.90036383991</v>
      </c>
    </row>
    <row r="6" customFormat="false" ht="15" hidden="false" customHeight="true" outlineLevel="0" collapsed="false">
      <c r="A6" s="13" t="s">
        <v>99</v>
      </c>
      <c r="C6" s="15" t="n">
        <f aca="false">Model!$Q$61</f>
        <v>0.1</v>
      </c>
    </row>
    <row r="7" customFormat="false" ht="15" hidden="false" customHeight="true" outlineLevel="0" collapsed="false">
      <c r="A7" s="13" t="s">
        <v>100</v>
      </c>
      <c r="C7" s="15" t="n">
        <f aca="false">Model!$G$61</f>
        <v>0.11398</v>
      </c>
    </row>
    <row r="8" customFormat="false" ht="15" hidden="false" customHeight="true" outlineLevel="0" collapsed="false">
      <c r="A8" s="13" t="s">
        <v>101</v>
      </c>
      <c r="C8" s="15" t="n">
        <f aca="false">Model!$R$61</f>
        <v>0.107848186277293</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IF($A13&lt;=Model!$B$3,Data!$B$4*Model!$D$61,0)</f>
        <v>39.770500979569</v>
      </c>
      <c r="C13" s="21" t="n">
        <f aca="false">$B13*IF(Model!$B$5=1,Data!$D$4,Model!$AC$61)</f>
        <v>10.2877257458876</v>
      </c>
      <c r="D13" s="21" t="n">
        <f aca="false">$B13*IF(Model!$B$5=1,Data!$E$4,Model!$AD$61)</f>
        <v>12.5915047660455</v>
      </c>
      <c r="E13" s="21" t="n">
        <f aca="false">$B13*IF(Model!$B$5=1,Data!$F$4,Model!$AE$61)</f>
        <v>7.35903500771107</v>
      </c>
      <c r="F13" s="21" t="n">
        <f aca="false">$B13*IF(Model!$B$5=1,Data!$G$4,Model!$AF$61)</f>
        <v>9.53223545992482</v>
      </c>
      <c r="G13" s="21" t="n">
        <f aca="false">$B13*Model!$S$61</f>
        <v>24.078548899632</v>
      </c>
      <c r="H13" s="21" t="n">
        <f aca="false">$B13*Model!$T$61</f>
        <v>6.01253625144398</v>
      </c>
      <c r="I13" s="21" t="n">
        <f aca="false">$B13*Model!$U$61</f>
        <v>2.85118286526808</v>
      </c>
      <c r="J13" s="21" t="n">
        <f aca="false">$B13*Model!$V$61</f>
        <v>2.85118286526808</v>
      </c>
      <c r="K13" s="21" t="n">
        <f aca="false">$B13*Model!$W$61</f>
        <v>2.69661189804586</v>
      </c>
      <c r="L13" s="21" t="n">
        <f aca="false">$B13*Model!$X$61</f>
        <v>0.739004379218385</v>
      </c>
      <c r="M13" s="21" t="n">
        <f aca="false">$B13*Model!$Y$61</f>
        <v>0.423796388898706</v>
      </c>
      <c r="N13" s="21" t="n">
        <f aca="false">$B13*Model!$Z$61</f>
        <v>0.0437369938721085</v>
      </c>
      <c r="O13" s="21" t="n">
        <f aca="false">$B13*Model!$AA$61</f>
        <v>0.0739004379218385</v>
      </c>
    </row>
    <row r="14" customFormat="false" ht="15" hidden="false" customHeight="true" outlineLevel="0" collapsed="false">
      <c r="A14" s="23" t="n">
        <v>2027</v>
      </c>
      <c r="B14" s="21" t="n">
        <f aca="false">IF($A14&lt;=Model!$B$3,Data!$B$5*Model!$D$61,0)</f>
        <v>39.770500979569</v>
      </c>
      <c r="C14" s="21" t="n">
        <f aca="false">$B14*IF(Model!$B$5=1,Data!$D$5,Model!$AC$61)</f>
        <v>9.9985874882969</v>
      </c>
      <c r="D14" s="21" t="n">
        <f aca="false">$B14*IF(Model!$B$5=1,Data!$E$5,Model!$AD$61)</f>
        <v>12.6288129283153</v>
      </c>
      <c r="E14" s="21" t="n">
        <f aca="false">$B14*IF(Model!$B$5=1,Data!$F$5,Model!$AE$61)</f>
        <v>7.34038092657619</v>
      </c>
      <c r="F14" s="21" t="n">
        <f aca="false">$B14*IF(Model!$B$5=1,Data!$G$5,Model!$AF$61)</f>
        <v>9.80271963638062</v>
      </c>
      <c r="G14" s="21" t="n">
        <f aca="false">$B14*Model!$S$61</f>
        <v>24.078548899632</v>
      </c>
      <c r="H14" s="21" t="n">
        <f aca="false">$B14*Model!$T$61</f>
        <v>6.01253625144398</v>
      </c>
      <c r="I14" s="21" t="n">
        <f aca="false">$B14*Model!$U$61</f>
        <v>2.85118286526808</v>
      </c>
      <c r="J14" s="21" t="n">
        <f aca="false">$B14*Model!$V$61</f>
        <v>2.85118286526808</v>
      </c>
      <c r="K14" s="21" t="n">
        <f aca="false">$B14*Model!$W$61</f>
        <v>2.69661189804586</v>
      </c>
      <c r="L14" s="21" t="n">
        <f aca="false">$B14*Model!$X$61</f>
        <v>0.739004379218385</v>
      </c>
      <c r="M14" s="21" t="n">
        <f aca="false">$B14*Model!$Y$61</f>
        <v>0.423796388898706</v>
      </c>
      <c r="N14" s="21" t="n">
        <f aca="false">$B14*Model!$Z$61</f>
        <v>0.0437369938721085</v>
      </c>
      <c r="O14" s="21" t="n">
        <f aca="false">$B14*Model!$AA$61</f>
        <v>0.0739004379218385</v>
      </c>
    </row>
    <row r="15" customFormat="false" ht="15" hidden="false" customHeight="true" outlineLevel="0" collapsed="false">
      <c r="A15" s="23" t="n">
        <v>2028</v>
      </c>
      <c r="B15" s="21" t="n">
        <f aca="false">IF($A15&lt;=Model!$B$3,Data!$B$6*Model!$D$61,0)</f>
        <v>39.770500979569</v>
      </c>
      <c r="C15" s="21" t="n">
        <f aca="false">$B15*IF(Model!$B$5=1,Data!$D$6,Model!$AC$61)</f>
        <v>9.96595378840444</v>
      </c>
      <c r="D15" s="21" t="n">
        <f aca="false">$B15*IF(Model!$B$5=1,Data!$E$6,Model!$AD$61)</f>
        <v>12.6347391661981</v>
      </c>
      <c r="E15" s="21" t="n">
        <f aca="false">$B15*IF(Model!$B$5=1,Data!$F$6,Model!$AE$61)</f>
        <v>7.3438254976351</v>
      </c>
      <c r="F15" s="21" t="n">
        <f aca="false">$B15*IF(Model!$B$5=1,Data!$G$6,Model!$AF$61)</f>
        <v>9.82598252733132</v>
      </c>
      <c r="G15" s="21" t="n">
        <f aca="false">$B15*Model!$S$61</f>
        <v>24.078548899632</v>
      </c>
      <c r="H15" s="21" t="n">
        <f aca="false">$B15*Model!$T$61</f>
        <v>6.01253625144398</v>
      </c>
      <c r="I15" s="21" t="n">
        <f aca="false">$B15*Model!$U$61</f>
        <v>2.85118286526808</v>
      </c>
      <c r="J15" s="21" t="n">
        <f aca="false">$B15*Model!$V$61</f>
        <v>2.85118286526808</v>
      </c>
      <c r="K15" s="21" t="n">
        <f aca="false">$B15*Model!$W$61</f>
        <v>2.69661189804586</v>
      </c>
      <c r="L15" s="21" t="n">
        <f aca="false">$B15*Model!$X$61</f>
        <v>0.739004379218385</v>
      </c>
      <c r="M15" s="21" t="n">
        <f aca="false">$B15*Model!$Y$61</f>
        <v>0.423796388898706</v>
      </c>
      <c r="N15" s="21" t="n">
        <f aca="false">$B15*Model!$Z$61</f>
        <v>0.0437369938721085</v>
      </c>
      <c r="O15" s="21" t="n">
        <f aca="false">$B15*Model!$AA$61</f>
        <v>0.0739004379218385</v>
      </c>
    </row>
    <row r="16" customFormat="false" ht="15" hidden="false" customHeight="true" outlineLevel="0" collapsed="false">
      <c r="A16" s="23" t="n">
        <v>2029</v>
      </c>
      <c r="B16" s="21" t="n">
        <f aca="false">IF($A16&lt;=Model!$B$3,Data!$B$7*Model!$D$61,0)</f>
        <v>39.770500979569</v>
      </c>
      <c r="C16" s="21" t="n">
        <f aca="false">$B16*IF(Model!$B$5=1,Data!$D$7,Model!$AC$61)</f>
        <v>9.86099449575522</v>
      </c>
      <c r="D16" s="21" t="n">
        <f aca="false">$B16*IF(Model!$B$5=1,Data!$E$7,Model!$AD$61)</f>
        <v>12.5664707528687</v>
      </c>
      <c r="E16" s="21" t="n">
        <f aca="false">$B16*IF(Model!$B$5=1,Data!$F$7,Model!$AE$61)</f>
        <v>7.29545666573376</v>
      </c>
      <c r="F16" s="21" t="n">
        <f aca="false">$B16*IF(Model!$B$5=1,Data!$G$7,Model!$AF$61)</f>
        <v>10.0475790652113</v>
      </c>
      <c r="G16" s="21" t="n">
        <f aca="false">$B16*Model!$S$61</f>
        <v>24.078548899632</v>
      </c>
      <c r="H16" s="21" t="n">
        <f aca="false">$B16*Model!$T$61</f>
        <v>6.01253625144398</v>
      </c>
      <c r="I16" s="21" t="n">
        <f aca="false">$B16*Model!$U$61</f>
        <v>2.85118286526808</v>
      </c>
      <c r="J16" s="21" t="n">
        <f aca="false">$B16*Model!$V$61</f>
        <v>2.85118286526808</v>
      </c>
      <c r="K16" s="21" t="n">
        <f aca="false">$B16*Model!$W$61</f>
        <v>2.69661189804586</v>
      </c>
      <c r="L16" s="21" t="n">
        <f aca="false">$B16*Model!$X$61</f>
        <v>0.739004379218385</v>
      </c>
      <c r="M16" s="21" t="n">
        <f aca="false">$B16*Model!$Y$61</f>
        <v>0.423796388898706</v>
      </c>
      <c r="N16" s="21" t="n">
        <f aca="false">$B16*Model!$Z$61</f>
        <v>0.0437369938721085</v>
      </c>
      <c r="O16" s="21" t="n">
        <f aca="false">$B16*Model!$AA$61</f>
        <v>0.0739004379218385</v>
      </c>
    </row>
    <row r="17" customFormat="false" ht="15" hidden="false" customHeight="true" outlineLevel="0" collapsed="false">
      <c r="A17" s="23" t="n">
        <v>2030</v>
      </c>
      <c r="B17" s="21" t="n">
        <f aca="false">IF($A17&lt;=Model!$B$3,Data!$B$8*Model!$D$61,0)</f>
        <v>39.770500979569</v>
      </c>
      <c r="C17" s="21" t="n">
        <f aca="false">$B17*IF(Model!$B$5=1,Data!$D$8,Model!$AC$61)</f>
        <v>9.84464536214107</v>
      </c>
      <c r="D17" s="21" t="n">
        <f aca="false">$B17*IF(Model!$B$5=1,Data!$E$8,Model!$AD$61)</f>
        <v>12.3827908962665</v>
      </c>
      <c r="E17" s="21" t="n">
        <f aca="false">$B17*IF(Model!$B$5=1,Data!$F$8,Model!$AE$61)</f>
        <v>7.3064998280156</v>
      </c>
      <c r="F17" s="21" t="n">
        <f aca="false">$B17*IF(Model!$B$5=1,Data!$G$8,Model!$AF$61)</f>
        <v>10.2365648931457</v>
      </c>
      <c r="G17" s="21" t="n">
        <f aca="false">$B17*Model!$S$61</f>
        <v>24.078548899632</v>
      </c>
      <c r="H17" s="21" t="n">
        <f aca="false">$B17*Model!$T$61</f>
        <v>6.01253625144398</v>
      </c>
      <c r="I17" s="21" t="n">
        <f aca="false">$B17*Model!$U$61</f>
        <v>2.85118286526808</v>
      </c>
      <c r="J17" s="21" t="n">
        <f aca="false">$B17*Model!$V$61</f>
        <v>2.85118286526808</v>
      </c>
      <c r="K17" s="21" t="n">
        <f aca="false">$B17*Model!$W$61</f>
        <v>2.69661189804586</v>
      </c>
      <c r="L17" s="21" t="n">
        <f aca="false">$B17*Model!$X$61</f>
        <v>0.739004379218385</v>
      </c>
      <c r="M17" s="21" t="n">
        <f aca="false">$B17*Model!$Y$61</f>
        <v>0.423796388898706</v>
      </c>
      <c r="N17" s="21" t="n">
        <f aca="false">$B17*Model!$Z$61</f>
        <v>0.0437369938721085</v>
      </c>
      <c r="O17" s="21" t="n">
        <f aca="false">$B17*Model!$AA$61</f>
        <v>0.0739004379218385</v>
      </c>
    </row>
    <row r="18" customFormat="false" ht="15" hidden="false" customHeight="true" outlineLevel="0" collapsed="false">
      <c r="A18" s="23" t="n">
        <v>2031</v>
      </c>
      <c r="B18" s="21" t="n">
        <f aca="false">IF($A18&lt;=Model!$B$3,Data!$B$9*Model!$D$61,0)</f>
        <v>20.2257673290419</v>
      </c>
      <c r="C18" s="21" t="n">
        <f aca="false">$B18*IF(Model!$B$5=1,Data!$D$9,Model!$AC$61)</f>
        <v>4.67394346487546</v>
      </c>
      <c r="D18" s="21" t="n">
        <f aca="false">$B18*IF(Model!$B$5=1,Data!$E$9,Model!$AD$61)</f>
        <v>6.1479615635787</v>
      </c>
      <c r="E18" s="21" t="n">
        <f aca="false">$B18*IF(Model!$B$5=1,Data!$F$9,Model!$AE$61)</f>
        <v>3.84364213079579</v>
      </c>
      <c r="F18" s="21" t="n">
        <f aca="false">$B18*IF(Model!$B$5=1,Data!$G$9,Model!$AF$61)</f>
        <v>5.56022016979196</v>
      </c>
      <c r="G18" s="21" t="n">
        <f aca="false">$B18*Model!$S$61</f>
        <v>12.2454360812578</v>
      </c>
      <c r="H18" s="21" t="n">
        <f aca="false">$B18*Model!$T$61</f>
        <v>3.0577477347245</v>
      </c>
      <c r="I18" s="21" t="n">
        <f aca="false">$B18*Model!$U$61</f>
        <v>1.45000339007769</v>
      </c>
      <c r="J18" s="21" t="n">
        <f aca="false">$B18*Model!$V$61</f>
        <v>1.45000339007769</v>
      </c>
      <c r="K18" s="21" t="n">
        <f aca="false">$B18*Model!$W$61</f>
        <v>1.37139446281103</v>
      </c>
      <c r="L18" s="21" t="n">
        <f aca="false">$B18*Model!$X$61</f>
        <v>0.375829578734567</v>
      </c>
      <c r="M18" s="21" t="n">
        <f aca="false">$B18*Model!$Y$61</f>
        <v>0.21552675841717</v>
      </c>
      <c r="N18" s="21" t="n">
        <f aca="false">$B18*Model!$Z$61</f>
        <v>0.0222429750679642</v>
      </c>
      <c r="O18" s="21" t="n">
        <f aca="false">$B18*Model!$AA$61</f>
        <v>0.0375829578734567</v>
      </c>
    </row>
    <row r="19" customFormat="false" ht="15" hidden="false" customHeight="true" outlineLevel="0" collapsed="false">
      <c r="A19" s="23" t="n">
        <v>2032</v>
      </c>
      <c r="B19" s="21" t="n">
        <f aca="false">IF($A19&lt;=Model!$B$3,Data!$B$10*Model!$D$61,0)</f>
        <v>20.2257673290419</v>
      </c>
      <c r="C19" s="21" t="n">
        <f aca="false">$B19*IF(Model!$B$5=1,Data!$D$10,Model!$AC$61)</f>
        <v>4.49668812389217</v>
      </c>
      <c r="D19" s="21" t="n">
        <f aca="false">$B19*IF(Model!$B$5=1,Data!$E$10,Model!$AD$61)</f>
        <v>6.02668159343222</v>
      </c>
      <c r="E19" s="21" t="n">
        <f aca="false">$B19*IF(Model!$B$5=1,Data!$F$10,Model!$AE$61)</f>
        <v>3.90894673010543</v>
      </c>
      <c r="F19" s="21" t="n">
        <f aca="false">$B19*IF(Model!$B$5=1,Data!$G$10,Model!$AF$61)</f>
        <v>5.79345088161209</v>
      </c>
      <c r="G19" s="21" t="n">
        <f aca="false">$B19*Model!$S$61</f>
        <v>12.2454360812578</v>
      </c>
      <c r="H19" s="21" t="n">
        <f aca="false">$B19*Model!$T$61</f>
        <v>3.0577477347245</v>
      </c>
      <c r="I19" s="21" t="n">
        <f aca="false">$B19*Model!$U$61</f>
        <v>1.45000339007769</v>
      </c>
      <c r="J19" s="21" t="n">
        <f aca="false">$B19*Model!$V$61</f>
        <v>1.45000339007769</v>
      </c>
      <c r="K19" s="21" t="n">
        <f aca="false">$B19*Model!$W$61</f>
        <v>1.37139446281103</v>
      </c>
      <c r="L19" s="21" t="n">
        <f aca="false">$B19*Model!$X$61</f>
        <v>0.375829578734567</v>
      </c>
      <c r="M19" s="21" t="n">
        <f aca="false">$B19*Model!$Y$61</f>
        <v>0.21552675841717</v>
      </c>
      <c r="N19" s="21" t="n">
        <f aca="false">$B19*Model!$Z$61</f>
        <v>0.0222429750679642</v>
      </c>
      <c r="O19" s="21" t="n">
        <f aca="false">$B19*Model!$AA$61</f>
        <v>0.0375829578734567</v>
      </c>
    </row>
    <row r="20" customFormat="false" ht="15" hidden="false" customHeight="true" outlineLevel="0" collapsed="false">
      <c r="A20" s="23" t="n">
        <v>2033</v>
      </c>
      <c r="B20" s="21" t="n">
        <f aca="false">IF($A20&lt;=Model!$B$3,Data!$B$11*Model!$D$61,0)</f>
        <v>20.2257673290419</v>
      </c>
      <c r="C20" s="21" t="n">
        <f aca="false">$B20*IF(Model!$B$5=1,Data!$D$11,Model!$AC$61)</f>
        <v>4.46142906473559</v>
      </c>
      <c r="D20" s="21" t="n">
        <f aca="false">$B20*IF(Model!$B$5=1,Data!$E$11,Model!$AD$61)</f>
        <v>6.04812977813527</v>
      </c>
      <c r="E20" s="21" t="n">
        <f aca="false">$B20*IF(Model!$B$5=1,Data!$F$11,Model!$AE$61)</f>
        <v>3.91075058184981</v>
      </c>
      <c r="F20" s="21" t="n">
        <f aca="false">$B20*IF(Model!$B$5=1,Data!$G$11,Model!$AF$61)</f>
        <v>5.80545790432122</v>
      </c>
      <c r="G20" s="21" t="n">
        <f aca="false">$B20*Model!$S$61</f>
        <v>12.2454360812578</v>
      </c>
      <c r="H20" s="21" t="n">
        <f aca="false">$B20*Model!$T$61</f>
        <v>3.0577477347245</v>
      </c>
      <c r="I20" s="21" t="n">
        <f aca="false">$B20*Model!$U$61</f>
        <v>1.45000339007769</v>
      </c>
      <c r="J20" s="21" t="n">
        <f aca="false">$B20*Model!$V$61</f>
        <v>1.45000339007769</v>
      </c>
      <c r="K20" s="21" t="n">
        <f aca="false">$B20*Model!$W$61</f>
        <v>1.37139446281103</v>
      </c>
      <c r="L20" s="21" t="n">
        <f aca="false">$B20*Model!$X$61</f>
        <v>0.375829578734567</v>
      </c>
      <c r="M20" s="21" t="n">
        <f aca="false">$B20*Model!$Y$61</f>
        <v>0.21552675841717</v>
      </c>
      <c r="N20" s="21" t="n">
        <f aca="false">$B20*Model!$Z$61</f>
        <v>0.0222429750679642</v>
      </c>
      <c r="O20" s="21" t="n">
        <f aca="false">$B20*Model!$AA$61</f>
        <v>0.0375829578734567</v>
      </c>
    </row>
    <row r="21" customFormat="false" ht="15" hidden="false" customHeight="true" outlineLevel="0" collapsed="false">
      <c r="A21" s="23" t="n">
        <v>2034</v>
      </c>
      <c r="B21" s="21" t="n">
        <f aca="false">IF($A21&lt;=Model!$B$3,Data!$B$12*Model!$D$61,0)</f>
        <v>20.2257673290419</v>
      </c>
      <c r="C21" s="21" t="n">
        <f aca="false">$B21*IF(Model!$B$5=1,Data!$D$12,Model!$AC$61)</f>
        <v>4.42205429610972</v>
      </c>
      <c r="D21" s="21" t="n">
        <f aca="false">$B21*IF(Model!$B$5=1,Data!$E$12,Model!$AD$61)</f>
        <v>6.06399850732345</v>
      </c>
      <c r="E21" s="21" t="n">
        <f aca="false">$B21*IF(Model!$B$5=1,Data!$F$12,Model!$AE$61)</f>
        <v>3.90894673010543</v>
      </c>
      <c r="F21" s="21" t="n">
        <f aca="false">$B21*IF(Model!$B$5=1,Data!$G$12,Model!$AF$61)</f>
        <v>5.8307677955033</v>
      </c>
      <c r="G21" s="21" t="n">
        <f aca="false">$B21*Model!$S$61</f>
        <v>12.2454360812578</v>
      </c>
      <c r="H21" s="21" t="n">
        <f aca="false">$B21*Model!$T$61</f>
        <v>3.0577477347245</v>
      </c>
      <c r="I21" s="21" t="n">
        <f aca="false">$B21*Model!$U$61</f>
        <v>1.45000339007769</v>
      </c>
      <c r="J21" s="21" t="n">
        <f aca="false">$B21*Model!$V$61</f>
        <v>1.45000339007769</v>
      </c>
      <c r="K21" s="21" t="n">
        <f aca="false">$B21*Model!$W$61</f>
        <v>1.37139446281103</v>
      </c>
      <c r="L21" s="21" t="n">
        <f aca="false">$B21*Model!$X$61</f>
        <v>0.375829578734567</v>
      </c>
      <c r="M21" s="21" t="n">
        <f aca="false">$B21*Model!$Y$61</f>
        <v>0.21552675841717</v>
      </c>
      <c r="N21" s="21" t="n">
        <f aca="false">$B21*Model!$Z$61</f>
        <v>0.0222429750679642</v>
      </c>
      <c r="O21" s="21" t="n">
        <f aca="false">$B21*Model!$AA$61</f>
        <v>0.0375829578734567</v>
      </c>
    </row>
    <row r="22" customFormat="false" ht="15" hidden="false" customHeight="true" outlineLevel="0" collapsed="false">
      <c r="A22" s="23" t="n">
        <v>2035</v>
      </c>
      <c r="B22" s="21" t="n">
        <f aca="false">IF($A22&lt;=Model!$B$3,Data!$B$13*Model!$D$61,0)</f>
        <v>19.5447336505271</v>
      </c>
      <c r="C22" s="21" t="n">
        <f aca="false">$B22*IF(Model!$B$5=1,Data!$D$13,Model!$AC$61)</f>
        <v>4.18882358428957</v>
      </c>
      <c r="D22" s="21" t="n">
        <f aca="false">$B22*IF(Model!$B$5=1,Data!$E$13,Model!$AD$61)</f>
        <v>5.77479242466647</v>
      </c>
      <c r="E22" s="21" t="n">
        <f aca="false">$B22*IF(Model!$B$5=1,Data!$F$13,Model!$AE$61)</f>
        <v>3.75034984606772</v>
      </c>
      <c r="F22" s="21" t="n">
        <f aca="false">$B22*IF(Model!$B$5=1,Data!$G$13,Model!$AF$61)</f>
        <v>5.83076779550331</v>
      </c>
      <c r="G22" s="21" t="n">
        <f aca="false">$B22*Model!$S$61</f>
        <v>11.8331128183741</v>
      </c>
      <c r="H22" s="21" t="n">
        <f aca="false">$B22*Model!$T$61</f>
        <v>2.95478851671948</v>
      </c>
      <c r="I22" s="21" t="n">
        <f aca="false">$B22*Model!$U$61</f>
        <v>1.40117947519039</v>
      </c>
      <c r="J22" s="21" t="n">
        <f aca="false">$B22*Model!$V$61</f>
        <v>1.40117947519039</v>
      </c>
      <c r="K22" s="21" t="n">
        <f aca="false">$B22*Model!$W$61</f>
        <v>1.32521743523483</v>
      </c>
      <c r="L22" s="21" t="n">
        <f aca="false">$B22*Model!$X$61</f>
        <v>0.363174800483818</v>
      </c>
      <c r="M22" s="21" t="n">
        <f aca="false">$B22*Model!$Y$61</f>
        <v>0.208269630481536</v>
      </c>
      <c r="N22" s="21" t="n">
        <f aca="false">$B22*Model!$Z$61</f>
        <v>0.0214940188041443</v>
      </c>
      <c r="O22" s="21" t="n">
        <f aca="false">$B22*Model!$AA$61</f>
        <v>0.0363174800483818</v>
      </c>
    </row>
    <row r="23" customFormat="false" ht="15" hidden="false" customHeight="true" outlineLevel="0" collapsed="false">
      <c r="A23" s="23" t="n">
        <v>2036</v>
      </c>
      <c r="B23" s="21" t="n">
        <f aca="false">IF($A23&lt;=Model!$B$3,Data!$B$14*Model!$D$61,0)</f>
        <v>14.805485586342</v>
      </c>
      <c r="C23" s="21" t="n">
        <f aca="false">$B23*IF(Model!$B$5=1,Data!$D$14,Model!$AC$61)</f>
        <v>3.57157360907393</v>
      </c>
      <c r="D23" s="21" t="n">
        <f aca="false">$B23*IF(Model!$B$5=1,Data!$E$14,Model!$AD$61)</f>
        <v>4.5938032956095</v>
      </c>
      <c r="E23" s="21" t="n">
        <f aca="false">$B23*IF(Model!$B$5=1,Data!$F$14,Model!$AE$61)</f>
        <v>2.76855796366902</v>
      </c>
      <c r="F23" s="21" t="n">
        <f aca="false">$B23*IF(Model!$B$5=1,Data!$G$14,Model!$AF$61)</f>
        <v>3.87155071798956</v>
      </c>
      <c r="G23" s="21" t="n">
        <f aca="false">$B23*Model!$S$61</f>
        <v>8.96379476981373</v>
      </c>
      <c r="H23" s="21" t="n">
        <f aca="false">$B23*Model!$T$61</f>
        <v>2.23830519142425</v>
      </c>
      <c r="I23" s="21" t="n">
        <f aca="false">$B23*Model!$U$61</f>
        <v>1.06141853323491</v>
      </c>
      <c r="J23" s="21" t="n">
        <f aca="false">$B23*Model!$V$61</f>
        <v>1.06141853323491</v>
      </c>
      <c r="K23" s="21" t="n">
        <f aca="false">$B23*Model!$W$61</f>
        <v>1.00387592826619</v>
      </c>
      <c r="L23" s="21" t="n">
        <f aca="false">$B23*Model!$X$61</f>
        <v>0.275111412108744</v>
      </c>
      <c r="M23" s="21" t="n">
        <f aca="false">$B23*Model!$Y$61</f>
        <v>0.157767973066443</v>
      </c>
      <c r="N23" s="21" t="n">
        <f aca="false">$B23*Model!$Z$61</f>
        <v>0.0162821039819461</v>
      </c>
      <c r="O23" s="21" t="n">
        <f aca="false">$B23*Model!$AA$61</f>
        <v>0.0275111412108744</v>
      </c>
    </row>
    <row r="24" customFormat="false" ht="15" hidden="false" customHeight="true" outlineLevel="0" collapsed="false">
      <c r="A24" s="23" t="n">
        <v>2037</v>
      </c>
      <c r="B24" s="21" t="n">
        <f aca="false">IF($A24&lt;=Model!$B$3,Data!$B$15*Model!$D$61,0)</f>
        <v>14.6842056161955</v>
      </c>
      <c r="C24" s="21" t="n">
        <f aca="false">$B24*IF(Model!$B$5=1,Data!$D$15,Model!$AC$61)</f>
        <v>3.54231686243375</v>
      </c>
      <c r="D24" s="21" t="n">
        <f aca="false">$B24*IF(Model!$B$5=1,Data!$E$15,Model!$AD$61)</f>
        <v>4.5561728968427</v>
      </c>
      <c r="E24" s="21" t="n">
        <f aca="false">$B24*IF(Model!$B$5=1,Data!$F$15,Model!$AE$61)</f>
        <v>2.74587916497482</v>
      </c>
      <c r="F24" s="21" t="n">
        <f aca="false">$B24*IF(Model!$B$5=1,Data!$G$15,Model!$AF$61)</f>
        <v>3.83983669194429</v>
      </c>
      <c r="G24" s="21" t="n">
        <f aca="false">$B24*Model!$S$61</f>
        <v>8.89036733943718</v>
      </c>
      <c r="H24" s="21" t="n">
        <f aca="false">$B24*Model!$T$61</f>
        <v>2.21996998821788</v>
      </c>
      <c r="I24" s="21" t="n">
        <f aca="false">$B24*Model!$U$61</f>
        <v>1.05272386346046</v>
      </c>
      <c r="J24" s="21" t="n">
        <f aca="false">$B24*Model!$V$61</f>
        <v>1.05272386346046</v>
      </c>
      <c r="K24" s="21" t="n">
        <f aca="false">$B24*Model!$W$61</f>
        <v>0.9956526219855</v>
      </c>
      <c r="L24" s="21" t="n">
        <f aca="false">$B24*Model!$X$61</f>
        <v>0.272857821461351</v>
      </c>
      <c r="M24" s="21" t="n">
        <f aca="false">$B24*Model!$Y$61</f>
        <v>0.156475607817632</v>
      </c>
      <c r="N24" s="21" t="n">
        <f aca="false">$B24*Model!$Z$61</f>
        <v>0.0161487282089371</v>
      </c>
      <c r="O24" s="21" t="n">
        <f aca="false">$B24*Model!$AA$61</f>
        <v>0.0272857821461351</v>
      </c>
    </row>
    <row r="25" customFormat="false" ht="15" hidden="false" customHeight="true" outlineLevel="0" collapsed="false">
      <c r="A25" s="23" t="n">
        <v>2038</v>
      </c>
      <c r="B25" s="21" t="n">
        <f aca="false">IF($A25&lt;=Model!$B$3,Data!$B$16*Model!$D$61,0)</f>
        <v>14.5069502752122</v>
      </c>
      <c r="C25" s="21" t="n">
        <f aca="false">$B25*IF(Model!$B$5=1,Data!$D$16,Model!$AC$61)</f>
        <v>3.49955700195966</v>
      </c>
      <c r="D25" s="21" t="n">
        <f aca="false">$B25*IF(Model!$B$5=1,Data!$E$16,Model!$AD$61)</f>
        <v>4.50117462172198</v>
      </c>
      <c r="E25" s="21" t="n">
        <f aca="false">$B25*IF(Model!$B$5=1,Data!$F$16,Model!$AE$61)</f>
        <v>2.71273322842175</v>
      </c>
      <c r="F25" s="21" t="n">
        <f aca="false">$B25*IF(Model!$B$5=1,Data!$G$16,Model!$AF$61)</f>
        <v>3.79348542310886</v>
      </c>
      <c r="G25" s="21" t="n">
        <f aca="false">$B25*Model!$S$61</f>
        <v>8.78305032580992</v>
      </c>
      <c r="H25" s="21" t="n">
        <f aca="false">$B25*Model!$T$61</f>
        <v>2.19317238353164</v>
      </c>
      <c r="I25" s="21" t="n">
        <f aca="false">$B25*Model!$U$61</f>
        <v>1.04001626917473</v>
      </c>
      <c r="J25" s="21" t="n">
        <f aca="false">$B25*Model!$V$61</f>
        <v>1.04001626917473</v>
      </c>
      <c r="K25" s="21" t="n">
        <f aca="false">$B25*Model!$W$61</f>
        <v>0.983633943575255</v>
      </c>
      <c r="L25" s="21" t="n">
        <f aca="false">$B25*Model!$X$61</f>
        <v>0.269564112053621</v>
      </c>
      <c r="M25" s="21" t="n">
        <f aca="false">$B25*Model!$Y$61</f>
        <v>0.154586766300138</v>
      </c>
      <c r="N25" s="21" t="n">
        <f aca="false">$B25*Model!$Z$61</f>
        <v>0.015953794386847</v>
      </c>
      <c r="O25" s="21" t="n">
        <f aca="false">$B25*Model!$AA$61</f>
        <v>0.0269564112053621</v>
      </c>
    </row>
    <row r="26" customFormat="false" ht="15" hidden="false" customHeight="true" outlineLevel="0" collapsed="false">
      <c r="A26" s="23" t="n">
        <v>2039</v>
      </c>
      <c r="B26" s="21" t="n">
        <f aca="false">IF($A26&lt;=Model!$B$3,Data!$B$17*Model!$D$61,0)</f>
        <v>14.376341076593</v>
      </c>
      <c r="C26" s="21" t="n">
        <f aca="false">$B26*IF(Model!$B$5=1,Data!$D$17,Model!$AC$61)</f>
        <v>3.46804973634715</v>
      </c>
      <c r="D26" s="21" t="n">
        <f aca="false">$B26*IF(Model!$B$5=1,Data!$E$17,Model!$AD$61)</f>
        <v>4.46064957689617</v>
      </c>
      <c r="E26" s="21" t="n">
        <f aca="false">$B26*IF(Model!$B$5=1,Data!$F$17,Model!$AE$61)</f>
        <v>2.68830990675108</v>
      </c>
      <c r="F26" s="21" t="n">
        <f aca="false">$B26*IF(Model!$B$5=1,Data!$G$17,Model!$AF$61)</f>
        <v>3.75933185659857</v>
      </c>
      <c r="G26" s="21" t="n">
        <f aca="false">$B26*Model!$S$61</f>
        <v>8.70397463155826</v>
      </c>
      <c r="H26" s="21" t="n">
        <f aca="false">$B26*Model!$T$61</f>
        <v>2.17342678007862</v>
      </c>
      <c r="I26" s="21" t="n">
        <f aca="false">$B26*Model!$U$61</f>
        <v>1.0306527786484</v>
      </c>
      <c r="J26" s="21" t="n">
        <f aca="false">$B26*Model!$V$61</f>
        <v>1.0306527786484</v>
      </c>
      <c r="K26" s="21" t="n">
        <f aca="false">$B26*Model!$W$61</f>
        <v>0.97477807527297</v>
      </c>
      <c r="L26" s="21" t="n">
        <f aca="false">$B26*Model!$X$61</f>
        <v>0.267137168279505</v>
      </c>
      <c r="M26" s="21" t="n">
        <f aca="false">$B26*Model!$Y$61</f>
        <v>0.15319498833988</v>
      </c>
      <c r="N26" s="21" t="n">
        <f aca="false">$B26*Model!$Z$61</f>
        <v>0.0158101589389911</v>
      </c>
      <c r="O26" s="21" t="n">
        <f aca="false">$B26*Model!$AA$61</f>
        <v>0.0267137168279505</v>
      </c>
    </row>
    <row r="27" customFormat="false" ht="15" hidden="false" customHeight="true" outlineLevel="0" collapsed="false">
      <c r="A27" s="23" t="n">
        <v>2040</v>
      </c>
      <c r="B27" s="21" t="n">
        <f aca="false">IF($A27&lt;=Model!$B$3,Data!$B$18*Model!$D$61,0)</f>
        <v>14.2270734210281</v>
      </c>
      <c r="C27" s="21" t="n">
        <f aca="false">$B27*IF(Model!$B$5=1,Data!$D$18,Model!$AC$61)</f>
        <v>3.43204143279001</v>
      </c>
      <c r="D27" s="21" t="n">
        <f aca="false">$B27*IF(Model!$B$5=1,Data!$E$18,Model!$AD$61)</f>
        <v>4.41433523995242</v>
      </c>
      <c r="E27" s="21" t="n">
        <f aca="false">$B27*IF(Model!$B$5=1,Data!$F$18,Model!$AE$61)</f>
        <v>2.66039753912744</v>
      </c>
      <c r="F27" s="21" t="n">
        <f aca="false">$B27*IF(Model!$B$5=1,Data!$G$18,Model!$AF$61)</f>
        <v>3.72029920915821</v>
      </c>
      <c r="G27" s="21" t="n">
        <f aca="false">$B27*Model!$S$61</f>
        <v>8.61360240955635</v>
      </c>
      <c r="H27" s="21" t="n">
        <f aca="false">$B27*Model!$T$61</f>
        <v>2.15086037613232</v>
      </c>
      <c r="I27" s="21" t="n">
        <f aca="false">$B27*Model!$U$61</f>
        <v>1.0199516466183</v>
      </c>
      <c r="J27" s="21" t="n">
        <f aca="false">$B27*Model!$V$61</f>
        <v>1.0199516466183</v>
      </c>
      <c r="K27" s="21" t="n">
        <f aca="false">$B27*Model!$W$61</f>
        <v>0.964657082927501</v>
      </c>
      <c r="L27" s="21" t="n">
        <f aca="false">$B27*Model!$X$61</f>
        <v>0.264363518251944</v>
      </c>
      <c r="M27" s="21" t="n">
        <f aca="false">$B27*Model!$Y$61</f>
        <v>0.151604384956727</v>
      </c>
      <c r="N27" s="21" t="n">
        <f aca="false">$B27*Model!$Z$61</f>
        <v>0.0156460041414416</v>
      </c>
      <c r="O27" s="21" t="n">
        <f aca="false">$B27*Model!$AA$61</f>
        <v>0.0264363518251944</v>
      </c>
    </row>
    <row r="28" customFormat="false" ht="15" hidden="false" customHeight="true" outlineLevel="0" collapsed="false">
      <c r="A28" s="24" t="s">
        <v>118</v>
      </c>
      <c r="B28" s="25" t="n">
        <f aca="false">SUM(B13:B27)</f>
        <v>371.90036383991</v>
      </c>
      <c r="C28" s="25" t="n">
        <f aca="false">SUM(C13:C27)</f>
        <v>89.7143840569922</v>
      </c>
      <c r="D28" s="25" t="n">
        <f aca="false">SUM(D13:D27)</f>
        <v>115.392018007853</v>
      </c>
      <c r="E28" s="25" t="n">
        <f aca="false">SUM(E13:E27)</f>
        <v>69.54371174754</v>
      </c>
      <c r="F28" s="25" t="n">
        <f aca="false">SUM(F13:F27)</f>
        <v>97.2502500275251</v>
      </c>
      <c r="G28" s="25" t="n">
        <f aca="false">SUM(G13:G27)</f>
        <v>225.162391117741</v>
      </c>
      <c r="H28" s="25" t="n">
        <f aca="false">SUM(H13:H27)</f>
        <v>56.2241954322221</v>
      </c>
      <c r="I28" s="25" t="n">
        <f aca="false">SUM(I13:I27)</f>
        <v>26.6618704529783</v>
      </c>
      <c r="J28" s="25" t="n">
        <f aca="false">SUM(J13:J27)</f>
        <v>26.6618704529783</v>
      </c>
      <c r="K28" s="25" t="n">
        <f aca="false">SUM(K13:K27)</f>
        <v>25.2164524287357</v>
      </c>
      <c r="L28" s="25" t="n">
        <f aca="false">SUM(L13:L27)</f>
        <v>6.91054904366917</v>
      </c>
      <c r="M28" s="25" t="n">
        <f aca="false">SUM(M13:M27)</f>
        <v>3.96298832912457</v>
      </c>
      <c r="N28" s="25" t="n">
        <f aca="false">SUM(N13:N27)</f>
        <v>0.408991678094706</v>
      </c>
      <c r="O28" s="25" t="n">
        <f aca="false">SUM(O13:O27)</f>
        <v>0.691054904366917</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0.186995546413275</v>
      </c>
      <c r="F29" s="26" t="n">
        <f aca="false">IF($B$28&gt;0,F28/$B$28,0)</f>
        <v>0.261495442014108</v>
      </c>
      <c r="G29" s="26" t="n">
        <f aca="false">IF($B$28&gt;0,G28/$B$28,0)</f>
        <v>0.605437404773997</v>
      </c>
      <c r="H29" s="26" t="n">
        <f aca="false">IF($B$28&gt;0,H28/$B$28,0)</f>
        <v>0.151180802437786</v>
      </c>
      <c r="I29" s="26" t="n">
        <f aca="false">IF($B$28&gt;0,I28/$B$28,0)</f>
        <v>0.0716908963941087</v>
      </c>
      <c r="J29" s="26" t="n">
        <f aca="false">IF($B$28&gt;0,J28/$B$28,0)</f>
        <v>0.0716908963941087</v>
      </c>
      <c r="K29" s="26" t="n">
        <f aca="false">IF($B$28&gt;0,K28/$B$28,0)</f>
        <v>0.0678043230944255</v>
      </c>
      <c r="L29" s="26" t="n">
        <f aca="false">IF($B$28&gt;0,L28/$B$28,0)</f>
        <v>0.018581721653394</v>
      </c>
      <c r="M29" s="26" t="n">
        <f aca="false">IF($B$28&gt;0,M28/$B$28,0)</f>
        <v>0.0106560485400076</v>
      </c>
      <c r="N29" s="26" t="n">
        <f aca="false">IF($B$28&gt;0,N28/$B$28,0)</f>
        <v>0.00109973454683352</v>
      </c>
      <c r="O29" s="26" t="n">
        <f aca="false">IF($B$28&gt;0,O28/$B$28,0)</f>
        <v>0.0018581721653394</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Data!$H$38*Data!$M$38/SUM(Data!$H$38:$K$38)</f>
        <v>35.7</v>
      </c>
      <c r="C34" s="22" t="n">
        <f aca="false">IF($B$38&gt;0,B34/$B$38,0)</f>
        <v>0.075</v>
      </c>
      <c r="D34" s="21" t="n">
        <f aca="false">C28</f>
        <v>89.7143840569922</v>
      </c>
      <c r="E34" s="22" t="n">
        <f aca="false">IF($D$38&gt;0,D34/$D$38,0)</f>
        <v>0.241232310532536</v>
      </c>
      <c r="F34" s="21" t="n">
        <f aca="false">B34+D34</f>
        <v>125.414384056992</v>
      </c>
      <c r="G34" s="22" t="n">
        <f aca="false">IF($F$38&gt;0,F34/$F$38,0)</f>
        <v>0.147911699776875</v>
      </c>
    </row>
    <row r="35" customFormat="false" ht="15" hidden="false" customHeight="true" outlineLevel="0" collapsed="false">
      <c r="A35" s="13" t="s">
        <v>106</v>
      </c>
      <c r="B35" s="21" t="n">
        <f aca="false">Data!$I$38*Data!$M$38/SUM(Data!$H$38:$K$38)</f>
        <v>73.5636363636364</v>
      </c>
      <c r="C35" s="22" t="n">
        <f aca="false">IF($B$38&gt;0,B35/$B$38,0)</f>
        <v>0.154545454545455</v>
      </c>
      <c r="D35" s="21" t="n">
        <f aca="false">D28</f>
        <v>115.392018007853</v>
      </c>
      <c r="E35" s="22" t="n">
        <f aca="false">IF($D$38&gt;0,D35/$D$38,0)</f>
        <v>0.310276701040081</v>
      </c>
      <c r="F35" s="21" t="n">
        <f aca="false">B35+D35</f>
        <v>188.955654371489</v>
      </c>
      <c r="G35" s="22" t="n">
        <f aca="false">IF($F$38&gt;0,F35/$F$38,0)</f>
        <v>0.222851248129863</v>
      </c>
    </row>
    <row r="36" customFormat="false" ht="15" hidden="false" customHeight="true" outlineLevel="0" collapsed="false">
      <c r="A36" s="13" t="s">
        <v>107</v>
      </c>
      <c r="B36" s="21" t="n">
        <f aca="false">Data!$J$38*Data!$M$38/SUM(Data!$H$38:$K$38)</f>
        <v>177.418181818182</v>
      </c>
      <c r="C36" s="22" t="n">
        <f aca="false">IF($B$38&gt;0,B36/$B$38,0)</f>
        <v>0.372727272727273</v>
      </c>
      <c r="D36" s="21" t="n">
        <f aca="false">E28</f>
        <v>69.54371174754</v>
      </c>
      <c r="E36" s="22" t="n">
        <f aca="false">IF($D$38&gt;0,D36/$D$38,0)</f>
        <v>0.186995546413275</v>
      </c>
      <c r="F36" s="21" t="n">
        <f aca="false">B36+D36</f>
        <v>246.961893565722</v>
      </c>
      <c r="G36" s="22" t="n">
        <f aca="false">IF($F$38&gt;0,F36/$F$38,0)</f>
        <v>0.291262870141131</v>
      </c>
    </row>
    <row r="37" customFormat="false" ht="15" hidden="false" customHeight="true" outlineLevel="0" collapsed="false">
      <c r="A37" s="13" t="s">
        <v>108</v>
      </c>
      <c r="B37" s="21" t="n">
        <f aca="false">Data!$K$38*Data!$M$38/SUM(Data!$H$38:$K$38)</f>
        <v>189.318181818182</v>
      </c>
      <c r="C37" s="22" t="n">
        <f aca="false">IF($B$38&gt;0,B37/$B$38,0)</f>
        <v>0.397727272727273</v>
      </c>
      <c r="D37" s="21" t="n">
        <f aca="false">F28</f>
        <v>97.2502500275251</v>
      </c>
      <c r="E37" s="22" t="n">
        <f aca="false">IF($D$38&gt;0,D37/$D$38,0)</f>
        <v>0.261495442014109</v>
      </c>
      <c r="F37" s="21" t="n">
        <f aca="false">B37+D37</f>
        <v>286.568431845707</v>
      </c>
      <c r="G37" s="22" t="n">
        <f aca="false">IF($F$38&gt;0,F37/$F$38,0)</f>
        <v>0.33797418195213</v>
      </c>
    </row>
    <row r="38" customFormat="false" ht="15" hidden="false" customHeight="true" outlineLevel="0" collapsed="false">
      <c r="A38" s="24" t="s">
        <v>61</v>
      </c>
      <c r="B38" s="25" t="n">
        <f aca="false">SUM(B34:B37)</f>
        <v>476</v>
      </c>
      <c r="C38" s="27" t="n">
        <f aca="false">SUM(C34:C37)</f>
        <v>1</v>
      </c>
      <c r="D38" s="25" t="n">
        <f aca="false">SUM(D34:D37)</f>
        <v>371.90036383991</v>
      </c>
      <c r="E38" s="27" t="n">
        <f aca="false">SUM(E34:E37)</f>
        <v>1</v>
      </c>
      <c r="F38" s="25" t="n">
        <f aca="false">SUM(F34:F37)</f>
        <v>847.90036383991</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BE6D8"/>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188</v>
      </c>
    </row>
    <row r="2" customFormat="false" ht="15" hidden="false" customHeight="true" outlineLevel="0" collapsed="false">
      <c r="A2" s="3" t="str">
        <f aca="false">Model!$B$62&amp;" · new homes per year, 2026–"&amp;Model!$B$3&amp;" · set by the levers on the Intro tab"</f>
        <v>Village · new homes per year, 2026–2040 · set by the levers on the Intro tab</v>
      </c>
    </row>
    <row r="4" customFormat="false" ht="15" hidden="false" customHeight="true" outlineLevel="0" collapsed="false">
      <c r="A4" s="13" t="s">
        <v>332</v>
      </c>
      <c r="C4" s="67" t="n">
        <f aca="false">Model!$D$62</f>
        <v>0.00760332120533632</v>
      </c>
    </row>
    <row r="5" customFormat="false" ht="15" hidden="false" customHeight="true" outlineLevel="0" collapsed="false">
      <c r="A5" s="13" t="s">
        <v>53</v>
      </c>
      <c r="C5" s="14" t="n">
        <f aca="false">Model!$E$62</f>
        <v>303.098796529527</v>
      </c>
    </row>
    <row r="6" customFormat="false" ht="15" hidden="false" customHeight="true" outlineLevel="0" collapsed="false">
      <c r="A6" s="13" t="s">
        <v>99</v>
      </c>
      <c r="C6" s="15" t="n">
        <f aca="false">Model!$Q$62</f>
        <v>0.1</v>
      </c>
    </row>
    <row r="7" customFormat="false" ht="15" hidden="false" customHeight="true" outlineLevel="0" collapsed="false">
      <c r="A7" s="13" t="s">
        <v>100</v>
      </c>
      <c r="C7" s="15" t="n">
        <f aca="false">Model!$G$62</f>
        <v>0.20501</v>
      </c>
    </row>
    <row r="8" customFormat="false" ht="15" hidden="false" customHeight="true" outlineLevel="0" collapsed="false">
      <c r="A8" s="13" t="s">
        <v>101</v>
      </c>
      <c r="C8" s="15" t="n">
        <f aca="false">Model!$R$62</f>
        <v>0.162802792177836</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IF($A13&lt;=Model!$B$3,Data!$B$4*Model!$D$62,0)</f>
        <v>32.4129582983487</v>
      </c>
      <c r="C13" s="21" t="n">
        <f aca="false">$B13*IF(Model!$B$5=1,Data!$D$4,Model!$AC$62)</f>
        <v>8.38449648289838</v>
      </c>
      <c r="D13" s="21" t="n">
        <f aca="false">$B13*IF(Model!$B$5=1,Data!$E$4,Model!$AD$62)</f>
        <v>10.2620763843271</v>
      </c>
      <c r="E13" s="21" t="n">
        <f aca="false">$B13*IF(Model!$B$5=1,Data!$F$4,Model!$AE$62)</f>
        <v>5.99761353128452</v>
      </c>
      <c r="F13" s="21" t="n">
        <f aca="false">$B13*IF(Model!$B$5=1,Data!$G$4,Model!$AF$62)</f>
        <v>7.76877189983873</v>
      </c>
      <c r="G13" s="21" t="n">
        <f aca="false">$B13*Model!$S$62</f>
        <v>19.6240173532</v>
      </c>
      <c r="H13" s="21" t="n">
        <f aca="false">$B13*Model!$T$62</f>
        <v>4.90021704492685</v>
      </c>
      <c r="I13" s="21" t="n">
        <f aca="false">$B13*Model!$U$62</f>
        <v>2.32371403519348</v>
      </c>
      <c r="J13" s="21" t="n">
        <f aca="false">$B13*Model!$V$62</f>
        <v>2.32371403519348</v>
      </c>
      <c r="K13" s="21" t="n">
        <f aca="false">$B13*Model!$W$62</f>
        <v>2.19773869690738</v>
      </c>
      <c r="L13" s="21" t="n">
        <f aca="false">$B13*Model!$X$62</f>
        <v>0.602288569062984</v>
      </c>
      <c r="M13" s="21" t="n">
        <f aca="false">$B13*Model!$Y$62</f>
        <v>0.345394056952446</v>
      </c>
      <c r="N13" s="21" t="n">
        <f aca="false">$B13*Model!$Z$62</f>
        <v>0.0356456500057684</v>
      </c>
      <c r="O13" s="21" t="n">
        <f aca="false">$B13*Model!$AA$62</f>
        <v>0.0602288569062984</v>
      </c>
    </row>
    <row r="14" customFormat="false" ht="15" hidden="false" customHeight="true" outlineLevel="0" collapsed="false">
      <c r="A14" s="23" t="n">
        <v>2027</v>
      </c>
      <c r="B14" s="21" t="n">
        <f aca="false">IF($A14&lt;=Model!$B$3,Data!$B$5*Model!$D$62,0)</f>
        <v>32.4129582983487</v>
      </c>
      <c r="C14" s="21" t="n">
        <f aca="false">$B14*IF(Model!$B$5=1,Data!$D$5,Model!$AC$62)</f>
        <v>8.14884880296197</v>
      </c>
      <c r="D14" s="21" t="n">
        <f aca="false">$B14*IF(Model!$B$5=1,Data!$E$5,Model!$AD$62)</f>
        <v>10.292482536577</v>
      </c>
      <c r="E14" s="21" t="n">
        <f aca="false">$B14*IF(Model!$B$5=1,Data!$F$5,Model!$AE$62)</f>
        <v>5.98241045515959</v>
      </c>
      <c r="F14" s="21" t="n">
        <f aca="false">$B14*IF(Model!$B$5=1,Data!$G$5,Model!$AF$62)</f>
        <v>7.98921650365021</v>
      </c>
      <c r="G14" s="21" t="n">
        <f aca="false">$B14*Model!$S$62</f>
        <v>19.6240173532</v>
      </c>
      <c r="H14" s="21" t="n">
        <f aca="false">$B14*Model!$T$62</f>
        <v>4.90021704492685</v>
      </c>
      <c r="I14" s="21" t="n">
        <f aca="false">$B14*Model!$U$62</f>
        <v>2.32371403519348</v>
      </c>
      <c r="J14" s="21" t="n">
        <f aca="false">$B14*Model!$V$62</f>
        <v>2.32371403519348</v>
      </c>
      <c r="K14" s="21" t="n">
        <f aca="false">$B14*Model!$W$62</f>
        <v>2.19773869690738</v>
      </c>
      <c r="L14" s="21" t="n">
        <f aca="false">$B14*Model!$X$62</f>
        <v>0.602288569062984</v>
      </c>
      <c r="M14" s="21" t="n">
        <f aca="false">$B14*Model!$Y$62</f>
        <v>0.345394056952446</v>
      </c>
      <c r="N14" s="21" t="n">
        <f aca="false">$B14*Model!$Z$62</f>
        <v>0.0356456500057684</v>
      </c>
      <c r="O14" s="21" t="n">
        <f aca="false">$B14*Model!$AA$62</f>
        <v>0.0602288569062984</v>
      </c>
    </row>
    <row r="15" customFormat="false" ht="15" hidden="false" customHeight="true" outlineLevel="0" collapsed="false">
      <c r="A15" s="23" t="n">
        <v>2028</v>
      </c>
      <c r="B15" s="21" t="n">
        <f aca="false">IF($A15&lt;=Model!$B$3,Data!$B$6*Model!$D$62,0)</f>
        <v>32.4129582983487</v>
      </c>
      <c r="C15" s="21" t="n">
        <f aca="false">$B15*IF(Model!$B$5=1,Data!$D$6,Model!$AC$62)</f>
        <v>8.12225233754962</v>
      </c>
      <c r="D15" s="21" t="n">
        <f aca="false">$B15*IF(Model!$B$5=1,Data!$E$6,Model!$AD$62)</f>
        <v>10.2973124204515</v>
      </c>
      <c r="E15" s="21" t="n">
        <f aca="false">$B15*IF(Model!$B$5=1,Data!$F$6,Model!$AE$62)</f>
        <v>5.9852177805726</v>
      </c>
      <c r="F15" s="21" t="n">
        <f aca="false">$B15*IF(Model!$B$5=1,Data!$G$6,Model!$AF$62)</f>
        <v>8.00817575977503</v>
      </c>
      <c r="G15" s="21" t="n">
        <f aca="false">$B15*Model!$S$62</f>
        <v>19.6240173532</v>
      </c>
      <c r="H15" s="21" t="n">
        <f aca="false">$B15*Model!$T$62</f>
        <v>4.90021704492685</v>
      </c>
      <c r="I15" s="21" t="n">
        <f aca="false">$B15*Model!$U$62</f>
        <v>2.32371403519348</v>
      </c>
      <c r="J15" s="21" t="n">
        <f aca="false">$B15*Model!$V$62</f>
        <v>2.32371403519348</v>
      </c>
      <c r="K15" s="21" t="n">
        <f aca="false">$B15*Model!$W$62</f>
        <v>2.19773869690738</v>
      </c>
      <c r="L15" s="21" t="n">
        <f aca="false">$B15*Model!$X$62</f>
        <v>0.602288569062984</v>
      </c>
      <c r="M15" s="21" t="n">
        <f aca="false">$B15*Model!$Y$62</f>
        <v>0.345394056952446</v>
      </c>
      <c r="N15" s="21" t="n">
        <f aca="false">$B15*Model!$Z$62</f>
        <v>0.0356456500057684</v>
      </c>
      <c r="O15" s="21" t="n">
        <f aca="false">$B15*Model!$AA$62</f>
        <v>0.0602288569062984</v>
      </c>
    </row>
    <row r="16" customFormat="false" ht="15" hidden="false" customHeight="true" outlineLevel="0" collapsed="false">
      <c r="A16" s="23" t="n">
        <v>2029</v>
      </c>
      <c r="B16" s="21" t="n">
        <f aca="false">IF($A16&lt;=Model!$B$3,Data!$B$7*Model!$D$62,0)</f>
        <v>32.4129582983487</v>
      </c>
      <c r="C16" s="21" t="n">
        <f aca="false">$B16*IF(Model!$B$5=1,Data!$D$7,Model!$AC$62)</f>
        <v>8.0367105140405</v>
      </c>
      <c r="D16" s="21" t="n">
        <f aca="false">$B16*IF(Model!$B$5=1,Data!$E$7,Model!$AD$62)</f>
        <v>10.241673663588</v>
      </c>
      <c r="E16" s="21" t="n">
        <f aca="false">$B16*IF(Model!$B$5=1,Data!$F$7,Model!$AE$62)</f>
        <v>5.94579718257301</v>
      </c>
      <c r="F16" s="21" t="n">
        <f aca="false">$B16*IF(Model!$B$5=1,Data!$G$7,Model!$AF$62)</f>
        <v>8.1887769381472</v>
      </c>
      <c r="G16" s="21" t="n">
        <f aca="false">$B16*Model!$S$62</f>
        <v>19.6240173532</v>
      </c>
      <c r="H16" s="21" t="n">
        <f aca="false">$B16*Model!$T$62</f>
        <v>4.90021704492685</v>
      </c>
      <c r="I16" s="21" t="n">
        <f aca="false">$B16*Model!$U$62</f>
        <v>2.32371403519348</v>
      </c>
      <c r="J16" s="21" t="n">
        <f aca="false">$B16*Model!$V$62</f>
        <v>2.32371403519348</v>
      </c>
      <c r="K16" s="21" t="n">
        <f aca="false">$B16*Model!$W$62</f>
        <v>2.19773869690738</v>
      </c>
      <c r="L16" s="21" t="n">
        <f aca="false">$B16*Model!$X$62</f>
        <v>0.602288569062984</v>
      </c>
      <c r="M16" s="21" t="n">
        <f aca="false">$B16*Model!$Y$62</f>
        <v>0.345394056952446</v>
      </c>
      <c r="N16" s="21" t="n">
        <f aca="false">$B16*Model!$Z$62</f>
        <v>0.0356456500057684</v>
      </c>
      <c r="O16" s="21" t="n">
        <f aca="false">$B16*Model!$AA$62</f>
        <v>0.0602288569062984</v>
      </c>
    </row>
    <row r="17" customFormat="false" ht="15" hidden="false" customHeight="true" outlineLevel="0" collapsed="false">
      <c r="A17" s="23" t="n">
        <v>2030</v>
      </c>
      <c r="B17" s="21" t="n">
        <f aca="false">IF($A17&lt;=Model!$B$3,Data!$B$8*Model!$D$62,0)</f>
        <v>32.4129582983487</v>
      </c>
      <c r="C17" s="21" t="n">
        <f aca="false">$B17*IF(Model!$B$5=1,Data!$D$8,Model!$AC$62)</f>
        <v>8.02338597014497</v>
      </c>
      <c r="D17" s="21" t="n">
        <f aca="false">$B17*IF(Model!$B$5=1,Data!$E$8,Model!$AD$62)</f>
        <v>10.0919745804572</v>
      </c>
      <c r="E17" s="21" t="n">
        <f aca="false">$B17*IF(Model!$B$5=1,Data!$F$8,Model!$AE$62)</f>
        <v>5.95479735983272</v>
      </c>
      <c r="F17" s="21" t="n">
        <f aca="false">$B17*IF(Model!$B$5=1,Data!$G$8,Model!$AF$62)</f>
        <v>8.34280038791378</v>
      </c>
      <c r="G17" s="21" t="n">
        <f aca="false">$B17*Model!$S$62</f>
        <v>19.6240173532</v>
      </c>
      <c r="H17" s="21" t="n">
        <f aca="false">$B17*Model!$T$62</f>
        <v>4.90021704492685</v>
      </c>
      <c r="I17" s="21" t="n">
        <f aca="false">$B17*Model!$U$62</f>
        <v>2.32371403519348</v>
      </c>
      <c r="J17" s="21" t="n">
        <f aca="false">$B17*Model!$V$62</f>
        <v>2.32371403519348</v>
      </c>
      <c r="K17" s="21" t="n">
        <f aca="false">$B17*Model!$W$62</f>
        <v>2.19773869690738</v>
      </c>
      <c r="L17" s="21" t="n">
        <f aca="false">$B17*Model!$X$62</f>
        <v>0.602288569062984</v>
      </c>
      <c r="M17" s="21" t="n">
        <f aca="false">$B17*Model!$Y$62</f>
        <v>0.345394056952446</v>
      </c>
      <c r="N17" s="21" t="n">
        <f aca="false">$B17*Model!$Z$62</f>
        <v>0.0356456500057684</v>
      </c>
      <c r="O17" s="21" t="n">
        <f aca="false">$B17*Model!$AA$62</f>
        <v>0.0602288569062984</v>
      </c>
    </row>
    <row r="18" customFormat="false" ht="15" hidden="false" customHeight="true" outlineLevel="0" collapsed="false">
      <c r="A18" s="23" t="n">
        <v>2031</v>
      </c>
      <c r="B18" s="21" t="n">
        <f aca="false">IF($A18&lt;=Model!$B$3,Data!$B$9*Model!$D$62,0)</f>
        <v>16.4840003731691</v>
      </c>
      <c r="C18" s="21" t="n">
        <f aca="false">$B18*IF(Model!$B$5=1,Data!$D$9,Model!$AC$62)</f>
        <v>3.8092639238735</v>
      </c>
      <c r="D18" s="21" t="n">
        <f aca="false">$B18*IF(Model!$B$5=1,Data!$E$9,Model!$AD$62)</f>
        <v>5.01058867431664</v>
      </c>
      <c r="E18" s="21" t="n">
        <f aca="false">$B18*IF(Model!$B$5=1,Data!$F$9,Model!$AE$62)</f>
        <v>3.13256833659857</v>
      </c>
      <c r="F18" s="21" t="n">
        <f aca="false">$B18*IF(Model!$B$5=1,Data!$G$9,Model!$AF$62)</f>
        <v>4.53157943838045</v>
      </c>
      <c r="G18" s="21" t="n">
        <f aca="false">$B18*Model!$S$62</f>
        <v>9.98003040622512</v>
      </c>
      <c r="H18" s="21" t="n">
        <f aca="false">$B18*Model!$T$62</f>
        <v>2.49206440380047</v>
      </c>
      <c r="I18" s="21" t="n">
        <f aca="false">$B18*Model!$U$62</f>
        <v>1.18175276291332</v>
      </c>
      <c r="J18" s="21" t="n">
        <f aca="false">$B18*Model!$V$62</f>
        <v>1.18175276291332</v>
      </c>
      <c r="K18" s="21" t="n">
        <f aca="false">$B18*Model!$W$62</f>
        <v>1.11768648719099</v>
      </c>
      <c r="L18" s="21" t="n">
        <f aca="false">$B18*Model!$X$62</f>
        <v>0.306301106668672</v>
      </c>
      <c r="M18" s="21" t="n">
        <f aca="false">$B18*Model!$Y$62</f>
        <v>0.175654308109994</v>
      </c>
      <c r="N18" s="21" t="n">
        <f aca="false">$B18*Model!$Z$62</f>
        <v>0.0181280246803908</v>
      </c>
      <c r="O18" s="21" t="n">
        <f aca="false">$B18*Model!$AA$62</f>
        <v>0.0306301106668672</v>
      </c>
    </row>
    <row r="19" customFormat="false" ht="15" hidden="false" customHeight="true" outlineLevel="0" collapsed="false">
      <c r="A19" s="23" t="n">
        <v>2032</v>
      </c>
      <c r="B19" s="21" t="n">
        <f aca="false">IF($A19&lt;=Model!$B$3,Data!$B$10*Model!$D$62,0)</f>
        <v>16.4840003731691</v>
      </c>
      <c r="C19" s="21" t="n">
        <f aca="false">$B19*IF(Model!$B$5=1,Data!$D$10,Model!$AC$62)</f>
        <v>3.66480082097211</v>
      </c>
      <c r="D19" s="21" t="n">
        <f aca="false">$B19*IF(Model!$B$5=1,Data!$E$10,Model!$AD$62)</f>
        <v>4.91174549864726</v>
      </c>
      <c r="E19" s="21" t="n">
        <f aca="false">$B19*IF(Model!$B$5=1,Data!$F$10,Model!$AE$62)</f>
        <v>3.18579158503592</v>
      </c>
      <c r="F19" s="21" t="n">
        <f aca="false">$B19*IF(Model!$B$5=1,Data!$G$10,Model!$AF$62)</f>
        <v>4.72166246851386</v>
      </c>
      <c r="G19" s="21" t="n">
        <f aca="false">$B19*Model!$S$62</f>
        <v>9.98003040622512</v>
      </c>
      <c r="H19" s="21" t="n">
        <f aca="false">$B19*Model!$T$62</f>
        <v>2.49206440380047</v>
      </c>
      <c r="I19" s="21" t="n">
        <f aca="false">$B19*Model!$U$62</f>
        <v>1.18175276291332</v>
      </c>
      <c r="J19" s="21" t="n">
        <f aca="false">$B19*Model!$V$62</f>
        <v>1.18175276291332</v>
      </c>
      <c r="K19" s="21" t="n">
        <f aca="false">$B19*Model!$W$62</f>
        <v>1.11768648719099</v>
      </c>
      <c r="L19" s="21" t="n">
        <f aca="false">$B19*Model!$X$62</f>
        <v>0.306301106668672</v>
      </c>
      <c r="M19" s="21" t="n">
        <f aca="false">$B19*Model!$Y$62</f>
        <v>0.175654308109994</v>
      </c>
      <c r="N19" s="21" t="n">
        <f aca="false">$B19*Model!$Z$62</f>
        <v>0.0181280246803908</v>
      </c>
      <c r="O19" s="21" t="n">
        <f aca="false">$B19*Model!$AA$62</f>
        <v>0.0306301106668672</v>
      </c>
    </row>
    <row r="20" customFormat="false" ht="15" hidden="false" customHeight="true" outlineLevel="0" collapsed="false">
      <c r="A20" s="23" t="n">
        <v>2033</v>
      </c>
      <c r="B20" s="21" t="n">
        <f aca="false">IF($A20&lt;=Model!$B$3,Data!$B$11*Model!$D$62,0)</f>
        <v>16.4840003731691</v>
      </c>
      <c r="C20" s="21" t="n">
        <f aca="false">$B20*IF(Model!$B$5=1,Data!$D$11,Model!$AC$62)</f>
        <v>3.63606468775951</v>
      </c>
      <c r="D20" s="21" t="n">
        <f aca="false">$B20*IF(Model!$B$5=1,Data!$E$11,Model!$AD$62)</f>
        <v>4.92922576918024</v>
      </c>
      <c r="E20" s="21" t="n">
        <f aca="false">$B20*IF(Model!$B$5=1,Data!$F$11,Model!$AE$62)</f>
        <v>3.1872617242076</v>
      </c>
      <c r="F20" s="21" t="n">
        <f aca="false">$B20*IF(Model!$B$5=1,Data!$G$11,Model!$AF$62)</f>
        <v>4.73144819202179</v>
      </c>
      <c r="G20" s="21" t="n">
        <f aca="false">$B20*Model!$S$62</f>
        <v>9.98003040622512</v>
      </c>
      <c r="H20" s="21" t="n">
        <f aca="false">$B20*Model!$T$62</f>
        <v>2.49206440380047</v>
      </c>
      <c r="I20" s="21" t="n">
        <f aca="false">$B20*Model!$U$62</f>
        <v>1.18175276291332</v>
      </c>
      <c r="J20" s="21" t="n">
        <f aca="false">$B20*Model!$V$62</f>
        <v>1.18175276291332</v>
      </c>
      <c r="K20" s="21" t="n">
        <f aca="false">$B20*Model!$W$62</f>
        <v>1.11768648719099</v>
      </c>
      <c r="L20" s="21" t="n">
        <f aca="false">$B20*Model!$X$62</f>
        <v>0.306301106668672</v>
      </c>
      <c r="M20" s="21" t="n">
        <f aca="false">$B20*Model!$Y$62</f>
        <v>0.175654308109994</v>
      </c>
      <c r="N20" s="21" t="n">
        <f aca="false">$B20*Model!$Z$62</f>
        <v>0.0181280246803908</v>
      </c>
      <c r="O20" s="21" t="n">
        <f aca="false">$B20*Model!$AA$62</f>
        <v>0.0306301106668672</v>
      </c>
    </row>
    <row r="21" customFormat="false" ht="15" hidden="false" customHeight="true" outlineLevel="0" collapsed="false">
      <c r="A21" s="23" t="n">
        <v>2034</v>
      </c>
      <c r="B21" s="21" t="n">
        <f aca="false">IF($A21&lt;=Model!$B$3,Data!$B$12*Model!$D$62,0)</f>
        <v>16.4840003731691</v>
      </c>
      <c r="C21" s="21" t="n">
        <f aca="false">$B21*IF(Model!$B$5=1,Data!$D$12,Model!$AC$62)</f>
        <v>3.60397425132942</v>
      </c>
      <c r="D21" s="21" t="n">
        <f aca="false">$B21*IF(Model!$B$5=1,Data!$E$12,Model!$AD$62)</f>
        <v>4.94215878346861</v>
      </c>
      <c r="E21" s="21" t="n">
        <f aca="false">$B21*IF(Model!$B$5=1,Data!$F$12,Model!$AE$62)</f>
        <v>3.18579158503592</v>
      </c>
      <c r="F21" s="21" t="n">
        <f aca="false">$B21*IF(Model!$B$5=1,Data!$G$12,Model!$AF$62)</f>
        <v>4.75207575333519</v>
      </c>
      <c r="G21" s="21" t="n">
        <f aca="false">$B21*Model!$S$62</f>
        <v>9.98003040622512</v>
      </c>
      <c r="H21" s="21" t="n">
        <f aca="false">$B21*Model!$T$62</f>
        <v>2.49206440380047</v>
      </c>
      <c r="I21" s="21" t="n">
        <f aca="false">$B21*Model!$U$62</f>
        <v>1.18175276291332</v>
      </c>
      <c r="J21" s="21" t="n">
        <f aca="false">$B21*Model!$V$62</f>
        <v>1.18175276291332</v>
      </c>
      <c r="K21" s="21" t="n">
        <f aca="false">$B21*Model!$W$62</f>
        <v>1.11768648719099</v>
      </c>
      <c r="L21" s="21" t="n">
        <f aca="false">$B21*Model!$X$62</f>
        <v>0.306301106668672</v>
      </c>
      <c r="M21" s="21" t="n">
        <f aca="false">$B21*Model!$Y$62</f>
        <v>0.175654308109994</v>
      </c>
      <c r="N21" s="21" t="n">
        <f aca="false">$B21*Model!$Z$62</f>
        <v>0.0181280246803908</v>
      </c>
      <c r="O21" s="21" t="n">
        <f aca="false">$B21*Model!$AA$62</f>
        <v>0.0306301106668672</v>
      </c>
    </row>
    <row r="22" customFormat="false" ht="15" hidden="false" customHeight="true" outlineLevel="0" collapsed="false">
      <c r="A22" s="23" t="n">
        <v>2035</v>
      </c>
      <c r="B22" s="21" t="n">
        <f aca="false">IF($A22&lt;=Model!$B$3,Data!$B$13*Model!$D$62,0)</f>
        <v>15.9289579251796</v>
      </c>
      <c r="C22" s="21" t="n">
        <f aca="false">$B22*IF(Model!$B$5=1,Data!$D$13,Model!$AC$62)</f>
        <v>3.413891221196</v>
      </c>
      <c r="D22" s="21" t="n">
        <f aca="false">$B22*IF(Model!$B$5=1,Data!$E$13,Model!$AD$62)</f>
        <v>4.70645582610318</v>
      </c>
      <c r="E22" s="21" t="n">
        <f aca="false">$B22*IF(Model!$B$5=1,Data!$F$13,Model!$AE$62)</f>
        <v>3.0565351245452</v>
      </c>
      <c r="F22" s="21" t="n">
        <f aca="false">$B22*IF(Model!$B$5=1,Data!$G$13,Model!$AF$62)</f>
        <v>4.7520757533352</v>
      </c>
      <c r="G22" s="21" t="n">
        <f aca="false">$B22*Model!$S$62</f>
        <v>9.64398694697492</v>
      </c>
      <c r="H22" s="21" t="n">
        <f aca="false">$B22*Model!$T$62</f>
        <v>2.40815264112638</v>
      </c>
      <c r="I22" s="21" t="n">
        <f aca="false">$B22*Model!$U$62</f>
        <v>1.14196127228017</v>
      </c>
      <c r="J22" s="21" t="n">
        <f aca="false">$B22*Model!$V$62</f>
        <v>1.14196127228017</v>
      </c>
      <c r="K22" s="21" t="n">
        <f aca="false">$B22*Model!$W$62</f>
        <v>1.08005220971639</v>
      </c>
      <c r="L22" s="21" t="n">
        <f aca="false">$B22*Model!$X$62</f>
        <v>0.295987462394312</v>
      </c>
      <c r="M22" s="21" t="n">
        <f aca="false">$B22*Model!$Y$62</f>
        <v>0.169739748842452</v>
      </c>
      <c r="N22" s="21" t="n">
        <f aca="false">$B22*Model!$Z$62</f>
        <v>0.0175176253253776</v>
      </c>
      <c r="O22" s="21" t="n">
        <f aca="false">$B22*Model!$AA$62</f>
        <v>0.0295987462394312</v>
      </c>
    </row>
    <row r="23" customFormat="false" ht="15" hidden="false" customHeight="true" outlineLevel="0" collapsed="false">
      <c r="A23" s="23" t="n">
        <v>2036</v>
      </c>
      <c r="B23" s="21" t="n">
        <f aca="false">IF($A23&lt;=Model!$B$3,Data!$B$14*Model!$D$62,0)</f>
        <v>12.0664707528687</v>
      </c>
      <c r="C23" s="21" t="n">
        <f aca="false">$B23*IF(Model!$B$5=1,Data!$D$14,Model!$AC$62)</f>
        <v>2.91083249139525</v>
      </c>
      <c r="D23" s="21" t="n">
        <f aca="false">$B23*IF(Model!$B$5=1,Data!$E$14,Model!$AD$62)</f>
        <v>3.74394968592175</v>
      </c>
      <c r="E23" s="21" t="n">
        <f aca="false">$B23*IF(Model!$B$5=1,Data!$F$14,Model!$AE$62)</f>
        <v>2.25637474039025</v>
      </c>
      <c r="F23" s="21" t="n">
        <f aca="false">$B23*IF(Model!$B$5=1,Data!$G$14,Model!$AF$62)</f>
        <v>3.15531383516149</v>
      </c>
      <c r="G23" s="21" t="n">
        <f aca="false">$B23*Model!$S$62</f>
        <v>7.30549273739819</v>
      </c>
      <c r="H23" s="21" t="n">
        <f aca="false">$B23*Model!$T$62</f>
        <v>1.82421873101077</v>
      </c>
      <c r="I23" s="21" t="n">
        <f aca="false">$B23*Model!$U$62</f>
        <v>0.865056104586455</v>
      </c>
      <c r="J23" s="21" t="n">
        <f aca="false">$B23*Model!$V$62</f>
        <v>0.865056104586455</v>
      </c>
      <c r="K23" s="21" t="n">
        <f aca="false">$B23*Model!$W$62</f>
        <v>0.818158881536948</v>
      </c>
      <c r="L23" s="21" t="n">
        <f aca="false">$B23*Model!$X$62</f>
        <v>0.224215800868627</v>
      </c>
      <c r="M23" s="21" t="n">
        <f aca="false">$B23*Model!$Y$62</f>
        <v>0.128580898049151</v>
      </c>
      <c r="N23" s="21" t="n">
        <f aca="false">$B23*Model!$Z$62</f>
        <v>0.0132699147452861</v>
      </c>
      <c r="O23" s="21" t="n">
        <f aca="false">$B23*Model!$AA$62</f>
        <v>0.0224215800868627</v>
      </c>
    </row>
    <row r="24" customFormat="false" ht="15" hidden="false" customHeight="true" outlineLevel="0" collapsed="false">
      <c r="A24" s="23" t="n">
        <v>2037</v>
      </c>
      <c r="B24" s="21" t="n">
        <f aca="false">IF($A24&lt;=Model!$B$3,Data!$B$15*Model!$D$62,0)</f>
        <v>11.9676275771994</v>
      </c>
      <c r="C24" s="21" t="n">
        <f aca="false">$B24*IF(Model!$B$5=1,Data!$D$15,Model!$AC$62)</f>
        <v>2.88698824288351</v>
      </c>
      <c r="D24" s="21" t="n">
        <f aca="false">$B24*IF(Model!$B$5=1,Data!$E$15,Model!$AD$62)</f>
        <v>3.7132809109268</v>
      </c>
      <c r="E24" s="21" t="n">
        <f aca="false">$B24*IF(Model!$B$5=1,Data!$F$15,Model!$AE$62)</f>
        <v>2.23789151945448</v>
      </c>
      <c r="F24" s="21" t="n">
        <f aca="false">$B24*IF(Model!$B$5=1,Data!$G$15,Model!$AF$62)</f>
        <v>3.12946690393459</v>
      </c>
      <c r="G24" s="21" t="n">
        <f aca="false">$B24*Model!$S$62</f>
        <v>7.2456493816413</v>
      </c>
      <c r="H24" s="21" t="n">
        <f aca="false">$B24*Model!$T$62</f>
        <v>1.80927554039757</v>
      </c>
      <c r="I24" s="21" t="n">
        <f aca="false">$B24*Model!$U$62</f>
        <v>0.857969948720278</v>
      </c>
      <c r="J24" s="21" t="n">
        <f aca="false">$B24*Model!$V$62</f>
        <v>0.857969948720278</v>
      </c>
      <c r="K24" s="21" t="n">
        <f aca="false">$B24*Model!$W$62</f>
        <v>0.811456886918182</v>
      </c>
      <c r="L24" s="21" t="n">
        <f aca="false">$B24*Model!$X$62</f>
        <v>0.222379124491001</v>
      </c>
      <c r="M24" s="21" t="n">
        <f aca="false">$B24*Model!$Y$62</f>
        <v>0.12752762037137</v>
      </c>
      <c r="N24" s="21" t="n">
        <f aca="false">$B24*Model!$Z$62</f>
        <v>0.0131612134902837</v>
      </c>
      <c r="O24" s="21" t="n">
        <f aca="false">$B24*Model!$AA$62</f>
        <v>0.0222379124491001</v>
      </c>
    </row>
    <row r="25" customFormat="false" ht="15" hidden="false" customHeight="true" outlineLevel="0" collapsed="false">
      <c r="A25" s="23" t="n">
        <v>2038</v>
      </c>
      <c r="B25" s="21" t="n">
        <f aca="false">IF($A25&lt;=Model!$B$3,Data!$B$16*Model!$D$62,0)</f>
        <v>11.823164474298</v>
      </c>
      <c r="C25" s="21" t="n">
        <f aca="false">$B25*IF(Model!$B$5=1,Data!$D$16,Model!$AC$62)</f>
        <v>2.85213895659713</v>
      </c>
      <c r="D25" s="21" t="n">
        <f aca="false">$B25*IF(Model!$B$5=1,Data!$E$16,Model!$AD$62)</f>
        <v>3.66845731670341</v>
      </c>
      <c r="E25" s="21" t="n">
        <f aca="false">$B25*IF(Model!$B$5=1,Data!$F$16,Model!$AE$62)</f>
        <v>2.21087758116373</v>
      </c>
      <c r="F25" s="21" t="n">
        <f aca="false">$B25*IF(Model!$B$5=1,Data!$G$16,Model!$AF$62)</f>
        <v>3.09169061983372</v>
      </c>
      <c r="G25" s="21" t="n">
        <f aca="false">$B25*Model!$S$62</f>
        <v>7.15818601553509</v>
      </c>
      <c r="H25" s="21" t="n">
        <f aca="false">$B25*Model!$T$62</f>
        <v>1.78743549257829</v>
      </c>
      <c r="I25" s="21" t="n">
        <f aca="false">$B25*Model!$U$62</f>
        <v>0.847613259377403</v>
      </c>
      <c r="J25" s="21" t="n">
        <f aca="false">$B25*Model!$V$62</f>
        <v>0.847613259377403</v>
      </c>
      <c r="K25" s="21" t="n">
        <f aca="false">$B25*Model!$W$62</f>
        <v>0.801661664013833</v>
      </c>
      <c r="L25" s="21" t="n">
        <f aca="false">$B25*Model!$X$62</f>
        <v>0.219694751323702</v>
      </c>
      <c r="M25" s="21" t="n">
        <f aca="false">$B25*Model!$Y$62</f>
        <v>0.125988214534612</v>
      </c>
      <c r="N25" s="21" t="n">
        <f aca="false">$B25*Model!$Z$62</f>
        <v>0.0130023424252803</v>
      </c>
      <c r="O25" s="21" t="n">
        <f aca="false">$B25*Model!$AA$62</f>
        <v>0.0219694751323702</v>
      </c>
    </row>
    <row r="26" customFormat="false" ht="15" hidden="false" customHeight="true" outlineLevel="0" collapsed="false">
      <c r="A26" s="23" t="n">
        <v>2039</v>
      </c>
      <c r="B26" s="21" t="n">
        <f aca="false">IF($A26&lt;=Model!$B$3,Data!$B$17*Model!$D$62,0)</f>
        <v>11.7167179774233</v>
      </c>
      <c r="C26" s="21" t="n">
        <f aca="false">$B26*IF(Model!$B$5=1,Data!$D$17,Model!$AC$62)</f>
        <v>2.82646053512293</v>
      </c>
      <c r="D26" s="21" t="n">
        <f aca="false">$B26*IF(Model!$B$5=1,Data!$E$17,Model!$AD$62)</f>
        <v>3.63542940517038</v>
      </c>
      <c r="E26" s="21" t="n">
        <f aca="false">$B26*IF(Model!$B$5=1,Data!$F$17,Model!$AE$62)</f>
        <v>2.19097257400213</v>
      </c>
      <c r="F26" s="21" t="n">
        <f aca="false">$B26*IF(Model!$B$5=1,Data!$G$17,Model!$AF$62)</f>
        <v>3.06385546312783</v>
      </c>
      <c r="G26" s="21" t="n">
        <f aca="false">$B26*Model!$S$62</f>
        <v>7.09373932471998</v>
      </c>
      <c r="H26" s="21" t="n">
        <f aca="false">$B26*Model!$T$62</f>
        <v>1.77134282576408</v>
      </c>
      <c r="I26" s="21" t="n">
        <f aca="false">$B26*Model!$U$62</f>
        <v>0.839982014598442</v>
      </c>
      <c r="J26" s="21" t="n">
        <f aca="false">$B26*Model!$V$62</f>
        <v>0.839982014598442</v>
      </c>
      <c r="K26" s="21" t="n">
        <f aca="false">$B26*Model!$W$62</f>
        <v>0.794444131347471</v>
      </c>
      <c r="L26" s="21" t="n">
        <f aca="false">$B26*Model!$X$62</f>
        <v>0.217716792147797</v>
      </c>
      <c r="M26" s="21" t="n">
        <f aca="false">$B26*Model!$Y$62</f>
        <v>0.124853915497002</v>
      </c>
      <c r="N26" s="21" t="n">
        <f aca="false">$B26*Model!$Z$62</f>
        <v>0.0128852795352778</v>
      </c>
      <c r="O26" s="21" t="n">
        <f aca="false">$B26*Model!$AA$62</f>
        <v>0.0217716792147797</v>
      </c>
    </row>
    <row r="27" customFormat="false" ht="15" hidden="false" customHeight="true" outlineLevel="0" collapsed="false">
      <c r="A27" s="23" t="n">
        <v>2040</v>
      </c>
      <c r="B27" s="21" t="n">
        <f aca="false">IF($A27&lt;=Model!$B$3,Data!$B$18*Model!$D$62,0)</f>
        <v>11.5950648381379</v>
      </c>
      <c r="C27" s="21" t="n">
        <f aca="false">$B27*IF(Model!$B$5=1,Data!$D$18,Model!$AC$62)</f>
        <v>2.79711376772386</v>
      </c>
      <c r="D27" s="21" t="n">
        <f aca="false">$B27*IF(Model!$B$5=1,Data!$E$18,Model!$AD$62)</f>
        <v>3.59768322056122</v>
      </c>
      <c r="E27" s="21" t="n">
        <f aca="false">$B27*IF(Model!$B$5=1,Data!$F$18,Model!$AE$62)</f>
        <v>2.16822399438887</v>
      </c>
      <c r="F27" s="21" t="n">
        <f aca="false">$B27*IF(Model!$B$5=1,Data!$G$18,Model!$AF$62)</f>
        <v>3.03204385546394</v>
      </c>
      <c r="G27" s="21" t="n">
        <f aca="false">$B27*Model!$S$62</f>
        <v>7.02008596378843</v>
      </c>
      <c r="H27" s="21" t="n">
        <f aca="false">$B27*Model!$T$62</f>
        <v>1.75295120654784</v>
      </c>
      <c r="I27" s="21" t="n">
        <f aca="false">$B27*Model!$U$62</f>
        <v>0.831260591993916</v>
      </c>
      <c r="J27" s="21" t="n">
        <f aca="false">$B27*Model!$V$62</f>
        <v>0.831260591993916</v>
      </c>
      <c r="K27" s="21" t="n">
        <f aca="false">$B27*Model!$W$62</f>
        <v>0.786195522585914</v>
      </c>
      <c r="L27" s="21" t="n">
        <f aca="false">$B27*Model!$X$62</f>
        <v>0.215456267375334</v>
      </c>
      <c r="M27" s="21" t="n">
        <f aca="false">$B27*Model!$Y$62</f>
        <v>0.123557573739733</v>
      </c>
      <c r="N27" s="21" t="n">
        <f aca="false">$B27*Model!$Z$62</f>
        <v>0.0127514933752749</v>
      </c>
      <c r="O27" s="21" t="n">
        <f aca="false">$B27*Model!$AA$62</f>
        <v>0.0215456267375334</v>
      </c>
    </row>
    <row r="28" customFormat="false" ht="15" hidden="false" customHeight="true" outlineLevel="0" collapsed="false">
      <c r="A28" s="24" t="s">
        <v>118</v>
      </c>
      <c r="B28" s="25" t="n">
        <f aca="false">SUM(B13:B27)</f>
        <v>303.098796529527</v>
      </c>
      <c r="C28" s="25" t="n">
        <f aca="false">SUM(C13:C27)</f>
        <v>73.1172230064487</v>
      </c>
      <c r="D28" s="25" t="n">
        <f aca="false">SUM(D13:D27)</f>
        <v>94.0444946764003</v>
      </c>
      <c r="E28" s="25" t="n">
        <f aca="false">SUM(E13:E27)</f>
        <v>56.6781250742451</v>
      </c>
      <c r="F28" s="25" t="n">
        <f aca="false">SUM(F13:F27)</f>
        <v>79.258953772433</v>
      </c>
      <c r="G28" s="25" t="n">
        <f aca="false">SUM(G13:G27)</f>
        <v>183.507348760959</v>
      </c>
      <c r="H28" s="25" t="n">
        <f aca="false">SUM(H13:H27)</f>
        <v>45.822719277261</v>
      </c>
      <c r="I28" s="25" t="n">
        <f aca="false">SUM(I13:I27)</f>
        <v>21.7294244191774</v>
      </c>
      <c r="J28" s="25" t="n">
        <f aca="false">SUM(J13:J27)</f>
        <v>21.7294244191774</v>
      </c>
      <c r="K28" s="25" t="n">
        <f aca="false">SUM(K13:K27)</f>
        <v>20.5514087294196</v>
      </c>
      <c r="L28" s="25" t="n">
        <f aca="false">SUM(L13:L27)</f>
        <v>5.63209747059038</v>
      </c>
      <c r="M28" s="25" t="n">
        <f aca="false">SUM(M13:M27)</f>
        <v>3.22983548823652</v>
      </c>
      <c r="N28" s="25" t="n">
        <f aca="false">SUM(N13:N27)</f>
        <v>0.333328217647186</v>
      </c>
      <c r="O28" s="25" t="n">
        <f aca="false">SUM(O13:O27)</f>
        <v>0.563209747059038</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0.186995546413275</v>
      </c>
      <c r="F29" s="26" t="n">
        <f aca="false">IF($B$28&gt;0,F28/$B$28,0)</f>
        <v>0.261495442014109</v>
      </c>
      <c r="G29" s="26" t="n">
        <f aca="false">IF($B$28&gt;0,G28/$B$28,0)</f>
        <v>0.605437404773997</v>
      </c>
      <c r="H29" s="26" t="n">
        <f aca="false">IF($B$28&gt;0,H28/$B$28,0)</f>
        <v>0.151180802437786</v>
      </c>
      <c r="I29" s="26" t="n">
        <f aca="false">IF($B$28&gt;0,I28/$B$28,0)</f>
        <v>0.0716908963941087</v>
      </c>
      <c r="J29" s="26" t="n">
        <f aca="false">IF($B$28&gt;0,J28/$B$28,0)</f>
        <v>0.0716908963941087</v>
      </c>
      <c r="K29" s="26" t="n">
        <f aca="false">IF($B$28&gt;0,K28/$B$28,0)</f>
        <v>0.0678043230944255</v>
      </c>
      <c r="L29" s="26" t="n">
        <f aca="false">IF($B$28&gt;0,L28/$B$28,0)</f>
        <v>0.018581721653394</v>
      </c>
      <c r="M29" s="26" t="n">
        <f aca="false">IF($B$28&gt;0,M28/$B$28,0)</f>
        <v>0.0106560485400076</v>
      </c>
      <c r="N29" s="26" t="n">
        <f aca="false">IF($B$28&gt;0,N28/$B$28,0)</f>
        <v>0.00109973454683352</v>
      </c>
      <c r="O29" s="26" t="n">
        <f aca="false">IF($B$28&gt;0,O28/$B$28,0)</f>
        <v>0.0018581721653394</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Data!$H$39*Data!$M$39/SUM(Data!$H$39:$K$39)</f>
        <v>22.0537897310513</v>
      </c>
      <c r="C34" s="22" t="n">
        <f aca="false">IF($B$38&gt;0,B34/$B$38,0)</f>
        <v>0.0488997555012225</v>
      </c>
      <c r="D34" s="21" t="n">
        <f aca="false">C28</f>
        <v>73.1172230064487</v>
      </c>
      <c r="E34" s="22" t="n">
        <f aca="false">IF($D$38&gt;0,D34/$D$38,0)</f>
        <v>0.241232310532536</v>
      </c>
      <c r="F34" s="21" t="n">
        <f aca="false">B34+D34</f>
        <v>95.1710127375</v>
      </c>
      <c r="G34" s="22" t="n">
        <f aca="false">IF($F$38&gt;0,F34/$F$38,0)</f>
        <v>0.126204965682867</v>
      </c>
    </row>
    <row r="35" customFormat="false" ht="15" hidden="false" customHeight="true" outlineLevel="0" collapsed="false">
      <c r="A35" s="13" t="s">
        <v>106</v>
      </c>
      <c r="B35" s="21" t="n">
        <f aca="false">Data!$I$39*Data!$M$39/SUM(Data!$H$39:$K$39)</f>
        <v>92.6259168704157</v>
      </c>
      <c r="C35" s="22" t="n">
        <f aca="false">IF($B$38&gt;0,B35/$B$38,0)</f>
        <v>0.205378973105134</v>
      </c>
      <c r="D35" s="21" t="n">
        <f aca="false">D28</f>
        <v>94.0444946764003</v>
      </c>
      <c r="E35" s="22" t="n">
        <f aca="false">IF($D$38&gt;0,D35/$D$38,0)</f>
        <v>0.310276701040081</v>
      </c>
      <c r="F35" s="21" t="n">
        <f aca="false">B35+D35</f>
        <v>186.670411546816</v>
      </c>
      <c r="G35" s="22" t="n">
        <f aca="false">IF($F$38&gt;0,F35/$F$38,0)</f>
        <v>0.247541054840427</v>
      </c>
    </row>
    <row r="36" customFormat="false" ht="15" hidden="false" customHeight="true" outlineLevel="0" collapsed="false">
      <c r="A36" s="13" t="s">
        <v>107</v>
      </c>
      <c r="B36" s="21" t="n">
        <f aca="false">Data!$J$39*Data!$M$39/SUM(Data!$H$39:$K$39)</f>
        <v>217.229828850856</v>
      </c>
      <c r="C36" s="22" t="n">
        <f aca="false">IF($B$38&gt;0,B36/$B$38,0)</f>
        <v>0.481662591687042</v>
      </c>
      <c r="D36" s="21" t="n">
        <f aca="false">E28</f>
        <v>56.6781250742451</v>
      </c>
      <c r="E36" s="22" t="n">
        <f aca="false">IF($D$38&gt;0,D36/$D$38,0)</f>
        <v>0.186995546413275</v>
      </c>
      <c r="F36" s="21" t="n">
        <f aca="false">B36+D36</f>
        <v>273.907953925101</v>
      </c>
      <c r="G36" s="22" t="n">
        <f aca="false">IF($F$38&gt;0,F36/$F$38,0)</f>
        <v>0.363225555040885</v>
      </c>
    </row>
    <row r="37" customFormat="false" ht="15" hidden="false" customHeight="true" outlineLevel="0" collapsed="false">
      <c r="A37" s="13" t="s">
        <v>108</v>
      </c>
      <c r="B37" s="21" t="n">
        <f aca="false">Data!$K$39*Data!$M$39/SUM(Data!$H$39:$K$39)</f>
        <v>119.090464547677</v>
      </c>
      <c r="C37" s="22" t="n">
        <f aca="false">IF($B$38&gt;0,B37/$B$38,0)</f>
        <v>0.264058679706601</v>
      </c>
      <c r="D37" s="21" t="n">
        <f aca="false">F28</f>
        <v>79.258953772433</v>
      </c>
      <c r="E37" s="22" t="n">
        <f aca="false">IF($D$38&gt;0,D37/$D$38,0)</f>
        <v>0.261495442014109</v>
      </c>
      <c r="F37" s="21" t="n">
        <f aca="false">B37+D37</f>
        <v>198.34941832011</v>
      </c>
      <c r="G37" s="22" t="n">
        <f aca="false">IF($F$38&gt;0,F37/$F$38,0)</f>
        <v>0.263028424435821</v>
      </c>
    </row>
    <row r="38" customFormat="false" ht="15" hidden="false" customHeight="true" outlineLevel="0" collapsed="false">
      <c r="A38" s="24" t="s">
        <v>61</v>
      </c>
      <c r="B38" s="25" t="n">
        <f aca="false">SUM(B34:B37)</f>
        <v>451</v>
      </c>
      <c r="C38" s="27" t="n">
        <f aca="false">SUM(C34:C37)</f>
        <v>1</v>
      </c>
      <c r="D38" s="25" t="n">
        <f aca="false">SUM(D34:D37)</f>
        <v>303.098796529527</v>
      </c>
      <c r="E38" s="27" t="n">
        <f aca="false">SUM(E34:E37)</f>
        <v>1</v>
      </c>
      <c r="F38" s="25" t="n">
        <f aca="false">SUM(F34:F37)</f>
        <v>754.098796529527</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BE6D8"/>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190</v>
      </c>
    </row>
    <row r="2" customFormat="false" ht="15" hidden="false" customHeight="true" outlineLevel="0" collapsed="false">
      <c r="A2" s="3" t="str">
        <f aca="false">Model!$B$63&amp;" · new homes per year, 2026–"&amp;Model!$B$3&amp;" · set by the levers on the Intro tab"</f>
        <v>Village · new homes per year, 2026–2040 · set by the levers on the Intro tab</v>
      </c>
    </row>
    <row r="4" customFormat="false" ht="15" hidden="false" customHeight="true" outlineLevel="0" collapsed="false">
      <c r="A4" s="13" t="s">
        <v>332</v>
      </c>
      <c r="C4" s="67" t="n">
        <f aca="false">Model!$D$63</f>
        <v>0.00531766022949902</v>
      </c>
    </row>
    <row r="5" customFormat="false" ht="15" hidden="false" customHeight="true" outlineLevel="0" collapsed="false">
      <c r="A5" s="13" t="s">
        <v>53</v>
      </c>
      <c r="C5" s="14" t="n">
        <f aca="false">Model!$E$63</f>
        <v>211.983207388749</v>
      </c>
    </row>
    <row r="6" customFormat="false" ht="15" hidden="false" customHeight="true" outlineLevel="0" collapsed="false">
      <c r="A6" s="13" t="s">
        <v>99</v>
      </c>
      <c r="C6" s="15" t="n">
        <f aca="false">Model!$Q$63</f>
        <v>0.1</v>
      </c>
    </row>
    <row r="7" customFormat="false" ht="15" hidden="false" customHeight="true" outlineLevel="0" collapsed="false">
      <c r="A7" s="13" t="s">
        <v>100</v>
      </c>
      <c r="C7" s="15" t="n">
        <f aca="false">Model!$G$63</f>
        <v>0.18072</v>
      </c>
    </row>
    <row r="8" customFormat="false" ht="15" hidden="false" customHeight="true" outlineLevel="0" collapsed="false">
      <c r="A8" s="13" t="s">
        <v>101</v>
      </c>
      <c r="C8" s="15" t="n">
        <f aca="false">Model!$R$63</f>
        <v>0.14977641207222</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IF($A13&lt;=Model!$B$3,Data!$B$4*Model!$D$63,0)</f>
        <v>22.6691855583543</v>
      </c>
      <c r="C13" s="21" t="n">
        <f aca="false">$B13*IF(Model!$B$5=1,Data!$D$4,Model!$AC$63)</f>
        <v>5.86400367515592</v>
      </c>
      <c r="D13" s="21" t="n">
        <f aca="false">$B13*IF(Model!$B$5=1,Data!$E$4,Model!$AD$63)</f>
        <v>7.17715771664594</v>
      </c>
      <c r="E13" s="21" t="n">
        <f aca="false">$B13*IF(Model!$B$5=1,Data!$F$4,Model!$AE$63)</f>
        <v>4.19464995439531</v>
      </c>
      <c r="F13" s="21" t="n">
        <f aca="false">$B13*IF(Model!$B$5=1,Data!$G$4,Model!$AF$63)</f>
        <v>5.43337421215715</v>
      </c>
      <c r="G13" s="21" t="n">
        <f aca="false">$B13*Model!$S$63</f>
        <v>13.7247728727902</v>
      </c>
      <c r="H13" s="21" t="n">
        <f aca="false">$B13*Model!$T$63</f>
        <v>3.42714566332307</v>
      </c>
      <c r="I13" s="21" t="n">
        <f aca="false">$B13*Model!$U$63</f>
        <v>1.62517423320281</v>
      </c>
      <c r="J13" s="21" t="n">
        <f aca="false">$B13*Model!$V$63</f>
        <v>1.62517423320281</v>
      </c>
      <c r="K13" s="21" t="n">
        <f aca="false">$B13*Model!$W$63</f>
        <v>1.53706878188614</v>
      </c>
      <c r="L13" s="21" t="n">
        <f aca="false">$B13*Model!$X$63</f>
        <v>0.421232496154479</v>
      </c>
      <c r="M13" s="21" t="n">
        <f aca="false">$B13*Model!$Y$63</f>
        <v>0.241563941672263</v>
      </c>
      <c r="N13" s="21" t="n">
        <f aca="false">$B13*Model!$Z$63</f>
        <v>0.0249300865071018</v>
      </c>
      <c r="O13" s="21" t="n">
        <f aca="false">$B13*Model!$AA$63</f>
        <v>0.0421232496154479</v>
      </c>
    </row>
    <row r="14" customFormat="false" ht="15" hidden="false" customHeight="true" outlineLevel="0" collapsed="false">
      <c r="A14" s="23" t="n">
        <v>2027</v>
      </c>
      <c r="B14" s="21" t="n">
        <f aca="false">IF($A14&lt;=Model!$B$3,Data!$B$5*Model!$D$63,0)</f>
        <v>22.6691855583543</v>
      </c>
      <c r="C14" s="21" t="n">
        <f aca="false">$B14*IF(Model!$B$5=1,Data!$D$5,Model!$AC$63)</f>
        <v>5.69919486832923</v>
      </c>
      <c r="D14" s="21" t="n">
        <f aca="false">$B14*IF(Model!$B$5=1,Data!$E$5,Model!$AD$63)</f>
        <v>7.19842336913971</v>
      </c>
      <c r="E14" s="21" t="n">
        <f aca="false">$B14*IF(Model!$B$5=1,Data!$F$5,Model!$AE$63)</f>
        <v>4.18401712814843</v>
      </c>
      <c r="F14" s="21" t="n">
        <f aca="false">$B14*IF(Model!$B$5=1,Data!$G$5,Model!$AF$63)</f>
        <v>5.58755019273696</v>
      </c>
      <c r="G14" s="21" t="n">
        <f aca="false">$B14*Model!$S$63</f>
        <v>13.7247728727902</v>
      </c>
      <c r="H14" s="21" t="n">
        <f aca="false">$B14*Model!$T$63</f>
        <v>3.42714566332307</v>
      </c>
      <c r="I14" s="21" t="n">
        <f aca="false">$B14*Model!$U$63</f>
        <v>1.62517423320281</v>
      </c>
      <c r="J14" s="21" t="n">
        <f aca="false">$B14*Model!$V$63</f>
        <v>1.62517423320281</v>
      </c>
      <c r="K14" s="21" t="n">
        <f aca="false">$B14*Model!$W$63</f>
        <v>1.53706878188614</v>
      </c>
      <c r="L14" s="21" t="n">
        <f aca="false">$B14*Model!$X$63</f>
        <v>0.421232496154479</v>
      </c>
      <c r="M14" s="21" t="n">
        <f aca="false">$B14*Model!$Y$63</f>
        <v>0.241563941672263</v>
      </c>
      <c r="N14" s="21" t="n">
        <f aca="false">$B14*Model!$Z$63</f>
        <v>0.0249300865071018</v>
      </c>
      <c r="O14" s="21" t="n">
        <f aca="false">$B14*Model!$AA$63</f>
        <v>0.0421232496154479</v>
      </c>
    </row>
    <row r="15" customFormat="false" ht="15" hidden="false" customHeight="true" outlineLevel="0" collapsed="false">
      <c r="A15" s="23" t="n">
        <v>2028</v>
      </c>
      <c r="B15" s="21" t="n">
        <f aca="false">IF($A15&lt;=Model!$B$3,Data!$B$6*Model!$D$63,0)</f>
        <v>22.6691855583543</v>
      </c>
      <c r="C15" s="21" t="n">
        <f aca="false">$B15*IF(Model!$B$5=1,Data!$D$6,Model!$AC$63)</f>
        <v>5.68059365939053</v>
      </c>
      <c r="D15" s="21" t="n">
        <f aca="false">$B15*IF(Model!$B$5=1,Data!$E$6,Model!$AD$63)</f>
        <v>7.20180132473293</v>
      </c>
      <c r="E15" s="21" t="n">
        <f aca="false">$B15*IF(Model!$B$5=1,Data!$F$6,Model!$AE$63)</f>
        <v>4.18598053365201</v>
      </c>
      <c r="F15" s="21" t="n">
        <f aca="false">$B15*IF(Model!$B$5=1,Data!$G$6,Model!$AF$63)</f>
        <v>5.60081004057886</v>
      </c>
      <c r="G15" s="21" t="n">
        <f aca="false">$B15*Model!$S$63</f>
        <v>13.7247728727902</v>
      </c>
      <c r="H15" s="21" t="n">
        <f aca="false">$B15*Model!$T$63</f>
        <v>3.42714566332307</v>
      </c>
      <c r="I15" s="21" t="n">
        <f aca="false">$B15*Model!$U$63</f>
        <v>1.62517423320281</v>
      </c>
      <c r="J15" s="21" t="n">
        <f aca="false">$B15*Model!$V$63</f>
        <v>1.62517423320281</v>
      </c>
      <c r="K15" s="21" t="n">
        <f aca="false">$B15*Model!$W$63</f>
        <v>1.53706878188614</v>
      </c>
      <c r="L15" s="21" t="n">
        <f aca="false">$B15*Model!$X$63</f>
        <v>0.421232496154479</v>
      </c>
      <c r="M15" s="21" t="n">
        <f aca="false">$B15*Model!$Y$63</f>
        <v>0.241563941672263</v>
      </c>
      <c r="N15" s="21" t="n">
        <f aca="false">$B15*Model!$Z$63</f>
        <v>0.0249300865071018</v>
      </c>
      <c r="O15" s="21" t="n">
        <f aca="false">$B15*Model!$AA$63</f>
        <v>0.0421232496154479</v>
      </c>
    </row>
    <row r="16" customFormat="false" ht="15" hidden="false" customHeight="true" outlineLevel="0" collapsed="false">
      <c r="A16" s="23" t="n">
        <v>2029</v>
      </c>
      <c r="B16" s="21" t="n">
        <f aca="false">IF($A16&lt;=Model!$B$3,Data!$B$7*Model!$D$63,0)</f>
        <v>22.6691855583543</v>
      </c>
      <c r="C16" s="21" t="n">
        <f aca="false">$B16*IF(Model!$B$5=1,Data!$D$7,Model!$AC$63)</f>
        <v>5.62076686258047</v>
      </c>
      <c r="D16" s="21" t="n">
        <f aca="false">$B16*IF(Model!$B$5=1,Data!$E$7,Model!$AD$63)</f>
        <v>7.16288832913518</v>
      </c>
      <c r="E16" s="21" t="n">
        <f aca="false">$B16*IF(Model!$B$5=1,Data!$F$7,Model!$AE$63)</f>
        <v>4.15841029946824</v>
      </c>
      <c r="F16" s="21" t="n">
        <f aca="false">$B16*IF(Model!$B$5=1,Data!$G$7,Model!$AF$63)</f>
        <v>5.72712006717044</v>
      </c>
      <c r="G16" s="21" t="n">
        <f aca="false">$B16*Model!$S$63</f>
        <v>13.7247728727902</v>
      </c>
      <c r="H16" s="21" t="n">
        <f aca="false">$B16*Model!$T$63</f>
        <v>3.42714566332307</v>
      </c>
      <c r="I16" s="21" t="n">
        <f aca="false">$B16*Model!$U$63</f>
        <v>1.62517423320281</v>
      </c>
      <c r="J16" s="21" t="n">
        <f aca="false">$B16*Model!$V$63</f>
        <v>1.62517423320281</v>
      </c>
      <c r="K16" s="21" t="n">
        <f aca="false">$B16*Model!$W$63</f>
        <v>1.53706878188614</v>
      </c>
      <c r="L16" s="21" t="n">
        <f aca="false">$B16*Model!$X$63</f>
        <v>0.421232496154479</v>
      </c>
      <c r="M16" s="21" t="n">
        <f aca="false">$B16*Model!$Y$63</f>
        <v>0.241563941672263</v>
      </c>
      <c r="N16" s="21" t="n">
        <f aca="false">$B16*Model!$Z$63</f>
        <v>0.0249300865071018</v>
      </c>
      <c r="O16" s="21" t="n">
        <f aca="false">$B16*Model!$AA$63</f>
        <v>0.0421232496154479</v>
      </c>
    </row>
    <row r="17" customFormat="false" ht="15" hidden="false" customHeight="true" outlineLevel="0" collapsed="false">
      <c r="A17" s="23" t="n">
        <v>2030</v>
      </c>
      <c r="B17" s="21" t="n">
        <f aca="false">IF($A17&lt;=Model!$B$3,Data!$B$8*Model!$D$63,0)</f>
        <v>22.6691855583543</v>
      </c>
      <c r="C17" s="21" t="n">
        <f aca="false">$B17*IF(Model!$B$5=1,Data!$D$8,Model!$AC$63)</f>
        <v>5.61144785642041</v>
      </c>
      <c r="D17" s="21" t="n">
        <f aca="false">$B17*IF(Model!$B$5=1,Data!$E$8,Model!$AD$63)</f>
        <v>7.05819081087193</v>
      </c>
      <c r="E17" s="21" t="n">
        <f aca="false">$B17*IF(Model!$B$5=1,Data!$F$8,Model!$AE$63)</f>
        <v>4.1647049019689</v>
      </c>
      <c r="F17" s="21" t="n">
        <f aca="false">$B17*IF(Model!$B$5=1,Data!$G$8,Model!$AF$63)</f>
        <v>5.83484198909307</v>
      </c>
      <c r="G17" s="21" t="n">
        <f aca="false">$B17*Model!$S$63</f>
        <v>13.7247728727902</v>
      </c>
      <c r="H17" s="21" t="n">
        <f aca="false">$B17*Model!$T$63</f>
        <v>3.42714566332307</v>
      </c>
      <c r="I17" s="21" t="n">
        <f aca="false">$B17*Model!$U$63</f>
        <v>1.62517423320281</v>
      </c>
      <c r="J17" s="21" t="n">
        <f aca="false">$B17*Model!$V$63</f>
        <v>1.62517423320281</v>
      </c>
      <c r="K17" s="21" t="n">
        <f aca="false">$B17*Model!$W$63</f>
        <v>1.53706878188614</v>
      </c>
      <c r="L17" s="21" t="n">
        <f aca="false">$B17*Model!$X$63</f>
        <v>0.421232496154479</v>
      </c>
      <c r="M17" s="21" t="n">
        <f aca="false">$B17*Model!$Y$63</f>
        <v>0.241563941672263</v>
      </c>
      <c r="N17" s="21" t="n">
        <f aca="false">$B17*Model!$Z$63</f>
        <v>0.0249300865071018</v>
      </c>
      <c r="O17" s="21" t="n">
        <f aca="false">$B17*Model!$AA$63</f>
        <v>0.0421232496154479</v>
      </c>
    </row>
    <row r="18" customFormat="false" ht="15" hidden="false" customHeight="true" outlineLevel="0" collapsed="false">
      <c r="A18" s="23" t="n">
        <v>2031</v>
      </c>
      <c r="B18" s="21" t="n">
        <f aca="false">IF($A18&lt;=Model!$B$3,Data!$B$9*Model!$D$63,0)</f>
        <v>11.5286873775539</v>
      </c>
      <c r="C18" s="21" t="n">
        <f aca="false">$B18*IF(Model!$B$5=1,Data!$D$9,Model!$AC$63)</f>
        <v>2.66414777497901</v>
      </c>
      <c r="D18" s="21" t="n">
        <f aca="false">$B18*IF(Model!$B$5=1,Data!$E$9,Model!$AD$63)</f>
        <v>3.50433809123986</v>
      </c>
      <c r="E18" s="21" t="n">
        <f aca="false">$B18*IF(Model!$B$5=1,Data!$F$9,Model!$AE$63)</f>
        <v>2.1908760145536</v>
      </c>
      <c r="F18" s="21" t="n">
        <f aca="false">$B18*IF(Model!$B$5=1,Data!$G$9,Model!$AF$63)</f>
        <v>3.16932549678142</v>
      </c>
      <c r="G18" s="21" t="n">
        <f aca="false">$B18*Model!$S$63</f>
        <v>6.97989856631696</v>
      </c>
      <c r="H18" s="21" t="n">
        <f aca="false">$B18*Model!$T$63</f>
        <v>1.74291620879297</v>
      </c>
      <c r="I18" s="21" t="n">
        <f aca="false">$B18*Model!$U$63</f>
        <v>0.826501932344284</v>
      </c>
      <c r="J18" s="21" t="n">
        <f aca="false">$B18*Model!$V$63</f>
        <v>0.826501932344284</v>
      </c>
      <c r="K18" s="21" t="n">
        <f aca="false">$B18*Model!$W$63</f>
        <v>0.781694843802288</v>
      </c>
      <c r="L18" s="21" t="n">
        <f aca="false">$B18*Model!$X$63</f>
        <v>0.214222859878703</v>
      </c>
      <c r="M18" s="21" t="n">
        <f aca="false">$B18*Model!$Y$63</f>
        <v>0.122850252297787</v>
      </c>
      <c r="N18" s="21" t="n">
        <f aca="false">$B18*Model!$Z$63</f>
        <v>0.0126784957887396</v>
      </c>
      <c r="O18" s="21" t="n">
        <f aca="false">$B18*Model!$AA$63</f>
        <v>0.0214222859878703</v>
      </c>
    </row>
    <row r="19" customFormat="false" ht="15" hidden="false" customHeight="true" outlineLevel="0" collapsed="false">
      <c r="A19" s="23" t="n">
        <v>2032</v>
      </c>
      <c r="B19" s="21" t="n">
        <f aca="false">IF($A19&lt;=Model!$B$3,Data!$B$10*Model!$D$63,0)</f>
        <v>11.5286873775539</v>
      </c>
      <c r="C19" s="21" t="n">
        <f aca="false">$B19*IF(Model!$B$5=1,Data!$D$10,Model!$AC$63)</f>
        <v>2.56311223061853</v>
      </c>
      <c r="D19" s="21" t="n">
        <f aca="false">$B19*IF(Model!$B$5=1,Data!$E$10,Model!$AD$63)</f>
        <v>3.43520850825637</v>
      </c>
      <c r="E19" s="21" t="n">
        <f aca="false">$B19*IF(Model!$B$5=1,Data!$F$10,Model!$AE$63)</f>
        <v>2.22809963616009</v>
      </c>
      <c r="F19" s="21" t="n">
        <f aca="false">$B19*IF(Model!$B$5=1,Data!$G$10,Model!$AF$63)</f>
        <v>3.30226700251889</v>
      </c>
      <c r="G19" s="21" t="n">
        <f aca="false">$B19*Model!$S$63</f>
        <v>6.97989856631696</v>
      </c>
      <c r="H19" s="21" t="n">
        <f aca="false">$B19*Model!$T$63</f>
        <v>1.74291620879297</v>
      </c>
      <c r="I19" s="21" t="n">
        <f aca="false">$B19*Model!$U$63</f>
        <v>0.826501932344284</v>
      </c>
      <c r="J19" s="21" t="n">
        <f aca="false">$B19*Model!$V$63</f>
        <v>0.826501932344284</v>
      </c>
      <c r="K19" s="21" t="n">
        <f aca="false">$B19*Model!$W$63</f>
        <v>0.781694843802288</v>
      </c>
      <c r="L19" s="21" t="n">
        <f aca="false">$B19*Model!$X$63</f>
        <v>0.214222859878703</v>
      </c>
      <c r="M19" s="21" t="n">
        <f aca="false">$B19*Model!$Y$63</f>
        <v>0.122850252297787</v>
      </c>
      <c r="N19" s="21" t="n">
        <f aca="false">$B19*Model!$Z$63</f>
        <v>0.0126784957887396</v>
      </c>
      <c r="O19" s="21" t="n">
        <f aca="false">$B19*Model!$AA$63</f>
        <v>0.0214222859878703</v>
      </c>
    </row>
    <row r="20" customFormat="false" ht="15" hidden="false" customHeight="true" outlineLevel="0" collapsed="false">
      <c r="A20" s="23" t="n">
        <v>2033</v>
      </c>
      <c r="B20" s="21" t="n">
        <f aca="false">IF($A20&lt;=Model!$B$3,Data!$B$11*Model!$D$63,0)</f>
        <v>11.5286873775539</v>
      </c>
      <c r="C20" s="21" t="n">
        <f aca="false">$B20*IF(Model!$B$5=1,Data!$D$11,Model!$AC$63)</f>
        <v>2.54301456689929</v>
      </c>
      <c r="D20" s="21" t="n">
        <f aca="false">$B20*IF(Model!$B$5=1,Data!$E$11,Model!$AD$63)</f>
        <v>3.4474339735371</v>
      </c>
      <c r="E20" s="21" t="n">
        <f aca="false">$B20*IF(Model!$B$5=1,Data!$F$11,Model!$AE$63)</f>
        <v>2.22912783165439</v>
      </c>
      <c r="F20" s="21" t="n">
        <f aca="false">$B20*IF(Model!$B$5=1,Data!$G$11,Model!$AF$63)</f>
        <v>3.30911100546309</v>
      </c>
      <c r="G20" s="21" t="n">
        <f aca="false">$B20*Model!$S$63</f>
        <v>6.97989856631696</v>
      </c>
      <c r="H20" s="21" t="n">
        <f aca="false">$B20*Model!$T$63</f>
        <v>1.74291620879297</v>
      </c>
      <c r="I20" s="21" t="n">
        <f aca="false">$B20*Model!$U$63</f>
        <v>0.826501932344284</v>
      </c>
      <c r="J20" s="21" t="n">
        <f aca="false">$B20*Model!$V$63</f>
        <v>0.826501932344284</v>
      </c>
      <c r="K20" s="21" t="n">
        <f aca="false">$B20*Model!$W$63</f>
        <v>0.781694843802288</v>
      </c>
      <c r="L20" s="21" t="n">
        <f aca="false">$B20*Model!$X$63</f>
        <v>0.214222859878703</v>
      </c>
      <c r="M20" s="21" t="n">
        <f aca="false">$B20*Model!$Y$63</f>
        <v>0.122850252297787</v>
      </c>
      <c r="N20" s="21" t="n">
        <f aca="false">$B20*Model!$Z$63</f>
        <v>0.0126784957887396</v>
      </c>
      <c r="O20" s="21" t="n">
        <f aca="false">$B20*Model!$AA$63</f>
        <v>0.0214222859878703</v>
      </c>
    </row>
    <row r="21" customFormat="false" ht="15" hidden="false" customHeight="true" outlineLevel="0" collapsed="false">
      <c r="A21" s="23" t="n">
        <v>2034</v>
      </c>
      <c r="B21" s="21" t="n">
        <f aca="false">IF($A21&lt;=Model!$B$3,Data!$B$12*Model!$D$63,0)</f>
        <v>11.5286873775539</v>
      </c>
      <c r="C21" s="21" t="n">
        <f aca="false">$B21*IF(Model!$B$5=1,Data!$D$12,Model!$AC$63)</f>
        <v>2.52057094878254</v>
      </c>
      <c r="D21" s="21" t="n">
        <f aca="false">$B21*IF(Model!$B$5=1,Data!$E$12,Model!$AD$63)</f>
        <v>3.45647914917437</v>
      </c>
      <c r="E21" s="21" t="n">
        <f aca="false">$B21*IF(Model!$B$5=1,Data!$F$12,Model!$AE$63)</f>
        <v>2.22809963616009</v>
      </c>
      <c r="F21" s="21" t="n">
        <f aca="false">$B21*IF(Model!$B$5=1,Data!$G$12,Model!$AF$63)</f>
        <v>3.32353764343688</v>
      </c>
      <c r="G21" s="21" t="n">
        <f aca="false">$B21*Model!$S$63</f>
        <v>6.97989856631696</v>
      </c>
      <c r="H21" s="21" t="n">
        <f aca="false">$B21*Model!$T$63</f>
        <v>1.74291620879297</v>
      </c>
      <c r="I21" s="21" t="n">
        <f aca="false">$B21*Model!$U$63</f>
        <v>0.826501932344284</v>
      </c>
      <c r="J21" s="21" t="n">
        <f aca="false">$B21*Model!$V$63</f>
        <v>0.826501932344284</v>
      </c>
      <c r="K21" s="21" t="n">
        <f aca="false">$B21*Model!$W$63</f>
        <v>0.781694843802288</v>
      </c>
      <c r="L21" s="21" t="n">
        <f aca="false">$B21*Model!$X$63</f>
        <v>0.214222859878703</v>
      </c>
      <c r="M21" s="21" t="n">
        <f aca="false">$B21*Model!$Y$63</f>
        <v>0.122850252297787</v>
      </c>
      <c r="N21" s="21" t="n">
        <f aca="false">$B21*Model!$Z$63</f>
        <v>0.0126784957887396</v>
      </c>
      <c r="O21" s="21" t="n">
        <f aca="false">$B21*Model!$AA$63</f>
        <v>0.0214222859878703</v>
      </c>
    </row>
    <row r="22" customFormat="false" ht="15" hidden="false" customHeight="true" outlineLevel="0" collapsed="false">
      <c r="A22" s="23" t="n">
        <v>2035</v>
      </c>
      <c r="B22" s="21" t="n">
        <f aca="false">IF($A22&lt;=Model!$B$3,Data!$B$13*Model!$D$63,0)</f>
        <v>11.1404981808004</v>
      </c>
      <c r="C22" s="21" t="n">
        <f aca="false">$B22*IF(Model!$B$5=1,Data!$D$13,Model!$AC$63)</f>
        <v>2.38762944304506</v>
      </c>
      <c r="D22" s="21" t="n">
        <f aca="false">$B22*IF(Model!$B$5=1,Data!$E$13,Model!$AD$63)</f>
        <v>3.29163168205989</v>
      </c>
      <c r="E22" s="21" t="n">
        <f aca="false">$B22*IF(Model!$B$5=1,Data!$F$13,Model!$AE$63)</f>
        <v>2.1376994122586</v>
      </c>
      <c r="F22" s="21" t="n">
        <f aca="false">$B22*IF(Model!$B$5=1,Data!$G$13,Model!$AF$63)</f>
        <v>3.32353764343689</v>
      </c>
      <c r="G22" s="21" t="n">
        <f aca="false">$B22*Model!$S$63</f>
        <v>6.74487430647326</v>
      </c>
      <c r="H22" s="21" t="n">
        <f aca="false">$B22*Model!$T$63</f>
        <v>1.6842294545301</v>
      </c>
      <c r="I22" s="21" t="n">
        <f aca="false">$B22*Model!$U$63</f>
        <v>0.798672300858521</v>
      </c>
      <c r="J22" s="21" t="n">
        <f aca="false">$B22*Model!$V$63</f>
        <v>0.798672300858521</v>
      </c>
      <c r="K22" s="21" t="n">
        <f aca="false">$B22*Model!$W$63</f>
        <v>0.755373938083853</v>
      </c>
      <c r="L22" s="21" t="n">
        <f aca="false">$B22*Model!$X$63</f>
        <v>0.207009636275776</v>
      </c>
      <c r="M22" s="21" t="n">
        <f aca="false">$B22*Model!$Y$63</f>
        <v>0.118713689374476</v>
      </c>
      <c r="N22" s="21" t="n">
        <f aca="false">$B22*Model!$Z$63</f>
        <v>0.0122515907183623</v>
      </c>
      <c r="O22" s="21" t="n">
        <f aca="false">$B22*Model!$AA$63</f>
        <v>0.0207009636275776</v>
      </c>
    </row>
    <row r="23" customFormat="false" ht="15" hidden="false" customHeight="true" outlineLevel="0" collapsed="false">
      <c r="A23" s="23" t="n">
        <v>2036</v>
      </c>
      <c r="B23" s="21" t="n">
        <f aca="false">IF($A23&lt;=Model!$B$3,Data!$B$14*Model!$D$63,0)</f>
        <v>8.43912678421495</v>
      </c>
      <c r="C23" s="21" t="n">
        <f aca="false">$B23*IF(Model!$B$5=1,Data!$D$14,Model!$AC$63)</f>
        <v>2.03579695717214</v>
      </c>
      <c r="D23" s="21" t="n">
        <f aca="false">$B23*IF(Model!$B$5=1,Data!$E$14,Model!$AD$63)</f>
        <v>2.61846787849742</v>
      </c>
      <c r="E23" s="21" t="n">
        <f aca="false">$B23*IF(Model!$B$5=1,Data!$F$14,Model!$AE$63)</f>
        <v>1.57807803929134</v>
      </c>
      <c r="F23" s="21" t="n">
        <f aca="false">$B23*IF(Model!$B$5=1,Data!$G$14,Model!$AF$63)</f>
        <v>2.20678390925405</v>
      </c>
      <c r="G23" s="21" t="n">
        <f aca="false">$B23*Model!$S$63</f>
        <v>5.10936301879382</v>
      </c>
      <c r="H23" s="21" t="n">
        <f aca="false">$B23*Model!$T$63</f>
        <v>1.27583395911183</v>
      </c>
      <c r="I23" s="21" t="n">
        <f aca="false">$B23*Model!$U$63</f>
        <v>0.605008563943901</v>
      </c>
      <c r="J23" s="21" t="n">
        <f aca="false">$B23*Model!$V$63</f>
        <v>0.605008563943901</v>
      </c>
      <c r="K23" s="21" t="n">
        <f aca="false">$B23*Model!$W$63</f>
        <v>0.57220927911173</v>
      </c>
      <c r="L23" s="21" t="n">
        <f aca="false">$B23*Model!$X$63</f>
        <v>0.156813504901984</v>
      </c>
      <c r="M23" s="21" t="n">
        <f aca="false">$B23*Model!$Y$63</f>
        <v>0.0899277446478726</v>
      </c>
      <c r="N23" s="21" t="n">
        <f aca="false">$B23*Model!$Z$63</f>
        <v>0.00928079926970927</v>
      </c>
      <c r="O23" s="21" t="n">
        <f aca="false">$B23*Model!$AA$63</f>
        <v>0.0156813504901984</v>
      </c>
    </row>
    <row r="24" customFormat="false" ht="15" hidden="false" customHeight="true" outlineLevel="0" collapsed="false">
      <c r="A24" s="23" t="n">
        <v>2037</v>
      </c>
      <c r="B24" s="21" t="n">
        <f aca="false">IF($A24&lt;=Model!$B$3,Data!$B$15*Model!$D$63,0)</f>
        <v>8.36999720123146</v>
      </c>
      <c r="C24" s="21" t="n">
        <f aca="false">$B24*IF(Model!$B$5=1,Data!$D$15,Model!$AC$63)</f>
        <v>2.01912061158724</v>
      </c>
      <c r="D24" s="21" t="n">
        <f aca="false">$B24*IF(Model!$B$5=1,Data!$E$15,Model!$AD$63)</f>
        <v>2.59701855120034</v>
      </c>
      <c r="E24" s="21" t="n">
        <f aca="false">$B24*IF(Model!$B$5=1,Data!$F$15,Model!$AE$63)</f>
        <v>1.56515112403565</v>
      </c>
      <c r="F24" s="21" t="n">
        <f aca="false">$B24*IF(Model!$B$5=1,Data!$G$15,Model!$AF$63)</f>
        <v>2.18870691440824</v>
      </c>
      <c r="G24" s="21" t="n">
        <f aca="false">$B24*Model!$S$63</f>
        <v>5.06750938347919</v>
      </c>
      <c r="H24" s="21" t="n">
        <f aca="false">$B24*Model!$T$63</f>
        <v>1.26538289328419</v>
      </c>
      <c r="I24" s="21" t="n">
        <f aca="false">$B24*Model!$U$63</f>
        <v>0.600052602172464</v>
      </c>
      <c r="J24" s="21" t="n">
        <f aca="false">$B24*Model!$V$63</f>
        <v>0.600052602172464</v>
      </c>
      <c r="K24" s="21" t="n">
        <f aca="false">$B24*Model!$W$63</f>
        <v>0.567521994531735</v>
      </c>
      <c r="L24" s="21" t="n">
        <f aca="false">$B24*Model!$X$63</f>
        <v>0.15552895823297</v>
      </c>
      <c r="M24" s="21" t="n">
        <f aca="false">$B24*Model!$Y$63</f>
        <v>0.0891910964560501</v>
      </c>
      <c r="N24" s="21" t="n">
        <f aca="false">$B24*Model!$Z$63</f>
        <v>0.00920477507909413</v>
      </c>
      <c r="O24" s="21" t="n">
        <f aca="false">$B24*Model!$AA$63</f>
        <v>0.015552895823297</v>
      </c>
    </row>
    <row r="25" customFormat="false" ht="15" hidden="false" customHeight="true" outlineLevel="0" collapsed="false">
      <c r="A25" s="23" t="n">
        <v>2038</v>
      </c>
      <c r="B25" s="21" t="n">
        <f aca="false">IF($A25&lt;=Model!$B$3,Data!$B$16*Model!$D$63,0)</f>
        <v>8.26896165687098</v>
      </c>
      <c r="C25" s="21" t="n">
        <f aca="false">$B25*IF(Model!$B$5=1,Data!$D$16,Model!$AC$63)</f>
        <v>1.99474749111701</v>
      </c>
      <c r="D25" s="21" t="n">
        <f aca="false">$B25*IF(Model!$B$5=1,Data!$E$16,Model!$AD$63)</f>
        <v>2.56566953438153</v>
      </c>
      <c r="E25" s="21" t="n">
        <f aca="false">$B25*IF(Model!$B$5=1,Data!$F$16,Model!$AE$63)</f>
        <v>1.5462579402004</v>
      </c>
      <c r="F25" s="21" t="n">
        <f aca="false">$B25*IF(Model!$B$5=1,Data!$G$16,Model!$AF$63)</f>
        <v>2.16228669117205</v>
      </c>
      <c r="G25" s="21" t="n">
        <f aca="false">$B25*Model!$S$63</f>
        <v>5.00633868571165</v>
      </c>
      <c r="H25" s="21" t="n">
        <f aca="false">$B25*Model!$T$63</f>
        <v>1.25010825861304</v>
      </c>
      <c r="I25" s="21" t="n">
        <f aca="false">$B25*Model!$U$63</f>
        <v>0.592809273429595</v>
      </c>
      <c r="J25" s="21" t="n">
        <f aca="false">$B25*Model!$V$63</f>
        <v>0.592809273429595</v>
      </c>
      <c r="K25" s="21" t="n">
        <f aca="false">$B25*Model!$W$63</f>
        <v>0.560671347837896</v>
      </c>
      <c r="L25" s="21" t="n">
        <f aca="false">$B25*Model!$X$63</f>
        <v>0.153651543870564</v>
      </c>
      <c r="M25" s="21" t="n">
        <f aca="false">$B25*Model!$Y$63</f>
        <v>0.0881144567910787</v>
      </c>
      <c r="N25" s="21" t="n">
        <f aca="false">$B25*Model!$Z$63</f>
        <v>0.00909366280050278</v>
      </c>
      <c r="O25" s="21" t="n">
        <f aca="false">$B25*Model!$AA$63</f>
        <v>0.0153651543870564</v>
      </c>
    </row>
    <row r="26" customFormat="false" ht="15" hidden="false" customHeight="true" outlineLevel="0" collapsed="false">
      <c r="A26" s="23" t="n">
        <v>2039</v>
      </c>
      <c r="B26" s="21" t="n">
        <f aca="false">IF($A26&lt;=Model!$B$3,Data!$B$17*Model!$D$63,0)</f>
        <v>8.19451441365799</v>
      </c>
      <c r="C26" s="21" t="n">
        <f aca="false">$B26*IF(Model!$B$5=1,Data!$D$17,Model!$AC$63)</f>
        <v>1.97678834971788</v>
      </c>
      <c r="D26" s="21" t="n">
        <f aca="false">$B26*IF(Model!$B$5=1,Data!$E$17,Model!$AD$63)</f>
        <v>2.54257025883082</v>
      </c>
      <c r="E26" s="21" t="n">
        <f aca="false">$B26*IF(Model!$B$5=1,Data!$F$17,Model!$AE$63)</f>
        <v>1.53233664684811</v>
      </c>
      <c r="F26" s="21" t="n">
        <f aca="false">$B26*IF(Model!$B$5=1,Data!$G$17,Model!$AF$63)</f>
        <v>2.14281915826118</v>
      </c>
      <c r="G26" s="21" t="n">
        <f aca="false">$B26*Model!$S$63</f>
        <v>4.96126553998821</v>
      </c>
      <c r="H26" s="21" t="n">
        <f aca="false">$B26*Model!$T$63</f>
        <v>1.23885326464482</v>
      </c>
      <c r="I26" s="21" t="n">
        <f aca="false">$B26*Model!$U$63</f>
        <v>0.587472083829585</v>
      </c>
      <c r="J26" s="21" t="n">
        <f aca="false">$B26*Model!$V$63</f>
        <v>0.587472083829585</v>
      </c>
      <c r="K26" s="21" t="n">
        <f aca="false">$B26*Model!$W$63</f>
        <v>0.555623502905593</v>
      </c>
      <c r="L26" s="21" t="n">
        <f aca="false">$B26*Model!$X$63</f>
        <v>0.152268185919318</v>
      </c>
      <c r="M26" s="21" t="n">
        <f aca="false">$B26*Model!$Y$63</f>
        <v>0.0873211433537314</v>
      </c>
      <c r="N26" s="21" t="n">
        <f aca="false">$B26*Model!$Z$63</f>
        <v>0.00901179059522494</v>
      </c>
      <c r="O26" s="21" t="n">
        <f aca="false">$B26*Model!$AA$63</f>
        <v>0.0152268185919318</v>
      </c>
    </row>
    <row r="27" customFormat="false" ht="15" hidden="false" customHeight="true" outlineLevel="0" collapsed="false">
      <c r="A27" s="23" t="n">
        <v>2040</v>
      </c>
      <c r="B27" s="21" t="n">
        <f aca="false">IF($A27&lt;=Model!$B$3,Data!$B$18*Model!$D$63,0)</f>
        <v>8.10943184998601</v>
      </c>
      <c r="C27" s="21" t="n">
        <f aca="false">$B27*IF(Model!$B$5=1,Data!$D$18,Model!$AC$63)</f>
        <v>1.95626361669031</v>
      </c>
      <c r="D27" s="21" t="n">
        <f aca="false">$B27*IF(Model!$B$5=1,Data!$E$18,Model!$AD$63)</f>
        <v>2.51617108677288</v>
      </c>
      <c r="E27" s="21" t="n">
        <f aca="false">$B27*IF(Model!$B$5=1,Data!$F$18,Model!$AE$63)</f>
        <v>1.51642659730264</v>
      </c>
      <c r="F27" s="21" t="n">
        <f aca="false">$B27*IF(Model!$B$5=1,Data!$G$18,Model!$AF$63)</f>
        <v>2.12057054922018</v>
      </c>
      <c r="G27" s="21" t="n">
        <f aca="false">$B27*Model!$S$63</f>
        <v>4.90975337344712</v>
      </c>
      <c r="H27" s="21" t="n">
        <f aca="false">$B27*Model!$T$63</f>
        <v>1.22599041439542</v>
      </c>
      <c r="I27" s="21" t="n">
        <f aca="false">$B27*Model!$U$63</f>
        <v>0.581372438572432</v>
      </c>
      <c r="J27" s="21" t="n">
        <f aca="false">$B27*Model!$V$63</f>
        <v>0.581372438572432</v>
      </c>
      <c r="K27" s="21" t="n">
        <f aca="false">$B27*Model!$W$63</f>
        <v>0.549854537268676</v>
      </c>
      <c r="L27" s="21" t="n">
        <f aca="false">$B27*Model!$X$63</f>
        <v>0.150687205403608</v>
      </c>
      <c r="M27" s="21" t="n">
        <f aca="false">$B27*Model!$Y$63</f>
        <v>0.0864144994253344</v>
      </c>
      <c r="N27" s="21" t="n">
        <f aca="false">$B27*Model!$Z$63</f>
        <v>0.0089182223606217</v>
      </c>
      <c r="O27" s="21" t="n">
        <f aca="false">$B27*Model!$AA$63</f>
        <v>0.0150687205403608</v>
      </c>
    </row>
    <row r="28" customFormat="false" ht="15" hidden="false" customHeight="true" outlineLevel="0" collapsed="false">
      <c r="A28" s="24" t="s">
        <v>118</v>
      </c>
      <c r="B28" s="25" t="n">
        <f aca="false">SUM(B13:B27)</f>
        <v>211.983207388749</v>
      </c>
      <c r="C28" s="25" t="n">
        <f aca="false">SUM(C13:C27)</f>
        <v>51.1371989124856</v>
      </c>
      <c r="D28" s="25" t="n">
        <f aca="false">SUM(D13:D27)</f>
        <v>65.7734502644763</v>
      </c>
      <c r="E28" s="25" t="n">
        <f aca="false">SUM(E13:E27)</f>
        <v>39.6399156960978</v>
      </c>
      <c r="F28" s="25" t="n">
        <f aca="false">SUM(F13:F27)</f>
        <v>55.4326425156893</v>
      </c>
      <c r="G28" s="25" t="n">
        <f aca="false">SUM(G13:G27)</f>
        <v>128.342562937112</v>
      </c>
      <c r="H28" s="25" t="n">
        <f aca="false">SUM(H13:H27)</f>
        <v>32.0477913963666</v>
      </c>
      <c r="I28" s="25" t="n">
        <f aca="false">SUM(I13:I27)</f>
        <v>15.1972661581977</v>
      </c>
      <c r="J28" s="25" t="n">
        <f aca="false">SUM(J13:J27)</f>
        <v>15.1972661581977</v>
      </c>
      <c r="K28" s="25" t="n">
        <f aca="false">SUM(K13:K27)</f>
        <v>14.3733778843793</v>
      </c>
      <c r="L28" s="25" t="n">
        <f aca="false">SUM(L13:L27)</f>
        <v>3.93901295489143</v>
      </c>
      <c r="M28" s="25" t="n">
        <f aca="false">SUM(M13:M27)</f>
        <v>2.258903347601</v>
      </c>
      <c r="N28" s="25" t="n">
        <f aca="false">SUM(N13:N27)</f>
        <v>0.233125256513983</v>
      </c>
      <c r="O28" s="25" t="n">
        <f aca="false">SUM(O13:O27)</f>
        <v>0.393901295489143</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0.186995546413275</v>
      </c>
      <c r="F29" s="26" t="n">
        <f aca="false">IF($B$28&gt;0,F28/$B$28,0)</f>
        <v>0.261495442014109</v>
      </c>
      <c r="G29" s="26" t="n">
        <f aca="false">IF($B$28&gt;0,G28/$B$28,0)</f>
        <v>0.605437404773997</v>
      </c>
      <c r="H29" s="26" t="n">
        <f aca="false">IF($B$28&gt;0,H28/$B$28,0)</f>
        <v>0.151180802437786</v>
      </c>
      <c r="I29" s="26" t="n">
        <f aca="false">IF($B$28&gt;0,I28/$B$28,0)</f>
        <v>0.0716908963941087</v>
      </c>
      <c r="J29" s="26" t="n">
        <f aca="false">IF($B$28&gt;0,J28/$B$28,0)</f>
        <v>0.0716908963941087</v>
      </c>
      <c r="K29" s="26" t="n">
        <f aca="false">IF($B$28&gt;0,K28/$B$28,0)</f>
        <v>0.0678043230944255</v>
      </c>
      <c r="L29" s="26" t="n">
        <f aca="false">IF($B$28&gt;0,L28/$B$28,0)</f>
        <v>0.018581721653394</v>
      </c>
      <c r="M29" s="26" t="n">
        <f aca="false">IF($B$28&gt;0,M28/$B$28,0)</f>
        <v>0.0106560485400076</v>
      </c>
      <c r="N29" s="26" t="n">
        <f aca="false">IF($B$28&gt;0,N28/$B$28,0)</f>
        <v>0.00109973454683352</v>
      </c>
      <c r="O29" s="26" t="n">
        <f aca="false">IF($B$28&gt;0,O28/$B$28,0)</f>
        <v>0.0018581721653394</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Data!$H$40*Data!$M$40/SUM(Data!$H$40:$K$40)</f>
        <v>27.7687296416938</v>
      </c>
      <c r="C34" s="22" t="n">
        <f aca="false">IF($B$38&gt;0,B34/$B$38,0)</f>
        <v>0.0814332247557003</v>
      </c>
      <c r="D34" s="21" t="n">
        <f aca="false">C28</f>
        <v>51.1371989124856</v>
      </c>
      <c r="E34" s="22" t="n">
        <f aca="false">IF($D$38&gt;0,D34/$D$38,0)</f>
        <v>0.241232310532536</v>
      </c>
      <c r="F34" s="21" t="n">
        <f aca="false">B34+D34</f>
        <v>78.9059285541794</v>
      </c>
      <c r="G34" s="22" t="n">
        <f aca="false">IF($F$38&gt;0,F34/$F$38,0)</f>
        <v>0.142691364764551</v>
      </c>
    </row>
    <row r="35" customFormat="false" ht="15" hidden="false" customHeight="true" outlineLevel="0" collapsed="false">
      <c r="A35" s="13" t="s">
        <v>106</v>
      </c>
      <c r="B35" s="21" t="n">
        <f aca="false">Data!$I$40*Data!$M$40/SUM(Data!$H$40:$K$40)</f>
        <v>59.9804560260586</v>
      </c>
      <c r="C35" s="22" t="n">
        <f aca="false">IF($B$38&gt;0,B35/$B$38,0)</f>
        <v>0.175895765472313</v>
      </c>
      <c r="D35" s="21" t="n">
        <f aca="false">D28</f>
        <v>65.7734502644763</v>
      </c>
      <c r="E35" s="22" t="n">
        <f aca="false">IF($D$38&gt;0,D35/$D$38,0)</f>
        <v>0.310276701040081</v>
      </c>
      <c r="F35" s="21" t="n">
        <f aca="false">B35+D35</f>
        <v>125.753906290535</v>
      </c>
      <c r="G35" s="22" t="n">
        <f aca="false">IF($F$38&gt;0,F35/$F$38,0)</f>
        <v>0.227409991135824</v>
      </c>
    </row>
    <row r="36" customFormat="false" ht="15" hidden="false" customHeight="true" outlineLevel="0" collapsed="false">
      <c r="A36" s="13" t="s">
        <v>107</v>
      </c>
      <c r="B36" s="21" t="n">
        <f aca="false">Data!$J$40*Data!$M$40/SUM(Data!$H$40:$K$40)</f>
        <v>136.622149837134</v>
      </c>
      <c r="C36" s="22" t="n">
        <f aca="false">IF($B$38&gt;0,B36/$B$38,0)</f>
        <v>0.400651465798046</v>
      </c>
      <c r="D36" s="21" t="n">
        <f aca="false">E28</f>
        <v>39.6399156960978</v>
      </c>
      <c r="E36" s="22" t="n">
        <f aca="false">IF($D$38&gt;0,D36/$D$38,0)</f>
        <v>0.186995546413275</v>
      </c>
      <c r="F36" s="21" t="n">
        <f aca="false">B36+D36</f>
        <v>176.262065533231</v>
      </c>
      <c r="G36" s="22" t="n">
        <f aca="false">IF($F$38&gt;0,F36/$F$38,0)</f>
        <v>0.31874759156894</v>
      </c>
    </row>
    <row r="37" customFormat="false" ht="15" hidden="false" customHeight="true" outlineLevel="0" collapsed="false">
      <c r="A37" s="13" t="s">
        <v>108</v>
      </c>
      <c r="B37" s="21" t="n">
        <f aca="false">Data!$K$40*Data!$M$40/SUM(Data!$H$40:$K$40)</f>
        <v>116.628664495114</v>
      </c>
      <c r="C37" s="22" t="n">
        <f aca="false">IF($B$38&gt;0,B37/$B$38,0)</f>
        <v>0.342019543973941</v>
      </c>
      <c r="D37" s="21" t="n">
        <f aca="false">F28</f>
        <v>55.4326425156893</v>
      </c>
      <c r="E37" s="22" t="n">
        <f aca="false">IF($D$38&gt;0,D37/$D$38,0)</f>
        <v>0.261495442014109</v>
      </c>
      <c r="F37" s="21" t="n">
        <f aca="false">B37+D37</f>
        <v>172.061307010803</v>
      </c>
      <c r="G37" s="22" t="n">
        <f aca="false">IF($F$38&gt;0,F37/$F$38,0)</f>
        <v>0.311151052530685</v>
      </c>
    </row>
    <row r="38" customFormat="false" ht="15" hidden="false" customHeight="true" outlineLevel="0" collapsed="false">
      <c r="A38" s="24" t="s">
        <v>61</v>
      </c>
      <c r="B38" s="25" t="n">
        <f aca="false">SUM(B34:B37)</f>
        <v>341</v>
      </c>
      <c r="C38" s="27" t="n">
        <f aca="false">SUM(C34:C37)</f>
        <v>1</v>
      </c>
      <c r="D38" s="25" t="n">
        <f aca="false">SUM(D34:D37)</f>
        <v>211.983207388749</v>
      </c>
      <c r="E38" s="27" t="n">
        <f aca="false">SUM(E34:E37)</f>
        <v>1</v>
      </c>
      <c r="F38" s="25" t="n">
        <f aca="false">SUM(F34:F37)</f>
        <v>552.983207388749</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BE6D8"/>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192</v>
      </c>
    </row>
    <row r="2" customFormat="false" ht="15" hidden="false" customHeight="true" outlineLevel="0" collapsed="false">
      <c r="A2" s="3" t="str">
        <f aca="false">Model!$B$64&amp;" · new homes per year, 2026–"&amp;Model!$B$3&amp;" · set by the levers on the Intro tab"</f>
        <v>Village · new homes per year, 2026–2040 · set by the levers on the Intro tab</v>
      </c>
    </row>
    <row r="4" customFormat="false" ht="15" hidden="false" customHeight="true" outlineLevel="0" collapsed="false">
      <c r="A4" s="13" t="s">
        <v>332</v>
      </c>
      <c r="C4" s="67" t="n">
        <f aca="false">Model!$D$64</f>
        <v>0.00415150667039836</v>
      </c>
    </row>
    <row r="5" customFormat="false" ht="15" hidden="false" customHeight="true" outlineLevel="0" collapsed="false">
      <c r="A5" s="13" t="s">
        <v>53</v>
      </c>
      <c r="C5" s="14" t="n">
        <f aca="false">Model!$E$64</f>
        <v>165.49566190876</v>
      </c>
    </row>
    <row r="6" customFormat="false" ht="15" hidden="false" customHeight="true" outlineLevel="0" collapsed="false">
      <c r="A6" s="13" t="s">
        <v>99</v>
      </c>
      <c r="C6" s="15" t="n">
        <f aca="false">Model!$Q$64</f>
        <v>0.1</v>
      </c>
    </row>
    <row r="7" customFormat="false" ht="15" hidden="false" customHeight="true" outlineLevel="0" collapsed="false">
      <c r="A7" s="13" t="s">
        <v>100</v>
      </c>
      <c r="C7" s="15" t="n">
        <f aca="false">Model!$G$64</f>
        <v>0.24609</v>
      </c>
    </row>
    <row r="8" customFormat="false" ht="15" hidden="false" customHeight="true" outlineLevel="0" collapsed="false">
      <c r="A8" s="13" t="s">
        <v>101</v>
      </c>
      <c r="C8" s="15" t="n">
        <f aca="false">Model!$R$64</f>
        <v>0.190058703784181</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IF($A13&lt;=Model!$B$3,Data!$B$4*Model!$D$64,0)</f>
        <v>17.6978729359082</v>
      </c>
      <c r="C13" s="21" t="n">
        <f aca="false">$B13*IF(Model!$B$5=1,Data!$D$4,Model!$AC$64)</f>
        <v>4.57803795691997</v>
      </c>
      <c r="D13" s="21" t="n">
        <f aca="false">$B13*IF(Model!$B$5=1,Data!$E$4,Model!$AD$64)</f>
        <v>5.60321962089026</v>
      </c>
      <c r="E13" s="21" t="n">
        <f aca="false">$B13*IF(Model!$B$5=1,Data!$F$4,Model!$AE$64)</f>
        <v>3.27477057843143</v>
      </c>
      <c r="F13" s="21" t="n">
        <f aca="false">$B13*IF(Model!$B$5=1,Data!$G$4,Model!$AF$64)</f>
        <v>4.24184477966655</v>
      </c>
      <c r="G13" s="21" t="n">
        <f aca="false">$B13*Model!$S$64</f>
        <v>10.7149542603362</v>
      </c>
      <c r="H13" s="21" t="n">
        <f aca="false">$B13*Model!$T$64</f>
        <v>2.67557863189257</v>
      </c>
      <c r="I13" s="21" t="n">
        <f aca="false">$B13*Model!$U$64</f>
        <v>1.2687763750443</v>
      </c>
      <c r="J13" s="21" t="n">
        <f aca="false">$B13*Model!$V$64</f>
        <v>1.2687763750443</v>
      </c>
      <c r="K13" s="21" t="n">
        <f aca="false">$B13*Model!$W$64</f>
        <v>1.19999229463041</v>
      </c>
      <c r="L13" s="21" t="n">
        <f aca="false">$B13*Model!$X$64</f>
        <v>0.328856948752181</v>
      </c>
      <c r="M13" s="21" t="n">
        <f aca="false">$B13*Model!$Y$64</f>
        <v>0.188589393059924</v>
      </c>
      <c r="N13" s="21" t="n">
        <f aca="false">$B13*Model!$Z$64</f>
        <v>0.0194629622730883</v>
      </c>
      <c r="O13" s="21" t="n">
        <f aca="false">$B13*Model!$AA$64</f>
        <v>0.0328856948752181</v>
      </c>
    </row>
    <row r="14" customFormat="false" ht="15" hidden="false" customHeight="true" outlineLevel="0" collapsed="false">
      <c r="A14" s="23" t="n">
        <v>2027</v>
      </c>
      <c r="B14" s="21" t="n">
        <f aca="false">IF($A14&lt;=Model!$B$3,Data!$B$5*Model!$D$64,0)</f>
        <v>17.6978729359082</v>
      </c>
      <c r="C14" s="21" t="n">
        <f aca="false">$B14*IF(Model!$B$5=1,Data!$D$5,Model!$AC$64)</f>
        <v>4.44937143229212</v>
      </c>
      <c r="D14" s="21" t="n">
        <f aca="false">$B14*IF(Model!$B$5=1,Data!$E$5,Model!$AD$64)</f>
        <v>5.6198217531003</v>
      </c>
      <c r="E14" s="21" t="n">
        <f aca="false">$B14*IF(Model!$B$5=1,Data!$F$5,Model!$AE$64)</f>
        <v>3.2664695123264</v>
      </c>
      <c r="F14" s="21" t="n">
        <f aca="false">$B14*IF(Model!$B$5=1,Data!$G$5,Model!$AF$64)</f>
        <v>4.36221023818938</v>
      </c>
      <c r="G14" s="21" t="n">
        <f aca="false">$B14*Model!$S$64</f>
        <v>10.7149542603362</v>
      </c>
      <c r="H14" s="21" t="n">
        <f aca="false">$B14*Model!$T$64</f>
        <v>2.67557863189257</v>
      </c>
      <c r="I14" s="21" t="n">
        <f aca="false">$B14*Model!$U$64</f>
        <v>1.2687763750443</v>
      </c>
      <c r="J14" s="21" t="n">
        <f aca="false">$B14*Model!$V$64</f>
        <v>1.2687763750443</v>
      </c>
      <c r="K14" s="21" t="n">
        <f aca="false">$B14*Model!$W$64</f>
        <v>1.19999229463041</v>
      </c>
      <c r="L14" s="21" t="n">
        <f aca="false">$B14*Model!$X$64</f>
        <v>0.328856948752181</v>
      </c>
      <c r="M14" s="21" t="n">
        <f aca="false">$B14*Model!$Y$64</f>
        <v>0.188589393059924</v>
      </c>
      <c r="N14" s="21" t="n">
        <f aca="false">$B14*Model!$Z$64</f>
        <v>0.0194629622730883</v>
      </c>
      <c r="O14" s="21" t="n">
        <f aca="false">$B14*Model!$AA$64</f>
        <v>0.0328856948752181</v>
      </c>
    </row>
    <row r="15" customFormat="false" ht="15" hidden="false" customHeight="true" outlineLevel="0" collapsed="false">
      <c r="A15" s="23" t="n">
        <v>2028</v>
      </c>
      <c r="B15" s="21" t="n">
        <f aca="false">IF($A15&lt;=Model!$B$3,Data!$B$6*Model!$D$64,0)</f>
        <v>17.6978729359082</v>
      </c>
      <c r="C15" s="21" t="n">
        <f aca="false">$B15*IF(Model!$B$5=1,Data!$D$6,Model!$AC$64)</f>
        <v>4.43484943583998</v>
      </c>
      <c r="D15" s="21" t="n">
        <f aca="false">$B15*IF(Model!$B$5=1,Data!$E$6,Model!$AD$64)</f>
        <v>5.62245892895817</v>
      </c>
      <c r="E15" s="21" t="n">
        <f aca="false">$B15*IF(Model!$B$5=1,Data!$F$6,Model!$AE$64)</f>
        <v>3.26800234644762</v>
      </c>
      <c r="F15" s="21" t="n">
        <f aca="false">$B15*IF(Model!$B$5=1,Data!$G$6,Model!$AF$64)</f>
        <v>4.37256222466244</v>
      </c>
      <c r="G15" s="21" t="n">
        <f aca="false">$B15*Model!$S$64</f>
        <v>10.7149542603362</v>
      </c>
      <c r="H15" s="21" t="n">
        <f aca="false">$B15*Model!$T$64</f>
        <v>2.67557863189257</v>
      </c>
      <c r="I15" s="21" t="n">
        <f aca="false">$B15*Model!$U$64</f>
        <v>1.2687763750443</v>
      </c>
      <c r="J15" s="21" t="n">
        <f aca="false">$B15*Model!$V$64</f>
        <v>1.2687763750443</v>
      </c>
      <c r="K15" s="21" t="n">
        <f aca="false">$B15*Model!$W$64</f>
        <v>1.19999229463041</v>
      </c>
      <c r="L15" s="21" t="n">
        <f aca="false">$B15*Model!$X$64</f>
        <v>0.328856948752181</v>
      </c>
      <c r="M15" s="21" t="n">
        <f aca="false">$B15*Model!$Y$64</f>
        <v>0.188589393059924</v>
      </c>
      <c r="N15" s="21" t="n">
        <f aca="false">$B15*Model!$Z$64</f>
        <v>0.0194629622730883</v>
      </c>
      <c r="O15" s="21" t="n">
        <f aca="false">$B15*Model!$AA$64</f>
        <v>0.0328856948752181</v>
      </c>
    </row>
    <row r="16" customFormat="false" ht="15" hidden="false" customHeight="true" outlineLevel="0" collapsed="false">
      <c r="A16" s="23" t="n">
        <v>2029</v>
      </c>
      <c r="B16" s="21" t="n">
        <f aca="false">IF($A16&lt;=Model!$B$3,Data!$B$7*Model!$D$64,0)</f>
        <v>17.6978729359082</v>
      </c>
      <c r="C16" s="21" t="n">
        <f aca="false">$B16*IF(Model!$B$5=1,Data!$D$7,Model!$AC$64)</f>
        <v>4.38814255061107</v>
      </c>
      <c r="D16" s="21" t="n">
        <f aca="false">$B16*IF(Model!$B$5=1,Data!$E$7,Model!$AD$64)</f>
        <v>5.59207948502658</v>
      </c>
      <c r="E16" s="21" t="n">
        <f aca="false">$B16*IF(Model!$B$5=1,Data!$F$7,Model!$AE$64)</f>
        <v>3.24647821625152</v>
      </c>
      <c r="F16" s="21" t="n">
        <f aca="false">$B16*IF(Model!$B$5=1,Data!$G$7,Model!$AF$64)</f>
        <v>4.47117268401902</v>
      </c>
      <c r="G16" s="21" t="n">
        <f aca="false">$B16*Model!$S$64</f>
        <v>10.7149542603362</v>
      </c>
      <c r="H16" s="21" t="n">
        <f aca="false">$B16*Model!$T$64</f>
        <v>2.67557863189257</v>
      </c>
      <c r="I16" s="21" t="n">
        <f aca="false">$B16*Model!$U$64</f>
        <v>1.2687763750443</v>
      </c>
      <c r="J16" s="21" t="n">
        <f aca="false">$B16*Model!$V$64</f>
        <v>1.2687763750443</v>
      </c>
      <c r="K16" s="21" t="n">
        <f aca="false">$B16*Model!$W$64</f>
        <v>1.19999229463041</v>
      </c>
      <c r="L16" s="21" t="n">
        <f aca="false">$B16*Model!$X$64</f>
        <v>0.328856948752181</v>
      </c>
      <c r="M16" s="21" t="n">
        <f aca="false">$B16*Model!$Y$64</f>
        <v>0.188589393059924</v>
      </c>
      <c r="N16" s="21" t="n">
        <f aca="false">$B16*Model!$Z$64</f>
        <v>0.0194629622730883</v>
      </c>
      <c r="O16" s="21" t="n">
        <f aca="false">$B16*Model!$AA$64</f>
        <v>0.0328856948752181</v>
      </c>
    </row>
    <row r="17" customFormat="false" ht="15" hidden="false" customHeight="true" outlineLevel="0" collapsed="false">
      <c r="A17" s="23" t="n">
        <v>2030</v>
      </c>
      <c r="B17" s="21" t="n">
        <f aca="false">IF($A17&lt;=Model!$B$3,Data!$B$8*Model!$D$64,0)</f>
        <v>17.6978729359082</v>
      </c>
      <c r="C17" s="21" t="n">
        <f aca="false">$B17*IF(Model!$B$5=1,Data!$D$8,Model!$AC$64)</f>
        <v>4.38086718615278</v>
      </c>
      <c r="D17" s="21" t="n">
        <f aca="false">$B17*IF(Model!$B$5=1,Data!$E$8,Model!$AD$64)</f>
        <v>5.51034194883861</v>
      </c>
      <c r="E17" s="21" t="n">
        <f aca="false">$B17*IF(Model!$B$5=1,Data!$F$8,Model!$AE$64)</f>
        <v>3.25139242346694</v>
      </c>
      <c r="F17" s="21" t="n">
        <f aca="false">$B17*IF(Model!$B$5=1,Data!$G$8,Model!$AF$64)</f>
        <v>4.55527137744985</v>
      </c>
      <c r="G17" s="21" t="n">
        <f aca="false">$B17*Model!$S$64</f>
        <v>10.7149542603362</v>
      </c>
      <c r="H17" s="21" t="n">
        <f aca="false">$B17*Model!$T$64</f>
        <v>2.67557863189257</v>
      </c>
      <c r="I17" s="21" t="n">
        <f aca="false">$B17*Model!$U$64</f>
        <v>1.2687763750443</v>
      </c>
      <c r="J17" s="21" t="n">
        <f aca="false">$B17*Model!$V$64</f>
        <v>1.2687763750443</v>
      </c>
      <c r="K17" s="21" t="n">
        <f aca="false">$B17*Model!$W$64</f>
        <v>1.19999229463041</v>
      </c>
      <c r="L17" s="21" t="n">
        <f aca="false">$B17*Model!$X$64</f>
        <v>0.328856948752181</v>
      </c>
      <c r="M17" s="21" t="n">
        <f aca="false">$B17*Model!$Y$64</f>
        <v>0.188589393059924</v>
      </c>
      <c r="N17" s="21" t="n">
        <f aca="false">$B17*Model!$Z$64</f>
        <v>0.0194629622730883</v>
      </c>
      <c r="O17" s="21" t="n">
        <f aca="false">$B17*Model!$AA$64</f>
        <v>0.0328856948752181</v>
      </c>
    </row>
    <row r="18" customFormat="false" ht="15" hidden="false" customHeight="true" outlineLevel="0" collapsed="false">
      <c r="A18" s="23" t="n">
        <v>2031</v>
      </c>
      <c r="B18" s="21" t="n">
        <f aca="false">IF($A18&lt;=Model!$B$3,Data!$B$9*Model!$D$64,0)</f>
        <v>9.00046646142364</v>
      </c>
      <c r="C18" s="21" t="n">
        <f aca="false">$B18*IF(Model!$B$5=1,Data!$D$9,Model!$AC$64)</f>
        <v>2.07990484186958</v>
      </c>
      <c r="D18" s="21" t="n">
        <f aca="false">$B18*IF(Model!$B$5=1,Data!$E$9,Model!$AD$64)</f>
        <v>2.73584289579252</v>
      </c>
      <c r="E18" s="21" t="n">
        <f aca="false">$B18*IF(Model!$B$5=1,Data!$F$9,Model!$AE$64)</f>
        <v>1.71042074820413</v>
      </c>
      <c r="F18" s="21" t="n">
        <f aca="false">$B18*IF(Model!$B$5=1,Data!$G$9,Model!$AF$64)</f>
        <v>2.47429797555742</v>
      </c>
      <c r="G18" s="21" t="n">
        <f aca="false">$B18*Model!$S$64</f>
        <v>5.44921905615973</v>
      </c>
      <c r="H18" s="21" t="n">
        <f aca="false">$B18*Model!$T$64</f>
        <v>1.3606977419524</v>
      </c>
      <c r="I18" s="21" t="n">
        <f aca="false">$B18*Model!$U$64</f>
        <v>0.645251508584572</v>
      </c>
      <c r="J18" s="21" t="n">
        <f aca="false">$B18*Model!$V$64</f>
        <v>0.645251508584572</v>
      </c>
      <c r="K18" s="21" t="n">
        <f aca="false">$B18*Model!$W$64</f>
        <v>0.610270535950909</v>
      </c>
      <c r="L18" s="21" t="n">
        <f aca="false">$B18*Model!$X$64</f>
        <v>0.167244162536882</v>
      </c>
      <c r="M18" s="21" t="n">
        <f aca="false">$B18*Model!$Y$64</f>
        <v>0.0959094074956407</v>
      </c>
      <c r="N18" s="21" t="n">
        <f aca="false">$B18*Model!$Z$64</f>
        <v>0.00989812390524405</v>
      </c>
      <c r="O18" s="21" t="n">
        <f aca="false">$B18*Model!$AA$64</f>
        <v>0.0167244162536882</v>
      </c>
    </row>
    <row r="19" customFormat="false" ht="15" hidden="false" customHeight="true" outlineLevel="0" collapsed="false">
      <c r="A19" s="23" t="n">
        <v>2032</v>
      </c>
      <c r="B19" s="21" t="n">
        <f aca="false">IF($A19&lt;=Model!$B$3,Data!$B$10*Model!$D$64,0)</f>
        <v>9.00046646142364</v>
      </c>
      <c r="C19" s="21" t="n">
        <f aca="false">$B19*IF(Model!$B$5=1,Data!$D$10,Model!$AC$64)</f>
        <v>2.00102621513201</v>
      </c>
      <c r="D19" s="21" t="n">
        <f aca="false">$B19*IF(Model!$B$5=1,Data!$E$10,Model!$AD$64)</f>
        <v>2.68187330907734</v>
      </c>
      <c r="E19" s="21" t="n">
        <f aca="false">$B19*IF(Model!$B$5=1,Data!$F$10,Model!$AE$64)</f>
        <v>1.73948129489692</v>
      </c>
      <c r="F19" s="21" t="n">
        <f aca="false">$B19*IF(Model!$B$5=1,Data!$G$10,Model!$AF$64)</f>
        <v>2.57808564231738</v>
      </c>
      <c r="G19" s="21" t="n">
        <f aca="false">$B19*Model!$S$64</f>
        <v>5.44921905615973</v>
      </c>
      <c r="H19" s="21" t="n">
        <f aca="false">$B19*Model!$T$64</f>
        <v>1.3606977419524</v>
      </c>
      <c r="I19" s="21" t="n">
        <f aca="false">$B19*Model!$U$64</f>
        <v>0.645251508584572</v>
      </c>
      <c r="J19" s="21" t="n">
        <f aca="false">$B19*Model!$V$64</f>
        <v>0.645251508584572</v>
      </c>
      <c r="K19" s="21" t="n">
        <f aca="false">$B19*Model!$W$64</f>
        <v>0.610270535950909</v>
      </c>
      <c r="L19" s="21" t="n">
        <f aca="false">$B19*Model!$X$64</f>
        <v>0.167244162536882</v>
      </c>
      <c r="M19" s="21" t="n">
        <f aca="false">$B19*Model!$Y$64</f>
        <v>0.0959094074956407</v>
      </c>
      <c r="N19" s="21" t="n">
        <f aca="false">$B19*Model!$Z$64</f>
        <v>0.00989812390524405</v>
      </c>
      <c r="O19" s="21" t="n">
        <f aca="false">$B19*Model!$AA$64</f>
        <v>0.0167244162536882</v>
      </c>
    </row>
    <row r="20" customFormat="false" ht="15" hidden="false" customHeight="true" outlineLevel="0" collapsed="false">
      <c r="A20" s="23" t="n">
        <v>2033</v>
      </c>
      <c r="B20" s="21" t="n">
        <f aca="false">IF($A20&lt;=Model!$B$3,Data!$B$11*Model!$D$64,0)</f>
        <v>9.00046646142364</v>
      </c>
      <c r="C20" s="21" t="n">
        <f aca="false">$B20*IF(Model!$B$5=1,Data!$D$11,Model!$AC$64)</f>
        <v>1.98533593380734</v>
      </c>
      <c r="D20" s="21" t="n">
        <f aca="false">$B20*IF(Model!$B$5=1,Data!$E$11,Model!$AD$64)</f>
        <v>2.6914177512702</v>
      </c>
      <c r="E20" s="21" t="n">
        <f aca="false">$B20*IF(Model!$B$5=1,Data!$F$11,Model!$AE$64)</f>
        <v>1.74028400892317</v>
      </c>
      <c r="F20" s="21" t="n">
        <f aca="false">$B20*IF(Model!$B$5=1,Data!$G$11,Model!$AF$64)</f>
        <v>2.58342876742294</v>
      </c>
      <c r="G20" s="21" t="n">
        <f aca="false">$B20*Model!$S$64</f>
        <v>5.44921905615973</v>
      </c>
      <c r="H20" s="21" t="n">
        <f aca="false">$B20*Model!$T$64</f>
        <v>1.3606977419524</v>
      </c>
      <c r="I20" s="21" t="n">
        <f aca="false">$B20*Model!$U$64</f>
        <v>0.645251508584572</v>
      </c>
      <c r="J20" s="21" t="n">
        <f aca="false">$B20*Model!$V$64</f>
        <v>0.645251508584572</v>
      </c>
      <c r="K20" s="21" t="n">
        <f aca="false">$B20*Model!$W$64</f>
        <v>0.610270535950909</v>
      </c>
      <c r="L20" s="21" t="n">
        <f aca="false">$B20*Model!$X$64</f>
        <v>0.167244162536882</v>
      </c>
      <c r="M20" s="21" t="n">
        <f aca="false">$B20*Model!$Y$64</f>
        <v>0.0959094074956407</v>
      </c>
      <c r="N20" s="21" t="n">
        <f aca="false">$B20*Model!$Z$64</f>
        <v>0.00989812390524405</v>
      </c>
      <c r="O20" s="21" t="n">
        <f aca="false">$B20*Model!$AA$64</f>
        <v>0.0167244162536882</v>
      </c>
    </row>
    <row r="21" customFormat="false" ht="15" hidden="false" customHeight="true" outlineLevel="0" collapsed="false">
      <c r="A21" s="23" t="n">
        <v>2034</v>
      </c>
      <c r="B21" s="21" t="n">
        <f aca="false">IF($A21&lt;=Model!$B$3,Data!$B$12*Model!$D$64,0)</f>
        <v>9.00046646142364</v>
      </c>
      <c r="C21" s="21" t="n">
        <f aca="false">$B21*IF(Model!$B$5=1,Data!$D$12,Model!$AC$64)</f>
        <v>1.96781416176883</v>
      </c>
      <c r="D21" s="21" t="n">
        <f aca="false">$B21*IF(Model!$B$5=1,Data!$E$12,Model!$AD$64)</f>
        <v>2.69847933575894</v>
      </c>
      <c r="E21" s="21" t="n">
        <f aca="false">$B21*IF(Model!$B$5=1,Data!$F$12,Model!$AE$64)</f>
        <v>1.73948129489692</v>
      </c>
      <c r="F21" s="21" t="n">
        <f aca="false">$B21*IF(Model!$B$5=1,Data!$G$12,Model!$AF$64)</f>
        <v>2.59469166899897</v>
      </c>
      <c r="G21" s="21" t="n">
        <f aca="false">$B21*Model!$S$64</f>
        <v>5.44921905615973</v>
      </c>
      <c r="H21" s="21" t="n">
        <f aca="false">$B21*Model!$T$64</f>
        <v>1.3606977419524</v>
      </c>
      <c r="I21" s="21" t="n">
        <f aca="false">$B21*Model!$U$64</f>
        <v>0.645251508584572</v>
      </c>
      <c r="J21" s="21" t="n">
        <f aca="false">$B21*Model!$V$64</f>
        <v>0.645251508584572</v>
      </c>
      <c r="K21" s="21" t="n">
        <f aca="false">$B21*Model!$W$64</f>
        <v>0.610270535950909</v>
      </c>
      <c r="L21" s="21" t="n">
        <f aca="false">$B21*Model!$X$64</f>
        <v>0.167244162536882</v>
      </c>
      <c r="M21" s="21" t="n">
        <f aca="false">$B21*Model!$Y$64</f>
        <v>0.0959094074956407</v>
      </c>
      <c r="N21" s="21" t="n">
        <f aca="false">$B21*Model!$Z$64</f>
        <v>0.00989812390524405</v>
      </c>
      <c r="O21" s="21" t="n">
        <f aca="false">$B21*Model!$AA$64</f>
        <v>0.0167244162536882</v>
      </c>
    </row>
    <row r="22" customFormat="false" ht="15" hidden="false" customHeight="true" outlineLevel="0" collapsed="false">
      <c r="A22" s="23" t="n">
        <v>2035</v>
      </c>
      <c r="B22" s="21" t="n">
        <f aca="false">IF($A22&lt;=Model!$B$3,Data!$B$13*Model!$D$64,0)</f>
        <v>8.69740647448456</v>
      </c>
      <c r="C22" s="21" t="n">
        <f aca="false">$B22*IF(Model!$B$5=1,Data!$D$13,Model!$AC$64)</f>
        <v>1.86402649500886</v>
      </c>
      <c r="D22" s="21" t="n">
        <f aca="false">$B22*IF(Model!$B$5=1,Data!$E$13,Model!$AD$64)</f>
        <v>2.56978262897658</v>
      </c>
      <c r="E22" s="21" t="n">
        <f aca="false">$B22*IF(Model!$B$5=1,Data!$F$13,Model!$AE$64)</f>
        <v>1.66890568150014</v>
      </c>
      <c r="F22" s="21" t="n">
        <f aca="false">$B22*IF(Model!$B$5=1,Data!$G$13,Model!$AF$64)</f>
        <v>2.59469166899898</v>
      </c>
      <c r="G22" s="21" t="n">
        <f aca="false">$B22*Model!$S$64</f>
        <v>5.26573520417649</v>
      </c>
      <c r="H22" s="21" t="n">
        <f aca="false">$B22*Model!$T$64</f>
        <v>1.31488088994017</v>
      </c>
      <c r="I22" s="21" t="n">
        <f aca="false">$B22*Model!$U$64</f>
        <v>0.623524866459723</v>
      </c>
      <c r="J22" s="21" t="n">
        <f aca="false">$B22*Model!$V$64</f>
        <v>0.623524866459723</v>
      </c>
      <c r="K22" s="21" t="n">
        <f aca="false">$B22*Model!$W$64</f>
        <v>0.589721758679499</v>
      </c>
      <c r="L22" s="21" t="n">
        <f aca="false">$B22*Model!$X$64</f>
        <v>0.161612786215299</v>
      </c>
      <c r="M22" s="21" t="n">
        <f aca="false">$B22*Model!$Y$64</f>
        <v>0.0926799855642837</v>
      </c>
      <c r="N22" s="21" t="n">
        <f aca="false">$B22*Model!$Z$64</f>
        <v>0.00956483836784423</v>
      </c>
      <c r="O22" s="21" t="n">
        <f aca="false">$B22*Model!$AA$64</f>
        <v>0.0161612786215299</v>
      </c>
    </row>
    <row r="23" customFormat="false" ht="15" hidden="false" customHeight="true" outlineLevel="0" collapsed="false">
      <c r="A23" s="23" t="n">
        <v>2036</v>
      </c>
      <c r="B23" s="21" t="n">
        <f aca="false">IF($A23&lt;=Model!$B$3,Data!$B$14*Model!$D$64,0)</f>
        <v>6.5884410859222</v>
      </c>
      <c r="C23" s="21" t="n">
        <f aca="false">$B23*IF(Model!$B$5=1,Data!$D$14,Model!$AC$64)</f>
        <v>1.5893502560379</v>
      </c>
      <c r="D23" s="21" t="n">
        <f aca="false">$B23*IF(Model!$B$5=1,Data!$E$14,Model!$AD$64)</f>
        <v>2.04424246654623</v>
      </c>
      <c r="E23" s="21" t="n">
        <f aca="false">$B23*IF(Model!$B$5=1,Data!$F$14,Model!$AE$64)</f>
        <v>1.23200829383271</v>
      </c>
      <c r="F23" s="21" t="n">
        <f aca="false">$B23*IF(Model!$B$5=1,Data!$G$14,Model!$AF$64)</f>
        <v>1.72284006950535</v>
      </c>
      <c r="G23" s="21" t="n">
        <f aca="false">$B23*Model!$S$64</f>
        <v>3.98888867256711</v>
      </c>
      <c r="H23" s="21" t="n">
        <f aca="false">$B23*Model!$T$64</f>
        <v>0.996045810183794</v>
      </c>
      <c r="I23" s="21" t="n">
        <f aca="false">$B23*Model!$U$64</f>
        <v>0.472331247289537</v>
      </c>
      <c r="J23" s="21" t="n">
        <f aca="false">$B23*Model!$V$64</f>
        <v>0.472331247289537</v>
      </c>
      <c r="K23" s="21" t="n">
        <f aca="false">$B23*Model!$W$64</f>
        <v>0.446724788078456</v>
      </c>
      <c r="L23" s="21" t="n">
        <f aca="false">$B23*Model!$X$64</f>
        <v>0.122424578388391</v>
      </c>
      <c r="M23" s="21" t="n">
        <f aca="false">$B23*Model!$Y$64</f>
        <v>0.0702067480145672</v>
      </c>
      <c r="N23" s="21" t="n">
        <f aca="false">$B23*Model!$Z$64</f>
        <v>0.00724553627196601</v>
      </c>
      <c r="O23" s="21" t="n">
        <f aca="false">$B23*Model!$AA$64</f>
        <v>0.0122424578388391</v>
      </c>
    </row>
    <row r="24" customFormat="false" ht="15" hidden="false" customHeight="true" outlineLevel="0" collapsed="false">
      <c r="A24" s="23" t="n">
        <v>2037</v>
      </c>
      <c r="B24" s="21" t="n">
        <f aca="false">IF($A24&lt;=Model!$B$3,Data!$B$15*Model!$D$64,0)</f>
        <v>6.53447149920702</v>
      </c>
      <c r="C24" s="21" t="n">
        <f aca="false">$B24*IF(Model!$B$5=1,Data!$D$15,Model!$AC$64)</f>
        <v>1.57633100378302</v>
      </c>
      <c r="D24" s="21" t="n">
        <f aca="false">$B24*IF(Model!$B$5=1,Data!$E$15,Model!$AD$64)</f>
        <v>2.027496939095</v>
      </c>
      <c r="E24" s="21" t="n">
        <f aca="false">$B24*IF(Model!$B$5=1,Data!$F$15,Model!$AE$64)</f>
        <v>1.22191622841379</v>
      </c>
      <c r="F24" s="21" t="n">
        <f aca="false">$B24*IF(Model!$B$5=1,Data!$G$15,Model!$AF$64)</f>
        <v>1.70872732791521</v>
      </c>
      <c r="G24" s="21" t="n">
        <f aca="false">$B24*Model!$S$64</f>
        <v>3.95621346604955</v>
      </c>
      <c r="H24" s="21" t="n">
        <f aca="false">$B24*Model!$T$64</f>
        <v>0.987886644756957</v>
      </c>
      <c r="I24" s="21" t="n">
        <f aca="false">$B24*Model!$U$64</f>
        <v>0.468462119239906</v>
      </c>
      <c r="J24" s="21" t="n">
        <f aca="false">$B24*Model!$V$64</f>
        <v>0.468462119239906</v>
      </c>
      <c r="K24" s="21" t="n">
        <f aca="false">$B24*Model!$W$64</f>
        <v>0.443065416783548</v>
      </c>
      <c r="L24" s="21" t="n">
        <f aca="false">$B24*Model!$X$64</f>
        <v>0.121421730550301</v>
      </c>
      <c r="M24" s="21" t="n">
        <f aca="false">$B24*Model!$Y$64</f>
        <v>0.0696316454788461</v>
      </c>
      <c r="N24" s="21" t="n">
        <f aca="false">$B24*Model!$Z$64</f>
        <v>0.007186184052977</v>
      </c>
      <c r="O24" s="21" t="n">
        <f aca="false">$B24*Model!$AA$64</f>
        <v>0.0121421730550301</v>
      </c>
    </row>
    <row r="25" customFormat="false" ht="15" hidden="false" customHeight="true" outlineLevel="0" collapsed="false">
      <c r="A25" s="23" t="n">
        <v>2038</v>
      </c>
      <c r="B25" s="21" t="n">
        <f aca="false">IF($A25&lt;=Model!$B$3,Data!$B$16*Model!$D$64,0)</f>
        <v>6.45559287246945</v>
      </c>
      <c r="C25" s="21" t="n">
        <f aca="false">$B25*IF(Model!$B$5=1,Data!$D$16,Model!$AC$64)</f>
        <v>1.55730286587205</v>
      </c>
      <c r="D25" s="21" t="n">
        <f aca="false">$B25*IF(Model!$B$5=1,Data!$E$16,Model!$AD$64)</f>
        <v>2.00302270666628</v>
      </c>
      <c r="E25" s="21" t="n">
        <f aca="false">$B25*IF(Model!$B$5=1,Data!$F$16,Model!$AE$64)</f>
        <v>1.20716628664768</v>
      </c>
      <c r="F25" s="21" t="n">
        <f aca="false">$B25*IF(Model!$B$5=1,Data!$G$16,Model!$AF$64)</f>
        <v>1.68810101328344</v>
      </c>
      <c r="G25" s="21" t="n">
        <f aca="false">$B25*Model!$S$64</f>
        <v>3.90845739498541</v>
      </c>
      <c r="H25" s="21" t="n">
        <f aca="false">$B25*Model!$T$64</f>
        <v>0.975961710671581</v>
      </c>
      <c r="I25" s="21" t="n">
        <f aca="false">$B25*Model!$U$64</f>
        <v>0.462807239782754</v>
      </c>
      <c r="J25" s="21" t="n">
        <f aca="false">$B25*Model!$V$64</f>
        <v>0.462807239782754</v>
      </c>
      <c r="K25" s="21" t="n">
        <f aca="false">$B25*Model!$W$64</f>
        <v>0.437717104890989</v>
      </c>
      <c r="L25" s="21" t="n">
        <f aca="false">$B25*Model!$X$64</f>
        <v>0.119956029863862</v>
      </c>
      <c r="M25" s="21" t="n">
        <f aca="false">$B25*Model!$Y$64</f>
        <v>0.0687911110035614</v>
      </c>
      <c r="N25" s="21" t="n">
        <f aca="false">$B25*Model!$Z$64</f>
        <v>0.00709943850214691</v>
      </c>
      <c r="O25" s="21" t="n">
        <f aca="false">$B25*Model!$AA$64</f>
        <v>0.0119956029863862</v>
      </c>
    </row>
    <row r="26" customFormat="false" ht="15" hidden="false" customHeight="true" outlineLevel="0" collapsed="false">
      <c r="A26" s="23" t="n">
        <v>2039</v>
      </c>
      <c r="B26" s="21" t="n">
        <f aca="false">IF($A26&lt;=Model!$B$3,Data!$B$17*Model!$D$64,0)</f>
        <v>6.39747177908387</v>
      </c>
      <c r="C26" s="21" t="n">
        <f aca="false">$B26*IF(Model!$B$5=1,Data!$D$17,Model!$AC$64)</f>
        <v>1.54328213267448</v>
      </c>
      <c r="D26" s="21" t="n">
        <f aca="false">$B26*IF(Model!$B$5=1,Data!$E$17,Model!$AD$64)</f>
        <v>1.9849890617188</v>
      </c>
      <c r="E26" s="21" t="n">
        <f aca="false">$B26*IF(Model!$B$5=1,Data!$F$17,Model!$AE$64)</f>
        <v>1.19629790850423</v>
      </c>
      <c r="F26" s="21" t="n">
        <f aca="false">$B26*IF(Model!$B$5=1,Data!$G$17,Model!$AF$64)</f>
        <v>1.67290267618636</v>
      </c>
      <c r="G26" s="21" t="n">
        <f aca="false">$B26*Model!$S$64</f>
        <v>3.87326871104342</v>
      </c>
      <c r="H26" s="21" t="n">
        <f aca="false">$B26*Model!$T$64</f>
        <v>0.967174917134988</v>
      </c>
      <c r="I26" s="21" t="n">
        <f aca="false">$B26*Model!$U$64</f>
        <v>0.458640486498536</v>
      </c>
      <c r="J26" s="21" t="n">
        <f aca="false">$B26*Model!$V$64</f>
        <v>0.458640486498536</v>
      </c>
      <c r="K26" s="21" t="n">
        <f aca="false">$B26*Model!$W$64</f>
        <v>0.433776243496472</v>
      </c>
      <c r="L26" s="21" t="n">
        <f aca="false">$B26*Model!$X$64</f>
        <v>0.11887603988438</v>
      </c>
      <c r="M26" s="21" t="n">
        <f aca="false">$B26*Model!$Y$64</f>
        <v>0.0681717698112464</v>
      </c>
      <c r="N26" s="21" t="n">
        <f aca="false">$B26*Model!$Z$64</f>
        <v>0.00703552072785105</v>
      </c>
      <c r="O26" s="21" t="n">
        <f aca="false">$B26*Model!$AA$64</f>
        <v>0.011887603988438</v>
      </c>
    </row>
    <row r="27" customFormat="false" ht="15" hidden="false" customHeight="true" outlineLevel="0" collapsed="false">
      <c r="A27" s="23" t="n">
        <v>2040</v>
      </c>
      <c r="B27" s="21" t="n">
        <f aca="false">IF($A27&lt;=Model!$B$3,Data!$B$18*Model!$D$64,0)</f>
        <v>6.3310476723575</v>
      </c>
      <c r="C27" s="21" t="n">
        <f aca="false">$B27*IF(Model!$B$5=1,Data!$D$18,Model!$AC$64)</f>
        <v>1.52725843759155</v>
      </c>
      <c r="D27" s="21" t="n">
        <f aca="false">$B27*IF(Model!$B$5=1,Data!$E$18,Model!$AD$64)</f>
        <v>1.96437918177883</v>
      </c>
      <c r="E27" s="21" t="n">
        <f aca="false">$B27*IF(Model!$B$5=1,Data!$F$18,Model!$AE$64)</f>
        <v>1.18387690491171</v>
      </c>
      <c r="F27" s="21" t="n">
        <f aca="false">$B27*IF(Model!$B$5=1,Data!$G$18,Model!$AF$64)</f>
        <v>1.6555331480754</v>
      </c>
      <c r="G27" s="21" t="n">
        <f aca="false">$B27*Model!$S$64</f>
        <v>3.83305307225258</v>
      </c>
      <c r="H27" s="21" t="n">
        <f aca="false">$B27*Model!$T$64</f>
        <v>0.957132867378882</v>
      </c>
      <c r="I27" s="21" t="n">
        <f aca="false">$B27*Model!$U$64</f>
        <v>0.453878482745144</v>
      </c>
      <c r="J27" s="21" t="n">
        <f aca="false">$B27*Model!$V$64</f>
        <v>0.453878482745144</v>
      </c>
      <c r="K27" s="21" t="n">
        <f aca="false">$B27*Model!$W$64</f>
        <v>0.429272401902738</v>
      </c>
      <c r="L27" s="21" t="n">
        <f aca="false">$B27*Model!$X$64</f>
        <v>0.117641765622115</v>
      </c>
      <c r="M27" s="21" t="n">
        <f aca="false">$B27*Model!$Y$64</f>
        <v>0.0674639513057435</v>
      </c>
      <c r="N27" s="21" t="n">
        <f aca="false">$B27*Model!$Z$64</f>
        <v>0.0069624718429415</v>
      </c>
      <c r="O27" s="21" t="n">
        <f aca="false">$B27*Model!$AA$64</f>
        <v>0.0117641765622115</v>
      </c>
    </row>
    <row r="28" customFormat="false" ht="15" hidden="false" customHeight="true" outlineLevel="0" collapsed="false">
      <c r="A28" s="24" t="s">
        <v>118</v>
      </c>
      <c r="B28" s="25" t="n">
        <f aca="false">SUM(B13:B27)</f>
        <v>165.49566190876</v>
      </c>
      <c r="C28" s="25" t="n">
        <f aca="false">SUM(C13:C27)</f>
        <v>39.9229009053615</v>
      </c>
      <c r="D28" s="25" t="n">
        <f aca="false">SUM(D13:D27)</f>
        <v>51.3494480134946</v>
      </c>
      <c r="E28" s="25" t="n">
        <f aca="false">SUM(E13:E27)</f>
        <v>30.9469517276553</v>
      </c>
      <c r="F28" s="25" t="n">
        <f aca="false">SUM(F13:F27)</f>
        <v>43.2763612622487</v>
      </c>
      <c r="G28" s="25" t="n">
        <f aca="false">SUM(G13:G27)</f>
        <v>100.197264047395</v>
      </c>
      <c r="H28" s="25" t="n">
        <f aca="false">SUM(H13:H27)</f>
        <v>25.0197669673388</v>
      </c>
      <c r="I28" s="25" t="n">
        <f aca="false">SUM(I13:I27)</f>
        <v>11.8645323515754</v>
      </c>
      <c r="J28" s="25" t="n">
        <f aca="false">SUM(J13:J27)</f>
        <v>11.8645323515754</v>
      </c>
      <c r="K28" s="25" t="n">
        <f aca="false">SUM(K13:K27)</f>
        <v>11.2213213307874</v>
      </c>
      <c r="L28" s="25" t="n">
        <f aca="false">SUM(L13:L27)</f>
        <v>3.07519432443278</v>
      </c>
      <c r="M28" s="25" t="n">
        <f aca="false">SUM(M13:M27)</f>
        <v>1.76352980646043</v>
      </c>
      <c r="N28" s="25" t="n">
        <f aca="false">SUM(N13:N27)</f>
        <v>0.182001296752144</v>
      </c>
      <c r="O28" s="25" t="n">
        <f aca="false">SUM(O13:O27)</f>
        <v>0.307519432443278</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0.186995546413276</v>
      </c>
      <c r="F29" s="26" t="n">
        <f aca="false">IF($B$28&gt;0,F28/$B$28,0)</f>
        <v>0.261495442014109</v>
      </c>
      <c r="G29" s="26" t="n">
        <f aca="false">IF($B$28&gt;0,G28/$B$28,0)</f>
        <v>0.605437404773997</v>
      </c>
      <c r="H29" s="26" t="n">
        <f aca="false">IF($B$28&gt;0,H28/$B$28,0)</f>
        <v>0.151180802437786</v>
      </c>
      <c r="I29" s="26" t="n">
        <f aca="false">IF($B$28&gt;0,I28/$B$28,0)</f>
        <v>0.0716908963941087</v>
      </c>
      <c r="J29" s="26" t="n">
        <f aca="false">IF($B$28&gt;0,J28/$B$28,0)</f>
        <v>0.0716908963941087</v>
      </c>
      <c r="K29" s="26" t="n">
        <f aca="false">IF($B$28&gt;0,K28/$B$28,0)</f>
        <v>0.0678043230944255</v>
      </c>
      <c r="L29" s="26" t="n">
        <f aca="false">IF($B$28&gt;0,L28/$B$28,0)</f>
        <v>0.018581721653394</v>
      </c>
      <c r="M29" s="26" t="n">
        <f aca="false">IF($B$28&gt;0,M28/$B$28,0)</f>
        <v>0.0106560485400076</v>
      </c>
      <c r="N29" s="26" t="n">
        <f aca="false">IF($B$28&gt;0,N28/$B$28,0)</f>
        <v>0.00109973454683352</v>
      </c>
      <c r="O29" s="26" t="n">
        <f aca="false">IF($B$28&gt;0,O28/$B$28,0)</f>
        <v>0.0018581721653394</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Data!$H$41*Data!$M$41/SUM(Data!$H$41:$K$41)</f>
        <v>16.7647058823529</v>
      </c>
      <c r="C34" s="22" t="n">
        <f aca="false">IF($B$38&gt;0,B34/$B$38,0)</f>
        <v>0.0630252100840336</v>
      </c>
      <c r="D34" s="21" t="n">
        <f aca="false">C28</f>
        <v>39.9229009053615</v>
      </c>
      <c r="E34" s="22" t="n">
        <f aca="false">IF($D$38&gt;0,D34/$D$38,0)</f>
        <v>0.241232310532536</v>
      </c>
      <c r="F34" s="21" t="n">
        <f aca="false">B34+D34</f>
        <v>56.6876067877145</v>
      </c>
      <c r="G34" s="22" t="n">
        <f aca="false">IF($F$38&gt;0,F34/$F$38,0)</f>
        <v>0.131374685291045</v>
      </c>
    </row>
    <row r="35" customFormat="false" ht="15" hidden="false" customHeight="true" outlineLevel="0" collapsed="false">
      <c r="A35" s="13" t="s">
        <v>106</v>
      </c>
      <c r="B35" s="21" t="n">
        <f aca="false">Data!$I$41*Data!$M$41/SUM(Data!$H$41:$K$41)</f>
        <v>43.5882352941176</v>
      </c>
      <c r="C35" s="22" t="n">
        <f aca="false">IF($B$38&gt;0,B35/$B$38,0)</f>
        <v>0.163865546218487</v>
      </c>
      <c r="D35" s="21" t="n">
        <f aca="false">D28</f>
        <v>51.3494480134946</v>
      </c>
      <c r="E35" s="22" t="n">
        <f aca="false">IF($D$38&gt;0,D35/$D$38,0)</f>
        <v>0.310276701040081</v>
      </c>
      <c r="F35" s="21" t="n">
        <f aca="false">B35+D35</f>
        <v>94.9376833076123</v>
      </c>
      <c r="G35" s="22" t="n">
        <f aca="false">IF($F$38&gt;0,F35/$F$38,0)</f>
        <v>0.220020018017439</v>
      </c>
    </row>
    <row r="36" customFormat="false" ht="15" hidden="false" customHeight="true" outlineLevel="0" collapsed="false">
      <c r="A36" s="13" t="s">
        <v>107</v>
      </c>
      <c r="B36" s="21" t="n">
        <f aca="false">Data!$J$41*Data!$M$41/SUM(Data!$H$41:$K$41)</f>
        <v>152</v>
      </c>
      <c r="C36" s="22" t="n">
        <f aca="false">IF($B$38&gt;0,B36/$B$38,0)</f>
        <v>0.571428571428571</v>
      </c>
      <c r="D36" s="21" t="n">
        <f aca="false">E28</f>
        <v>30.9469517276553</v>
      </c>
      <c r="E36" s="22" t="n">
        <f aca="false">IF($D$38&gt;0,D36/$D$38,0)</f>
        <v>0.186995546413276</v>
      </c>
      <c r="F36" s="21" t="n">
        <f aca="false">B36+D36</f>
        <v>182.946951727655</v>
      </c>
      <c r="G36" s="22" t="n">
        <f aca="false">IF($F$38&gt;0,F36/$F$38,0)</f>
        <v>0.423983293176976</v>
      </c>
    </row>
    <row r="37" customFormat="false" ht="15" hidden="false" customHeight="true" outlineLevel="0" collapsed="false">
      <c r="A37" s="13" t="s">
        <v>108</v>
      </c>
      <c r="B37" s="21" t="n">
        <f aca="false">Data!$K$41*Data!$M$41/SUM(Data!$H$41:$K$41)</f>
        <v>53.6470588235294</v>
      </c>
      <c r="C37" s="22" t="n">
        <f aca="false">IF($B$38&gt;0,B37/$B$38,0)</f>
        <v>0.201680672268908</v>
      </c>
      <c r="D37" s="21" t="n">
        <f aca="false">F28</f>
        <v>43.2763612622487</v>
      </c>
      <c r="E37" s="22" t="n">
        <f aca="false">IF($D$38&gt;0,D37/$D$38,0)</f>
        <v>0.261495442014109</v>
      </c>
      <c r="F37" s="21" t="n">
        <f aca="false">B37+D37</f>
        <v>96.9234200857781</v>
      </c>
      <c r="G37" s="22" t="n">
        <f aca="false">IF($F$38&gt;0,F37/$F$38,0)</f>
        <v>0.22462200351454</v>
      </c>
    </row>
    <row r="38" customFormat="false" ht="15" hidden="false" customHeight="true" outlineLevel="0" collapsed="false">
      <c r="A38" s="24" t="s">
        <v>61</v>
      </c>
      <c r="B38" s="25" t="n">
        <f aca="false">SUM(B34:B37)</f>
        <v>266</v>
      </c>
      <c r="C38" s="27" t="n">
        <f aca="false">SUM(C34:C37)</f>
        <v>1</v>
      </c>
      <c r="D38" s="25" t="n">
        <f aca="false">SUM(D34:D37)</f>
        <v>165.49566190876</v>
      </c>
      <c r="E38" s="27" t="n">
        <f aca="false">SUM(E34:E37)</f>
        <v>1</v>
      </c>
      <c r="F38" s="25" t="n">
        <f aca="false">SUM(F34:F37)</f>
        <v>431.49566190876</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BE6D8"/>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194</v>
      </c>
    </row>
    <row r="2" customFormat="false" ht="15" hidden="false" customHeight="true" outlineLevel="0" collapsed="false">
      <c r="A2" s="3" t="str">
        <f aca="false">Model!$B$65&amp;" · new homes per year, 2026–"&amp;Model!$B$3&amp;" · set by the levers on the Intro tab"</f>
        <v>Village · new homes per year, 2026–2040 · set by the levers on the Intro tab</v>
      </c>
    </row>
    <row r="4" customFormat="false" ht="15" hidden="false" customHeight="true" outlineLevel="0" collapsed="false">
      <c r="A4" s="13" t="s">
        <v>332</v>
      </c>
      <c r="C4" s="67" t="n">
        <f aca="false">Model!$D$65</f>
        <v>0.00667039835805579</v>
      </c>
    </row>
    <row r="5" customFormat="false" ht="15" hidden="false" customHeight="true" outlineLevel="0" collapsed="false">
      <c r="A5" s="13" t="s">
        <v>53</v>
      </c>
      <c r="C5" s="14" t="n">
        <f aca="false">Model!$E$65</f>
        <v>265.908760145536</v>
      </c>
    </row>
    <row r="6" customFormat="false" ht="15" hidden="false" customHeight="true" outlineLevel="0" collapsed="false">
      <c r="A6" s="13" t="s">
        <v>99</v>
      </c>
      <c r="C6" s="15" t="n">
        <f aca="false">Model!$Q$65</f>
        <v>0.1</v>
      </c>
    </row>
    <row r="7" customFormat="false" ht="15" hidden="false" customHeight="true" outlineLevel="0" collapsed="false">
      <c r="A7" s="13" t="s">
        <v>100</v>
      </c>
      <c r="C7" s="15" t="n">
        <f aca="false">Model!$G$65</f>
        <v>0.30183</v>
      </c>
    </row>
    <row r="8" customFormat="false" ht="15" hidden="false" customHeight="true" outlineLevel="0" collapsed="false">
      <c r="A8" s="13" t="s">
        <v>101</v>
      </c>
      <c r="C8" s="15" t="n">
        <f aca="false">Model!$R$65</f>
        <v>0.225478177255521</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IF($A13&lt;=Model!$B$3,Data!$B$4*Model!$D$65,0)</f>
        <v>28.4359082003918</v>
      </c>
      <c r="C13" s="21" t="n">
        <f aca="false">$B13*IF(Model!$B$5=1,Data!$D$4,Model!$AC$65)</f>
        <v>7.35572390830962</v>
      </c>
      <c r="D13" s="21" t="n">
        <f aca="false">$B13*IF(Model!$B$5=1,Data!$E$4,Model!$AD$65)</f>
        <v>9.00292590772254</v>
      </c>
      <c r="E13" s="21" t="n">
        <f aca="false">$B13*IF(Model!$B$5=1,Data!$F$4,Model!$AE$65)</f>
        <v>5.26171003051342</v>
      </c>
      <c r="F13" s="21" t="n">
        <f aca="false">$B13*IF(Model!$B$5=1,Data!$G$4,Model!$AF$65)</f>
        <v>6.81554835384625</v>
      </c>
      <c r="G13" s="21" t="n">
        <f aca="false">$B13*Model!$S$65</f>
        <v>17.2161624632369</v>
      </c>
      <c r="H13" s="21" t="n">
        <f aca="false">$B13*Model!$T$65</f>
        <v>4.29896341978245</v>
      </c>
      <c r="I13" s="21" t="n">
        <f aca="false">$B13*Model!$U$65</f>
        <v>2.03859574866668</v>
      </c>
      <c r="J13" s="21" t="n">
        <f aca="false">$B13*Model!$V$65</f>
        <v>2.03859574866668</v>
      </c>
      <c r="K13" s="21" t="n">
        <f aca="false">$B13*Model!$W$65</f>
        <v>1.92807750710279</v>
      </c>
      <c r="L13" s="21" t="n">
        <f aca="false">$B13*Model!$X$65</f>
        <v>0.528388131141145</v>
      </c>
      <c r="M13" s="21" t="n">
        <f aca="false">$B13*Model!$Y$65</f>
        <v>0.303014418062575</v>
      </c>
      <c r="N13" s="21" t="n">
        <f aca="false">$B13*Model!$Z$65</f>
        <v>0.0312719506185576</v>
      </c>
      <c r="O13" s="21" t="n">
        <f aca="false">$B13*Model!$AA$65</f>
        <v>0.0528388131141145</v>
      </c>
    </row>
    <row r="14" customFormat="false" ht="15" hidden="false" customHeight="true" outlineLevel="0" collapsed="false">
      <c r="A14" s="23" t="n">
        <v>2027</v>
      </c>
      <c r="B14" s="21" t="n">
        <f aca="false">IF($A14&lt;=Model!$B$3,Data!$B$5*Model!$D$65,0)</f>
        <v>28.4359082003918</v>
      </c>
      <c r="C14" s="21" t="n">
        <f aca="false">$B14*IF(Model!$B$5=1,Data!$D$5,Model!$AC$65)</f>
        <v>7.14899005413228</v>
      </c>
      <c r="D14" s="21" t="n">
        <f aca="false">$B14*IF(Model!$B$5=1,Data!$E$5,Model!$AD$65)</f>
        <v>9.02960124374543</v>
      </c>
      <c r="E14" s="21" t="n">
        <f aca="false">$B14*IF(Model!$B$5=1,Data!$F$5,Model!$AE$65)</f>
        <v>5.24837236250197</v>
      </c>
      <c r="F14" s="21" t="n">
        <f aca="false">$B14*IF(Model!$B$5=1,Data!$G$5,Model!$AF$65)</f>
        <v>7.00894454001215</v>
      </c>
      <c r="G14" s="21" t="n">
        <f aca="false">$B14*Model!$S$65</f>
        <v>17.2161624632369</v>
      </c>
      <c r="H14" s="21" t="n">
        <f aca="false">$B14*Model!$T$65</f>
        <v>4.29896341978245</v>
      </c>
      <c r="I14" s="21" t="n">
        <f aca="false">$B14*Model!$U$65</f>
        <v>2.03859574866668</v>
      </c>
      <c r="J14" s="21" t="n">
        <f aca="false">$B14*Model!$V$65</f>
        <v>2.03859574866668</v>
      </c>
      <c r="K14" s="21" t="n">
        <f aca="false">$B14*Model!$W$65</f>
        <v>1.92807750710279</v>
      </c>
      <c r="L14" s="21" t="n">
        <f aca="false">$B14*Model!$X$65</f>
        <v>0.528388131141145</v>
      </c>
      <c r="M14" s="21" t="n">
        <f aca="false">$B14*Model!$Y$65</f>
        <v>0.303014418062575</v>
      </c>
      <c r="N14" s="21" t="n">
        <f aca="false">$B14*Model!$Z$65</f>
        <v>0.0312719506185576</v>
      </c>
      <c r="O14" s="21" t="n">
        <f aca="false">$B14*Model!$AA$65</f>
        <v>0.0528388131141145</v>
      </c>
    </row>
    <row r="15" customFormat="false" ht="15" hidden="false" customHeight="true" outlineLevel="0" collapsed="false">
      <c r="A15" s="23" t="n">
        <v>2028</v>
      </c>
      <c r="B15" s="21" t="n">
        <f aca="false">IF($A15&lt;=Model!$B$3,Data!$B$6*Model!$D$65,0)</f>
        <v>28.4359082003918</v>
      </c>
      <c r="C15" s="21" t="n">
        <f aca="false">$B15*IF(Model!$B$5=1,Data!$D$6,Model!$AC$65)</f>
        <v>7.12565695870918</v>
      </c>
      <c r="D15" s="21" t="n">
        <f aca="false">$B15*IF(Model!$B$5=1,Data!$E$6,Model!$AD$65)</f>
        <v>9.03383850383166</v>
      </c>
      <c r="E15" s="21" t="n">
        <f aca="false">$B15*IF(Model!$B$5=1,Data!$F$6,Model!$AE$65)</f>
        <v>5.2508352308091</v>
      </c>
      <c r="F15" s="21" t="n">
        <f aca="false">$B15*IF(Model!$B$5=1,Data!$G$6,Model!$AF$65)</f>
        <v>7.0255775070419</v>
      </c>
      <c r="G15" s="21" t="n">
        <f aca="false">$B15*Model!$S$65</f>
        <v>17.2161624632369</v>
      </c>
      <c r="H15" s="21" t="n">
        <f aca="false">$B15*Model!$T$65</f>
        <v>4.29896341978245</v>
      </c>
      <c r="I15" s="21" t="n">
        <f aca="false">$B15*Model!$U$65</f>
        <v>2.03859574866668</v>
      </c>
      <c r="J15" s="21" t="n">
        <f aca="false">$B15*Model!$V$65</f>
        <v>2.03859574866668</v>
      </c>
      <c r="K15" s="21" t="n">
        <f aca="false">$B15*Model!$W$65</f>
        <v>1.92807750710279</v>
      </c>
      <c r="L15" s="21" t="n">
        <f aca="false">$B15*Model!$X$65</f>
        <v>0.528388131141145</v>
      </c>
      <c r="M15" s="21" t="n">
        <f aca="false">$B15*Model!$Y$65</f>
        <v>0.303014418062575</v>
      </c>
      <c r="N15" s="21" t="n">
        <f aca="false">$B15*Model!$Z$65</f>
        <v>0.0312719506185576</v>
      </c>
      <c r="O15" s="21" t="n">
        <f aca="false">$B15*Model!$AA$65</f>
        <v>0.0528388131141145</v>
      </c>
    </row>
    <row r="16" customFormat="false" ht="15" hidden="false" customHeight="true" outlineLevel="0" collapsed="false">
      <c r="A16" s="23" t="n">
        <v>2029</v>
      </c>
      <c r="B16" s="21" t="n">
        <f aca="false">IF($A16&lt;=Model!$B$3,Data!$B$7*Model!$D$65,0)</f>
        <v>28.4359082003918</v>
      </c>
      <c r="C16" s="21" t="n">
        <f aca="false">$B16*IF(Model!$B$5=1,Data!$D$7,Model!$AC$65)</f>
        <v>7.05061106446498</v>
      </c>
      <c r="D16" s="21" t="n">
        <f aca="false">$B16*IF(Model!$B$5=1,Data!$E$7,Model!$AD$65)</f>
        <v>8.98502658830114</v>
      </c>
      <c r="E16" s="21" t="n">
        <f aca="false">$B16*IF(Model!$B$5=1,Data!$F$7,Model!$AE$65)</f>
        <v>5.21625151599964</v>
      </c>
      <c r="F16" s="21" t="n">
        <f aca="false">$B16*IF(Model!$B$5=1,Data!$G$7,Model!$AF$65)</f>
        <v>7.18401903162607</v>
      </c>
      <c r="G16" s="21" t="n">
        <f aca="false">$B16*Model!$S$65</f>
        <v>17.2161624632369</v>
      </c>
      <c r="H16" s="21" t="n">
        <f aca="false">$B16*Model!$T$65</f>
        <v>4.29896341978245</v>
      </c>
      <c r="I16" s="21" t="n">
        <f aca="false">$B16*Model!$U$65</f>
        <v>2.03859574866668</v>
      </c>
      <c r="J16" s="21" t="n">
        <f aca="false">$B16*Model!$V$65</f>
        <v>2.03859574866668</v>
      </c>
      <c r="K16" s="21" t="n">
        <f aca="false">$B16*Model!$W$65</f>
        <v>1.92807750710279</v>
      </c>
      <c r="L16" s="21" t="n">
        <f aca="false">$B16*Model!$X$65</f>
        <v>0.528388131141145</v>
      </c>
      <c r="M16" s="21" t="n">
        <f aca="false">$B16*Model!$Y$65</f>
        <v>0.303014418062575</v>
      </c>
      <c r="N16" s="21" t="n">
        <f aca="false">$B16*Model!$Z$65</f>
        <v>0.0312719506185576</v>
      </c>
      <c r="O16" s="21" t="n">
        <f aca="false">$B16*Model!$AA$65</f>
        <v>0.0528388131141145</v>
      </c>
    </row>
    <row r="17" customFormat="false" ht="15" hidden="false" customHeight="true" outlineLevel="0" collapsed="false">
      <c r="A17" s="23" t="n">
        <v>2030</v>
      </c>
      <c r="B17" s="21" t="n">
        <f aca="false">IF($A17&lt;=Model!$B$3,Data!$B$8*Model!$D$65,0)</f>
        <v>28.4359082003918</v>
      </c>
      <c r="C17" s="21" t="n">
        <f aca="false">$B17*IF(Model!$B$5=1,Data!$D$8,Model!$AC$65)</f>
        <v>7.03892143393087</v>
      </c>
      <c r="D17" s="21" t="n">
        <f aca="false">$B17*IF(Model!$B$5=1,Data!$E$8,Model!$AD$65)</f>
        <v>8.85369549083057</v>
      </c>
      <c r="E17" s="21" t="n">
        <f aca="false">$B17*IF(Model!$B$5=1,Data!$F$8,Model!$AE$65)</f>
        <v>5.22414737703116</v>
      </c>
      <c r="F17" s="21" t="n">
        <f aca="false">$B17*IF(Model!$B$5=1,Data!$G$8,Model!$AF$65)</f>
        <v>7.3191438985992</v>
      </c>
      <c r="G17" s="21" t="n">
        <f aca="false">$B17*Model!$S$65</f>
        <v>17.2161624632369</v>
      </c>
      <c r="H17" s="21" t="n">
        <f aca="false">$B17*Model!$T$65</f>
        <v>4.29896341978245</v>
      </c>
      <c r="I17" s="21" t="n">
        <f aca="false">$B17*Model!$U$65</f>
        <v>2.03859574866668</v>
      </c>
      <c r="J17" s="21" t="n">
        <f aca="false">$B17*Model!$V$65</f>
        <v>2.03859574866668</v>
      </c>
      <c r="K17" s="21" t="n">
        <f aca="false">$B17*Model!$W$65</f>
        <v>1.92807750710279</v>
      </c>
      <c r="L17" s="21" t="n">
        <f aca="false">$B17*Model!$X$65</f>
        <v>0.528388131141145</v>
      </c>
      <c r="M17" s="21" t="n">
        <f aca="false">$B17*Model!$Y$65</f>
        <v>0.303014418062575</v>
      </c>
      <c r="N17" s="21" t="n">
        <f aca="false">$B17*Model!$Z$65</f>
        <v>0.0312719506185576</v>
      </c>
      <c r="O17" s="21" t="n">
        <f aca="false">$B17*Model!$AA$65</f>
        <v>0.0528388131141145</v>
      </c>
    </row>
    <row r="18" customFormat="false" ht="15" hidden="false" customHeight="true" outlineLevel="0" collapsed="false">
      <c r="A18" s="23" t="n">
        <v>2031</v>
      </c>
      <c r="B18" s="21" t="n">
        <f aca="false">IF($A18&lt;=Model!$B$3,Data!$B$9*Model!$D$65,0)</f>
        <v>14.461423640265</v>
      </c>
      <c r="C18" s="21" t="n">
        <f aca="false">$B18*IF(Model!$B$5=1,Data!$D$9,Model!$AC$65)</f>
        <v>3.34186957738595</v>
      </c>
      <c r="D18" s="21" t="n">
        <f aca="false">$B18*IF(Model!$B$5=1,Data!$E$9,Model!$AD$65)</f>
        <v>4.39579251795877</v>
      </c>
      <c r="E18" s="21" t="n">
        <f aca="false">$B18*IF(Model!$B$5=1,Data!$F$9,Model!$AE$65)</f>
        <v>2.74820412351899</v>
      </c>
      <c r="F18" s="21" t="n">
        <f aca="false">$B18*IF(Model!$B$5=1,Data!$G$9,Model!$AF$65)</f>
        <v>3.97555742140125</v>
      </c>
      <c r="G18" s="21" t="n">
        <f aca="false">$B18*Model!$S$65</f>
        <v>8.75548679809934</v>
      </c>
      <c r="H18" s="21" t="n">
        <f aca="false">$B18*Model!$T$65</f>
        <v>2.18628963032802</v>
      </c>
      <c r="I18" s="21" t="n">
        <f aca="false">$B18*Model!$U$65</f>
        <v>1.03675242390555</v>
      </c>
      <c r="J18" s="21" t="n">
        <f aca="false">$B18*Model!$V$65</f>
        <v>1.03675242390555</v>
      </c>
      <c r="K18" s="21" t="n">
        <f aca="false">$B18*Model!$W$65</f>
        <v>0.980547040909887</v>
      </c>
      <c r="L18" s="21" t="n">
        <f aca="false">$B18*Model!$X$65</f>
        <v>0.268718148795215</v>
      </c>
      <c r="M18" s="21" t="n">
        <f aca="false">$B18*Model!$Y$65</f>
        <v>0.154101632268277</v>
      </c>
      <c r="N18" s="21" t="n">
        <f aca="false">$B18*Model!$Z$65</f>
        <v>0.0159037271735944</v>
      </c>
      <c r="O18" s="21" t="n">
        <f aca="false">$B18*Model!$AA$65</f>
        <v>0.0268718148795215</v>
      </c>
    </row>
    <row r="19" customFormat="false" ht="15" hidden="false" customHeight="true" outlineLevel="0" collapsed="false">
      <c r="A19" s="23" t="n">
        <v>2032</v>
      </c>
      <c r="B19" s="21" t="n">
        <f aca="false">IF($A19&lt;=Model!$B$3,Data!$B$10*Model!$D$65,0)</f>
        <v>14.461423640265</v>
      </c>
      <c r="C19" s="21" t="n">
        <f aca="false">$B19*IF(Model!$B$5=1,Data!$D$10,Model!$AC$65)</f>
        <v>3.2151320085829</v>
      </c>
      <c r="D19" s="21" t="n">
        <f aca="false">$B19*IF(Model!$B$5=1,Data!$E$10,Model!$AD$65)</f>
        <v>4.30907733930404</v>
      </c>
      <c r="E19" s="21" t="n">
        <f aca="false">$B19*IF(Model!$B$5=1,Data!$F$10,Model!$AE$65)</f>
        <v>2.79489691202538</v>
      </c>
      <c r="F19" s="21" t="n">
        <f aca="false">$B19*IF(Model!$B$5=1,Data!$G$10,Model!$AF$65)</f>
        <v>4.14231738035265</v>
      </c>
      <c r="G19" s="21" t="n">
        <f aca="false">$B19*Model!$S$65</f>
        <v>8.75548679809934</v>
      </c>
      <c r="H19" s="21" t="n">
        <f aca="false">$B19*Model!$T$65</f>
        <v>2.18628963032802</v>
      </c>
      <c r="I19" s="21" t="n">
        <f aca="false">$B19*Model!$U$65</f>
        <v>1.03675242390555</v>
      </c>
      <c r="J19" s="21" t="n">
        <f aca="false">$B19*Model!$V$65</f>
        <v>1.03675242390555</v>
      </c>
      <c r="K19" s="21" t="n">
        <f aca="false">$B19*Model!$W$65</f>
        <v>0.980547040909887</v>
      </c>
      <c r="L19" s="21" t="n">
        <f aca="false">$B19*Model!$X$65</f>
        <v>0.268718148795215</v>
      </c>
      <c r="M19" s="21" t="n">
        <f aca="false">$B19*Model!$Y$65</f>
        <v>0.154101632268277</v>
      </c>
      <c r="N19" s="21" t="n">
        <f aca="false">$B19*Model!$Z$65</f>
        <v>0.0159037271735944</v>
      </c>
      <c r="O19" s="21" t="n">
        <f aca="false">$B19*Model!$AA$65</f>
        <v>0.0268718148795215</v>
      </c>
    </row>
    <row r="20" customFormat="false" ht="15" hidden="false" customHeight="true" outlineLevel="0" collapsed="false">
      <c r="A20" s="23" t="n">
        <v>2033</v>
      </c>
      <c r="B20" s="21" t="n">
        <f aca="false">IF($A20&lt;=Model!$B$3,Data!$B$11*Model!$D$65,0)</f>
        <v>14.461423640265</v>
      </c>
      <c r="C20" s="21" t="n">
        <f aca="false">$B20*IF(Model!$B$5=1,Data!$D$11,Model!$AC$65)</f>
        <v>3.18992178128595</v>
      </c>
      <c r="D20" s="21" t="n">
        <f aca="false">$B20*IF(Model!$B$5=1,Data!$E$11,Model!$AD$65)</f>
        <v>4.32441279136672</v>
      </c>
      <c r="E20" s="21" t="n">
        <f aca="false">$B20*IF(Model!$B$5=1,Data!$F$11,Model!$AE$65)</f>
        <v>2.79618666602262</v>
      </c>
      <c r="F20" s="21" t="n">
        <f aca="false">$B20*IF(Model!$B$5=1,Data!$G$11,Model!$AF$65)</f>
        <v>4.15090240158967</v>
      </c>
      <c r="G20" s="21" t="n">
        <f aca="false">$B20*Model!$S$65</f>
        <v>8.75548679809934</v>
      </c>
      <c r="H20" s="21" t="n">
        <f aca="false">$B20*Model!$T$65</f>
        <v>2.18628963032802</v>
      </c>
      <c r="I20" s="21" t="n">
        <f aca="false">$B20*Model!$U$65</f>
        <v>1.03675242390555</v>
      </c>
      <c r="J20" s="21" t="n">
        <f aca="false">$B20*Model!$V$65</f>
        <v>1.03675242390555</v>
      </c>
      <c r="K20" s="21" t="n">
        <f aca="false">$B20*Model!$W$65</f>
        <v>0.980547040909887</v>
      </c>
      <c r="L20" s="21" t="n">
        <f aca="false">$B20*Model!$X$65</f>
        <v>0.268718148795215</v>
      </c>
      <c r="M20" s="21" t="n">
        <f aca="false">$B20*Model!$Y$65</f>
        <v>0.154101632268277</v>
      </c>
      <c r="N20" s="21" t="n">
        <f aca="false">$B20*Model!$Z$65</f>
        <v>0.0159037271735944</v>
      </c>
      <c r="O20" s="21" t="n">
        <f aca="false">$B20*Model!$AA$65</f>
        <v>0.0268718148795215</v>
      </c>
    </row>
    <row r="21" customFormat="false" ht="15" hidden="false" customHeight="true" outlineLevel="0" collapsed="false">
      <c r="A21" s="23" t="n">
        <v>2034</v>
      </c>
      <c r="B21" s="21" t="n">
        <f aca="false">IF($A21&lt;=Model!$B$3,Data!$B$12*Model!$D$65,0)</f>
        <v>14.461423640265</v>
      </c>
      <c r="C21" s="21" t="n">
        <f aca="false">$B21*IF(Model!$B$5=1,Data!$D$12,Model!$AC$65)</f>
        <v>3.16176882171845</v>
      </c>
      <c r="D21" s="21" t="n">
        <f aca="false">$B21*IF(Model!$B$5=1,Data!$E$12,Model!$AD$65)</f>
        <v>4.33575893273627</v>
      </c>
      <c r="E21" s="21" t="n">
        <f aca="false">$B21*IF(Model!$B$5=1,Data!$F$12,Model!$AE$65)</f>
        <v>2.79489691202538</v>
      </c>
      <c r="F21" s="21" t="n">
        <f aca="false">$B21*IF(Model!$B$5=1,Data!$G$12,Model!$AF$65)</f>
        <v>4.16899897378486</v>
      </c>
      <c r="G21" s="21" t="n">
        <f aca="false">$B21*Model!$S$65</f>
        <v>8.75548679809934</v>
      </c>
      <c r="H21" s="21" t="n">
        <f aca="false">$B21*Model!$T$65</f>
        <v>2.18628963032802</v>
      </c>
      <c r="I21" s="21" t="n">
        <f aca="false">$B21*Model!$U$65</f>
        <v>1.03675242390555</v>
      </c>
      <c r="J21" s="21" t="n">
        <f aca="false">$B21*Model!$V$65</f>
        <v>1.03675242390555</v>
      </c>
      <c r="K21" s="21" t="n">
        <f aca="false">$B21*Model!$W$65</f>
        <v>0.980547040909887</v>
      </c>
      <c r="L21" s="21" t="n">
        <f aca="false">$B21*Model!$X$65</f>
        <v>0.268718148795215</v>
      </c>
      <c r="M21" s="21" t="n">
        <f aca="false">$B21*Model!$Y$65</f>
        <v>0.154101632268277</v>
      </c>
      <c r="N21" s="21" t="n">
        <f aca="false">$B21*Model!$Z$65</f>
        <v>0.0159037271735944</v>
      </c>
      <c r="O21" s="21" t="n">
        <f aca="false">$B21*Model!$AA$65</f>
        <v>0.0268718148795215</v>
      </c>
    </row>
    <row r="22" customFormat="false" ht="15" hidden="false" customHeight="true" outlineLevel="0" collapsed="false">
      <c r="A22" s="23" t="n">
        <v>2035</v>
      </c>
      <c r="B22" s="21" t="n">
        <f aca="false">IF($A22&lt;=Model!$B$3,Data!$B$13*Model!$D$65,0)</f>
        <v>13.9744845601269</v>
      </c>
      <c r="C22" s="21" t="n">
        <f aca="false">$B22*IF(Model!$B$5=1,Data!$D$13,Model!$AC$65)</f>
        <v>2.99500886276704</v>
      </c>
      <c r="D22" s="21" t="n">
        <f aca="false">$B22*IF(Model!$B$5=1,Data!$E$13,Model!$AD$65)</f>
        <v>4.12897658363653</v>
      </c>
      <c r="E22" s="21" t="n">
        <f aca="false">$B22*IF(Model!$B$5=1,Data!$F$13,Model!$AE$65)</f>
        <v>2.68150013993842</v>
      </c>
      <c r="F22" s="21" t="n">
        <f aca="false">$B22*IF(Model!$B$5=1,Data!$G$13,Model!$AF$65)</f>
        <v>4.16899897378487</v>
      </c>
      <c r="G22" s="21" t="n">
        <f aca="false">$B22*Model!$S$65</f>
        <v>8.46067566513751</v>
      </c>
      <c r="H22" s="21" t="n">
        <f aca="false">$B22*Model!$T$65</f>
        <v>2.11267378945443</v>
      </c>
      <c r="I22" s="21" t="n">
        <f aca="false">$B22*Model!$U$65</f>
        <v>1.00184332476113</v>
      </c>
      <c r="J22" s="21" t="n">
        <f aca="false">$B22*Model!$V$65</f>
        <v>1.00184332476113</v>
      </c>
      <c r="K22" s="21" t="n">
        <f aca="false">$B22*Model!$W$65</f>
        <v>0.947530466192903</v>
      </c>
      <c r="L22" s="21" t="n">
        <f aca="false">$B22*Model!$X$65</f>
        <v>0.25966998234593</v>
      </c>
      <c r="M22" s="21" t="n">
        <f aca="false">$B22*Model!$Y$65</f>
        <v>0.148912785794299</v>
      </c>
      <c r="N22" s="21" t="n">
        <f aca="false">$B22*Model!$Z$65</f>
        <v>0.0153682234449632</v>
      </c>
      <c r="O22" s="21" t="n">
        <f aca="false">$B22*Model!$AA$65</f>
        <v>0.025966998234593</v>
      </c>
    </row>
    <row r="23" customFormat="false" ht="15" hidden="false" customHeight="true" outlineLevel="0" collapsed="false">
      <c r="A23" s="23" t="n">
        <v>2036</v>
      </c>
      <c r="B23" s="21" t="n">
        <f aca="false">IF($A23&lt;=Model!$B$3,Data!$B$14*Model!$D$65,0)</f>
        <v>10.5859221942345</v>
      </c>
      <c r="C23" s="21" t="n">
        <f aca="false">$B23*IF(Model!$B$5=1,Data!$D$14,Model!$AC$65)</f>
        <v>2.55367513048786</v>
      </c>
      <c r="D23" s="21" t="n">
        <f aca="false">$B23*IF(Model!$B$5=1,Data!$E$14,Model!$AD$65)</f>
        <v>3.2845693563608</v>
      </c>
      <c r="E23" s="21" t="n">
        <f aca="false">$B23*IF(Model!$B$5=1,Data!$F$14,Model!$AE$65)</f>
        <v>1.97951894402335</v>
      </c>
      <c r="F23" s="21" t="n">
        <f aca="false">$B23*IF(Model!$B$5=1,Data!$G$14,Model!$AF$65)</f>
        <v>2.76815876336253</v>
      </c>
      <c r="G23" s="21" t="n">
        <f aca="false">$B23*Model!$S$65</f>
        <v>6.40911326041681</v>
      </c>
      <c r="H23" s="21" t="n">
        <f aca="false">$B23*Model!$T$65</f>
        <v>1.60038821186834</v>
      </c>
      <c r="I23" s="21" t="n">
        <f aca="false">$B23*Model!$U$65</f>
        <v>0.758914251262964</v>
      </c>
      <c r="J23" s="21" t="n">
        <f aca="false">$B23*Model!$V$65</f>
        <v>0.758914251262964</v>
      </c>
      <c r="K23" s="21" t="n">
        <f aca="false">$B23*Model!$W$65</f>
        <v>0.717771288710328</v>
      </c>
      <c r="L23" s="21" t="n">
        <f aca="false">$B23*Model!$X$65</f>
        <v>0.196704659657752</v>
      </c>
      <c r="M23" s="21" t="n">
        <f aca="false">$B23*Model!$Y$65</f>
        <v>0.112804100742507</v>
      </c>
      <c r="N23" s="21" t="n">
        <f aca="false">$B23*Model!$Z$65</f>
        <v>0.0116417043470915</v>
      </c>
      <c r="O23" s="21" t="n">
        <f aca="false">$B23*Model!$AA$65</f>
        <v>0.0196704659657752</v>
      </c>
    </row>
    <row r="24" customFormat="false" ht="15" hidden="false" customHeight="true" outlineLevel="0" collapsed="false">
      <c r="A24" s="23" t="n">
        <v>2037</v>
      </c>
      <c r="B24" s="21" t="n">
        <f aca="false">IF($A24&lt;=Model!$B$3,Data!$B$15*Model!$D$65,0)</f>
        <v>10.4992070155798</v>
      </c>
      <c r="C24" s="21" t="n">
        <f aca="false">$B24*IF(Model!$B$5=1,Data!$D$15,Model!$AC$65)</f>
        <v>2.53275655664013</v>
      </c>
      <c r="D24" s="21" t="n">
        <f aca="false">$B24*IF(Model!$B$5=1,Data!$E$15,Model!$AD$65)</f>
        <v>3.25766362124253</v>
      </c>
      <c r="E24" s="21" t="n">
        <f aca="false">$B24*IF(Model!$B$5=1,Data!$F$15,Model!$AE$65)</f>
        <v>1.96330360295699</v>
      </c>
      <c r="F24" s="21" t="n">
        <f aca="false">$B24*IF(Model!$B$5=1,Data!$G$15,Model!$AF$65)</f>
        <v>2.74548323474017</v>
      </c>
      <c r="G24" s="21" t="n">
        <f aca="false">$B24*Model!$S$65</f>
        <v>6.35661264769758</v>
      </c>
      <c r="H24" s="21" t="n">
        <f aca="false">$B24*Model!$T$65</f>
        <v>1.58727854157578</v>
      </c>
      <c r="I24" s="21" t="n">
        <f aca="false">$B24*Model!$U$65</f>
        <v>0.752697562374231</v>
      </c>
      <c r="J24" s="21" t="n">
        <f aca="false">$B24*Model!$V$65</f>
        <v>0.752697562374231</v>
      </c>
      <c r="K24" s="21" t="n">
        <f aca="false">$B24*Model!$W$65</f>
        <v>0.711891624719632</v>
      </c>
      <c r="L24" s="21" t="n">
        <f aca="false">$B24*Model!$X$65</f>
        <v>0.195093342344866</v>
      </c>
      <c r="M24" s="21" t="n">
        <f aca="false">$B24*Model!$Y$65</f>
        <v>0.111880059589607</v>
      </c>
      <c r="N24" s="21" t="n">
        <f aca="false">$B24*Model!$Z$65</f>
        <v>0.01154634066939</v>
      </c>
      <c r="O24" s="21" t="n">
        <f aca="false">$B24*Model!$AA$65</f>
        <v>0.0195093342344866</v>
      </c>
    </row>
    <row r="25" customFormat="false" ht="15" hidden="false" customHeight="true" outlineLevel="0" collapsed="false">
      <c r="A25" s="23" t="n">
        <v>2038</v>
      </c>
      <c r="B25" s="21" t="n">
        <f aca="false">IF($A25&lt;=Model!$B$3,Data!$B$16*Model!$D$65,0)</f>
        <v>10.3724694467768</v>
      </c>
      <c r="C25" s="21" t="n">
        <f aca="false">$B25*IF(Model!$B$5=1,Data!$D$16,Model!$AC$65)</f>
        <v>2.50218325640116</v>
      </c>
      <c r="D25" s="21" t="n">
        <f aca="false">$B25*IF(Model!$B$5=1,Data!$E$16,Model!$AD$65)</f>
        <v>3.21833985453121</v>
      </c>
      <c r="E25" s="21" t="n">
        <f aca="false">$B25*IF(Model!$B$5=1,Data!$F$16,Model!$AE$65)</f>
        <v>1.93960425832155</v>
      </c>
      <c r="F25" s="21" t="n">
        <f aca="false">$B25*IF(Model!$B$5=1,Data!$G$16,Model!$AF$65)</f>
        <v>2.71234207752283</v>
      </c>
      <c r="G25" s="21" t="n">
        <f aca="false">$B25*Model!$S$65</f>
        <v>6.27988098295409</v>
      </c>
      <c r="H25" s="21" t="n">
        <f aca="false">$B25*Model!$T$65</f>
        <v>1.56811825422512</v>
      </c>
      <c r="I25" s="21" t="n">
        <f aca="false">$B25*Model!$U$65</f>
        <v>0.74361163245993</v>
      </c>
      <c r="J25" s="21" t="n">
        <f aca="false">$B25*Model!$V$65</f>
        <v>0.74361163245993</v>
      </c>
      <c r="K25" s="21" t="n">
        <f aca="false">$B25*Model!$W$65</f>
        <v>0.703298269656308</v>
      </c>
      <c r="L25" s="21" t="n">
        <f aca="false">$B25*Model!$X$65</f>
        <v>0.192738340118339</v>
      </c>
      <c r="M25" s="21" t="n">
        <f aca="false">$B25*Model!$Y$65</f>
        <v>0.110529537904599</v>
      </c>
      <c r="N25" s="21" t="n">
        <f aca="false">$B25*Model!$Z$65</f>
        <v>0.0114069629865956</v>
      </c>
      <c r="O25" s="21" t="n">
        <f aca="false">$B25*Model!$AA$65</f>
        <v>0.0192738340118339</v>
      </c>
    </row>
    <row r="26" customFormat="false" ht="15" hidden="false" customHeight="true" outlineLevel="0" collapsed="false">
      <c r="A26" s="23" t="n">
        <v>2039</v>
      </c>
      <c r="B26" s="21" t="n">
        <f aca="false">IF($A26&lt;=Model!$B$3,Data!$B$17*Model!$D$65,0)</f>
        <v>10.279083869764</v>
      </c>
      <c r="C26" s="21" t="n">
        <f aca="false">$B26*IF(Model!$B$5=1,Data!$D$17,Model!$AC$65)</f>
        <v>2.47965556148821</v>
      </c>
      <c r="D26" s="21" t="n">
        <f aca="false">$B26*IF(Model!$B$5=1,Data!$E$17,Model!$AD$65)</f>
        <v>3.18936444748076</v>
      </c>
      <c r="E26" s="21" t="n">
        <f aca="false">$B26*IF(Model!$B$5=1,Data!$F$17,Model!$AE$65)</f>
        <v>1.92214158332702</v>
      </c>
      <c r="F26" s="21" t="n">
        <f aca="false">$B26*IF(Model!$B$5=1,Data!$G$17,Model!$AF$65)</f>
        <v>2.68792227746798</v>
      </c>
      <c r="G26" s="21" t="n">
        <f aca="false">$B26*Model!$S$65</f>
        <v>6.22334186156415</v>
      </c>
      <c r="H26" s="21" t="n">
        <f aca="false">$B26*Model!$T$65</f>
        <v>1.55400014775622</v>
      </c>
      <c r="I26" s="21" t="n">
        <f aca="false">$B26*Model!$U$65</f>
        <v>0.736916736733603</v>
      </c>
      <c r="J26" s="21" t="n">
        <f aca="false">$B26*Model!$V$65</f>
        <v>0.736916736733603</v>
      </c>
      <c r="K26" s="21" t="n">
        <f aca="false">$B26*Model!$W$65</f>
        <v>0.696966323820174</v>
      </c>
      <c r="L26" s="21" t="n">
        <f aca="false">$B26*Model!$X$65</f>
        <v>0.191003075319846</v>
      </c>
      <c r="M26" s="21" t="n">
        <f aca="false">$B26*Model!$Y$65</f>
        <v>0.109534416663014</v>
      </c>
      <c r="N26" s="21" t="n">
        <f aca="false">$B26*Model!$Z$65</f>
        <v>0.0113042636413787</v>
      </c>
      <c r="O26" s="21" t="n">
        <f aca="false">$B26*Model!$AA$65</f>
        <v>0.0191003075319846</v>
      </c>
    </row>
    <row r="27" customFormat="false" ht="15" hidden="false" customHeight="true" outlineLevel="0" collapsed="false">
      <c r="A27" s="23" t="n">
        <v>2040</v>
      </c>
      <c r="B27" s="21" t="n">
        <f aca="false">IF($A27&lt;=Model!$B$3,Data!$B$18*Model!$D$65,0)</f>
        <v>10.1723574960351</v>
      </c>
      <c r="C27" s="21" t="n">
        <f aca="false">$B27*IF(Model!$B$5=1,Data!$D$18,Model!$AC$65)</f>
        <v>2.45390962444486</v>
      </c>
      <c r="D27" s="21" t="n">
        <f aca="false">$B27*IF(Model!$B$5=1,Data!$E$18,Model!$AD$65)</f>
        <v>3.15624969656598</v>
      </c>
      <c r="E27" s="21" t="n">
        <f aca="false">$B27*IF(Model!$B$5=1,Data!$F$18,Model!$AE$65)</f>
        <v>1.90218424047612</v>
      </c>
      <c r="F27" s="21" t="n">
        <f aca="false">$B27*IF(Model!$B$5=1,Data!$G$18,Model!$AF$65)</f>
        <v>2.66001393454812</v>
      </c>
      <c r="G27" s="21" t="n">
        <f aca="false">$B27*Model!$S$65</f>
        <v>6.15872572283279</v>
      </c>
      <c r="H27" s="21" t="n">
        <f aca="false">$B27*Model!$T$65</f>
        <v>1.53786516893461</v>
      </c>
      <c r="I27" s="21" t="n">
        <f aca="false">$B27*Model!$U$65</f>
        <v>0.729265427332086</v>
      </c>
      <c r="J27" s="21" t="n">
        <f aca="false">$B27*Model!$V$65</f>
        <v>0.729265427332086</v>
      </c>
      <c r="K27" s="21" t="n">
        <f aca="false">$B27*Model!$W$65</f>
        <v>0.689729814293163</v>
      </c>
      <c r="L27" s="21" t="n">
        <f aca="false">$B27*Model!$X$65</f>
        <v>0.18901991555014</v>
      </c>
      <c r="M27" s="21" t="n">
        <f aca="false">$B27*Model!$Y$65</f>
        <v>0.10839713524406</v>
      </c>
      <c r="N27" s="21" t="n">
        <f aca="false">$B27*Model!$Z$65</f>
        <v>0.0111868929611307</v>
      </c>
      <c r="O27" s="21" t="n">
        <f aca="false">$B27*Model!$AA$65</f>
        <v>0.018901991555014</v>
      </c>
    </row>
    <row r="28" customFormat="false" ht="15" hidden="false" customHeight="true" outlineLevel="0" collapsed="false">
      <c r="A28" s="24" t="s">
        <v>118</v>
      </c>
      <c r="B28" s="25" t="n">
        <f aca="false">SUM(B13:B27)</f>
        <v>265.908760145536</v>
      </c>
      <c r="C28" s="25" t="n">
        <f aca="false">SUM(C13:C27)</f>
        <v>64.1457846007494</v>
      </c>
      <c r="D28" s="25" t="n">
        <f aca="false">SUM(D13:D27)</f>
        <v>82.5052928756149</v>
      </c>
      <c r="E28" s="25" t="n">
        <f aca="false">SUM(E13:E27)</f>
        <v>49.7237538994911</v>
      </c>
      <c r="F28" s="25" t="n">
        <f aca="false">SUM(F13:F27)</f>
        <v>69.5339287696805</v>
      </c>
      <c r="G28" s="25" t="n">
        <f aca="false">SUM(G13:G27)</f>
        <v>160.991109649185</v>
      </c>
      <c r="H28" s="25" t="n">
        <f aca="false">SUM(H13:H27)</f>
        <v>40.2002997340388</v>
      </c>
      <c r="I28" s="25" t="n">
        <f aca="false">SUM(I13:I27)</f>
        <v>19.0632373738795</v>
      </c>
      <c r="J28" s="25" t="n">
        <f aca="false">SUM(J13:J27)</f>
        <v>19.0632373738795</v>
      </c>
      <c r="K28" s="25" t="n">
        <f aca="false">SUM(K13:K27)</f>
        <v>18.029763486546</v>
      </c>
      <c r="L28" s="25" t="n">
        <f aca="false">SUM(L13:L27)</f>
        <v>4.94104256622346</v>
      </c>
      <c r="M28" s="25" t="n">
        <f aca="false">SUM(M13:M27)</f>
        <v>2.83353665532407</v>
      </c>
      <c r="N28" s="25" t="n">
        <f aca="false">SUM(N13:N27)</f>
        <v>0.292429049837715</v>
      </c>
      <c r="O28" s="25" t="n">
        <f aca="false">SUM(O13:O27)</f>
        <v>0.494104256622346</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0.186995546413276</v>
      </c>
      <c r="F29" s="26" t="n">
        <f aca="false">IF($B$28&gt;0,F28/$B$28,0)</f>
        <v>0.261495442014109</v>
      </c>
      <c r="G29" s="26" t="n">
        <f aca="false">IF($B$28&gt;0,G28/$B$28,0)</f>
        <v>0.605437404773997</v>
      </c>
      <c r="H29" s="26" t="n">
        <f aca="false">IF($B$28&gt;0,H28/$B$28,0)</f>
        <v>0.151180802437786</v>
      </c>
      <c r="I29" s="26" t="n">
        <f aca="false">IF($B$28&gt;0,I28/$B$28,0)</f>
        <v>0.0716908963941087</v>
      </c>
      <c r="J29" s="26" t="n">
        <f aca="false">IF($B$28&gt;0,J28/$B$28,0)</f>
        <v>0.0716908963941087</v>
      </c>
      <c r="K29" s="26" t="n">
        <f aca="false">IF($B$28&gt;0,K28/$B$28,0)</f>
        <v>0.0678043230944255</v>
      </c>
      <c r="L29" s="26" t="n">
        <f aca="false">IF($B$28&gt;0,L28/$B$28,0)</f>
        <v>0.018581721653394</v>
      </c>
      <c r="M29" s="26" t="n">
        <f aca="false">IF($B$28&gt;0,M28/$B$28,0)</f>
        <v>0.0106560485400076</v>
      </c>
      <c r="N29" s="26" t="n">
        <f aca="false">IF($B$28&gt;0,N28/$B$28,0)</f>
        <v>0.00109973454683352</v>
      </c>
      <c r="O29" s="26" t="n">
        <f aca="false">IF($B$28&gt;0,O28/$B$28,0)</f>
        <v>0.0018581721653394</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Data!$H$42*Data!$M$42/SUM(Data!$H$42:$K$42)</f>
        <v>27.0309278350515</v>
      </c>
      <c r="C34" s="22" t="n">
        <f aca="false">IF($B$38&gt;0,B34/$B$38,0)</f>
        <v>0.0618556701030928</v>
      </c>
      <c r="D34" s="21" t="n">
        <f aca="false">C28</f>
        <v>64.1457846007494</v>
      </c>
      <c r="E34" s="22" t="n">
        <f aca="false">IF($D$38&gt;0,D34/$D$38,0)</f>
        <v>0.241232310532536</v>
      </c>
      <c r="F34" s="21" t="n">
        <f aca="false">B34+D34</f>
        <v>91.176712435801</v>
      </c>
      <c r="G34" s="22" t="n">
        <f aca="false">IF($F$38&gt;0,F34/$F$38,0)</f>
        <v>0.12971343879243</v>
      </c>
    </row>
    <row r="35" customFormat="false" ht="15" hidden="false" customHeight="true" outlineLevel="0" collapsed="false">
      <c r="A35" s="13" t="s">
        <v>106</v>
      </c>
      <c r="B35" s="21" t="n">
        <f aca="false">Data!$I$42*Data!$M$42/SUM(Data!$H$42:$K$42)</f>
        <v>73.5841924398626</v>
      </c>
      <c r="C35" s="22" t="n">
        <f aca="false">IF($B$38&gt;0,B35/$B$38,0)</f>
        <v>0.168384879725086</v>
      </c>
      <c r="D35" s="21" t="n">
        <f aca="false">D28</f>
        <v>82.5052928756149</v>
      </c>
      <c r="E35" s="22" t="n">
        <f aca="false">IF($D$38&gt;0,D35/$D$38,0)</f>
        <v>0.310276701040081</v>
      </c>
      <c r="F35" s="21" t="n">
        <f aca="false">B35+D35</f>
        <v>156.089485315477</v>
      </c>
      <c r="G35" s="22" t="n">
        <f aca="false">IF($F$38&gt;0,F35/$F$38,0)</f>
        <v>0.222062227938601</v>
      </c>
    </row>
    <row r="36" customFormat="false" ht="15" hidden="false" customHeight="true" outlineLevel="0" collapsed="false">
      <c r="A36" s="13" t="s">
        <v>107</v>
      </c>
      <c r="B36" s="21" t="n">
        <f aca="false">Data!$J$42*Data!$M$42/SUM(Data!$H$42:$K$42)</f>
        <v>226.759450171821</v>
      </c>
      <c r="C36" s="22" t="n">
        <f aca="false">IF($B$38&gt;0,B36/$B$38,0)</f>
        <v>0.518900343642612</v>
      </c>
      <c r="D36" s="21" t="n">
        <f aca="false">E28</f>
        <v>49.7237538994911</v>
      </c>
      <c r="E36" s="22" t="n">
        <f aca="false">IF($D$38&gt;0,D36/$D$38,0)</f>
        <v>0.186995546413275</v>
      </c>
      <c r="F36" s="21" t="n">
        <f aca="false">B36+D36</f>
        <v>276.483204071312</v>
      </c>
      <c r="G36" s="22" t="n">
        <f aca="false">IF($F$38&gt;0,F36/$F$38,0)</f>
        <v>0.393341525597244</v>
      </c>
    </row>
    <row r="37" customFormat="false" ht="15" hidden="false" customHeight="true" outlineLevel="0" collapsed="false">
      <c r="A37" s="13" t="s">
        <v>108</v>
      </c>
      <c r="B37" s="21" t="n">
        <f aca="false">Data!$K$42*Data!$M$42/SUM(Data!$H$42:$K$42)</f>
        <v>109.625429553265</v>
      </c>
      <c r="C37" s="22" t="n">
        <f aca="false">IF($B$38&gt;0,B37/$B$38,0)</f>
        <v>0.25085910652921</v>
      </c>
      <c r="D37" s="21" t="n">
        <f aca="false">F28</f>
        <v>69.5339287696805</v>
      </c>
      <c r="E37" s="22" t="n">
        <f aca="false">IF($D$38&gt;0,D37/$D$38,0)</f>
        <v>0.261495442014109</v>
      </c>
      <c r="F37" s="21" t="n">
        <f aca="false">B37+D37</f>
        <v>179.159358322945</v>
      </c>
      <c r="G37" s="22" t="n">
        <f aca="false">IF($F$38&gt;0,F37/$F$38,0)</f>
        <v>0.254882807671725</v>
      </c>
    </row>
    <row r="38" customFormat="false" ht="15" hidden="false" customHeight="true" outlineLevel="0" collapsed="false">
      <c r="A38" s="24" t="s">
        <v>61</v>
      </c>
      <c r="B38" s="25" t="n">
        <f aca="false">SUM(B34:B37)</f>
        <v>437</v>
      </c>
      <c r="C38" s="27" t="n">
        <f aca="false">SUM(C34:C37)</f>
        <v>1</v>
      </c>
      <c r="D38" s="25" t="n">
        <f aca="false">SUM(D34:D37)</f>
        <v>265.908760145536</v>
      </c>
      <c r="E38" s="27" t="n">
        <f aca="false">SUM(E34:E37)</f>
        <v>1</v>
      </c>
      <c r="F38" s="25" t="n">
        <f aca="false">SUM(F34:F37)</f>
        <v>702.908760145536</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BE6D8"/>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196</v>
      </c>
    </row>
    <row r="2" customFormat="false" ht="15" hidden="false" customHeight="true" outlineLevel="0" collapsed="false">
      <c r="A2" s="3" t="str">
        <f aca="false">Model!$B$66&amp;" · new homes per year, 2026–"&amp;Model!$B$3&amp;" · set by the levers on the Intro tab"</f>
        <v>Village · new homes per year, 2026–2040 · set by the levers on the Intro tab</v>
      </c>
    </row>
    <row r="4" customFormat="false" ht="15" hidden="false" customHeight="true" outlineLevel="0" collapsed="false">
      <c r="A4" s="13" t="s">
        <v>332</v>
      </c>
      <c r="C4" s="67" t="n">
        <f aca="false">Model!$D$66</f>
        <v>0.00410486052803433</v>
      </c>
    </row>
    <row r="5" customFormat="false" ht="15" hidden="false" customHeight="true" outlineLevel="0" collapsed="false">
      <c r="A5" s="13" t="s">
        <v>53</v>
      </c>
      <c r="C5" s="14" t="n">
        <f aca="false">Model!$E$66</f>
        <v>163.636160089561</v>
      </c>
    </row>
    <row r="6" customFormat="false" ht="15" hidden="false" customHeight="true" outlineLevel="0" collapsed="false">
      <c r="A6" s="13" t="s">
        <v>99</v>
      </c>
      <c r="C6" s="15" t="n">
        <f aca="false">Model!$Q$66</f>
        <v>0.1</v>
      </c>
    </row>
    <row r="7" customFormat="false" ht="15" hidden="false" customHeight="true" outlineLevel="0" collapsed="false">
      <c r="A7" s="13" t="s">
        <v>100</v>
      </c>
      <c r="C7" s="15" t="n">
        <f aca="false">Model!$G$66</f>
        <v>0.23297</v>
      </c>
    </row>
    <row r="8" customFormat="false" ht="15" hidden="false" customHeight="true" outlineLevel="0" collapsed="false">
      <c r="A8" s="13" t="s">
        <v>101</v>
      </c>
      <c r="C8" s="15" t="n">
        <f aca="false">Model!$R$66</f>
        <v>0.184253164796272</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IF($A13&lt;=Model!$B$3,Data!$B$4*Model!$D$66,0)</f>
        <v>17.4990204310104</v>
      </c>
      <c r="C13" s="21" t="n">
        <f aca="false">$B13*IF(Model!$B$5=1,Data!$D$4,Model!$AC$66)</f>
        <v>4.52659932819054</v>
      </c>
      <c r="D13" s="21" t="n">
        <f aca="false">$B13*IF(Model!$B$5=1,Data!$E$4,Model!$AD$66)</f>
        <v>5.54026209706003</v>
      </c>
      <c r="E13" s="21" t="n">
        <f aca="false">$B13*IF(Model!$B$5=1,Data!$F$4,Model!$AE$66)</f>
        <v>3.23797540339287</v>
      </c>
      <c r="F13" s="21" t="n">
        <f aca="false">$B13*IF(Model!$B$5=1,Data!$G$4,Model!$AF$66)</f>
        <v>4.19418360236692</v>
      </c>
      <c r="G13" s="21" t="n">
        <f aca="false">$B13*Model!$S$66</f>
        <v>10.5945615158381</v>
      </c>
      <c r="H13" s="21" t="n">
        <f aca="false">$B13*Model!$T$66</f>
        <v>2.64551595063535</v>
      </c>
      <c r="I13" s="21" t="n">
        <f aca="false">$B13*Model!$U$66</f>
        <v>1.25452046071795</v>
      </c>
      <c r="J13" s="21" t="n">
        <f aca="false">$B13*Model!$V$66</f>
        <v>1.25452046071795</v>
      </c>
      <c r="K13" s="21" t="n">
        <f aca="false">$B13*Model!$W$66</f>
        <v>1.18650923514018</v>
      </c>
      <c r="L13" s="21" t="n">
        <f aca="false">$B13*Model!$X$66</f>
        <v>0.325161926856089</v>
      </c>
      <c r="M13" s="21" t="n">
        <f aca="false">$B13*Model!$Y$66</f>
        <v>0.186470411115431</v>
      </c>
      <c r="N13" s="21" t="n">
        <f aca="false">$B13*Model!$Z$66</f>
        <v>0.0192442773037277</v>
      </c>
      <c r="O13" s="21" t="n">
        <f aca="false">$B13*Model!$AA$66</f>
        <v>0.0325161926856089</v>
      </c>
    </row>
    <row r="14" customFormat="false" ht="15" hidden="false" customHeight="true" outlineLevel="0" collapsed="false">
      <c r="A14" s="23" t="n">
        <v>2027</v>
      </c>
      <c r="B14" s="21" t="n">
        <f aca="false">IF($A14&lt;=Model!$B$3,Data!$B$5*Model!$D$66,0)</f>
        <v>17.4990204310104</v>
      </c>
      <c r="C14" s="21" t="n">
        <f aca="false">$B14*IF(Model!$B$5=1,Data!$D$5,Model!$AC$66)</f>
        <v>4.39937849485063</v>
      </c>
      <c r="D14" s="21" t="n">
        <f aca="false">$B14*IF(Model!$B$5=1,Data!$E$5,Model!$AD$66)</f>
        <v>5.55667768845872</v>
      </c>
      <c r="E14" s="21" t="n">
        <f aca="false">$B14*IF(Model!$B$5=1,Data!$F$5,Model!$AE$66)</f>
        <v>3.22976760769352</v>
      </c>
      <c r="F14" s="21" t="n">
        <f aca="false">$B14*IF(Model!$B$5=1,Data!$G$5,Model!$AF$66)</f>
        <v>4.31319664000748</v>
      </c>
      <c r="G14" s="21" t="n">
        <f aca="false">$B14*Model!$S$66</f>
        <v>10.5945615158381</v>
      </c>
      <c r="H14" s="21" t="n">
        <f aca="false">$B14*Model!$T$66</f>
        <v>2.64551595063535</v>
      </c>
      <c r="I14" s="21" t="n">
        <f aca="false">$B14*Model!$U$66</f>
        <v>1.25452046071795</v>
      </c>
      <c r="J14" s="21" t="n">
        <f aca="false">$B14*Model!$V$66</f>
        <v>1.25452046071795</v>
      </c>
      <c r="K14" s="21" t="n">
        <f aca="false">$B14*Model!$W$66</f>
        <v>1.18650923514018</v>
      </c>
      <c r="L14" s="21" t="n">
        <f aca="false">$B14*Model!$X$66</f>
        <v>0.325161926856089</v>
      </c>
      <c r="M14" s="21" t="n">
        <f aca="false">$B14*Model!$Y$66</f>
        <v>0.186470411115431</v>
      </c>
      <c r="N14" s="21" t="n">
        <f aca="false">$B14*Model!$Z$66</f>
        <v>0.0192442773037277</v>
      </c>
      <c r="O14" s="21" t="n">
        <f aca="false">$B14*Model!$AA$66</f>
        <v>0.0325161926856089</v>
      </c>
    </row>
    <row r="15" customFormat="false" ht="15" hidden="false" customHeight="true" outlineLevel="0" collapsed="false">
      <c r="A15" s="23" t="n">
        <v>2028</v>
      </c>
      <c r="B15" s="21" t="n">
        <f aca="false">IF($A15&lt;=Model!$B$3,Data!$B$6*Model!$D$66,0)</f>
        <v>17.4990204310104</v>
      </c>
      <c r="C15" s="21" t="n">
        <f aca="false">$B15*IF(Model!$B$5=1,Data!$D$6,Model!$AC$66)</f>
        <v>4.38501966689795</v>
      </c>
      <c r="D15" s="21" t="n">
        <f aca="false">$B15*IF(Model!$B$5=1,Data!$E$6,Model!$AD$66)</f>
        <v>5.55928523312718</v>
      </c>
      <c r="E15" s="21" t="n">
        <f aca="false">$B15*IF(Model!$B$5=1,Data!$F$6,Model!$AE$66)</f>
        <v>3.23128321895944</v>
      </c>
      <c r="F15" s="21" t="n">
        <f aca="false">$B15*IF(Model!$B$5=1,Data!$G$6,Model!$AF$66)</f>
        <v>4.32343231202578</v>
      </c>
      <c r="G15" s="21" t="n">
        <f aca="false">$B15*Model!$S$66</f>
        <v>10.5945615158381</v>
      </c>
      <c r="H15" s="21" t="n">
        <f aca="false">$B15*Model!$T$66</f>
        <v>2.64551595063535</v>
      </c>
      <c r="I15" s="21" t="n">
        <f aca="false">$B15*Model!$U$66</f>
        <v>1.25452046071795</v>
      </c>
      <c r="J15" s="21" t="n">
        <f aca="false">$B15*Model!$V$66</f>
        <v>1.25452046071795</v>
      </c>
      <c r="K15" s="21" t="n">
        <f aca="false">$B15*Model!$W$66</f>
        <v>1.18650923514018</v>
      </c>
      <c r="L15" s="21" t="n">
        <f aca="false">$B15*Model!$X$66</f>
        <v>0.325161926856089</v>
      </c>
      <c r="M15" s="21" t="n">
        <f aca="false">$B15*Model!$Y$66</f>
        <v>0.186470411115431</v>
      </c>
      <c r="N15" s="21" t="n">
        <f aca="false">$B15*Model!$Z$66</f>
        <v>0.0192442773037277</v>
      </c>
      <c r="O15" s="21" t="n">
        <f aca="false">$B15*Model!$AA$66</f>
        <v>0.0325161926856089</v>
      </c>
    </row>
    <row r="16" customFormat="false" ht="15" hidden="false" customHeight="true" outlineLevel="0" collapsed="false">
      <c r="A16" s="23" t="n">
        <v>2029</v>
      </c>
      <c r="B16" s="21" t="n">
        <f aca="false">IF($A16&lt;=Model!$B$3,Data!$B$7*Model!$D$66,0)</f>
        <v>17.4990204310104</v>
      </c>
      <c r="C16" s="21" t="n">
        <f aca="false">$B16*IF(Model!$B$5=1,Data!$D$7,Model!$AC$66)</f>
        <v>4.3388375781323</v>
      </c>
      <c r="D16" s="21" t="n">
        <f aca="false">$B16*IF(Model!$B$5=1,Data!$E$7,Model!$AD$66)</f>
        <v>5.52924713126224</v>
      </c>
      <c r="E16" s="21" t="n">
        <f aca="false">$B16*IF(Model!$B$5=1,Data!$F$7,Model!$AE$66)</f>
        <v>3.21000093292285</v>
      </c>
      <c r="F16" s="21" t="n">
        <f aca="false">$B16*IF(Model!$B$5=1,Data!$G$7,Model!$AF$66)</f>
        <v>4.42093478869297</v>
      </c>
      <c r="G16" s="21" t="n">
        <f aca="false">$B16*Model!$S$66</f>
        <v>10.5945615158381</v>
      </c>
      <c r="H16" s="21" t="n">
        <f aca="false">$B16*Model!$T$66</f>
        <v>2.64551595063535</v>
      </c>
      <c r="I16" s="21" t="n">
        <f aca="false">$B16*Model!$U$66</f>
        <v>1.25452046071795</v>
      </c>
      <c r="J16" s="21" t="n">
        <f aca="false">$B16*Model!$V$66</f>
        <v>1.25452046071795</v>
      </c>
      <c r="K16" s="21" t="n">
        <f aca="false">$B16*Model!$W$66</f>
        <v>1.18650923514018</v>
      </c>
      <c r="L16" s="21" t="n">
        <f aca="false">$B16*Model!$X$66</f>
        <v>0.325161926856089</v>
      </c>
      <c r="M16" s="21" t="n">
        <f aca="false">$B16*Model!$Y$66</f>
        <v>0.186470411115431</v>
      </c>
      <c r="N16" s="21" t="n">
        <f aca="false">$B16*Model!$Z$66</f>
        <v>0.0192442773037277</v>
      </c>
      <c r="O16" s="21" t="n">
        <f aca="false">$B16*Model!$AA$66</f>
        <v>0.0325161926856089</v>
      </c>
    </row>
    <row r="17" customFormat="false" ht="15" hidden="false" customHeight="true" outlineLevel="0" collapsed="false">
      <c r="A17" s="23" t="n">
        <v>2030</v>
      </c>
      <c r="B17" s="21" t="n">
        <f aca="false">IF($A17&lt;=Model!$B$3,Data!$B$8*Model!$D$66,0)</f>
        <v>17.4990204310104</v>
      </c>
      <c r="C17" s="21" t="n">
        <f aca="false">$B17*IF(Model!$B$5=1,Data!$D$8,Model!$AC$66)</f>
        <v>4.33164395934207</v>
      </c>
      <c r="D17" s="21" t="n">
        <f aca="false">$B17*IF(Model!$B$5=1,Data!$E$8,Model!$AD$66)</f>
        <v>5.44842799435728</v>
      </c>
      <c r="E17" s="21" t="n">
        <f aca="false">$B17*IF(Model!$B$5=1,Data!$F$8,Model!$AE$66)</f>
        <v>3.21485992432687</v>
      </c>
      <c r="F17" s="21" t="n">
        <f aca="false">$B17*IF(Model!$B$5=1,Data!$G$8,Model!$AF$66)</f>
        <v>4.50408855298413</v>
      </c>
      <c r="G17" s="21" t="n">
        <f aca="false">$B17*Model!$S$66</f>
        <v>10.5945615158381</v>
      </c>
      <c r="H17" s="21" t="n">
        <f aca="false">$B17*Model!$T$66</f>
        <v>2.64551595063535</v>
      </c>
      <c r="I17" s="21" t="n">
        <f aca="false">$B17*Model!$U$66</f>
        <v>1.25452046071795</v>
      </c>
      <c r="J17" s="21" t="n">
        <f aca="false">$B17*Model!$V$66</f>
        <v>1.25452046071795</v>
      </c>
      <c r="K17" s="21" t="n">
        <f aca="false">$B17*Model!$W$66</f>
        <v>1.18650923514018</v>
      </c>
      <c r="L17" s="21" t="n">
        <f aca="false">$B17*Model!$X$66</f>
        <v>0.325161926856089</v>
      </c>
      <c r="M17" s="21" t="n">
        <f aca="false">$B17*Model!$Y$66</f>
        <v>0.186470411115431</v>
      </c>
      <c r="N17" s="21" t="n">
        <f aca="false">$B17*Model!$Z$66</f>
        <v>0.0192442773037277</v>
      </c>
      <c r="O17" s="21" t="n">
        <f aca="false">$B17*Model!$AA$66</f>
        <v>0.0325161926856089</v>
      </c>
    </row>
    <row r="18" customFormat="false" ht="15" hidden="false" customHeight="true" outlineLevel="0" collapsed="false">
      <c r="A18" s="23" t="n">
        <v>2031</v>
      </c>
      <c r="B18" s="21" t="n">
        <f aca="false">IF($A18&lt;=Model!$B$3,Data!$B$9*Model!$D$66,0)</f>
        <v>8.89933762477843</v>
      </c>
      <c r="C18" s="21" t="n">
        <f aca="false">$B18*IF(Model!$B$5=1,Data!$D$9,Model!$AC$66)</f>
        <v>2.0565351245452</v>
      </c>
      <c r="D18" s="21" t="n">
        <f aca="false">$B18*IF(Model!$B$5=1,Data!$E$9,Model!$AD$66)</f>
        <v>2.70510308797463</v>
      </c>
      <c r="E18" s="21" t="n">
        <f aca="false">$B18*IF(Model!$B$5=1,Data!$F$9,Model!$AE$66)</f>
        <v>1.69120253755015</v>
      </c>
      <c r="F18" s="21" t="n">
        <f aca="false">$B18*IF(Model!$B$5=1,Data!$G$9,Model!$AF$66)</f>
        <v>2.44649687470846</v>
      </c>
      <c r="G18" s="21" t="n">
        <f aca="false">$B18*Model!$S$66</f>
        <v>5.38799187575344</v>
      </c>
      <c r="H18" s="21" t="n">
        <f aca="false">$B18*Model!$T$66</f>
        <v>1.34540900327878</v>
      </c>
      <c r="I18" s="21" t="n">
        <f aca="false">$B18*Model!$U$66</f>
        <v>0.638001491634184</v>
      </c>
      <c r="J18" s="21" t="n">
        <f aca="false">$B18*Model!$V$66</f>
        <v>0.638001491634184</v>
      </c>
      <c r="K18" s="21" t="n">
        <f aca="false">$B18*Model!$W$66</f>
        <v>0.603413563636854</v>
      </c>
      <c r="L18" s="21" t="n">
        <f aca="false">$B18*Model!$X$66</f>
        <v>0.165365014643209</v>
      </c>
      <c r="M18" s="21" t="n">
        <f aca="false">$B18*Model!$Y$66</f>
        <v>0.0948317737035548</v>
      </c>
      <c r="N18" s="21" t="n">
        <f aca="false">$B18*Model!$Z$66</f>
        <v>0.00978690902990423</v>
      </c>
      <c r="O18" s="21" t="n">
        <f aca="false">$B18*Model!$AA$66</f>
        <v>0.0165365014643209</v>
      </c>
    </row>
    <row r="19" customFormat="false" ht="15" hidden="false" customHeight="true" outlineLevel="0" collapsed="false">
      <c r="A19" s="23" t="n">
        <v>2032</v>
      </c>
      <c r="B19" s="21" t="n">
        <f aca="false">IF($A19&lt;=Model!$B$3,Data!$B$10*Model!$D$66,0)</f>
        <v>8.89933762477843</v>
      </c>
      <c r="C19" s="21" t="n">
        <f aca="false">$B19*IF(Model!$B$5=1,Data!$D$10,Model!$AC$66)</f>
        <v>1.97854277451255</v>
      </c>
      <c r="D19" s="21" t="n">
        <f aca="false">$B19*IF(Model!$B$5=1,Data!$E$10,Model!$AD$66)</f>
        <v>2.65173990111018</v>
      </c>
      <c r="E19" s="21" t="n">
        <f aca="false">$B19*IF(Model!$B$5=1,Data!$F$10,Model!$AE$66)</f>
        <v>1.71993656124639</v>
      </c>
      <c r="F19" s="21" t="n">
        <f aca="false">$B19*IF(Model!$B$5=1,Data!$G$10,Model!$AF$66)</f>
        <v>2.54911838790932</v>
      </c>
      <c r="G19" s="21" t="n">
        <f aca="false">$B19*Model!$S$66</f>
        <v>5.38799187575344</v>
      </c>
      <c r="H19" s="21" t="n">
        <f aca="false">$B19*Model!$T$66</f>
        <v>1.34540900327878</v>
      </c>
      <c r="I19" s="21" t="n">
        <f aca="false">$B19*Model!$U$66</f>
        <v>0.638001491634184</v>
      </c>
      <c r="J19" s="21" t="n">
        <f aca="false">$B19*Model!$V$66</f>
        <v>0.638001491634184</v>
      </c>
      <c r="K19" s="21" t="n">
        <f aca="false">$B19*Model!$W$66</f>
        <v>0.603413563636854</v>
      </c>
      <c r="L19" s="21" t="n">
        <f aca="false">$B19*Model!$X$66</f>
        <v>0.165365014643209</v>
      </c>
      <c r="M19" s="21" t="n">
        <f aca="false">$B19*Model!$Y$66</f>
        <v>0.0948317737035548</v>
      </c>
      <c r="N19" s="21" t="n">
        <f aca="false">$B19*Model!$Z$66</f>
        <v>0.00978690902990423</v>
      </c>
      <c r="O19" s="21" t="n">
        <f aca="false">$B19*Model!$AA$66</f>
        <v>0.0165365014643209</v>
      </c>
    </row>
    <row r="20" customFormat="false" ht="15" hidden="false" customHeight="true" outlineLevel="0" collapsed="false">
      <c r="A20" s="23" t="n">
        <v>2033</v>
      </c>
      <c r="B20" s="21" t="n">
        <f aca="false">IF($A20&lt;=Model!$B$3,Data!$B$11*Model!$D$66,0)</f>
        <v>8.89933762477843</v>
      </c>
      <c r="C20" s="21" t="n">
        <f aca="false">$B20*IF(Model!$B$5=1,Data!$D$11,Model!$AC$66)</f>
        <v>1.96302878848366</v>
      </c>
      <c r="D20" s="21" t="n">
        <f aca="false">$B20*IF(Model!$B$5=1,Data!$E$11,Model!$AD$66)</f>
        <v>2.66117710237952</v>
      </c>
      <c r="E20" s="21" t="n">
        <f aca="false">$B20*IF(Model!$B$5=1,Data!$F$11,Model!$AE$66)</f>
        <v>1.72073025601392</v>
      </c>
      <c r="F20" s="21" t="n">
        <f aca="false">$B20*IF(Model!$B$5=1,Data!$G$11,Model!$AF$66)</f>
        <v>2.55440147790134</v>
      </c>
      <c r="G20" s="21" t="n">
        <f aca="false">$B20*Model!$S$66</f>
        <v>5.38799187575344</v>
      </c>
      <c r="H20" s="21" t="n">
        <f aca="false">$B20*Model!$T$66</f>
        <v>1.34540900327878</v>
      </c>
      <c r="I20" s="21" t="n">
        <f aca="false">$B20*Model!$U$66</f>
        <v>0.638001491634184</v>
      </c>
      <c r="J20" s="21" t="n">
        <f aca="false">$B20*Model!$V$66</f>
        <v>0.638001491634184</v>
      </c>
      <c r="K20" s="21" t="n">
        <f aca="false">$B20*Model!$W$66</f>
        <v>0.603413563636854</v>
      </c>
      <c r="L20" s="21" t="n">
        <f aca="false">$B20*Model!$X$66</f>
        <v>0.165365014643209</v>
      </c>
      <c r="M20" s="21" t="n">
        <f aca="false">$B20*Model!$Y$66</f>
        <v>0.0948317737035548</v>
      </c>
      <c r="N20" s="21" t="n">
        <f aca="false">$B20*Model!$Z$66</f>
        <v>0.00978690902990423</v>
      </c>
      <c r="O20" s="21" t="n">
        <f aca="false">$B20*Model!$AA$66</f>
        <v>0.0165365014643209</v>
      </c>
    </row>
    <row r="21" customFormat="false" ht="15" hidden="false" customHeight="true" outlineLevel="0" collapsed="false">
      <c r="A21" s="23" t="n">
        <v>2034</v>
      </c>
      <c r="B21" s="21" t="n">
        <f aca="false">IF($A21&lt;=Model!$B$3,Data!$B$12*Model!$D$66,0)</f>
        <v>8.89933762477843</v>
      </c>
      <c r="C21" s="21" t="n">
        <f aca="false">$B21*IF(Model!$B$5=1,Data!$D$12,Model!$AC$66)</f>
        <v>1.94570389028828</v>
      </c>
      <c r="D21" s="21" t="n">
        <f aca="false">$B21*IF(Model!$B$5=1,Data!$E$12,Model!$AD$66)</f>
        <v>2.66815934322232</v>
      </c>
      <c r="E21" s="21" t="n">
        <f aca="false">$B21*IF(Model!$B$5=1,Data!$F$12,Model!$AE$66)</f>
        <v>1.71993656124639</v>
      </c>
      <c r="F21" s="21" t="n">
        <f aca="false">$B21*IF(Model!$B$5=1,Data!$G$12,Model!$AF$66)</f>
        <v>2.56553783002145</v>
      </c>
      <c r="G21" s="21" t="n">
        <f aca="false">$B21*Model!$S$66</f>
        <v>5.38799187575344</v>
      </c>
      <c r="H21" s="21" t="n">
        <f aca="false">$B21*Model!$T$66</f>
        <v>1.34540900327878</v>
      </c>
      <c r="I21" s="21" t="n">
        <f aca="false">$B21*Model!$U$66</f>
        <v>0.638001491634184</v>
      </c>
      <c r="J21" s="21" t="n">
        <f aca="false">$B21*Model!$V$66</f>
        <v>0.638001491634184</v>
      </c>
      <c r="K21" s="21" t="n">
        <f aca="false">$B21*Model!$W$66</f>
        <v>0.603413563636854</v>
      </c>
      <c r="L21" s="21" t="n">
        <f aca="false">$B21*Model!$X$66</f>
        <v>0.165365014643209</v>
      </c>
      <c r="M21" s="21" t="n">
        <f aca="false">$B21*Model!$Y$66</f>
        <v>0.0948317737035548</v>
      </c>
      <c r="N21" s="21" t="n">
        <f aca="false">$B21*Model!$Z$66</f>
        <v>0.00978690902990423</v>
      </c>
      <c r="O21" s="21" t="n">
        <f aca="false">$B21*Model!$AA$66</f>
        <v>0.0165365014643209</v>
      </c>
    </row>
    <row r="22" customFormat="false" ht="15" hidden="false" customHeight="true" outlineLevel="0" collapsed="false">
      <c r="A22" s="23" t="n">
        <v>2035</v>
      </c>
      <c r="B22" s="21" t="n">
        <f aca="false">IF($A22&lt;=Model!$B$3,Data!$B$13*Model!$D$66,0)</f>
        <v>8.59968280623193</v>
      </c>
      <c r="C22" s="21" t="n">
        <f aca="false">$B22*IF(Model!$B$5=1,Data!$D$13,Model!$AC$66)</f>
        <v>1.84308237708741</v>
      </c>
      <c r="D22" s="21" t="n">
        <f aca="false">$B22*IF(Model!$B$5=1,Data!$E$13,Model!$AD$66)</f>
        <v>2.54090866685325</v>
      </c>
      <c r="E22" s="21" t="n">
        <f aca="false">$B22*IF(Model!$B$5=1,Data!$F$13,Model!$AE$66)</f>
        <v>1.6501539322698</v>
      </c>
      <c r="F22" s="21" t="n">
        <f aca="false">$B22*IF(Model!$B$5=1,Data!$G$13,Model!$AF$66)</f>
        <v>2.56553783002146</v>
      </c>
      <c r="G22" s="21" t="n">
        <f aca="false">$B22*Model!$S$66</f>
        <v>5.20656964008462</v>
      </c>
      <c r="H22" s="21" t="n">
        <f aca="false">$B22*Model!$T$66</f>
        <v>1.30010694735657</v>
      </c>
      <c r="I22" s="21" t="n">
        <f aca="false">$B22*Model!$U$66</f>
        <v>0.616518969083771</v>
      </c>
      <c r="J22" s="21" t="n">
        <f aca="false">$B22*Model!$V$66</f>
        <v>0.616518969083771</v>
      </c>
      <c r="K22" s="21" t="n">
        <f aca="false">$B22*Model!$W$66</f>
        <v>0.583095671503325</v>
      </c>
      <c r="L22" s="21" t="n">
        <f aca="false">$B22*Model!$X$66</f>
        <v>0.15979691221288</v>
      </c>
      <c r="M22" s="21" t="n">
        <f aca="false">$B22*Model!$Y$66</f>
        <v>0.091638637411876</v>
      </c>
      <c r="N22" s="21" t="n">
        <f aca="false">$B22*Model!$Z$66</f>
        <v>0.00945736827382351</v>
      </c>
      <c r="O22" s="21" t="n">
        <f aca="false">$B22*Model!$AA$66</f>
        <v>0.015979691221288</v>
      </c>
    </row>
    <row r="23" customFormat="false" ht="15" hidden="false" customHeight="true" outlineLevel="0" collapsed="false">
      <c r="A23" s="23" t="n">
        <v>2036</v>
      </c>
      <c r="B23" s="21" t="n">
        <f aca="false">IF($A23&lt;=Model!$B$3,Data!$B$14*Model!$D$66,0)</f>
        <v>6.51441365799048</v>
      </c>
      <c r="C23" s="21" t="n">
        <f aca="false">$B23*IF(Model!$B$5=1,Data!$D$14,Model!$AC$66)</f>
        <v>1.57149238799253</v>
      </c>
      <c r="D23" s="21" t="n">
        <f aca="false">$B23*IF(Model!$B$5=1,Data!$E$14,Model!$AD$66)</f>
        <v>2.02127345006818</v>
      </c>
      <c r="E23" s="21" t="n">
        <f aca="false">$B23*IF(Model!$B$5=1,Data!$F$14,Model!$AE$66)</f>
        <v>1.21816550401437</v>
      </c>
      <c r="F23" s="21" t="n">
        <f aca="false">$B23*IF(Model!$B$5=1,Data!$G$14,Model!$AF$66)</f>
        <v>1.7034823159154</v>
      </c>
      <c r="G23" s="21" t="n">
        <f aca="false">$B23*Model!$S$66</f>
        <v>3.94406969871804</v>
      </c>
      <c r="H23" s="21" t="n">
        <f aca="false">$B23*Model!$T$66</f>
        <v>0.984854284226672</v>
      </c>
      <c r="I23" s="21" t="n">
        <f aca="false">$B23*Model!$U$66</f>
        <v>0.467024154623362</v>
      </c>
      <c r="J23" s="21" t="n">
        <f aca="false">$B23*Model!$V$66</f>
        <v>0.467024154623362</v>
      </c>
      <c r="K23" s="21" t="n">
        <f aca="false">$B23*Model!$W$66</f>
        <v>0.441705408437125</v>
      </c>
      <c r="L23" s="21" t="n">
        <f aca="false">$B23*Model!$X$66</f>
        <v>0.121049021327847</v>
      </c>
      <c r="M23" s="21" t="n">
        <f aca="false">$B23*Model!$Y$66</f>
        <v>0.069417908149235</v>
      </c>
      <c r="N23" s="21" t="n">
        <f aca="false">$B23*Model!$Z$66</f>
        <v>0.00716412575205628</v>
      </c>
      <c r="O23" s="21" t="n">
        <f aca="false">$B23*Model!$AA$66</f>
        <v>0.0121049021327847</v>
      </c>
    </row>
    <row r="24" customFormat="false" ht="15" hidden="false" customHeight="true" outlineLevel="0" collapsed="false">
      <c r="A24" s="23" t="n">
        <v>2037</v>
      </c>
      <c r="B24" s="21" t="n">
        <f aca="false">IF($A24&lt;=Model!$B$3,Data!$B$15*Model!$D$66,0)</f>
        <v>6.46105047112604</v>
      </c>
      <c r="C24" s="21" t="n">
        <f aca="false">$B24*IF(Model!$B$5=1,Data!$D$15,Model!$AC$66)</f>
        <v>1.55861941947085</v>
      </c>
      <c r="D24" s="21" t="n">
        <f aca="false">$B24*IF(Model!$B$5=1,Data!$E$15,Model!$AD$66)</f>
        <v>2.00471607461079</v>
      </c>
      <c r="E24" s="21" t="n">
        <f aca="false">$B24*IF(Model!$B$5=1,Data!$F$15,Model!$AE$66)</f>
        <v>1.20818683258892</v>
      </c>
      <c r="F24" s="21" t="n">
        <f aca="false">$B24*IF(Model!$B$5=1,Data!$G$15,Model!$AF$66)</f>
        <v>1.68952814445549</v>
      </c>
      <c r="G24" s="21" t="n">
        <f aca="false">$B24*Model!$S$66</f>
        <v>3.91176162935236</v>
      </c>
      <c r="H24" s="21" t="n">
        <f aca="false">$B24*Model!$T$66</f>
        <v>0.976786794815868</v>
      </c>
      <c r="I24" s="21" t="n">
        <f aca="false">$B24*Model!$U$66</f>
        <v>0.463198499922604</v>
      </c>
      <c r="J24" s="21" t="n">
        <f aca="false">$B24*Model!$V$66</f>
        <v>0.463198499922604</v>
      </c>
      <c r="K24" s="21" t="n">
        <f aca="false">$B24*Model!$W$66</f>
        <v>0.43808715367362</v>
      </c>
      <c r="L24" s="21" t="n">
        <f aca="false">$B24*Model!$X$66</f>
        <v>0.120057441442994</v>
      </c>
      <c r="M24" s="21" t="n">
        <f aca="false">$B24*Model!$Y$66</f>
        <v>0.0688492674397579</v>
      </c>
      <c r="N24" s="21" t="n">
        <f aca="false">$B24*Model!$Z$66</f>
        <v>0.00710544041193231</v>
      </c>
      <c r="O24" s="21" t="n">
        <f aca="false">$B24*Model!$AA$66</f>
        <v>0.0120057441442994</v>
      </c>
    </row>
    <row r="25" customFormat="false" ht="15" hidden="false" customHeight="true" outlineLevel="0" collapsed="false">
      <c r="A25" s="23" t="n">
        <v>2038</v>
      </c>
      <c r="B25" s="21" t="n">
        <f aca="false">IF($A25&lt;=Model!$B$3,Data!$B$16*Model!$D$66,0)</f>
        <v>6.38305812109339</v>
      </c>
      <c r="C25" s="21" t="n">
        <f aca="false">$B25*IF(Model!$B$5=1,Data!$D$16,Model!$AC$66)</f>
        <v>1.53980508086225</v>
      </c>
      <c r="D25" s="21" t="n">
        <f aca="false">$B25*IF(Model!$B$5=1,Data!$E$16,Model!$AD$66)</f>
        <v>1.98051683355767</v>
      </c>
      <c r="E25" s="21" t="n">
        <f aca="false">$B25*IF(Model!$B$5=1,Data!$F$16,Model!$AE$66)</f>
        <v>1.19360262050557</v>
      </c>
      <c r="F25" s="21" t="n">
        <f aca="false">$B25*IF(Model!$B$5=1,Data!$G$16,Model!$AF$66)</f>
        <v>1.6691335861679</v>
      </c>
      <c r="G25" s="21" t="n">
        <f aca="false">$B25*Model!$S$66</f>
        <v>3.86454214335637</v>
      </c>
      <c r="H25" s="21" t="n">
        <f aca="false">$B25*Model!$T$66</f>
        <v>0.964995848753923</v>
      </c>
      <c r="I25" s="21" t="n">
        <f aca="false">$B25*Model!$U$66</f>
        <v>0.45760715843688</v>
      </c>
      <c r="J25" s="21" t="n">
        <f aca="false">$B25*Model!$V$66</f>
        <v>0.45760715843688</v>
      </c>
      <c r="K25" s="21" t="n">
        <f aca="false">$B25*Model!$W$66</f>
        <v>0.432798935173112</v>
      </c>
      <c r="L25" s="21" t="n">
        <f aca="false">$B25*Model!$X$66</f>
        <v>0.118608209303593</v>
      </c>
      <c r="M25" s="21" t="n">
        <f aca="false">$B25*Model!$Y$66</f>
        <v>0.0680181771720607</v>
      </c>
      <c r="N25" s="21" t="n">
        <f aca="false">$B25*Model!$Z$66</f>
        <v>0.00701966953021267</v>
      </c>
      <c r="O25" s="21" t="n">
        <f aca="false">$B25*Model!$AA$66</f>
        <v>0.0118608209303593</v>
      </c>
    </row>
    <row r="26" customFormat="false" ht="15" hidden="false" customHeight="true" outlineLevel="0" collapsed="false">
      <c r="A26" s="23" t="n">
        <v>2039</v>
      </c>
      <c r="B26" s="21" t="n">
        <f aca="false">IF($A26&lt;=Model!$B$3,Data!$B$17*Model!$D$66,0)</f>
        <v>6.32559007370091</v>
      </c>
      <c r="C26" s="21" t="n">
        <f aca="false">$B26*IF(Model!$B$5=1,Data!$D$17,Model!$AC$66)</f>
        <v>1.52594188399275</v>
      </c>
      <c r="D26" s="21" t="n">
        <f aca="false">$B26*IF(Model!$B$5=1,Data!$E$17,Model!$AD$66)</f>
        <v>1.96268581383432</v>
      </c>
      <c r="E26" s="21" t="n">
        <f aca="false">$B26*IF(Model!$B$5=1,Data!$F$17,Model!$AE$66)</f>
        <v>1.18285635897047</v>
      </c>
      <c r="F26" s="21" t="n">
        <f aca="false">$B26*IF(Model!$B$5=1,Data!$G$17,Model!$AF$66)</f>
        <v>1.65410601690337</v>
      </c>
      <c r="G26" s="21" t="n">
        <f aca="false">$B26*Model!$S$66</f>
        <v>3.82974883788563</v>
      </c>
      <c r="H26" s="21" t="n">
        <f aca="false">$B26*Model!$T$66</f>
        <v>0.956307783234595</v>
      </c>
      <c r="I26" s="21" t="n">
        <f aca="false">$B26*Model!$U$66</f>
        <v>0.453487222605294</v>
      </c>
      <c r="J26" s="21" t="n">
        <f aca="false">$B26*Model!$V$66</f>
        <v>0.453487222605294</v>
      </c>
      <c r="K26" s="21" t="n">
        <f aca="false">$B26*Model!$W$66</f>
        <v>0.428902353120107</v>
      </c>
      <c r="L26" s="21" t="n">
        <f aca="false">$B26*Model!$X$66</f>
        <v>0.117540354042982</v>
      </c>
      <c r="M26" s="21" t="n">
        <f aca="false">$B26*Model!$Y$66</f>
        <v>0.067405794869547</v>
      </c>
      <c r="N26" s="21" t="n">
        <f aca="false">$B26*Model!$Z$66</f>
        <v>0.0069564699331561</v>
      </c>
      <c r="O26" s="21" t="n">
        <f aca="false">$B26*Model!$AA$66</f>
        <v>0.0117540354042982</v>
      </c>
    </row>
    <row r="27" customFormat="false" ht="15" hidden="false" customHeight="true" outlineLevel="0" collapsed="false">
      <c r="A27" s="23" t="n">
        <v>2040</v>
      </c>
      <c r="B27" s="21" t="n">
        <f aca="false">IF($A27&lt;=Model!$B$3,Data!$B$18*Model!$D$66,0)</f>
        <v>6.25991230525236</v>
      </c>
      <c r="C27" s="21" t="n">
        <f aca="false">$B27*IF(Model!$B$5=1,Data!$D$18,Model!$AC$66)</f>
        <v>1.5100982304276</v>
      </c>
      <c r="D27" s="21" t="n">
        <f aca="false">$B27*IF(Model!$B$5=1,Data!$E$18,Model!$AD$66)</f>
        <v>1.94230750557907</v>
      </c>
      <c r="E27" s="21" t="n">
        <f aca="false">$B27*IF(Model!$B$5=1,Data!$F$18,Model!$AE$66)</f>
        <v>1.17057491721608</v>
      </c>
      <c r="F27" s="21" t="n">
        <f aca="false">$B27*IF(Model!$B$5=1,Data!$G$18,Model!$AF$66)</f>
        <v>1.63693165202961</v>
      </c>
      <c r="G27" s="21" t="n">
        <f aca="false">$B27*Model!$S$66</f>
        <v>3.7899850602048</v>
      </c>
      <c r="H27" s="21" t="n">
        <f aca="false">$B27*Model!$T$66</f>
        <v>0.94637856549822</v>
      </c>
      <c r="I27" s="21" t="n">
        <f aca="false">$B27*Model!$U$66</f>
        <v>0.448778724512053</v>
      </c>
      <c r="J27" s="21" t="n">
        <f aca="false">$B27*Model!$V$66</f>
        <v>0.448778724512053</v>
      </c>
      <c r="K27" s="21" t="n">
        <f aca="false">$B27*Model!$W$66</f>
        <v>0.424449116488101</v>
      </c>
      <c r="L27" s="21" t="n">
        <f aca="false">$B27*Model!$X$66</f>
        <v>0.116319948030855</v>
      </c>
      <c r="M27" s="21" t="n">
        <f aca="false">$B27*Model!$Y$66</f>
        <v>0.0667059293809599</v>
      </c>
      <c r="N27" s="21" t="n">
        <f aca="false">$B27*Model!$Z$66</f>
        <v>0.00688424182223429</v>
      </c>
      <c r="O27" s="21" t="n">
        <f aca="false">$B27*Model!$AA$66</f>
        <v>0.0116319948030855</v>
      </c>
    </row>
    <row r="28" customFormat="false" ht="15" hidden="false" customHeight="true" outlineLevel="0" collapsed="false">
      <c r="A28" s="24" t="s">
        <v>118</v>
      </c>
      <c r="B28" s="25" t="n">
        <f aca="false">SUM(B13:B27)</f>
        <v>163.636160089561</v>
      </c>
      <c r="C28" s="25" t="n">
        <f aca="false">SUM(C13:C27)</f>
        <v>39.4743289850766</v>
      </c>
      <c r="D28" s="25" t="n">
        <f aca="false">SUM(D13:D27)</f>
        <v>50.7724879234554</v>
      </c>
      <c r="E28" s="25" t="n">
        <f aca="false">SUM(E13:E27)</f>
        <v>30.5992331689176</v>
      </c>
      <c r="F28" s="25" t="n">
        <f aca="false">SUM(F13:F27)</f>
        <v>42.7901100121111</v>
      </c>
      <c r="G28" s="25" t="n">
        <f aca="false">SUM(G13:G27)</f>
        <v>99.0714520918059</v>
      </c>
      <c r="H28" s="25" t="n">
        <f aca="false">SUM(H13:H27)</f>
        <v>24.7386459901777</v>
      </c>
      <c r="I28" s="25" t="n">
        <f aca="false">SUM(I13:I27)</f>
        <v>11.7312229993105</v>
      </c>
      <c r="J28" s="25" t="n">
        <f aca="false">SUM(J13:J27)</f>
        <v>11.7312229993105</v>
      </c>
      <c r="K28" s="25" t="n">
        <f aca="false">SUM(K13:K27)</f>
        <v>11.0952390686437</v>
      </c>
      <c r="L28" s="25" t="n">
        <f aca="false">SUM(L13:L27)</f>
        <v>3.04064157921444</v>
      </c>
      <c r="M28" s="25" t="n">
        <f aca="false">SUM(M13:M27)</f>
        <v>1.74371486481481</v>
      </c>
      <c r="N28" s="25" t="n">
        <f aca="false">SUM(N13:N27)</f>
        <v>0.179956338361671</v>
      </c>
      <c r="O28" s="25" t="n">
        <f aca="false">SUM(O13:O27)</f>
        <v>0.304064157921444</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0.186995546413275</v>
      </c>
      <c r="F29" s="26" t="n">
        <f aca="false">IF($B$28&gt;0,F28/$B$28,0)</f>
        <v>0.261495442014109</v>
      </c>
      <c r="G29" s="26" t="n">
        <f aca="false">IF($B$28&gt;0,G28/$B$28,0)</f>
        <v>0.605437404773997</v>
      </c>
      <c r="H29" s="26" t="n">
        <f aca="false">IF($B$28&gt;0,H28/$B$28,0)</f>
        <v>0.151180802437786</v>
      </c>
      <c r="I29" s="26" t="n">
        <f aca="false">IF($B$28&gt;0,I28/$B$28,0)</f>
        <v>0.0716908963941087</v>
      </c>
      <c r="J29" s="26" t="n">
        <f aca="false">IF($B$28&gt;0,J28/$B$28,0)</f>
        <v>0.0716908963941087</v>
      </c>
      <c r="K29" s="26" t="n">
        <f aca="false">IF($B$28&gt;0,K28/$B$28,0)</f>
        <v>0.0678043230944255</v>
      </c>
      <c r="L29" s="26" t="n">
        <f aca="false">IF($B$28&gt;0,L28/$B$28,0)</f>
        <v>0.018581721653394</v>
      </c>
      <c r="M29" s="26" t="n">
        <f aca="false">IF($B$28&gt;0,M28/$B$28,0)</f>
        <v>0.0106560485400076</v>
      </c>
      <c r="N29" s="26" t="n">
        <f aca="false">IF($B$28&gt;0,N28/$B$28,0)</f>
        <v>0.00109973454683352</v>
      </c>
      <c r="O29" s="26" t="n">
        <f aca="false">IF($B$28&gt;0,O28/$B$28,0)</f>
        <v>0.0018581721653394</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Data!$H$43*Data!$M$43/SUM(Data!$H$43:$K$43)</f>
        <v>13.7276119402985</v>
      </c>
      <c r="C34" s="22" t="n">
        <f aca="false">IF($B$38&gt;0,B34/$B$38,0)</f>
        <v>0.0485074626865672</v>
      </c>
      <c r="D34" s="21" t="n">
        <f aca="false">C28</f>
        <v>39.4743289850766</v>
      </c>
      <c r="E34" s="22" t="n">
        <f aca="false">IF($D$38&gt;0,D34/$D$38,0)</f>
        <v>0.241232310532536</v>
      </c>
      <c r="F34" s="21" t="n">
        <f aca="false">B34+D34</f>
        <v>53.2019409253751</v>
      </c>
      <c r="G34" s="22" t="n">
        <f aca="false">IF($F$38&gt;0,F34/$F$38,0)</f>
        <v>0.11911695845385</v>
      </c>
    </row>
    <row r="35" customFormat="false" ht="15" hidden="false" customHeight="true" outlineLevel="0" collapsed="false">
      <c r="A35" s="13" t="s">
        <v>106</v>
      </c>
      <c r="B35" s="21" t="n">
        <f aca="false">Data!$I$43*Data!$M$43/SUM(Data!$H$43:$K$43)</f>
        <v>64.4141791044776</v>
      </c>
      <c r="C35" s="22" t="n">
        <f aca="false">IF($B$38&gt;0,B35/$B$38,0)</f>
        <v>0.227611940298507</v>
      </c>
      <c r="D35" s="21" t="n">
        <f aca="false">D28</f>
        <v>50.7724879234554</v>
      </c>
      <c r="E35" s="22" t="n">
        <f aca="false">IF($D$38&gt;0,D35/$D$38,0)</f>
        <v>0.310276701040081</v>
      </c>
      <c r="F35" s="21" t="n">
        <f aca="false">B35+D35</f>
        <v>115.186667027933</v>
      </c>
      <c r="G35" s="22" t="n">
        <f aca="false">IF($F$38&gt;0,F35/$F$38,0)</f>
        <v>0.257898211834965</v>
      </c>
    </row>
    <row r="36" customFormat="false" ht="15" hidden="false" customHeight="true" outlineLevel="0" collapsed="false">
      <c r="A36" s="13" t="s">
        <v>107</v>
      </c>
      <c r="B36" s="21" t="n">
        <f aca="false">Data!$J$43*Data!$M$43/SUM(Data!$H$43:$K$43)</f>
        <v>129.884328358209</v>
      </c>
      <c r="C36" s="22" t="n">
        <f aca="false">IF($B$38&gt;0,B36/$B$38,0)</f>
        <v>0.458955223880597</v>
      </c>
      <c r="D36" s="21" t="n">
        <f aca="false">E28</f>
        <v>30.5992331689176</v>
      </c>
      <c r="E36" s="22" t="n">
        <f aca="false">IF($D$38&gt;0,D36/$D$38,0)</f>
        <v>0.186995546413275</v>
      </c>
      <c r="F36" s="21" t="n">
        <f aca="false">B36+D36</f>
        <v>160.483561527127</v>
      </c>
      <c r="G36" s="22" t="n">
        <f aca="false">IF($F$38&gt;0,F36/$F$38,0)</f>
        <v>0.359316096338787</v>
      </c>
    </row>
    <row r="37" customFormat="false" ht="15" hidden="false" customHeight="true" outlineLevel="0" collapsed="false">
      <c r="A37" s="13" t="s">
        <v>108</v>
      </c>
      <c r="B37" s="21" t="n">
        <f aca="false">Data!$K$43*Data!$M$43/SUM(Data!$H$43:$K$43)</f>
        <v>74.9738805970149</v>
      </c>
      <c r="C37" s="22" t="n">
        <f aca="false">IF($B$38&gt;0,B37/$B$38,0)</f>
        <v>0.264925373134328</v>
      </c>
      <c r="D37" s="21" t="n">
        <f aca="false">F28</f>
        <v>42.7901100121111</v>
      </c>
      <c r="E37" s="22" t="n">
        <f aca="false">IF($D$38&gt;0,D37/$D$38,0)</f>
        <v>0.261495442014109</v>
      </c>
      <c r="F37" s="21" t="n">
        <f aca="false">B37+D37</f>
        <v>117.763990609126</v>
      </c>
      <c r="G37" s="22" t="n">
        <f aca="false">IF($F$38&gt;0,F37/$F$38,0)</f>
        <v>0.263668733372398</v>
      </c>
    </row>
    <row r="38" customFormat="false" ht="15" hidden="false" customHeight="true" outlineLevel="0" collapsed="false">
      <c r="A38" s="24" t="s">
        <v>61</v>
      </c>
      <c r="B38" s="25" t="n">
        <f aca="false">SUM(B34:B37)</f>
        <v>283</v>
      </c>
      <c r="C38" s="27" t="n">
        <f aca="false">SUM(C34:C37)</f>
        <v>1</v>
      </c>
      <c r="D38" s="25" t="n">
        <f aca="false">SUM(D34:D37)</f>
        <v>163.636160089561</v>
      </c>
      <c r="E38" s="27" t="n">
        <f aca="false">SUM(E34:E37)</f>
        <v>1</v>
      </c>
      <c r="F38" s="25" t="n">
        <f aca="false">SUM(F34:F37)</f>
        <v>446.636160089561</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BE6D8"/>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198</v>
      </c>
    </row>
    <row r="2" customFormat="false" ht="15" hidden="false" customHeight="true" outlineLevel="0" collapsed="false">
      <c r="A2" s="3" t="str">
        <f aca="false">Model!$B$67&amp;" · new homes per year, 2026–"&amp;Model!$B$3&amp;" · set by the levers on the Intro tab"</f>
        <v>Village · new homes per year, 2026–2040 · set by the levers on the Intro tab</v>
      </c>
    </row>
    <row r="4" customFormat="false" ht="15" hidden="false" customHeight="true" outlineLevel="0" collapsed="false">
      <c r="A4" s="13" t="s">
        <v>332</v>
      </c>
      <c r="C4" s="67" t="n">
        <f aca="false">Model!$D$67</f>
        <v>0.00522436794477097</v>
      </c>
    </row>
    <row r="5" customFormat="false" ht="15" hidden="false" customHeight="true" outlineLevel="0" collapsed="false">
      <c r="A5" s="13" t="s">
        <v>53</v>
      </c>
      <c r="C5" s="14" t="n">
        <f aca="false">Model!$E$67</f>
        <v>208.26420375035</v>
      </c>
    </row>
    <row r="6" customFormat="false" ht="15" hidden="false" customHeight="true" outlineLevel="0" collapsed="false">
      <c r="A6" s="13" t="s">
        <v>99</v>
      </c>
      <c r="C6" s="15" t="n">
        <f aca="false">Model!$Q$67</f>
        <v>0.1</v>
      </c>
    </row>
    <row r="7" customFormat="false" ht="15" hidden="false" customHeight="true" outlineLevel="0" collapsed="false">
      <c r="A7" s="13" t="s">
        <v>100</v>
      </c>
      <c r="C7" s="15" t="n">
        <f aca="false">Model!$G$67</f>
        <v>0.22045</v>
      </c>
    </row>
    <row r="8" customFormat="false" ht="15" hidden="false" customHeight="true" outlineLevel="0" collapsed="false">
      <c r="A8" s="13" t="s">
        <v>101</v>
      </c>
      <c r="C8" s="15" t="n">
        <f aca="false">Model!$R$67</f>
        <v>0.173231642044308</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IF($A13&lt;=Model!$B$3,Data!$B$4*Model!$D$67,0)</f>
        <v>22.2714805485586</v>
      </c>
      <c r="C13" s="21" t="n">
        <f aca="false">$B13*IF(Model!$B$5=1,Data!$D$4,Model!$AC$67)</f>
        <v>5.76112641769705</v>
      </c>
      <c r="D13" s="21" t="n">
        <f aca="false">$B13*IF(Model!$B$5=1,Data!$E$4,Model!$AD$67)</f>
        <v>7.05124266898549</v>
      </c>
      <c r="E13" s="21" t="n">
        <f aca="false">$B13*IF(Model!$B$5=1,Data!$F$4,Model!$AE$67)</f>
        <v>4.1210596043182</v>
      </c>
      <c r="F13" s="21" t="n">
        <f aca="false">$B13*IF(Model!$B$5=1,Data!$G$4,Model!$AF$67)</f>
        <v>5.3380518575579</v>
      </c>
      <c r="G13" s="21" t="n">
        <f aca="false">$B13*Model!$S$67</f>
        <v>13.4839873837939</v>
      </c>
      <c r="H13" s="21" t="n">
        <f aca="false">$B13*Model!$T$67</f>
        <v>3.36702030080863</v>
      </c>
      <c r="I13" s="21" t="n">
        <f aca="false">$B13*Model!$U$67</f>
        <v>1.59666240455012</v>
      </c>
      <c r="J13" s="21" t="n">
        <f aca="false">$B13*Model!$V$67</f>
        <v>1.59666240455012</v>
      </c>
      <c r="K13" s="21" t="n">
        <f aca="false">$B13*Model!$W$67</f>
        <v>1.51010266290568</v>
      </c>
      <c r="L13" s="21" t="n">
        <f aca="false">$B13*Model!$X$67</f>
        <v>0.413842452362296</v>
      </c>
      <c r="M13" s="21" t="n">
        <f aca="false">$B13*Model!$Y$67</f>
        <v>0.237325977783276</v>
      </c>
      <c r="N13" s="21" t="n">
        <f aca="false">$B13*Model!$Z$67</f>
        <v>0.0244927165683808</v>
      </c>
      <c r="O13" s="21" t="n">
        <f aca="false">$B13*Model!$AA$67</f>
        <v>0.0413842452362296</v>
      </c>
    </row>
    <row r="14" customFormat="false" ht="15" hidden="false" customHeight="true" outlineLevel="0" collapsed="false">
      <c r="A14" s="23" t="n">
        <v>2027</v>
      </c>
      <c r="B14" s="21" t="n">
        <f aca="false">IF($A14&lt;=Model!$B$3,Data!$B$5*Model!$D$67,0)</f>
        <v>22.2714805485586</v>
      </c>
      <c r="C14" s="21" t="n">
        <f aca="false">$B14*IF(Model!$B$5=1,Data!$D$5,Model!$AC$67)</f>
        <v>5.59920899344626</v>
      </c>
      <c r="D14" s="21" t="n">
        <f aca="false">$B14*IF(Model!$B$5=1,Data!$E$5,Model!$AD$67)</f>
        <v>7.07213523985656</v>
      </c>
      <c r="E14" s="21" t="n">
        <f aca="false">$B14*IF(Model!$B$5=1,Data!$F$5,Model!$AE$67)</f>
        <v>4.11061331888266</v>
      </c>
      <c r="F14" s="21" t="n">
        <f aca="false">$B14*IF(Model!$B$5=1,Data!$G$5,Model!$AF$67)</f>
        <v>5.48952299637315</v>
      </c>
      <c r="G14" s="21" t="n">
        <f aca="false">$B14*Model!$S$67</f>
        <v>13.4839873837939</v>
      </c>
      <c r="H14" s="21" t="n">
        <f aca="false">$B14*Model!$T$67</f>
        <v>3.36702030080863</v>
      </c>
      <c r="I14" s="21" t="n">
        <f aca="false">$B14*Model!$U$67</f>
        <v>1.59666240455012</v>
      </c>
      <c r="J14" s="21" t="n">
        <f aca="false">$B14*Model!$V$67</f>
        <v>1.59666240455012</v>
      </c>
      <c r="K14" s="21" t="n">
        <f aca="false">$B14*Model!$W$67</f>
        <v>1.51010266290568</v>
      </c>
      <c r="L14" s="21" t="n">
        <f aca="false">$B14*Model!$X$67</f>
        <v>0.413842452362296</v>
      </c>
      <c r="M14" s="21" t="n">
        <f aca="false">$B14*Model!$Y$67</f>
        <v>0.237325977783276</v>
      </c>
      <c r="N14" s="21" t="n">
        <f aca="false">$B14*Model!$Z$67</f>
        <v>0.0244927165683808</v>
      </c>
      <c r="O14" s="21" t="n">
        <f aca="false">$B14*Model!$AA$67</f>
        <v>0.0413842452362296</v>
      </c>
    </row>
    <row r="15" customFormat="false" ht="15" hidden="false" customHeight="true" outlineLevel="0" collapsed="false">
      <c r="A15" s="23" t="n">
        <v>2028</v>
      </c>
      <c r="B15" s="21" t="n">
        <f aca="false">IF($A15&lt;=Model!$B$3,Data!$B$6*Model!$D$67,0)</f>
        <v>22.2714805485586</v>
      </c>
      <c r="C15" s="21" t="n">
        <f aca="false">$B15*IF(Model!$B$5=1,Data!$D$6,Model!$AC$67)</f>
        <v>5.58093412150649</v>
      </c>
      <c r="D15" s="21" t="n">
        <f aca="false">$B15*IF(Model!$B$5=1,Data!$E$6,Model!$AD$67)</f>
        <v>7.07545393307095</v>
      </c>
      <c r="E15" s="21" t="n">
        <f aca="false">$B15*IF(Model!$B$5=1,Data!$F$6,Model!$AE$67)</f>
        <v>4.11254227867565</v>
      </c>
      <c r="F15" s="21" t="n">
        <f aca="false">$B15*IF(Model!$B$5=1,Data!$G$6,Model!$AF$67)</f>
        <v>5.50255021530554</v>
      </c>
      <c r="G15" s="21" t="n">
        <f aca="false">$B15*Model!$S$67</f>
        <v>13.4839873837939</v>
      </c>
      <c r="H15" s="21" t="n">
        <f aca="false">$B15*Model!$T$67</f>
        <v>3.36702030080863</v>
      </c>
      <c r="I15" s="21" t="n">
        <f aca="false">$B15*Model!$U$67</f>
        <v>1.59666240455012</v>
      </c>
      <c r="J15" s="21" t="n">
        <f aca="false">$B15*Model!$V$67</f>
        <v>1.59666240455012</v>
      </c>
      <c r="K15" s="21" t="n">
        <f aca="false">$B15*Model!$W$67</f>
        <v>1.51010266290568</v>
      </c>
      <c r="L15" s="21" t="n">
        <f aca="false">$B15*Model!$X$67</f>
        <v>0.413842452362296</v>
      </c>
      <c r="M15" s="21" t="n">
        <f aca="false">$B15*Model!$Y$67</f>
        <v>0.237325977783276</v>
      </c>
      <c r="N15" s="21" t="n">
        <f aca="false">$B15*Model!$Z$67</f>
        <v>0.0244927165683808</v>
      </c>
      <c r="O15" s="21" t="n">
        <f aca="false">$B15*Model!$AA$67</f>
        <v>0.0413842452362296</v>
      </c>
    </row>
    <row r="16" customFormat="false" ht="15" hidden="false" customHeight="true" outlineLevel="0" collapsed="false">
      <c r="A16" s="23" t="n">
        <v>2029</v>
      </c>
      <c r="B16" s="21" t="n">
        <f aca="false">IF($A16&lt;=Model!$B$3,Data!$B$7*Model!$D$67,0)</f>
        <v>22.2714805485586</v>
      </c>
      <c r="C16" s="21" t="n">
        <f aca="false">$B16*IF(Model!$B$5=1,Data!$D$7,Model!$AC$67)</f>
        <v>5.52215691762292</v>
      </c>
      <c r="D16" s="21" t="n">
        <f aca="false">$B16*IF(Model!$B$5=1,Data!$E$7,Model!$AD$67)</f>
        <v>7.03722362160649</v>
      </c>
      <c r="E16" s="21" t="n">
        <f aca="false">$B16*IF(Model!$B$5=1,Data!$F$7,Model!$AE$67)</f>
        <v>4.0854557328109</v>
      </c>
      <c r="F16" s="21" t="n">
        <f aca="false">$B16*IF(Model!$B$5=1,Data!$G$7,Model!$AF$67)</f>
        <v>5.62664427651832</v>
      </c>
      <c r="G16" s="21" t="n">
        <f aca="false">$B16*Model!$S$67</f>
        <v>13.4839873837939</v>
      </c>
      <c r="H16" s="21" t="n">
        <f aca="false">$B16*Model!$T$67</f>
        <v>3.36702030080863</v>
      </c>
      <c r="I16" s="21" t="n">
        <f aca="false">$B16*Model!$U$67</f>
        <v>1.59666240455012</v>
      </c>
      <c r="J16" s="21" t="n">
        <f aca="false">$B16*Model!$V$67</f>
        <v>1.59666240455012</v>
      </c>
      <c r="K16" s="21" t="n">
        <f aca="false">$B16*Model!$W$67</f>
        <v>1.51010266290568</v>
      </c>
      <c r="L16" s="21" t="n">
        <f aca="false">$B16*Model!$X$67</f>
        <v>0.413842452362296</v>
      </c>
      <c r="M16" s="21" t="n">
        <f aca="false">$B16*Model!$Y$67</f>
        <v>0.237325977783276</v>
      </c>
      <c r="N16" s="21" t="n">
        <f aca="false">$B16*Model!$Z$67</f>
        <v>0.0244927165683808</v>
      </c>
      <c r="O16" s="21" t="n">
        <f aca="false">$B16*Model!$AA$67</f>
        <v>0.0413842452362296</v>
      </c>
    </row>
    <row r="17" customFormat="false" ht="15" hidden="false" customHeight="true" outlineLevel="0" collapsed="false">
      <c r="A17" s="23" t="n">
        <v>2030</v>
      </c>
      <c r="B17" s="21" t="n">
        <f aca="false">IF($A17&lt;=Model!$B$3,Data!$B$8*Model!$D$67,0)</f>
        <v>22.2714805485586</v>
      </c>
      <c r="C17" s="21" t="n">
        <f aca="false">$B17*IF(Model!$B$5=1,Data!$D$8,Model!$AC$67)</f>
        <v>5.513001402799</v>
      </c>
      <c r="D17" s="21" t="n">
        <f aca="false">$B17*IF(Model!$B$5=1,Data!$E$8,Model!$AD$67)</f>
        <v>6.93436290190926</v>
      </c>
      <c r="E17" s="21" t="n">
        <f aca="false">$B17*IF(Model!$B$5=1,Data!$F$8,Model!$AE$67)</f>
        <v>4.09163990368874</v>
      </c>
      <c r="F17" s="21" t="n">
        <f aca="false">$B17*IF(Model!$B$5=1,Data!$G$8,Model!$AF$67)</f>
        <v>5.73247634016162</v>
      </c>
      <c r="G17" s="21" t="n">
        <f aca="false">$B17*Model!$S$67</f>
        <v>13.4839873837939</v>
      </c>
      <c r="H17" s="21" t="n">
        <f aca="false">$B17*Model!$T$67</f>
        <v>3.36702030080863</v>
      </c>
      <c r="I17" s="21" t="n">
        <f aca="false">$B17*Model!$U$67</f>
        <v>1.59666240455012</v>
      </c>
      <c r="J17" s="21" t="n">
        <f aca="false">$B17*Model!$V$67</f>
        <v>1.59666240455012</v>
      </c>
      <c r="K17" s="21" t="n">
        <f aca="false">$B17*Model!$W$67</f>
        <v>1.51010266290568</v>
      </c>
      <c r="L17" s="21" t="n">
        <f aca="false">$B17*Model!$X$67</f>
        <v>0.413842452362296</v>
      </c>
      <c r="M17" s="21" t="n">
        <f aca="false">$B17*Model!$Y$67</f>
        <v>0.237325977783276</v>
      </c>
      <c r="N17" s="21" t="n">
        <f aca="false">$B17*Model!$Z$67</f>
        <v>0.0244927165683808</v>
      </c>
      <c r="O17" s="21" t="n">
        <f aca="false">$B17*Model!$AA$67</f>
        <v>0.0413842452362296</v>
      </c>
    </row>
    <row r="18" customFormat="false" ht="15" hidden="false" customHeight="true" outlineLevel="0" collapsed="false">
      <c r="A18" s="23" t="n">
        <v>2031</v>
      </c>
      <c r="B18" s="21" t="n">
        <f aca="false">IF($A18&lt;=Model!$B$3,Data!$B$9*Model!$D$67,0)</f>
        <v>11.3264297042635</v>
      </c>
      <c r="C18" s="21" t="n">
        <f aca="false">$B18*IF(Model!$B$5=1,Data!$D$9,Model!$AC$67)</f>
        <v>2.61740834033026</v>
      </c>
      <c r="D18" s="21" t="n">
        <f aca="false">$B18*IF(Model!$B$5=1,Data!$E$9,Model!$AD$67)</f>
        <v>3.44285847560407</v>
      </c>
      <c r="E18" s="21" t="n">
        <f aca="false">$B18*IF(Model!$B$5=1,Data!$F$9,Model!$AE$67)</f>
        <v>2.15243959324564</v>
      </c>
      <c r="F18" s="21" t="n">
        <f aca="false">$B18*IF(Model!$B$5=1,Data!$G$9,Model!$AF$67)</f>
        <v>3.1137232950835</v>
      </c>
      <c r="G18" s="21" t="n">
        <f aca="false">$B18*Model!$S$67</f>
        <v>6.85744420550438</v>
      </c>
      <c r="H18" s="21" t="n">
        <f aca="false">$B18*Model!$T$67</f>
        <v>1.71233873144572</v>
      </c>
      <c r="I18" s="21" t="n">
        <f aca="false">$B18*Model!$U$67</f>
        <v>0.812001898443507</v>
      </c>
      <c r="J18" s="21" t="n">
        <f aca="false">$B18*Model!$V$67</f>
        <v>0.812001898443507</v>
      </c>
      <c r="K18" s="21" t="n">
        <f aca="false">$B18*Model!$W$67</f>
        <v>0.767980899174178</v>
      </c>
      <c r="L18" s="21" t="n">
        <f aca="false">$B18*Model!$X$67</f>
        <v>0.210464564091357</v>
      </c>
      <c r="M18" s="21" t="n">
        <f aca="false">$B18*Model!$Y$67</f>
        <v>0.120694984713615</v>
      </c>
      <c r="N18" s="21" t="n">
        <f aca="false">$B18*Model!$Z$67</f>
        <v>0.0124560660380599</v>
      </c>
      <c r="O18" s="21" t="n">
        <f aca="false">$B18*Model!$AA$67</f>
        <v>0.0210464564091357</v>
      </c>
    </row>
    <row r="19" customFormat="false" ht="15" hidden="false" customHeight="true" outlineLevel="0" collapsed="false">
      <c r="A19" s="23" t="n">
        <v>2032</v>
      </c>
      <c r="B19" s="21" t="n">
        <f aca="false">IF($A19&lt;=Model!$B$3,Data!$B$10*Model!$D$67,0)</f>
        <v>11.3264297042635</v>
      </c>
      <c r="C19" s="21" t="n">
        <f aca="false">$B19*IF(Model!$B$5=1,Data!$D$10,Model!$AC$67)</f>
        <v>2.51814534937961</v>
      </c>
      <c r="D19" s="21" t="n">
        <f aca="false">$B19*IF(Model!$B$5=1,Data!$E$10,Model!$AD$67)</f>
        <v>3.37494169232204</v>
      </c>
      <c r="E19" s="21" t="n">
        <f aca="false">$B19*IF(Model!$B$5=1,Data!$F$10,Model!$AE$67)</f>
        <v>2.18901016885904</v>
      </c>
      <c r="F19" s="21" t="n">
        <f aca="false">$B19*IF(Model!$B$5=1,Data!$G$10,Model!$AF$67)</f>
        <v>3.24433249370277</v>
      </c>
      <c r="G19" s="21" t="n">
        <f aca="false">$B19*Model!$S$67</f>
        <v>6.85744420550438</v>
      </c>
      <c r="H19" s="21" t="n">
        <f aca="false">$B19*Model!$T$67</f>
        <v>1.71233873144572</v>
      </c>
      <c r="I19" s="21" t="n">
        <f aca="false">$B19*Model!$U$67</f>
        <v>0.812001898443507</v>
      </c>
      <c r="J19" s="21" t="n">
        <f aca="false">$B19*Model!$V$67</f>
        <v>0.812001898443507</v>
      </c>
      <c r="K19" s="21" t="n">
        <f aca="false">$B19*Model!$W$67</f>
        <v>0.767980899174178</v>
      </c>
      <c r="L19" s="21" t="n">
        <f aca="false">$B19*Model!$X$67</f>
        <v>0.210464564091357</v>
      </c>
      <c r="M19" s="21" t="n">
        <f aca="false">$B19*Model!$Y$67</f>
        <v>0.120694984713615</v>
      </c>
      <c r="N19" s="21" t="n">
        <f aca="false">$B19*Model!$Z$67</f>
        <v>0.0124560660380599</v>
      </c>
      <c r="O19" s="21" t="n">
        <f aca="false">$B19*Model!$AA$67</f>
        <v>0.0210464564091357</v>
      </c>
    </row>
    <row r="20" customFormat="false" ht="15" hidden="false" customHeight="true" outlineLevel="0" collapsed="false">
      <c r="A20" s="23" t="n">
        <v>2033</v>
      </c>
      <c r="B20" s="21" t="n">
        <f aca="false">IF($A20&lt;=Model!$B$3,Data!$B$11*Model!$D$67,0)</f>
        <v>11.3264297042635</v>
      </c>
      <c r="C20" s="21" t="n">
        <f aca="false">$B20*IF(Model!$B$5=1,Data!$D$11,Model!$AC$67)</f>
        <v>2.49840027625193</v>
      </c>
      <c r="D20" s="21" t="n">
        <f aca="false">$B20*IF(Model!$B$5=1,Data!$E$11,Model!$AD$67)</f>
        <v>3.38695267575575</v>
      </c>
      <c r="E20" s="21" t="n">
        <f aca="false">$B20*IF(Model!$B$5=1,Data!$F$11,Model!$AE$67)</f>
        <v>2.1900203258359</v>
      </c>
      <c r="F20" s="21" t="n">
        <f aca="false">$B20*IF(Model!$B$5=1,Data!$G$11,Model!$AF$67)</f>
        <v>3.25105642641988</v>
      </c>
      <c r="G20" s="21" t="n">
        <f aca="false">$B20*Model!$S$67</f>
        <v>6.85744420550438</v>
      </c>
      <c r="H20" s="21" t="n">
        <f aca="false">$B20*Model!$T$67</f>
        <v>1.71233873144572</v>
      </c>
      <c r="I20" s="21" t="n">
        <f aca="false">$B20*Model!$U$67</f>
        <v>0.812001898443507</v>
      </c>
      <c r="J20" s="21" t="n">
        <f aca="false">$B20*Model!$V$67</f>
        <v>0.812001898443507</v>
      </c>
      <c r="K20" s="21" t="n">
        <f aca="false">$B20*Model!$W$67</f>
        <v>0.767980899174178</v>
      </c>
      <c r="L20" s="21" t="n">
        <f aca="false">$B20*Model!$X$67</f>
        <v>0.210464564091357</v>
      </c>
      <c r="M20" s="21" t="n">
        <f aca="false">$B20*Model!$Y$67</f>
        <v>0.120694984713615</v>
      </c>
      <c r="N20" s="21" t="n">
        <f aca="false">$B20*Model!$Z$67</f>
        <v>0.0124560660380599</v>
      </c>
      <c r="O20" s="21" t="n">
        <f aca="false">$B20*Model!$AA$67</f>
        <v>0.0210464564091357</v>
      </c>
    </row>
    <row r="21" customFormat="false" ht="15" hidden="false" customHeight="true" outlineLevel="0" collapsed="false">
      <c r="A21" s="23" t="n">
        <v>2034</v>
      </c>
      <c r="B21" s="21" t="n">
        <f aca="false">IF($A21&lt;=Model!$B$3,Data!$B$12*Model!$D$67,0)</f>
        <v>11.3264297042635</v>
      </c>
      <c r="C21" s="21" t="n">
        <f aca="false">$B21*IF(Model!$B$5=1,Data!$D$12,Model!$AC$67)</f>
        <v>2.47635040582144</v>
      </c>
      <c r="D21" s="21" t="n">
        <f aca="false">$B21*IF(Model!$B$5=1,Data!$E$12,Model!$AD$67)</f>
        <v>3.39583916410113</v>
      </c>
      <c r="E21" s="21" t="n">
        <f aca="false">$B21*IF(Model!$B$5=1,Data!$F$12,Model!$AE$67)</f>
        <v>2.18901016885904</v>
      </c>
      <c r="F21" s="21" t="n">
        <f aca="false">$B21*IF(Model!$B$5=1,Data!$G$12,Model!$AF$67)</f>
        <v>3.26522996548185</v>
      </c>
      <c r="G21" s="21" t="n">
        <f aca="false">$B21*Model!$S$67</f>
        <v>6.85744420550438</v>
      </c>
      <c r="H21" s="21" t="n">
        <f aca="false">$B21*Model!$T$67</f>
        <v>1.71233873144572</v>
      </c>
      <c r="I21" s="21" t="n">
        <f aca="false">$B21*Model!$U$67</f>
        <v>0.812001898443507</v>
      </c>
      <c r="J21" s="21" t="n">
        <f aca="false">$B21*Model!$V$67</f>
        <v>0.812001898443507</v>
      </c>
      <c r="K21" s="21" t="n">
        <f aca="false">$B21*Model!$W$67</f>
        <v>0.767980899174178</v>
      </c>
      <c r="L21" s="21" t="n">
        <f aca="false">$B21*Model!$X$67</f>
        <v>0.210464564091357</v>
      </c>
      <c r="M21" s="21" t="n">
        <f aca="false">$B21*Model!$Y$67</f>
        <v>0.120694984713615</v>
      </c>
      <c r="N21" s="21" t="n">
        <f aca="false">$B21*Model!$Z$67</f>
        <v>0.0124560660380599</v>
      </c>
      <c r="O21" s="21" t="n">
        <f aca="false">$B21*Model!$AA$67</f>
        <v>0.0210464564091357</v>
      </c>
    </row>
    <row r="22" customFormat="false" ht="15" hidden="false" customHeight="true" outlineLevel="0" collapsed="false">
      <c r="A22" s="23" t="n">
        <v>2035</v>
      </c>
      <c r="B22" s="21" t="n">
        <f aca="false">IF($A22&lt;=Model!$B$3,Data!$B$13*Model!$D$67,0)</f>
        <v>10.9450508442952</v>
      </c>
      <c r="C22" s="21" t="n">
        <f aca="false">$B22*IF(Model!$B$5=1,Data!$D$13,Model!$AC$67)</f>
        <v>2.34574120720216</v>
      </c>
      <c r="D22" s="21" t="n">
        <f aca="false">$B22*IF(Model!$B$5=1,Data!$E$13,Model!$AD$67)</f>
        <v>3.23388375781322</v>
      </c>
      <c r="E22" s="21" t="n">
        <f aca="false">$B22*IF(Model!$B$5=1,Data!$F$13,Model!$AE$67)</f>
        <v>2.10019591379793</v>
      </c>
      <c r="F22" s="21" t="n">
        <f aca="false">$B22*IF(Model!$B$5=1,Data!$G$13,Model!$AF$67)</f>
        <v>3.26522996548186</v>
      </c>
      <c r="G22" s="21" t="n">
        <f aca="false">$B22*Model!$S$67</f>
        <v>6.62654317828952</v>
      </c>
      <c r="H22" s="21" t="n">
        <f aca="false">$B22*Model!$T$67</f>
        <v>1.65468156936291</v>
      </c>
      <c r="I22" s="21" t="n">
        <f aca="false">$B22*Model!$U$67</f>
        <v>0.784660506106618</v>
      </c>
      <c r="J22" s="21" t="n">
        <f aca="false">$B22*Model!$V$67</f>
        <v>0.784660506106618</v>
      </c>
      <c r="K22" s="21" t="n">
        <f aca="false">$B22*Model!$W$67</f>
        <v>0.742121763731505</v>
      </c>
      <c r="L22" s="21" t="n">
        <f aca="false">$B22*Model!$X$67</f>
        <v>0.203377888270938</v>
      </c>
      <c r="M22" s="21" t="n">
        <f aca="false">$B22*Model!$Y$67</f>
        <v>0.11663099306966</v>
      </c>
      <c r="N22" s="21" t="n">
        <f aca="false">$B22*Model!$Z$67</f>
        <v>0.0120366505303208</v>
      </c>
      <c r="O22" s="21" t="n">
        <f aca="false">$B22*Model!$AA$67</f>
        <v>0.0203377888270938</v>
      </c>
    </row>
    <row r="23" customFormat="false" ht="15" hidden="false" customHeight="true" outlineLevel="0" collapsed="false">
      <c r="A23" s="23" t="n">
        <v>2036</v>
      </c>
      <c r="B23" s="21" t="n">
        <f aca="false">IF($A23&lt;=Model!$B$3,Data!$B$14*Model!$D$67,0)</f>
        <v>8.29107192835153</v>
      </c>
      <c r="C23" s="21" t="n">
        <f aca="false">$B23*IF(Model!$B$5=1,Data!$D$14,Model!$AC$67)</f>
        <v>2.0000812210814</v>
      </c>
      <c r="D23" s="21" t="n">
        <f aca="false">$B23*IF(Model!$B$5=1,Data!$E$14,Model!$AD$67)</f>
        <v>2.57252984554132</v>
      </c>
      <c r="E23" s="21" t="n">
        <f aca="false">$B23*IF(Model!$B$5=1,Data!$F$14,Model!$AE$67)</f>
        <v>1.55039245965465</v>
      </c>
      <c r="F23" s="21" t="n">
        <f aca="false">$B23*IF(Model!$B$5=1,Data!$G$14,Model!$AF$67)</f>
        <v>2.16806840207415</v>
      </c>
      <c r="G23" s="21" t="n">
        <f aca="false">$B23*Model!$S$67</f>
        <v>5.01972507109569</v>
      </c>
      <c r="H23" s="21" t="n">
        <f aca="false">$B23*Model!$T$67</f>
        <v>1.25345090719758</v>
      </c>
      <c r="I23" s="21" t="n">
        <f aca="false">$B23*Model!$U$67</f>
        <v>0.594394378611552</v>
      </c>
      <c r="J23" s="21" t="n">
        <f aca="false">$B23*Model!$V$67</f>
        <v>0.594394378611552</v>
      </c>
      <c r="K23" s="21" t="n">
        <f aca="false">$B23*Model!$W$67</f>
        <v>0.562170519829068</v>
      </c>
      <c r="L23" s="21" t="n">
        <f aca="false">$B23*Model!$X$67</f>
        <v>0.154062390780897</v>
      </c>
      <c r="M23" s="21" t="n">
        <f aca="false">$B23*Model!$Y$67</f>
        <v>0.0883500649172082</v>
      </c>
      <c r="N23" s="21" t="n">
        <f aca="false">$B23*Model!$Z$67</f>
        <v>0.00911797822988981</v>
      </c>
      <c r="O23" s="21" t="n">
        <f aca="false">$B23*Model!$AA$67</f>
        <v>0.0154062390780897</v>
      </c>
    </row>
    <row r="24" customFormat="false" ht="15" hidden="false" customHeight="true" outlineLevel="0" collapsed="false">
      <c r="A24" s="23" t="n">
        <v>2037</v>
      </c>
      <c r="B24" s="21" t="n">
        <f aca="false">IF($A24&lt;=Model!$B$3,Data!$B$15*Model!$D$67,0)</f>
        <v>8.2231551450695</v>
      </c>
      <c r="C24" s="21" t="n">
        <f aca="false">$B24*IF(Model!$B$5=1,Data!$D$15,Model!$AC$67)</f>
        <v>1.9836974429629</v>
      </c>
      <c r="D24" s="21" t="n">
        <f aca="false">$B24*IF(Model!$B$5=1,Data!$E$15,Model!$AD$67)</f>
        <v>2.55145682223191</v>
      </c>
      <c r="E24" s="21" t="n">
        <f aca="false">$B24*IF(Model!$B$5=1,Data!$F$15,Model!$AE$67)</f>
        <v>1.5376923323859</v>
      </c>
      <c r="F24" s="21" t="n">
        <f aca="false">$B24*IF(Model!$B$5=1,Data!$G$15,Model!$AF$67)</f>
        <v>2.1503085474888</v>
      </c>
      <c r="G24" s="21" t="n">
        <f aca="false">$B24*Model!$S$67</f>
        <v>4.97860571008482</v>
      </c>
      <c r="H24" s="21" t="n">
        <f aca="false">$B24*Model!$T$67</f>
        <v>1.24318319340201</v>
      </c>
      <c r="I24" s="21" t="n">
        <f aca="false">$B24*Model!$U$67</f>
        <v>0.58952536353786</v>
      </c>
      <c r="J24" s="21" t="n">
        <f aca="false">$B24*Model!$V$67</f>
        <v>0.58952536353786</v>
      </c>
      <c r="K24" s="21" t="n">
        <f aca="false">$B24*Model!$W$67</f>
        <v>0.55756546831188</v>
      </c>
      <c r="L24" s="21" t="n">
        <f aca="false">$B24*Model!$X$67</f>
        <v>0.152800380018356</v>
      </c>
      <c r="M24" s="21" t="n">
        <f aca="false">$B24*Model!$Y$67</f>
        <v>0.0876263403778737</v>
      </c>
      <c r="N24" s="21" t="n">
        <f aca="false">$B24*Model!$Z$67</f>
        <v>0.00904328779700476</v>
      </c>
      <c r="O24" s="21" t="n">
        <f aca="false">$B24*Model!$AA$67</f>
        <v>0.0152800380018356</v>
      </c>
    </row>
    <row r="25" customFormat="false" ht="15" hidden="false" customHeight="true" outlineLevel="0" collapsed="false">
      <c r="A25" s="23" t="n">
        <v>2038</v>
      </c>
      <c r="B25" s="21" t="n">
        <f aca="false">IF($A25&lt;=Model!$B$3,Data!$B$16*Model!$D$67,0)</f>
        <v>8.12389215411885</v>
      </c>
      <c r="C25" s="21" t="n">
        <f aca="false">$B25*IF(Model!$B$5=1,Data!$D$16,Model!$AC$67)</f>
        <v>1.95975192109741</v>
      </c>
      <c r="D25" s="21" t="n">
        <f aca="false">$B25*IF(Model!$B$5=1,Data!$E$16,Model!$AD$67)</f>
        <v>2.52065778816431</v>
      </c>
      <c r="E25" s="21" t="n">
        <f aca="false">$B25*IF(Model!$B$5=1,Data!$F$16,Model!$AE$67)</f>
        <v>1.51913060791618</v>
      </c>
      <c r="F25" s="21" t="n">
        <f aca="false">$B25*IF(Model!$B$5=1,Data!$G$16,Model!$AF$67)</f>
        <v>2.12435183694096</v>
      </c>
      <c r="G25" s="21" t="n">
        <f aca="false">$B25*Model!$S$67</f>
        <v>4.91850818245356</v>
      </c>
      <c r="H25" s="21" t="n">
        <f aca="false">$B25*Model!$T$67</f>
        <v>1.22817653477772</v>
      </c>
      <c r="I25" s="21" t="n">
        <f aca="false">$B25*Model!$U$67</f>
        <v>0.582409110737847</v>
      </c>
      <c r="J25" s="21" t="n">
        <f aca="false">$B25*Model!$V$67</f>
        <v>0.582409110737847</v>
      </c>
      <c r="K25" s="21" t="n">
        <f aca="false">$B25*Model!$W$67</f>
        <v>0.550835008402143</v>
      </c>
      <c r="L25" s="21" t="n">
        <f aca="false">$B25*Model!$X$67</f>
        <v>0.150955902750028</v>
      </c>
      <c r="M25" s="21" t="n">
        <f aca="false">$B25*Model!$Y$67</f>
        <v>0.0865685891280773</v>
      </c>
      <c r="N25" s="21" t="n">
        <f aca="false">$B25*Model!$Z$67</f>
        <v>0.00893412485663431</v>
      </c>
      <c r="O25" s="21" t="n">
        <f aca="false">$B25*Model!$AA$67</f>
        <v>0.0150955902750028</v>
      </c>
    </row>
    <row r="26" customFormat="false" ht="15" hidden="false" customHeight="true" outlineLevel="0" collapsed="false">
      <c r="A26" s="23" t="n">
        <v>2039</v>
      </c>
      <c r="B26" s="21" t="n">
        <f aca="false">IF($A26&lt;=Model!$B$3,Data!$B$17*Model!$D$67,0)</f>
        <v>8.05075100289206</v>
      </c>
      <c r="C26" s="21" t="n">
        <f aca="false">$B26*IF(Model!$B$5=1,Data!$D$17,Model!$AC$67)</f>
        <v>1.9421078523544</v>
      </c>
      <c r="D26" s="21" t="n">
        <f aca="false">$B26*IF(Model!$B$5=1,Data!$E$17,Model!$AD$67)</f>
        <v>2.49796376306186</v>
      </c>
      <c r="E26" s="21" t="n">
        <f aca="false">$B26*IF(Model!$B$5=1,Data!$F$17,Model!$AE$67)</f>
        <v>1.5054535477806</v>
      </c>
      <c r="F26" s="21" t="n">
        <f aca="false">$B26*IF(Model!$B$5=1,Data!$G$17,Model!$AF$67)</f>
        <v>2.1052258396952</v>
      </c>
      <c r="G26" s="21" t="n">
        <f aca="false">$B26*Model!$S$67</f>
        <v>4.87422579367262</v>
      </c>
      <c r="H26" s="21" t="n">
        <f aca="false">$B26*Model!$T$67</f>
        <v>1.21711899684403</v>
      </c>
      <c r="I26" s="21" t="n">
        <f aca="false">$B26*Model!$U$67</f>
        <v>0.577165556043102</v>
      </c>
      <c r="J26" s="21" t="n">
        <f aca="false">$B26*Model!$V$67</f>
        <v>0.577165556043102</v>
      </c>
      <c r="K26" s="21" t="n">
        <f aca="false">$B26*Model!$W$67</f>
        <v>0.545875722152863</v>
      </c>
      <c r="L26" s="21" t="n">
        <f aca="false">$B26*Model!$X$67</f>
        <v>0.149596814236523</v>
      </c>
      <c r="M26" s="21" t="n">
        <f aca="false">$B26*Model!$Y$67</f>
        <v>0.0857891934703326</v>
      </c>
      <c r="N26" s="21" t="n">
        <f aca="false">$B26*Model!$Z$67</f>
        <v>0.00885368900583503</v>
      </c>
      <c r="O26" s="21" t="n">
        <f aca="false">$B26*Model!$AA$67</f>
        <v>0.0149596814236523</v>
      </c>
    </row>
    <row r="27" customFormat="false" ht="15" hidden="false" customHeight="true" outlineLevel="0" collapsed="false">
      <c r="A27" s="23" t="n">
        <v>2040</v>
      </c>
      <c r="B27" s="21" t="n">
        <f aca="false">IF($A27&lt;=Model!$B$3,Data!$B$18*Model!$D$67,0)</f>
        <v>7.96716111577573</v>
      </c>
      <c r="C27" s="21" t="n">
        <f aca="false">$B27*IF(Model!$B$5=1,Data!$D$18,Model!$AC$67)</f>
        <v>1.92194320236241</v>
      </c>
      <c r="D27" s="21" t="n">
        <f aca="false">$B27*IF(Model!$B$5=1,Data!$E$18,Model!$AD$67)</f>
        <v>2.47202773437336</v>
      </c>
      <c r="E27" s="21" t="n">
        <f aca="false">$B27*IF(Model!$B$5=1,Data!$F$18,Model!$AE$67)</f>
        <v>1.48982262191137</v>
      </c>
      <c r="F27" s="21" t="n">
        <f aca="false">$B27*IF(Model!$B$5=1,Data!$G$18,Model!$AF$67)</f>
        <v>2.0833675571286</v>
      </c>
      <c r="G27" s="21" t="n">
        <f aca="false">$B27*Model!$S$67</f>
        <v>4.82361734935156</v>
      </c>
      <c r="H27" s="21" t="n">
        <f aca="false">$B27*Model!$T$67</f>
        <v>1.2044818106341</v>
      </c>
      <c r="I27" s="21" t="n">
        <f aca="false">$B27*Model!$U$67</f>
        <v>0.571172922106249</v>
      </c>
      <c r="J27" s="21" t="n">
        <f aca="false">$B27*Model!$V$67</f>
        <v>0.571172922106249</v>
      </c>
      <c r="K27" s="21" t="n">
        <f aca="false">$B27*Model!$W$67</f>
        <v>0.540207966439401</v>
      </c>
      <c r="L27" s="21" t="n">
        <f aca="false">$B27*Model!$X$67</f>
        <v>0.148043570221089</v>
      </c>
      <c r="M27" s="21" t="n">
        <f aca="false">$B27*Model!$Y$67</f>
        <v>0.0848984555757671</v>
      </c>
      <c r="N27" s="21" t="n">
        <f aca="false">$B27*Model!$Z$67</f>
        <v>0.00876176231920728</v>
      </c>
      <c r="O27" s="21" t="n">
        <f aca="false">$B27*Model!$AA$67</f>
        <v>0.0148043570221089</v>
      </c>
    </row>
    <row r="28" customFormat="false" ht="15" hidden="false" customHeight="true" outlineLevel="0" collapsed="false">
      <c r="A28" s="24" t="s">
        <v>118</v>
      </c>
      <c r="B28" s="25" t="n">
        <f aca="false">SUM(B13:B27)</f>
        <v>208.26420375035</v>
      </c>
      <c r="C28" s="25" t="n">
        <f aca="false">SUM(C13:C27)</f>
        <v>50.2400550719157</v>
      </c>
      <c r="D28" s="25" t="n">
        <f aca="false">SUM(D13:D27)</f>
        <v>64.6195300843977</v>
      </c>
      <c r="E28" s="25" t="n">
        <f aca="false">SUM(E13:E27)</f>
        <v>38.9444785786224</v>
      </c>
      <c r="F28" s="25" t="n">
        <f aca="false">SUM(F13:F27)</f>
        <v>54.4601400154141</v>
      </c>
      <c r="G28" s="25" t="n">
        <f aca="false">SUM(G13:G27)</f>
        <v>126.090939025935</v>
      </c>
      <c r="H28" s="25" t="n">
        <f aca="false">SUM(H13:H27)</f>
        <v>31.4855494420444</v>
      </c>
      <c r="I28" s="25" t="n">
        <f aca="false">SUM(I13:I27)</f>
        <v>14.9306474536679</v>
      </c>
      <c r="J28" s="25" t="n">
        <f aca="false">SUM(J13:J27)</f>
        <v>14.9306474536679</v>
      </c>
      <c r="K28" s="25" t="n">
        <f aca="false">SUM(K13:K27)</f>
        <v>14.121213360092</v>
      </c>
      <c r="L28" s="25" t="n">
        <f aca="false">SUM(L13:L27)</f>
        <v>3.86990746445474</v>
      </c>
      <c r="M28" s="25" t="n">
        <f aca="false">SUM(M13:M27)</f>
        <v>2.21927346430976</v>
      </c>
      <c r="N28" s="25" t="n">
        <f aca="false">SUM(N13:N27)</f>
        <v>0.229035339733035</v>
      </c>
      <c r="O28" s="25" t="n">
        <f aca="false">SUM(O13:O27)</f>
        <v>0.386990746445474</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0.186995546413275</v>
      </c>
      <c r="F29" s="26" t="n">
        <f aca="false">IF($B$28&gt;0,F28/$B$28,0)</f>
        <v>0.261495442014109</v>
      </c>
      <c r="G29" s="26" t="n">
        <f aca="false">IF($B$28&gt;0,G28/$B$28,0)</f>
        <v>0.605437404773997</v>
      </c>
      <c r="H29" s="26" t="n">
        <f aca="false">IF($B$28&gt;0,H28/$B$28,0)</f>
        <v>0.151180802437786</v>
      </c>
      <c r="I29" s="26" t="n">
        <f aca="false">IF($B$28&gt;0,I28/$B$28,0)</f>
        <v>0.0716908963941087</v>
      </c>
      <c r="J29" s="26" t="n">
        <f aca="false">IF($B$28&gt;0,J28/$B$28,0)</f>
        <v>0.0716908963941087</v>
      </c>
      <c r="K29" s="26" t="n">
        <f aca="false">IF($B$28&gt;0,K28/$B$28,0)</f>
        <v>0.0678043230944255</v>
      </c>
      <c r="L29" s="26" t="n">
        <f aca="false">IF($B$28&gt;0,L28/$B$28,0)</f>
        <v>0.018581721653394</v>
      </c>
      <c r="M29" s="26" t="n">
        <f aca="false">IF($B$28&gt;0,M28/$B$28,0)</f>
        <v>0.0106560485400076</v>
      </c>
      <c r="N29" s="26" t="n">
        <f aca="false">IF($B$28&gt;0,N28/$B$28,0)</f>
        <v>0.00109973454683352</v>
      </c>
      <c r="O29" s="26" t="n">
        <f aca="false">IF($B$28&gt;0,O28/$B$28,0)</f>
        <v>0.0018581721653394</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Data!$H$44*Data!$M$44/SUM(Data!$H$44:$K$44)</f>
        <v>19.4716312056738</v>
      </c>
      <c r="C34" s="22" t="n">
        <f aca="false">IF($B$38&gt;0,B34/$B$38,0)</f>
        <v>0.0602836879432624</v>
      </c>
      <c r="D34" s="21" t="n">
        <f aca="false">C28</f>
        <v>50.2400550719157</v>
      </c>
      <c r="E34" s="22" t="n">
        <f aca="false">IF($D$38&gt;0,D34/$D$38,0)</f>
        <v>0.241232310532536</v>
      </c>
      <c r="F34" s="21" t="n">
        <f aca="false">B34+D34</f>
        <v>69.7116862775894</v>
      </c>
      <c r="G34" s="22" t="n">
        <f aca="false">IF($F$38&gt;0,F34/$F$38,0)</f>
        <v>0.131218489379623</v>
      </c>
    </row>
    <row r="35" customFormat="false" ht="15" hidden="false" customHeight="true" outlineLevel="0" collapsed="false">
      <c r="A35" s="13" t="s">
        <v>106</v>
      </c>
      <c r="B35" s="21" t="n">
        <f aca="false">Data!$I$44*Data!$M$44/SUM(Data!$H$44:$K$44)</f>
        <v>74.4503546099291</v>
      </c>
      <c r="C35" s="22" t="n">
        <f aca="false">IF($B$38&gt;0,B35/$B$38,0)</f>
        <v>0.230496453900709</v>
      </c>
      <c r="D35" s="21" t="n">
        <f aca="false">D28</f>
        <v>64.6195300843977</v>
      </c>
      <c r="E35" s="22" t="n">
        <f aca="false">IF($D$38&gt;0,D35/$D$38,0)</f>
        <v>0.310276701040081</v>
      </c>
      <c r="F35" s="21" t="n">
        <f aca="false">B35+D35</f>
        <v>139.069884694327</v>
      </c>
      <c r="G35" s="22" t="n">
        <f aca="false">IF($F$38&gt;0,F35/$F$38,0)</f>
        <v>0.261771607634378</v>
      </c>
    </row>
    <row r="36" customFormat="false" ht="15" hidden="false" customHeight="true" outlineLevel="0" collapsed="false">
      <c r="A36" s="13" t="s">
        <v>107</v>
      </c>
      <c r="B36" s="21" t="n">
        <f aca="false">Data!$J$44*Data!$M$44/SUM(Data!$H$44:$K$44)</f>
        <v>131.719858156028</v>
      </c>
      <c r="C36" s="22" t="n">
        <f aca="false">IF($B$38&gt;0,B36/$B$38,0)</f>
        <v>0.407801418439716</v>
      </c>
      <c r="D36" s="21" t="n">
        <f aca="false">E28</f>
        <v>38.9444785786224</v>
      </c>
      <c r="E36" s="22" t="n">
        <f aca="false">IF($D$38&gt;0,D36/$D$38,0)</f>
        <v>0.186995546413275</v>
      </c>
      <c r="F36" s="21" t="n">
        <f aca="false">B36+D36</f>
        <v>170.664336734651</v>
      </c>
      <c r="G36" s="22" t="n">
        <f aca="false">IF($F$38&gt;0,F36/$F$38,0)</f>
        <v>0.321241927330848</v>
      </c>
    </row>
    <row r="37" customFormat="false" ht="15" hidden="false" customHeight="true" outlineLevel="0" collapsed="false">
      <c r="A37" s="13" t="s">
        <v>108</v>
      </c>
      <c r="B37" s="21" t="n">
        <f aca="false">Data!$K$44*Data!$M$44/SUM(Data!$H$44:$K$44)</f>
        <v>97.3581560283688</v>
      </c>
      <c r="C37" s="22" t="n">
        <f aca="false">IF($B$38&gt;0,B37/$B$38,0)</f>
        <v>0.301418439716312</v>
      </c>
      <c r="D37" s="21" t="n">
        <f aca="false">F28</f>
        <v>54.4601400154141</v>
      </c>
      <c r="E37" s="22" t="n">
        <f aca="false">IF($D$38&gt;0,D37/$D$38,0)</f>
        <v>0.261495442014109</v>
      </c>
      <c r="F37" s="21" t="n">
        <f aca="false">B37+D37</f>
        <v>151.818296043783</v>
      </c>
      <c r="G37" s="22" t="n">
        <f aca="false">IF($F$38&gt;0,F37/$F$38,0)</f>
        <v>0.28576797565515</v>
      </c>
    </row>
    <row r="38" customFormat="false" ht="15" hidden="false" customHeight="true" outlineLevel="0" collapsed="false">
      <c r="A38" s="24" t="s">
        <v>61</v>
      </c>
      <c r="B38" s="25" t="n">
        <f aca="false">SUM(B34:B37)</f>
        <v>323</v>
      </c>
      <c r="C38" s="27" t="n">
        <f aca="false">SUM(C34:C37)</f>
        <v>1</v>
      </c>
      <c r="D38" s="25" t="n">
        <f aca="false">SUM(D34:D37)</f>
        <v>208.26420375035</v>
      </c>
      <c r="E38" s="27" t="n">
        <f aca="false">SUM(E34:E37)</f>
        <v>1</v>
      </c>
      <c r="F38" s="25" t="n">
        <f aca="false">SUM(F34:F37)</f>
        <v>531.26420375035</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BE6D8"/>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200</v>
      </c>
    </row>
    <row r="2" customFormat="false" ht="15" hidden="false" customHeight="true" outlineLevel="0" collapsed="false">
      <c r="A2" s="3" t="str">
        <f aca="false">Model!$B$68&amp;" · new homes per year, 2026–"&amp;Model!$B$3&amp;" · set by the levers on the Intro tab"</f>
        <v>Village · new homes per year, 2026–2040 · set by the levers on the Intro tab</v>
      </c>
    </row>
    <row r="4" customFormat="false" ht="15" hidden="false" customHeight="true" outlineLevel="0" collapsed="false">
      <c r="A4" s="13" t="s">
        <v>332</v>
      </c>
      <c r="C4" s="67" t="n">
        <f aca="false">Model!$D$68</f>
        <v>0.00751002892060827</v>
      </c>
    </row>
    <row r="5" customFormat="false" ht="15" hidden="false" customHeight="true" outlineLevel="0" collapsed="false">
      <c r="A5" s="13" t="s">
        <v>53</v>
      </c>
      <c r="C5" s="14" t="n">
        <f aca="false">Model!$E$68</f>
        <v>299.379792891128</v>
      </c>
    </row>
    <row r="6" customFormat="false" ht="15" hidden="false" customHeight="true" outlineLevel="0" collapsed="false">
      <c r="A6" s="13" t="s">
        <v>99</v>
      </c>
      <c r="C6" s="15" t="n">
        <f aca="false">Model!$Q$68</f>
        <v>0.1</v>
      </c>
    </row>
    <row r="7" customFormat="false" ht="15" hidden="false" customHeight="true" outlineLevel="0" collapsed="false">
      <c r="A7" s="13" t="s">
        <v>100</v>
      </c>
      <c r="C7" s="15" t="n">
        <f aca="false">Model!$G$68</f>
        <v>0.1125</v>
      </c>
    </row>
    <row r="8" customFormat="false" ht="15" hidden="false" customHeight="true" outlineLevel="0" collapsed="false">
      <c r="A8" s="13" t="s">
        <v>101</v>
      </c>
      <c r="C8" s="15" t="n">
        <f aca="false">Model!$R$68</f>
        <v>0.107783157644459</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IF($A13&lt;=Model!$B$3,Data!$B$4*Model!$D$68,0)</f>
        <v>32.015253288553</v>
      </c>
      <c r="C13" s="21" t="n">
        <f aca="false">$B13*IF(Model!$B$5=1,Data!$D$4,Model!$AC$68)</f>
        <v>8.2816192254395</v>
      </c>
      <c r="D13" s="21" t="n">
        <f aca="false">$B13*IF(Model!$B$5=1,Data!$E$4,Model!$AD$68)</f>
        <v>10.1361613366666</v>
      </c>
      <c r="E13" s="21" t="n">
        <f aca="false">$B13*IF(Model!$B$5=1,Data!$F$4,Model!$AE$68)</f>
        <v>5.92402318120741</v>
      </c>
      <c r="F13" s="21" t="n">
        <f aca="false">$B13*IF(Model!$B$5=1,Data!$G$4,Model!$AF$68)</f>
        <v>7.67344954523948</v>
      </c>
      <c r="G13" s="21" t="n">
        <f aca="false">$B13*Model!$S$68</f>
        <v>19.3832318642037</v>
      </c>
      <c r="H13" s="21" t="n">
        <f aca="false">$B13*Model!$T$68</f>
        <v>4.84009168241241</v>
      </c>
      <c r="I13" s="21" t="n">
        <f aca="false">$B13*Model!$U$68</f>
        <v>2.2952022065408</v>
      </c>
      <c r="J13" s="21" t="n">
        <f aca="false">$B13*Model!$V$68</f>
        <v>2.2952022065408</v>
      </c>
      <c r="K13" s="21" t="n">
        <f aca="false">$B13*Model!$W$68</f>
        <v>2.17077257792692</v>
      </c>
      <c r="L13" s="21" t="n">
        <f aca="false">$B13*Model!$X$68</f>
        <v>0.5948985252708</v>
      </c>
      <c r="M13" s="21" t="n">
        <f aca="false">$B13*Model!$Y$68</f>
        <v>0.341156093063459</v>
      </c>
      <c r="N13" s="21" t="n">
        <f aca="false">$B13*Model!$Z$68</f>
        <v>0.0352082800670473</v>
      </c>
      <c r="O13" s="21" t="n">
        <f aca="false">$B13*Model!$AA$68</f>
        <v>0.05948985252708</v>
      </c>
    </row>
    <row r="14" customFormat="false" ht="15" hidden="false" customHeight="true" outlineLevel="0" collapsed="false">
      <c r="A14" s="23" t="n">
        <v>2027</v>
      </c>
      <c r="B14" s="21" t="n">
        <f aca="false">IF($A14&lt;=Model!$B$3,Data!$B$5*Model!$D$68,0)</f>
        <v>32.015253288553</v>
      </c>
      <c r="C14" s="21" t="n">
        <f aca="false">$B14*IF(Model!$B$5=1,Data!$D$5,Model!$AC$68)</f>
        <v>8.048862928079</v>
      </c>
      <c r="D14" s="21" t="n">
        <f aca="false">$B14*IF(Model!$B$5=1,Data!$E$5,Model!$AD$68)</f>
        <v>10.1661944072938</v>
      </c>
      <c r="E14" s="21" t="n">
        <f aca="false">$B14*IF(Model!$B$5=1,Data!$F$5,Model!$AE$68)</f>
        <v>5.90900664589383</v>
      </c>
      <c r="F14" s="21" t="n">
        <f aca="false">$B14*IF(Model!$B$5=1,Data!$G$5,Model!$AF$68)</f>
        <v>7.8911893072864</v>
      </c>
      <c r="G14" s="21" t="n">
        <f aca="false">$B14*Model!$S$68</f>
        <v>19.3832318642037</v>
      </c>
      <c r="H14" s="21" t="n">
        <f aca="false">$B14*Model!$T$68</f>
        <v>4.84009168241241</v>
      </c>
      <c r="I14" s="21" t="n">
        <f aca="false">$B14*Model!$U$68</f>
        <v>2.2952022065408</v>
      </c>
      <c r="J14" s="21" t="n">
        <f aca="false">$B14*Model!$V$68</f>
        <v>2.2952022065408</v>
      </c>
      <c r="K14" s="21" t="n">
        <f aca="false">$B14*Model!$W$68</f>
        <v>2.17077257792692</v>
      </c>
      <c r="L14" s="21" t="n">
        <f aca="false">$B14*Model!$X$68</f>
        <v>0.5948985252708</v>
      </c>
      <c r="M14" s="21" t="n">
        <f aca="false">$B14*Model!$Y$68</f>
        <v>0.341156093063459</v>
      </c>
      <c r="N14" s="21" t="n">
        <f aca="false">$B14*Model!$Z$68</f>
        <v>0.0352082800670473</v>
      </c>
      <c r="O14" s="21" t="n">
        <f aca="false">$B14*Model!$AA$68</f>
        <v>0.05948985252708</v>
      </c>
    </row>
    <row r="15" customFormat="false" ht="15" hidden="false" customHeight="true" outlineLevel="0" collapsed="false">
      <c r="A15" s="23" t="n">
        <v>2028</v>
      </c>
      <c r="B15" s="21" t="n">
        <f aca="false">IF($A15&lt;=Model!$B$3,Data!$B$6*Model!$D$68,0)</f>
        <v>32.015253288553</v>
      </c>
      <c r="C15" s="21" t="n">
        <f aca="false">$B15*IF(Model!$B$5=1,Data!$D$6,Model!$AC$68)</f>
        <v>8.02259279966558</v>
      </c>
      <c r="D15" s="21" t="n">
        <f aca="false">$B15*IF(Model!$B$5=1,Data!$E$6,Model!$AD$68)</f>
        <v>10.1709650287895</v>
      </c>
      <c r="E15" s="21" t="n">
        <f aca="false">$B15*IF(Model!$B$5=1,Data!$F$6,Model!$AE$68)</f>
        <v>5.91177952559625</v>
      </c>
      <c r="F15" s="21" t="n">
        <f aca="false">$B15*IF(Model!$B$5=1,Data!$G$6,Model!$AF$68)</f>
        <v>7.90991593450172</v>
      </c>
      <c r="G15" s="21" t="n">
        <f aca="false">$B15*Model!$S$68</f>
        <v>19.3832318642037</v>
      </c>
      <c r="H15" s="21" t="n">
        <f aca="false">$B15*Model!$T$68</f>
        <v>4.84009168241241</v>
      </c>
      <c r="I15" s="21" t="n">
        <f aca="false">$B15*Model!$U$68</f>
        <v>2.2952022065408</v>
      </c>
      <c r="J15" s="21" t="n">
        <f aca="false">$B15*Model!$V$68</f>
        <v>2.2952022065408</v>
      </c>
      <c r="K15" s="21" t="n">
        <f aca="false">$B15*Model!$W$68</f>
        <v>2.17077257792692</v>
      </c>
      <c r="L15" s="21" t="n">
        <f aca="false">$B15*Model!$X$68</f>
        <v>0.5948985252708</v>
      </c>
      <c r="M15" s="21" t="n">
        <f aca="false">$B15*Model!$Y$68</f>
        <v>0.341156093063459</v>
      </c>
      <c r="N15" s="21" t="n">
        <f aca="false">$B15*Model!$Z$68</f>
        <v>0.0352082800670473</v>
      </c>
      <c r="O15" s="21" t="n">
        <f aca="false">$B15*Model!$AA$68</f>
        <v>0.05948985252708</v>
      </c>
    </row>
    <row r="16" customFormat="false" ht="15" hidden="false" customHeight="true" outlineLevel="0" collapsed="false">
      <c r="A16" s="23" t="n">
        <v>2029</v>
      </c>
      <c r="B16" s="21" t="n">
        <f aca="false">IF($A16&lt;=Model!$B$3,Data!$B$7*Model!$D$68,0)</f>
        <v>32.015253288553</v>
      </c>
      <c r="C16" s="21" t="n">
        <f aca="false">$B16*IF(Model!$B$5=1,Data!$D$7,Model!$AC$68)</f>
        <v>7.93810056908295</v>
      </c>
      <c r="D16" s="21" t="n">
        <f aca="false">$B16*IF(Model!$B$5=1,Data!$E$7,Model!$AD$68)</f>
        <v>10.1160089560593</v>
      </c>
      <c r="E16" s="21" t="n">
        <f aca="false">$B16*IF(Model!$B$5=1,Data!$F$7,Model!$AE$68)</f>
        <v>5.87284261591567</v>
      </c>
      <c r="F16" s="21" t="n">
        <f aca="false">$B16*IF(Model!$B$5=1,Data!$G$7,Model!$AF$68)</f>
        <v>8.08830114749509</v>
      </c>
      <c r="G16" s="21" t="n">
        <f aca="false">$B16*Model!$S$68</f>
        <v>19.3832318642037</v>
      </c>
      <c r="H16" s="21" t="n">
        <f aca="false">$B16*Model!$T$68</f>
        <v>4.84009168241241</v>
      </c>
      <c r="I16" s="21" t="n">
        <f aca="false">$B16*Model!$U$68</f>
        <v>2.2952022065408</v>
      </c>
      <c r="J16" s="21" t="n">
        <f aca="false">$B16*Model!$V$68</f>
        <v>2.2952022065408</v>
      </c>
      <c r="K16" s="21" t="n">
        <f aca="false">$B16*Model!$W$68</f>
        <v>2.17077257792692</v>
      </c>
      <c r="L16" s="21" t="n">
        <f aca="false">$B16*Model!$X$68</f>
        <v>0.5948985252708</v>
      </c>
      <c r="M16" s="21" t="n">
        <f aca="false">$B16*Model!$Y$68</f>
        <v>0.341156093063459</v>
      </c>
      <c r="N16" s="21" t="n">
        <f aca="false">$B16*Model!$Z$68</f>
        <v>0.0352082800670473</v>
      </c>
      <c r="O16" s="21" t="n">
        <f aca="false">$B16*Model!$AA$68</f>
        <v>0.05948985252708</v>
      </c>
    </row>
    <row r="17" customFormat="false" ht="15" hidden="false" customHeight="true" outlineLevel="0" collapsed="false">
      <c r="A17" s="23" t="n">
        <v>2030</v>
      </c>
      <c r="B17" s="21" t="n">
        <f aca="false">IF($A17&lt;=Model!$B$3,Data!$B$8*Model!$D$68,0)</f>
        <v>32.015253288553</v>
      </c>
      <c r="C17" s="21" t="n">
        <f aca="false">$B17*IF(Model!$B$5=1,Data!$D$8,Model!$AC$68)</f>
        <v>7.92493951652356</v>
      </c>
      <c r="D17" s="21" t="n">
        <f aca="false">$B17*IF(Model!$B$5=1,Data!$E$8,Model!$AD$68)</f>
        <v>9.96814667149456</v>
      </c>
      <c r="E17" s="21" t="n">
        <f aca="false">$B17*IF(Model!$B$5=1,Data!$F$8,Model!$AE$68)</f>
        <v>5.88173236155256</v>
      </c>
      <c r="F17" s="21" t="n">
        <f aca="false">$B17*IF(Model!$B$5=1,Data!$G$8,Model!$AF$68)</f>
        <v>8.24043473898232</v>
      </c>
      <c r="G17" s="21" t="n">
        <f aca="false">$B17*Model!$S$68</f>
        <v>19.3832318642037</v>
      </c>
      <c r="H17" s="21" t="n">
        <f aca="false">$B17*Model!$T$68</f>
        <v>4.84009168241241</v>
      </c>
      <c r="I17" s="21" t="n">
        <f aca="false">$B17*Model!$U$68</f>
        <v>2.2952022065408</v>
      </c>
      <c r="J17" s="21" t="n">
        <f aca="false">$B17*Model!$V$68</f>
        <v>2.2952022065408</v>
      </c>
      <c r="K17" s="21" t="n">
        <f aca="false">$B17*Model!$W$68</f>
        <v>2.17077257792692</v>
      </c>
      <c r="L17" s="21" t="n">
        <f aca="false">$B17*Model!$X$68</f>
        <v>0.5948985252708</v>
      </c>
      <c r="M17" s="21" t="n">
        <f aca="false">$B17*Model!$Y$68</f>
        <v>0.341156093063459</v>
      </c>
      <c r="N17" s="21" t="n">
        <f aca="false">$B17*Model!$Z$68</f>
        <v>0.0352082800670473</v>
      </c>
      <c r="O17" s="21" t="n">
        <f aca="false">$B17*Model!$AA$68</f>
        <v>0.05948985252708</v>
      </c>
    </row>
    <row r="18" customFormat="false" ht="15" hidden="false" customHeight="true" outlineLevel="0" collapsed="false">
      <c r="A18" s="23" t="n">
        <v>2031</v>
      </c>
      <c r="B18" s="21" t="n">
        <f aca="false">IF($A18&lt;=Model!$B$3,Data!$B$9*Model!$D$68,0)</f>
        <v>16.2817426998787</v>
      </c>
      <c r="C18" s="21" t="n">
        <f aca="false">$B18*IF(Model!$B$5=1,Data!$D$9,Model!$AC$68)</f>
        <v>3.76252448922474</v>
      </c>
      <c r="D18" s="21" t="n">
        <f aca="false">$B18*IF(Model!$B$5=1,Data!$E$9,Model!$AD$68)</f>
        <v>4.94910905868085</v>
      </c>
      <c r="E18" s="21" t="n">
        <f aca="false">$B18*IF(Model!$B$5=1,Data!$F$9,Model!$AE$68)</f>
        <v>3.09413191529061</v>
      </c>
      <c r="F18" s="21" t="n">
        <f aca="false">$B18*IF(Model!$B$5=1,Data!$G$9,Model!$AF$68)</f>
        <v>4.47597723668253</v>
      </c>
      <c r="G18" s="21" t="n">
        <f aca="false">$B18*Model!$S$68</f>
        <v>9.85757604541254</v>
      </c>
      <c r="H18" s="21" t="n">
        <f aca="false">$B18*Model!$T$68</f>
        <v>2.46148692645322</v>
      </c>
      <c r="I18" s="21" t="n">
        <f aca="false">$B18*Model!$U$68</f>
        <v>1.16725272901254</v>
      </c>
      <c r="J18" s="21" t="n">
        <f aca="false">$B18*Model!$V$68</f>
        <v>1.16725272901254</v>
      </c>
      <c r="K18" s="21" t="n">
        <f aca="false">$B18*Model!$W$68</f>
        <v>1.10397254256288</v>
      </c>
      <c r="L18" s="21" t="n">
        <f aca="false">$B18*Model!$X$68</f>
        <v>0.302542810881326</v>
      </c>
      <c r="M18" s="21" t="n">
        <f aca="false">$B18*Model!$Y$68</f>
        <v>0.173499040525822</v>
      </c>
      <c r="N18" s="21" t="n">
        <f aca="false">$B18*Model!$Z$68</f>
        <v>0.0179055949297111</v>
      </c>
      <c r="O18" s="21" t="n">
        <f aca="false">$B18*Model!$AA$68</f>
        <v>0.0302542810881326</v>
      </c>
    </row>
    <row r="19" customFormat="false" ht="15" hidden="false" customHeight="true" outlineLevel="0" collapsed="false">
      <c r="A19" s="23" t="n">
        <v>2032</v>
      </c>
      <c r="B19" s="21" t="n">
        <f aca="false">IF($A19&lt;=Model!$B$3,Data!$B$10*Model!$D$68,0)</f>
        <v>16.2817426998787</v>
      </c>
      <c r="C19" s="21" t="n">
        <f aca="false">$B19*IF(Model!$B$5=1,Data!$D$10,Model!$AC$68)</f>
        <v>3.61983393973319</v>
      </c>
      <c r="D19" s="21" t="n">
        <f aca="false">$B19*IF(Model!$B$5=1,Data!$E$10,Model!$AD$68)</f>
        <v>4.85147868271294</v>
      </c>
      <c r="E19" s="21" t="n">
        <f aca="false">$B19*IF(Model!$B$5=1,Data!$F$10,Model!$AE$68)</f>
        <v>3.14670211773487</v>
      </c>
      <c r="F19" s="21" t="n">
        <f aca="false">$B19*IF(Model!$B$5=1,Data!$G$10,Model!$AF$68)</f>
        <v>4.66372795969773</v>
      </c>
      <c r="G19" s="21" t="n">
        <f aca="false">$B19*Model!$S$68</f>
        <v>9.85757604541254</v>
      </c>
      <c r="H19" s="21" t="n">
        <f aca="false">$B19*Model!$T$68</f>
        <v>2.46148692645322</v>
      </c>
      <c r="I19" s="21" t="n">
        <f aca="false">$B19*Model!$U$68</f>
        <v>1.16725272901254</v>
      </c>
      <c r="J19" s="21" t="n">
        <f aca="false">$B19*Model!$V$68</f>
        <v>1.16725272901254</v>
      </c>
      <c r="K19" s="21" t="n">
        <f aca="false">$B19*Model!$W$68</f>
        <v>1.10397254256288</v>
      </c>
      <c r="L19" s="21" t="n">
        <f aca="false">$B19*Model!$X$68</f>
        <v>0.302542810881326</v>
      </c>
      <c r="M19" s="21" t="n">
        <f aca="false">$B19*Model!$Y$68</f>
        <v>0.173499040525822</v>
      </c>
      <c r="N19" s="21" t="n">
        <f aca="false">$B19*Model!$Z$68</f>
        <v>0.0179055949297111</v>
      </c>
      <c r="O19" s="21" t="n">
        <f aca="false">$B19*Model!$AA$68</f>
        <v>0.0302542810881326</v>
      </c>
    </row>
    <row r="20" customFormat="false" ht="15" hidden="false" customHeight="true" outlineLevel="0" collapsed="false">
      <c r="A20" s="23" t="n">
        <v>2033</v>
      </c>
      <c r="B20" s="21" t="n">
        <f aca="false">IF($A20&lt;=Model!$B$3,Data!$B$11*Model!$D$68,0)</f>
        <v>16.2817426998787</v>
      </c>
      <c r="C20" s="21" t="n">
        <f aca="false">$B20*IF(Model!$B$5=1,Data!$D$11,Model!$AC$68)</f>
        <v>3.59145039711215</v>
      </c>
      <c r="D20" s="21" t="n">
        <f aca="false">$B20*IF(Model!$B$5=1,Data!$E$11,Model!$AD$68)</f>
        <v>4.86874447139889</v>
      </c>
      <c r="E20" s="21" t="n">
        <f aca="false">$B20*IF(Model!$B$5=1,Data!$F$11,Model!$AE$68)</f>
        <v>3.1481542183891</v>
      </c>
      <c r="F20" s="21" t="n">
        <f aca="false">$B20*IF(Model!$B$5=1,Data!$G$11,Model!$AF$68)</f>
        <v>4.67339361297858</v>
      </c>
      <c r="G20" s="21" t="n">
        <f aca="false">$B20*Model!$S$68</f>
        <v>9.85757604541254</v>
      </c>
      <c r="H20" s="21" t="n">
        <f aca="false">$B20*Model!$T$68</f>
        <v>2.46148692645322</v>
      </c>
      <c r="I20" s="21" t="n">
        <f aca="false">$B20*Model!$U$68</f>
        <v>1.16725272901254</v>
      </c>
      <c r="J20" s="21" t="n">
        <f aca="false">$B20*Model!$V$68</f>
        <v>1.16725272901254</v>
      </c>
      <c r="K20" s="21" t="n">
        <f aca="false">$B20*Model!$W$68</f>
        <v>1.10397254256288</v>
      </c>
      <c r="L20" s="21" t="n">
        <f aca="false">$B20*Model!$X$68</f>
        <v>0.302542810881326</v>
      </c>
      <c r="M20" s="21" t="n">
        <f aca="false">$B20*Model!$Y$68</f>
        <v>0.173499040525822</v>
      </c>
      <c r="N20" s="21" t="n">
        <f aca="false">$B20*Model!$Z$68</f>
        <v>0.0179055949297111</v>
      </c>
      <c r="O20" s="21" t="n">
        <f aca="false">$B20*Model!$AA$68</f>
        <v>0.0302542810881326</v>
      </c>
    </row>
    <row r="21" customFormat="false" ht="15" hidden="false" customHeight="true" outlineLevel="0" collapsed="false">
      <c r="A21" s="23" t="n">
        <v>2034</v>
      </c>
      <c r="B21" s="21" t="n">
        <f aca="false">IF($A21&lt;=Model!$B$3,Data!$B$12*Model!$D$68,0)</f>
        <v>16.2817426998787</v>
      </c>
      <c r="C21" s="21" t="n">
        <f aca="false">$B21*IF(Model!$B$5=1,Data!$D$12,Model!$AC$68)</f>
        <v>3.55975370836833</v>
      </c>
      <c r="D21" s="21" t="n">
        <f aca="false">$B21*IF(Model!$B$5=1,Data!$E$12,Model!$AD$68)</f>
        <v>4.88151879839538</v>
      </c>
      <c r="E21" s="21" t="n">
        <f aca="false">$B21*IF(Model!$B$5=1,Data!$F$12,Model!$AE$68)</f>
        <v>3.14670211773487</v>
      </c>
      <c r="F21" s="21" t="n">
        <f aca="false">$B21*IF(Model!$B$5=1,Data!$G$12,Model!$AF$68)</f>
        <v>4.69376807538016</v>
      </c>
      <c r="G21" s="21" t="n">
        <f aca="false">$B21*Model!$S$68</f>
        <v>9.85757604541254</v>
      </c>
      <c r="H21" s="21" t="n">
        <f aca="false">$B21*Model!$T$68</f>
        <v>2.46148692645322</v>
      </c>
      <c r="I21" s="21" t="n">
        <f aca="false">$B21*Model!$U$68</f>
        <v>1.16725272901254</v>
      </c>
      <c r="J21" s="21" t="n">
        <f aca="false">$B21*Model!$V$68</f>
        <v>1.16725272901254</v>
      </c>
      <c r="K21" s="21" t="n">
        <f aca="false">$B21*Model!$W$68</f>
        <v>1.10397254256288</v>
      </c>
      <c r="L21" s="21" t="n">
        <f aca="false">$B21*Model!$X$68</f>
        <v>0.302542810881326</v>
      </c>
      <c r="M21" s="21" t="n">
        <f aca="false">$B21*Model!$Y$68</f>
        <v>0.173499040525822</v>
      </c>
      <c r="N21" s="21" t="n">
        <f aca="false">$B21*Model!$Z$68</f>
        <v>0.0179055949297111</v>
      </c>
      <c r="O21" s="21" t="n">
        <f aca="false">$B21*Model!$AA$68</f>
        <v>0.0302542810881326</v>
      </c>
    </row>
    <row r="22" customFormat="false" ht="15" hidden="false" customHeight="true" outlineLevel="0" collapsed="false">
      <c r="A22" s="23" t="n">
        <v>2035</v>
      </c>
      <c r="B22" s="21" t="n">
        <f aca="false">IF($A22&lt;=Model!$B$3,Data!$B$13*Model!$D$68,0)</f>
        <v>15.7335105886743</v>
      </c>
      <c r="C22" s="21" t="n">
        <f aca="false">$B22*IF(Model!$B$5=1,Data!$D$13,Model!$AC$68)</f>
        <v>3.37200298535311</v>
      </c>
      <c r="D22" s="21" t="n">
        <f aca="false">$B22*IF(Model!$B$5=1,Data!$E$13,Model!$AD$68)</f>
        <v>4.64870790185651</v>
      </c>
      <c r="E22" s="21" t="n">
        <f aca="false">$B22*IF(Model!$B$5=1,Data!$F$13,Model!$AE$68)</f>
        <v>3.01903162608452</v>
      </c>
      <c r="F22" s="21" t="n">
        <f aca="false">$B22*IF(Model!$B$5=1,Data!$G$13,Model!$AF$68)</f>
        <v>4.69376807538017</v>
      </c>
      <c r="G22" s="21" t="n">
        <f aca="false">$B22*Model!$S$68</f>
        <v>9.52565581879118</v>
      </c>
      <c r="H22" s="21" t="n">
        <f aca="false">$B22*Model!$T$68</f>
        <v>2.37860475595918</v>
      </c>
      <c r="I22" s="21" t="n">
        <f aca="false">$B22*Model!$U$68</f>
        <v>1.12794947752826</v>
      </c>
      <c r="J22" s="21" t="n">
        <f aca="false">$B22*Model!$V$68</f>
        <v>1.12794947752826</v>
      </c>
      <c r="K22" s="21" t="n">
        <f aca="false">$B22*Model!$W$68</f>
        <v>1.06680003536404</v>
      </c>
      <c r="L22" s="21" t="n">
        <f aca="false">$B22*Model!$X$68</f>
        <v>0.292355714389474</v>
      </c>
      <c r="M22" s="21" t="n">
        <f aca="false">$B22*Model!$Y$68</f>
        <v>0.167657052537637</v>
      </c>
      <c r="N22" s="21" t="n">
        <f aca="false">$B22*Model!$Z$68</f>
        <v>0.0173026851373362</v>
      </c>
      <c r="O22" s="21" t="n">
        <f aca="false">$B22*Model!$AA$68</f>
        <v>0.0292355714389474</v>
      </c>
    </row>
    <row r="23" customFormat="false" ht="15" hidden="false" customHeight="true" outlineLevel="0" collapsed="false">
      <c r="A23" s="23" t="n">
        <v>2036</v>
      </c>
      <c r="B23" s="21" t="n">
        <f aca="false">IF($A23&lt;=Model!$B$3,Data!$B$14*Model!$D$68,0)</f>
        <v>11.9184158970053</v>
      </c>
      <c r="C23" s="21" t="n">
        <f aca="false">$B23*IF(Model!$B$5=1,Data!$D$14,Model!$AC$68)</f>
        <v>2.87511675530451</v>
      </c>
      <c r="D23" s="21" t="n">
        <f aca="false">$B23*IF(Model!$B$5=1,Data!$E$14,Model!$AD$68)</f>
        <v>3.69801165296565</v>
      </c>
      <c r="E23" s="21" t="n">
        <f aca="false">$B23*IF(Model!$B$5=1,Data!$F$14,Model!$AE$68)</f>
        <v>2.22868916075356</v>
      </c>
      <c r="F23" s="21" t="n">
        <f aca="false">$B23*IF(Model!$B$5=1,Data!$G$14,Model!$AF$68)</f>
        <v>3.11659832798159</v>
      </c>
      <c r="G23" s="21" t="n">
        <f aca="false">$B23*Model!$S$68</f>
        <v>7.21585478970005</v>
      </c>
      <c r="H23" s="21" t="n">
        <f aca="false">$B23*Model!$T$68</f>
        <v>1.80183567909653</v>
      </c>
      <c r="I23" s="21" t="n">
        <f aca="false">$B23*Model!$U$68</f>
        <v>0.854441919254106</v>
      </c>
      <c r="J23" s="21" t="n">
        <f aca="false">$B23*Model!$V$68</f>
        <v>0.854441919254106</v>
      </c>
      <c r="K23" s="21" t="n">
        <f aca="false">$B23*Model!$W$68</f>
        <v>0.808120122254285</v>
      </c>
      <c r="L23" s="21" t="n">
        <f aca="false">$B23*Model!$X$68</f>
        <v>0.221464686747539</v>
      </c>
      <c r="M23" s="21" t="n">
        <f aca="false">$B23*Model!$Y$68</f>
        <v>0.127003218318487</v>
      </c>
      <c r="N23" s="21" t="n">
        <f aca="false">$B23*Model!$Z$68</f>
        <v>0.0131070937054666</v>
      </c>
      <c r="O23" s="21" t="n">
        <f aca="false">$B23*Model!$AA$68</f>
        <v>0.0221464686747539</v>
      </c>
    </row>
    <row r="24" customFormat="false" ht="15" hidden="false" customHeight="true" outlineLevel="0" collapsed="false">
      <c r="A24" s="23" t="n">
        <v>2037</v>
      </c>
      <c r="B24" s="21" t="n">
        <f aca="false">IF($A24&lt;=Model!$B$3,Data!$B$15*Model!$D$68,0)</f>
        <v>11.8207855210374</v>
      </c>
      <c r="C24" s="21" t="n">
        <f aca="false">$B24*IF(Model!$B$5=1,Data!$D$15,Model!$AC$68)</f>
        <v>2.85156507425917</v>
      </c>
      <c r="D24" s="21" t="n">
        <f aca="false">$B24*IF(Model!$B$5=1,Data!$E$15,Model!$AD$68)</f>
        <v>3.66771918195837</v>
      </c>
      <c r="E24" s="21" t="n">
        <f aca="false">$B24*IF(Model!$B$5=1,Data!$F$15,Model!$AE$68)</f>
        <v>2.21043272780473</v>
      </c>
      <c r="F24" s="21" t="n">
        <f aca="false">$B24*IF(Model!$B$5=1,Data!$G$15,Model!$AF$68)</f>
        <v>3.09106853701515</v>
      </c>
      <c r="G24" s="21" t="n">
        <f aca="false">$B24*Model!$S$68</f>
        <v>7.15674570824693</v>
      </c>
      <c r="H24" s="21" t="n">
        <f aca="false">$B24*Model!$T$68</f>
        <v>1.78707584051539</v>
      </c>
      <c r="I24" s="21" t="n">
        <f aca="false">$B24*Model!$U$68</f>
        <v>0.847442710085673</v>
      </c>
      <c r="J24" s="21" t="n">
        <f aca="false">$B24*Model!$V$68</f>
        <v>0.847442710085673</v>
      </c>
      <c r="K24" s="21" t="n">
        <f aca="false">$B24*Model!$W$68</f>
        <v>0.801500360698327</v>
      </c>
      <c r="L24" s="21" t="n">
        <f aca="false">$B24*Model!$X$68</f>
        <v>0.219650546276387</v>
      </c>
      <c r="M24" s="21" t="n">
        <f aca="false">$B24*Model!$Y$68</f>
        <v>0.125962864293194</v>
      </c>
      <c r="N24" s="21" t="n">
        <f aca="false">$B24*Model!$Z$68</f>
        <v>0.0129997262081943</v>
      </c>
      <c r="O24" s="21" t="n">
        <f aca="false">$B24*Model!$AA$68</f>
        <v>0.0219650546276387</v>
      </c>
    </row>
    <row r="25" customFormat="false" ht="15" hidden="false" customHeight="true" outlineLevel="0" collapsed="false">
      <c r="A25" s="23" t="n">
        <v>2038</v>
      </c>
      <c r="B25" s="21" t="n">
        <f aca="false">IF($A25&lt;=Model!$B$3,Data!$B$16*Model!$D$68,0)</f>
        <v>11.6780949715459</v>
      </c>
      <c r="C25" s="21" t="n">
        <f aca="false">$B25*IF(Model!$B$5=1,Data!$D$16,Model!$AC$68)</f>
        <v>2.81714338657753</v>
      </c>
      <c r="D25" s="21" t="n">
        <f aca="false">$B25*IF(Model!$B$5=1,Data!$E$16,Model!$AD$68)</f>
        <v>3.62344557048619</v>
      </c>
      <c r="E25" s="21" t="n">
        <f aca="false">$B25*IF(Model!$B$5=1,Data!$F$16,Model!$AE$68)</f>
        <v>2.18375024887951</v>
      </c>
      <c r="F25" s="21" t="n">
        <f aca="false">$B25*IF(Model!$B$5=1,Data!$G$16,Model!$AF$68)</f>
        <v>3.05375576560263</v>
      </c>
      <c r="G25" s="21" t="n">
        <f aca="false">$B25*Model!$S$68</f>
        <v>7.07035551227699</v>
      </c>
      <c r="H25" s="21" t="n">
        <f aca="false">$B25*Model!$T$68</f>
        <v>1.76550376874297</v>
      </c>
      <c r="I25" s="21" t="n">
        <f aca="false">$B25*Model!$U$68</f>
        <v>0.837213096685656</v>
      </c>
      <c r="J25" s="21" t="n">
        <f aca="false">$B25*Model!$V$68</f>
        <v>0.837213096685656</v>
      </c>
      <c r="K25" s="21" t="n">
        <f aca="false">$B25*Model!$W$68</f>
        <v>0.791825324578081</v>
      </c>
      <c r="L25" s="21" t="n">
        <f aca="false">$B25*Model!$X$68</f>
        <v>0.216999110203165</v>
      </c>
      <c r="M25" s="21" t="n">
        <f aca="false">$B25*Model!$Y$68</f>
        <v>0.124442346871611</v>
      </c>
      <c r="N25" s="21" t="n">
        <f aca="false">$B25*Model!$Z$68</f>
        <v>0.0128428044814118</v>
      </c>
      <c r="O25" s="21" t="n">
        <f aca="false">$B25*Model!$AA$68</f>
        <v>0.0216999110203165</v>
      </c>
    </row>
    <row r="26" customFormat="false" ht="15" hidden="false" customHeight="true" outlineLevel="0" collapsed="false">
      <c r="A26" s="23" t="n">
        <v>2039</v>
      </c>
      <c r="B26" s="21" t="n">
        <f aca="false">IF($A26&lt;=Model!$B$3,Data!$B$17*Model!$D$68,0)</f>
        <v>11.5729545666573</v>
      </c>
      <c r="C26" s="21" t="n">
        <f aca="false">$B26*IF(Model!$B$5=1,Data!$D$17,Model!$AC$68)</f>
        <v>2.79178003775946</v>
      </c>
      <c r="D26" s="21" t="n">
        <f aca="false">$B26*IF(Model!$B$5=1,Data!$E$17,Model!$AD$68)</f>
        <v>3.59082290940142</v>
      </c>
      <c r="E26" s="21" t="n">
        <f aca="false">$B26*IF(Model!$B$5=1,Data!$F$17,Model!$AE$68)</f>
        <v>2.16408947493462</v>
      </c>
      <c r="F26" s="21" t="n">
        <f aca="false">$B26*IF(Model!$B$5=1,Data!$G$17,Model!$AF$68)</f>
        <v>3.02626214456185</v>
      </c>
      <c r="G26" s="21" t="n">
        <f aca="false">$B26*Model!$S$68</f>
        <v>7.0066995784044</v>
      </c>
      <c r="H26" s="21" t="n">
        <f aca="false">$B26*Model!$T$68</f>
        <v>1.74960855796329</v>
      </c>
      <c r="I26" s="21" t="n">
        <f aca="false">$B26*Model!$U$68</f>
        <v>0.829675486811958</v>
      </c>
      <c r="J26" s="21" t="n">
        <f aca="false">$B26*Model!$V$68</f>
        <v>0.829675486811958</v>
      </c>
      <c r="K26" s="21" t="n">
        <f aca="false">$B26*Model!$W$68</f>
        <v>0.784696350594741</v>
      </c>
      <c r="L26" s="21" t="n">
        <f aca="false">$B26*Model!$X$68</f>
        <v>0.215045420465002</v>
      </c>
      <c r="M26" s="21" t="n">
        <f aca="false">$B26*Model!$Y$68</f>
        <v>0.123321965613603</v>
      </c>
      <c r="N26" s="21" t="n">
        <f aca="false">$B26*Model!$Z$68</f>
        <v>0.0127271779458879</v>
      </c>
      <c r="O26" s="21" t="n">
        <f aca="false">$B26*Model!$AA$68</f>
        <v>0.0215045420465002</v>
      </c>
    </row>
    <row r="27" customFormat="false" ht="15" hidden="false" customHeight="true" outlineLevel="0" collapsed="false">
      <c r="A27" s="23" t="n">
        <v>2040</v>
      </c>
      <c r="B27" s="21" t="n">
        <f aca="false">IF($A27&lt;=Model!$B$3,Data!$B$18*Model!$D$68,0)</f>
        <v>11.4527941039276</v>
      </c>
      <c r="C27" s="21" t="n">
        <f aca="false">$B27*IF(Model!$B$5=1,Data!$D$18,Model!$AC$68)</f>
        <v>2.76279335339596</v>
      </c>
      <c r="D27" s="21" t="n">
        <f aca="false">$B27*IF(Model!$B$5=1,Data!$E$18,Model!$AD$68)</f>
        <v>3.5535398681617</v>
      </c>
      <c r="E27" s="21" t="n">
        <f aca="false">$B27*IF(Model!$B$5=1,Data!$F$18,Model!$AE$68)</f>
        <v>2.14162001899759</v>
      </c>
      <c r="F27" s="21" t="n">
        <f aca="false">$B27*IF(Model!$B$5=1,Data!$G$18,Model!$AF$68)</f>
        <v>2.99484086337236</v>
      </c>
      <c r="G27" s="21" t="n">
        <f aca="false">$B27*Model!$S$68</f>
        <v>6.93394993969286</v>
      </c>
      <c r="H27" s="21" t="n">
        <f aca="false">$B27*Model!$T$68</f>
        <v>1.73144260278652</v>
      </c>
      <c r="I27" s="21" t="n">
        <f aca="false">$B27*Model!$U$68</f>
        <v>0.821061075527733</v>
      </c>
      <c r="J27" s="21" t="n">
        <f aca="false">$B27*Model!$V$68</f>
        <v>0.821061075527733</v>
      </c>
      <c r="K27" s="21" t="n">
        <f aca="false">$B27*Model!$W$68</f>
        <v>0.776548951756639</v>
      </c>
      <c r="L27" s="21" t="n">
        <f aca="false">$B27*Model!$X$68</f>
        <v>0.212812632192815</v>
      </c>
      <c r="M27" s="21" t="n">
        <f aca="false">$B27*Model!$Y$68</f>
        <v>0.122041529890165</v>
      </c>
      <c r="N27" s="21" t="n">
        <f aca="false">$B27*Model!$Z$68</f>
        <v>0.0125950333338605</v>
      </c>
      <c r="O27" s="21" t="n">
        <f aca="false">$B27*Model!$AA$68</f>
        <v>0.0212812632192815</v>
      </c>
    </row>
    <row r="28" customFormat="false" ht="15" hidden="false" customHeight="true" outlineLevel="0" collapsed="false">
      <c r="A28" s="24" t="s">
        <v>118</v>
      </c>
      <c r="B28" s="25" t="n">
        <f aca="false">SUM(B13:B27)</f>
        <v>299.379792891128</v>
      </c>
      <c r="C28" s="25" t="n">
        <f aca="false">SUM(C13:C27)</f>
        <v>72.2200791658787</v>
      </c>
      <c r="D28" s="25" t="n">
        <f aca="false">SUM(D13:D27)</f>
        <v>92.8905744963217</v>
      </c>
      <c r="E28" s="25" t="n">
        <f aca="false">SUM(E13:E27)</f>
        <v>55.9826879567697</v>
      </c>
      <c r="F28" s="25" t="n">
        <f aca="false">SUM(F13:F27)</f>
        <v>78.2864512721578</v>
      </c>
      <c r="G28" s="25" t="n">
        <f aca="false">SUM(G13:G27)</f>
        <v>181.255724849781</v>
      </c>
      <c r="H28" s="25" t="n">
        <f aca="false">SUM(H13:H27)</f>
        <v>45.2604773229388</v>
      </c>
      <c r="I28" s="25" t="n">
        <f aca="false">SUM(I13:I27)</f>
        <v>21.4628057146476</v>
      </c>
      <c r="J28" s="25" t="n">
        <f aca="false">SUM(J13:J27)</f>
        <v>21.4628057146476</v>
      </c>
      <c r="K28" s="25" t="n">
        <f aca="false">SUM(K13:K27)</f>
        <v>20.2992442051322</v>
      </c>
      <c r="L28" s="25" t="n">
        <f aca="false">SUM(L13:L27)</f>
        <v>5.56299198015369</v>
      </c>
      <c r="M28" s="25" t="n">
        <f aca="false">SUM(M13:M27)</f>
        <v>3.19020560494528</v>
      </c>
      <c r="N28" s="25" t="n">
        <f aca="false">SUM(N13:N27)</f>
        <v>0.329238300866239</v>
      </c>
      <c r="O28" s="25" t="n">
        <f aca="false">SUM(O13:O27)</f>
        <v>0.556299198015369</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0.186995546413275</v>
      </c>
      <c r="F29" s="26" t="n">
        <f aca="false">IF($B$28&gt;0,F28/$B$28,0)</f>
        <v>0.261495442014109</v>
      </c>
      <c r="G29" s="26" t="n">
        <f aca="false">IF($B$28&gt;0,G28/$B$28,0)</f>
        <v>0.605437404773997</v>
      </c>
      <c r="H29" s="26" t="n">
        <f aca="false">IF($B$28&gt;0,H28/$B$28,0)</f>
        <v>0.151180802437786</v>
      </c>
      <c r="I29" s="26" t="n">
        <f aca="false">IF($B$28&gt;0,I28/$B$28,0)</f>
        <v>0.0716908963941087</v>
      </c>
      <c r="J29" s="26" t="n">
        <f aca="false">IF($B$28&gt;0,J28/$B$28,0)</f>
        <v>0.0716908963941087</v>
      </c>
      <c r="K29" s="26" t="n">
        <f aca="false">IF($B$28&gt;0,K28/$B$28,0)</f>
        <v>0.0678043230944255</v>
      </c>
      <c r="L29" s="26" t="n">
        <f aca="false">IF($B$28&gt;0,L28/$B$28,0)</f>
        <v>0.018581721653394</v>
      </c>
      <c r="M29" s="26" t="n">
        <f aca="false">IF($B$28&gt;0,M28/$B$28,0)</f>
        <v>0.0106560485400076</v>
      </c>
      <c r="N29" s="26" t="n">
        <f aca="false">IF($B$28&gt;0,N28/$B$28,0)</f>
        <v>0.00109973454683352</v>
      </c>
      <c r="O29" s="26" t="n">
        <f aca="false">IF($B$28&gt;0,O28/$B$28,0)</f>
        <v>0.0018581721653394</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Data!$H$45*Data!$M$45/SUM(Data!$H$45:$K$45)</f>
        <v>11.9955849889625</v>
      </c>
      <c r="C34" s="22" t="n">
        <f aca="false">IF($B$38&gt;0,B34/$B$38,0)</f>
        <v>0.0242825607064018</v>
      </c>
      <c r="D34" s="21" t="n">
        <f aca="false">C28</f>
        <v>72.2200791658787</v>
      </c>
      <c r="E34" s="22" t="n">
        <f aca="false">IF($D$38&gt;0,D34/$D$38,0)</f>
        <v>0.241232310532536</v>
      </c>
      <c r="F34" s="21" t="n">
        <f aca="false">B34+D34</f>
        <v>84.2156641548412</v>
      </c>
      <c r="G34" s="22" t="n">
        <f aca="false">IF($F$38&gt;0,F34/$F$38,0)</f>
        <v>0.106147982226714</v>
      </c>
    </row>
    <row r="35" customFormat="false" ht="15" hidden="false" customHeight="true" outlineLevel="0" collapsed="false">
      <c r="A35" s="13" t="s">
        <v>106</v>
      </c>
      <c r="B35" s="21" t="n">
        <f aca="false">Data!$I$45*Data!$M$45/SUM(Data!$H$45:$K$45)</f>
        <v>67.6114790286976</v>
      </c>
      <c r="C35" s="22" t="n">
        <f aca="false">IF($B$38&gt;0,B35/$B$38,0)</f>
        <v>0.136865342163355</v>
      </c>
      <c r="D35" s="21" t="n">
        <f aca="false">D28</f>
        <v>92.8905744963217</v>
      </c>
      <c r="E35" s="22" t="n">
        <f aca="false">IF($D$38&gt;0,D35/$D$38,0)</f>
        <v>0.310276701040081</v>
      </c>
      <c r="F35" s="21" t="n">
        <f aca="false">B35+D35</f>
        <v>160.502053525019</v>
      </c>
      <c r="G35" s="22" t="n">
        <f aca="false">IF($F$38&gt;0,F35/$F$38,0)</f>
        <v>0.202301665561886</v>
      </c>
    </row>
    <row r="36" customFormat="false" ht="15" hidden="false" customHeight="true" outlineLevel="0" collapsed="false">
      <c r="A36" s="13" t="s">
        <v>107</v>
      </c>
      <c r="B36" s="21" t="n">
        <f aca="false">Data!$J$45*Data!$M$45/SUM(Data!$H$45:$K$45)</f>
        <v>318.42825607064</v>
      </c>
      <c r="C36" s="22" t="n">
        <f aca="false">IF($B$38&gt;0,B36/$B$38,0)</f>
        <v>0.644591611479029</v>
      </c>
      <c r="D36" s="21" t="n">
        <f aca="false">E28</f>
        <v>55.9826879567697</v>
      </c>
      <c r="E36" s="22" t="n">
        <f aca="false">IF($D$38&gt;0,D36/$D$38,0)</f>
        <v>0.186995546413275</v>
      </c>
      <c r="F36" s="21" t="n">
        <f aca="false">B36+D36</f>
        <v>374.41094402741</v>
      </c>
      <c r="G36" s="22" t="n">
        <f aca="false">IF($F$38&gt;0,F36/$F$38,0)</f>
        <v>0.471918931364551</v>
      </c>
    </row>
    <row r="37" customFormat="false" ht="15" hidden="false" customHeight="true" outlineLevel="0" collapsed="false">
      <c r="A37" s="13" t="s">
        <v>108</v>
      </c>
      <c r="B37" s="21" t="n">
        <f aca="false">Data!$K$45*Data!$M$45/SUM(Data!$H$45:$K$45)</f>
        <v>95.9646799116998</v>
      </c>
      <c r="C37" s="22" t="n">
        <f aca="false">IF($B$38&gt;0,B37/$B$38,0)</f>
        <v>0.194260485651214</v>
      </c>
      <c r="D37" s="21" t="n">
        <f aca="false">F28</f>
        <v>78.2864512721578</v>
      </c>
      <c r="E37" s="22" t="n">
        <f aca="false">IF($D$38&gt;0,D37/$D$38,0)</f>
        <v>0.261495442014108</v>
      </c>
      <c r="F37" s="21" t="n">
        <f aca="false">B37+D37</f>
        <v>174.251131183858</v>
      </c>
      <c r="G37" s="22" t="n">
        <f aca="false">IF($F$38&gt;0,F37/$F$38,0)</f>
        <v>0.219631420846849</v>
      </c>
    </row>
    <row r="38" customFormat="false" ht="15" hidden="false" customHeight="true" outlineLevel="0" collapsed="false">
      <c r="A38" s="24" t="s">
        <v>61</v>
      </c>
      <c r="B38" s="25" t="n">
        <f aca="false">SUM(B34:B37)</f>
        <v>494</v>
      </c>
      <c r="C38" s="27" t="n">
        <f aca="false">SUM(C34:C37)</f>
        <v>1</v>
      </c>
      <c r="D38" s="25" t="n">
        <f aca="false">SUM(D34:D37)</f>
        <v>299.379792891128</v>
      </c>
      <c r="E38" s="27" t="n">
        <f aca="false">SUM(E34:E37)</f>
        <v>1</v>
      </c>
      <c r="F38" s="25" t="n">
        <f aca="false">SUM(F34:F37)</f>
        <v>793.379792891128</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BE6D8"/>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202</v>
      </c>
    </row>
    <row r="2" customFormat="false" ht="15" hidden="false" customHeight="true" outlineLevel="0" collapsed="false">
      <c r="A2" s="3" t="str">
        <f aca="false">Model!$B$69&amp;" · new homes per year, 2026–"&amp;Model!$B$3&amp;" · set by the levers on the Intro tab"</f>
        <v>Village · new homes per year, 2026–2040 · set by the levers on the Intro tab</v>
      </c>
    </row>
    <row r="4" customFormat="false" ht="15" hidden="false" customHeight="true" outlineLevel="0" collapsed="false">
      <c r="A4" s="13" t="s">
        <v>332</v>
      </c>
      <c r="C4" s="67" t="n">
        <f aca="false">Model!$D$69</f>
        <v>0.0186584569456106</v>
      </c>
    </row>
    <row r="5" customFormat="false" ht="15" hidden="false" customHeight="true" outlineLevel="0" collapsed="false">
      <c r="A5" s="13" t="s">
        <v>53</v>
      </c>
      <c r="C5" s="14" t="n">
        <f aca="false">Model!$E$69</f>
        <v>743.800727679821</v>
      </c>
    </row>
    <row r="6" customFormat="false" ht="15" hidden="false" customHeight="true" outlineLevel="0" collapsed="false">
      <c r="A6" s="13" t="s">
        <v>99</v>
      </c>
      <c r="C6" s="15" t="n">
        <f aca="false">Model!$Q$69</f>
        <v>0.1</v>
      </c>
    </row>
    <row r="7" customFormat="false" ht="15" hidden="false" customHeight="true" outlineLevel="0" collapsed="false">
      <c r="A7" s="13" t="s">
        <v>100</v>
      </c>
      <c r="C7" s="15" t="n">
        <f aca="false">Model!$G$69</f>
        <v>0.15282</v>
      </c>
    </row>
    <row r="8" customFormat="false" ht="15" hidden="false" customHeight="true" outlineLevel="0" collapsed="false">
      <c r="A8" s="13" t="s">
        <v>101</v>
      </c>
      <c r="C8" s="15" t="n">
        <f aca="false">Model!$R$69</f>
        <v>0.115749300377007</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IF($A13&lt;=Model!$B$3,Data!$B$4*Model!$D$69,0)</f>
        <v>79.541001959138</v>
      </c>
      <c r="C13" s="21" t="n">
        <f aca="false">$B13*IF(Model!$B$5=1,Data!$D$4,Model!$AC$69)</f>
        <v>20.5754514917752</v>
      </c>
      <c r="D13" s="21" t="n">
        <f aca="false">$B13*IF(Model!$B$5=1,Data!$E$4,Model!$AD$69)</f>
        <v>25.183009532091</v>
      </c>
      <c r="E13" s="21" t="n">
        <f aca="false">$B13*IF(Model!$B$5=1,Data!$F$4,Model!$AE$69)</f>
        <v>14.7180700154221</v>
      </c>
      <c r="F13" s="21" t="n">
        <f aca="false">$B13*IF(Model!$B$5=1,Data!$G$4,Model!$AF$69)</f>
        <v>19.0644709198496</v>
      </c>
      <c r="G13" s="21" t="n">
        <f aca="false">$B13*Model!$S$69</f>
        <v>48.1570977992639</v>
      </c>
      <c r="H13" s="21" t="n">
        <f aca="false">$B13*Model!$T$69</f>
        <v>12.025072502888</v>
      </c>
      <c r="I13" s="21" t="n">
        <f aca="false">$B13*Model!$U$69</f>
        <v>5.70236573053616</v>
      </c>
      <c r="J13" s="21" t="n">
        <f aca="false">$B13*Model!$V$69</f>
        <v>5.70236573053616</v>
      </c>
      <c r="K13" s="21" t="n">
        <f aca="false">$B13*Model!$W$69</f>
        <v>5.39322379609172</v>
      </c>
      <c r="L13" s="21" t="n">
        <f aca="false">$B13*Model!$X$69</f>
        <v>1.47800875843677</v>
      </c>
      <c r="M13" s="21" t="n">
        <f aca="false">$B13*Model!$Y$69</f>
        <v>0.847592777797413</v>
      </c>
      <c r="N13" s="21" t="n">
        <f aca="false">$B13*Model!$Z$69</f>
        <v>0.087473987744217</v>
      </c>
      <c r="O13" s="21" t="n">
        <f aca="false">$B13*Model!$AA$69</f>
        <v>0.147800875843677</v>
      </c>
    </row>
    <row r="14" customFormat="false" ht="15" hidden="false" customHeight="true" outlineLevel="0" collapsed="false">
      <c r="A14" s="23" t="n">
        <v>2027</v>
      </c>
      <c r="B14" s="21" t="n">
        <f aca="false">IF($A14&lt;=Model!$B$3,Data!$B$5*Model!$D$69,0)</f>
        <v>79.541001959138</v>
      </c>
      <c r="C14" s="21" t="n">
        <f aca="false">$B14*IF(Model!$B$5=1,Data!$D$5,Model!$AC$69)</f>
        <v>19.9971749765938</v>
      </c>
      <c r="D14" s="21" t="n">
        <f aca="false">$B14*IF(Model!$B$5=1,Data!$E$5,Model!$AD$69)</f>
        <v>25.2576258566306</v>
      </c>
      <c r="E14" s="21" t="n">
        <f aca="false">$B14*IF(Model!$B$5=1,Data!$F$5,Model!$AE$69)</f>
        <v>14.6807618531524</v>
      </c>
      <c r="F14" s="21" t="n">
        <f aca="false">$B14*IF(Model!$B$5=1,Data!$G$5,Model!$AF$69)</f>
        <v>19.6054392727613</v>
      </c>
      <c r="G14" s="21" t="n">
        <f aca="false">$B14*Model!$S$69</f>
        <v>48.1570977992639</v>
      </c>
      <c r="H14" s="21" t="n">
        <f aca="false">$B14*Model!$T$69</f>
        <v>12.025072502888</v>
      </c>
      <c r="I14" s="21" t="n">
        <f aca="false">$B14*Model!$U$69</f>
        <v>5.70236573053616</v>
      </c>
      <c r="J14" s="21" t="n">
        <f aca="false">$B14*Model!$V$69</f>
        <v>5.70236573053616</v>
      </c>
      <c r="K14" s="21" t="n">
        <f aca="false">$B14*Model!$W$69</f>
        <v>5.39322379609172</v>
      </c>
      <c r="L14" s="21" t="n">
        <f aca="false">$B14*Model!$X$69</f>
        <v>1.47800875843677</v>
      </c>
      <c r="M14" s="21" t="n">
        <f aca="false">$B14*Model!$Y$69</f>
        <v>0.847592777797413</v>
      </c>
      <c r="N14" s="21" t="n">
        <f aca="false">$B14*Model!$Z$69</f>
        <v>0.087473987744217</v>
      </c>
      <c r="O14" s="21" t="n">
        <f aca="false">$B14*Model!$AA$69</f>
        <v>0.147800875843677</v>
      </c>
    </row>
    <row r="15" customFormat="false" ht="15" hidden="false" customHeight="true" outlineLevel="0" collapsed="false">
      <c r="A15" s="23" t="n">
        <v>2028</v>
      </c>
      <c r="B15" s="21" t="n">
        <f aca="false">IF($A15&lt;=Model!$B$3,Data!$B$6*Model!$D$69,0)</f>
        <v>79.541001959138</v>
      </c>
      <c r="C15" s="21" t="n">
        <f aca="false">$B15*IF(Model!$B$5=1,Data!$D$6,Model!$AC$69)</f>
        <v>19.9319075768089</v>
      </c>
      <c r="D15" s="21" t="n">
        <f aca="false">$B15*IF(Model!$B$5=1,Data!$E$6,Model!$AD$69)</f>
        <v>25.2694783323963</v>
      </c>
      <c r="E15" s="21" t="n">
        <f aca="false">$B15*IF(Model!$B$5=1,Data!$F$6,Model!$AE$69)</f>
        <v>14.6876509952702</v>
      </c>
      <c r="F15" s="21" t="n">
        <f aca="false">$B15*IF(Model!$B$5=1,Data!$G$6,Model!$AF$69)</f>
        <v>19.6519650546626</v>
      </c>
      <c r="G15" s="21" t="n">
        <f aca="false">$B15*Model!$S$69</f>
        <v>48.1570977992639</v>
      </c>
      <c r="H15" s="21" t="n">
        <f aca="false">$B15*Model!$T$69</f>
        <v>12.025072502888</v>
      </c>
      <c r="I15" s="21" t="n">
        <f aca="false">$B15*Model!$U$69</f>
        <v>5.70236573053616</v>
      </c>
      <c r="J15" s="21" t="n">
        <f aca="false">$B15*Model!$V$69</f>
        <v>5.70236573053616</v>
      </c>
      <c r="K15" s="21" t="n">
        <f aca="false">$B15*Model!$W$69</f>
        <v>5.39322379609172</v>
      </c>
      <c r="L15" s="21" t="n">
        <f aca="false">$B15*Model!$X$69</f>
        <v>1.47800875843677</v>
      </c>
      <c r="M15" s="21" t="n">
        <f aca="false">$B15*Model!$Y$69</f>
        <v>0.847592777797413</v>
      </c>
      <c r="N15" s="21" t="n">
        <f aca="false">$B15*Model!$Z$69</f>
        <v>0.087473987744217</v>
      </c>
      <c r="O15" s="21" t="n">
        <f aca="false">$B15*Model!$AA$69</f>
        <v>0.147800875843677</v>
      </c>
    </row>
    <row r="16" customFormat="false" ht="15" hidden="false" customHeight="true" outlineLevel="0" collapsed="false">
      <c r="A16" s="23" t="n">
        <v>2029</v>
      </c>
      <c r="B16" s="21" t="n">
        <f aca="false">IF($A16&lt;=Model!$B$3,Data!$B$7*Model!$D$69,0)</f>
        <v>79.541001959138</v>
      </c>
      <c r="C16" s="21" t="n">
        <f aca="false">$B16*IF(Model!$B$5=1,Data!$D$7,Model!$AC$69)</f>
        <v>19.7219889915104</v>
      </c>
      <c r="D16" s="21" t="n">
        <f aca="false">$B16*IF(Model!$B$5=1,Data!$E$7,Model!$AD$69)</f>
        <v>25.1329415057375</v>
      </c>
      <c r="E16" s="21" t="n">
        <f aca="false">$B16*IF(Model!$B$5=1,Data!$F$7,Model!$AE$69)</f>
        <v>14.5909133314675</v>
      </c>
      <c r="F16" s="21" t="n">
        <f aca="false">$B16*IF(Model!$B$5=1,Data!$G$7,Model!$AF$69)</f>
        <v>20.0951581304226</v>
      </c>
      <c r="G16" s="21" t="n">
        <f aca="false">$B16*Model!$S$69</f>
        <v>48.1570977992639</v>
      </c>
      <c r="H16" s="21" t="n">
        <f aca="false">$B16*Model!$T$69</f>
        <v>12.025072502888</v>
      </c>
      <c r="I16" s="21" t="n">
        <f aca="false">$B16*Model!$U$69</f>
        <v>5.70236573053616</v>
      </c>
      <c r="J16" s="21" t="n">
        <f aca="false">$B16*Model!$V$69</f>
        <v>5.70236573053616</v>
      </c>
      <c r="K16" s="21" t="n">
        <f aca="false">$B16*Model!$W$69</f>
        <v>5.39322379609172</v>
      </c>
      <c r="L16" s="21" t="n">
        <f aca="false">$B16*Model!$X$69</f>
        <v>1.47800875843677</v>
      </c>
      <c r="M16" s="21" t="n">
        <f aca="false">$B16*Model!$Y$69</f>
        <v>0.847592777797413</v>
      </c>
      <c r="N16" s="21" t="n">
        <f aca="false">$B16*Model!$Z$69</f>
        <v>0.087473987744217</v>
      </c>
      <c r="O16" s="21" t="n">
        <f aca="false">$B16*Model!$AA$69</f>
        <v>0.147800875843677</v>
      </c>
    </row>
    <row r="17" customFormat="false" ht="15" hidden="false" customHeight="true" outlineLevel="0" collapsed="false">
      <c r="A17" s="23" t="n">
        <v>2030</v>
      </c>
      <c r="B17" s="21" t="n">
        <f aca="false">IF($A17&lt;=Model!$B$3,Data!$B$8*Model!$D$69,0)</f>
        <v>79.541001959138</v>
      </c>
      <c r="C17" s="21" t="n">
        <f aca="false">$B17*IF(Model!$B$5=1,Data!$D$8,Model!$AC$69)</f>
        <v>19.6892907242821</v>
      </c>
      <c r="D17" s="21" t="n">
        <f aca="false">$B17*IF(Model!$B$5=1,Data!$E$8,Model!$AD$69)</f>
        <v>24.7655817925331</v>
      </c>
      <c r="E17" s="21" t="n">
        <f aca="false">$B17*IF(Model!$B$5=1,Data!$F$8,Model!$AE$69)</f>
        <v>14.6129996560312</v>
      </c>
      <c r="F17" s="21" t="n">
        <f aca="false">$B17*IF(Model!$B$5=1,Data!$G$8,Model!$AF$69)</f>
        <v>20.4731297862915</v>
      </c>
      <c r="G17" s="21" t="n">
        <f aca="false">$B17*Model!$S$69</f>
        <v>48.1570977992639</v>
      </c>
      <c r="H17" s="21" t="n">
        <f aca="false">$B17*Model!$T$69</f>
        <v>12.025072502888</v>
      </c>
      <c r="I17" s="21" t="n">
        <f aca="false">$B17*Model!$U$69</f>
        <v>5.70236573053616</v>
      </c>
      <c r="J17" s="21" t="n">
        <f aca="false">$B17*Model!$V$69</f>
        <v>5.70236573053616</v>
      </c>
      <c r="K17" s="21" t="n">
        <f aca="false">$B17*Model!$W$69</f>
        <v>5.39322379609172</v>
      </c>
      <c r="L17" s="21" t="n">
        <f aca="false">$B17*Model!$X$69</f>
        <v>1.47800875843677</v>
      </c>
      <c r="M17" s="21" t="n">
        <f aca="false">$B17*Model!$Y$69</f>
        <v>0.847592777797413</v>
      </c>
      <c r="N17" s="21" t="n">
        <f aca="false">$B17*Model!$Z$69</f>
        <v>0.087473987744217</v>
      </c>
      <c r="O17" s="21" t="n">
        <f aca="false">$B17*Model!$AA$69</f>
        <v>0.147800875843677</v>
      </c>
    </row>
    <row r="18" customFormat="false" ht="15" hidden="false" customHeight="true" outlineLevel="0" collapsed="false">
      <c r="A18" s="23" t="n">
        <v>2031</v>
      </c>
      <c r="B18" s="21" t="n">
        <f aca="false">IF($A18&lt;=Model!$B$3,Data!$B$9*Model!$D$69,0)</f>
        <v>40.4515346580838</v>
      </c>
      <c r="C18" s="21" t="n">
        <f aca="false">$B18*IF(Model!$B$5=1,Data!$D$9,Model!$AC$69)</f>
        <v>9.34788692975092</v>
      </c>
      <c r="D18" s="21" t="n">
        <f aca="false">$B18*IF(Model!$B$5=1,Data!$E$9,Model!$AD$69)</f>
        <v>12.2959231271574</v>
      </c>
      <c r="E18" s="21" t="n">
        <f aca="false">$B18*IF(Model!$B$5=1,Data!$F$9,Model!$AE$69)</f>
        <v>7.68728426159158</v>
      </c>
      <c r="F18" s="21" t="n">
        <f aca="false">$B18*IF(Model!$B$5=1,Data!$G$9,Model!$AF$69)</f>
        <v>11.1204403395839</v>
      </c>
      <c r="G18" s="21" t="n">
        <f aca="false">$B18*Model!$S$69</f>
        <v>24.4908721625156</v>
      </c>
      <c r="H18" s="21" t="n">
        <f aca="false">$B18*Model!$T$69</f>
        <v>6.115495469449</v>
      </c>
      <c r="I18" s="21" t="n">
        <f aca="false">$B18*Model!$U$69</f>
        <v>2.90000678015538</v>
      </c>
      <c r="J18" s="21" t="n">
        <f aca="false">$B18*Model!$V$69</f>
        <v>2.90000678015538</v>
      </c>
      <c r="K18" s="21" t="n">
        <f aca="false">$B18*Model!$W$69</f>
        <v>2.74278892562206</v>
      </c>
      <c r="L18" s="21" t="n">
        <f aca="false">$B18*Model!$X$69</f>
        <v>0.751659157469134</v>
      </c>
      <c r="M18" s="21" t="n">
        <f aca="false">$B18*Model!$Y$69</f>
        <v>0.43105351683434</v>
      </c>
      <c r="N18" s="21" t="n">
        <f aca="false">$B18*Model!$Z$69</f>
        <v>0.0444859501359283</v>
      </c>
      <c r="O18" s="21" t="n">
        <f aca="false">$B18*Model!$AA$69</f>
        <v>0.0751659157469134</v>
      </c>
    </row>
    <row r="19" customFormat="false" ht="15" hidden="false" customHeight="true" outlineLevel="0" collapsed="false">
      <c r="A19" s="23" t="n">
        <v>2032</v>
      </c>
      <c r="B19" s="21" t="n">
        <f aca="false">IF($A19&lt;=Model!$B$3,Data!$B$10*Model!$D$69,0)</f>
        <v>40.4515346580838</v>
      </c>
      <c r="C19" s="21" t="n">
        <f aca="false">$B19*IF(Model!$B$5=1,Data!$D$10,Model!$AC$69)</f>
        <v>8.99337624778433</v>
      </c>
      <c r="D19" s="21" t="n">
        <f aca="false">$B19*IF(Model!$B$5=1,Data!$E$10,Model!$AD$69)</f>
        <v>12.0533631868644</v>
      </c>
      <c r="E19" s="21" t="n">
        <f aca="false">$B19*IF(Model!$B$5=1,Data!$F$10,Model!$AE$69)</f>
        <v>7.81789346021086</v>
      </c>
      <c r="F19" s="21" t="n">
        <f aca="false">$B19*IF(Model!$B$5=1,Data!$G$10,Model!$AF$69)</f>
        <v>11.5869017632242</v>
      </c>
      <c r="G19" s="21" t="n">
        <f aca="false">$B19*Model!$S$69</f>
        <v>24.4908721625156</v>
      </c>
      <c r="H19" s="21" t="n">
        <f aca="false">$B19*Model!$T$69</f>
        <v>6.115495469449</v>
      </c>
      <c r="I19" s="21" t="n">
        <f aca="false">$B19*Model!$U$69</f>
        <v>2.90000678015538</v>
      </c>
      <c r="J19" s="21" t="n">
        <f aca="false">$B19*Model!$V$69</f>
        <v>2.90000678015538</v>
      </c>
      <c r="K19" s="21" t="n">
        <f aca="false">$B19*Model!$W$69</f>
        <v>2.74278892562206</v>
      </c>
      <c r="L19" s="21" t="n">
        <f aca="false">$B19*Model!$X$69</f>
        <v>0.751659157469134</v>
      </c>
      <c r="M19" s="21" t="n">
        <f aca="false">$B19*Model!$Y$69</f>
        <v>0.43105351683434</v>
      </c>
      <c r="N19" s="21" t="n">
        <f aca="false">$B19*Model!$Z$69</f>
        <v>0.0444859501359283</v>
      </c>
      <c r="O19" s="21" t="n">
        <f aca="false">$B19*Model!$AA$69</f>
        <v>0.0751659157469134</v>
      </c>
    </row>
    <row r="20" customFormat="false" ht="15" hidden="false" customHeight="true" outlineLevel="0" collapsed="false">
      <c r="A20" s="23" t="n">
        <v>2033</v>
      </c>
      <c r="B20" s="21" t="n">
        <f aca="false">IF($A20&lt;=Model!$B$3,Data!$B$11*Model!$D$69,0)</f>
        <v>40.4515346580838</v>
      </c>
      <c r="C20" s="21" t="n">
        <f aca="false">$B20*IF(Model!$B$5=1,Data!$D$11,Model!$AC$69)</f>
        <v>8.92285812947118</v>
      </c>
      <c r="D20" s="21" t="n">
        <f aca="false">$B20*IF(Model!$B$5=1,Data!$E$11,Model!$AD$69)</f>
        <v>12.0962595562705</v>
      </c>
      <c r="E20" s="21" t="n">
        <f aca="false">$B20*IF(Model!$B$5=1,Data!$F$11,Model!$AE$69)</f>
        <v>7.82150116369963</v>
      </c>
      <c r="F20" s="21" t="n">
        <f aca="false">$B20*IF(Model!$B$5=1,Data!$G$11,Model!$AF$69)</f>
        <v>11.6109158086424</v>
      </c>
      <c r="G20" s="21" t="n">
        <f aca="false">$B20*Model!$S$69</f>
        <v>24.4908721625156</v>
      </c>
      <c r="H20" s="21" t="n">
        <f aca="false">$B20*Model!$T$69</f>
        <v>6.115495469449</v>
      </c>
      <c r="I20" s="21" t="n">
        <f aca="false">$B20*Model!$U$69</f>
        <v>2.90000678015538</v>
      </c>
      <c r="J20" s="21" t="n">
        <f aca="false">$B20*Model!$V$69</f>
        <v>2.90000678015538</v>
      </c>
      <c r="K20" s="21" t="n">
        <f aca="false">$B20*Model!$W$69</f>
        <v>2.74278892562206</v>
      </c>
      <c r="L20" s="21" t="n">
        <f aca="false">$B20*Model!$X$69</f>
        <v>0.751659157469134</v>
      </c>
      <c r="M20" s="21" t="n">
        <f aca="false">$B20*Model!$Y$69</f>
        <v>0.43105351683434</v>
      </c>
      <c r="N20" s="21" t="n">
        <f aca="false">$B20*Model!$Z$69</f>
        <v>0.0444859501359283</v>
      </c>
      <c r="O20" s="21" t="n">
        <f aca="false">$B20*Model!$AA$69</f>
        <v>0.0751659157469134</v>
      </c>
    </row>
    <row r="21" customFormat="false" ht="15" hidden="false" customHeight="true" outlineLevel="0" collapsed="false">
      <c r="A21" s="23" t="n">
        <v>2034</v>
      </c>
      <c r="B21" s="21" t="n">
        <f aca="false">IF($A21&lt;=Model!$B$3,Data!$B$12*Model!$D$69,0)</f>
        <v>40.4515346580838</v>
      </c>
      <c r="C21" s="21" t="n">
        <f aca="false">$B21*IF(Model!$B$5=1,Data!$D$12,Model!$AC$69)</f>
        <v>8.84410859221944</v>
      </c>
      <c r="D21" s="21" t="n">
        <f aca="false">$B21*IF(Model!$B$5=1,Data!$E$12,Model!$AD$69)</f>
        <v>12.1279970146469</v>
      </c>
      <c r="E21" s="21" t="n">
        <f aca="false">$B21*IF(Model!$B$5=1,Data!$F$12,Model!$AE$69)</f>
        <v>7.81789346021086</v>
      </c>
      <c r="F21" s="21" t="n">
        <f aca="false">$B21*IF(Model!$B$5=1,Data!$G$12,Model!$AF$69)</f>
        <v>11.6615355910066</v>
      </c>
      <c r="G21" s="21" t="n">
        <f aca="false">$B21*Model!$S$69</f>
        <v>24.4908721625156</v>
      </c>
      <c r="H21" s="21" t="n">
        <f aca="false">$B21*Model!$T$69</f>
        <v>6.115495469449</v>
      </c>
      <c r="I21" s="21" t="n">
        <f aca="false">$B21*Model!$U$69</f>
        <v>2.90000678015538</v>
      </c>
      <c r="J21" s="21" t="n">
        <f aca="false">$B21*Model!$V$69</f>
        <v>2.90000678015538</v>
      </c>
      <c r="K21" s="21" t="n">
        <f aca="false">$B21*Model!$W$69</f>
        <v>2.74278892562206</v>
      </c>
      <c r="L21" s="21" t="n">
        <f aca="false">$B21*Model!$X$69</f>
        <v>0.751659157469134</v>
      </c>
      <c r="M21" s="21" t="n">
        <f aca="false">$B21*Model!$Y$69</f>
        <v>0.43105351683434</v>
      </c>
      <c r="N21" s="21" t="n">
        <f aca="false">$B21*Model!$Z$69</f>
        <v>0.0444859501359283</v>
      </c>
      <c r="O21" s="21" t="n">
        <f aca="false">$B21*Model!$AA$69</f>
        <v>0.0751659157469134</v>
      </c>
    </row>
    <row r="22" customFormat="false" ht="15" hidden="false" customHeight="true" outlineLevel="0" collapsed="false">
      <c r="A22" s="23" t="n">
        <v>2035</v>
      </c>
      <c r="B22" s="21" t="n">
        <f aca="false">IF($A22&lt;=Model!$B$3,Data!$B$13*Model!$D$69,0)</f>
        <v>39.0894673010542</v>
      </c>
      <c r="C22" s="21" t="n">
        <f aca="false">$B22*IF(Model!$B$5=1,Data!$D$13,Model!$AC$69)</f>
        <v>8.37764716857914</v>
      </c>
      <c r="D22" s="21" t="n">
        <f aca="false">$B22*IF(Model!$B$5=1,Data!$E$13,Model!$AD$69)</f>
        <v>11.5495848493329</v>
      </c>
      <c r="E22" s="21" t="n">
        <f aca="false">$B22*IF(Model!$B$5=1,Data!$F$13,Model!$AE$69)</f>
        <v>7.50069969213545</v>
      </c>
      <c r="F22" s="21" t="n">
        <f aca="false">$B22*IF(Model!$B$5=1,Data!$G$13,Model!$AF$69)</f>
        <v>11.6615355910066</v>
      </c>
      <c r="G22" s="21" t="n">
        <f aca="false">$B22*Model!$S$69</f>
        <v>23.6662256367483</v>
      </c>
      <c r="H22" s="21" t="n">
        <f aca="false">$B22*Model!$T$69</f>
        <v>5.90957703343896</v>
      </c>
      <c r="I22" s="21" t="n">
        <f aca="false">$B22*Model!$U$69</f>
        <v>2.80235895038078</v>
      </c>
      <c r="J22" s="21" t="n">
        <f aca="false">$B22*Model!$V$69</f>
        <v>2.80235895038078</v>
      </c>
      <c r="K22" s="21" t="n">
        <f aca="false">$B22*Model!$W$69</f>
        <v>2.65043487046966</v>
      </c>
      <c r="L22" s="21" t="n">
        <f aca="false">$B22*Model!$X$69</f>
        <v>0.726349600967636</v>
      </c>
      <c r="M22" s="21" t="n">
        <f aca="false">$B22*Model!$Y$69</f>
        <v>0.416539260963073</v>
      </c>
      <c r="N22" s="21" t="n">
        <f aca="false">$B22*Model!$Z$69</f>
        <v>0.0429880376082887</v>
      </c>
      <c r="O22" s="21" t="n">
        <f aca="false">$B22*Model!$AA$69</f>
        <v>0.0726349600967636</v>
      </c>
    </row>
    <row r="23" customFormat="false" ht="15" hidden="false" customHeight="true" outlineLevel="0" collapsed="false">
      <c r="A23" s="23" t="n">
        <v>2036</v>
      </c>
      <c r="B23" s="21" t="n">
        <f aca="false">IF($A23&lt;=Model!$B$3,Data!$B$14*Model!$D$69,0)</f>
        <v>29.610971172684</v>
      </c>
      <c r="C23" s="21" t="n">
        <f aca="false">$B23*IF(Model!$B$5=1,Data!$D$14,Model!$AC$69)</f>
        <v>7.14314721814786</v>
      </c>
      <c r="D23" s="21" t="n">
        <f aca="false">$B23*IF(Model!$B$5=1,Data!$E$14,Model!$AD$69)</f>
        <v>9.18760659121901</v>
      </c>
      <c r="E23" s="21" t="n">
        <f aca="false">$B23*IF(Model!$B$5=1,Data!$F$14,Model!$AE$69)</f>
        <v>5.53711592733804</v>
      </c>
      <c r="F23" s="21" t="n">
        <f aca="false">$B23*IF(Model!$B$5=1,Data!$G$14,Model!$AF$69)</f>
        <v>7.74310143597911</v>
      </c>
      <c r="G23" s="21" t="n">
        <f aca="false">$B23*Model!$S$69</f>
        <v>17.9275895396275</v>
      </c>
      <c r="H23" s="21" t="n">
        <f aca="false">$B23*Model!$T$69</f>
        <v>4.47661038284851</v>
      </c>
      <c r="I23" s="21" t="n">
        <f aca="false">$B23*Model!$U$69</f>
        <v>2.12283706646983</v>
      </c>
      <c r="J23" s="21" t="n">
        <f aca="false">$B23*Model!$V$69</f>
        <v>2.12283706646983</v>
      </c>
      <c r="K23" s="21" t="n">
        <f aca="false">$B23*Model!$W$69</f>
        <v>2.00775185653239</v>
      </c>
      <c r="L23" s="21" t="n">
        <f aca="false">$B23*Model!$X$69</f>
        <v>0.550222824217489</v>
      </c>
      <c r="M23" s="21" t="n">
        <f aca="false">$B23*Model!$Y$69</f>
        <v>0.315535946132886</v>
      </c>
      <c r="N23" s="21" t="n">
        <f aca="false">$B23*Model!$Z$69</f>
        <v>0.0325642079638922</v>
      </c>
      <c r="O23" s="21" t="n">
        <f aca="false">$B23*Model!$AA$69</f>
        <v>0.0550222824217488</v>
      </c>
    </row>
    <row r="24" customFormat="false" ht="15" hidden="false" customHeight="true" outlineLevel="0" collapsed="false">
      <c r="A24" s="23" t="n">
        <v>2037</v>
      </c>
      <c r="B24" s="21" t="n">
        <f aca="false">IF($A24&lt;=Model!$B$3,Data!$B$15*Model!$D$69,0)</f>
        <v>29.3684112323911</v>
      </c>
      <c r="C24" s="21" t="n">
        <f aca="false">$B24*IF(Model!$B$5=1,Data!$D$15,Model!$AC$69)</f>
        <v>7.08463372486751</v>
      </c>
      <c r="D24" s="21" t="n">
        <f aca="false">$B24*IF(Model!$B$5=1,Data!$E$15,Model!$AD$69)</f>
        <v>9.11234579368539</v>
      </c>
      <c r="E24" s="21" t="n">
        <f aca="false">$B24*IF(Model!$B$5=1,Data!$F$15,Model!$AE$69)</f>
        <v>5.49175832994964</v>
      </c>
      <c r="F24" s="21" t="n">
        <f aca="false">$B24*IF(Model!$B$5=1,Data!$G$15,Model!$AF$69)</f>
        <v>7.67967338388857</v>
      </c>
      <c r="G24" s="21" t="n">
        <f aca="false">$B24*Model!$S$69</f>
        <v>17.7807346788744</v>
      </c>
      <c r="H24" s="21" t="n">
        <f aca="false">$B24*Model!$T$69</f>
        <v>4.43993997643576</v>
      </c>
      <c r="I24" s="21" t="n">
        <f aca="false">$B24*Model!$U$69</f>
        <v>2.10544772692093</v>
      </c>
      <c r="J24" s="21" t="n">
        <f aca="false">$B24*Model!$V$69</f>
        <v>2.10544772692093</v>
      </c>
      <c r="K24" s="21" t="n">
        <f aca="false">$B24*Model!$W$69</f>
        <v>1.991305243971</v>
      </c>
      <c r="L24" s="21" t="n">
        <f aca="false">$B24*Model!$X$69</f>
        <v>0.545715642922701</v>
      </c>
      <c r="M24" s="21" t="n">
        <f aca="false">$B24*Model!$Y$69</f>
        <v>0.312951215635263</v>
      </c>
      <c r="N24" s="21" t="n">
        <f aca="false">$B24*Model!$Z$69</f>
        <v>0.0322974564178742</v>
      </c>
      <c r="O24" s="21" t="n">
        <f aca="false">$B24*Model!$AA$69</f>
        <v>0.0545715642922701</v>
      </c>
    </row>
    <row r="25" customFormat="false" ht="15" hidden="false" customHeight="true" outlineLevel="0" collapsed="false">
      <c r="A25" s="23" t="n">
        <v>2038</v>
      </c>
      <c r="B25" s="21" t="n">
        <f aca="false">IF($A25&lt;=Model!$B$3,Data!$B$16*Model!$D$69,0)</f>
        <v>29.0139005504245</v>
      </c>
      <c r="C25" s="21" t="n">
        <f aca="false">$B25*IF(Model!$B$5=1,Data!$D$16,Model!$AC$69)</f>
        <v>6.99911400391933</v>
      </c>
      <c r="D25" s="21" t="n">
        <f aca="false">$B25*IF(Model!$B$5=1,Data!$E$16,Model!$AD$69)</f>
        <v>9.00234924344395</v>
      </c>
      <c r="E25" s="21" t="n">
        <f aca="false">$B25*IF(Model!$B$5=1,Data!$F$16,Model!$AE$69)</f>
        <v>5.42546645684351</v>
      </c>
      <c r="F25" s="21" t="n">
        <f aca="false">$B25*IF(Model!$B$5=1,Data!$G$16,Model!$AF$69)</f>
        <v>7.58697084621772</v>
      </c>
      <c r="G25" s="21" t="n">
        <f aca="false">$B25*Model!$S$69</f>
        <v>17.5661006516198</v>
      </c>
      <c r="H25" s="21" t="n">
        <f aca="false">$B25*Model!$T$69</f>
        <v>4.38634476706328</v>
      </c>
      <c r="I25" s="21" t="n">
        <f aca="false">$B25*Model!$U$69</f>
        <v>2.08003253834945</v>
      </c>
      <c r="J25" s="21" t="n">
        <f aca="false">$B25*Model!$V$69</f>
        <v>2.08003253834945</v>
      </c>
      <c r="K25" s="21" t="n">
        <f aca="false">$B25*Model!$W$69</f>
        <v>1.96726788715051</v>
      </c>
      <c r="L25" s="21" t="n">
        <f aca="false">$B25*Model!$X$69</f>
        <v>0.539128224107243</v>
      </c>
      <c r="M25" s="21" t="n">
        <f aca="false">$B25*Model!$Y$69</f>
        <v>0.309173532600276</v>
      </c>
      <c r="N25" s="21" t="n">
        <f aca="false">$B25*Model!$Z$69</f>
        <v>0.031907588773694</v>
      </c>
      <c r="O25" s="21" t="n">
        <f aca="false">$B25*Model!$AA$69</f>
        <v>0.0539128224107243</v>
      </c>
    </row>
    <row r="26" customFormat="false" ht="15" hidden="false" customHeight="true" outlineLevel="0" collapsed="false">
      <c r="A26" s="23" t="n">
        <v>2039</v>
      </c>
      <c r="B26" s="21" t="n">
        <f aca="false">IF($A26&lt;=Model!$B$3,Data!$B$17*Model!$D$69,0)</f>
        <v>28.7526821531859</v>
      </c>
      <c r="C26" s="21" t="n">
        <f aca="false">$B26*IF(Model!$B$5=1,Data!$D$17,Model!$AC$69)</f>
        <v>6.9360994726943</v>
      </c>
      <c r="D26" s="21" t="n">
        <f aca="false">$B26*IF(Model!$B$5=1,Data!$E$17,Model!$AD$69)</f>
        <v>8.92129915379234</v>
      </c>
      <c r="E26" s="21" t="n">
        <f aca="false">$B26*IF(Model!$B$5=1,Data!$F$17,Model!$AE$69)</f>
        <v>5.37661981350215</v>
      </c>
      <c r="F26" s="21" t="n">
        <f aca="false">$B26*IF(Model!$B$5=1,Data!$G$17,Model!$AF$69)</f>
        <v>7.51866371319714</v>
      </c>
      <c r="G26" s="21" t="n">
        <f aca="false">$B26*Model!$S$69</f>
        <v>17.4079492631165</v>
      </c>
      <c r="H26" s="21" t="n">
        <f aca="false">$B26*Model!$T$69</f>
        <v>4.34685356015725</v>
      </c>
      <c r="I26" s="21" t="n">
        <f aca="false">$B26*Model!$U$69</f>
        <v>2.06130555729679</v>
      </c>
      <c r="J26" s="21" t="n">
        <f aca="false">$B26*Model!$V$69</f>
        <v>2.06130555729679</v>
      </c>
      <c r="K26" s="21" t="n">
        <f aca="false">$B26*Model!$W$69</f>
        <v>1.94955615054594</v>
      </c>
      <c r="L26" s="21" t="n">
        <f aca="false">$B26*Model!$X$69</f>
        <v>0.534274336559011</v>
      </c>
      <c r="M26" s="21" t="n">
        <f aca="false">$B26*Model!$Y$69</f>
        <v>0.306389976679759</v>
      </c>
      <c r="N26" s="21" t="n">
        <f aca="false">$B26*Model!$Z$69</f>
        <v>0.0316203178779823</v>
      </c>
      <c r="O26" s="21" t="n">
        <f aca="false">$B26*Model!$AA$69</f>
        <v>0.0534274336559011</v>
      </c>
    </row>
    <row r="27" customFormat="false" ht="15" hidden="false" customHeight="true" outlineLevel="0" collapsed="false">
      <c r="A27" s="23" t="n">
        <v>2040</v>
      </c>
      <c r="B27" s="21" t="n">
        <f aca="false">IF($A27&lt;=Model!$B$3,Data!$B$18*Model!$D$69,0)</f>
        <v>28.4541468420562</v>
      </c>
      <c r="C27" s="21" t="n">
        <f aca="false">$B27*IF(Model!$B$5=1,Data!$D$18,Model!$AC$69)</f>
        <v>6.86408286558002</v>
      </c>
      <c r="D27" s="21" t="n">
        <f aca="false">$B27*IF(Model!$B$5=1,Data!$E$18,Model!$AD$69)</f>
        <v>8.82867047990484</v>
      </c>
      <c r="E27" s="21" t="n">
        <f aca="false">$B27*IF(Model!$B$5=1,Data!$F$18,Model!$AE$69)</f>
        <v>5.32079507825489</v>
      </c>
      <c r="F27" s="21" t="n">
        <f aca="false">$B27*IF(Model!$B$5=1,Data!$G$18,Model!$AF$69)</f>
        <v>7.44059841831641</v>
      </c>
      <c r="G27" s="21" t="n">
        <f aca="false">$B27*Model!$S$69</f>
        <v>17.2272048191127</v>
      </c>
      <c r="H27" s="21" t="n">
        <f aca="false">$B27*Model!$T$69</f>
        <v>4.30172075226464</v>
      </c>
      <c r="I27" s="21" t="n">
        <f aca="false">$B27*Model!$U$69</f>
        <v>2.0399032932366</v>
      </c>
      <c r="J27" s="21" t="n">
        <f aca="false">$B27*Model!$V$69</f>
        <v>2.0399032932366</v>
      </c>
      <c r="K27" s="21" t="n">
        <f aca="false">$B27*Model!$W$69</f>
        <v>1.929314165855</v>
      </c>
      <c r="L27" s="21" t="n">
        <f aca="false">$B27*Model!$X$69</f>
        <v>0.528727036503888</v>
      </c>
      <c r="M27" s="21" t="n">
        <f aca="false">$B27*Model!$Y$69</f>
        <v>0.303208769913454</v>
      </c>
      <c r="N27" s="21" t="n">
        <f aca="false">$B27*Model!$Z$69</f>
        <v>0.0312920082828832</v>
      </c>
      <c r="O27" s="21" t="n">
        <f aca="false">$B27*Model!$AA$69</f>
        <v>0.0528727036503888</v>
      </c>
    </row>
    <row r="28" customFormat="false" ht="15" hidden="false" customHeight="true" outlineLevel="0" collapsed="false">
      <c r="A28" s="24" t="s">
        <v>118</v>
      </c>
      <c r="B28" s="25" t="n">
        <f aca="false">SUM(B13:B27)</f>
        <v>743.800727679821</v>
      </c>
      <c r="C28" s="25" t="n">
        <f aca="false">SUM(C13:C27)</f>
        <v>179.428768113984</v>
      </c>
      <c r="D28" s="25" t="n">
        <f aca="false">SUM(D13:D27)</f>
        <v>230.784036015706</v>
      </c>
      <c r="E28" s="25" t="n">
        <f aca="false">SUM(E13:E27)</f>
        <v>139.08742349508</v>
      </c>
      <c r="F28" s="25" t="n">
        <f aca="false">SUM(F13:F27)</f>
        <v>194.50050005505</v>
      </c>
      <c r="G28" s="25" t="n">
        <f aca="false">SUM(G13:G27)</f>
        <v>450.324782235481</v>
      </c>
      <c r="H28" s="25" t="n">
        <f aca="false">SUM(H13:H27)</f>
        <v>112.448390864444</v>
      </c>
      <c r="I28" s="25" t="n">
        <f aca="false">SUM(I13:I27)</f>
        <v>53.3237409059567</v>
      </c>
      <c r="J28" s="25" t="n">
        <f aca="false">SUM(J13:J27)</f>
        <v>53.3237409059567</v>
      </c>
      <c r="K28" s="25" t="n">
        <f aca="false">SUM(K13:K27)</f>
        <v>50.4329048574714</v>
      </c>
      <c r="L28" s="25" t="n">
        <f aca="false">SUM(L13:L27)</f>
        <v>13.8210980873383</v>
      </c>
      <c r="M28" s="25" t="n">
        <f aca="false">SUM(M13:M27)</f>
        <v>7.92597665824913</v>
      </c>
      <c r="N28" s="25" t="n">
        <f aca="false">SUM(N13:N27)</f>
        <v>0.817983356189412</v>
      </c>
      <c r="O28" s="25" t="n">
        <f aca="false">SUM(O13:O27)</f>
        <v>1.38210980873383</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0.186995546413275</v>
      </c>
      <c r="F29" s="26" t="n">
        <f aca="false">IF($B$28&gt;0,F28/$B$28,0)</f>
        <v>0.261495442014108</v>
      </c>
      <c r="G29" s="26" t="n">
        <f aca="false">IF($B$28&gt;0,G28/$B$28,0)</f>
        <v>0.605437404773997</v>
      </c>
      <c r="H29" s="26" t="n">
        <f aca="false">IF($B$28&gt;0,H28/$B$28,0)</f>
        <v>0.151180802437786</v>
      </c>
      <c r="I29" s="26" t="n">
        <f aca="false">IF($B$28&gt;0,I28/$B$28,0)</f>
        <v>0.0716908963941087</v>
      </c>
      <c r="J29" s="26" t="n">
        <f aca="false">IF($B$28&gt;0,J28/$B$28,0)</f>
        <v>0.0716908963941087</v>
      </c>
      <c r="K29" s="26" t="n">
        <f aca="false">IF($B$28&gt;0,K28/$B$28,0)</f>
        <v>0.0678043230944255</v>
      </c>
      <c r="L29" s="26" t="n">
        <f aca="false">IF($B$28&gt;0,L28/$B$28,0)</f>
        <v>0.018581721653394</v>
      </c>
      <c r="M29" s="26" t="n">
        <f aca="false">IF($B$28&gt;0,M28/$B$28,0)</f>
        <v>0.0106560485400076</v>
      </c>
      <c r="N29" s="26" t="n">
        <f aca="false">IF($B$28&gt;0,N28/$B$28,0)</f>
        <v>0.00109973454683352</v>
      </c>
      <c r="O29" s="26" t="n">
        <f aca="false">IF($B$28&gt;0,O28/$B$28,0)</f>
        <v>0.0018581721653394</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Data!$H$46*Data!$M$46/SUM(Data!$H$46:$K$46)</f>
        <v>13.4946619217082</v>
      </c>
      <c r="C34" s="22" t="n">
        <f aca="false">IF($B$38&gt;0,B34/$B$38,0)</f>
        <v>0.0427046263345196</v>
      </c>
      <c r="D34" s="21" t="n">
        <f aca="false">C28</f>
        <v>179.428768113984</v>
      </c>
      <c r="E34" s="22" t="n">
        <f aca="false">IF($D$38&gt;0,D34/$D$38,0)</f>
        <v>0.241232310532536</v>
      </c>
      <c r="F34" s="21" t="n">
        <f aca="false">B34+D34</f>
        <v>192.923430035693</v>
      </c>
      <c r="G34" s="22" t="n">
        <f aca="false">IF($F$38&gt;0,F34/$F$38,0)</f>
        <v>0.182037457605877</v>
      </c>
    </row>
    <row r="35" customFormat="false" ht="15" hidden="false" customHeight="true" outlineLevel="0" collapsed="false">
      <c r="A35" s="13" t="s">
        <v>106</v>
      </c>
      <c r="B35" s="21" t="n">
        <f aca="false">Data!$I$46*Data!$M$46/SUM(Data!$H$46:$K$46)</f>
        <v>20.2419928825623</v>
      </c>
      <c r="C35" s="22" t="n">
        <f aca="false">IF($B$38&gt;0,B35/$B$38,0)</f>
        <v>0.0640569395017794</v>
      </c>
      <c r="D35" s="21" t="n">
        <f aca="false">D28</f>
        <v>230.784036015706</v>
      </c>
      <c r="E35" s="22" t="n">
        <f aca="false">IF($D$38&gt;0,D35/$D$38,0)</f>
        <v>0.310276701040081</v>
      </c>
      <c r="F35" s="21" t="n">
        <f aca="false">B35+D35</f>
        <v>251.026028898268</v>
      </c>
      <c r="G35" s="22" t="n">
        <f aca="false">IF($F$38&gt;0,F35/$F$38,0)</f>
        <v>0.236861536647394</v>
      </c>
    </row>
    <row r="36" customFormat="false" ht="15" hidden="false" customHeight="true" outlineLevel="0" collapsed="false">
      <c r="A36" s="13" t="s">
        <v>107</v>
      </c>
      <c r="B36" s="21" t="n">
        <f aca="false">Data!$J$46*Data!$M$46/SUM(Data!$H$46:$K$46)</f>
        <v>200.170818505338</v>
      </c>
      <c r="C36" s="22" t="n">
        <f aca="false">IF($B$38&gt;0,B36/$B$38,0)</f>
        <v>0.633451957295374</v>
      </c>
      <c r="D36" s="21" t="n">
        <f aca="false">E28</f>
        <v>139.08742349508</v>
      </c>
      <c r="E36" s="22" t="n">
        <f aca="false">IF($D$38&gt;0,D36/$D$38,0)</f>
        <v>0.186995546413275</v>
      </c>
      <c r="F36" s="21" t="n">
        <f aca="false">B36+D36</f>
        <v>339.258242000418</v>
      </c>
      <c r="G36" s="22" t="n">
        <f aca="false">IF($F$38&gt;0,F36/$F$38,0)</f>
        <v>0.320115124607569</v>
      </c>
    </row>
    <row r="37" customFormat="false" ht="15" hidden="false" customHeight="true" outlineLevel="0" collapsed="false">
      <c r="A37" s="13" t="s">
        <v>108</v>
      </c>
      <c r="B37" s="21" t="n">
        <f aca="false">Data!$K$46*Data!$M$46/SUM(Data!$H$46:$K$46)</f>
        <v>82.0925266903915</v>
      </c>
      <c r="C37" s="22" t="n">
        <f aca="false">IF($B$38&gt;0,B37/$B$38,0)</f>
        <v>0.259786476868327</v>
      </c>
      <c r="D37" s="21" t="n">
        <f aca="false">F28</f>
        <v>194.50050005505</v>
      </c>
      <c r="E37" s="22" t="n">
        <f aca="false">IF($D$38&gt;0,D37/$D$38,0)</f>
        <v>0.261495442014109</v>
      </c>
      <c r="F37" s="21" t="n">
        <f aca="false">B37+D37</f>
        <v>276.593026745442</v>
      </c>
      <c r="G37" s="22" t="n">
        <f aca="false">IF($F$38&gt;0,F37/$F$38,0)</f>
        <v>0.260985881139161</v>
      </c>
    </row>
    <row r="38" customFormat="false" ht="15" hidden="false" customHeight="true" outlineLevel="0" collapsed="false">
      <c r="A38" s="24" t="s">
        <v>61</v>
      </c>
      <c r="B38" s="25" t="n">
        <f aca="false">SUM(B34:B37)</f>
        <v>316</v>
      </c>
      <c r="C38" s="27" t="n">
        <f aca="false">SUM(C34:C37)</f>
        <v>1</v>
      </c>
      <c r="D38" s="25" t="n">
        <f aca="false">SUM(D34:D37)</f>
        <v>743.800727679821</v>
      </c>
      <c r="E38" s="27" t="n">
        <f aca="false">SUM(E34:E37)</f>
        <v>1</v>
      </c>
      <c r="F38" s="25" t="n">
        <f aca="false">SUM(F34:F37)</f>
        <v>1059.80072767982</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CCCC"/>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5" min="2" style="1" width="12.5"/>
  </cols>
  <sheetData>
    <row r="1" customFormat="false" ht="19.5" hidden="false" customHeight="true" outlineLevel="0" collapsed="false">
      <c r="A1" s="2" t="s">
        <v>204</v>
      </c>
    </row>
    <row r="2" customFormat="false" ht="15" hidden="false" customHeight="true" outlineLevel="0" collapsed="false">
      <c r="A2" s="3" t="str">
        <f aca="false">Model!$B$70&amp;" · new homes per year, 2026–"&amp;Model!$B$3&amp;" · set by the levers on the Intro tab"</f>
        <v>Rest of county · new homes per year, 2026–2040 · set by the levers on the Intro tab</v>
      </c>
    </row>
    <row r="4" customFormat="false" ht="15" hidden="false" customHeight="true" outlineLevel="0" collapsed="false">
      <c r="A4" s="13" t="s">
        <v>332</v>
      </c>
      <c r="C4" s="67" t="n">
        <f aca="false">Model!$D$70</f>
        <v>0.0976770221102715</v>
      </c>
    </row>
    <row r="5" customFormat="false" ht="15" hidden="false" customHeight="true" outlineLevel="0" collapsed="false">
      <c r="A5" s="13" t="s">
        <v>53</v>
      </c>
      <c r="C5" s="14" t="n">
        <f aca="false">Model!$E$70</f>
        <v>3893.79680940386</v>
      </c>
    </row>
    <row r="6" customFormat="false" ht="15" hidden="false" customHeight="true" outlineLevel="0" collapsed="false">
      <c r="A6" s="13" t="s">
        <v>99</v>
      </c>
      <c r="C6" s="15" t="n">
        <f aca="false">Model!$Q$70</f>
        <v>0.1</v>
      </c>
    </row>
    <row r="7" customFormat="false" ht="15" hidden="false" customHeight="true" outlineLevel="0" collapsed="false">
      <c r="A7" s="13" t="s">
        <v>100</v>
      </c>
      <c r="C7" s="15" t="n">
        <f aca="false">Model!$G$70</f>
        <v>0.03738</v>
      </c>
    </row>
    <row r="8" customFormat="false" ht="15" hidden="false" customHeight="true" outlineLevel="0" collapsed="false">
      <c r="A8" s="13" t="s">
        <v>101</v>
      </c>
      <c r="C8" s="15" t="n">
        <f aca="false">Model!$R$70</f>
        <v>0.0451334702250416</v>
      </c>
    </row>
    <row r="9" customFormat="false" ht="15" hidden="false" customHeight="true" outlineLevel="0" collapsed="false">
      <c r="A9" s="13" t="s">
        <v>102</v>
      </c>
      <c r="C9" s="16" t="str">
        <f aca="false">IF(Model!$B$5=1,"S1: the Council's planned split for each year","S2: this catchment's own household need, the same mix every year")</f>
        <v>S1: the Council's planned split for each year</v>
      </c>
    </row>
    <row r="12" customFormat="false" ht="30" hidden="false" customHeight="true" outlineLevel="0" collapsed="false">
      <c r="A12" s="4" t="s">
        <v>103</v>
      </c>
      <c r="B12" s="5" t="s">
        <v>104</v>
      </c>
      <c r="C12" s="5" t="s">
        <v>105</v>
      </c>
      <c r="D12" s="5" t="s">
        <v>106</v>
      </c>
      <c r="E12" s="5" t="s">
        <v>107</v>
      </c>
      <c r="F12" s="5" t="s">
        <v>108</v>
      </c>
      <c r="G12" s="5" t="s">
        <v>109</v>
      </c>
      <c r="H12" s="5" t="s">
        <v>110</v>
      </c>
      <c r="I12" s="5" t="s">
        <v>111</v>
      </c>
      <c r="J12" s="5" t="s">
        <v>112</v>
      </c>
      <c r="K12" s="5" t="s">
        <v>113</v>
      </c>
      <c r="L12" s="5" t="s">
        <v>114</v>
      </c>
      <c r="M12" s="5" t="s">
        <v>115</v>
      </c>
      <c r="N12" s="5" t="s">
        <v>116</v>
      </c>
      <c r="O12" s="5" t="s">
        <v>117</v>
      </c>
    </row>
    <row r="13" customFormat="false" ht="15" hidden="false" customHeight="true" outlineLevel="0" collapsed="false">
      <c r="A13" s="23" t="n">
        <v>2026</v>
      </c>
      <c r="B13" s="21" t="n">
        <f aca="false">IF($A13&lt;=Model!$B$3,Data!$B$4*Model!$D$70,0)</f>
        <v>416.397145256087</v>
      </c>
      <c r="C13" s="21" t="n">
        <f aca="false">$B13*IF(Model!$B$5=1,Data!$D$4,Model!$AC$70)</f>
        <v>107.712488559443</v>
      </c>
      <c r="D13" s="21" t="n">
        <f aca="false">$B13*IF(Model!$B$5=1,Data!$E$4,Model!$AD$70)</f>
        <v>131.833054900497</v>
      </c>
      <c r="E13" s="21" t="n">
        <f aca="false">$B13*IF(Model!$B$5=1,Data!$F$4,Model!$AE$70)</f>
        <v>77.0490965307349</v>
      </c>
      <c r="F13" s="21" t="n">
        <f aca="false">$B13*IF(Model!$B$5=1,Data!$G$4,Model!$AF$70)</f>
        <v>99.8025052654129</v>
      </c>
      <c r="G13" s="21" t="n">
        <f aca="false">$B13*Model!$S$70</f>
        <v>252.102406979147</v>
      </c>
      <c r="H13" s="21" t="n">
        <f aca="false">$B13*Model!$T$70</f>
        <v>62.9512545526185</v>
      </c>
      <c r="I13" s="21" t="n">
        <f aca="false">$B13*Model!$U$70</f>
        <v>29.8518845993568</v>
      </c>
      <c r="J13" s="21" t="n">
        <f aca="false">$B13*Model!$V$70</f>
        <v>29.8518845993568</v>
      </c>
      <c r="K13" s="21" t="n">
        <f aca="false">$B13*Model!$W$70</f>
        <v>28.2335265725402</v>
      </c>
      <c r="L13" s="21" t="n">
        <f aca="false">$B13*Model!$X$70</f>
        <v>7.73737585041649</v>
      </c>
      <c r="M13" s="21" t="n">
        <f aca="false">$B13*Model!$Y$70</f>
        <v>4.43714819176946</v>
      </c>
      <c r="N13" s="21" t="n">
        <f aca="false">$B13*Model!$Z$70</f>
        <v>0.457926325840976</v>
      </c>
      <c r="O13" s="21" t="n">
        <f aca="false">$B13*Model!$AA$70</f>
        <v>0.773737585041649</v>
      </c>
    </row>
    <row r="14" customFormat="false" ht="15" hidden="false" customHeight="true" outlineLevel="0" collapsed="false">
      <c r="A14" s="23" t="n">
        <v>2027</v>
      </c>
      <c r="B14" s="21" t="n">
        <f aca="false">IF($A14&lt;=Model!$B$3,Data!$B$5*Model!$D$70,0)</f>
        <v>416.397145256087</v>
      </c>
      <c r="C14" s="21" t="n">
        <f aca="false">$B14*IF(Model!$B$5=1,Data!$D$5,Model!$AC$70)</f>
        <v>104.685211002468</v>
      </c>
      <c r="D14" s="21" t="n">
        <f aca="false">$B14*IF(Model!$B$5=1,Data!$E$5,Model!$AD$70)</f>
        <v>132.223671359461</v>
      </c>
      <c r="E14" s="21" t="n">
        <f aca="false">$B14*IF(Model!$B$5=1,Data!$F$5,Model!$AE$70)</f>
        <v>76.8537883012527</v>
      </c>
      <c r="F14" s="21" t="n">
        <f aca="false">$B14*IF(Model!$B$5=1,Data!$G$5,Model!$AF$70)</f>
        <v>102.634474592905</v>
      </c>
      <c r="G14" s="21" t="n">
        <f aca="false">$B14*Model!$S$70</f>
        <v>252.102406979147</v>
      </c>
      <c r="H14" s="21" t="n">
        <f aca="false">$B14*Model!$T$70</f>
        <v>62.9512545526185</v>
      </c>
      <c r="I14" s="21" t="n">
        <f aca="false">$B14*Model!$U$70</f>
        <v>29.8518845993568</v>
      </c>
      <c r="J14" s="21" t="n">
        <f aca="false">$B14*Model!$V$70</f>
        <v>29.8518845993568</v>
      </c>
      <c r="K14" s="21" t="n">
        <f aca="false">$B14*Model!$W$70</f>
        <v>28.2335265725402</v>
      </c>
      <c r="L14" s="21" t="n">
        <f aca="false">$B14*Model!$X$70</f>
        <v>7.73737585041649</v>
      </c>
      <c r="M14" s="21" t="n">
        <f aca="false">$B14*Model!$Y$70</f>
        <v>4.43714819176946</v>
      </c>
      <c r="N14" s="21" t="n">
        <f aca="false">$B14*Model!$Z$70</f>
        <v>0.457926325840976</v>
      </c>
      <c r="O14" s="21" t="n">
        <f aca="false">$B14*Model!$AA$70</f>
        <v>0.773737585041649</v>
      </c>
    </row>
    <row r="15" customFormat="false" ht="15" hidden="false" customHeight="true" outlineLevel="0" collapsed="false">
      <c r="A15" s="23" t="n">
        <v>2028</v>
      </c>
      <c r="B15" s="21" t="n">
        <f aca="false">IF($A15&lt;=Model!$B$3,Data!$B$6*Model!$D$70,0)</f>
        <v>416.397145256087</v>
      </c>
      <c r="C15" s="21" t="n">
        <f aca="false">$B15*IF(Model!$B$5=1,Data!$D$6,Model!$AC$70)</f>
        <v>104.343536164594</v>
      </c>
      <c r="D15" s="21" t="n">
        <f aca="false">$B15*IF(Model!$B$5=1,Data!$E$6,Model!$AD$70)</f>
        <v>132.285719070094</v>
      </c>
      <c r="E15" s="21" t="n">
        <f aca="false">$B15*IF(Model!$B$5=1,Data!$F$6,Model!$AE$70)</f>
        <v>76.8898529602395</v>
      </c>
      <c r="F15" s="21" t="n">
        <f aca="false">$B15*IF(Model!$B$5=1,Data!$G$6,Model!$AF$70)</f>
        <v>102.878037061159</v>
      </c>
      <c r="G15" s="21" t="n">
        <f aca="false">$B15*Model!$S$70</f>
        <v>252.102406979147</v>
      </c>
      <c r="H15" s="21" t="n">
        <f aca="false">$B15*Model!$T$70</f>
        <v>62.9512545526185</v>
      </c>
      <c r="I15" s="21" t="n">
        <f aca="false">$B15*Model!$U$70</f>
        <v>29.8518845993568</v>
      </c>
      <c r="J15" s="21" t="n">
        <f aca="false">$B15*Model!$V$70</f>
        <v>29.8518845993568</v>
      </c>
      <c r="K15" s="21" t="n">
        <f aca="false">$B15*Model!$W$70</f>
        <v>28.2335265725402</v>
      </c>
      <c r="L15" s="21" t="n">
        <f aca="false">$B15*Model!$X$70</f>
        <v>7.73737585041649</v>
      </c>
      <c r="M15" s="21" t="n">
        <f aca="false">$B15*Model!$Y$70</f>
        <v>4.43714819176946</v>
      </c>
      <c r="N15" s="21" t="n">
        <f aca="false">$B15*Model!$Z$70</f>
        <v>0.457926325840976</v>
      </c>
      <c r="O15" s="21" t="n">
        <f aca="false">$B15*Model!$AA$70</f>
        <v>0.773737585041649</v>
      </c>
    </row>
    <row r="16" customFormat="false" ht="15" hidden="false" customHeight="true" outlineLevel="0" collapsed="false">
      <c r="A16" s="23" t="n">
        <v>2029</v>
      </c>
      <c r="B16" s="21" t="n">
        <f aca="false">IF($A16&lt;=Model!$B$3,Data!$B$7*Model!$D$70,0)</f>
        <v>416.397145256087</v>
      </c>
      <c r="C16" s="21" t="n">
        <f aca="false">$B16*IF(Model!$B$5=1,Data!$D$7,Model!$AC$70)</f>
        <v>103.244612370557</v>
      </c>
      <c r="D16" s="21" t="n">
        <f aca="false">$B16*IF(Model!$B$5=1,Data!$E$7,Model!$AD$70)</f>
        <v>131.570948782536</v>
      </c>
      <c r="E16" s="21" t="n">
        <f aca="false">$B16*IF(Model!$B$5=1,Data!$F$7,Model!$AE$70)</f>
        <v>76.3834312902324</v>
      </c>
      <c r="F16" s="21" t="n">
        <f aca="false">$B16*IF(Model!$B$5=1,Data!$G$7,Model!$AF$70)</f>
        <v>105.198152812762</v>
      </c>
      <c r="G16" s="21" t="n">
        <f aca="false">$B16*Model!$S$70</f>
        <v>252.102406979147</v>
      </c>
      <c r="H16" s="21" t="n">
        <f aca="false">$B16*Model!$T$70</f>
        <v>62.9512545526185</v>
      </c>
      <c r="I16" s="21" t="n">
        <f aca="false">$B16*Model!$U$70</f>
        <v>29.8518845993568</v>
      </c>
      <c r="J16" s="21" t="n">
        <f aca="false">$B16*Model!$V$70</f>
        <v>29.8518845993568</v>
      </c>
      <c r="K16" s="21" t="n">
        <f aca="false">$B16*Model!$W$70</f>
        <v>28.2335265725402</v>
      </c>
      <c r="L16" s="21" t="n">
        <f aca="false">$B16*Model!$X$70</f>
        <v>7.73737585041649</v>
      </c>
      <c r="M16" s="21" t="n">
        <f aca="false">$B16*Model!$Y$70</f>
        <v>4.43714819176946</v>
      </c>
      <c r="N16" s="21" t="n">
        <f aca="false">$B16*Model!$Z$70</f>
        <v>0.457926325840976</v>
      </c>
      <c r="O16" s="21" t="n">
        <f aca="false">$B16*Model!$AA$70</f>
        <v>0.773737585041649</v>
      </c>
    </row>
    <row r="17" customFormat="false" ht="15" hidden="false" customHeight="true" outlineLevel="0" collapsed="false">
      <c r="A17" s="23" t="n">
        <v>2030</v>
      </c>
      <c r="B17" s="21" t="n">
        <f aca="false">IF($A17&lt;=Model!$B$3,Data!$B$8*Model!$D$70,0)</f>
        <v>416.397145256087</v>
      </c>
      <c r="C17" s="21" t="n">
        <f aca="false">$B17*IF(Model!$B$5=1,Data!$D$8,Model!$AC$70)</f>
        <v>103.073436941617</v>
      </c>
      <c r="D17" s="21" t="n">
        <f aca="false">$B17*IF(Model!$B$5=1,Data!$E$8,Model!$AD$70)</f>
        <v>129.647820683911</v>
      </c>
      <c r="E17" s="21" t="n">
        <f aca="false">$B17*IF(Model!$B$5=1,Data!$F$8,Model!$AE$70)</f>
        <v>76.4990531993234</v>
      </c>
      <c r="F17" s="21" t="n">
        <f aca="false">$B17*IF(Model!$B$5=1,Data!$G$8,Model!$AF$70)</f>
        <v>107.176834431236</v>
      </c>
      <c r="G17" s="21" t="n">
        <f aca="false">$B17*Model!$S$70</f>
        <v>252.102406979147</v>
      </c>
      <c r="H17" s="21" t="n">
        <f aca="false">$B17*Model!$T$70</f>
        <v>62.9512545526185</v>
      </c>
      <c r="I17" s="21" t="n">
        <f aca="false">$B17*Model!$U$70</f>
        <v>29.8518845993568</v>
      </c>
      <c r="J17" s="21" t="n">
        <f aca="false">$B17*Model!$V$70</f>
        <v>29.8518845993568</v>
      </c>
      <c r="K17" s="21" t="n">
        <f aca="false">$B17*Model!$W$70</f>
        <v>28.2335265725402</v>
      </c>
      <c r="L17" s="21" t="n">
        <f aca="false">$B17*Model!$X$70</f>
        <v>7.73737585041649</v>
      </c>
      <c r="M17" s="21" t="n">
        <f aca="false">$B17*Model!$Y$70</f>
        <v>4.43714819176946</v>
      </c>
      <c r="N17" s="21" t="n">
        <f aca="false">$B17*Model!$Z$70</f>
        <v>0.457926325840976</v>
      </c>
      <c r="O17" s="21" t="n">
        <f aca="false">$B17*Model!$AA$70</f>
        <v>0.773737585041649</v>
      </c>
    </row>
    <row r="18" customFormat="false" ht="15" hidden="false" customHeight="true" outlineLevel="0" collapsed="false">
      <c r="A18" s="23" t="n">
        <v>2031</v>
      </c>
      <c r="B18" s="21" t="n">
        <f aca="false">IF($A18&lt;=Model!$B$3,Data!$B$9*Model!$D$70,0)</f>
        <v>211.763783935069</v>
      </c>
      <c r="C18" s="21" t="n">
        <f aca="false">$B18*IF(Model!$B$5=1,Data!$D$9,Model!$AC$70)</f>
        <v>48.936188077246</v>
      </c>
      <c r="D18" s="21" t="n">
        <f aca="false">$B18*IF(Model!$B$5=1,Data!$E$9,Model!$AD$70)</f>
        <v>64.369157570669</v>
      </c>
      <c r="E18" s="21" t="n">
        <f aca="false">$B18*IF(Model!$B$5=1,Data!$F$9,Model!$AE$70)</f>
        <v>40.2429331094319</v>
      </c>
      <c r="F18" s="21" t="n">
        <f aca="false">$B18*IF(Model!$B$5=1,Data!$G$9,Model!$AF$70)</f>
        <v>58.2155051777218</v>
      </c>
      <c r="G18" s="21" t="n">
        <f aca="false">$B18*Model!$S$70</f>
        <v>128.209715770769</v>
      </c>
      <c r="H18" s="21" t="n">
        <f aca="false">$B18*Model!$T$70</f>
        <v>32.0146187825655</v>
      </c>
      <c r="I18" s="21" t="n">
        <f aca="false">$B18*Model!$U$70</f>
        <v>15.1815354941134</v>
      </c>
      <c r="J18" s="21" t="n">
        <f aca="false">$B18*Model!$V$70</f>
        <v>15.1815354941134</v>
      </c>
      <c r="K18" s="21" t="n">
        <f aca="false">$B18*Model!$W$70</f>
        <v>14.3585000256315</v>
      </c>
      <c r="L18" s="21" t="n">
        <f aca="false">$B18*Model!$X$70</f>
        <v>3.93493568935091</v>
      </c>
      <c r="M18" s="21" t="n">
        <f aca="false">$B18*Model!$Y$70</f>
        <v>2.25656516062777</v>
      </c>
      <c r="N18" s="21" t="n">
        <f aca="false">$B18*Model!$Z$70</f>
        <v>0.232883948961585</v>
      </c>
      <c r="O18" s="21" t="n">
        <f aca="false">$B18*Model!$AA$70</f>
        <v>0.393493568935091</v>
      </c>
    </row>
    <row r="19" customFormat="false" ht="15" hidden="false" customHeight="true" outlineLevel="0" collapsed="false">
      <c r="A19" s="23" t="n">
        <v>2032</v>
      </c>
      <c r="B19" s="21" t="n">
        <f aca="false">IF($A19&lt;=Model!$B$3,Data!$B$10*Model!$D$70,0)</f>
        <v>211.763783935069</v>
      </c>
      <c r="C19" s="21" t="n">
        <f aca="false">$B19*IF(Model!$B$5=1,Data!$D$10,Model!$AC$70)</f>
        <v>47.080324657151</v>
      </c>
      <c r="D19" s="21" t="n">
        <f aca="false">$B19*IF(Model!$B$5=1,Data!$E$10,Model!$AD$70)</f>
        <v>63.0993562832354</v>
      </c>
      <c r="E19" s="21" t="n">
        <f aca="false">$B19*IF(Model!$B$5=1,Data!$F$10,Model!$AE$70)</f>
        <v>40.9266722642038</v>
      </c>
      <c r="F19" s="21" t="n">
        <f aca="false">$B19*IF(Model!$B$5=1,Data!$G$10,Model!$AF$70)</f>
        <v>60.6574307304786</v>
      </c>
      <c r="G19" s="21" t="n">
        <f aca="false">$B19*Model!$S$70</f>
        <v>128.209715770769</v>
      </c>
      <c r="H19" s="21" t="n">
        <f aca="false">$B19*Model!$T$70</f>
        <v>32.0146187825655</v>
      </c>
      <c r="I19" s="21" t="n">
        <f aca="false">$B19*Model!$U$70</f>
        <v>15.1815354941134</v>
      </c>
      <c r="J19" s="21" t="n">
        <f aca="false">$B19*Model!$V$70</f>
        <v>15.1815354941134</v>
      </c>
      <c r="K19" s="21" t="n">
        <f aca="false">$B19*Model!$W$70</f>
        <v>14.3585000256315</v>
      </c>
      <c r="L19" s="21" t="n">
        <f aca="false">$B19*Model!$X$70</f>
        <v>3.93493568935091</v>
      </c>
      <c r="M19" s="21" t="n">
        <f aca="false">$B19*Model!$Y$70</f>
        <v>2.25656516062777</v>
      </c>
      <c r="N19" s="21" t="n">
        <f aca="false">$B19*Model!$Z$70</f>
        <v>0.232883948961585</v>
      </c>
      <c r="O19" s="21" t="n">
        <f aca="false">$B19*Model!$AA$70</f>
        <v>0.393493568935091</v>
      </c>
    </row>
    <row r="20" customFormat="false" ht="15" hidden="false" customHeight="true" outlineLevel="0" collapsed="false">
      <c r="A20" s="23" t="n">
        <v>2033</v>
      </c>
      <c r="B20" s="21" t="n">
        <f aca="false">IF($A20&lt;=Model!$B$3,Data!$B$11*Model!$D$70,0)</f>
        <v>211.763783935069</v>
      </c>
      <c r="C20" s="21" t="n">
        <f aca="false">$B20*IF(Model!$B$5=1,Data!$D$11,Model!$AC$70)</f>
        <v>46.7111623077816</v>
      </c>
      <c r="D20" s="21" t="n">
        <f aca="false">$B20*IF(Model!$B$5=1,Data!$E$11,Model!$AD$70)</f>
        <v>63.3239187770763</v>
      </c>
      <c r="E20" s="21" t="n">
        <f aca="false">$B20*IF(Model!$B$5=1,Data!$F$11,Model!$AE$70)</f>
        <v>40.9455585919676</v>
      </c>
      <c r="F20" s="21" t="n">
        <f aca="false">$B20*IF(Model!$B$5=1,Data!$G$11,Model!$AF$70)</f>
        <v>60.7831442582431</v>
      </c>
      <c r="G20" s="21" t="n">
        <f aca="false">$B20*Model!$S$70</f>
        <v>128.209715770769</v>
      </c>
      <c r="H20" s="21" t="n">
        <f aca="false">$B20*Model!$T$70</f>
        <v>32.0146187825655</v>
      </c>
      <c r="I20" s="21" t="n">
        <f aca="false">$B20*Model!$U$70</f>
        <v>15.1815354941134</v>
      </c>
      <c r="J20" s="21" t="n">
        <f aca="false">$B20*Model!$V$70</f>
        <v>15.1815354941134</v>
      </c>
      <c r="K20" s="21" t="n">
        <f aca="false">$B20*Model!$W$70</f>
        <v>14.3585000256315</v>
      </c>
      <c r="L20" s="21" t="n">
        <f aca="false">$B20*Model!$X$70</f>
        <v>3.93493568935091</v>
      </c>
      <c r="M20" s="21" t="n">
        <f aca="false">$B20*Model!$Y$70</f>
        <v>2.25656516062777</v>
      </c>
      <c r="N20" s="21" t="n">
        <f aca="false">$B20*Model!$Z$70</f>
        <v>0.232883948961585</v>
      </c>
      <c r="O20" s="21" t="n">
        <f aca="false">$B20*Model!$AA$70</f>
        <v>0.393493568935091</v>
      </c>
    </row>
    <row r="21" customFormat="false" ht="15" hidden="false" customHeight="true" outlineLevel="0" collapsed="false">
      <c r="A21" s="23" t="n">
        <v>2034</v>
      </c>
      <c r="B21" s="21" t="n">
        <f aca="false">IF($A21&lt;=Model!$B$3,Data!$B$12*Model!$D$70,0)</f>
        <v>211.763783935069</v>
      </c>
      <c r="C21" s="21" t="n">
        <f aca="false">$B21*IF(Model!$B$5=1,Data!$D$12,Model!$AC$70)</f>
        <v>46.2989084802688</v>
      </c>
      <c r="D21" s="21" t="n">
        <f aca="false">$B21*IF(Model!$B$5=1,Data!$E$12,Model!$AD$70)</f>
        <v>63.4900643716765</v>
      </c>
      <c r="E21" s="21" t="n">
        <f aca="false">$B21*IF(Model!$B$5=1,Data!$F$12,Model!$AE$70)</f>
        <v>40.9266722642038</v>
      </c>
      <c r="F21" s="21" t="n">
        <f aca="false">$B21*IF(Model!$B$5=1,Data!$G$12,Model!$AF$70)</f>
        <v>61.0481388189196</v>
      </c>
      <c r="G21" s="21" t="n">
        <f aca="false">$B21*Model!$S$70</f>
        <v>128.209715770769</v>
      </c>
      <c r="H21" s="21" t="n">
        <f aca="false">$B21*Model!$T$70</f>
        <v>32.0146187825655</v>
      </c>
      <c r="I21" s="21" t="n">
        <f aca="false">$B21*Model!$U$70</f>
        <v>15.1815354941134</v>
      </c>
      <c r="J21" s="21" t="n">
        <f aca="false">$B21*Model!$V$70</f>
        <v>15.1815354941134</v>
      </c>
      <c r="K21" s="21" t="n">
        <f aca="false">$B21*Model!$W$70</f>
        <v>14.3585000256315</v>
      </c>
      <c r="L21" s="21" t="n">
        <f aca="false">$B21*Model!$X$70</f>
        <v>3.93493568935091</v>
      </c>
      <c r="M21" s="21" t="n">
        <f aca="false">$B21*Model!$Y$70</f>
        <v>2.25656516062777</v>
      </c>
      <c r="N21" s="21" t="n">
        <f aca="false">$B21*Model!$Z$70</f>
        <v>0.232883948961585</v>
      </c>
      <c r="O21" s="21" t="n">
        <f aca="false">$B21*Model!$AA$70</f>
        <v>0.393493568935091</v>
      </c>
    </row>
    <row r="22" customFormat="false" ht="15" hidden="false" customHeight="true" outlineLevel="0" collapsed="false">
      <c r="A22" s="23" t="n">
        <v>2035</v>
      </c>
      <c r="B22" s="21" t="n">
        <f aca="false">IF($A22&lt;=Model!$B$3,Data!$B$13*Model!$D$70,0)</f>
        <v>204.633361321019</v>
      </c>
      <c r="C22" s="21" t="n">
        <f aca="false">$B22*IF(Model!$B$5=1,Data!$D$13,Model!$AC$70)</f>
        <v>43.8569829275118</v>
      </c>
      <c r="D22" s="21" t="n">
        <f aca="false">$B22*IF(Model!$B$5=1,Data!$E$13,Model!$AD$70)</f>
        <v>60.462076686258</v>
      </c>
      <c r="E22" s="21" t="n">
        <f aca="false">$B22*IF(Model!$B$5=1,Data!$F$13,Model!$AE$70)</f>
        <v>39.2661628883291</v>
      </c>
      <c r="F22" s="21" t="n">
        <f aca="false">$B22*IF(Model!$B$5=1,Data!$G$13,Model!$AF$70)</f>
        <v>61.0481388189197</v>
      </c>
      <c r="G22" s="21" t="n">
        <f aca="false">$B22*Model!$S$70</f>
        <v>123.892691208377</v>
      </c>
      <c r="H22" s="21" t="n">
        <f aca="false">$B22*Model!$T$70</f>
        <v>30.936635770053</v>
      </c>
      <c r="I22" s="21" t="n">
        <f aca="false">$B22*Model!$U$70</f>
        <v>14.6703491052434</v>
      </c>
      <c r="J22" s="21" t="n">
        <f aca="false">$B22*Model!$V$70</f>
        <v>14.6703491052434</v>
      </c>
      <c r="K22" s="21" t="n">
        <f aca="false">$B22*Model!$W$70</f>
        <v>13.8750265469087</v>
      </c>
      <c r="L22" s="21" t="n">
        <f aca="false">$B22*Model!$X$70</f>
        <v>3.80244016106558</v>
      </c>
      <c r="M22" s="21" t="n">
        <f aca="false">$B22*Model!$Y$70</f>
        <v>2.18058303114169</v>
      </c>
      <c r="N22" s="21" t="n">
        <f aca="false">$B22*Model!$Z$70</f>
        <v>0.225042376879391</v>
      </c>
      <c r="O22" s="21" t="n">
        <f aca="false">$B22*Model!$AA$70</f>
        <v>0.380244016106557</v>
      </c>
    </row>
    <row r="23" customFormat="false" ht="15" hidden="false" customHeight="true" outlineLevel="0" collapsed="false">
      <c r="A23" s="23" t="n">
        <v>2036</v>
      </c>
      <c r="B23" s="21" t="n">
        <f aca="false">IF($A23&lt;=Model!$B$3,Data!$B$14*Model!$D$70,0)</f>
        <v>155.013434089001</v>
      </c>
      <c r="C23" s="21" t="n">
        <f aca="false">$B23*IF(Model!$B$5=1,Data!$D$14,Model!$AC$70)</f>
        <v>37.3943756870041</v>
      </c>
      <c r="D23" s="21" t="n">
        <f aca="false">$B23*IF(Model!$B$5=1,Data!$E$14,Model!$AD$70)</f>
        <v>48.0971205050315</v>
      </c>
      <c r="E23" s="21" t="n">
        <f aca="false">$B23*IF(Model!$B$5=1,Data!$F$14,Model!$AE$70)</f>
        <v>28.9868018796146</v>
      </c>
      <c r="F23" s="21" t="n">
        <f aca="false">$B23*IF(Model!$B$5=1,Data!$G$14,Model!$AF$70)</f>
        <v>40.5351360173506</v>
      </c>
      <c r="G23" s="21" t="n">
        <f aca="false">$B23*Model!$S$70</f>
        <v>93.8509312399497</v>
      </c>
      <c r="H23" s="21" t="n">
        <f aca="false">$B23*Model!$T$70</f>
        <v>23.4350553542119</v>
      </c>
      <c r="I23" s="21" t="n">
        <f aca="false">$B23*Model!$U$70</f>
        <v>11.1130520429696</v>
      </c>
      <c r="J23" s="21" t="n">
        <f aca="false">$B23*Model!$V$70</f>
        <v>11.1130520429696</v>
      </c>
      <c r="K23" s="21" t="n">
        <f aca="false">$B23*Model!$W$70</f>
        <v>10.510580968947</v>
      </c>
      <c r="L23" s="21" t="n">
        <f aca="false">$B23*Model!$X$70</f>
        <v>2.88041648477855</v>
      </c>
      <c r="M23" s="21" t="n">
        <f aca="false">$B23*Model!$Y$70</f>
        <v>1.65183067800566</v>
      </c>
      <c r="N23" s="21" t="n">
        <f aca="false">$B23*Model!$Z$70</f>
        <v>0.170473628690976</v>
      </c>
      <c r="O23" s="21" t="n">
        <f aca="false">$B23*Model!$AA$70</f>
        <v>0.288041648477855</v>
      </c>
    </row>
    <row r="24" customFormat="false" ht="15" hidden="false" customHeight="true" outlineLevel="0" collapsed="false">
      <c r="A24" s="23" t="n">
        <v>2037</v>
      </c>
      <c r="B24" s="21" t="n">
        <f aca="false">IF($A24&lt;=Model!$B$3,Data!$B$15*Model!$D$70,0)</f>
        <v>153.743632801567</v>
      </c>
      <c r="C24" s="21" t="n">
        <f aca="false">$B24*IF(Model!$B$5=1,Data!$D$15,Model!$AC$70)</f>
        <v>37.0880575496814</v>
      </c>
      <c r="D24" s="21" t="n">
        <f aca="false">$B24*IF(Model!$B$5=1,Data!$E$15,Model!$AD$70)</f>
        <v>47.703130229943</v>
      </c>
      <c r="E24" s="21" t="n">
        <f aca="false">$B24*IF(Model!$B$5=1,Data!$F$15,Model!$AE$70)</f>
        <v>28.7493548572863</v>
      </c>
      <c r="F24" s="21" t="n">
        <f aca="false">$B24*IF(Model!$B$5=1,Data!$G$15,Model!$AF$70)</f>
        <v>40.2030901646567</v>
      </c>
      <c r="G24" s="21" t="n">
        <f aca="false">$B24*Model!$S$70</f>
        <v>93.0821460439073</v>
      </c>
      <c r="H24" s="21" t="n">
        <f aca="false">$B24*Model!$T$70</f>
        <v>23.2430857766412</v>
      </c>
      <c r="I24" s="21" t="n">
        <f aca="false">$B24*Model!$U$70</f>
        <v>11.0220188504311</v>
      </c>
      <c r="J24" s="21" t="n">
        <f aca="false">$B24*Model!$V$70</f>
        <v>11.0220188504311</v>
      </c>
      <c r="K24" s="21" t="n">
        <f aca="false">$B24*Model!$W$70</f>
        <v>10.4244829521882</v>
      </c>
      <c r="L24" s="21" t="n">
        <f aca="false">$B24*Model!$X$70</f>
        <v>2.85682139070034</v>
      </c>
      <c r="M24" s="21" t="n">
        <f aca="false">$B24*Model!$Y$70</f>
        <v>1.6382996138506</v>
      </c>
      <c r="N24" s="21" t="n">
        <f aca="false">$B24*Model!$Z$70</f>
        <v>0.169077184347571</v>
      </c>
      <c r="O24" s="21" t="n">
        <f aca="false">$B24*Model!$AA$70</f>
        <v>0.285682139070034</v>
      </c>
    </row>
    <row r="25" customFormat="false" ht="15" hidden="false" customHeight="true" outlineLevel="0" collapsed="false">
      <c r="A25" s="23" t="n">
        <v>2038</v>
      </c>
      <c r="B25" s="21" t="n">
        <f aca="false">IF($A25&lt;=Model!$B$3,Data!$B$16*Model!$D$70,0)</f>
        <v>151.887769381472</v>
      </c>
      <c r="C25" s="21" t="n">
        <f aca="false">$B25*IF(Model!$B$5=1,Data!$D$16,Model!$AC$70)</f>
        <v>36.6403618105177</v>
      </c>
      <c r="D25" s="21" t="n">
        <f aca="false">$B25*IF(Model!$B$5=1,Data!$E$16,Model!$AD$70)</f>
        <v>47.1272982894291</v>
      </c>
      <c r="E25" s="21" t="n">
        <f aca="false">$B25*IF(Model!$B$5=1,Data!$F$16,Model!$AE$70)</f>
        <v>28.4023169015758</v>
      </c>
      <c r="F25" s="21" t="n">
        <f aca="false">$B25*IF(Model!$B$5=1,Data!$G$16,Model!$AF$70)</f>
        <v>39.7177923799498</v>
      </c>
      <c r="G25" s="21" t="n">
        <f aca="false">$B25*Model!$S$70</f>
        <v>91.9585369112299</v>
      </c>
      <c r="H25" s="21" t="n">
        <f aca="false">$B25*Model!$T$70</f>
        <v>22.9625148555763</v>
      </c>
      <c r="I25" s="21" t="n">
        <f aca="false">$B25*Model!$U$70</f>
        <v>10.8889703382594</v>
      </c>
      <c r="J25" s="21" t="n">
        <f aca="false">$B25*Model!$V$70</f>
        <v>10.8889703382594</v>
      </c>
      <c r="K25" s="21" t="n">
        <f aca="false">$B25*Model!$W$70</f>
        <v>10.2986473892329</v>
      </c>
      <c r="L25" s="21" t="n">
        <f aca="false">$B25*Model!$X$70</f>
        <v>2.82233625320142</v>
      </c>
      <c r="M25" s="21" t="n">
        <f aca="false">$B25*Model!$Y$70</f>
        <v>1.61852344316245</v>
      </c>
      <c r="N25" s="21" t="n">
        <f aca="false">$B25*Model!$Z$70</f>
        <v>0.167036227230288</v>
      </c>
      <c r="O25" s="21" t="n">
        <f aca="false">$B25*Model!$AA$70</f>
        <v>0.282233625320142</v>
      </c>
    </row>
    <row r="26" customFormat="false" ht="15" hidden="false" customHeight="true" outlineLevel="0" collapsed="false">
      <c r="A26" s="23" t="n">
        <v>2039</v>
      </c>
      <c r="B26" s="21" t="n">
        <f aca="false">IF($A26&lt;=Model!$B$3,Data!$B$17*Model!$D$70,0)</f>
        <v>150.520291071928</v>
      </c>
      <c r="C26" s="21" t="n">
        <f aca="false">$B26*IF(Model!$B$5=1,Data!$D$17,Model!$AC$70)</f>
        <v>36.3104807395547</v>
      </c>
      <c r="D26" s="21" t="n">
        <f aca="false">$B26*IF(Model!$B$5=1,Data!$E$17,Model!$AD$70)</f>
        <v>46.7030010701029</v>
      </c>
      <c r="E26" s="21" t="n">
        <f aca="false">$B26*IF(Model!$B$5=1,Data!$F$17,Model!$AE$70)</f>
        <v>28.1466047236838</v>
      </c>
      <c r="F26" s="21" t="n">
        <f aca="false">$B26*IF(Model!$B$5=1,Data!$G$17,Model!$AF$70)</f>
        <v>39.360204538587</v>
      </c>
      <c r="G26" s="21" t="n">
        <f aca="false">$B26*Model!$S$70</f>
        <v>91.1306143924149</v>
      </c>
      <c r="H26" s="21" t="n">
        <f aca="false">$B26*Model!$T$70</f>
        <v>22.7557783874232</v>
      </c>
      <c r="I26" s="21" t="n">
        <f aca="false">$B26*Model!$U$70</f>
        <v>10.7909345924487</v>
      </c>
      <c r="J26" s="21" t="n">
        <f aca="false">$B26*Model!$V$70</f>
        <v>10.7909345924487</v>
      </c>
      <c r="K26" s="21" t="n">
        <f aca="false">$B26*Model!$W$70</f>
        <v>10.205926448108</v>
      </c>
      <c r="L26" s="21" t="n">
        <f aca="false">$B26*Model!$X$70</f>
        <v>2.79692615188642</v>
      </c>
      <c r="M26" s="21" t="n">
        <f aca="false">$B26*Model!$Y$70</f>
        <v>1.60395152791854</v>
      </c>
      <c r="N26" s="21" t="n">
        <f aca="false">$B26*Model!$Z$70</f>
        <v>0.165532364091237</v>
      </c>
      <c r="O26" s="21" t="n">
        <f aca="false">$B26*Model!$AA$70</f>
        <v>0.279692615188642</v>
      </c>
    </row>
    <row r="27" customFormat="false" ht="15" hidden="false" customHeight="true" outlineLevel="0" collapsed="false">
      <c r="A27" s="23" t="n">
        <v>2040</v>
      </c>
      <c r="B27" s="21" t="n">
        <f aca="false">IF($A27&lt;=Model!$B$3,Data!$B$18*Model!$D$70,0)</f>
        <v>148.957458718164</v>
      </c>
      <c r="C27" s="21" t="n">
        <f aca="false">$B27*IF(Model!$B$5=1,Data!$D$18,Model!$AC$70)</f>
        <v>35.9334738013114</v>
      </c>
      <c r="D27" s="21" t="n">
        <f aca="false">$B27*IF(Model!$B$5=1,Data!$E$18,Model!$AD$70)</f>
        <v>46.2180899623019</v>
      </c>
      <c r="E27" s="21" t="n">
        <f aca="false">$B27*IF(Model!$B$5=1,Data!$F$18,Model!$AE$70)</f>
        <v>27.8543622346643</v>
      </c>
      <c r="F27" s="21" t="n">
        <f aca="false">$B27*IF(Model!$B$5=1,Data!$G$18,Model!$AF$70)</f>
        <v>38.9515327198864</v>
      </c>
      <c r="G27" s="21" t="n">
        <f aca="false">$B27*Model!$S$70</f>
        <v>90.184417228055</v>
      </c>
      <c r="H27" s="21" t="n">
        <f aca="false">$B27*Model!$T$70</f>
        <v>22.5195081381054</v>
      </c>
      <c r="I27" s="21" t="n">
        <f aca="false">$B27*Model!$U$70</f>
        <v>10.6788937400936</v>
      </c>
      <c r="J27" s="21" t="n">
        <f aca="false">$B27*Model!$V$70</f>
        <v>10.6788937400936</v>
      </c>
      <c r="K27" s="21" t="n">
        <f aca="false">$B27*Model!$W$70</f>
        <v>10.0999596582509</v>
      </c>
      <c r="L27" s="21" t="n">
        <f aca="false">$B27*Model!$X$70</f>
        <v>2.76788603609785</v>
      </c>
      <c r="M27" s="21" t="n">
        <f aca="false">$B27*Model!$Y$70</f>
        <v>1.58729791049693</v>
      </c>
      <c r="N27" s="21" t="n">
        <f aca="false">$B27*Model!$Z$70</f>
        <v>0.163813663360893</v>
      </c>
      <c r="O27" s="21" t="n">
        <f aca="false">$B27*Model!$AA$70</f>
        <v>0.276788603609785</v>
      </c>
    </row>
    <row r="28" customFormat="false" ht="15" hidden="false" customHeight="true" outlineLevel="0" collapsed="false">
      <c r="A28" s="24" t="s">
        <v>118</v>
      </c>
      <c r="B28" s="25" t="n">
        <f aca="false">SUM(B13:B27)</f>
        <v>3893.79680940386</v>
      </c>
      <c r="C28" s="25" t="n">
        <f aca="false">SUM(C13:C27)</f>
        <v>939.309601076708</v>
      </c>
      <c r="D28" s="25" t="n">
        <f aca="false">SUM(D13:D27)</f>
        <v>1208.15442854222</v>
      </c>
      <c r="E28" s="25" t="n">
        <f aca="false">SUM(E13:E27)</f>
        <v>728.122661996744</v>
      </c>
      <c r="F28" s="25" t="n">
        <f aca="false">SUM(F13:F27)</f>
        <v>1018.21011778819</v>
      </c>
      <c r="G28" s="25" t="n">
        <f aca="false">SUM(G13:G27)</f>
        <v>2357.45023500274</v>
      </c>
      <c r="H28" s="25" t="n">
        <f aca="false">SUM(H13:H27)</f>
        <v>588.667326175366</v>
      </c>
      <c r="I28" s="25" t="n">
        <f aca="false">SUM(I13:I27)</f>
        <v>279.149783642683</v>
      </c>
      <c r="J28" s="25" t="n">
        <f aca="false">SUM(J13:J27)</f>
        <v>279.149783642683</v>
      </c>
      <c r="K28" s="25" t="n">
        <f aca="false">SUM(K13:K27)</f>
        <v>264.016256928863</v>
      </c>
      <c r="L28" s="25" t="n">
        <f aca="false">SUM(L13:L27)</f>
        <v>72.3534484872163</v>
      </c>
      <c r="M28" s="25" t="n">
        <f aca="false">SUM(M13:M27)</f>
        <v>41.4924878059342</v>
      </c>
      <c r="N28" s="25" t="n">
        <f aca="false">SUM(N13:N27)</f>
        <v>4.28214286965157</v>
      </c>
      <c r="O28" s="25" t="n">
        <f aca="false">SUM(O13:O27)</f>
        <v>7.23534484872163</v>
      </c>
    </row>
    <row r="29" customFormat="false" ht="15" hidden="false" customHeight="true" outlineLevel="0" collapsed="false">
      <c r="A29" s="3" t="s">
        <v>119</v>
      </c>
      <c r="B29" s="26" t="n">
        <f aca="false">IF($B$28&gt;0,B28/$B$28,0)</f>
        <v>1</v>
      </c>
      <c r="C29" s="26" t="n">
        <f aca="false">IF($B$28&gt;0,C28/$B$28,0)</f>
        <v>0.241232310532536</v>
      </c>
      <c r="D29" s="26" t="n">
        <f aca="false">IF($B$28&gt;0,D28/$B$28,0)</f>
        <v>0.310276701040081</v>
      </c>
      <c r="E29" s="26" t="n">
        <f aca="false">IF($B$28&gt;0,E28/$B$28,0)</f>
        <v>0.186995546413275</v>
      </c>
      <c r="F29" s="26" t="n">
        <f aca="false">IF($B$28&gt;0,F28/$B$28,0)</f>
        <v>0.261495442014108</v>
      </c>
      <c r="G29" s="26" t="n">
        <f aca="false">IF($B$28&gt;0,G28/$B$28,0)</f>
        <v>0.605437404773997</v>
      </c>
      <c r="H29" s="26" t="n">
        <f aca="false">IF($B$28&gt;0,H28/$B$28,0)</f>
        <v>0.151180802437786</v>
      </c>
      <c r="I29" s="26" t="n">
        <f aca="false">IF($B$28&gt;0,I28/$B$28,0)</f>
        <v>0.0716908963941087</v>
      </c>
      <c r="J29" s="26" t="n">
        <f aca="false">IF($B$28&gt;0,J28/$B$28,0)</f>
        <v>0.0716908963941087</v>
      </c>
      <c r="K29" s="26" t="n">
        <f aca="false">IF($B$28&gt;0,K28/$B$28,0)</f>
        <v>0.0678043230944255</v>
      </c>
      <c r="L29" s="26" t="n">
        <f aca="false">IF($B$28&gt;0,L28/$B$28,0)</f>
        <v>0.018581721653394</v>
      </c>
      <c r="M29" s="26" t="n">
        <f aca="false">IF($B$28&gt;0,M28/$B$28,0)</f>
        <v>0.0106560485400076</v>
      </c>
      <c r="N29" s="26" t="n">
        <f aca="false">IF($B$28&gt;0,N28/$B$28,0)</f>
        <v>0.00109973454683352</v>
      </c>
      <c r="O29" s="26" t="n">
        <f aca="false">IF($B$28&gt;0,O28/$B$28,0)</f>
        <v>0.0018581721653394</v>
      </c>
    </row>
    <row r="32" customFormat="false" ht="15" hidden="false" customHeight="true" outlineLevel="0" collapsed="false">
      <c r="A32" s="12" t="s">
        <v>120</v>
      </c>
    </row>
    <row r="33" customFormat="false" ht="23.25" hidden="false" customHeight="true" outlineLevel="0" collapsed="false">
      <c r="A33" s="4" t="s">
        <v>121</v>
      </c>
      <c r="B33" s="5" t="s">
        <v>122</v>
      </c>
      <c r="C33" s="5" t="s">
        <v>123</v>
      </c>
      <c r="D33" s="5" t="s">
        <v>124</v>
      </c>
      <c r="E33" s="5" t="s">
        <v>123</v>
      </c>
      <c r="F33" s="5" t="s">
        <v>125</v>
      </c>
      <c r="G33" s="5" t="s">
        <v>123</v>
      </c>
    </row>
    <row r="34" customFormat="false" ht="15" hidden="false" customHeight="true" outlineLevel="0" collapsed="false">
      <c r="A34" s="13" t="s">
        <v>105</v>
      </c>
      <c r="B34" s="21" t="n">
        <f aca="false">Data!$H$47*Data!$M$47/SUM(Data!$H$47:$K$47)</f>
        <v>778.144862972833</v>
      </c>
      <c r="C34" s="22" t="n">
        <f aca="false">IF($B$38&gt;0,B34/$B$38,0)</f>
        <v>0.0282407223260809</v>
      </c>
      <c r="D34" s="21" t="n">
        <f aca="false">C28</f>
        <v>939.309601076708</v>
      </c>
      <c r="E34" s="22" t="n">
        <f aca="false">IF($D$38&gt;0,D34/$D$38,0)</f>
        <v>0.241232310532536</v>
      </c>
      <c r="F34" s="21" t="n">
        <f aca="false">B34+D34</f>
        <v>1717.45446404954</v>
      </c>
      <c r="G34" s="22" t="n">
        <f aca="false">IF($F$38&gt;0,F34/$F$38,0)</f>
        <v>0.0546128707985028</v>
      </c>
    </row>
    <row r="35" customFormat="false" ht="15" hidden="false" customHeight="true" outlineLevel="0" collapsed="false">
      <c r="A35" s="13" t="s">
        <v>106</v>
      </c>
      <c r="B35" s="21" t="n">
        <f aca="false">Data!$I$47*Data!$M$47/SUM(Data!$H$47:$K$47)</f>
        <v>2977.77407422139</v>
      </c>
      <c r="C35" s="22" t="n">
        <f aca="false">IF($B$38&gt;0,B35/$B$38,0)</f>
        <v>0.108070482478819</v>
      </c>
      <c r="D35" s="21" t="n">
        <f aca="false">D28</f>
        <v>1208.15442854222</v>
      </c>
      <c r="E35" s="22" t="n">
        <f aca="false">IF($D$38&gt;0,D35/$D$38,0)</f>
        <v>0.310276701040081</v>
      </c>
      <c r="F35" s="21" t="n">
        <f aca="false">B35+D35</f>
        <v>4185.92850276361</v>
      </c>
      <c r="G35" s="22" t="n">
        <f aca="false">IF($F$38&gt;0,F35/$F$38,0)</f>
        <v>0.133107210280368</v>
      </c>
    </row>
    <row r="36" customFormat="false" ht="15" hidden="false" customHeight="true" outlineLevel="0" collapsed="false">
      <c r="A36" s="13" t="s">
        <v>107</v>
      </c>
      <c r="B36" s="21" t="n">
        <f aca="false">Data!$J$47*Data!$M$47/SUM(Data!$H$47:$K$47)</f>
        <v>9458.29601050078</v>
      </c>
      <c r="C36" s="22" t="n">
        <f aca="false">IF($B$38&gt;0,B36/$B$38,0)</f>
        <v>0.343263991090251</v>
      </c>
      <c r="D36" s="21" t="n">
        <f aca="false">E28</f>
        <v>728.122661996744</v>
      </c>
      <c r="E36" s="22" t="n">
        <f aca="false">IF($D$38&gt;0,D36/$D$38,0)</f>
        <v>0.186995546413275</v>
      </c>
      <c r="F36" s="21" t="n">
        <f aca="false">B36+D36</f>
        <v>10186.4186724975</v>
      </c>
      <c r="G36" s="22" t="n">
        <f aca="false">IF($F$38&gt;0,F36/$F$38,0)</f>
        <v>0.323915177086475</v>
      </c>
    </row>
    <row r="37" customFormat="false" ht="15" hidden="false" customHeight="true" outlineLevel="0" collapsed="false">
      <c r="A37" s="13" t="s">
        <v>108</v>
      </c>
      <c r="B37" s="21" t="n">
        <f aca="false">Data!$K$47*Data!$M$47/SUM(Data!$H$47:$K$47)</f>
        <v>14339.785052305</v>
      </c>
      <c r="C37" s="22" t="n">
        <f aca="false">IF($B$38&gt;0,B37/$B$38,0)</f>
        <v>0.520424804104849</v>
      </c>
      <c r="D37" s="21" t="n">
        <f aca="false">F28</f>
        <v>1018.21011778819</v>
      </c>
      <c r="E37" s="22" t="n">
        <f aca="false">IF($D$38&gt;0,D37/$D$38,0)</f>
        <v>0.261495442014109</v>
      </c>
      <c r="F37" s="21" t="n">
        <f aca="false">B37+D37</f>
        <v>15357.9951700932</v>
      </c>
      <c r="G37" s="22" t="n">
        <f aca="false">IF($F$38&gt;0,F37/$F$38,0)</f>
        <v>0.488364741834655</v>
      </c>
    </row>
    <row r="38" customFormat="false" ht="15" hidden="false" customHeight="true" outlineLevel="0" collapsed="false">
      <c r="A38" s="24" t="s">
        <v>61</v>
      </c>
      <c r="B38" s="25" t="n">
        <f aca="false">SUM(B34:B37)</f>
        <v>27554</v>
      </c>
      <c r="C38" s="27" t="n">
        <f aca="false">SUM(C34:C37)</f>
        <v>1</v>
      </c>
      <c r="D38" s="25" t="n">
        <f aca="false">SUM(D34:D37)</f>
        <v>3893.79680940386</v>
      </c>
      <c r="E38" s="27" t="n">
        <f aca="false">SUM(E34:E37)</f>
        <v>1</v>
      </c>
      <c r="F38" s="25" t="n">
        <f aca="false">SUM(F34:F37)</f>
        <v>31447.7968094039</v>
      </c>
      <c r="G38" s="27" t="n">
        <f aca="false">SUM(G34:G37)</f>
        <v>1</v>
      </c>
    </row>
    <row r="39" customFormat="false" ht="15" hidden="false" customHeight="true" outlineLevel="0" collapsed="false">
      <c r="A39" s="3" t="s">
        <v>126</v>
      </c>
    </row>
    <row r="40" customFormat="false" ht="15" hidden="false" customHeight="true" outlineLevel="0" collapsed="false">
      <c r="A40" s="3" t="s">
        <v>333</v>
      </c>
    </row>
    <row r="41" customFormat="false" ht="15" hidden="false" customHeight="true" outlineLevel="0" collapsed="false">
      <c r="A41" s="3"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F9B7E"/>
    <pageSetUpPr fitToPage="false"/>
  </sheetPr>
  <dimension ref="A1:E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8"/>
    <col collapsed="false" customWidth="true" hidden="false" outlineLevel="0" max="4" min="2" style="1" width="16"/>
    <col collapsed="false" customWidth="true" hidden="false" outlineLevel="0" max="5" min="5" style="1" width="12"/>
  </cols>
  <sheetData>
    <row r="1" customFormat="false" ht="19.5" hidden="false" customHeight="true" outlineLevel="0" collapsed="false">
      <c r="A1" s="2" t="s">
        <v>334</v>
      </c>
    </row>
    <row r="2" customFormat="false" ht="15" hidden="false" customHeight="true" outlineLevel="0" collapsed="false">
      <c r="A2" s="3" t="s">
        <v>335</v>
      </c>
    </row>
    <row r="4" customFormat="false" ht="15" hidden="false" customHeight="true" outlineLevel="0" collapsed="false">
      <c r="A4" s="4" t="s">
        <v>336</v>
      </c>
      <c r="B4" s="5" t="s">
        <v>337</v>
      </c>
      <c r="C4" s="5" t="s">
        <v>338</v>
      </c>
      <c r="D4" s="5" t="s">
        <v>339</v>
      </c>
      <c r="E4" s="5" t="s">
        <v>340</v>
      </c>
    </row>
    <row r="5" customFormat="false" ht="15" hidden="false" customHeight="true" outlineLevel="0" collapsed="false">
      <c r="A5" s="68" t="s">
        <v>341</v>
      </c>
      <c r="B5" s="69"/>
      <c r="C5" s="69"/>
      <c r="D5" s="69"/>
      <c r="E5" s="69"/>
    </row>
    <row r="6" customFormat="false" ht="15" hidden="false" customHeight="true" outlineLevel="0" collapsed="false">
      <c r="A6" s="13" t="s">
        <v>342</v>
      </c>
      <c r="C6" s="70" t="n">
        <f aca="false">COUNTIF(E9:E105,"PASS")+COUNTIF(E9:E105,"FAIL")</f>
        <v>91</v>
      </c>
    </row>
    <row r="7" customFormat="false" ht="15" hidden="false" customHeight="true" outlineLevel="0" collapsed="false">
      <c r="A7" s="13" t="s">
        <v>343</v>
      </c>
      <c r="C7" s="70" t="n">
        <f aca="false">COUNTIF(E9:E105,"FAIL")</f>
        <v>0</v>
      </c>
      <c r="E7" s="12" t="str">
        <f aca="false">IF(C7=0,"ALL PASS","CHECK")</f>
        <v>ALL PASS</v>
      </c>
    </row>
    <row r="9" customFormat="false" ht="15" hidden="false" customHeight="true" outlineLevel="0" collapsed="false">
      <c r="A9" s="68" t="s">
        <v>344</v>
      </c>
      <c r="B9" s="69"/>
      <c r="C9" s="69"/>
      <c r="D9" s="69"/>
      <c r="E9" s="69"/>
    </row>
    <row r="10" customFormat="false" ht="15" hidden="false" customHeight="true" outlineLevel="0" collapsed="false">
      <c r="A10" s="17" t="s">
        <v>345</v>
      </c>
      <c r="B10" s="39" t="n">
        <f aca="false">Model!$B$17</f>
        <v>39864</v>
      </c>
      <c r="C10" s="39" t="n">
        <f aca="false">Total!B28</f>
        <v>39864</v>
      </c>
      <c r="D10" s="71" t="n">
        <f aca="false">C10-B10</f>
        <v>0</v>
      </c>
      <c r="E10" s="12" t="str">
        <f aca="false">IF(ABS(D10)&lt;=0.01,"PASS","FAIL")</f>
        <v>PASS</v>
      </c>
    </row>
    <row r="11" customFormat="false" ht="15" hidden="false" customHeight="true" outlineLevel="0" collapsed="false">
      <c r="A11" s="17" t="s">
        <v>346</v>
      </c>
      <c r="B11" s="72" t="n">
        <v>1</v>
      </c>
      <c r="C11" s="72" t="n">
        <f aca="false">SUM(Model!$D$46:$D$70)</f>
        <v>1</v>
      </c>
      <c r="D11" s="71" t="n">
        <f aca="false">C11-B11</f>
        <v>0</v>
      </c>
      <c r="E11" s="12" t="str">
        <f aca="false">IF(ABS(D11)&lt;=0.0001,"PASS","FAIL")</f>
        <v>PASS</v>
      </c>
    </row>
    <row r="12" customFormat="false" ht="15" hidden="false" customHeight="true" outlineLevel="0" collapsed="false">
      <c r="A12" s="17" t="s">
        <v>347</v>
      </c>
      <c r="B12" s="39" t="n">
        <f aca="false">IF(2026&lt;=Model!$B$3,Data!$B$4,0)</f>
        <v>4263</v>
      </c>
      <c r="C12" s="39" t="n">
        <f aca="false">Total!B13</f>
        <v>4263</v>
      </c>
      <c r="D12" s="71" t="n">
        <f aca="false">C12-B12</f>
        <v>0</v>
      </c>
      <c r="E12" s="12" t="str">
        <f aca="false">IF(ABS(D12)&lt;=0.01,"PASS","FAIL")</f>
        <v>PASS</v>
      </c>
    </row>
    <row r="13" customFormat="false" ht="15" hidden="false" customHeight="true" outlineLevel="0" collapsed="false">
      <c r="A13" s="17" t="s">
        <v>348</v>
      </c>
      <c r="B13" s="39" t="n">
        <f aca="false">IF(2027&lt;=Model!$B$3,Data!$B$5,0)</f>
        <v>4263</v>
      </c>
      <c r="C13" s="39" t="n">
        <f aca="false">Total!B14</f>
        <v>4263</v>
      </c>
      <c r="D13" s="71" t="n">
        <f aca="false">C13-B13</f>
        <v>0</v>
      </c>
      <c r="E13" s="12" t="str">
        <f aca="false">IF(ABS(D13)&lt;=0.01,"PASS","FAIL")</f>
        <v>PASS</v>
      </c>
    </row>
    <row r="14" customFormat="false" ht="15" hidden="false" customHeight="true" outlineLevel="0" collapsed="false">
      <c r="A14" s="17" t="s">
        <v>349</v>
      </c>
      <c r="B14" s="39" t="n">
        <f aca="false">IF(2028&lt;=Model!$B$3,Data!$B$6,0)</f>
        <v>4263</v>
      </c>
      <c r="C14" s="39" t="n">
        <f aca="false">Total!B15</f>
        <v>4263</v>
      </c>
      <c r="D14" s="71" t="n">
        <f aca="false">C14-B14</f>
        <v>0</v>
      </c>
      <c r="E14" s="12" t="str">
        <f aca="false">IF(ABS(D14)&lt;=0.01,"PASS","FAIL")</f>
        <v>PASS</v>
      </c>
    </row>
    <row r="15" customFormat="false" ht="15" hidden="false" customHeight="true" outlineLevel="0" collapsed="false">
      <c r="A15" s="17" t="s">
        <v>350</v>
      </c>
      <c r="B15" s="39" t="n">
        <f aca="false">IF(2029&lt;=Model!$B$3,Data!$B$7,0)</f>
        <v>4263</v>
      </c>
      <c r="C15" s="39" t="n">
        <f aca="false">Total!B16</f>
        <v>4263</v>
      </c>
      <c r="D15" s="71" t="n">
        <f aca="false">C15-B15</f>
        <v>0</v>
      </c>
      <c r="E15" s="12" t="str">
        <f aca="false">IF(ABS(D15)&lt;=0.01,"PASS","FAIL")</f>
        <v>PASS</v>
      </c>
    </row>
    <row r="16" customFormat="false" ht="15" hidden="false" customHeight="true" outlineLevel="0" collapsed="false">
      <c r="A16" s="17" t="s">
        <v>351</v>
      </c>
      <c r="B16" s="39" t="n">
        <f aca="false">IF(2030&lt;=Model!$B$3,Data!$B$8,0)</f>
        <v>4263</v>
      </c>
      <c r="C16" s="39" t="n">
        <f aca="false">Total!B17</f>
        <v>4263</v>
      </c>
      <c r="D16" s="71" t="n">
        <f aca="false">C16-B16</f>
        <v>0</v>
      </c>
      <c r="E16" s="12" t="str">
        <f aca="false">IF(ABS(D16)&lt;=0.01,"PASS","FAIL")</f>
        <v>PASS</v>
      </c>
    </row>
    <row r="17" customFormat="false" ht="15" hidden="false" customHeight="true" outlineLevel="0" collapsed="false">
      <c r="A17" s="17" t="s">
        <v>352</v>
      </c>
      <c r="B17" s="39" t="n">
        <f aca="false">IF(2031&lt;=Model!$B$3,Data!$B$9,0)</f>
        <v>2168</v>
      </c>
      <c r="C17" s="39" t="n">
        <f aca="false">Total!B18</f>
        <v>2168</v>
      </c>
      <c r="D17" s="71" t="n">
        <f aca="false">C17-B17</f>
        <v>0</v>
      </c>
      <c r="E17" s="12" t="str">
        <f aca="false">IF(ABS(D17)&lt;=0.01,"PASS","FAIL")</f>
        <v>PASS</v>
      </c>
    </row>
    <row r="18" customFormat="false" ht="15" hidden="false" customHeight="true" outlineLevel="0" collapsed="false">
      <c r="A18" s="17" t="s">
        <v>353</v>
      </c>
      <c r="B18" s="39" t="n">
        <f aca="false">IF(2032&lt;=Model!$B$3,Data!$B$10,0)</f>
        <v>2168</v>
      </c>
      <c r="C18" s="39" t="n">
        <f aca="false">Total!B19</f>
        <v>2168</v>
      </c>
      <c r="D18" s="71" t="n">
        <f aca="false">C18-B18</f>
        <v>0</v>
      </c>
      <c r="E18" s="12" t="str">
        <f aca="false">IF(ABS(D18)&lt;=0.01,"PASS","FAIL")</f>
        <v>PASS</v>
      </c>
    </row>
    <row r="19" customFormat="false" ht="15" hidden="false" customHeight="true" outlineLevel="0" collapsed="false">
      <c r="A19" s="17" t="s">
        <v>354</v>
      </c>
      <c r="B19" s="39" t="n">
        <f aca="false">IF(2033&lt;=Model!$B$3,Data!$B$11,0)</f>
        <v>2168</v>
      </c>
      <c r="C19" s="39" t="n">
        <f aca="false">Total!B20</f>
        <v>2168</v>
      </c>
      <c r="D19" s="71" t="n">
        <f aca="false">C19-B19</f>
        <v>0</v>
      </c>
      <c r="E19" s="12" t="str">
        <f aca="false">IF(ABS(D19)&lt;=0.01,"PASS","FAIL")</f>
        <v>PASS</v>
      </c>
    </row>
    <row r="20" customFormat="false" ht="15" hidden="false" customHeight="true" outlineLevel="0" collapsed="false">
      <c r="A20" s="17" t="s">
        <v>355</v>
      </c>
      <c r="B20" s="39" t="n">
        <f aca="false">IF(2034&lt;=Model!$B$3,Data!$B$12,0)</f>
        <v>2168</v>
      </c>
      <c r="C20" s="39" t="n">
        <f aca="false">Total!B21</f>
        <v>2168</v>
      </c>
      <c r="D20" s="71" t="n">
        <f aca="false">C20-B20</f>
        <v>0</v>
      </c>
      <c r="E20" s="12" t="str">
        <f aca="false">IF(ABS(D20)&lt;=0.01,"PASS","FAIL")</f>
        <v>PASS</v>
      </c>
    </row>
    <row r="21" customFormat="false" ht="15" hidden="false" customHeight="true" outlineLevel="0" collapsed="false">
      <c r="A21" s="17" t="s">
        <v>356</v>
      </c>
      <c r="B21" s="39" t="n">
        <f aca="false">IF(2035&lt;=Model!$B$3,Data!$B$13,0)</f>
        <v>2095</v>
      </c>
      <c r="C21" s="39" t="n">
        <f aca="false">Total!B22</f>
        <v>2095</v>
      </c>
      <c r="D21" s="71" t="n">
        <f aca="false">C21-B21</f>
        <v>0</v>
      </c>
      <c r="E21" s="12" t="str">
        <f aca="false">IF(ABS(D21)&lt;=0.01,"PASS","FAIL")</f>
        <v>PASS</v>
      </c>
    </row>
    <row r="22" customFormat="false" ht="15" hidden="false" customHeight="true" outlineLevel="0" collapsed="false">
      <c r="A22" s="17" t="s">
        <v>357</v>
      </c>
      <c r="B22" s="39" t="n">
        <f aca="false">IF(2036&lt;=Model!$B$3,Data!$B$14,0)</f>
        <v>1587</v>
      </c>
      <c r="C22" s="39" t="n">
        <f aca="false">Total!B23</f>
        <v>1587</v>
      </c>
      <c r="D22" s="71" t="n">
        <f aca="false">C22-B22</f>
        <v>0</v>
      </c>
      <c r="E22" s="12" t="str">
        <f aca="false">IF(ABS(D22)&lt;=0.01,"PASS","FAIL")</f>
        <v>PASS</v>
      </c>
    </row>
    <row r="23" customFormat="false" ht="15" hidden="false" customHeight="true" outlineLevel="0" collapsed="false">
      <c r="A23" s="17" t="s">
        <v>358</v>
      </c>
      <c r="B23" s="39" t="n">
        <f aca="false">IF(2037&lt;=Model!$B$3,Data!$B$15,0)</f>
        <v>1574</v>
      </c>
      <c r="C23" s="39" t="n">
        <f aca="false">Total!B24</f>
        <v>1574</v>
      </c>
      <c r="D23" s="71" t="n">
        <f aca="false">C23-B23</f>
        <v>0</v>
      </c>
      <c r="E23" s="12" t="str">
        <f aca="false">IF(ABS(D23)&lt;=0.01,"PASS","FAIL")</f>
        <v>PASS</v>
      </c>
    </row>
    <row r="24" customFormat="false" ht="15" hidden="false" customHeight="true" outlineLevel="0" collapsed="false">
      <c r="A24" s="17" t="s">
        <v>359</v>
      </c>
      <c r="B24" s="39" t="n">
        <f aca="false">IF(2038&lt;=Model!$B$3,Data!$B$16,0)</f>
        <v>1555</v>
      </c>
      <c r="C24" s="39" t="n">
        <f aca="false">Total!B25</f>
        <v>1555</v>
      </c>
      <c r="D24" s="71" t="n">
        <f aca="false">C24-B24</f>
        <v>0</v>
      </c>
      <c r="E24" s="12" t="str">
        <f aca="false">IF(ABS(D24)&lt;=0.01,"PASS","FAIL")</f>
        <v>PASS</v>
      </c>
    </row>
    <row r="25" customFormat="false" ht="15" hidden="false" customHeight="true" outlineLevel="0" collapsed="false">
      <c r="A25" s="17" t="s">
        <v>360</v>
      </c>
      <c r="B25" s="39" t="n">
        <f aca="false">IF(2039&lt;=Model!$B$3,Data!$B$17,0)</f>
        <v>1541</v>
      </c>
      <c r="C25" s="39" t="n">
        <f aca="false">Total!B26</f>
        <v>1541</v>
      </c>
      <c r="D25" s="71" t="n">
        <f aca="false">C25-B25</f>
        <v>0</v>
      </c>
      <c r="E25" s="12" t="str">
        <f aca="false">IF(ABS(D25)&lt;=0.01,"PASS","FAIL")</f>
        <v>PASS</v>
      </c>
    </row>
    <row r="26" customFormat="false" ht="15" hidden="false" customHeight="true" outlineLevel="0" collapsed="false">
      <c r="A26" s="17" t="s">
        <v>361</v>
      </c>
      <c r="B26" s="39" t="n">
        <f aca="false">IF(2040&lt;=Model!$B$3,Data!$B$18,0)</f>
        <v>1525</v>
      </c>
      <c r="C26" s="39" t="n">
        <f aca="false">Total!B27</f>
        <v>1525</v>
      </c>
      <c r="D26" s="71" t="n">
        <f aca="false">C26-B26</f>
        <v>0</v>
      </c>
      <c r="E26" s="12" t="str">
        <f aca="false">IF(ABS(D26)&lt;=0.01,"PASS","FAIL")</f>
        <v>PASS</v>
      </c>
    </row>
    <row r="27" customFormat="false" ht="15" hidden="false" customHeight="true" outlineLevel="0" collapsed="false">
      <c r="A27" s="17" t="s">
        <v>362</v>
      </c>
      <c r="B27" s="39" t="n">
        <f aca="false">Ballinacurra!B28+Caherdavin!B28+'Castletroy-Annacotty'!B28+'City Centre'!B28+'Corbally-Grove Island'!B28+Dooradoyle!B28+'Kings Island'!B28+'Singland-Garryowen'!B28+Southhill!B28+Abbeyfeale!B28+Caherconlish!B28+Castleconnell!B28+Kilmallock!B28+'Newcastle West'!B28+Rathkeale!B28+Adare!B28+Askeaton!B28+Bruff!B28+Cappamore!B28+Croom!B28+Hospital!B28+Kilfinnane!B28+Moroe!B28+Patrickswell!B28+'Rest of county'!B28</f>
        <v>39864</v>
      </c>
      <c r="C27" s="39" t="n">
        <f aca="false">Total!B28</f>
        <v>39864</v>
      </c>
      <c r="D27" s="71" t="n">
        <f aca="false">C27-B27</f>
        <v>0</v>
      </c>
      <c r="E27" s="12" t="str">
        <f aca="false">IF(ABS(D27)&lt;=0.01,"PASS","FAIL")</f>
        <v>PASS</v>
      </c>
    </row>
    <row r="28" customFormat="false" ht="15" hidden="false" customHeight="true" outlineLevel="0" collapsed="false">
      <c r="A28" s="68" t="s">
        <v>363</v>
      </c>
      <c r="B28" s="69"/>
      <c r="C28" s="69"/>
      <c r="D28" s="69"/>
      <c r="E28" s="69"/>
    </row>
    <row r="29" customFormat="false" ht="15" hidden="false" customHeight="true" outlineLevel="0" collapsed="false">
      <c r="A29" s="17" t="s">
        <v>364</v>
      </c>
      <c r="B29" s="39" t="n">
        <f aca="false">Total!B28</f>
        <v>39864</v>
      </c>
      <c r="C29" s="39" t="n">
        <f aca="false">SUM(Total!C28:F28)</f>
        <v>39864</v>
      </c>
      <c r="D29" s="71" t="n">
        <f aca="false">C29-B29</f>
        <v>0</v>
      </c>
      <c r="E29" s="12" t="str">
        <f aca="false">IF(ABS(D29)&lt;=0.01,"PASS","FAIL")</f>
        <v>PASS</v>
      </c>
    </row>
    <row r="30" customFormat="false" ht="15" hidden="false" customHeight="true" outlineLevel="0" collapsed="false">
      <c r="A30" s="17" t="s">
        <v>365</v>
      </c>
      <c r="B30" s="39" t="n">
        <f aca="false">Total!B28</f>
        <v>39864</v>
      </c>
      <c r="C30" s="39" t="n">
        <f aca="false">SUM(Total!G28:O28)</f>
        <v>39864</v>
      </c>
      <c r="D30" s="71" t="n">
        <f aca="false">C30-B30</f>
        <v>0</v>
      </c>
      <c r="E30" s="12" t="str">
        <f aca="false">IF(ABS(D30)&lt;=0.01,"PASS","FAIL")</f>
        <v>PASS</v>
      </c>
    </row>
    <row r="31" customFormat="false" ht="15" hidden="false" customHeight="true" outlineLevel="0" collapsed="false">
      <c r="A31" s="17" t="s">
        <v>366</v>
      </c>
      <c r="B31" s="39" t="n">
        <f aca="false">Ballinacurra!B28</f>
        <v>1208.55116597063</v>
      </c>
      <c r="C31" s="39" t="n">
        <f aca="false">SUM(Ballinacurra!C28:F28)</f>
        <v>1208.55116597063</v>
      </c>
      <c r="D31" s="71" t="n">
        <f aca="false">C31-B31</f>
        <v>0</v>
      </c>
      <c r="E31" s="12" t="str">
        <f aca="false">IF(ABS(D31)&lt;=0.01,"PASS","FAIL")</f>
        <v>PASS</v>
      </c>
    </row>
    <row r="32" customFormat="false" ht="15" hidden="false" customHeight="true" outlineLevel="0" collapsed="false">
      <c r="A32" s="17" t="s">
        <v>367</v>
      </c>
      <c r="B32" s="39" t="n">
        <f aca="false">Ballinacurra!B28</f>
        <v>1208.55116597063</v>
      </c>
      <c r="C32" s="39" t="n">
        <f aca="false">SUM(Ballinacurra!G28:O28)</f>
        <v>1208.55116597063</v>
      </c>
      <c r="D32" s="71" t="n">
        <f aca="false">C32-B32</f>
        <v>0</v>
      </c>
      <c r="E32" s="12" t="str">
        <f aca="false">IF(ABS(D32)&lt;=0.01,"PASS","FAIL")</f>
        <v>PASS</v>
      </c>
    </row>
    <row r="33" customFormat="false" ht="15" hidden="false" customHeight="true" outlineLevel="0" collapsed="false">
      <c r="A33" s="17" t="s">
        <v>368</v>
      </c>
      <c r="B33" s="39" t="n">
        <f aca="false">Caherdavin!B28</f>
        <v>4911.98819059752</v>
      </c>
      <c r="C33" s="39" t="n">
        <f aca="false">SUM(Caherdavin!C28:F28)</f>
        <v>4911.98819059752</v>
      </c>
      <c r="D33" s="71" t="n">
        <f aca="false">C33-B33</f>
        <v>0</v>
      </c>
      <c r="E33" s="12" t="str">
        <f aca="false">IF(ABS(D33)&lt;=0.01,"PASS","FAIL")</f>
        <v>PASS</v>
      </c>
    </row>
    <row r="34" customFormat="false" ht="15" hidden="false" customHeight="true" outlineLevel="0" collapsed="false">
      <c r="A34" s="17" t="s">
        <v>369</v>
      </c>
      <c r="B34" s="39" t="n">
        <f aca="false">Caherdavin!B28</f>
        <v>4911.98819059752</v>
      </c>
      <c r="C34" s="39" t="n">
        <f aca="false">SUM(Caherdavin!G28:O28)</f>
        <v>4911.98819059752</v>
      </c>
      <c r="D34" s="71" t="n">
        <f aca="false">C34-B34</f>
        <v>0</v>
      </c>
      <c r="E34" s="12" t="str">
        <f aca="false">IF(ABS(D34)&lt;=0.01,"PASS","FAIL")</f>
        <v>PASS</v>
      </c>
    </row>
    <row r="35" customFormat="false" ht="15" hidden="false" customHeight="true" outlineLevel="0" collapsed="false">
      <c r="A35" s="17" t="s">
        <v>370</v>
      </c>
      <c r="B35" s="39" t="n">
        <f aca="false">'Castletroy-Annacotty'!B28</f>
        <v>5827.67469014651</v>
      </c>
      <c r="C35" s="39" t="n">
        <f aca="false">SUM('Castletroy-Annacotty'!C28:F28)</f>
        <v>5827.67469014651</v>
      </c>
      <c r="D35" s="71" t="n">
        <f aca="false">C35-B35</f>
        <v>0</v>
      </c>
      <c r="E35" s="12" t="str">
        <f aca="false">IF(ABS(D35)&lt;=0.01,"PASS","FAIL")</f>
        <v>PASS</v>
      </c>
    </row>
    <row r="36" customFormat="false" ht="15" hidden="false" customHeight="true" outlineLevel="0" collapsed="false">
      <c r="A36" s="17" t="s">
        <v>371</v>
      </c>
      <c r="B36" s="39" t="n">
        <f aca="false">'Castletroy-Annacotty'!B28</f>
        <v>5827.67469014651</v>
      </c>
      <c r="C36" s="39" t="n">
        <f aca="false">SUM('Castletroy-Annacotty'!G28:O28)</f>
        <v>5827.67469014651</v>
      </c>
      <c r="D36" s="71" t="n">
        <f aca="false">C36-B36</f>
        <v>0</v>
      </c>
      <c r="E36" s="12" t="str">
        <f aca="false">IF(ABS(D36)&lt;=0.01,"PASS","FAIL")</f>
        <v>PASS</v>
      </c>
    </row>
    <row r="37" customFormat="false" ht="15" hidden="false" customHeight="true" outlineLevel="0" collapsed="false">
      <c r="A37" s="17" t="s">
        <v>372</v>
      </c>
      <c r="B37" s="39" t="n">
        <f aca="false">'City Centre'!B28</f>
        <v>5062.29585965892</v>
      </c>
      <c r="C37" s="39" t="n">
        <f aca="false">SUM('City Centre'!C28:F28)</f>
        <v>5062.29585965892</v>
      </c>
      <c r="D37" s="71" t="n">
        <f aca="false">C37-B37</f>
        <v>0</v>
      </c>
      <c r="E37" s="12" t="str">
        <f aca="false">IF(ABS(D37)&lt;=0.01,"PASS","FAIL")</f>
        <v>PASS</v>
      </c>
    </row>
    <row r="38" customFormat="false" ht="15" hidden="false" customHeight="true" outlineLevel="0" collapsed="false">
      <c r="A38" s="17" t="s">
        <v>373</v>
      </c>
      <c r="B38" s="39" t="n">
        <f aca="false">'City Centre'!B28</f>
        <v>5062.29585965892</v>
      </c>
      <c r="C38" s="39" t="n">
        <f aca="false">SUM('City Centre'!G28:O28)</f>
        <v>5062.29585965892</v>
      </c>
      <c r="D38" s="71" t="n">
        <f aca="false">C38-B38</f>
        <v>0</v>
      </c>
      <c r="E38" s="12" t="str">
        <f aca="false">IF(ABS(D38)&lt;=0.01,"PASS","FAIL")</f>
        <v>PASS</v>
      </c>
    </row>
    <row r="39" customFormat="false" ht="15" hidden="false" customHeight="true" outlineLevel="0" collapsed="false">
      <c r="A39" s="17" t="s">
        <v>374</v>
      </c>
      <c r="B39" s="39" t="n">
        <f aca="false">'Corbally-Grove Island'!B28</f>
        <v>1280.52168890979</v>
      </c>
      <c r="C39" s="39" t="n">
        <f aca="false">SUM('Corbally-Grove Island'!C28:F28)</f>
        <v>1280.52168890979</v>
      </c>
      <c r="D39" s="71" t="n">
        <f aca="false">C39-B39</f>
        <v>0</v>
      </c>
      <c r="E39" s="12" t="str">
        <f aca="false">IF(ABS(D39)&lt;=0.01,"PASS","FAIL")</f>
        <v>PASS</v>
      </c>
    </row>
    <row r="40" customFormat="false" ht="15" hidden="false" customHeight="true" outlineLevel="0" collapsed="false">
      <c r="A40" s="17" t="s">
        <v>375</v>
      </c>
      <c r="B40" s="39" t="n">
        <f aca="false">'Corbally-Grove Island'!B28</f>
        <v>1280.52168890979</v>
      </c>
      <c r="C40" s="39" t="n">
        <f aca="false">SUM('Corbally-Grove Island'!G28:O28)</f>
        <v>1280.52168890979</v>
      </c>
      <c r="D40" s="71" t="n">
        <f aca="false">C40-B40</f>
        <v>0</v>
      </c>
      <c r="E40" s="12" t="str">
        <f aca="false">IF(ABS(D40)&lt;=0.01,"PASS","FAIL")</f>
        <v>PASS</v>
      </c>
    </row>
    <row r="41" customFormat="false" ht="15" hidden="false" customHeight="true" outlineLevel="0" collapsed="false">
      <c r="A41" s="17" t="s">
        <v>376</v>
      </c>
      <c r="B41" s="39" t="n">
        <f aca="false">Dooradoyle!B28</f>
        <v>5460.07140374958</v>
      </c>
      <c r="C41" s="39" t="n">
        <f aca="false">SUM(Dooradoyle!C28:F28)</f>
        <v>5460.07140374958</v>
      </c>
      <c r="D41" s="71" t="n">
        <f aca="false">C41-B41</f>
        <v>0</v>
      </c>
      <c r="E41" s="12" t="str">
        <f aca="false">IF(ABS(D41)&lt;=0.01,"PASS","FAIL")</f>
        <v>PASS</v>
      </c>
    </row>
    <row r="42" customFormat="false" ht="15" hidden="false" customHeight="true" outlineLevel="0" collapsed="false">
      <c r="A42" s="17" t="s">
        <v>377</v>
      </c>
      <c r="B42" s="39" t="n">
        <f aca="false">Dooradoyle!B28</f>
        <v>5460.07140374958</v>
      </c>
      <c r="C42" s="39" t="n">
        <f aca="false">SUM(Dooradoyle!G28:O28)</f>
        <v>5460.07140374958</v>
      </c>
      <c r="D42" s="71" t="n">
        <f aca="false">C42-B42</f>
        <v>0</v>
      </c>
      <c r="E42" s="12" t="str">
        <f aca="false">IF(ABS(D42)&lt;=0.01,"PASS","FAIL")</f>
        <v>PASS</v>
      </c>
    </row>
    <row r="43" customFormat="false" ht="15" hidden="false" customHeight="true" outlineLevel="0" collapsed="false">
      <c r="A43" s="17" t="s">
        <v>378</v>
      </c>
      <c r="B43" s="39" t="n">
        <f aca="false">'Kings Island'!B28</f>
        <v>633.34060186459</v>
      </c>
      <c r="C43" s="39" t="n">
        <f aca="false">SUM('Kings Island'!C28:F28)</f>
        <v>633.34060186459</v>
      </c>
      <c r="D43" s="71" t="n">
        <f aca="false">C43-B43</f>
        <v>0</v>
      </c>
      <c r="E43" s="12" t="str">
        <f aca="false">IF(ABS(D43)&lt;=0.01,"PASS","FAIL")</f>
        <v>PASS</v>
      </c>
    </row>
    <row r="44" customFormat="false" ht="15" hidden="false" customHeight="true" outlineLevel="0" collapsed="false">
      <c r="A44" s="17" t="s">
        <v>379</v>
      </c>
      <c r="B44" s="39" t="n">
        <f aca="false">'Kings Island'!B28</f>
        <v>633.34060186459</v>
      </c>
      <c r="C44" s="39" t="n">
        <f aca="false">SUM('Kings Island'!G28:O28)</f>
        <v>633.34060186459</v>
      </c>
      <c r="D44" s="71" t="n">
        <f aca="false">C44-B44</f>
        <v>0</v>
      </c>
      <c r="E44" s="12" t="str">
        <f aca="false">IF(ABS(D44)&lt;=0.01,"PASS","FAIL")</f>
        <v>PASS</v>
      </c>
    </row>
    <row r="45" customFormat="false" ht="15" hidden="false" customHeight="true" outlineLevel="0" collapsed="false">
      <c r="A45" s="17" t="s">
        <v>380</v>
      </c>
      <c r="B45" s="39" t="n">
        <f aca="false">'Singland-Garryowen'!B28</f>
        <v>3147.3263300701</v>
      </c>
      <c r="C45" s="39" t="n">
        <f aca="false">SUM('Singland-Garryowen'!C28:F28)</f>
        <v>3147.3263300701</v>
      </c>
      <c r="D45" s="71" t="n">
        <f aca="false">C45-B45</f>
        <v>0</v>
      </c>
      <c r="E45" s="12" t="str">
        <f aca="false">IF(ABS(D45)&lt;=0.01,"PASS","FAIL")</f>
        <v>PASS</v>
      </c>
    </row>
    <row r="46" customFormat="false" ht="15" hidden="false" customHeight="true" outlineLevel="0" collapsed="false">
      <c r="A46" s="17" t="s">
        <v>381</v>
      </c>
      <c r="B46" s="39" t="n">
        <f aca="false">'Singland-Garryowen'!B28</f>
        <v>3147.3263300701</v>
      </c>
      <c r="C46" s="39" t="n">
        <f aca="false">SUM('Singland-Garryowen'!G28:O28)</f>
        <v>3147.3263300701</v>
      </c>
      <c r="D46" s="71" t="n">
        <f aca="false">C46-B46</f>
        <v>0</v>
      </c>
      <c r="E46" s="12" t="str">
        <f aca="false">IF(ABS(D46)&lt;=0.01,"PASS","FAIL")</f>
        <v>PASS</v>
      </c>
    </row>
    <row r="47" customFormat="false" ht="15" hidden="false" customHeight="true" outlineLevel="0" collapsed="false">
      <c r="A47" s="17" t="s">
        <v>382</v>
      </c>
      <c r="B47" s="39" t="n">
        <f aca="false">Southhill!B28</f>
        <v>1725.63169231812</v>
      </c>
      <c r="C47" s="39" t="n">
        <f aca="false">SUM(Southhill!C28:F28)</f>
        <v>1725.63169231812</v>
      </c>
      <c r="D47" s="71" t="n">
        <f aca="false">C47-B47</f>
        <v>0</v>
      </c>
      <c r="E47" s="12" t="str">
        <f aca="false">IF(ABS(D47)&lt;=0.01,"PASS","FAIL")</f>
        <v>PASS</v>
      </c>
    </row>
    <row r="48" customFormat="false" ht="15" hidden="false" customHeight="true" outlineLevel="0" collapsed="false">
      <c r="A48" s="17" t="s">
        <v>383</v>
      </c>
      <c r="B48" s="39" t="n">
        <f aca="false">Southhill!B28</f>
        <v>1725.63169231812</v>
      </c>
      <c r="C48" s="39" t="n">
        <f aca="false">SUM(Southhill!G28:O28)</f>
        <v>1725.63169231812</v>
      </c>
      <c r="D48" s="71" t="n">
        <f aca="false">C48-B48</f>
        <v>0</v>
      </c>
      <c r="E48" s="12" t="str">
        <f aca="false">IF(ABS(D48)&lt;=0.01,"PASS","FAIL")</f>
        <v>PASS</v>
      </c>
    </row>
    <row r="49" customFormat="false" ht="15" hidden="false" customHeight="true" outlineLevel="0" collapsed="false">
      <c r="A49" s="17" t="s">
        <v>384</v>
      </c>
      <c r="B49" s="39" t="n">
        <f aca="false">Abbeyfeale!B28</f>
        <v>539.25552756787</v>
      </c>
      <c r="C49" s="39" t="n">
        <f aca="false">SUM(Abbeyfeale!C28:F28)</f>
        <v>539.25552756787</v>
      </c>
      <c r="D49" s="71" t="n">
        <f aca="false">C49-B49</f>
        <v>0</v>
      </c>
      <c r="E49" s="12" t="str">
        <f aca="false">IF(ABS(D49)&lt;=0.01,"PASS","FAIL")</f>
        <v>PASS</v>
      </c>
    </row>
    <row r="50" customFormat="false" ht="15" hidden="false" customHeight="true" outlineLevel="0" collapsed="false">
      <c r="A50" s="17" t="s">
        <v>385</v>
      </c>
      <c r="B50" s="39" t="n">
        <f aca="false">Abbeyfeale!B28</f>
        <v>539.25552756787</v>
      </c>
      <c r="C50" s="39" t="n">
        <f aca="false">SUM(Abbeyfeale!G28:O28)</f>
        <v>539.25552756787</v>
      </c>
      <c r="D50" s="71" t="n">
        <f aca="false">C50-B50</f>
        <v>0</v>
      </c>
      <c r="E50" s="12" t="str">
        <f aca="false">IF(ABS(D50)&lt;=0.01,"PASS","FAIL")</f>
        <v>PASS</v>
      </c>
    </row>
    <row r="51" customFormat="false" ht="15" hidden="false" customHeight="true" outlineLevel="0" collapsed="false">
      <c r="A51" s="17" t="s">
        <v>386</v>
      </c>
      <c r="B51" s="39" t="n">
        <f aca="false">Caherconlish!B28</f>
        <v>319.834312902323</v>
      </c>
      <c r="C51" s="39" t="n">
        <f aca="false">SUM(Caherconlish!C28:F28)</f>
        <v>319.834312902323</v>
      </c>
      <c r="D51" s="71" t="n">
        <f aca="false">C51-B51</f>
        <v>0</v>
      </c>
      <c r="E51" s="12" t="str">
        <f aca="false">IF(ABS(D51)&lt;=0.01,"PASS","FAIL")</f>
        <v>PASS</v>
      </c>
    </row>
    <row r="52" customFormat="false" ht="15" hidden="false" customHeight="true" outlineLevel="0" collapsed="false">
      <c r="A52" s="17" t="s">
        <v>387</v>
      </c>
      <c r="B52" s="39" t="n">
        <f aca="false">Caherconlish!B28</f>
        <v>319.834312902323</v>
      </c>
      <c r="C52" s="39" t="n">
        <f aca="false">SUM(Caherconlish!G28:O28)</f>
        <v>319.834312902323</v>
      </c>
      <c r="D52" s="71" t="n">
        <f aca="false">C52-B52</f>
        <v>0</v>
      </c>
      <c r="E52" s="12" t="str">
        <f aca="false">IF(ABS(D52)&lt;=0.01,"PASS","FAIL")</f>
        <v>PASS</v>
      </c>
    </row>
    <row r="53" customFormat="false" ht="15" hidden="false" customHeight="true" outlineLevel="0" collapsed="false">
      <c r="A53" s="17" t="s">
        <v>388</v>
      </c>
      <c r="B53" s="39" t="n">
        <f aca="false">Castleconnell!B28</f>
        <v>524.379513014274</v>
      </c>
      <c r="C53" s="39" t="n">
        <f aca="false">SUM(Castleconnell!C28:F28)</f>
        <v>524.379513014274</v>
      </c>
      <c r="D53" s="71" t="n">
        <f aca="false">C53-B53</f>
        <v>0</v>
      </c>
      <c r="E53" s="12" t="str">
        <f aca="false">IF(ABS(D53)&lt;=0.01,"PASS","FAIL")</f>
        <v>PASS</v>
      </c>
    </row>
    <row r="54" customFormat="false" ht="15" hidden="false" customHeight="true" outlineLevel="0" collapsed="false">
      <c r="A54" s="17" t="s">
        <v>389</v>
      </c>
      <c r="B54" s="39" t="n">
        <f aca="false">Castleconnell!B28</f>
        <v>524.379513014274</v>
      </c>
      <c r="C54" s="39" t="n">
        <f aca="false">SUM(Castleconnell!G28:O28)</f>
        <v>524.379513014274</v>
      </c>
      <c r="D54" s="71" t="n">
        <f aca="false">C54-B54</f>
        <v>0</v>
      </c>
      <c r="E54" s="12" t="str">
        <f aca="false">IF(ABS(D54)&lt;=0.01,"PASS","FAIL")</f>
        <v>PASS</v>
      </c>
    </row>
    <row r="55" customFormat="false" ht="15" hidden="false" customHeight="true" outlineLevel="0" collapsed="false">
      <c r="A55" s="17" t="s">
        <v>390</v>
      </c>
      <c r="B55" s="39" t="n">
        <f aca="false">Kilmallock!B28</f>
        <v>414.6689056815</v>
      </c>
      <c r="C55" s="39" t="n">
        <f aca="false">SUM(Kilmallock!C28:F28)</f>
        <v>414.6689056815</v>
      </c>
      <c r="D55" s="71" t="n">
        <f aca="false">C55-B55</f>
        <v>0</v>
      </c>
      <c r="E55" s="12" t="str">
        <f aca="false">IF(ABS(D55)&lt;=0.01,"PASS","FAIL")</f>
        <v>PASS</v>
      </c>
    </row>
    <row r="56" customFormat="false" ht="15" hidden="false" customHeight="true" outlineLevel="0" collapsed="false">
      <c r="A56" s="17" t="s">
        <v>391</v>
      </c>
      <c r="B56" s="39" t="n">
        <f aca="false">Kilmallock!B28</f>
        <v>414.6689056815</v>
      </c>
      <c r="C56" s="39" t="n">
        <f aca="false">SUM(Kilmallock!G28:O28)</f>
        <v>414.6689056815</v>
      </c>
      <c r="D56" s="71" t="n">
        <f aca="false">C56-B56</f>
        <v>0</v>
      </c>
      <c r="E56" s="12" t="str">
        <f aca="false">IF(ABS(D56)&lt;=0.01,"PASS","FAIL")</f>
        <v>PASS</v>
      </c>
    </row>
    <row r="57" customFormat="false" ht="15" hidden="false" customHeight="true" outlineLevel="0" collapsed="false">
      <c r="A57" s="17" t="s">
        <v>392</v>
      </c>
      <c r="B57" s="39" t="n">
        <f aca="false">'Newcastle West'!B28</f>
        <v>1805.57626644277</v>
      </c>
      <c r="C57" s="39" t="n">
        <f aca="false">SUM('Newcastle West'!C28:F28)</f>
        <v>1805.57626644277</v>
      </c>
      <c r="D57" s="71" t="n">
        <f aca="false">C57-B57</f>
        <v>0</v>
      </c>
      <c r="E57" s="12" t="str">
        <f aca="false">IF(ABS(D57)&lt;=0.01,"PASS","FAIL")</f>
        <v>PASS</v>
      </c>
    </row>
    <row r="58" customFormat="false" ht="15" hidden="false" customHeight="true" outlineLevel="0" collapsed="false">
      <c r="A58" s="17" t="s">
        <v>393</v>
      </c>
      <c r="B58" s="39" t="n">
        <f aca="false">'Newcastle West'!B28</f>
        <v>1805.57626644277</v>
      </c>
      <c r="C58" s="39" t="n">
        <f aca="false">SUM('Newcastle West'!G28:O28)</f>
        <v>1805.57626644277</v>
      </c>
      <c r="D58" s="71" t="n">
        <f aca="false">C58-B58</f>
        <v>0</v>
      </c>
      <c r="E58" s="12" t="str">
        <f aca="false">IF(ABS(D58)&lt;=0.01,"PASS","FAIL")</f>
        <v>PASS</v>
      </c>
    </row>
    <row r="59" customFormat="false" ht="15" hidden="false" customHeight="true" outlineLevel="0" collapsed="false">
      <c r="A59" s="17" t="s">
        <v>394</v>
      </c>
      <c r="B59" s="39" t="n">
        <f aca="false">Rathkeale!B28</f>
        <v>375.61936747831</v>
      </c>
      <c r="C59" s="39" t="n">
        <f aca="false">SUM(Rathkeale!C28:F28)</f>
        <v>375.61936747831</v>
      </c>
      <c r="D59" s="71" t="n">
        <f aca="false">C59-B59</f>
        <v>0</v>
      </c>
      <c r="E59" s="12" t="str">
        <f aca="false">IF(ABS(D59)&lt;=0.01,"PASS","FAIL")</f>
        <v>PASS</v>
      </c>
    </row>
    <row r="60" customFormat="false" ht="15" hidden="false" customHeight="true" outlineLevel="0" collapsed="false">
      <c r="A60" s="17" t="s">
        <v>395</v>
      </c>
      <c r="B60" s="39" t="n">
        <f aca="false">Rathkeale!B28</f>
        <v>375.61936747831</v>
      </c>
      <c r="C60" s="39" t="n">
        <f aca="false">SUM(Rathkeale!G28:O28)</f>
        <v>375.61936747831</v>
      </c>
      <c r="D60" s="71" t="n">
        <f aca="false">C60-B60</f>
        <v>0</v>
      </c>
      <c r="E60" s="12" t="str">
        <f aca="false">IF(ABS(D60)&lt;=0.01,"PASS","FAIL")</f>
        <v>PASS</v>
      </c>
    </row>
    <row r="61" customFormat="false" ht="15" hidden="false" customHeight="true" outlineLevel="0" collapsed="false">
      <c r="A61" s="17" t="s">
        <v>396</v>
      </c>
      <c r="B61" s="39" t="n">
        <f aca="false">Adare!B28</f>
        <v>371.90036383991</v>
      </c>
      <c r="C61" s="39" t="n">
        <f aca="false">SUM(Adare!C28:F28)</f>
        <v>371.90036383991</v>
      </c>
      <c r="D61" s="71" t="n">
        <f aca="false">C61-B61</f>
        <v>0</v>
      </c>
      <c r="E61" s="12" t="str">
        <f aca="false">IF(ABS(D61)&lt;=0.01,"PASS","FAIL")</f>
        <v>PASS</v>
      </c>
    </row>
    <row r="62" customFormat="false" ht="15" hidden="false" customHeight="true" outlineLevel="0" collapsed="false">
      <c r="A62" s="17" t="s">
        <v>397</v>
      </c>
      <c r="B62" s="39" t="n">
        <f aca="false">Adare!B28</f>
        <v>371.90036383991</v>
      </c>
      <c r="C62" s="39" t="n">
        <f aca="false">SUM(Adare!G28:O28)</f>
        <v>371.90036383991</v>
      </c>
      <c r="D62" s="71" t="n">
        <f aca="false">C62-B62</f>
        <v>0</v>
      </c>
      <c r="E62" s="12" t="str">
        <f aca="false">IF(ABS(D62)&lt;=0.01,"PASS","FAIL")</f>
        <v>PASS</v>
      </c>
    </row>
    <row r="63" customFormat="false" ht="15" hidden="false" customHeight="true" outlineLevel="0" collapsed="false">
      <c r="A63" s="17" t="s">
        <v>398</v>
      </c>
      <c r="B63" s="39" t="n">
        <f aca="false">Askeaton!B28</f>
        <v>303.098796529527</v>
      </c>
      <c r="C63" s="39" t="n">
        <f aca="false">SUM(Askeaton!C28:F28)</f>
        <v>303.098796529527</v>
      </c>
      <c r="D63" s="71" t="n">
        <f aca="false">C63-B63</f>
        <v>0</v>
      </c>
      <c r="E63" s="12" t="str">
        <f aca="false">IF(ABS(D63)&lt;=0.01,"PASS","FAIL")</f>
        <v>PASS</v>
      </c>
    </row>
    <row r="64" customFormat="false" ht="15" hidden="false" customHeight="true" outlineLevel="0" collapsed="false">
      <c r="A64" s="17" t="s">
        <v>399</v>
      </c>
      <c r="B64" s="39" t="n">
        <f aca="false">Askeaton!B28</f>
        <v>303.098796529527</v>
      </c>
      <c r="C64" s="39" t="n">
        <f aca="false">SUM(Askeaton!G28:O28)</f>
        <v>303.098796529527</v>
      </c>
      <c r="D64" s="71" t="n">
        <f aca="false">C64-B64</f>
        <v>0</v>
      </c>
      <c r="E64" s="12" t="str">
        <f aca="false">IF(ABS(D64)&lt;=0.01,"PASS","FAIL")</f>
        <v>PASS</v>
      </c>
    </row>
    <row r="65" customFormat="false" ht="15" hidden="false" customHeight="true" outlineLevel="0" collapsed="false">
      <c r="A65" s="17" t="s">
        <v>400</v>
      </c>
      <c r="B65" s="39" t="n">
        <f aca="false">Bruff!B28</f>
        <v>211.983207388749</v>
      </c>
      <c r="C65" s="39" t="n">
        <f aca="false">SUM(Bruff!C28:F28)</f>
        <v>211.983207388749</v>
      </c>
      <c r="D65" s="71" t="n">
        <f aca="false">C65-B65</f>
        <v>0</v>
      </c>
      <c r="E65" s="12" t="str">
        <f aca="false">IF(ABS(D65)&lt;=0.01,"PASS","FAIL")</f>
        <v>PASS</v>
      </c>
    </row>
    <row r="66" customFormat="false" ht="15" hidden="false" customHeight="true" outlineLevel="0" collapsed="false">
      <c r="A66" s="17" t="s">
        <v>401</v>
      </c>
      <c r="B66" s="39" t="n">
        <f aca="false">Bruff!B28</f>
        <v>211.983207388749</v>
      </c>
      <c r="C66" s="39" t="n">
        <f aca="false">SUM(Bruff!G28:O28)</f>
        <v>211.983207388749</v>
      </c>
      <c r="D66" s="71" t="n">
        <f aca="false">C66-B66</f>
        <v>0</v>
      </c>
      <c r="E66" s="12" t="str">
        <f aca="false">IF(ABS(D66)&lt;=0.01,"PASS","FAIL")</f>
        <v>PASS</v>
      </c>
    </row>
    <row r="67" customFormat="false" ht="15" hidden="false" customHeight="true" outlineLevel="0" collapsed="false">
      <c r="A67" s="17" t="s">
        <v>402</v>
      </c>
      <c r="B67" s="39" t="n">
        <f aca="false">Cappamore!B28</f>
        <v>165.49566190876</v>
      </c>
      <c r="C67" s="39" t="n">
        <f aca="false">SUM(Cappamore!C28:F28)</f>
        <v>165.49566190876</v>
      </c>
      <c r="D67" s="71" t="n">
        <f aca="false">C67-B67</f>
        <v>0</v>
      </c>
      <c r="E67" s="12" t="str">
        <f aca="false">IF(ABS(D67)&lt;=0.01,"PASS","FAIL")</f>
        <v>PASS</v>
      </c>
    </row>
    <row r="68" customFormat="false" ht="15" hidden="false" customHeight="true" outlineLevel="0" collapsed="false">
      <c r="A68" s="17" t="s">
        <v>403</v>
      </c>
      <c r="B68" s="39" t="n">
        <f aca="false">Cappamore!B28</f>
        <v>165.49566190876</v>
      </c>
      <c r="C68" s="39" t="n">
        <f aca="false">SUM(Cappamore!G28:O28)</f>
        <v>165.49566190876</v>
      </c>
      <c r="D68" s="71" t="n">
        <f aca="false">C68-B68</f>
        <v>0</v>
      </c>
      <c r="E68" s="12" t="str">
        <f aca="false">IF(ABS(D68)&lt;=0.01,"PASS","FAIL")</f>
        <v>PASS</v>
      </c>
    </row>
    <row r="69" customFormat="false" ht="15" hidden="false" customHeight="true" outlineLevel="0" collapsed="false">
      <c r="A69" s="17" t="s">
        <v>404</v>
      </c>
      <c r="B69" s="39" t="n">
        <f aca="false">Croom!B28</f>
        <v>265.908760145536</v>
      </c>
      <c r="C69" s="39" t="n">
        <f aca="false">SUM(Croom!C28:F28)</f>
        <v>265.908760145536</v>
      </c>
      <c r="D69" s="71" t="n">
        <f aca="false">C69-B69</f>
        <v>0</v>
      </c>
      <c r="E69" s="12" t="str">
        <f aca="false">IF(ABS(D69)&lt;=0.01,"PASS","FAIL")</f>
        <v>PASS</v>
      </c>
    </row>
    <row r="70" customFormat="false" ht="15" hidden="false" customHeight="true" outlineLevel="0" collapsed="false">
      <c r="A70" s="17" t="s">
        <v>405</v>
      </c>
      <c r="B70" s="39" t="n">
        <f aca="false">Croom!B28</f>
        <v>265.908760145536</v>
      </c>
      <c r="C70" s="39" t="n">
        <f aca="false">SUM(Croom!G28:O28)</f>
        <v>265.908760145536</v>
      </c>
      <c r="D70" s="71" t="n">
        <f aca="false">C70-B70</f>
        <v>0</v>
      </c>
      <c r="E70" s="12" t="str">
        <f aca="false">IF(ABS(D70)&lt;=0.01,"PASS","FAIL")</f>
        <v>PASS</v>
      </c>
    </row>
    <row r="71" customFormat="false" ht="15" hidden="false" customHeight="true" outlineLevel="0" collapsed="false">
      <c r="A71" s="17" t="s">
        <v>406</v>
      </c>
      <c r="B71" s="39" t="n">
        <f aca="false">Hospital!B28</f>
        <v>163.636160089561</v>
      </c>
      <c r="C71" s="39" t="n">
        <f aca="false">SUM(Hospital!C28:F28)</f>
        <v>163.636160089561</v>
      </c>
      <c r="D71" s="71" t="n">
        <f aca="false">C71-B71</f>
        <v>0</v>
      </c>
      <c r="E71" s="12" t="str">
        <f aca="false">IF(ABS(D71)&lt;=0.01,"PASS","FAIL")</f>
        <v>PASS</v>
      </c>
    </row>
    <row r="72" customFormat="false" ht="15" hidden="false" customHeight="true" outlineLevel="0" collapsed="false">
      <c r="A72" s="17" t="s">
        <v>407</v>
      </c>
      <c r="B72" s="39" t="n">
        <f aca="false">Hospital!B28</f>
        <v>163.636160089561</v>
      </c>
      <c r="C72" s="39" t="n">
        <f aca="false">SUM(Hospital!G28:O28)</f>
        <v>163.636160089561</v>
      </c>
      <c r="D72" s="71" t="n">
        <f aca="false">C72-B72</f>
        <v>0</v>
      </c>
      <c r="E72" s="12" t="str">
        <f aca="false">IF(ABS(D72)&lt;=0.01,"PASS","FAIL")</f>
        <v>PASS</v>
      </c>
    </row>
    <row r="73" customFormat="false" ht="15" hidden="false" customHeight="true" outlineLevel="0" collapsed="false">
      <c r="A73" s="17" t="s">
        <v>408</v>
      </c>
      <c r="B73" s="39" t="n">
        <f aca="false">Kilfinnane!B28</f>
        <v>208.26420375035</v>
      </c>
      <c r="C73" s="39" t="n">
        <f aca="false">SUM(Kilfinnane!C28:F28)</f>
        <v>208.26420375035</v>
      </c>
      <c r="D73" s="71" t="n">
        <f aca="false">C73-B73</f>
        <v>0</v>
      </c>
      <c r="E73" s="12" t="str">
        <f aca="false">IF(ABS(D73)&lt;=0.01,"PASS","FAIL")</f>
        <v>PASS</v>
      </c>
    </row>
    <row r="74" customFormat="false" ht="15" hidden="false" customHeight="true" outlineLevel="0" collapsed="false">
      <c r="A74" s="17" t="s">
        <v>409</v>
      </c>
      <c r="B74" s="39" t="n">
        <f aca="false">Kilfinnane!B28</f>
        <v>208.26420375035</v>
      </c>
      <c r="C74" s="39" t="n">
        <f aca="false">SUM(Kilfinnane!G28:O28)</f>
        <v>208.26420375035</v>
      </c>
      <c r="D74" s="71" t="n">
        <f aca="false">C74-B74</f>
        <v>0</v>
      </c>
      <c r="E74" s="12" t="str">
        <f aca="false">IF(ABS(D74)&lt;=0.01,"PASS","FAIL")</f>
        <v>PASS</v>
      </c>
    </row>
    <row r="75" customFormat="false" ht="15" hidden="false" customHeight="true" outlineLevel="0" collapsed="false">
      <c r="A75" s="17" t="s">
        <v>410</v>
      </c>
      <c r="B75" s="39" t="n">
        <f aca="false">Moroe!B28</f>
        <v>299.379792891128</v>
      </c>
      <c r="C75" s="39" t="n">
        <f aca="false">SUM(Moroe!C28:F28)</f>
        <v>299.379792891128</v>
      </c>
      <c r="D75" s="71" t="n">
        <f aca="false">C75-B75</f>
        <v>0</v>
      </c>
      <c r="E75" s="12" t="str">
        <f aca="false">IF(ABS(D75)&lt;=0.01,"PASS","FAIL")</f>
        <v>PASS</v>
      </c>
    </row>
    <row r="76" customFormat="false" ht="15" hidden="false" customHeight="true" outlineLevel="0" collapsed="false">
      <c r="A76" s="17" t="s">
        <v>411</v>
      </c>
      <c r="B76" s="39" t="n">
        <f aca="false">Moroe!B28</f>
        <v>299.379792891128</v>
      </c>
      <c r="C76" s="39" t="n">
        <f aca="false">SUM(Moroe!G28:O28)</f>
        <v>299.379792891128</v>
      </c>
      <c r="D76" s="71" t="n">
        <f aca="false">C76-B76</f>
        <v>0</v>
      </c>
      <c r="E76" s="12" t="str">
        <f aca="false">IF(ABS(D76)&lt;=0.01,"PASS","FAIL")</f>
        <v>PASS</v>
      </c>
    </row>
    <row r="77" customFormat="false" ht="15" hidden="false" customHeight="true" outlineLevel="0" collapsed="false">
      <c r="A77" s="17" t="s">
        <v>412</v>
      </c>
      <c r="B77" s="39" t="n">
        <f aca="false">Patrickswell!B28</f>
        <v>743.800727679821</v>
      </c>
      <c r="C77" s="39" t="n">
        <f aca="false">SUM(Patrickswell!C28:F28)</f>
        <v>743.800727679821</v>
      </c>
      <c r="D77" s="71" t="n">
        <f aca="false">C77-B77</f>
        <v>0</v>
      </c>
      <c r="E77" s="12" t="str">
        <f aca="false">IF(ABS(D77)&lt;=0.01,"PASS","FAIL")</f>
        <v>PASS</v>
      </c>
    </row>
    <row r="78" customFormat="false" ht="15" hidden="false" customHeight="true" outlineLevel="0" collapsed="false">
      <c r="A78" s="17" t="s">
        <v>413</v>
      </c>
      <c r="B78" s="39" t="n">
        <f aca="false">Patrickswell!B28</f>
        <v>743.800727679821</v>
      </c>
      <c r="C78" s="39" t="n">
        <f aca="false">SUM(Patrickswell!G28:O28)</f>
        <v>743.800727679821</v>
      </c>
      <c r="D78" s="71" t="n">
        <f aca="false">C78-B78</f>
        <v>0</v>
      </c>
      <c r="E78" s="12" t="str">
        <f aca="false">IF(ABS(D78)&lt;=0.01,"PASS","FAIL")</f>
        <v>PASS</v>
      </c>
    </row>
    <row r="79" customFormat="false" ht="15" hidden="false" customHeight="true" outlineLevel="0" collapsed="false">
      <c r="A79" s="17" t="s">
        <v>414</v>
      </c>
      <c r="B79" s="39" t="n">
        <f aca="false">'Rest of county'!B28</f>
        <v>3893.79680940386</v>
      </c>
      <c r="C79" s="39" t="n">
        <f aca="false">SUM('Rest of county'!C28:F28)</f>
        <v>3893.79680940386</v>
      </c>
      <c r="D79" s="71" t="n">
        <f aca="false">C79-B79</f>
        <v>0</v>
      </c>
      <c r="E79" s="12" t="str">
        <f aca="false">IF(ABS(D79)&lt;=0.01,"PASS","FAIL")</f>
        <v>PASS</v>
      </c>
    </row>
    <row r="80" customFormat="false" ht="15" hidden="false" customHeight="true" outlineLevel="0" collapsed="false">
      <c r="A80" s="17" t="s">
        <v>415</v>
      </c>
      <c r="B80" s="39" t="n">
        <f aca="false">'Rest of county'!B28</f>
        <v>3893.79680940386</v>
      </c>
      <c r="C80" s="39" t="n">
        <f aca="false">SUM('Rest of county'!G28:O28)</f>
        <v>3893.79680940386</v>
      </c>
      <c r="D80" s="71" t="n">
        <f aca="false">C80-B80</f>
        <v>0</v>
      </c>
      <c r="E80" s="12" t="str">
        <f aca="false">IF(ABS(D80)&lt;=0.01,"PASS","FAIL")</f>
        <v>PASS</v>
      </c>
    </row>
    <row r="81" customFormat="false" ht="15" hidden="false" customHeight="true" outlineLevel="0" collapsed="false">
      <c r="A81" s="68" t="s">
        <v>416</v>
      </c>
      <c r="B81" s="69"/>
      <c r="C81" s="69"/>
      <c r="D81" s="69"/>
      <c r="E81" s="69"/>
    </row>
    <row r="82" customFormat="false" ht="15" hidden="false" customHeight="true" outlineLevel="0" collapsed="false">
      <c r="A82" s="17" t="s">
        <v>417</v>
      </c>
      <c r="B82" s="39" t="n">
        <f aca="false">Model!$B$28</f>
        <v>8362.37068251938</v>
      </c>
      <c r="C82" s="39" t="n">
        <f aca="false">SUM(Total!K28:O28)</f>
        <v>8362.37068251938</v>
      </c>
      <c r="D82" s="71" t="n">
        <f aca="false">C82-B82</f>
        <v>0</v>
      </c>
      <c r="E82" s="12" t="str">
        <f aca="false">IF(ABS(D82)&lt;=0.01,"PASS","FAIL")</f>
        <v>PASS</v>
      </c>
    </row>
    <row r="83" customFormat="false" ht="15" hidden="false" customHeight="true" outlineLevel="0" collapsed="false">
      <c r="A83" s="17" t="s">
        <v>418</v>
      </c>
      <c r="B83" s="39" t="n">
        <f aca="false">Model!$B$17*Model!$B$24/Model!$B$26</f>
        <v>21191.4052223644</v>
      </c>
      <c r="C83" s="39" t="n">
        <f aca="false">Total!G28</f>
        <v>21191.4052223644</v>
      </c>
      <c r="D83" s="71" t="n">
        <f aca="false">C83-B83</f>
        <v>0</v>
      </c>
      <c r="E83" s="12" t="str">
        <f aca="false">IF(ABS(D83)&lt;=0.01,"PASS","FAIL")</f>
        <v>PASS</v>
      </c>
    </row>
    <row r="84" customFormat="false" ht="15" hidden="false" customHeight="true" outlineLevel="0" collapsed="false">
      <c r="A84" s="17" t="s">
        <v>419</v>
      </c>
      <c r="B84" s="39" t="n">
        <f aca="false">Model!$B$17*Model!$B$23/Model!$B$26</f>
        <v>5291.60177590488</v>
      </c>
      <c r="C84" s="39" t="n">
        <f aca="false">Total!H28</f>
        <v>5291.60177590489</v>
      </c>
      <c r="D84" s="71" t="n">
        <f aca="false">C84-B84</f>
        <v>0</v>
      </c>
      <c r="E84" s="12" t="str">
        <f aca="false">IF(ABS(D84)&lt;=0.01,"PASS","FAIL")</f>
        <v>PASS</v>
      </c>
    </row>
    <row r="85" customFormat="false" ht="15" hidden="false" customHeight="true" outlineLevel="0" collapsed="false">
      <c r="A85" s="17" t="s">
        <v>420</v>
      </c>
      <c r="B85" s="39" t="n">
        <f aca="false">Model!$B$17*Model!$B$19*Model!$B$12/Model!$B$26</f>
        <v>2509.31115960569</v>
      </c>
      <c r="C85" s="39" t="n">
        <f aca="false">Total!I28</f>
        <v>2509.31115960569</v>
      </c>
      <c r="D85" s="71" t="n">
        <f aca="false">C85-B85</f>
        <v>0</v>
      </c>
      <c r="E85" s="12" t="str">
        <f aca="false">IF(ABS(D85)&lt;=0.01,"PASS","FAIL")</f>
        <v>PASS</v>
      </c>
    </row>
    <row r="86" customFormat="false" ht="15" hidden="false" customHeight="true" outlineLevel="0" collapsed="false">
      <c r="A86" s="17" t="s">
        <v>421</v>
      </c>
      <c r="B86" s="39" t="n">
        <f aca="false">Model!$B$17*Model!$B$19*(1-Model!$B$12)/Model!$B$26</f>
        <v>2509.31115960569</v>
      </c>
      <c r="C86" s="39" t="n">
        <f aca="false">Total!J28</f>
        <v>2509.31115960569</v>
      </c>
      <c r="D86" s="71" t="n">
        <f aca="false">C86-B86</f>
        <v>0</v>
      </c>
      <c r="E86" s="12" t="str">
        <f aca="false">IF(ABS(D86)&lt;=0.01,"PASS","FAIL")</f>
        <v>PASS</v>
      </c>
    </row>
    <row r="87" customFormat="false" ht="15" hidden="false" customHeight="true" outlineLevel="0" collapsed="false">
      <c r="A87" s="17" t="s">
        <v>422</v>
      </c>
      <c r="B87" s="39" t="n">
        <f aca="false">Model!$B$28*(1-Model!$B$38)</f>
        <v>2692.32184659043</v>
      </c>
      <c r="C87" s="39" t="n">
        <f aca="false">SUM(Total!L28:O28)</f>
        <v>2692.32184659043</v>
      </c>
      <c r="D87" s="71" t="n">
        <f aca="false">C87-B87</f>
        <v>0</v>
      </c>
      <c r="E87" s="12" t="str">
        <f aca="false">IF(ABS(D87)&lt;=0.01,"PASS","FAIL")</f>
        <v>PASS</v>
      </c>
    </row>
    <row r="88" customFormat="false" ht="15" hidden="false" customHeight="true" outlineLevel="0" collapsed="false">
      <c r="A88" s="17" t="s">
        <v>423</v>
      </c>
      <c r="B88" s="39" t="n">
        <f aca="false">Model!$B$28</f>
        <v>8362.37068251938</v>
      </c>
      <c r="C88" s="39" t="n">
        <f aca="false">SUM(Model!$P$46:$P$70)</f>
        <v>8362.37068251938</v>
      </c>
      <c r="D88" s="71" t="n">
        <f aca="false">C88-B88</f>
        <v>0</v>
      </c>
      <c r="E88" s="12" t="str">
        <f aca="false">IF(ABS(D88)&lt;=0.01,"PASS","FAIL")</f>
        <v>PASS</v>
      </c>
    </row>
    <row r="89" customFormat="false" ht="15" hidden="false" customHeight="true" outlineLevel="0" collapsed="false">
      <c r="A89" s="68" t="s">
        <v>424</v>
      </c>
      <c r="B89" s="69"/>
      <c r="C89" s="69"/>
      <c r="D89" s="69"/>
      <c r="E89" s="69"/>
    </row>
    <row r="90" customFormat="false" ht="15" hidden="false" customHeight="true" outlineLevel="0" collapsed="false">
      <c r="A90" s="17" t="s">
        <v>425</v>
      </c>
      <c r="B90" s="20" t="n">
        <v>0</v>
      </c>
      <c r="C90" s="20" t="n">
        <f aca="false">IF(AND(Model!$B$13=1,Model!$B$30&lt;=Model!$B$28),SUMPRODUCT((Model!$Q$46:$Q$70&lt;Model!$B$15-0.0001)*(Model!$E$46:$E$70&gt;0)),0)</f>
        <v>0</v>
      </c>
      <c r="D90" s="71" t="n">
        <f aca="false">C90-B90</f>
        <v>0</v>
      </c>
      <c r="E90" s="12" t="str">
        <f aca="false">IF(ABS(D90)&lt;=0,"PASS","FAIL")</f>
        <v>PASS</v>
      </c>
    </row>
    <row r="91" customFormat="false" ht="15" hidden="false" customHeight="true" outlineLevel="0" collapsed="false">
      <c r="A91" s="17" t="s">
        <v>426</v>
      </c>
      <c r="B91" s="20" t="n">
        <v>0</v>
      </c>
      <c r="C91" s="20" t="n">
        <f aca="false">IF(AND(Model!$B$13=1,Model!$B$36&lt;0.01),SUMPRODUCT((Model!$C$46:$C$70=1)*(Model!$R$46:$R$70&gt;Model!$B$14+0.0001)*(Model!$P$46:$P$70-Model!$I$46:$I$70&gt;0.01)),0)</f>
        <v>0</v>
      </c>
      <c r="D91" s="71" t="n">
        <f aca="false">C91-B91</f>
        <v>0</v>
      </c>
      <c r="E91" s="12" t="str">
        <f aca="false">IF(ABS(D91)&lt;=0,"PASS","FAIL")</f>
        <v>PASS</v>
      </c>
    </row>
    <row r="92" customFormat="false" ht="15" hidden="false" customHeight="true" outlineLevel="0" collapsed="false">
      <c r="A92" s="17" t="s">
        <v>427</v>
      </c>
      <c r="B92" s="39" t="n">
        <f aca="false">Model!$B$36</f>
        <v>0</v>
      </c>
      <c r="C92" s="39" t="n">
        <f aca="false">Model!$B$36</f>
        <v>0</v>
      </c>
      <c r="D92" s="71" t="n">
        <f aca="false">C92-B92</f>
        <v>0</v>
      </c>
      <c r="E92" s="12" t="str">
        <f aca="false">IF(ABS(D92)&lt;=0.01,"PASS","FAIL")</f>
        <v>PASS</v>
      </c>
    </row>
    <row r="93" customFormat="false" ht="15" hidden="false" customHeight="true" outlineLevel="0" collapsed="false">
      <c r="A93" s="68" t="s">
        <v>428</v>
      </c>
      <c r="B93" s="69"/>
      <c r="C93" s="69"/>
      <c r="D93" s="69"/>
      <c r="E93" s="69"/>
    </row>
    <row r="94" customFormat="false" ht="15" hidden="false" customHeight="true" outlineLevel="0" collapsed="false">
      <c r="A94" s="17" t="s">
        <v>429</v>
      </c>
      <c r="B94" s="39" t="n">
        <f aca="false">IF(Model!$B$5=1,SUMPRODUCT((Data!$A$4:$A$18&lt;=Model!$B$3)*Data!$B$4:$B$18*Data!$D$4:$D$18),SUMPRODUCT(Model!$E$46:$E$70,Model!$AC$46:$AC$70))</f>
        <v>9616.484827069</v>
      </c>
      <c r="C94" s="39" t="n">
        <f aca="false">Total!C28</f>
        <v>9616.484827069</v>
      </c>
      <c r="D94" s="71" t="n">
        <f aca="false">C94-B94</f>
        <v>0</v>
      </c>
      <c r="E94" s="12" t="str">
        <f aca="false">IF(ABS(D94)&lt;=0.01,"PASS","FAIL")</f>
        <v>PASS</v>
      </c>
    </row>
    <row r="95" customFormat="false" ht="15" hidden="false" customHeight="true" outlineLevel="0" collapsed="false">
      <c r="A95" s="17" t="s">
        <v>430</v>
      </c>
      <c r="B95" s="39" t="n">
        <f aca="false">IF(Model!$B$5=1,SUMPRODUCT((Data!$A$4:$A$18&lt;=Model!$B$3)*Data!$B$4:$B$18*Data!$G$4:$G$18),SUMPRODUCT(Model!$E$46:$E$70,Model!$AF$46:$AF$70))</f>
        <v>10424.2543004504</v>
      </c>
      <c r="C95" s="39" t="n">
        <f aca="false">Total!F28</f>
        <v>10424.2543004504</v>
      </c>
      <c r="D95" s="71" t="n">
        <f aca="false">C95-B95</f>
        <v>0</v>
      </c>
      <c r="E95" s="12" t="str">
        <f aca="false">IF(ABS(D95)&lt;=0.01,"PASS","FAIL")</f>
        <v>PASS</v>
      </c>
    </row>
    <row r="96" customFormat="false" ht="15" hidden="false" customHeight="true" outlineLevel="0" collapsed="false">
      <c r="A96" s="17" t="s">
        <v>431</v>
      </c>
      <c r="B96" s="39" t="n">
        <v>15</v>
      </c>
      <c r="C96" s="39" t="n">
        <f aca="false">SUM(Data!$D$4:$G$18)</f>
        <v>15</v>
      </c>
      <c r="D96" s="71" t="n">
        <f aca="false">C96-B96</f>
        <v>0</v>
      </c>
      <c r="E96" s="12" t="str">
        <f aca="false">IF(ABS(D96)&lt;=0.0001,"PASS","FAIL")</f>
        <v>PASS</v>
      </c>
    </row>
    <row r="97" customFormat="false" ht="15" hidden="false" customHeight="true" outlineLevel="0" collapsed="false">
      <c r="A97" s="17" t="s">
        <v>432</v>
      </c>
      <c r="B97" s="39" t="n">
        <v>25</v>
      </c>
      <c r="C97" s="39" t="n">
        <f aca="false">SUM(Model!$AC$46:$AF$70)</f>
        <v>25</v>
      </c>
      <c r="D97" s="71" t="n">
        <f aca="false">C97-B97</f>
        <v>0</v>
      </c>
      <c r="E97" s="12" t="str">
        <f aca="false">IF(ABS(D97)&lt;=0.0001,"PASS","FAIL")</f>
        <v>PASS</v>
      </c>
    </row>
    <row r="98" customFormat="false" ht="15" hidden="false" customHeight="true" outlineLevel="0" collapsed="false">
      <c r="A98" s="17" t="s">
        <v>433</v>
      </c>
      <c r="B98" s="39" t="n">
        <v>76295</v>
      </c>
      <c r="C98" s="39" t="n">
        <f aca="false">Total!B38</f>
        <v>76295</v>
      </c>
      <c r="D98" s="71" t="n">
        <f aca="false">C98-B98</f>
        <v>0</v>
      </c>
      <c r="E98" s="12" t="str">
        <f aca="false">IF(ABS(D98)&lt;=0.5,"PASS","FAIL")</f>
        <v>PASS</v>
      </c>
    </row>
    <row r="99" customFormat="false" ht="15" hidden="false" customHeight="true" outlineLevel="0" collapsed="false">
      <c r="A99" s="68" t="s">
        <v>434</v>
      </c>
      <c r="B99" s="69"/>
      <c r="C99" s="69"/>
      <c r="D99" s="69"/>
      <c r="E99" s="69"/>
    </row>
    <row r="100" customFormat="false" ht="15" hidden="false" customHeight="true" outlineLevel="0" collapsed="false">
      <c r="A100" s="17" t="s">
        <v>435</v>
      </c>
      <c r="B100" s="39" t="n">
        <f aca="false">Total!B28</f>
        <v>39864</v>
      </c>
      <c r="C100" s="39" t="n">
        <f aca="false">Land!T32</f>
        <v>39864</v>
      </c>
      <c r="D100" s="71" t="n">
        <f aca="false">C100-B100</f>
        <v>0</v>
      </c>
      <c r="E100" s="12" t="str">
        <f aca="false">IF(ABS(D100)&lt;=0.01,"PASS","FAIL")</f>
        <v>PASS</v>
      </c>
    </row>
    <row r="101" customFormat="false" ht="15" hidden="false" customHeight="true" outlineLevel="0" collapsed="false">
      <c r="A101" s="17" t="s">
        <v>436</v>
      </c>
      <c r="B101" s="39" t="n">
        <f aca="false">Land!U32</f>
        <v>1824.1305106009</v>
      </c>
      <c r="C101" s="39" t="n">
        <f aca="false">Land!T69</f>
        <v>1824.1305106009</v>
      </c>
      <c r="D101" s="71" t="n">
        <f aca="false">C101-B101</f>
        <v>0</v>
      </c>
      <c r="E101" s="12" t="str">
        <f aca="false">IF(ABS(D101)&lt;=0.01,"PASS","FAIL")</f>
        <v>PASS</v>
      </c>
    </row>
    <row r="102" customFormat="false" ht="15" hidden="false" customHeight="true" outlineLevel="0" collapsed="false">
      <c r="A102" s="17" t="s">
        <v>437</v>
      </c>
      <c r="B102" s="20" t="n">
        <v>0</v>
      </c>
      <c r="C102" s="20" t="n">
        <f aca="false">COUNTIF(Land!C7:C31,"&lt;=0")+COUNTBLANK(Land!C7:C31)</f>
        <v>0</v>
      </c>
      <c r="D102" s="71" t="n">
        <f aca="false">C102-B102</f>
        <v>0</v>
      </c>
      <c r="E102" s="12" t="str">
        <f aca="false">IF(ABS(D102)&lt;=0,"PASS","FAIL")</f>
        <v>PASS</v>
      </c>
    </row>
    <row r="103" customFormat="false" ht="15" hidden="false" customHeight="true" outlineLevel="0" collapsed="false">
      <c r="A103" s="17" t="s">
        <v>438</v>
      </c>
      <c r="B103" s="39" t="n">
        <f aca="false">Total!B28</f>
        <v>39864</v>
      </c>
      <c r="C103" s="39" t="n">
        <f aca="false">'Land at Council density'!T32</f>
        <v>39864</v>
      </c>
      <c r="D103" s="71" t="n">
        <f aca="false">C103-B103</f>
        <v>0</v>
      </c>
      <c r="E103" s="12" t="str">
        <f aca="false">IF(ABS(D103)&lt;=0.01,"PASS","FAIL")</f>
        <v>PASS</v>
      </c>
    </row>
    <row r="104" customFormat="false" ht="15" hidden="false" customHeight="true" outlineLevel="0" collapsed="false">
      <c r="A104" s="17" t="s">
        <v>439</v>
      </c>
      <c r="B104" s="39" t="n">
        <f aca="false">'Land at Council density'!U32</f>
        <v>1282.49062535113</v>
      </c>
      <c r="C104" s="39" t="n">
        <f aca="false">'Land at Council density'!T69</f>
        <v>1282.49062535113</v>
      </c>
      <c r="D104" s="71" t="n">
        <f aca="false">C104-B104</f>
        <v>0</v>
      </c>
      <c r="E104" s="12" t="str">
        <f aca="false">IF(ABS(D104)&lt;=0.01,"PASS","FAIL")</f>
        <v>PASS</v>
      </c>
    </row>
    <row r="105" customFormat="false" ht="15" hidden="false" customHeight="true" outlineLevel="0" collapsed="false">
      <c r="A105" s="17" t="s">
        <v>440</v>
      </c>
      <c r="B105" s="20" t="n">
        <v>0</v>
      </c>
      <c r="C105" s="20" t="n">
        <f aca="false">SUMPRODUCT(--('Land at Council density'!C7:C31&lt;Data!$H$298:$H$322*Data!$C$298:$C$322+(1-Data!$H$298:$H$322)*Data!$F$298:$F$322-0.001))+SUMPRODUCT(--('Land at Council density'!C7:C31&gt;Data!$H$298:$H$322*Data!$D$298:$D$322+(1-Data!$H$298:$H$322)*Data!$G$298:$G$322+0.001))</f>
        <v>0</v>
      </c>
      <c r="D105" s="71" t="n">
        <f aca="false">C105-B105</f>
        <v>0</v>
      </c>
      <c r="E105" s="12" t="str">
        <f aca="false">IF(ABS(D105)&lt;=0,"PASS","FAIL")</f>
        <v>PASS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AF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6"/>
    <col collapsed="false" customWidth="true" hidden="false" outlineLevel="0" max="3" min="3" style="1" width="12"/>
    <col collapsed="false" customWidth="true" hidden="false" outlineLevel="0" max="32" min="4" style="1" width="13"/>
  </cols>
  <sheetData>
    <row r="1" customFormat="false" ht="19.5" hidden="false" customHeight="true" outlineLevel="0" collapsed="false">
      <c r="A1" s="2" t="s">
        <v>441</v>
      </c>
    </row>
    <row r="3" customFormat="false" ht="15" hidden="false" customHeight="true" outlineLevel="0" collapsed="false">
      <c r="A3" s="13" t="s">
        <v>442</v>
      </c>
      <c r="B3" s="20" t="n">
        <f aca="false">VALUE(Intro!$C$6)</f>
        <v>2040</v>
      </c>
    </row>
    <row r="4" customFormat="false" ht="15" hidden="false" customHeight="true" outlineLevel="0" collapsed="false">
      <c r="A4" s="13" t="s">
        <v>443</v>
      </c>
      <c r="B4" s="20" t="n">
        <f aca="false">MATCH(Intro!$C$7,Data!$AA$3:$AA$5,0)</f>
        <v>1</v>
      </c>
    </row>
    <row r="5" customFormat="false" ht="15" hidden="false" customHeight="true" outlineLevel="0" collapsed="false">
      <c r="A5" s="13" t="s">
        <v>444</v>
      </c>
      <c r="B5" s="20" t="n">
        <f aca="false">MATCH(Intro!$C$8,Data!$AB$3:$AB$4,0)</f>
        <v>1</v>
      </c>
    </row>
    <row r="6" customFormat="false" ht="15" hidden="false" customHeight="true" outlineLevel="0" collapsed="false">
      <c r="A6" s="13" t="s">
        <v>445</v>
      </c>
      <c r="B6" s="20" t="n">
        <f aca="false">MATCH(Intro!$C$9,Data!$AC$3:$AC$6,0)</f>
        <v>1</v>
      </c>
    </row>
    <row r="7" customFormat="false" ht="15" hidden="false" customHeight="true" outlineLevel="0" collapsed="false">
      <c r="A7" s="13" t="s">
        <v>446</v>
      </c>
      <c r="B7" s="20" t="n">
        <f aca="false">MATCH(Intro!$C$10,Data!$AD$3:$AD$4,0)</f>
        <v>1</v>
      </c>
    </row>
    <row r="8" customFormat="false" ht="15" hidden="false" customHeight="true" outlineLevel="0" collapsed="false">
      <c r="A8" s="13" t="s">
        <v>25</v>
      </c>
      <c r="B8" s="22" t="n">
        <f aca="false">Intro!$C$11</f>
        <v>0</v>
      </c>
    </row>
    <row r="9" customFormat="false" ht="15" hidden="false" customHeight="true" outlineLevel="0" collapsed="false">
      <c r="A9" s="13" t="s">
        <v>447</v>
      </c>
      <c r="B9" s="22" t="n">
        <f aca="false">Intro!$C$12</f>
        <v>0</v>
      </c>
    </row>
    <row r="10" customFormat="false" ht="15" hidden="false" customHeight="true" outlineLevel="0" collapsed="false">
      <c r="A10" s="13" t="s">
        <v>448</v>
      </c>
      <c r="B10" s="20" t="n">
        <f aca="false">MATCH(Intro!$C$13,Data!$AF$3:$AF$6,0)</f>
        <v>1</v>
      </c>
    </row>
    <row r="11" customFormat="false" ht="15" hidden="false" customHeight="true" outlineLevel="0" collapsed="false">
      <c r="A11" s="13" t="s">
        <v>449</v>
      </c>
      <c r="B11" s="20" t="n">
        <f aca="false">IF(Intro!$C$14="Yes",1,0)</f>
        <v>0</v>
      </c>
    </row>
    <row r="12" customFormat="false" ht="15" hidden="false" customHeight="true" outlineLevel="0" collapsed="false">
      <c r="A12" s="13" t="s">
        <v>37</v>
      </c>
      <c r="B12" s="22" t="n">
        <f aca="false">Intro!$C$15</f>
        <v>0.5</v>
      </c>
    </row>
    <row r="13" customFormat="false" ht="15" hidden="false" customHeight="true" outlineLevel="0" collapsed="false">
      <c r="A13" s="13" t="s">
        <v>450</v>
      </c>
      <c r="B13" s="20" t="n">
        <f aca="false">MATCH(Intro!$C$16,Data!$AH$3:$AH$4,0)</f>
        <v>1</v>
      </c>
    </row>
    <row r="14" customFormat="false" ht="15" hidden="false" customHeight="true" outlineLevel="0" collapsed="false">
      <c r="A14" s="13" t="s">
        <v>451</v>
      </c>
      <c r="B14" s="22" t="n">
        <f aca="false">Intro!$C$17</f>
        <v>0.2</v>
      </c>
    </row>
    <row r="15" customFormat="false" ht="15" hidden="false" customHeight="true" outlineLevel="0" collapsed="false">
      <c r="A15" s="13" t="s">
        <v>452</v>
      </c>
      <c r="B15" s="22" t="n">
        <f aca="false">Intro!$C$18</f>
        <v>0.1</v>
      </c>
    </row>
    <row r="16" customFormat="false" ht="15" hidden="false" customHeight="true" outlineLevel="0" collapsed="false">
      <c r="A16" s="13" t="s">
        <v>453</v>
      </c>
      <c r="B16" s="20" t="n">
        <f aca="false">MATCH(Intro!$C$19,Data!$AK$3:$AK$5,0)</f>
        <v>1</v>
      </c>
    </row>
    <row r="17" customFormat="false" ht="15" hidden="false" customHeight="true" outlineLevel="0" collapsed="false">
      <c r="A17" s="13" t="s">
        <v>454</v>
      </c>
      <c r="B17" s="39" t="n">
        <f aca="false">SUMPRODUCT((Data!$A$4:$A$18&lt;=Model!$B$3)*Data!$B$4:$B$18)</f>
        <v>39864</v>
      </c>
    </row>
    <row r="18" customFormat="false" ht="15" hidden="false" customHeight="true" outlineLevel="0" collapsed="false">
      <c r="A18" s="13" t="s">
        <v>455</v>
      </c>
      <c r="B18" s="39" t="n">
        <f aca="false">SUMPRODUCT((Data!$A$4:$A$18&lt;=Model!$B$3)*INDEX(Data!$A$4:$X$18,0,9+(Model!$B$10-1)*4+0))</f>
        <v>8363</v>
      </c>
    </row>
    <row r="19" customFormat="false" ht="15" hidden="false" customHeight="true" outlineLevel="0" collapsed="false">
      <c r="A19" s="13" t="s">
        <v>456</v>
      </c>
      <c r="B19" s="39" t="n">
        <f aca="false">SUMPRODUCT((Data!$A$4:$A$18&lt;=Model!$B$3)*INDEX(Data!$A$4:$X$18,0,9+(Model!$B$10-1)*4+1))</f>
        <v>5019</v>
      </c>
    </row>
    <row r="20" customFormat="false" ht="15" hidden="false" customHeight="true" outlineLevel="0" collapsed="false">
      <c r="A20" s="13" t="s">
        <v>457</v>
      </c>
      <c r="B20" s="39" t="n">
        <f aca="false">SUMPRODUCT((Data!$A$4:$A$18&lt;=Model!$B$3)*INDEX(Data!$A$4:$X$18,0,9+(Model!$B$10-1)*4+2))</f>
        <v>5292</v>
      </c>
    </row>
    <row r="21" customFormat="false" ht="15" hidden="false" customHeight="true" outlineLevel="0" collapsed="false">
      <c r="A21" s="13" t="s">
        <v>458</v>
      </c>
      <c r="B21" s="39" t="n">
        <f aca="false">SUMPRODUCT((Data!$A$4:$A$18&lt;=Model!$B$3)*INDEX(Data!$A$4:$X$18,0,9+(Model!$B$10-1)*4+3))</f>
        <v>21193</v>
      </c>
    </row>
    <row r="22" customFormat="false" ht="15" hidden="false" customHeight="true" outlineLevel="0" collapsed="false">
      <c r="A22" s="13" t="s">
        <v>459</v>
      </c>
      <c r="B22" s="39" t="n">
        <f aca="false">IF(Model!$B$11=1,SUMPRODUCT((Data!$A$4:$A$18&lt;=Model!$B$3)*Data!$H$4:$H$18),0)</f>
        <v>0</v>
      </c>
    </row>
    <row r="23" customFormat="false" ht="15" hidden="false" customHeight="true" outlineLevel="0" collapsed="false">
      <c r="A23" s="13" t="s">
        <v>460</v>
      </c>
      <c r="B23" s="39" t="n">
        <f aca="false">Model!$B$20-IF(Model!$B$20+Model!$B$21&gt;0,Model!$B$22*Model!$B$20/(Model!$B$20+Model!$B$21),0)</f>
        <v>5292</v>
      </c>
    </row>
    <row r="24" customFormat="false" ht="15" hidden="false" customHeight="true" outlineLevel="0" collapsed="false">
      <c r="A24" s="13" t="s">
        <v>461</v>
      </c>
      <c r="B24" s="39" t="n">
        <f aca="false">Model!$B$21-IF(Model!$B$20+Model!$B$21&gt;0,Model!$B$22*Model!$B$21/(Model!$B$20+Model!$B$21),0)</f>
        <v>21193</v>
      </c>
    </row>
    <row r="25" customFormat="false" ht="15" hidden="false" customHeight="true" outlineLevel="0" collapsed="false">
      <c r="A25" s="13" t="s">
        <v>462</v>
      </c>
      <c r="B25" s="39" t="n">
        <f aca="false">Model!$B$18+Model!$B$22</f>
        <v>8363</v>
      </c>
    </row>
    <row r="26" customFormat="false" ht="15" hidden="false" customHeight="true" outlineLevel="0" collapsed="false">
      <c r="A26" s="13" t="s">
        <v>463</v>
      </c>
      <c r="B26" s="39" t="n">
        <f aca="false">Model!$B$25+Model!$B$19+Model!$B$23+Model!$B$24</f>
        <v>39867</v>
      </c>
    </row>
    <row r="27" customFormat="false" ht="15" hidden="false" customHeight="true" outlineLevel="0" collapsed="false">
      <c r="A27" s="13" t="s">
        <v>464</v>
      </c>
      <c r="B27" s="72" t="n">
        <f aca="false">Model!$B$25/Model!$B$26</f>
        <v>0.209772493541024</v>
      </c>
    </row>
    <row r="28" customFormat="false" ht="15" hidden="false" customHeight="true" outlineLevel="0" collapsed="false">
      <c r="A28" s="13" t="s">
        <v>465</v>
      </c>
      <c r="B28" s="39" t="n">
        <f aca="false">Model!$B$27*Model!$B$17</f>
        <v>8362.37068251938</v>
      </c>
    </row>
    <row r="29" customFormat="false" ht="15" hidden="false" customHeight="true" outlineLevel="0" collapsed="false">
      <c r="A29" s="13" t="s">
        <v>466</v>
      </c>
      <c r="B29" s="39" t="n">
        <f aca="false">Model!$B$26-Model!$B$25</f>
        <v>31504</v>
      </c>
    </row>
    <row r="30" customFormat="false" ht="15" hidden="false" customHeight="true" outlineLevel="0" collapsed="false">
      <c r="A30" s="13" t="s">
        <v>467</v>
      </c>
      <c r="B30" s="39" t="n">
        <f aca="false">SUM(Model!$H$46:$H$70)</f>
        <v>3986.4</v>
      </c>
    </row>
    <row r="31" customFormat="false" ht="15" hidden="false" customHeight="true" outlineLevel="0" collapsed="false">
      <c r="A31" s="13" t="s">
        <v>468</v>
      </c>
      <c r="B31" s="39" t="n">
        <f aca="false">MAX(0,Model!$B$28-SUM(Model!$I$46:$I$70))</f>
        <v>4375.97068251938</v>
      </c>
      <c r="C31" s="3" t="s">
        <v>469</v>
      </c>
    </row>
    <row r="32" customFormat="false" ht="15" hidden="false" customHeight="true" outlineLevel="0" collapsed="false">
      <c r="A32" s="13" t="s">
        <v>470</v>
      </c>
      <c r="B32" s="39" t="n">
        <f aca="false">SUM(Model!$J$46:$J$70)</f>
        <v>6021.88184291031</v>
      </c>
    </row>
    <row r="33" customFormat="false" ht="15" hidden="false" customHeight="true" outlineLevel="0" collapsed="false">
      <c r="A33" s="13" t="s">
        <v>471</v>
      </c>
      <c r="B33" s="39" t="n">
        <f aca="false">SUM(Model!$K$46:$K$70)</f>
        <v>29257.4016232858</v>
      </c>
    </row>
    <row r="34" customFormat="false" ht="15" hidden="false" customHeight="true" outlineLevel="0" collapsed="false">
      <c r="A34" s="13" t="s">
        <v>472</v>
      </c>
      <c r="B34" s="73" t="n">
        <f aca="false">MAX(Model!$N$46:$N$70)</f>
        <v>0.143565110794386</v>
      </c>
    </row>
    <row r="35" customFormat="false" ht="15" hidden="false" customHeight="true" outlineLevel="0" collapsed="false">
      <c r="A35" s="13" t="s">
        <v>473</v>
      </c>
      <c r="B35" s="73" t="n">
        <f aca="false">IF(SUMPRODUCT((Model!$L$46:$L$70&gt;Model!$B$34)*Model!$K$46:$K$70)&gt;0,(Model!$B$31-SUMPRODUCT((Model!$L$46:$L$70&lt;=Model!$B$34)*Model!$J$46:$J$70))/SUMPRODUCT((Model!$L$46:$L$70&gt;Model!$B$34)*Model!$K$46:$K$70),0)</f>
        <v>0.176027861874792</v>
      </c>
      <c r="C35" s="3" t="s">
        <v>474</v>
      </c>
    </row>
    <row r="36" customFormat="false" ht="15" hidden="false" customHeight="true" outlineLevel="0" collapsed="false">
      <c r="A36" s="13" t="s">
        <v>475</v>
      </c>
      <c r="B36" s="39" t="n">
        <f aca="false">IF(Model!$B$13=1,MAX(0,Model!$B$31-Model!$B$32),0)</f>
        <v>0</v>
      </c>
      <c r="C36" s="3" t="s">
        <v>476</v>
      </c>
    </row>
    <row r="38" customFormat="false" ht="15" hidden="false" customHeight="true" outlineLevel="0" collapsed="false">
      <c r="A38" s="13" t="s">
        <v>477</v>
      </c>
      <c r="B38" s="72" t="n">
        <f aca="false">1-SUM(B39:B42)</f>
        <v>0.678043230944255</v>
      </c>
      <c r="C38" s="3" t="s">
        <v>478</v>
      </c>
    </row>
    <row r="39" customFormat="false" ht="15" hidden="false" customHeight="true" outlineLevel="0" collapsed="false">
      <c r="A39" s="13" t="s">
        <v>479</v>
      </c>
      <c r="B39" s="72" t="n">
        <f aca="false">Data!$B$53/Data!$B$57</f>
        <v>0.18581721653394</v>
      </c>
    </row>
    <row r="40" customFormat="false" ht="15" hidden="false" customHeight="true" outlineLevel="0" collapsed="false">
      <c r="A40" s="13" t="s">
        <v>480</v>
      </c>
      <c r="B40" s="72" t="n">
        <f aca="false">Data!$B$54/Data!$B$57</f>
        <v>0.106560485400076</v>
      </c>
    </row>
    <row r="41" customFormat="false" ht="15" hidden="false" customHeight="true" outlineLevel="0" collapsed="false">
      <c r="A41" s="13" t="s">
        <v>481</v>
      </c>
      <c r="B41" s="72" t="n">
        <f aca="false">Data!$B$55/Data!$B$57</f>
        <v>0.0109973454683352</v>
      </c>
    </row>
    <row r="42" customFormat="false" ht="15" hidden="false" customHeight="true" outlineLevel="0" collapsed="false">
      <c r="A42" s="13" t="s">
        <v>482</v>
      </c>
      <c r="B42" s="72" t="n">
        <f aca="false">Data!$B$56/Data!$B$57</f>
        <v>0.018581721653394</v>
      </c>
    </row>
    <row r="45" customFormat="false" ht="54" hidden="false" customHeight="true" outlineLevel="0" collapsed="false">
      <c r="A45" s="4" t="s">
        <v>132</v>
      </c>
      <c r="B45" s="5" t="s">
        <v>133</v>
      </c>
      <c r="C45" s="5" t="s">
        <v>483</v>
      </c>
      <c r="D45" s="5" t="s">
        <v>484</v>
      </c>
      <c r="E45" s="5" t="s">
        <v>485</v>
      </c>
      <c r="F45" s="5" t="s">
        <v>486</v>
      </c>
      <c r="G45" s="5" t="s">
        <v>487</v>
      </c>
      <c r="H45" s="5" t="s">
        <v>488</v>
      </c>
      <c r="I45" s="5" t="s">
        <v>489</v>
      </c>
      <c r="J45" s="5" t="s">
        <v>490</v>
      </c>
      <c r="K45" s="5" t="s">
        <v>491</v>
      </c>
      <c r="L45" s="5" t="s">
        <v>492</v>
      </c>
      <c r="M45" s="5" t="s">
        <v>493</v>
      </c>
      <c r="N45" s="5" t="s">
        <v>494</v>
      </c>
      <c r="O45" s="5" t="s">
        <v>495</v>
      </c>
      <c r="P45" s="5" t="s">
        <v>54</v>
      </c>
      <c r="Q45" s="5" t="s">
        <v>99</v>
      </c>
      <c r="R45" s="5" t="s">
        <v>496</v>
      </c>
      <c r="S45" s="5" t="s">
        <v>497</v>
      </c>
      <c r="T45" s="5" t="s">
        <v>498</v>
      </c>
      <c r="U45" s="5" t="s">
        <v>499</v>
      </c>
      <c r="V45" s="5" t="s">
        <v>500</v>
      </c>
      <c r="W45" s="5" t="s">
        <v>501</v>
      </c>
      <c r="X45" s="5" t="s">
        <v>502</v>
      </c>
      <c r="Y45" s="5" t="s">
        <v>503</v>
      </c>
      <c r="Z45" s="5" t="s">
        <v>504</v>
      </c>
      <c r="AA45" s="5" t="s">
        <v>505</v>
      </c>
      <c r="AB45" s="5" t="s">
        <v>506</v>
      </c>
      <c r="AC45" s="5" t="s">
        <v>507</v>
      </c>
      <c r="AD45" s="5" t="s">
        <v>508</v>
      </c>
      <c r="AE45" s="5" t="s">
        <v>509</v>
      </c>
      <c r="AF45" s="5" t="s">
        <v>510</v>
      </c>
    </row>
    <row r="46" customFormat="false" ht="15" hidden="false" customHeight="true" outlineLevel="0" collapsed="false">
      <c r="A46" s="39" t="str">
        <f aca="false">Data!$A$23</f>
        <v>Ballinacurra</v>
      </c>
      <c r="B46" s="39" t="str">
        <f aca="false">Data!$B$23</f>
        <v>City neighbourhood</v>
      </c>
      <c r="C46" s="20" t="n">
        <f aca="false">IF(B46="City neighbourhood",1,0)</f>
        <v>1</v>
      </c>
      <c r="D46" s="72" t="n">
        <f aca="false">CHOOSE(Model!$B$4,Data!$G$23/Data!$B$52,Data!$C$23/SUM(Data!$C$23:$C$47),Data!$D$23/SUM(Data!$D$23:$D$47))</f>
        <v>0.0303168564612339</v>
      </c>
      <c r="E46" s="39" t="n">
        <f aca="false">Model!$B$17*D46</f>
        <v>1208.55116597063</v>
      </c>
      <c r="F46" s="39" t="n">
        <f aca="false">Data!$E$23</f>
        <v>1760</v>
      </c>
      <c r="G46" s="72" t="n">
        <f aca="false">Data!$F$23</f>
        <v>0.0841</v>
      </c>
      <c r="H46" s="39" t="n">
        <f aca="false">E46*Model!$B$15</f>
        <v>120.855116597063</v>
      </c>
      <c r="I46" s="39" t="n">
        <f aca="false">IF(Model!$B$30&gt;Model!$B$28,H46*Model!$B$28/Model!$B$30,H46)</f>
        <v>120.855116597063</v>
      </c>
      <c r="J46" s="39" t="n">
        <f aca="false">IF(C46=1,MAX(0,MIN(E46,Model!$B$14*(F46+E46)-G46*F46)-I46),0)</f>
        <v>324.839116597063</v>
      </c>
      <c r="K46" s="39" t="n">
        <f aca="false">IF(C46=1,E46,0)</f>
        <v>1208.55116597063</v>
      </c>
      <c r="L46" s="73" t="n">
        <f aca="false">IF(AND(C46=1,E46&gt;0),J46/E46,1000000000)</f>
        <v>0.268783917258624</v>
      </c>
      <c r="M46" s="39" t="n">
        <f aca="false">IF(C46=1,SUMPRODUCT((Model!$L$46:$L$70&lt;=L46)*Model!$J$46:$J$70)+L46*SUMPRODUCT((Model!$L$46:$L$70&gt;L46)*Model!$K$46:$K$70),1000000000000)</f>
        <v>5679.94527244764</v>
      </c>
      <c r="N46" s="73" t="n">
        <f aca="false">IF(M46&lt;=Model!$B$31,IF(L46&lt;1000000000,L46,0),0)</f>
        <v>0</v>
      </c>
      <c r="O46" s="39" t="n">
        <f aca="false">IF(Model!$B$13=1,IF(Model!$B$31&gt;=Model!$B$32,J46+IF(Model!$B$33&gt;0,(Model!$B$31-Model!$B$32)*K46/Model!$B$33,0),MIN(J46,Model!$B$35*K46)),0)</f>
        <v>212.738677712097</v>
      </c>
      <c r="P46" s="39" t="n">
        <f aca="false">IF(Model!$B$13=1,I46+O46,E46*Model!$B$27)</f>
        <v>333.59379430916</v>
      </c>
      <c r="Q46" s="72" t="n">
        <f aca="false">IF(E46&gt;0,P46/E46,0)</f>
        <v>0.276027861874792</v>
      </c>
      <c r="R46" s="72" t="n">
        <f aca="false">IF(F46+E46&gt;0,(G46*F46+P46)/(F46+E46),0)</f>
        <v>0.162237322984355</v>
      </c>
      <c r="S46" s="72" t="n">
        <f aca="false">Model!$B$24*(1-Q46)/Model!$B$29</f>
        <v>0.487022013816897</v>
      </c>
      <c r="T46" s="72" t="n">
        <f aca="false">Model!$B$23*(1-Q46)/Model!$B$29</f>
        <v>0.121611876427076</v>
      </c>
      <c r="U46" s="72" t="n">
        <f aca="false">Model!$B$19*Model!$B$12*(1-Q46)/Model!$B$29</f>
        <v>0.0576691239406173</v>
      </c>
      <c r="V46" s="72" t="n">
        <f aca="false">Model!$B$19*(1-Model!$B$12)*(1-Q46)/Model!$B$29</f>
        <v>0.0576691239406173</v>
      </c>
      <c r="W46" s="72" t="n">
        <f aca="false">Q46*Model!$B$38</f>
        <v>0.187158823296219</v>
      </c>
      <c r="X46" s="72" t="n">
        <f aca="false">Q46*Model!$B$39</f>
        <v>0.0512907289793888</v>
      </c>
      <c r="Y46" s="72" t="n">
        <f aca="false">Q46*Model!$B$40</f>
        <v>0.029413662945323</v>
      </c>
      <c r="Z46" s="72" t="n">
        <f aca="false">Q46*Model!$B$41</f>
        <v>0.00303557375592301</v>
      </c>
      <c r="AA46" s="72" t="n">
        <f aca="false">Q46*Model!$B$42</f>
        <v>0.00512907289793888</v>
      </c>
      <c r="AB46" s="20" t="n">
        <f aca="false">MATCH(A46&amp;"|"&amp;Model!$B$6&amp;"|"&amp;Model!$B$7,Data!$A$63:$A$262,0)</f>
        <v>25</v>
      </c>
      <c r="AC46" s="72" t="n">
        <f aca="false">(INDEX(Data!$E$63:$E$262,AB46)-Model!$B$8*INDEX(Data!$I$63:$I$262,AB46)-Model!$B$9*INDEX(Data!$J$63:$J$262,AB46))/INDEX(Data!$K$63:$K$262,AB46)</f>
        <v>0.501324879210715</v>
      </c>
      <c r="AD46" s="72" t="n">
        <f aca="false">(INDEX(Data!$F$63:$F$262,AB46)+Model!$B$8*INDEX(Data!$I$63:$I$262,AB46)+Model!$B$9*INDEX(Data!$J$63:$J$262,AB46))/INDEX(Data!$K$63:$K$262,AB46)</f>
        <v>0.221058000091247</v>
      </c>
      <c r="AE46" s="72" t="n">
        <f aca="false">INDEX(Data!$G$63:$G$262,AB46)/INDEX(Data!$K$63:$K$262,AB46)</f>
        <v>0.165216992901986</v>
      </c>
      <c r="AF46" s="72" t="n">
        <f aca="false">INDEX(Data!$H$63:$H$262,AB46)/INDEX(Data!$K$63:$K$262,AB46)</f>
        <v>0.112400127796052</v>
      </c>
    </row>
    <row r="47" customFormat="false" ht="15" hidden="false" customHeight="true" outlineLevel="0" collapsed="false">
      <c r="A47" s="39" t="str">
        <f aca="false">Data!$A$24</f>
        <v>Caherdavin</v>
      </c>
      <c r="B47" s="39" t="str">
        <f aca="false">Data!$B$24</f>
        <v>City neighbourhood</v>
      </c>
      <c r="C47" s="20" t="n">
        <f aca="false">IF(B47="City neighbourhood",1,0)</f>
        <v>1</v>
      </c>
      <c r="D47" s="72" t="n">
        <f aca="false">CHOOSE(Model!$B$4,Data!$G$24/Data!$B$52,Data!$C$24/SUM(Data!$C$23:$C$47),Data!$D$24/SUM(Data!$D$23:$D$47))</f>
        <v>0.123218648168712</v>
      </c>
      <c r="E47" s="39" t="n">
        <f aca="false">Model!$B$17*D47</f>
        <v>4911.98819059752</v>
      </c>
      <c r="F47" s="39" t="n">
        <f aca="false">Data!$E$24</f>
        <v>6799</v>
      </c>
      <c r="G47" s="72" t="n">
        <f aca="false">Data!$F$24</f>
        <v>0.17369</v>
      </c>
      <c r="H47" s="39" t="n">
        <f aca="false">E47*Model!$B$15</f>
        <v>491.198819059752</v>
      </c>
      <c r="I47" s="39" t="n">
        <f aca="false">IF(Model!$B$30&gt;Model!$B$28,H47*Model!$B$28/Model!$B$30,H47)</f>
        <v>491.198819059752</v>
      </c>
      <c r="J47" s="39" t="n">
        <f aca="false">IF(C47=1,MAX(0,MIN(E47,Model!$B$14*(F47+E47)-G47*F47)-I47),0)</f>
        <v>670.080509059752</v>
      </c>
      <c r="K47" s="39" t="n">
        <f aca="false">IF(C47=1,E47,0)</f>
        <v>4911.98819059752</v>
      </c>
      <c r="L47" s="73" t="n">
        <f aca="false">IF(AND(C47=1,E47&gt;0),J47/E47,1000000000)</f>
        <v>0.136417369720557</v>
      </c>
      <c r="M47" s="39" t="n">
        <f aca="false">IF(C47=1,SUMPRODUCT((Model!$L$46:$L$70&lt;=L47)*Model!$J$46:$J$70)+L47*SUMPRODUCT((Model!$L$46:$L$70&gt;L47)*Model!$K$46:$K$70),1000000000000)</f>
        <v>3669.41297869053</v>
      </c>
      <c r="N47" s="73" t="n">
        <f aca="false">IF(M47&lt;=Model!$B$31,IF(L47&lt;1000000000,L47,0),0)</f>
        <v>0.136417369720557</v>
      </c>
      <c r="O47" s="39" t="n">
        <f aca="false">IF(Model!$B$13=1,IF(Model!$B$31&gt;=Model!$B$32,J47+IF(Model!$B$33&gt;0,(Model!$B$31-Model!$B$32)*K47/Model!$B$33,0),MIN(J47,Model!$B$35*K47)),0)</f>
        <v>670.080509059752</v>
      </c>
      <c r="P47" s="39" t="n">
        <f aca="false">IF(Model!$B$13=1,I47+O47,E47*Model!$B$27)</f>
        <v>1161.2793281195</v>
      </c>
      <c r="Q47" s="72" t="n">
        <f aca="false">IF(E47&gt;0,P47/E47,0)</f>
        <v>0.236417369720557</v>
      </c>
      <c r="R47" s="72" t="n">
        <f aca="false">IF(F47+E47&gt;0,(G47*F47+P47)/(F47+E47),0)</f>
        <v>0.2</v>
      </c>
      <c r="S47" s="72" t="n">
        <f aca="false">Model!$B$24*(1-Q47)/Model!$B$29</f>
        <v>0.513668317785432</v>
      </c>
      <c r="T47" s="72" t="n">
        <f aca="false">Model!$B$23*(1-Q47)/Model!$B$29</f>
        <v>0.128265594192446</v>
      </c>
      <c r="U47" s="72" t="n">
        <f aca="false">Model!$B$19*Model!$B$12*(1-Q47)/Model!$B$29</f>
        <v>0.0608243591507828</v>
      </c>
      <c r="V47" s="72" t="n">
        <f aca="false">Model!$B$19*(1-Model!$B$12)*(1-Q47)/Model!$B$29</f>
        <v>0.0608243591507828</v>
      </c>
      <c r="W47" s="72" t="n">
        <f aca="false">Q47*Model!$B$38</f>
        <v>0.160301197216669</v>
      </c>
      <c r="X47" s="72" t="n">
        <f aca="false">Q47*Model!$B$39</f>
        <v>0.0439304175817493</v>
      </c>
      <c r="Y47" s="72" t="n">
        <f aca="false">Q47*Model!$B$40</f>
        <v>0.0251927496744318</v>
      </c>
      <c r="Z47" s="72" t="n">
        <f aca="false">Q47*Model!$B$41</f>
        <v>0.0025999634895321</v>
      </c>
      <c r="AA47" s="72" t="n">
        <f aca="false">Q47*Model!$B$42</f>
        <v>0.00439304175817493</v>
      </c>
      <c r="AB47" s="20" t="n">
        <f aca="false">MATCH(A47&amp;"|"&amp;Model!$B$6&amp;"|"&amp;Model!$B$7,Data!$A$63:$A$262,0)</f>
        <v>49</v>
      </c>
      <c r="AC47" s="72" t="n">
        <f aca="false">(INDEX(Data!$E$63:$E$262,AB47)-Model!$B$8*INDEX(Data!$I$63:$I$262,AB47)-Model!$B$9*INDEX(Data!$J$63:$J$262,AB47))/INDEX(Data!$K$63:$K$262,AB47)</f>
        <v>0.5058758274562</v>
      </c>
      <c r="AD47" s="72" t="n">
        <f aca="false">(INDEX(Data!$F$63:$F$262,AB47)+Model!$B$8*INDEX(Data!$I$63:$I$262,AB47)+Model!$B$9*INDEX(Data!$J$63:$J$262,AB47))/INDEX(Data!$K$63:$K$262,AB47)</f>
        <v>0.199839019583249</v>
      </c>
      <c r="AE47" s="72" t="n">
        <f aca="false">INDEX(Data!$G$63:$G$262,AB47)/INDEX(Data!$K$63:$K$262,AB47)</f>
        <v>0.175744840316</v>
      </c>
      <c r="AF47" s="72" t="n">
        <f aca="false">INDEX(Data!$H$63:$H$262,AB47)/INDEX(Data!$K$63:$K$262,AB47)</f>
        <v>0.118540312644553</v>
      </c>
    </row>
    <row r="48" customFormat="false" ht="15" hidden="false" customHeight="true" outlineLevel="0" collapsed="false">
      <c r="A48" s="39" t="str">
        <f aca="false">Data!$A$25</f>
        <v>Castletroy/Annacotty</v>
      </c>
      <c r="B48" s="39" t="str">
        <f aca="false">Data!$B$25</f>
        <v>City neighbourhood</v>
      </c>
      <c r="C48" s="20" t="n">
        <f aca="false">IF(B48="City neighbourhood",1,0)</f>
        <v>1</v>
      </c>
      <c r="D48" s="72" t="n">
        <f aca="false">CHOOSE(Model!$B$4,Data!$G$25/Data!$B$52,Data!$C$25/SUM(Data!$C$23:$C$47),Data!$D$25/SUM(Data!$D$23:$D$47))</f>
        <v>0.14618890954612</v>
      </c>
      <c r="E48" s="39" t="n">
        <f aca="false">Model!$B$17*D48</f>
        <v>5827.67469014651</v>
      </c>
      <c r="F48" s="39" t="n">
        <f aca="false">Data!$E$25</f>
        <v>7036</v>
      </c>
      <c r="G48" s="72" t="n">
        <f aca="false">Data!$F$25</f>
        <v>0.03637</v>
      </c>
      <c r="H48" s="39" t="n">
        <f aca="false">E48*Model!$B$15</f>
        <v>582.767469014651</v>
      </c>
      <c r="I48" s="39" t="n">
        <f aca="false">IF(Model!$B$30&gt;Model!$B$28,H48*Model!$B$28/Model!$B$30,H48)</f>
        <v>582.767469014651</v>
      </c>
      <c r="J48" s="39" t="n">
        <f aca="false">IF(C48=1,MAX(0,MIN(E48,Model!$B$14*(F48+E48)-G48*F48)-I48),0)</f>
        <v>1734.06814901465</v>
      </c>
      <c r="K48" s="39" t="n">
        <f aca="false">IF(C48=1,E48,0)</f>
        <v>5827.67469014651</v>
      </c>
      <c r="L48" s="73" t="n">
        <f aca="false">IF(AND(C48=1,E48&gt;0),J48/E48,1000000000)</f>
        <v>0.297557472098886</v>
      </c>
      <c r="M48" s="39" t="n">
        <f aca="false">IF(C48=1,SUMPRODUCT((Model!$L$46:$L$70&lt;=L48)*Model!$J$46:$J$70)+L48*SUMPRODUCT((Model!$L$46:$L$70&gt;L48)*Model!$K$46:$K$70),1000000000000)</f>
        <v>5995.11901073912</v>
      </c>
      <c r="N48" s="73" t="n">
        <f aca="false">IF(M48&lt;=Model!$B$31,IF(L48&lt;1000000000,L48,0),0)</f>
        <v>0</v>
      </c>
      <c r="O48" s="39" t="n">
        <f aca="false">IF(Model!$B$13=1,IF(Model!$B$31&gt;=Model!$B$32,J48+IF(Model!$B$33&gt;0,(Model!$B$31-Model!$B$32)*K48/Model!$B$33,0),MIN(J48,Model!$B$35*K48)),0)</f>
        <v>1025.83311540833</v>
      </c>
      <c r="P48" s="39" t="n">
        <f aca="false">IF(Model!$B$13=1,I48+O48,E48*Model!$B$27)</f>
        <v>1608.60058442298</v>
      </c>
      <c r="Q48" s="72" t="n">
        <f aca="false">IF(E48&gt;0,P48/E48,0)</f>
        <v>0.276027861874792</v>
      </c>
      <c r="R48" s="72" t="n">
        <f aca="false">IF(F48+E48&gt;0,(G48*F48+P48)/(F48+E48),0)</f>
        <v>0.144943023617597</v>
      </c>
      <c r="S48" s="72" t="n">
        <f aca="false">Model!$B$24*(1-Q48)/Model!$B$29</f>
        <v>0.487022013816897</v>
      </c>
      <c r="T48" s="72" t="n">
        <f aca="false">Model!$B$23*(1-Q48)/Model!$B$29</f>
        <v>0.121611876427076</v>
      </c>
      <c r="U48" s="72" t="n">
        <f aca="false">Model!$B$19*Model!$B$12*(1-Q48)/Model!$B$29</f>
        <v>0.0576691239406173</v>
      </c>
      <c r="V48" s="72" t="n">
        <f aca="false">Model!$B$19*(1-Model!$B$12)*(1-Q48)/Model!$B$29</f>
        <v>0.0576691239406173</v>
      </c>
      <c r="W48" s="72" t="n">
        <f aca="false">Q48*Model!$B$38</f>
        <v>0.187158823296219</v>
      </c>
      <c r="X48" s="72" t="n">
        <f aca="false">Q48*Model!$B$39</f>
        <v>0.0512907289793888</v>
      </c>
      <c r="Y48" s="72" t="n">
        <f aca="false">Q48*Model!$B$40</f>
        <v>0.029413662945323</v>
      </c>
      <c r="Z48" s="72" t="n">
        <f aca="false">Q48*Model!$B$41</f>
        <v>0.00303557375592301</v>
      </c>
      <c r="AA48" s="72" t="n">
        <f aca="false">Q48*Model!$B$42</f>
        <v>0.00512907289793888</v>
      </c>
      <c r="AB48" s="20" t="n">
        <f aca="false">MATCH(A48&amp;"|"&amp;Model!$B$6&amp;"|"&amp;Model!$B$7,Data!$A$63:$A$262,0)</f>
        <v>73</v>
      </c>
      <c r="AC48" s="72" t="n">
        <f aca="false">(INDEX(Data!$E$63:$E$262,AB48)-Model!$B$8*INDEX(Data!$I$63:$I$262,AB48)-Model!$B$9*INDEX(Data!$J$63:$J$262,AB48))/INDEX(Data!$K$63:$K$262,AB48)</f>
        <v>0.465622139519974</v>
      </c>
      <c r="AD48" s="72" t="n">
        <f aca="false">(INDEX(Data!$F$63:$F$262,AB48)+Model!$B$8*INDEX(Data!$I$63:$I$262,AB48)+Model!$B$9*INDEX(Data!$J$63:$J$262,AB48))/INDEX(Data!$K$63:$K$262,AB48)</f>
        <v>0.12140042785497</v>
      </c>
      <c r="AE48" s="72" t="n">
        <f aca="false">INDEX(Data!$G$63:$G$262,AB48)/INDEX(Data!$K$63:$K$262,AB48)</f>
        <v>0.281895634493517</v>
      </c>
      <c r="AF48" s="72" t="n">
        <f aca="false">INDEX(Data!$H$63:$H$262,AB48)/INDEX(Data!$K$63:$K$262,AB48)</f>
        <v>0.131081798131538</v>
      </c>
    </row>
    <row r="49" customFormat="false" ht="15" hidden="false" customHeight="true" outlineLevel="0" collapsed="false">
      <c r="A49" s="39" t="str">
        <f aca="false">Data!$A$26</f>
        <v>City Centre</v>
      </c>
      <c r="B49" s="39" t="str">
        <f aca="false">Data!$B$26</f>
        <v>City neighbourhood</v>
      </c>
      <c r="C49" s="20" t="n">
        <f aca="false">IF(B49="City neighbourhood",1,0)</f>
        <v>1</v>
      </c>
      <c r="D49" s="72" t="n">
        <f aca="false">CHOOSE(Model!$B$4,Data!$G$26/Data!$B$52,Data!$C$26/SUM(Data!$C$23:$C$47),Data!$D$26/SUM(Data!$D$23:$D$47))</f>
        <v>0.126989159634229</v>
      </c>
      <c r="E49" s="39" t="n">
        <f aca="false">Model!$B$17*D49</f>
        <v>5062.29585965892</v>
      </c>
      <c r="F49" s="39" t="n">
        <f aca="false">Data!$E$26</f>
        <v>7647</v>
      </c>
      <c r="G49" s="72" t="n">
        <f aca="false">Data!$F$26</f>
        <v>0.17116</v>
      </c>
      <c r="H49" s="39" t="n">
        <f aca="false">E49*Model!$B$15</f>
        <v>506.229585965892</v>
      </c>
      <c r="I49" s="39" t="n">
        <f aca="false">IF(Model!$B$30&gt;Model!$B$28,H49*Model!$B$28/Model!$B$30,H49)</f>
        <v>506.229585965892</v>
      </c>
      <c r="J49" s="39" t="n">
        <f aca="false">IF(C49=1,MAX(0,MIN(E49,Model!$B$14*(F49+E49)-G49*F49)-I49),0)</f>
        <v>726.769065965893</v>
      </c>
      <c r="K49" s="39" t="n">
        <f aca="false">IF(C49=1,E49,0)</f>
        <v>5062.29585965892</v>
      </c>
      <c r="L49" s="73" t="n">
        <f aca="false">IF(AND(C49=1,E49&gt;0),J49/E49,1000000000)</f>
        <v>0.143565110794386</v>
      </c>
      <c r="M49" s="39" t="n">
        <f aca="false">IF(C49=1,SUMPRODUCT((Model!$L$46:$L$70&lt;=L49)*Model!$J$46:$J$70)+L49*SUMPRODUCT((Model!$L$46:$L$70&gt;L49)*Model!$K$46:$K$70),1000000000000)</f>
        <v>3826.56636708354</v>
      </c>
      <c r="N49" s="73" t="n">
        <f aca="false">IF(M49&lt;=Model!$B$31,IF(L49&lt;1000000000,L49,0),0)</f>
        <v>0.143565110794386</v>
      </c>
      <c r="O49" s="39" t="n">
        <f aca="false">IF(Model!$B$13=1,IF(Model!$B$31&gt;=Model!$B$32,J49+IF(Model!$B$33&gt;0,(Model!$B$31-Model!$B$32)*K49/Model!$B$33,0),MIN(J49,Model!$B$35*K49)),0)</f>
        <v>726.769065965893</v>
      </c>
      <c r="P49" s="39" t="n">
        <f aca="false">IF(Model!$B$13=1,I49+O49,E49*Model!$B$27)</f>
        <v>1232.99865193178</v>
      </c>
      <c r="Q49" s="72" t="n">
        <f aca="false">IF(E49&gt;0,P49/E49,0)</f>
        <v>0.243565110794386</v>
      </c>
      <c r="R49" s="72" t="n">
        <f aca="false">IF(F49+E49&gt;0,(G49*F49+P49)/(F49+E49),0)</f>
        <v>0.2</v>
      </c>
      <c r="S49" s="72" t="n">
        <f aca="false">Model!$B$24*(1-Q49)/Model!$B$29</f>
        <v>0.508859973556837</v>
      </c>
      <c r="T49" s="72" t="n">
        <f aca="false">Model!$B$23*(1-Q49)/Model!$B$29</f>
        <v>0.127064926157825</v>
      </c>
      <c r="U49" s="72" t="n">
        <f aca="false">Model!$B$19*Model!$B$12*(1-Q49)/Model!$B$29</f>
        <v>0.0602549947454764</v>
      </c>
      <c r="V49" s="72" t="n">
        <f aca="false">Model!$B$19*(1-Model!$B$12)*(1-Q49)/Model!$B$29</f>
        <v>0.0602549947454764</v>
      </c>
      <c r="W49" s="72" t="n">
        <f aca="false">Q49*Model!$B$38</f>
        <v>0.165147674668321</v>
      </c>
      <c r="X49" s="72" t="n">
        <f aca="false">Q49*Model!$B$39</f>
        <v>0.0452585909325935</v>
      </c>
      <c r="Y49" s="72" t="n">
        <f aca="false">Q49*Model!$B$40</f>
        <v>0.025954416432773</v>
      </c>
      <c r="Z49" s="72" t="n">
        <f aca="false">Q49*Model!$B$41</f>
        <v>0.0026785696674392</v>
      </c>
      <c r="AA49" s="72" t="n">
        <f aca="false">Q49*Model!$B$42</f>
        <v>0.00452585909325935</v>
      </c>
      <c r="AB49" s="20" t="n">
        <f aca="false">MATCH(A49&amp;"|"&amp;Model!$B$6&amp;"|"&amp;Model!$B$7,Data!$A$63:$A$262,0)</f>
        <v>81</v>
      </c>
      <c r="AC49" s="72" t="n">
        <f aca="false">(INDEX(Data!$E$63:$E$262,AB49)-Model!$B$8*INDEX(Data!$I$63:$I$262,AB49)-Model!$B$9*INDEX(Data!$J$63:$J$262,AB49))/INDEX(Data!$K$63:$K$262,AB49)</f>
        <v>0.616366858059425</v>
      </c>
      <c r="AD49" s="72" t="n">
        <f aca="false">(INDEX(Data!$F$63:$F$262,AB49)+Model!$B$8*INDEX(Data!$I$63:$I$262,AB49)+Model!$B$9*INDEX(Data!$J$63:$J$262,AB49))/INDEX(Data!$K$63:$K$262,AB49)</f>
        <v>0.167217695518084</v>
      </c>
      <c r="AE49" s="72" t="n">
        <f aca="false">INDEX(Data!$G$63:$G$262,AB49)/INDEX(Data!$K$63:$K$262,AB49)</f>
        <v>0.150638524721932</v>
      </c>
      <c r="AF49" s="72" t="n">
        <f aca="false">INDEX(Data!$H$63:$H$262,AB49)/INDEX(Data!$K$63:$K$262,AB49)</f>
        <v>0.0657769217005585</v>
      </c>
    </row>
    <row r="50" customFormat="false" ht="15" hidden="false" customHeight="true" outlineLevel="0" collapsed="false">
      <c r="A50" s="39" t="str">
        <f aca="false">Data!$A$27</f>
        <v>Corbally/Grove Island</v>
      </c>
      <c r="B50" s="39" t="str">
        <f aca="false">Data!$B$27</f>
        <v>City neighbourhood</v>
      </c>
      <c r="C50" s="20" t="n">
        <f aca="false">IF(B50="City neighbourhood",1,0)</f>
        <v>1</v>
      </c>
      <c r="D50" s="72" t="n">
        <f aca="false">CHOOSE(Model!$B$4,Data!$G$27/Data!$B$52,Data!$C$27/SUM(Data!$C$23:$C$47),Data!$D$27/SUM(Data!$D$23:$D$47))</f>
        <v>0.0321222578996033</v>
      </c>
      <c r="E50" s="39" t="n">
        <f aca="false">Model!$B$17*D50</f>
        <v>1280.52168890979</v>
      </c>
      <c r="F50" s="39" t="n">
        <f aca="false">Data!$E$27</f>
        <v>1727</v>
      </c>
      <c r="G50" s="72" t="n">
        <f aca="false">Data!$F$27</f>
        <v>0.03802</v>
      </c>
      <c r="H50" s="39" t="n">
        <f aca="false">E50*Model!$B$15</f>
        <v>128.052168890979</v>
      </c>
      <c r="I50" s="39" t="n">
        <f aca="false">IF(Model!$B$30&gt;Model!$B$28,H50*Model!$B$28/Model!$B$30,H50)</f>
        <v>128.052168890979</v>
      </c>
      <c r="J50" s="39" t="n">
        <f aca="false">IF(C50=1,MAX(0,MIN(E50,Model!$B$14*(F50+E50)-G50*F50)-I50),0)</f>
        <v>407.791628890979</v>
      </c>
      <c r="K50" s="39" t="n">
        <f aca="false">IF(C50=1,E50,0)</f>
        <v>1280.52168890979</v>
      </c>
      <c r="L50" s="73" t="n">
        <f aca="false">IF(AND(C50=1,E50&gt;0),J50/E50,1000000000)</f>
        <v>0.318457416553534</v>
      </c>
      <c r="M50" s="39" t="n">
        <f aca="false">IF(C50=1,SUMPRODUCT((Model!$L$46:$L$70&lt;=L50)*Model!$J$46:$J$70)+L50*SUMPRODUCT((Model!$L$46:$L$70&gt;L50)*Model!$K$46:$K$70),1000000000000)</f>
        <v>6021.88184291031</v>
      </c>
      <c r="N50" s="73" t="n">
        <f aca="false">IF(M50&lt;=Model!$B$31,IF(L50&lt;1000000000,L50,0),0)</f>
        <v>0</v>
      </c>
      <c r="O50" s="39" t="n">
        <f aca="false">IF(Model!$B$13=1,IF(Model!$B$31&gt;=Model!$B$32,J50+IF(Model!$B$33&gt;0,(Model!$B$31-Model!$B$32)*K50/Model!$B$33,0),MIN(J50,Model!$B$35*K50)),0)</f>
        <v>225.407494983088</v>
      </c>
      <c r="P50" s="39" t="n">
        <f aca="false">IF(Model!$B$13=1,I50+O50,E50*Model!$B$27)</f>
        <v>353.459663874067</v>
      </c>
      <c r="Q50" s="72" t="n">
        <f aca="false">IF(E50&gt;0,P50/E50,0)</f>
        <v>0.276027861874792</v>
      </c>
      <c r="R50" s="72" t="n">
        <f aca="false">IF(F50+E50&gt;0,(G50*F50+P50)/(F50+E50),0)</f>
        <v>0.13935733378734</v>
      </c>
      <c r="S50" s="72" t="n">
        <f aca="false">Model!$B$24*(1-Q50)/Model!$B$29</f>
        <v>0.487022013816897</v>
      </c>
      <c r="T50" s="72" t="n">
        <f aca="false">Model!$B$23*(1-Q50)/Model!$B$29</f>
        <v>0.121611876427076</v>
      </c>
      <c r="U50" s="72" t="n">
        <f aca="false">Model!$B$19*Model!$B$12*(1-Q50)/Model!$B$29</f>
        <v>0.0576691239406173</v>
      </c>
      <c r="V50" s="72" t="n">
        <f aca="false">Model!$B$19*(1-Model!$B$12)*(1-Q50)/Model!$B$29</f>
        <v>0.0576691239406173</v>
      </c>
      <c r="W50" s="72" t="n">
        <f aca="false">Q50*Model!$B$38</f>
        <v>0.187158823296219</v>
      </c>
      <c r="X50" s="72" t="n">
        <f aca="false">Q50*Model!$B$39</f>
        <v>0.0512907289793888</v>
      </c>
      <c r="Y50" s="72" t="n">
        <f aca="false">Q50*Model!$B$40</f>
        <v>0.029413662945323</v>
      </c>
      <c r="Z50" s="72" t="n">
        <f aca="false">Q50*Model!$B$41</f>
        <v>0.00303557375592301</v>
      </c>
      <c r="AA50" s="72" t="n">
        <f aca="false">Q50*Model!$B$42</f>
        <v>0.00512907289793888</v>
      </c>
      <c r="AB50" s="20" t="n">
        <f aca="false">MATCH(A50&amp;"|"&amp;Model!$B$6&amp;"|"&amp;Model!$B$7,Data!$A$63:$A$262,0)</f>
        <v>89</v>
      </c>
      <c r="AC50" s="72" t="n">
        <f aca="false">(INDEX(Data!$E$63:$E$262,AB50)-Model!$B$8*INDEX(Data!$I$63:$I$262,AB50)-Model!$B$9*INDEX(Data!$J$63:$J$262,AB50))/INDEX(Data!$K$63:$K$262,AB50)</f>
        <v>0.491680124598043</v>
      </c>
      <c r="AD50" s="72" t="n">
        <f aca="false">(INDEX(Data!$F$63:$F$262,AB50)+Model!$B$8*INDEX(Data!$I$63:$I$262,AB50)+Model!$B$9*INDEX(Data!$J$63:$J$262,AB50))/INDEX(Data!$K$63:$K$262,AB50)</f>
        <v>0.2020175967742</v>
      </c>
      <c r="AE50" s="72" t="n">
        <f aca="false">INDEX(Data!$G$63:$G$262,AB50)/INDEX(Data!$K$63:$K$262,AB50)</f>
        <v>0.202997951403302</v>
      </c>
      <c r="AF50" s="72" t="n">
        <f aca="false">INDEX(Data!$H$63:$H$262,AB50)/INDEX(Data!$K$63:$K$262,AB50)</f>
        <v>0.103304327224453</v>
      </c>
    </row>
    <row r="51" customFormat="false" ht="15" hidden="false" customHeight="true" outlineLevel="0" collapsed="false">
      <c r="A51" s="39" t="str">
        <f aca="false">Data!$A$28</f>
        <v>Dooradoyle</v>
      </c>
      <c r="B51" s="39" t="str">
        <f aca="false">Data!$B$28</f>
        <v>City neighbourhood</v>
      </c>
      <c r="C51" s="20" t="n">
        <f aca="false">IF(B51="City neighbourhood",1,0)</f>
        <v>1</v>
      </c>
      <c r="D51" s="72" t="n">
        <f aca="false">CHOOSE(Model!$B$4,Data!$G$28/Data!$B$52,Data!$C$28/SUM(Data!$C$23:$C$47),Data!$D$28/SUM(Data!$D$23:$D$47))</f>
        <v>0.136967474507064</v>
      </c>
      <c r="E51" s="39" t="n">
        <f aca="false">Model!$B$17*D51</f>
        <v>5460.07140374958</v>
      </c>
      <c r="F51" s="39" t="n">
        <f aca="false">Data!$E$28</f>
        <v>6830</v>
      </c>
      <c r="G51" s="72" t="n">
        <f aca="false">Data!$F$28</f>
        <v>0.04887</v>
      </c>
      <c r="H51" s="39" t="n">
        <f aca="false">E51*Model!$B$15</f>
        <v>546.007140374959</v>
      </c>
      <c r="I51" s="39" t="n">
        <f aca="false">IF(Model!$B$30&gt;Model!$B$28,H51*Model!$B$28/Model!$B$30,H51)</f>
        <v>546.007140374959</v>
      </c>
      <c r="J51" s="39" t="n">
        <f aca="false">IF(C51=1,MAX(0,MIN(E51,Model!$B$14*(F51+E51)-G51*F51)-I51),0)</f>
        <v>1578.22504037496</v>
      </c>
      <c r="K51" s="39" t="n">
        <f aca="false">IF(C51=1,E51,0)</f>
        <v>5460.07140374958</v>
      </c>
      <c r="L51" s="73" t="n">
        <f aca="false">IF(AND(C51=1,E51&gt;0),J51/E51,1000000000)</f>
        <v>0.289048425134358</v>
      </c>
      <c r="M51" s="39" t="n">
        <f aca="false">IF(C51=1,SUMPRODUCT((Model!$L$46:$L$70&lt;=L51)*Model!$J$46:$J$70)+L51*SUMPRODUCT((Model!$L$46:$L$70&gt;L51)*Model!$K$46:$K$70),1000000000000)</f>
        <v>5934.63503391664</v>
      </c>
      <c r="N51" s="73" t="n">
        <f aca="false">IF(M51&lt;=Model!$B$31,IF(L51&lt;1000000000,L51,0),0)</f>
        <v>0</v>
      </c>
      <c r="O51" s="39" t="n">
        <f aca="false">IF(Model!$B$13=1,IF(Model!$B$31&gt;=Model!$B$32,J51+IF(Model!$B$33&gt;0,(Model!$B$31-Model!$B$32)*K51/Model!$B$33,0),MIN(J51,Model!$B$35*K51)),0)</f>
        <v>961.124694885736</v>
      </c>
      <c r="P51" s="39" t="n">
        <f aca="false">IF(Model!$B$13=1,I51+O51,E51*Model!$B$27)</f>
        <v>1507.13183526069</v>
      </c>
      <c r="Q51" s="72" t="n">
        <f aca="false">IF(E51&gt;0,P51/E51,0)</f>
        <v>0.276027861874792</v>
      </c>
      <c r="R51" s="72" t="n">
        <f aca="false">IF(F51+E51&gt;0,(G51*F51+P51)/(F51+E51),0)</f>
        <v>0.149788709502457</v>
      </c>
      <c r="S51" s="72" t="n">
        <f aca="false">Model!$B$24*(1-Q51)/Model!$B$29</f>
        <v>0.487022013816897</v>
      </c>
      <c r="T51" s="72" t="n">
        <f aca="false">Model!$B$23*(1-Q51)/Model!$B$29</f>
        <v>0.121611876427076</v>
      </c>
      <c r="U51" s="72" t="n">
        <f aca="false">Model!$B$19*Model!$B$12*(1-Q51)/Model!$B$29</f>
        <v>0.0576691239406173</v>
      </c>
      <c r="V51" s="72" t="n">
        <f aca="false">Model!$B$19*(1-Model!$B$12)*(1-Q51)/Model!$B$29</f>
        <v>0.0576691239406173</v>
      </c>
      <c r="W51" s="72" t="n">
        <f aca="false">Q51*Model!$B$38</f>
        <v>0.187158823296219</v>
      </c>
      <c r="X51" s="72" t="n">
        <f aca="false">Q51*Model!$B$39</f>
        <v>0.0512907289793888</v>
      </c>
      <c r="Y51" s="72" t="n">
        <f aca="false">Q51*Model!$B$40</f>
        <v>0.029413662945323</v>
      </c>
      <c r="Z51" s="72" t="n">
        <f aca="false">Q51*Model!$B$41</f>
        <v>0.00303557375592301</v>
      </c>
      <c r="AA51" s="72" t="n">
        <f aca="false">Q51*Model!$B$42</f>
        <v>0.00512907289793888</v>
      </c>
      <c r="AB51" s="20" t="n">
        <f aca="false">MATCH(A51&amp;"|"&amp;Model!$B$6&amp;"|"&amp;Model!$B$7,Data!$A$63:$A$262,0)</f>
        <v>105</v>
      </c>
      <c r="AC51" s="72" t="n">
        <f aca="false">(INDEX(Data!$E$63:$E$262,AB51)-Model!$B$8*INDEX(Data!$I$63:$I$262,AB51)-Model!$B$9*INDEX(Data!$J$63:$J$262,AB51))/INDEX(Data!$K$63:$K$262,AB51)</f>
        <v>0.405075095172089</v>
      </c>
      <c r="AD51" s="72" t="n">
        <f aca="false">(INDEX(Data!$F$63:$F$262,AB51)+Model!$B$8*INDEX(Data!$I$63:$I$262,AB51)+Model!$B$9*INDEX(Data!$J$63:$J$262,AB51))/INDEX(Data!$K$63:$K$262,AB51)</f>
        <v>0.184039429277161</v>
      </c>
      <c r="AE51" s="72" t="n">
        <f aca="false">INDEX(Data!$G$63:$G$262,AB51)/INDEX(Data!$K$63:$K$262,AB51)</f>
        <v>0.271531736796701</v>
      </c>
      <c r="AF51" s="72" t="n">
        <f aca="false">INDEX(Data!$H$63:$H$262,AB51)/INDEX(Data!$K$63:$K$262,AB51)</f>
        <v>0.139353738754049</v>
      </c>
    </row>
    <row r="52" customFormat="false" ht="15" hidden="false" customHeight="true" outlineLevel="0" collapsed="false">
      <c r="A52" s="39" t="str">
        <f aca="false">Data!$A$29</f>
        <v>Kings Island</v>
      </c>
      <c r="B52" s="39" t="str">
        <f aca="false">Data!$B$29</f>
        <v>City neighbourhood</v>
      </c>
      <c r="C52" s="20" t="n">
        <f aca="false">IF(B52="City neighbourhood",1,0)</f>
        <v>1</v>
      </c>
      <c r="D52" s="72" t="n">
        <f aca="false">CHOOSE(Model!$B$4,Data!$G$29/Data!$B$52,Data!$C$29/SUM(Data!$C$23:$C$47),Data!$D$29/SUM(Data!$D$23:$D$47))</f>
        <v>0.0158875326576508</v>
      </c>
      <c r="E52" s="39" t="n">
        <f aca="false">Model!$B$17*D52</f>
        <v>633.34060186459</v>
      </c>
      <c r="F52" s="39" t="n">
        <f aca="false">Data!$E$29</f>
        <v>976</v>
      </c>
      <c r="G52" s="72" t="n">
        <f aca="false">Data!$F$29</f>
        <v>0.35414</v>
      </c>
      <c r="H52" s="39" t="n">
        <f aca="false">E52*Model!$B$15</f>
        <v>63.334060186459</v>
      </c>
      <c r="I52" s="39" t="n">
        <f aca="false">IF(Model!$B$30&gt;Model!$B$28,H52*Model!$B$28/Model!$B$30,H52)</f>
        <v>63.334060186459</v>
      </c>
      <c r="J52" s="39" t="n">
        <f aca="false">IF(C52=1,MAX(0,MIN(E52,Model!$B$14*(F52+E52)-G52*F52)-I52),0)</f>
        <v>0</v>
      </c>
      <c r="K52" s="39" t="n">
        <f aca="false">IF(C52=1,E52,0)</f>
        <v>633.34060186459</v>
      </c>
      <c r="L52" s="73" t="n">
        <f aca="false">IF(AND(C52=1,E52&gt;0),J52/E52,1000000000)</f>
        <v>0</v>
      </c>
      <c r="M52" s="39" t="n">
        <f aca="false">IF(C52=1,SUMPRODUCT((Model!$L$46:$L$70&lt;=L52)*Model!$J$46:$J$70)+L52*SUMPRODUCT((Model!$L$46:$L$70&gt;L52)*Model!$K$46:$K$70),1000000000000)</f>
        <v>0</v>
      </c>
      <c r="N52" s="73" t="n">
        <f aca="false">IF(M52&lt;=Model!$B$31,IF(L52&lt;1000000000,L52,0),0)</f>
        <v>0</v>
      </c>
      <c r="O52" s="39" t="n">
        <f aca="false">IF(Model!$B$13=1,IF(Model!$B$31&gt;=Model!$B$32,J52+IF(Model!$B$33&gt;0,(Model!$B$31-Model!$B$32)*K52/Model!$B$33,0),MIN(J52,Model!$B$35*K52)),0)</f>
        <v>0</v>
      </c>
      <c r="P52" s="39" t="n">
        <f aca="false">IF(Model!$B$13=1,I52+O52,E52*Model!$B$27)</f>
        <v>63.334060186459</v>
      </c>
      <c r="Q52" s="72" t="n">
        <f aca="false">IF(E52&gt;0,P52/E52,0)</f>
        <v>0.1</v>
      </c>
      <c r="R52" s="72" t="n">
        <f aca="false">IF(F52+E52&gt;0,(G52*F52+P52)/(F52+E52),0)</f>
        <v>0.254125633636919</v>
      </c>
      <c r="S52" s="72" t="n">
        <f aca="false">Model!$B$24*(1-Q52)/Model!$B$29</f>
        <v>0.605437404773997</v>
      </c>
      <c r="T52" s="72" t="n">
        <f aca="false">Model!$B$23*(1-Q52)/Model!$B$29</f>
        <v>0.151180802437786</v>
      </c>
      <c r="U52" s="72" t="n">
        <f aca="false">Model!$B$19*Model!$B$12*(1-Q52)/Model!$B$29</f>
        <v>0.0716908963941087</v>
      </c>
      <c r="V52" s="72" t="n">
        <f aca="false">Model!$B$19*(1-Model!$B$12)*(1-Q52)/Model!$B$29</f>
        <v>0.0716908963941087</v>
      </c>
      <c r="W52" s="72" t="n">
        <f aca="false">Q52*Model!$B$38</f>
        <v>0.0678043230944255</v>
      </c>
      <c r="X52" s="72" t="n">
        <f aca="false">Q52*Model!$B$39</f>
        <v>0.018581721653394</v>
      </c>
      <c r="Y52" s="72" t="n">
        <f aca="false">Q52*Model!$B$40</f>
        <v>0.0106560485400076</v>
      </c>
      <c r="Z52" s="72" t="n">
        <f aca="false">Q52*Model!$B$41</f>
        <v>0.00109973454683352</v>
      </c>
      <c r="AA52" s="72" t="n">
        <f aca="false">Q52*Model!$B$42</f>
        <v>0.0018581721653394</v>
      </c>
      <c r="AB52" s="20" t="n">
        <f aca="false">MATCH(A52&amp;"|"&amp;Model!$B$6&amp;"|"&amp;Model!$B$7,Data!$A$63:$A$262,0)</f>
        <v>137</v>
      </c>
      <c r="AC52" s="72" t="n">
        <f aca="false">(INDEX(Data!$E$63:$E$262,AB52)-Model!$B$8*INDEX(Data!$I$63:$I$262,AB52)-Model!$B$9*INDEX(Data!$J$63:$J$262,AB52))/INDEX(Data!$K$63:$K$262,AB52)</f>
        <v>0.633430208203616</v>
      </c>
      <c r="AD52" s="72" t="n">
        <f aca="false">(INDEX(Data!$F$63:$F$262,AB52)+Model!$B$8*INDEX(Data!$I$63:$I$262,AB52)+Model!$B$9*INDEX(Data!$J$63:$J$262,AB52))/INDEX(Data!$K$63:$K$262,AB52)</f>
        <v>0.168402145115014</v>
      </c>
      <c r="AE52" s="72" t="n">
        <f aca="false">INDEX(Data!$G$63:$G$262,AB52)/INDEX(Data!$K$63:$K$262,AB52)</f>
        <v>0.113515461093885</v>
      </c>
      <c r="AF52" s="72" t="n">
        <f aca="false">INDEX(Data!$H$63:$H$262,AB52)/INDEX(Data!$K$63:$K$262,AB52)</f>
        <v>0.0846521855874821</v>
      </c>
    </row>
    <row r="53" customFormat="false" ht="15" hidden="false" customHeight="true" outlineLevel="0" collapsed="false">
      <c r="A53" s="39" t="str">
        <f aca="false">Data!$A$30</f>
        <v>Singland/Garryowen</v>
      </c>
      <c r="B53" s="39" t="str">
        <f aca="false">Data!$B$30</f>
        <v>City neighbourhood</v>
      </c>
      <c r="C53" s="20" t="n">
        <f aca="false">IF(B53="City neighbourhood",1,0)</f>
        <v>1</v>
      </c>
      <c r="D53" s="72" t="n">
        <f aca="false">CHOOSE(Model!$B$4,Data!$G$30/Data!$B$52,Data!$C$30/SUM(Data!$C$23:$C$47),Data!$D$30/SUM(Data!$D$23:$D$47))</f>
        <v>0.0789515936702314</v>
      </c>
      <c r="E53" s="39" t="n">
        <f aca="false">Model!$B$17*D53</f>
        <v>3147.3263300701</v>
      </c>
      <c r="F53" s="39" t="n">
        <f aca="false">Data!$E$30</f>
        <v>4195</v>
      </c>
      <c r="G53" s="72" t="n">
        <f aca="false">Data!$F$30</f>
        <v>0.13674</v>
      </c>
      <c r="H53" s="39" t="n">
        <f aca="false">E53*Model!$B$15</f>
        <v>314.73263300701</v>
      </c>
      <c r="I53" s="39" t="n">
        <f aca="false">IF(Model!$B$30&gt;Model!$B$28,H53*Model!$B$28/Model!$B$30,H53)</f>
        <v>314.73263300701</v>
      </c>
      <c r="J53" s="39" t="n">
        <f aca="false">IF(C53=1,MAX(0,MIN(E53,Model!$B$14*(F53+E53)-G53*F53)-I53),0)</f>
        <v>580.108333007011</v>
      </c>
      <c r="K53" s="39" t="n">
        <f aca="false">IF(C53=1,E53,0)</f>
        <v>3147.3263300701</v>
      </c>
      <c r="L53" s="73" t="n">
        <f aca="false">IF(AND(C53=1,E53&gt;0),J53/E53,1000000000)</f>
        <v>0.184317821594969</v>
      </c>
      <c r="M53" s="39" t="n">
        <f aca="false">IF(C53=1,SUMPRODUCT((Model!$L$46:$L$70&lt;=L53)*Model!$J$46:$J$70)+L53*SUMPRODUCT((Model!$L$46:$L$70&gt;L53)*Model!$K$46:$K$70),1000000000000)</f>
        <v>4516.27116517944</v>
      </c>
      <c r="N53" s="73" t="n">
        <f aca="false">IF(M53&lt;=Model!$B$31,IF(L53&lt;1000000000,L53,0),0)</f>
        <v>0</v>
      </c>
      <c r="O53" s="39" t="n">
        <f aca="false">IF(Model!$B$13=1,IF(Model!$B$31&gt;=Model!$B$32,J53+IF(Model!$B$33&gt;0,(Model!$B$31-Model!$B$32)*K53/Model!$B$33,0),MIN(J53,Model!$B$35*K53)),0)</f>
        <v>554.017124504478</v>
      </c>
      <c r="P53" s="39" t="n">
        <f aca="false">IF(Model!$B$13=1,I53+O53,E53*Model!$B$27)</f>
        <v>868.749757511488</v>
      </c>
      <c r="Q53" s="72" t="n">
        <f aca="false">IF(E53&gt;0,P53/E53,0)</f>
        <v>0.276027861874792</v>
      </c>
      <c r="R53" s="72" t="n">
        <f aca="false">IF(F53+E53&gt;0,(G53*F53+P53)/(F53+E53),0)</f>
        <v>0.196446465693621</v>
      </c>
      <c r="S53" s="72" t="n">
        <f aca="false">Model!$B$24*(1-Q53)/Model!$B$29</f>
        <v>0.487022013816897</v>
      </c>
      <c r="T53" s="72" t="n">
        <f aca="false">Model!$B$23*(1-Q53)/Model!$B$29</f>
        <v>0.121611876427076</v>
      </c>
      <c r="U53" s="72" t="n">
        <f aca="false">Model!$B$19*Model!$B$12*(1-Q53)/Model!$B$29</f>
        <v>0.0576691239406173</v>
      </c>
      <c r="V53" s="72" t="n">
        <f aca="false">Model!$B$19*(1-Model!$B$12)*(1-Q53)/Model!$B$29</f>
        <v>0.0576691239406173</v>
      </c>
      <c r="W53" s="72" t="n">
        <f aca="false">Q53*Model!$B$38</f>
        <v>0.187158823296219</v>
      </c>
      <c r="X53" s="72" t="n">
        <f aca="false">Q53*Model!$B$39</f>
        <v>0.0512907289793888</v>
      </c>
      <c r="Y53" s="72" t="n">
        <f aca="false">Q53*Model!$B$40</f>
        <v>0.029413662945323</v>
      </c>
      <c r="Z53" s="72" t="n">
        <f aca="false">Q53*Model!$B$41</f>
        <v>0.00303557375592301</v>
      </c>
      <c r="AA53" s="72" t="n">
        <f aca="false">Q53*Model!$B$42</f>
        <v>0.00512907289793888</v>
      </c>
      <c r="AB53" s="20" t="n">
        <f aca="false">MATCH(A53&amp;"|"&amp;Model!$B$6&amp;"|"&amp;Model!$B$7,Data!$A$63:$A$262,0)</f>
        <v>185</v>
      </c>
      <c r="AC53" s="72" t="n">
        <f aca="false">(INDEX(Data!$E$63:$E$262,AB53)-Model!$B$8*INDEX(Data!$I$63:$I$262,AB53)-Model!$B$9*INDEX(Data!$J$63:$J$262,AB53))/INDEX(Data!$K$63:$K$262,AB53)</f>
        <v>0.496593938676083</v>
      </c>
      <c r="AD53" s="72" t="n">
        <f aca="false">(INDEX(Data!$F$63:$F$262,AB53)+Model!$B$8*INDEX(Data!$I$63:$I$262,AB53)+Model!$B$9*INDEX(Data!$J$63:$J$262,AB53))/INDEX(Data!$K$63:$K$262,AB53)</f>
        <v>0.198996114558687</v>
      </c>
      <c r="AE53" s="72" t="n">
        <f aca="false">INDEX(Data!$G$63:$G$262,AB53)/INDEX(Data!$K$63:$K$262,AB53)</f>
        <v>0.187649429569604</v>
      </c>
      <c r="AF53" s="72" t="n">
        <f aca="false">INDEX(Data!$H$63:$H$262,AB53)/INDEX(Data!$K$63:$K$262,AB53)</f>
        <v>0.116760517195626</v>
      </c>
    </row>
    <row r="54" customFormat="false" ht="15" hidden="false" customHeight="true" outlineLevel="0" collapsed="false">
      <c r="A54" s="39" t="str">
        <f aca="false">Data!$A$31</f>
        <v>Southhill</v>
      </c>
      <c r="B54" s="39" t="str">
        <f aca="false">Data!$B$31</f>
        <v>City neighbourhood</v>
      </c>
      <c r="C54" s="20" t="n">
        <f aca="false">IF(B54="City neighbourhood",1,0)</f>
        <v>1</v>
      </c>
      <c r="D54" s="72" t="n">
        <f aca="false">CHOOSE(Model!$B$4,Data!$G$31/Data!$B$52,Data!$C$31/SUM(Data!$C$23:$C$47),Data!$D$31/SUM(Data!$D$23:$D$47))</f>
        <v>0.0432879714107495</v>
      </c>
      <c r="E54" s="39" t="n">
        <f aca="false">Model!$B$17*D54</f>
        <v>1725.63169231812</v>
      </c>
      <c r="F54" s="39" t="n">
        <f aca="false">Data!$E$31</f>
        <v>2185</v>
      </c>
      <c r="G54" s="72" t="n">
        <f aca="false">Data!$F$31</f>
        <v>0.29598</v>
      </c>
      <c r="H54" s="39" t="n">
        <f aca="false">E54*Model!$B$15</f>
        <v>172.563169231812</v>
      </c>
      <c r="I54" s="39" t="n">
        <f aca="false">IF(Model!$B$30&gt;Model!$B$28,H54*Model!$B$28/Model!$B$30,H54)</f>
        <v>172.563169231812</v>
      </c>
      <c r="J54" s="39" t="n">
        <f aca="false">IF(C54=1,MAX(0,MIN(E54,Model!$B$14*(F54+E54)-G54*F54)-I54),0)</f>
        <v>0</v>
      </c>
      <c r="K54" s="39" t="n">
        <f aca="false">IF(C54=1,E54,0)</f>
        <v>1725.63169231812</v>
      </c>
      <c r="L54" s="73" t="n">
        <f aca="false">IF(AND(C54=1,E54&gt;0),J54/E54,1000000000)</f>
        <v>0</v>
      </c>
      <c r="M54" s="39" t="n">
        <f aca="false">IF(C54=1,SUMPRODUCT((Model!$L$46:$L$70&lt;=L54)*Model!$J$46:$J$70)+L54*SUMPRODUCT((Model!$L$46:$L$70&gt;L54)*Model!$K$46:$K$70),1000000000000)</f>
        <v>0</v>
      </c>
      <c r="N54" s="73" t="n">
        <f aca="false">IF(M54&lt;=Model!$B$31,IF(L54&lt;1000000000,L54,0),0)</f>
        <v>0</v>
      </c>
      <c r="O54" s="39" t="n">
        <f aca="false">IF(Model!$B$13=1,IF(Model!$B$31&gt;=Model!$B$32,J54+IF(Model!$B$33&gt;0,(Model!$B$31-Model!$B$32)*K54/Model!$B$33,0),MIN(J54,Model!$B$35*K54)),0)</f>
        <v>0</v>
      </c>
      <c r="P54" s="39" t="n">
        <f aca="false">IF(Model!$B$13=1,I54+O54,E54*Model!$B$27)</f>
        <v>172.563169231812</v>
      </c>
      <c r="Q54" s="72" t="n">
        <f aca="false">IF(E54&gt;0,P54/E54,0)</f>
        <v>0.1</v>
      </c>
      <c r="R54" s="72" t="n">
        <f aca="false">IF(F54+E54&gt;0,(G54*F54+P54)/(F54+E54),0)</f>
        <v>0.209500544590065</v>
      </c>
      <c r="S54" s="72" t="n">
        <f aca="false">Model!$B$24*(1-Q54)/Model!$B$29</f>
        <v>0.605437404773997</v>
      </c>
      <c r="T54" s="72" t="n">
        <f aca="false">Model!$B$23*(1-Q54)/Model!$B$29</f>
        <v>0.151180802437786</v>
      </c>
      <c r="U54" s="72" t="n">
        <f aca="false">Model!$B$19*Model!$B$12*(1-Q54)/Model!$B$29</f>
        <v>0.0716908963941087</v>
      </c>
      <c r="V54" s="72" t="n">
        <f aca="false">Model!$B$19*(1-Model!$B$12)*(1-Q54)/Model!$B$29</f>
        <v>0.0716908963941087</v>
      </c>
      <c r="W54" s="72" t="n">
        <f aca="false">Q54*Model!$B$38</f>
        <v>0.0678043230944255</v>
      </c>
      <c r="X54" s="72" t="n">
        <f aca="false">Q54*Model!$B$39</f>
        <v>0.018581721653394</v>
      </c>
      <c r="Y54" s="72" t="n">
        <f aca="false">Q54*Model!$B$40</f>
        <v>0.0106560485400076</v>
      </c>
      <c r="Z54" s="72" t="n">
        <f aca="false">Q54*Model!$B$41</f>
        <v>0.00109973454683352</v>
      </c>
      <c r="AA54" s="72" t="n">
        <f aca="false">Q54*Model!$B$42</f>
        <v>0.0018581721653394</v>
      </c>
      <c r="AB54" s="20" t="n">
        <f aca="false">MATCH(A54&amp;"|"&amp;Model!$B$6&amp;"|"&amp;Model!$B$7,Data!$A$63:$A$262,0)</f>
        <v>193</v>
      </c>
      <c r="AC54" s="72" t="n">
        <f aca="false">(INDEX(Data!$E$63:$E$262,AB54)-Model!$B$8*INDEX(Data!$I$63:$I$262,AB54)-Model!$B$9*INDEX(Data!$J$63:$J$262,AB54))/INDEX(Data!$K$63:$K$262,AB54)</f>
        <v>0.471744305268032</v>
      </c>
      <c r="AD54" s="72" t="n">
        <f aca="false">(INDEX(Data!$F$63:$F$262,AB54)+Model!$B$8*INDEX(Data!$I$63:$I$262,AB54)+Model!$B$9*INDEX(Data!$J$63:$J$262,AB54))/INDEX(Data!$K$63:$K$262,AB54)</f>
        <v>0.211910096683615</v>
      </c>
      <c r="AE54" s="72" t="n">
        <f aca="false">INDEX(Data!$G$63:$G$262,AB54)/INDEX(Data!$K$63:$K$262,AB54)</f>
        <v>0.163472450305193</v>
      </c>
      <c r="AF54" s="72" t="n">
        <f aca="false">INDEX(Data!$H$63:$H$262,AB54)/INDEX(Data!$K$63:$K$262,AB54)</f>
        <v>0.15287314774316</v>
      </c>
    </row>
    <row r="55" customFormat="false" ht="15" hidden="false" customHeight="true" outlineLevel="0" collapsed="false">
      <c r="A55" s="39" t="str">
        <f aca="false">Data!$A$32</f>
        <v>Abbeyfeale</v>
      </c>
      <c r="B55" s="39" t="str">
        <f aca="false">Data!$B$32</f>
        <v>Key town</v>
      </c>
      <c r="C55" s="20" t="n">
        <f aca="false">IF(B55="City neighbourhood",1,0)</f>
        <v>0</v>
      </c>
      <c r="D55" s="72" t="n">
        <f aca="false">CHOOSE(Model!$B$4,Data!$G$32/Data!$B$52,Data!$C$32/SUM(Data!$C$23:$C$47),Data!$D$32/SUM(Data!$D$23:$D$47))</f>
        <v>0.0135273812855677</v>
      </c>
      <c r="E55" s="39" t="n">
        <f aca="false">Model!$B$17*D55</f>
        <v>539.25552756787</v>
      </c>
      <c r="F55" s="39" t="n">
        <f aca="false">Data!$E$32</f>
        <v>924</v>
      </c>
      <c r="G55" s="72" t="n">
        <f aca="false">Data!$F$32</f>
        <v>0.21444</v>
      </c>
      <c r="H55" s="39" t="n">
        <f aca="false">E55*Model!$B$15</f>
        <v>53.925552756787</v>
      </c>
      <c r="I55" s="39" t="n">
        <f aca="false">IF(Model!$B$30&gt;Model!$B$28,H55*Model!$B$28/Model!$B$30,H55)</f>
        <v>53.925552756787</v>
      </c>
      <c r="J55" s="39" t="n">
        <f aca="false">IF(C55=1,MAX(0,MIN(E55,Model!$B$14*(F55+E55)-G55*F55)-I55),0)</f>
        <v>0</v>
      </c>
      <c r="K55" s="39" t="n">
        <f aca="false">IF(C55=1,E55,0)</f>
        <v>0</v>
      </c>
      <c r="L55" s="73" t="n">
        <f aca="false">IF(AND(C55=1,E55&gt;0),J55/E55,1000000000)</f>
        <v>1000000000</v>
      </c>
      <c r="M55" s="39" t="n">
        <f aca="false">IF(C55=1,SUMPRODUCT((Model!$L$46:$L$70&lt;=L55)*Model!$J$46:$J$70)+L55*SUMPRODUCT((Model!$L$46:$L$70&gt;L55)*Model!$K$46:$K$70),1000000000000)</f>
        <v>1000000000000</v>
      </c>
      <c r="N55" s="73" t="n">
        <f aca="false">IF(M55&lt;=Model!$B$31,IF(L55&lt;1000000000,L55,0),0)</f>
        <v>0</v>
      </c>
      <c r="O55" s="39" t="n">
        <f aca="false">IF(Model!$B$13=1,IF(Model!$B$31&gt;=Model!$B$32,J55+IF(Model!$B$33&gt;0,(Model!$B$31-Model!$B$32)*K55/Model!$B$33,0),MIN(J55,Model!$B$35*K55)),0)</f>
        <v>0</v>
      </c>
      <c r="P55" s="39" t="n">
        <f aca="false">IF(Model!$B$13=1,I55+O55,E55*Model!$B$27)</f>
        <v>53.925552756787</v>
      </c>
      <c r="Q55" s="72" t="n">
        <f aca="false">IF(E55&gt;0,P55/E55,0)</f>
        <v>0.1</v>
      </c>
      <c r="R55" s="72" t="n">
        <f aca="false">IF(F55+E55&gt;0,(G55*F55+P55)/(F55+E55),0)</f>
        <v>0.172265272884879</v>
      </c>
      <c r="S55" s="72" t="n">
        <f aca="false">Model!$B$24*(1-Q55)/Model!$B$29</f>
        <v>0.605437404773997</v>
      </c>
      <c r="T55" s="72" t="n">
        <f aca="false">Model!$B$23*(1-Q55)/Model!$B$29</f>
        <v>0.151180802437786</v>
      </c>
      <c r="U55" s="72" t="n">
        <f aca="false">Model!$B$19*Model!$B$12*(1-Q55)/Model!$B$29</f>
        <v>0.0716908963941087</v>
      </c>
      <c r="V55" s="72" t="n">
        <f aca="false">Model!$B$19*(1-Model!$B$12)*(1-Q55)/Model!$B$29</f>
        <v>0.0716908963941087</v>
      </c>
      <c r="W55" s="72" t="n">
        <f aca="false">Q55*Model!$B$38</f>
        <v>0.0678043230944255</v>
      </c>
      <c r="X55" s="72" t="n">
        <f aca="false">Q55*Model!$B$39</f>
        <v>0.018581721653394</v>
      </c>
      <c r="Y55" s="72" t="n">
        <f aca="false">Q55*Model!$B$40</f>
        <v>0.0106560485400076</v>
      </c>
      <c r="Z55" s="72" t="n">
        <f aca="false">Q55*Model!$B$41</f>
        <v>0.00109973454683352</v>
      </c>
      <c r="AA55" s="72" t="n">
        <f aca="false">Q55*Model!$B$42</f>
        <v>0.0018581721653394</v>
      </c>
      <c r="AB55" s="20" t="n">
        <f aca="false">MATCH(A55&amp;"|"&amp;Model!$B$6&amp;"|"&amp;Model!$B$7,Data!$A$63:$A$262,0)</f>
        <v>1</v>
      </c>
      <c r="AC55" s="72" t="n">
        <f aca="false">(INDEX(Data!$E$63:$E$262,AB55)-Model!$B$8*INDEX(Data!$I$63:$I$262,AB55)-Model!$B$9*INDEX(Data!$J$63:$J$262,AB55))/INDEX(Data!$K$63:$K$262,AB55)</f>
        <v>0.531385281385281</v>
      </c>
      <c r="AD55" s="72" t="n">
        <f aca="false">(INDEX(Data!$F$63:$F$262,AB55)+Model!$B$8*INDEX(Data!$I$63:$I$262,AB55)+Model!$B$9*INDEX(Data!$J$63:$J$262,AB55))/INDEX(Data!$K$63:$K$262,AB55)</f>
        <v>0.196753786529347</v>
      </c>
      <c r="AE55" s="72" t="n">
        <f aca="false">INDEX(Data!$G$63:$G$262,AB55)/INDEX(Data!$K$63:$K$262,AB55)</f>
        <v>0.151839017175675</v>
      </c>
      <c r="AF55" s="72" t="n">
        <f aca="false">INDEX(Data!$H$63:$H$262,AB55)/INDEX(Data!$K$63:$K$262,AB55)</f>
        <v>0.120021914909696</v>
      </c>
    </row>
    <row r="56" customFormat="false" ht="15" hidden="false" customHeight="true" outlineLevel="0" collapsed="false">
      <c r="A56" s="39" t="str">
        <f aca="false">Data!$A$33</f>
        <v>Caherconlish</v>
      </c>
      <c r="B56" s="39" t="str">
        <f aca="false">Data!$B$33</f>
        <v>Key town</v>
      </c>
      <c r="C56" s="20" t="n">
        <f aca="false">IF(B56="City neighbourhood",1,0)</f>
        <v>0</v>
      </c>
      <c r="D56" s="72" t="n">
        <f aca="false">CHOOSE(Model!$B$4,Data!$G$33/Data!$B$52,Data!$C$33/SUM(Data!$C$23:$C$47),Data!$D$33/SUM(Data!$D$23:$D$47))</f>
        <v>0.00802313648661256</v>
      </c>
      <c r="E56" s="39" t="n">
        <f aca="false">Model!$B$17*D56</f>
        <v>319.834312902323</v>
      </c>
      <c r="F56" s="39" t="n">
        <f aca="false">Data!$E$33</f>
        <v>521</v>
      </c>
      <c r="G56" s="72" t="n">
        <f aca="false">Data!$F$33</f>
        <v>0.16367</v>
      </c>
      <c r="H56" s="39" t="n">
        <f aca="false">E56*Model!$B$15</f>
        <v>31.9834312902323</v>
      </c>
      <c r="I56" s="39" t="n">
        <f aca="false">IF(Model!$B$30&gt;Model!$B$28,H56*Model!$B$28/Model!$B$30,H56)</f>
        <v>31.9834312902323</v>
      </c>
      <c r="J56" s="39" t="n">
        <f aca="false">IF(C56=1,MAX(0,MIN(E56,Model!$B$14*(F56+E56)-G56*F56)-I56),0)</f>
        <v>0</v>
      </c>
      <c r="K56" s="39" t="n">
        <f aca="false">IF(C56=1,E56,0)</f>
        <v>0</v>
      </c>
      <c r="L56" s="73" t="n">
        <f aca="false">IF(AND(C56=1,E56&gt;0),J56/E56,1000000000)</f>
        <v>1000000000</v>
      </c>
      <c r="M56" s="39" t="n">
        <f aca="false">IF(C56=1,SUMPRODUCT((Model!$L$46:$L$70&lt;=L56)*Model!$J$46:$J$70)+L56*SUMPRODUCT((Model!$L$46:$L$70&gt;L56)*Model!$K$46:$K$70),1000000000000)</f>
        <v>1000000000000</v>
      </c>
      <c r="N56" s="73" t="n">
        <f aca="false">IF(M56&lt;=Model!$B$31,IF(L56&lt;1000000000,L56,0),0)</f>
        <v>0</v>
      </c>
      <c r="O56" s="39" t="n">
        <f aca="false">IF(Model!$B$13=1,IF(Model!$B$31&gt;=Model!$B$32,J56+IF(Model!$B$33&gt;0,(Model!$B$31-Model!$B$32)*K56/Model!$B$33,0),MIN(J56,Model!$B$35*K56)),0)</f>
        <v>0</v>
      </c>
      <c r="P56" s="39" t="n">
        <f aca="false">IF(Model!$B$13=1,I56+O56,E56*Model!$B$27)</f>
        <v>31.9834312902323</v>
      </c>
      <c r="Q56" s="72" t="n">
        <f aca="false">IF(E56&gt;0,P56/E56,0)</f>
        <v>0.1</v>
      </c>
      <c r="R56" s="72" t="n">
        <f aca="false">IF(F56+E56&gt;0,(G56*F56+P56)/(F56+E56),0)</f>
        <v>0.139451375248352</v>
      </c>
      <c r="S56" s="72" t="n">
        <f aca="false">Model!$B$24*(1-Q56)/Model!$B$29</f>
        <v>0.605437404773997</v>
      </c>
      <c r="T56" s="72" t="n">
        <f aca="false">Model!$B$23*(1-Q56)/Model!$B$29</f>
        <v>0.151180802437786</v>
      </c>
      <c r="U56" s="72" t="n">
        <f aca="false">Model!$B$19*Model!$B$12*(1-Q56)/Model!$B$29</f>
        <v>0.0716908963941087</v>
      </c>
      <c r="V56" s="72" t="n">
        <f aca="false">Model!$B$19*(1-Model!$B$12)*(1-Q56)/Model!$B$29</f>
        <v>0.0716908963941087</v>
      </c>
      <c r="W56" s="72" t="n">
        <f aca="false">Q56*Model!$B$38</f>
        <v>0.0678043230944255</v>
      </c>
      <c r="X56" s="72" t="n">
        <f aca="false">Q56*Model!$B$39</f>
        <v>0.018581721653394</v>
      </c>
      <c r="Y56" s="72" t="n">
        <f aca="false">Q56*Model!$B$40</f>
        <v>0.0106560485400076</v>
      </c>
      <c r="Z56" s="72" t="n">
        <f aca="false">Q56*Model!$B$41</f>
        <v>0.00109973454683352</v>
      </c>
      <c r="AA56" s="72" t="n">
        <f aca="false">Q56*Model!$B$42</f>
        <v>0.0018581721653394</v>
      </c>
      <c r="AB56" s="20" t="n">
        <f aca="false">MATCH(A56&amp;"|"&amp;Model!$B$6&amp;"|"&amp;Model!$B$7,Data!$A$63:$A$262,0)</f>
        <v>41</v>
      </c>
      <c r="AC56" s="72" t="n">
        <f aca="false">(INDEX(Data!$E$63:$E$262,AB56)-Model!$B$8*INDEX(Data!$I$63:$I$262,AB56)-Model!$B$9*INDEX(Data!$J$63:$J$262,AB56))/INDEX(Data!$K$63:$K$262,AB56)</f>
        <v>0.382566372775908</v>
      </c>
      <c r="AD56" s="72" t="n">
        <f aca="false">(INDEX(Data!$F$63:$F$262,AB56)+Model!$B$8*INDEX(Data!$I$63:$I$262,AB56)+Model!$B$9*INDEX(Data!$J$63:$J$262,AB56))/INDEX(Data!$K$63:$K$262,AB56)</f>
        <v>0.220209565716652</v>
      </c>
      <c r="AE56" s="72" t="n">
        <f aca="false">INDEX(Data!$G$63:$G$262,AB56)/INDEX(Data!$K$63:$K$262,AB56)</f>
        <v>0.247855546170733</v>
      </c>
      <c r="AF56" s="72" t="n">
        <f aca="false">INDEX(Data!$H$63:$H$262,AB56)/INDEX(Data!$K$63:$K$262,AB56)</f>
        <v>0.149368515336709</v>
      </c>
    </row>
    <row r="57" customFormat="false" ht="15" hidden="false" customHeight="true" outlineLevel="0" collapsed="false">
      <c r="A57" s="39" t="str">
        <f aca="false">Data!$A$34</f>
        <v>Castleconnell</v>
      </c>
      <c r="B57" s="39" t="str">
        <f aca="false">Data!$B$34</f>
        <v>Key town</v>
      </c>
      <c r="C57" s="20" t="n">
        <f aca="false">IF(B57="City neighbourhood",1,0)</f>
        <v>0</v>
      </c>
      <c r="D57" s="72" t="n">
        <f aca="false">CHOOSE(Model!$B$4,Data!$G$34/Data!$B$52,Data!$C$34/SUM(Data!$C$23:$C$47),Data!$D$34/SUM(Data!$D$23:$D$47))</f>
        <v>0.0131542121466555</v>
      </c>
      <c r="E57" s="39" t="n">
        <f aca="false">Model!$B$17*D57</f>
        <v>524.379513014274</v>
      </c>
      <c r="F57" s="39" t="n">
        <f aca="false">Data!$E$34</f>
        <v>905</v>
      </c>
      <c r="G57" s="72" t="n">
        <f aca="false">Data!$F$34</f>
        <v>0.11251</v>
      </c>
      <c r="H57" s="39" t="n">
        <f aca="false">E57*Model!$B$15</f>
        <v>52.4379513014274</v>
      </c>
      <c r="I57" s="39" t="n">
        <f aca="false">IF(Model!$B$30&gt;Model!$B$28,H57*Model!$B$28/Model!$B$30,H57)</f>
        <v>52.4379513014274</v>
      </c>
      <c r="J57" s="39" t="n">
        <f aca="false">IF(C57=1,MAX(0,MIN(E57,Model!$B$14*(F57+E57)-G57*F57)-I57),0)</f>
        <v>0</v>
      </c>
      <c r="K57" s="39" t="n">
        <f aca="false">IF(C57=1,E57,0)</f>
        <v>0</v>
      </c>
      <c r="L57" s="73" t="n">
        <f aca="false">IF(AND(C57=1,E57&gt;0),J57/E57,1000000000)</f>
        <v>1000000000</v>
      </c>
      <c r="M57" s="39" t="n">
        <f aca="false">IF(C57=1,SUMPRODUCT((Model!$L$46:$L$70&lt;=L57)*Model!$J$46:$J$70)+L57*SUMPRODUCT((Model!$L$46:$L$70&gt;L57)*Model!$K$46:$K$70),1000000000000)</f>
        <v>1000000000000</v>
      </c>
      <c r="N57" s="73" t="n">
        <f aca="false">IF(M57&lt;=Model!$B$31,IF(L57&lt;1000000000,L57,0),0)</f>
        <v>0</v>
      </c>
      <c r="O57" s="39" t="n">
        <f aca="false">IF(Model!$B$13=1,IF(Model!$B$31&gt;=Model!$B$32,J57+IF(Model!$B$33&gt;0,(Model!$B$31-Model!$B$32)*K57/Model!$B$33,0),MIN(J57,Model!$B$35*K57)),0)</f>
        <v>0</v>
      </c>
      <c r="P57" s="39" t="n">
        <f aca="false">IF(Model!$B$13=1,I57+O57,E57*Model!$B$27)</f>
        <v>52.4379513014274</v>
      </c>
      <c r="Q57" s="72" t="n">
        <f aca="false">IF(E57&gt;0,P57/E57,0)</f>
        <v>0.1</v>
      </c>
      <c r="R57" s="72" t="n">
        <f aca="false">IF(F57+E57&gt;0,(G57*F57+P57)/(F57+E57),0)</f>
        <v>0.10792060463783</v>
      </c>
      <c r="S57" s="72" t="n">
        <f aca="false">Model!$B$24*(1-Q57)/Model!$B$29</f>
        <v>0.605437404773997</v>
      </c>
      <c r="T57" s="72" t="n">
        <f aca="false">Model!$B$23*(1-Q57)/Model!$B$29</f>
        <v>0.151180802437786</v>
      </c>
      <c r="U57" s="72" t="n">
        <f aca="false">Model!$B$19*Model!$B$12*(1-Q57)/Model!$B$29</f>
        <v>0.0716908963941087</v>
      </c>
      <c r="V57" s="72" t="n">
        <f aca="false">Model!$B$19*(1-Model!$B$12)*(1-Q57)/Model!$B$29</f>
        <v>0.0716908963941087</v>
      </c>
      <c r="W57" s="72" t="n">
        <f aca="false">Q57*Model!$B$38</f>
        <v>0.0678043230944255</v>
      </c>
      <c r="X57" s="72" t="n">
        <f aca="false">Q57*Model!$B$39</f>
        <v>0.018581721653394</v>
      </c>
      <c r="Y57" s="72" t="n">
        <f aca="false">Q57*Model!$B$40</f>
        <v>0.0106560485400076</v>
      </c>
      <c r="Z57" s="72" t="n">
        <f aca="false">Q57*Model!$B$41</f>
        <v>0.00109973454683352</v>
      </c>
      <c r="AA57" s="72" t="n">
        <f aca="false">Q57*Model!$B$42</f>
        <v>0.0018581721653394</v>
      </c>
      <c r="AB57" s="20" t="n">
        <f aca="false">MATCH(A57&amp;"|"&amp;Model!$B$6&amp;"|"&amp;Model!$B$7,Data!$A$63:$A$262,0)</f>
        <v>65</v>
      </c>
      <c r="AC57" s="72" t="n">
        <f aca="false">(INDEX(Data!$E$63:$E$262,AB57)-Model!$B$8*INDEX(Data!$I$63:$I$262,AB57)-Model!$B$9*INDEX(Data!$J$63:$J$262,AB57))/INDEX(Data!$K$63:$K$262,AB57)</f>
        <v>0.430358293565497</v>
      </c>
      <c r="AD57" s="72" t="n">
        <f aca="false">(INDEX(Data!$F$63:$F$262,AB57)+Model!$B$8*INDEX(Data!$I$63:$I$262,AB57)+Model!$B$9*INDEX(Data!$J$63:$J$262,AB57))/INDEX(Data!$K$63:$K$262,AB57)</f>
        <v>0.210969328758728</v>
      </c>
      <c r="AE57" s="72" t="n">
        <f aca="false">INDEX(Data!$G$63:$G$262,AB57)/INDEX(Data!$K$63:$K$262,AB57)</f>
        <v>0.232234120376013</v>
      </c>
      <c r="AF57" s="72" t="n">
        <f aca="false">INDEX(Data!$H$63:$H$262,AB57)/INDEX(Data!$K$63:$K$262,AB57)</f>
        <v>0.126438257299763</v>
      </c>
    </row>
    <row r="58" customFormat="false" ht="15" hidden="false" customHeight="true" outlineLevel="0" collapsed="false">
      <c r="A58" s="39" t="str">
        <f aca="false">Data!$A$35</f>
        <v>Kilmallock</v>
      </c>
      <c r="B58" s="39" t="str">
        <f aca="false">Data!$B$35</f>
        <v>Key town</v>
      </c>
      <c r="C58" s="20" t="n">
        <f aca="false">IF(B58="City neighbourhood",1,0)</f>
        <v>0</v>
      </c>
      <c r="D58" s="72" t="n">
        <f aca="false">CHOOSE(Model!$B$4,Data!$G$35/Data!$B$52,Data!$C$35/SUM(Data!$C$23:$C$47),Data!$D$35/SUM(Data!$D$23:$D$47))</f>
        <v>0.0104020897471779</v>
      </c>
      <c r="E58" s="39" t="n">
        <f aca="false">Model!$B$17*D58</f>
        <v>414.6689056815</v>
      </c>
      <c r="F58" s="39" t="n">
        <f aca="false">Data!$E$35</f>
        <v>718</v>
      </c>
      <c r="G58" s="72" t="n">
        <f aca="false">Data!$F$35</f>
        <v>0.20437</v>
      </c>
      <c r="H58" s="39" t="n">
        <f aca="false">E58*Model!$B$15</f>
        <v>41.46689056815</v>
      </c>
      <c r="I58" s="39" t="n">
        <f aca="false">IF(Model!$B$30&gt;Model!$B$28,H58*Model!$B$28/Model!$B$30,H58)</f>
        <v>41.46689056815</v>
      </c>
      <c r="J58" s="39" t="n">
        <f aca="false">IF(C58=1,MAX(0,MIN(E58,Model!$B$14*(F58+E58)-G58*F58)-I58),0)</f>
        <v>0</v>
      </c>
      <c r="K58" s="39" t="n">
        <f aca="false">IF(C58=1,E58,0)</f>
        <v>0</v>
      </c>
      <c r="L58" s="73" t="n">
        <f aca="false">IF(AND(C58=1,E58&gt;0),J58/E58,1000000000)</f>
        <v>1000000000</v>
      </c>
      <c r="M58" s="39" t="n">
        <f aca="false">IF(C58=1,SUMPRODUCT((Model!$L$46:$L$70&lt;=L58)*Model!$J$46:$J$70)+L58*SUMPRODUCT((Model!$L$46:$L$70&gt;L58)*Model!$K$46:$K$70),1000000000000)</f>
        <v>1000000000000</v>
      </c>
      <c r="N58" s="73" t="n">
        <f aca="false">IF(M58&lt;=Model!$B$31,IF(L58&lt;1000000000,L58,0),0)</f>
        <v>0</v>
      </c>
      <c r="O58" s="39" t="n">
        <f aca="false">IF(Model!$B$13=1,IF(Model!$B$31&gt;=Model!$B$32,J58+IF(Model!$B$33&gt;0,(Model!$B$31-Model!$B$32)*K58/Model!$B$33,0),MIN(J58,Model!$B$35*K58)),0)</f>
        <v>0</v>
      </c>
      <c r="P58" s="39" t="n">
        <f aca="false">IF(Model!$B$13=1,I58+O58,E58*Model!$B$27)</f>
        <v>41.46689056815</v>
      </c>
      <c r="Q58" s="72" t="n">
        <f aca="false">IF(E58&gt;0,P58/E58,0)</f>
        <v>0.1</v>
      </c>
      <c r="R58" s="72" t="n">
        <f aca="false">IF(F58+E58&gt;0,(G58*F58+P58)/(F58+E58),0)</f>
        <v>0.166160251794775</v>
      </c>
      <c r="S58" s="72" t="n">
        <f aca="false">Model!$B$24*(1-Q58)/Model!$B$29</f>
        <v>0.605437404773997</v>
      </c>
      <c r="T58" s="72" t="n">
        <f aca="false">Model!$B$23*(1-Q58)/Model!$B$29</f>
        <v>0.151180802437786</v>
      </c>
      <c r="U58" s="72" t="n">
        <f aca="false">Model!$B$19*Model!$B$12*(1-Q58)/Model!$B$29</f>
        <v>0.0716908963941087</v>
      </c>
      <c r="V58" s="72" t="n">
        <f aca="false">Model!$B$19*(1-Model!$B$12)*(1-Q58)/Model!$B$29</f>
        <v>0.0716908963941087</v>
      </c>
      <c r="W58" s="72" t="n">
        <f aca="false">Q58*Model!$B$38</f>
        <v>0.0678043230944255</v>
      </c>
      <c r="X58" s="72" t="n">
        <f aca="false">Q58*Model!$B$39</f>
        <v>0.018581721653394</v>
      </c>
      <c r="Y58" s="72" t="n">
        <f aca="false">Q58*Model!$B$40</f>
        <v>0.0106560485400076</v>
      </c>
      <c r="Z58" s="72" t="n">
        <f aca="false">Q58*Model!$B$41</f>
        <v>0.00109973454683352</v>
      </c>
      <c r="AA58" s="72" t="n">
        <f aca="false">Q58*Model!$B$42</f>
        <v>0.0018581721653394</v>
      </c>
      <c r="AB58" s="20" t="n">
        <f aca="false">MATCH(A58&amp;"|"&amp;Model!$B$6&amp;"|"&amp;Model!$B$7,Data!$A$63:$A$262,0)</f>
        <v>129</v>
      </c>
      <c r="AC58" s="72" t="n">
        <f aca="false">(INDEX(Data!$E$63:$E$262,AB58)-Model!$B$8*INDEX(Data!$I$63:$I$262,AB58)-Model!$B$9*INDEX(Data!$J$63:$J$262,AB58))/INDEX(Data!$K$63:$K$262,AB58)</f>
        <v>0.60543949955533</v>
      </c>
      <c r="AD58" s="72" t="n">
        <f aca="false">(INDEX(Data!$F$63:$F$262,AB58)+Model!$B$8*INDEX(Data!$I$63:$I$262,AB58)+Model!$B$9*INDEX(Data!$J$63:$J$262,AB58))/INDEX(Data!$K$63:$K$262,AB58)</f>
        <v>0.135453324252187</v>
      </c>
      <c r="AE58" s="72" t="n">
        <f aca="false">INDEX(Data!$G$63:$G$262,AB58)/INDEX(Data!$K$63:$K$262,AB58)</f>
        <v>0.152169437795939</v>
      </c>
      <c r="AF58" s="72" t="n">
        <f aca="false">INDEX(Data!$H$63:$H$262,AB58)/INDEX(Data!$K$63:$K$262,AB58)</f>
        <v>0.106937738396545</v>
      </c>
    </row>
    <row r="59" customFormat="false" ht="15" hidden="false" customHeight="true" outlineLevel="0" collapsed="false">
      <c r="A59" s="39" t="str">
        <f aca="false">Data!$A$36</f>
        <v>Newcastle West</v>
      </c>
      <c r="B59" s="39" t="str">
        <f aca="false">Data!$B$36</f>
        <v>Key town</v>
      </c>
      <c r="C59" s="20" t="n">
        <f aca="false">IF(B59="City neighbourhood",1,0)</f>
        <v>0</v>
      </c>
      <c r="D59" s="72" t="n">
        <f aca="false">CHOOSE(Model!$B$4,Data!$G$36/Data!$B$52,Data!$C$36/SUM(Data!$C$23:$C$47),Data!$D$36/SUM(Data!$D$23:$D$47))</f>
        <v>0.0452934042354697</v>
      </c>
      <c r="E59" s="39" t="n">
        <f aca="false">Model!$B$17*D59</f>
        <v>1805.57626644277</v>
      </c>
      <c r="F59" s="39" t="n">
        <f aca="false">Data!$E$36</f>
        <v>2672</v>
      </c>
      <c r="G59" s="72" t="n">
        <f aca="false">Data!$F$36</f>
        <v>0.13176</v>
      </c>
      <c r="H59" s="39" t="n">
        <f aca="false">E59*Model!$B$15</f>
        <v>180.557626644277</v>
      </c>
      <c r="I59" s="39" t="n">
        <f aca="false">IF(Model!$B$30&gt;Model!$B$28,H59*Model!$B$28/Model!$B$30,H59)</f>
        <v>180.557626644277</v>
      </c>
      <c r="J59" s="39" t="n">
        <f aca="false">IF(C59=1,MAX(0,MIN(E59,Model!$B$14*(F59+E59)-G59*F59)-I59),0)</f>
        <v>0</v>
      </c>
      <c r="K59" s="39" t="n">
        <f aca="false">IF(C59=1,E59,0)</f>
        <v>0</v>
      </c>
      <c r="L59" s="73" t="n">
        <f aca="false">IF(AND(C59=1,E59&gt;0),J59/E59,1000000000)</f>
        <v>1000000000</v>
      </c>
      <c r="M59" s="39" t="n">
        <f aca="false">IF(C59=1,SUMPRODUCT((Model!$L$46:$L$70&lt;=L59)*Model!$J$46:$J$70)+L59*SUMPRODUCT((Model!$L$46:$L$70&gt;L59)*Model!$K$46:$K$70),1000000000000)</f>
        <v>1000000000000</v>
      </c>
      <c r="N59" s="73" t="n">
        <f aca="false">IF(M59&lt;=Model!$B$31,IF(L59&lt;1000000000,L59,0),0)</f>
        <v>0</v>
      </c>
      <c r="O59" s="39" t="n">
        <f aca="false">IF(Model!$B$13=1,IF(Model!$B$31&gt;=Model!$B$32,J59+IF(Model!$B$33&gt;0,(Model!$B$31-Model!$B$32)*K59/Model!$B$33,0),MIN(J59,Model!$B$35*K59)),0)</f>
        <v>0</v>
      </c>
      <c r="P59" s="39" t="n">
        <f aca="false">IF(Model!$B$13=1,I59+O59,E59*Model!$B$27)</f>
        <v>180.557626644277</v>
      </c>
      <c r="Q59" s="72" t="n">
        <f aca="false">IF(E59&gt;0,P59/E59,0)</f>
        <v>0.1</v>
      </c>
      <c r="R59" s="72" t="n">
        <f aca="false">IF(F59+E59&gt;0,(G59*F59+P59)/(F59+E59),0)</f>
        <v>0.118952825133545</v>
      </c>
      <c r="S59" s="72" t="n">
        <f aca="false">Model!$B$24*(1-Q59)/Model!$B$29</f>
        <v>0.605437404773997</v>
      </c>
      <c r="T59" s="72" t="n">
        <f aca="false">Model!$B$23*(1-Q59)/Model!$B$29</f>
        <v>0.151180802437786</v>
      </c>
      <c r="U59" s="72" t="n">
        <f aca="false">Model!$B$19*Model!$B$12*(1-Q59)/Model!$B$29</f>
        <v>0.0716908963941087</v>
      </c>
      <c r="V59" s="72" t="n">
        <f aca="false">Model!$B$19*(1-Model!$B$12)*(1-Q59)/Model!$B$29</f>
        <v>0.0716908963941087</v>
      </c>
      <c r="W59" s="72" t="n">
        <f aca="false">Q59*Model!$B$38</f>
        <v>0.0678043230944255</v>
      </c>
      <c r="X59" s="72" t="n">
        <f aca="false">Q59*Model!$B$39</f>
        <v>0.018581721653394</v>
      </c>
      <c r="Y59" s="72" t="n">
        <f aca="false">Q59*Model!$B$40</f>
        <v>0.0106560485400076</v>
      </c>
      <c r="Z59" s="72" t="n">
        <f aca="false">Q59*Model!$B$41</f>
        <v>0.00109973454683352</v>
      </c>
      <c r="AA59" s="72" t="n">
        <f aca="false">Q59*Model!$B$42</f>
        <v>0.0018581721653394</v>
      </c>
      <c r="AB59" s="20" t="n">
        <f aca="false">MATCH(A59&amp;"|"&amp;Model!$B$6&amp;"|"&amp;Model!$B$7,Data!$A$63:$A$262,0)</f>
        <v>153</v>
      </c>
      <c r="AC59" s="72" t="n">
        <f aca="false">(INDEX(Data!$E$63:$E$262,AB59)-Model!$B$8*INDEX(Data!$I$63:$I$262,AB59)-Model!$B$9*INDEX(Data!$J$63:$J$262,AB59))/INDEX(Data!$K$63:$K$262,AB59)</f>
        <v>0.4676316500383</v>
      </c>
      <c r="AD59" s="72" t="n">
        <f aca="false">(INDEX(Data!$F$63:$F$262,AB59)+Model!$B$8*INDEX(Data!$I$63:$I$262,AB59)+Model!$B$9*INDEX(Data!$J$63:$J$262,AB59))/INDEX(Data!$K$63:$K$262,AB59)</f>
        <v>0.210683424381258</v>
      </c>
      <c r="AE59" s="72" t="n">
        <f aca="false">INDEX(Data!$G$63:$G$262,AB59)/INDEX(Data!$K$63:$K$262,AB59)</f>
        <v>0.190962998926713</v>
      </c>
      <c r="AF59" s="72" t="n">
        <f aca="false">INDEX(Data!$H$63:$H$262,AB59)/INDEX(Data!$K$63:$K$262,AB59)</f>
        <v>0.130721926653728</v>
      </c>
    </row>
    <row r="60" customFormat="false" ht="15" hidden="false" customHeight="true" outlineLevel="0" collapsed="false">
      <c r="A60" s="39" t="str">
        <f aca="false">Data!$A$37</f>
        <v>Rathkeale</v>
      </c>
      <c r="B60" s="39" t="str">
        <f aca="false">Data!$B$37</f>
        <v>Key town</v>
      </c>
      <c r="C60" s="20" t="n">
        <f aca="false">IF(B60="City neighbourhood",1,0)</f>
        <v>0</v>
      </c>
      <c r="D60" s="72" t="n">
        <f aca="false">CHOOSE(Model!$B$4,Data!$G$37/Data!$B$52,Data!$C$37/SUM(Data!$C$23:$C$47),Data!$D$37/SUM(Data!$D$23:$D$47))</f>
        <v>0.00942252075753335</v>
      </c>
      <c r="E60" s="39" t="n">
        <f aca="false">Model!$B$17*D60</f>
        <v>375.61936747831</v>
      </c>
      <c r="F60" s="39" t="n">
        <f aca="false">Data!$E$37</f>
        <v>459</v>
      </c>
      <c r="G60" s="72" t="n">
        <f aca="false">Data!$F$37</f>
        <v>0.31382</v>
      </c>
      <c r="H60" s="39" t="n">
        <f aca="false">E60*Model!$B$15</f>
        <v>37.561936747831</v>
      </c>
      <c r="I60" s="39" t="n">
        <f aca="false">IF(Model!$B$30&gt;Model!$B$28,H60*Model!$B$28/Model!$B$30,H60)</f>
        <v>37.561936747831</v>
      </c>
      <c r="J60" s="39" t="n">
        <f aca="false">IF(C60=1,MAX(0,MIN(E60,Model!$B$14*(F60+E60)-G60*F60)-I60),0)</f>
        <v>0</v>
      </c>
      <c r="K60" s="39" t="n">
        <f aca="false">IF(C60=1,E60,0)</f>
        <v>0</v>
      </c>
      <c r="L60" s="73" t="n">
        <f aca="false">IF(AND(C60=1,E60&gt;0),J60/E60,1000000000)</f>
        <v>1000000000</v>
      </c>
      <c r="M60" s="39" t="n">
        <f aca="false">IF(C60=1,SUMPRODUCT((Model!$L$46:$L$70&lt;=L60)*Model!$J$46:$J$70)+L60*SUMPRODUCT((Model!$L$46:$L$70&gt;L60)*Model!$K$46:$K$70),1000000000000)</f>
        <v>1000000000000</v>
      </c>
      <c r="N60" s="73" t="n">
        <f aca="false">IF(M60&lt;=Model!$B$31,IF(L60&lt;1000000000,L60,0),0)</f>
        <v>0</v>
      </c>
      <c r="O60" s="39" t="n">
        <f aca="false">IF(Model!$B$13=1,IF(Model!$B$31&gt;=Model!$B$32,J60+IF(Model!$B$33&gt;0,(Model!$B$31-Model!$B$32)*K60/Model!$B$33,0),MIN(J60,Model!$B$35*K60)),0)</f>
        <v>0</v>
      </c>
      <c r="P60" s="39" t="n">
        <f aca="false">IF(Model!$B$13=1,I60+O60,E60*Model!$B$27)</f>
        <v>37.561936747831</v>
      </c>
      <c r="Q60" s="72" t="n">
        <f aca="false">IF(E60&gt;0,P60/E60,0)</f>
        <v>0.1</v>
      </c>
      <c r="R60" s="72" t="n">
        <f aca="false">IF(F60+E60&gt;0,(G60*F60+P60)/(F60+E60),0)</f>
        <v>0.217590585390472</v>
      </c>
      <c r="S60" s="72" t="n">
        <f aca="false">Model!$B$24*(1-Q60)/Model!$B$29</f>
        <v>0.605437404773997</v>
      </c>
      <c r="T60" s="72" t="n">
        <f aca="false">Model!$B$23*(1-Q60)/Model!$B$29</f>
        <v>0.151180802437786</v>
      </c>
      <c r="U60" s="72" t="n">
        <f aca="false">Model!$B$19*Model!$B$12*(1-Q60)/Model!$B$29</f>
        <v>0.0716908963941087</v>
      </c>
      <c r="V60" s="72" t="n">
        <f aca="false">Model!$B$19*(1-Model!$B$12)*(1-Q60)/Model!$B$29</f>
        <v>0.0716908963941087</v>
      </c>
      <c r="W60" s="72" t="n">
        <f aca="false">Q60*Model!$B$38</f>
        <v>0.0678043230944255</v>
      </c>
      <c r="X60" s="72" t="n">
        <f aca="false">Q60*Model!$B$39</f>
        <v>0.018581721653394</v>
      </c>
      <c r="Y60" s="72" t="n">
        <f aca="false">Q60*Model!$B$40</f>
        <v>0.0106560485400076</v>
      </c>
      <c r="Z60" s="72" t="n">
        <f aca="false">Q60*Model!$B$41</f>
        <v>0.00109973454683352</v>
      </c>
      <c r="AA60" s="72" t="n">
        <f aca="false">Q60*Model!$B$42</f>
        <v>0.0018581721653394</v>
      </c>
      <c r="AB60" s="20" t="n">
        <f aca="false">MATCH(A60&amp;"|"&amp;Model!$B$6&amp;"|"&amp;Model!$B$7,Data!$A$63:$A$262,0)</f>
        <v>169</v>
      </c>
      <c r="AC60" s="72" t="n">
        <f aca="false">(INDEX(Data!$E$63:$E$262,AB60)-Model!$B$8*INDEX(Data!$I$63:$I$262,AB60)-Model!$B$9*INDEX(Data!$J$63:$J$262,AB60))/INDEX(Data!$K$63:$K$262,AB60)</f>
        <v>0.571718721571901</v>
      </c>
      <c r="AD60" s="72" t="n">
        <f aca="false">(INDEX(Data!$F$63:$F$262,AB60)+Model!$B$8*INDEX(Data!$I$63:$I$262,AB60)+Model!$B$9*INDEX(Data!$J$63:$J$262,AB60))/INDEX(Data!$K$63:$K$262,AB60)</f>
        <v>0.17281170951713</v>
      </c>
      <c r="AE60" s="72" t="n">
        <f aca="false">INDEX(Data!$G$63:$G$262,AB60)/INDEX(Data!$K$63:$K$262,AB60)</f>
        <v>0.135370664244361</v>
      </c>
      <c r="AF60" s="72" t="n">
        <f aca="false">INDEX(Data!$H$63:$H$262,AB60)/INDEX(Data!$K$63:$K$262,AB60)</f>
        <v>0.120098904666607</v>
      </c>
    </row>
    <row r="61" customFormat="false" ht="15" hidden="false" customHeight="true" outlineLevel="0" collapsed="false">
      <c r="A61" s="39" t="str">
        <f aca="false">Data!$A$38</f>
        <v>Adare</v>
      </c>
      <c r="B61" s="39" t="str">
        <f aca="false">Data!$B$38</f>
        <v>Village</v>
      </c>
      <c r="C61" s="20" t="n">
        <f aca="false">IF(B61="City neighbourhood",1,0)</f>
        <v>0</v>
      </c>
      <c r="D61" s="72" t="n">
        <f aca="false">CHOOSE(Model!$B$4,Data!$G$38/Data!$B$52,Data!$C$38/SUM(Data!$C$23:$C$47),Data!$D$38/SUM(Data!$D$23:$D$47))</f>
        <v>0.0093292284728053</v>
      </c>
      <c r="E61" s="39" t="n">
        <f aca="false">Model!$B$17*D61</f>
        <v>371.90036383991</v>
      </c>
      <c r="F61" s="39" t="n">
        <f aca="false">Data!$E$38</f>
        <v>476</v>
      </c>
      <c r="G61" s="72" t="n">
        <f aca="false">Data!$F$38</f>
        <v>0.11398</v>
      </c>
      <c r="H61" s="39" t="n">
        <f aca="false">E61*Model!$B$15</f>
        <v>37.190036383991</v>
      </c>
      <c r="I61" s="39" t="n">
        <f aca="false">IF(Model!$B$30&gt;Model!$B$28,H61*Model!$B$28/Model!$B$30,H61)</f>
        <v>37.190036383991</v>
      </c>
      <c r="J61" s="39" t="n">
        <f aca="false">IF(C61=1,MAX(0,MIN(E61,Model!$B$14*(F61+E61)-G61*F61)-I61),0)</f>
        <v>0</v>
      </c>
      <c r="K61" s="39" t="n">
        <f aca="false">IF(C61=1,E61,0)</f>
        <v>0</v>
      </c>
      <c r="L61" s="73" t="n">
        <f aca="false">IF(AND(C61=1,E61&gt;0),J61/E61,1000000000)</f>
        <v>1000000000</v>
      </c>
      <c r="M61" s="39" t="n">
        <f aca="false">IF(C61=1,SUMPRODUCT((Model!$L$46:$L$70&lt;=L61)*Model!$J$46:$J$70)+L61*SUMPRODUCT((Model!$L$46:$L$70&gt;L61)*Model!$K$46:$K$70),1000000000000)</f>
        <v>1000000000000</v>
      </c>
      <c r="N61" s="73" t="n">
        <f aca="false">IF(M61&lt;=Model!$B$31,IF(L61&lt;1000000000,L61,0),0)</f>
        <v>0</v>
      </c>
      <c r="O61" s="39" t="n">
        <f aca="false">IF(Model!$B$13=1,IF(Model!$B$31&gt;=Model!$B$32,J61+IF(Model!$B$33&gt;0,(Model!$B$31-Model!$B$32)*K61/Model!$B$33,0),MIN(J61,Model!$B$35*K61)),0)</f>
        <v>0</v>
      </c>
      <c r="P61" s="39" t="n">
        <f aca="false">IF(Model!$B$13=1,I61+O61,E61*Model!$B$27)</f>
        <v>37.190036383991</v>
      </c>
      <c r="Q61" s="72" t="n">
        <f aca="false">IF(E61&gt;0,P61/E61,0)</f>
        <v>0.1</v>
      </c>
      <c r="R61" s="72" t="n">
        <f aca="false">IF(F61+E61&gt;0,(G61*F61+P61)/(F61+E61),0)</f>
        <v>0.107848186277293</v>
      </c>
      <c r="S61" s="72" t="n">
        <f aca="false">Model!$B$24*(1-Q61)/Model!$B$29</f>
        <v>0.605437404773997</v>
      </c>
      <c r="T61" s="72" t="n">
        <f aca="false">Model!$B$23*(1-Q61)/Model!$B$29</f>
        <v>0.151180802437786</v>
      </c>
      <c r="U61" s="72" t="n">
        <f aca="false">Model!$B$19*Model!$B$12*(1-Q61)/Model!$B$29</f>
        <v>0.0716908963941087</v>
      </c>
      <c r="V61" s="72" t="n">
        <f aca="false">Model!$B$19*(1-Model!$B$12)*(1-Q61)/Model!$B$29</f>
        <v>0.0716908963941087</v>
      </c>
      <c r="W61" s="72" t="n">
        <f aca="false">Q61*Model!$B$38</f>
        <v>0.0678043230944255</v>
      </c>
      <c r="X61" s="72" t="n">
        <f aca="false">Q61*Model!$B$39</f>
        <v>0.018581721653394</v>
      </c>
      <c r="Y61" s="72" t="n">
        <f aca="false">Q61*Model!$B$40</f>
        <v>0.0106560485400076</v>
      </c>
      <c r="Z61" s="72" t="n">
        <f aca="false">Q61*Model!$B$41</f>
        <v>0.00109973454683352</v>
      </c>
      <c r="AA61" s="72" t="n">
        <f aca="false">Q61*Model!$B$42</f>
        <v>0.0018581721653394</v>
      </c>
      <c r="AB61" s="20" t="n">
        <f aca="false">MATCH(A61&amp;"|"&amp;Model!$B$6&amp;"|"&amp;Model!$B$7,Data!$A$63:$A$262,0)</f>
        <v>9</v>
      </c>
      <c r="AC61" s="72" t="n">
        <f aca="false">(INDEX(Data!$E$63:$E$262,AB61)-Model!$B$8*INDEX(Data!$I$63:$I$262,AB61)-Model!$B$9*INDEX(Data!$J$63:$J$262,AB61))/INDEX(Data!$K$63:$K$262,AB61)</f>
        <v>0.542976939203354</v>
      </c>
      <c r="AD61" s="72" t="n">
        <f aca="false">(INDEX(Data!$F$63:$F$262,AB61)+Model!$B$8*INDEX(Data!$I$63:$I$262,AB61)+Model!$B$9*INDEX(Data!$J$63:$J$262,AB61))/INDEX(Data!$K$63:$K$262,AB61)</f>
        <v>0.160091480846198</v>
      </c>
      <c r="AE61" s="72" t="n">
        <f aca="false">INDEX(Data!$G$63:$G$262,AB61)/INDEX(Data!$K$63:$K$262,AB61)</f>
        <v>0.189105259027568</v>
      </c>
      <c r="AF61" s="72" t="n">
        <f aca="false">INDEX(Data!$H$63:$H$262,AB61)/INDEX(Data!$K$63:$K$262,AB61)</f>
        <v>0.10782632092288</v>
      </c>
    </row>
    <row r="62" customFormat="false" ht="15" hidden="false" customHeight="true" outlineLevel="0" collapsed="false">
      <c r="A62" s="39" t="str">
        <f aca="false">Data!$A$39</f>
        <v>Askeaton</v>
      </c>
      <c r="B62" s="39" t="str">
        <f aca="false">Data!$B$39</f>
        <v>Village</v>
      </c>
      <c r="C62" s="20" t="n">
        <f aca="false">IF(B62="City neighbourhood",1,0)</f>
        <v>0</v>
      </c>
      <c r="D62" s="72" t="n">
        <f aca="false">CHOOSE(Model!$B$4,Data!$G$39/Data!$B$52,Data!$C$39/SUM(Data!$C$23:$C$47),Data!$D$39/SUM(Data!$D$23:$D$47))</f>
        <v>0.00760332120533632</v>
      </c>
      <c r="E62" s="39" t="n">
        <f aca="false">Model!$B$17*D62</f>
        <v>303.098796529527</v>
      </c>
      <c r="F62" s="39" t="n">
        <f aca="false">Data!$E$39</f>
        <v>451</v>
      </c>
      <c r="G62" s="72" t="n">
        <f aca="false">Data!$F$39</f>
        <v>0.20501</v>
      </c>
      <c r="H62" s="39" t="n">
        <f aca="false">E62*Model!$B$15</f>
        <v>30.3098796529527</v>
      </c>
      <c r="I62" s="39" t="n">
        <f aca="false">IF(Model!$B$30&gt;Model!$B$28,H62*Model!$B$28/Model!$B$30,H62)</f>
        <v>30.3098796529527</v>
      </c>
      <c r="J62" s="39" t="n">
        <f aca="false">IF(C62=1,MAX(0,MIN(E62,Model!$B$14*(F62+E62)-G62*F62)-I62),0)</f>
        <v>0</v>
      </c>
      <c r="K62" s="39" t="n">
        <f aca="false">IF(C62=1,E62,0)</f>
        <v>0</v>
      </c>
      <c r="L62" s="73" t="n">
        <f aca="false">IF(AND(C62=1,E62&gt;0),J62/E62,1000000000)</f>
        <v>1000000000</v>
      </c>
      <c r="M62" s="39" t="n">
        <f aca="false">IF(C62=1,SUMPRODUCT((Model!$L$46:$L$70&lt;=L62)*Model!$J$46:$J$70)+L62*SUMPRODUCT((Model!$L$46:$L$70&gt;L62)*Model!$K$46:$K$70),1000000000000)</f>
        <v>1000000000000</v>
      </c>
      <c r="N62" s="73" t="n">
        <f aca="false">IF(M62&lt;=Model!$B$31,IF(L62&lt;1000000000,L62,0),0)</f>
        <v>0</v>
      </c>
      <c r="O62" s="39" t="n">
        <f aca="false">IF(Model!$B$13=1,IF(Model!$B$31&gt;=Model!$B$32,J62+IF(Model!$B$33&gt;0,(Model!$B$31-Model!$B$32)*K62/Model!$B$33,0),MIN(J62,Model!$B$35*K62)),0)</f>
        <v>0</v>
      </c>
      <c r="P62" s="39" t="n">
        <f aca="false">IF(Model!$B$13=1,I62+O62,E62*Model!$B$27)</f>
        <v>30.3098796529527</v>
      </c>
      <c r="Q62" s="72" t="n">
        <f aca="false">IF(E62&gt;0,P62/E62,0)</f>
        <v>0.1</v>
      </c>
      <c r="R62" s="72" t="n">
        <f aca="false">IF(F62+E62&gt;0,(G62*F62+P62)/(F62+E62),0)</f>
        <v>0.162802792177836</v>
      </c>
      <c r="S62" s="72" t="n">
        <f aca="false">Model!$B$24*(1-Q62)/Model!$B$29</f>
        <v>0.605437404773997</v>
      </c>
      <c r="T62" s="72" t="n">
        <f aca="false">Model!$B$23*(1-Q62)/Model!$B$29</f>
        <v>0.151180802437786</v>
      </c>
      <c r="U62" s="72" t="n">
        <f aca="false">Model!$B$19*Model!$B$12*(1-Q62)/Model!$B$29</f>
        <v>0.0716908963941087</v>
      </c>
      <c r="V62" s="72" t="n">
        <f aca="false">Model!$B$19*(1-Model!$B$12)*(1-Q62)/Model!$B$29</f>
        <v>0.0716908963941087</v>
      </c>
      <c r="W62" s="72" t="n">
        <f aca="false">Q62*Model!$B$38</f>
        <v>0.0678043230944255</v>
      </c>
      <c r="X62" s="72" t="n">
        <f aca="false">Q62*Model!$B$39</f>
        <v>0.018581721653394</v>
      </c>
      <c r="Y62" s="72" t="n">
        <f aca="false">Q62*Model!$B$40</f>
        <v>0.0106560485400076</v>
      </c>
      <c r="Z62" s="72" t="n">
        <f aca="false">Q62*Model!$B$41</f>
        <v>0.00109973454683352</v>
      </c>
      <c r="AA62" s="72" t="n">
        <f aca="false">Q62*Model!$B$42</f>
        <v>0.0018581721653394</v>
      </c>
      <c r="AB62" s="20" t="n">
        <f aca="false">MATCH(A62&amp;"|"&amp;Model!$B$6&amp;"|"&amp;Model!$B$7,Data!$A$63:$A$262,0)</f>
        <v>17</v>
      </c>
      <c r="AC62" s="72" t="n">
        <f aca="false">(INDEX(Data!$E$63:$E$262,AB62)-Model!$B$8*INDEX(Data!$I$63:$I$262,AB62)-Model!$B$9*INDEX(Data!$J$63:$J$262,AB62))/INDEX(Data!$K$63:$K$262,AB62)</f>
        <v>0.487577231667265</v>
      </c>
      <c r="AD62" s="72" t="n">
        <f aca="false">(INDEX(Data!$F$63:$F$262,AB62)+Model!$B$8*INDEX(Data!$I$63:$I$262,AB62)+Model!$B$9*INDEX(Data!$J$63:$J$262,AB62))/INDEX(Data!$K$63:$K$262,AB62)</f>
        <v>0.189257986625646</v>
      </c>
      <c r="AE62" s="72" t="n">
        <f aca="false">INDEX(Data!$G$63:$G$262,AB62)/INDEX(Data!$K$63:$K$262,AB62)</f>
        <v>0.173457988845463</v>
      </c>
      <c r="AF62" s="72" t="n">
        <f aca="false">INDEX(Data!$H$63:$H$262,AB62)/INDEX(Data!$K$63:$K$262,AB62)</f>
        <v>0.149706792861626</v>
      </c>
    </row>
    <row r="63" customFormat="false" ht="15" hidden="false" customHeight="true" outlineLevel="0" collapsed="false">
      <c r="A63" s="39" t="str">
        <f aca="false">Data!$A$40</f>
        <v>Bruff</v>
      </c>
      <c r="B63" s="39" t="str">
        <f aca="false">Data!$B$40</f>
        <v>Village</v>
      </c>
      <c r="C63" s="20" t="n">
        <f aca="false">IF(B63="City neighbourhood",1,0)</f>
        <v>0</v>
      </c>
      <c r="D63" s="72" t="n">
        <f aca="false">CHOOSE(Model!$B$4,Data!$G$40/Data!$B$52,Data!$C$40/SUM(Data!$C$23:$C$47),Data!$D$40/SUM(Data!$D$23:$D$47))</f>
        <v>0.00531766022949902</v>
      </c>
      <c r="E63" s="39" t="n">
        <f aca="false">Model!$B$17*D63</f>
        <v>211.983207388749</v>
      </c>
      <c r="F63" s="39" t="n">
        <f aca="false">Data!$E$40</f>
        <v>341</v>
      </c>
      <c r="G63" s="72" t="n">
        <f aca="false">Data!$F$40</f>
        <v>0.18072</v>
      </c>
      <c r="H63" s="39" t="n">
        <f aca="false">E63*Model!$B$15</f>
        <v>21.1983207388749</v>
      </c>
      <c r="I63" s="39" t="n">
        <f aca="false">IF(Model!$B$30&gt;Model!$B$28,H63*Model!$B$28/Model!$B$30,H63)</f>
        <v>21.1983207388749</v>
      </c>
      <c r="J63" s="39" t="n">
        <f aca="false">IF(C63=1,MAX(0,MIN(E63,Model!$B$14*(F63+E63)-G63*F63)-I63),0)</f>
        <v>0</v>
      </c>
      <c r="K63" s="39" t="n">
        <f aca="false">IF(C63=1,E63,0)</f>
        <v>0</v>
      </c>
      <c r="L63" s="73" t="n">
        <f aca="false">IF(AND(C63=1,E63&gt;0),J63/E63,1000000000)</f>
        <v>1000000000</v>
      </c>
      <c r="M63" s="39" t="n">
        <f aca="false">IF(C63=1,SUMPRODUCT((Model!$L$46:$L$70&lt;=L63)*Model!$J$46:$J$70)+L63*SUMPRODUCT((Model!$L$46:$L$70&gt;L63)*Model!$K$46:$K$70),1000000000000)</f>
        <v>1000000000000</v>
      </c>
      <c r="N63" s="73" t="n">
        <f aca="false">IF(M63&lt;=Model!$B$31,IF(L63&lt;1000000000,L63,0),0)</f>
        <v>0</v>
      </c>
      <c r="O63" s="39" t="n">
        <f aca="false">IF(Model!$B$13=1,IF(Model!$B$31&gt;=Model!$B$32,J63+IF(Model!$B$33&gt;0,(Model!$B$31-Model!$B$32)*K63/Model!$B$33,0),MIN(J63,Model!$B$35*K63)),0)</f>
        <v>0</v>
      </c>
      <c r="P63" s="39" t="n">
        <f aca="false">IF(Model!$B$13=1,I63+O63,E63*Model!$B$27)</f>
        <v>21.1983207388749</v>
      </c>
      <c r="Q63" s="72" t="n">
        <f aca="false">IF(E63&gt;0,P63/E63,0)</f>
        <v>0.1</v>
      </c>
      <c r="R63" s="72" t="n">
        <f aca="false">IF(F63+E63&gt;0,(G63*F63+P63)/(F63+E63),0)</f>
        <v>0.14977641207222</v>
      </c>
      <c r="S63" s="72" t="n">
        <f aca="false">Model!$B$24*(1-Q63)/Model!$B$29</f>
        <v>0.605437404773997</v>
      </c>
      <c r="T63" s="72" t="n">
        <f aca="false">Model!$B$23*(1-Q63)/Model!$B$29</f>
        <v>0.151180802437786</v>
      </c>
      <c r="U63" s="72" t="n">
        <f aca="false">Model!$B$19*Model!$B$12*(1-Q63)/Model!$B$29</f>
        <v>0.0716908963941087</v>
      </c>
      <c r="V63" s="72" t="n">
        <f aca="false">Model!$B$19*(1-Model!$B$12)*(1-Q63)/Model!$B$29</f>
        <v>0.0716908963941087</v>
      </c>
      <c r="W63" s="72" t="n">
        <f aca="false">Q63*Model!$B$38</f>
        <v>0.0678043230944255</v>
      </c>
      <c r="X63" s="72" t="n">
        <f aca="false">Q63*Model!$B$39</f>
        <v>0.018581721653394</v>
      </c>
      <c r="Y63" s="72" t="n">
        <f aca="false">Q63*Model!$B$40</f>
        <v>0.0106560485400076</v>
      </c>
      <c r="Z63" s="72" t="n">
        <f aca="false">Q63*Model!$B$41</f>
        <v>0.00109973454683352</v>
      </c>
      <c r="AA63" s="72" t="n">
        <f aca="false">Q63*Model!$B$42</f>
        <v>0.0018581721653394</v>
      </c>
      <c r="AB63" s="20" t="n">
        <f aca="false">MATCH(A63&amp;"|"&amp;Model!$B$6&amp;"|"&amp;Model!$B$7,Data!$A$63:$A$262,0)</f>
        <v>33</v>
      </c>
      <c r="AC63" s="72" t="n">
        <f aca="false">(INDEX(Data!$E$63:$E$262,AB63)-Model!$B$8*INDEX(Data!$I$63:$I$262,AB63)-Model!$B$9*INDEX(Data!$J$63:$J$262,AB63))/INDEX(Data!$K$63:$K$262,AB63)</f>
        <v>0.505374453058151</v>
      </c>
      <c r="AD63" s="72" t="n">
        <f aca="false">(INDEX(Data!$F$63:$F$262,AB63)+Model!$B$8*INDEX(Data!$I$63:$I$262,AB63)+Model!$B$9*INDEX(Data!$J$63:$J$262,AB63))/INDEX(Data!$K$63:$K$262,AB63)</f>
        <v>0.192093451353838</v>
      </c>
      <c r="AE63" s="72" t="n">
        <f aca="false">INDEX(Data!$G$63:$G$262,AB63)/INDEX(Data!$K$63:$K$262,AB63)</f>
        <v>0.199128258408175</v>
      </c>
      <c r="AF63" s="72" t="n">
        <f aca="false">INDEX(Data!$H$63:$H$262,AB63)/INDEX(Data!$K$63:$K$262,AB63)</f>
        <v>0.103403837179837</v>
      </c>
    </row>
    <row r="64" customFormat="false" ht="15" hidden="false" customHeight="true" outlineLevel="0" collapsed="false">
      <c r="A64" s="39" t="str">
        <f aca="false">Data!$A$41</f>
        <v>Cappamore</v>
      </c>
      <c r="B64" s="39" t="str">
        <f aca="false">Data!$B$41</f>
        <v>Village</v>
      </c>
      <c r="C64" s="20" t="n">
        <f aca="false">IF(B64="City neighbourhood",1,0)</f>
        <v>0</v>
      </c>
      <c r="D64" s="72" t="n">
        <f aca="false">CHOOSE(Model!$B$4,Data!$G$41/Data!$B$52,Data!$C$41/SUM(Data!$C$23:$C$47),Data!$D$41/SUM(Data!$D$23:$D$47))</f>
        <v>0.00415150667039836</v>
      </c>
      <c r="E64" s="39" t="n">
        <f aca="false">Model!$B$17*D64</f>
        <v>165.49566190876</v>
      </c>
      <c r="F64" s="39" t="n">
        <f aca="false">Data!$E$41</f>
        <v>266</v>
      </c>
      <c r="G64" s="72" t="n">
        <f aca="false">Data!$F$41</f>
        <v>0.24609</v>
      </c>
      <c r="H64" s="39" t="n">
        <f aca="false">E64*Model!$B$15</f>
        <v>16.549566190876</v>
      </c>
      <c r="I64" s="39" t="n">
        <f aca="false">IF(Model!$B$30&gt;Model!$B$28,H64*Model!$B$28/Model!$B$30,H64)</f>
        <v>16.549566190876</v>
      </c>
      <c r="J64" s="39" t="n">
        <f aca="false">IF(C64=1,MAX(0,MIN(E64,Model!$B$14*(F64+E64)-G64*F64)-I64),0)</f>
        <v>0</v>
      </c>
      <c r="K64" s="39" t="n">
        <f aca="false">IF(C64=1,E64,0)</f>
        <v>0</v>
      </c>
      <c r="L64" s="73" t="n">
        <f aca="false">IF(AND(C64=1,E64&gt;0),J64/E64,1000000000)</f>
        <v>1000000000</v>
      </c>
      <c r="M64" s="39" t="n">
        <f aca="false">IF(C64=1,SUMPRODUCT((Model!$L$46:$L$70&lt;=L64)*Model!$J$46:$J$70)+L64*SUMPRODUCT((Model!$L$46:$L$70&gt;L64)*Model!$K$46:$K$70),1000000000000)</f>
        <v>1000000000000</v>
      </c>
      <c r="N64" s="73" t="n">
        <f aca="false">IF(M64&lt;=Model!$B$31,IF(L64&lt;1000000000,L64,0),0)</f>
        <v>0</v>
      </c>
      <c r="O64" s="39" t="n">
        <f aca="false">IF(Model!$B$13=1,IF(Model!$B$31&gt;=Model!$B$32,J64+IF(Model!$B$33&gt;0,(Model!$B$31-Model!$B$32)*K64/Model!$B$33,0),MIN(J64,Model!$B$35*K64)),0)</f>
        <v>0</v>
      </c>
      <c r="P64" s="39" t="n">
        <f aca="false">IF(Model!$B$13=1,I64+O64,E64*Model!$B$27)</f>
        <v>16.549566190876</v>
      </c>
      <c r="Q64" s="72" t="n">
        <f aca="false">IF(E64&gt;0,P64/E64,0)</f>
        <v>0.1</v>
      </c>
      <c r="R64" s="72" t="n">
        <f aca="false">IF(F64+E64&gt;0,(G64*F64+P64)/(F64+E64),0)</f>
        <v>0.190058703784181</v>
      </c>
      <c r="S64" s="72" t="n">
        <f aca="false">Model!$B$24*(1-Q64)/Model!$B$29</f>
        <v>0.605437404773997</v>
      </c>
      <c r="T64" s="72" t="n">
        <f aca="false">Model!$B$23*(1-Q64)/Model!$B$29</f>
        <v>0.151180802437786</v>
      </c>
      <c r="U64" s="72" t="n">
        <f aca="false">Model!$B$19*Model!$B$12*(1-Q64)/Model!$B$29</f>
        <v>0.0716908963941087</v>
      </c>
      <c r="V64" s="72" t="n">
        <f aca="false">Model!$B$19*(1-Model!$B$12)*(1-Q64)/Model!$B$29</f>
        <v>0.0716908963941087</v>
      </c>
      <c r="W64" s="72" t="n">
        <f aca="false">Q64*Model!$B$38</f>
        <v>0.0678043230944255</v>
      </c>
      <c r="X64" s="72" t="n">
        <f aca="false">Q64*Model!$B$39</f>
        <v>0.018581721653394</v>
      </c>
      <c r="Y64" s="72" t="n">
        <f aca="false">Q64*Model!$B$40</f>
        <v>0.0106560485400076</v>
      </c>
      <c r="Z64" s="72" t="n">
        <f aca="false">Q64*Model!$B$41</f>
        <v>0.00109973454683352</v>
      </c>
      <c r="AA64" s="72" t="n">
        <f aca="false">Q64*Model!$B$42</f>
        <v>0.0018581721653394</v>
      </c>
      <c r="AB64" s="20" t="n">
        <f aca="false">MATCH(A64&amp;"|"&amp;Model!$B$6&amp;"|"&amp;Model!$B$7,Data!$A$63:$A$262,0)</f>
        <v>57</v>
      </c>
      <c r="AC64" s="72" t="n">
        <f aca="false">(INDEX(Data!$E$63:$E$262,AB64)-Model!$B$8*INDEX(Data!$I$63:$I$262,AB64)-Model!$B$9*INDEX(Data!$J$63:$J$262,AB64))/INDEX(Data!$K$63:$K$262,AB64)</f>
        <v>0.515037593984962</v>
      </c>
      <c r="AD64" s="72" t="n">
        <f aca="false">(INDEX(Data!$F$63:$F$262,AB64)+Model!$B$8*INDEX(Data!$I$63:$I$262,AB64)+Model!$B$9*INDEX(Data!$J$63:$J$262,AB64))/INDEX(Data!$K$63:$K$262,AB64)</f>
        <v>0.194078947368421</v>
      </c>
      <c r="AE64" s="72" t="n">
        <f aca="false">INDEX(Data!$G$63:$G$262,AB64)/INDEX(Data!$K$63:$K$262,AB64)</f>
        <v>0.172932330827068</v>
      </c>
      <c r="AF64" s="72" t="n">
        <f aca="false">INDEX(Data!$H$63:$H$262,AB64)/INDEX(Data!$K$63:$K$262,AB64)</f>
        <v>0.117951127819549</v>
      </c>
    </row>
    <row r="65" customFormat="false" ht="15" hidden="false" customHeight="true" outlineLevel="0" collapsed="false">
      <c r="A65" s="39" t="str">
        <f aca="false">Data!$A$42</f>
        <v>Croom</v>
      </c>
      <c r="B65" s="39" t="str">
        <f aca="false">Data!$B$42</f>
        <v>Village</v>
      </c>
      <c r="C65" s="20" t="n">
        <f aca="false">IF(B65="City neighbourhood",1,0)</f>
        <v>0</v>
      </c>
      <c r="D65" s="72" t="n">
        <f aca="false">CHOOSE(Model!$B$4,Data!$G$42/Data!$B$52,Data!$C$42/SUM(Data!$C$23:$C$47),Data!$D$42/SUM(Data!$D$23:$D$47))</f>
        <v>0.00667039835805579</v>
      </c>
      <c r="E65" s="39" t="n">
        <f aca="false">Model!$B$17*D65</f>
        <v>265.908760145536</v>
      </c>
      <c r="F65" s="39" t="n">
        <f aca="false">Data!$E$42</f>
        <v>437</v>
      </c>
      <c r="G65" s="72" t="n">
        <f aca="false">Data!$F$42</f>
        <v>0.30183</v>
      </c>
      <c r="H65" s="39" t="n">
        <f aca="false">E65*Model!$B$15</f>
        <v>26.5908760145536</v>
      </c>
      <c r="I65" s="39" t="n">
        <f aca="false">IF(Model!$B$30&gt;Model!$B$28,H65*Model!$B$28/Model!$B$30,H65)</f>
        <v>26.5908760145536</v>
      </c>
      <c r="J65" s="39" t="n">
        <f aca="false">IF(C65=1,MAX(0,MIN(E65,Model!$B$14*(F65+E65)-G65*F65)-I65),0)</f>
        <v>0</v>
      </c>
      <c r="K65" s="39" t="n">
        <f aca="false">IF(C65=1,E65,0)</f>
        <v>0</v>
      </c>
      <c r="L65" s="73" t="n">
        <f aca="false">IF(AND(C65=1,E65&gt;0),J65/E65,1000000000)</f>
        <v>1000000000</v>
      </c>
      <c r="M65" s="39" t="n">
        <f aca="false">IF(C65=1,SUMPRODUCT((Model!$L$46:$L$70&lt;=L65)*Model!$J$46:$J$70)+L65*SUMPRODUCT((Model!$L$46:$L$70&gt;L65)*Model!$K$46:$K$70),1000000000000)</f>
        <v>1000000000000</v>
      </c>
      <c r="N65" s="73" t="n">
        <f aca="false">IF(M65&lt;=Model!$B$31,IF(L65&lt;1000000000,L65,0),0)</f>
        <v>0</v>
      </c>
      <c r="O65" s="39" t="n">
        <f aca="false">IF(Model!$B$13=1,IF(Model!$B$31&gt;=Model!$B$32,J65+IF(Model!$B$33&gt;0,(Model!$B$31-Model!$B$32)*K65/Model!$B$33,0),MIN(J65,Model!$B$35*K65)),0)</f>
        <v>0</v>
      </c>
      <c r="P65" s="39" t="n">
        <f aca="false">IF(Model!$B$13=1,I65+O65,E65*Model!$B$27)</f>
        <v>26.5908760145536</v>
      </c>
      <c r="Q65" s="72" t="n">
        <f aca="false">IF(E65&gt;0,P65/E65,0)</f>
        <v>0.1</v>
      </c>
      <c r="R65" s="72" t="n">
        <f aca="false">IF(F65+E65&gt;0,(G65*F65+P65)/(F65+E65),0)</f>
        <v>0.225478177255521</v>
      </c>
      <c r="S65" s="72" t="n">
        <f aca="false">Model!$B$24*(1-Q65)/Model!$B$29</f>
        <v>0.605437404773997</v>
      </c>
      <c r="T65" s="72" t="n">
        <f aca="false">Model!$B$23*(1-Q65)/Model!$B$29</f>
        <v>0.151180802437786</v>
      </c>
      <c r="U65" s="72" t="n">
        <f aca="false">Model!$B$19*Model!$B$12*(1-Q65)/Model!$B$29</f>
        <v>0.0716908963941087</v>
      </c>
      <c r="V65" s="72" t="n">
        <f aca="false">Model!$B$19*(1-Model!$B$12)*(1-Q65)/Model!$B$29</f>
        <v>0.0716908963941087</v>
      </c>
      <c r="W65" s="72" t="n">
        <f aca="false">Q65*Model!$B$38</f>
        <v>0.0678043230944255</v>
      </c>
      <c r="X65" s="72" t="n">
        <f aca="false">Q65*Model!$B$39</f>
        <v>0.018581721653394</v>
      </c>
      <c r="Y65" s="72" t="n">
        <f aca="false">Q65*Model!$B$40</f>
        <v>0.0106560485400076</v>
      </c>
      <c r="Z65" s="72" t="n">
        <f aca="false">Q65*Model!$B$41</f>
        <v>0.00109973454683352</v>
      </c>
      <c r="AA65" s="72" t="n">
        <f aca="false">Q65*Model!$B$42</f>
        <v>0.0018581721653394</v>
      </c>
      <c r="AB65" s="20" t="n">
        <f aca="false">MATCH(A65&amp;"|"&amp;Model!$B$6&amp;"|"&amp;Model!$B$7,Data!$A$63:$A$262,0)</f>
        <v>97</v>
      </c>
      <c r="AC65" s="72" t="n">
        <f aca="false">(INDEX(Data!$E$63:$E$262,AB65)-Model!$B$8*INDEX(Data!$I$63:$I$262,AB65)-Model!$B$9*INDEX(Data!$J$63:$J$262,AB65))/INDEX(Data!$K$63:$K$262,AB65)</f>
        <v>0.643965333330299</v>
      </c>
      <c r="AD65" s="72" t="n">
        <f aca="false">(INDEX(Data!$F$63:$F$262,AB65)+Model!$B$8*INDEX(Data!$I$63:$I$262,AB65)+Model!$B$9*INDEX(Data!$J$63:$J$262,AB65))/INDEX(Data!$K$63:$K$262,AB65)</f>
        <v>0.130941837815715</v>
      </c>
      <c r="AE65" s="72" t="n">
        <f aca="false">INDEX(Data!$G$63:$G$262,AB65)/INDEX(Data!$K$63:$K$262,AB65)</f>
        <v>0.130711896702638</v>
      </c>
      <c r="AF65" s="72" t="n">
        <f aca="false">INDEX(Data!$H$63:$H$262,AB65)/INDEX(Data!$K$63:$K$262,AB65)</f>
        <v>0.0943809321513476</v>
      </c>
    </row>
    <row r="66" customFormat="false" ht="15" hidden="false" customHeight="true" outlineLevel="0" collapsed="false">
      <c r="A66" s="39" t="str">
        <f aca="false">Data!$A$43</f>
        <v>Hospital</v>
      </c>
      <c r="B66" s="39" t="str">
        <f aca="false">Data!$B$43</f>
        <v>Village</v>
      </c>
      <c r="C66" s="20" t="n">
        <f aca="false">IF(B66="City neighbourhood",1,0)</f>
        <v>0</v>
      </c>
      <c r="D66" s="72" t="n">
        <f aca="false">CHOOSE(Model!$B$4,Data!$G$43/Data!$B$52,Data!$C$43/SUM(Data!$C$23:$C$47),Data!$D$43/SUM(Data!$D$23:$D$47))</f>
        <v>0.00410486052803433</v>
      </c>
      <c r="E66" s="39" t="n">
        <f aca="false">Model!$B$17*D66</f>
        <v>163.636160089561</v>
      </c>
      <c r="F66" s="39" t="n">
        <f aca="false">Data!$E$43</f>
        <v>283</v>
      </c>
      <c r="G66" s="72" t="n">
        <f aca="false">Data!$F$43</f>
        <v>0.23297</v>
      </c>
      <c r="H66" s="39" t="n">
        <f aca="false">E66*Model!$B$15</f>
        <v>16.3636160089561</v>
      </c>
      <c r="I66" s="39" t="n">
        <f aca="false">IF(Model!$B$30&gt;Model!$B$28,H66*Model!$B$28/Model!$B$30,H66)</f>
        <v>16.3636160089561</v>
      </c>
      <c r="J66" s="39" t="n">
        <f aca="false">IF(C66=1,MAX(0,MIN(E66,Model!$B$14*(F66+E66)-G66*F66)-I66),0)</f>
        <v>0</v>
      </c>
      <c r="K66" s="39" t="n">
        <f aca="false">IF(C66=1,E66,0)</f>
        <v>0</v>
      </c>
      <c r="L66" s="73" t="n">
        <f aca="false">IF(AND(C66=1,E66&gt;0),J66/E66,1000000000)</f>
        <v>1000000000</v>
      </c>
      <c r="M66" s="39" t="n">
        <f aca="false">IF(C66=1,SUMPRODUCT((Model!$L$46:$L$70&lt;=L66)*Model!$J$46:$J$70)+L66*SUMPRODUCT((Model!$L$46:$L$70&gt;L66)*Model!$K$46:$K$70),1000000000000)</f>
        <v>1000000000000</v>
      </c>
      <c r="N66" s="73" t="n">
        <f aca="false">IF(M66&lt;=Model!$B$31,IF(L66&lt;1000000000,L66,0),0)</f>
        <v>0</v>
      </c>
      <c r="O66" s="39" t="n">
        <f aca="false">IF(Model!$B$13=1,IF(Model!$B$31&gt;=Model!$B$32,J66+IF(Model!$B$33&gt;0,(Model!$B$31-Model!$B$32)*K66/Model!$B$33,0),MIN(J66,Model!$B$35*K66)),0)</f>
        <v>0</v>
      </c>
      <c r="P66" s="39" t="n">
        <f aca="false">IF(Model!$B$13=1,I66+O66,E66*Model!$B$27)</f>
        <v>16.3636160089561</v>
      </c>
      <c r="Q66" s="72" t="n">
        <f aca="false">IF(E66&gt;0,P66/E66,0)</f>
        <v>0.1</v>
      </c>
      <c r="R66" s="72" t="n">
        <f aca="false">IF(F66+E66&gt;0,(G66*F66+P66)/(F66+E66),0)</f>
        <v>0.184253164796272</v>
      </c>
      <c r="S66" s="72" t="n">
        <f aca="false">Model!$B$24*(1-Q66)/Model!$B$29</f>
        <v>0.605437404773997</v>
      </c>
      <c r="T66" s="72" t="n">
        <f aca="false">Model!$B$23*(1-Q66)/Model!$B$29</f>
        <v>0.151180802437786</v>
      </c>
      <c r="U66" s="72" t="n">
        <f aca="false">Model!$B$19*Model!$B$12*(1-Q66)/Model!$B$29</f>
        <v>0.0716908963941087</v>
      </c>
      <c r="V66" s="72" t="n">
        <f aca="false">Model!$B$19*(1-Model!$B$12)*(1-Q66)/Model!$B$29</f>
        <v>0.0716908963941087</v>
      </c>
      <c r="W66" s="72" t="n">
        <f aca="false">Q66*Model!$B$38</f>
        <v>0.0678043230944255</v>
      </c>
      <c r="X66" s="72" t="n">
        <f aca="false">Q66*Model!$B$39</f>
        <v>0.018581721653394</v>
      </c>
      <c r="Y66" s="72" t="n">
        <f aca="false">Q66*Model!$B$40</f>
        <v>0.0106560485400076</v>
      </c>
      <c r="Z66" s="72" t="n">
        <f aca="false">Q66*Model!$B$41</f>
        <v>0.00109973454683352</v>
      </c>
      <c r="AA66" s="72" t="n">
        <f aca="false">Q66*Model!$B$42</f>
        <v>0.0018581721653394</v>
      </c>
      <c r="AB66" s="20" t="n">
        <f aca="false">MATCH(A66&amp;"|"&amp;Model!$B$6&amp;"|"&amp;Model!$B$7,Data!$A$63:$A$262,0)</f>
        <v>113</v>
      </c>
      <c r="AC66" s="72" t="n">
        <f aca="false">(INDEX(Data!$E$63:$E$262,AB66)-Model!$B$8*INDEX(Data!$I$63:$I$262,AB66)-Model!$B$9*INDEX(Data!$J$63:$J$262,AB66))/INDEX(Data!$K$63:$K$262,AB66)</f>
        <v>0.575971731448763</v>
      </c>
      <c r="AD66" s="72" t="n">
        <f aca="false">(INDEX(Data!$F$63:$F$262,AB66)+Model!$B$8*INDEX(Data!$I$63:$I$262,AB66)+Model!$B$9*INDEX(Data!$J$63:$J$262,AB66))/INDEX(Data!$K$63:$K$262,AB66)</f>
        <v>0.147313269160473</v>
      </c>
      <c r="AE66" s="72" t="n">
        <f aca="false">INDEX(Data!$G$63:$G$262,AB66)/INDEX(Data!$K$63:$K$262,AB66)</f>
        <v>0.137991958084562</v>
      </c>
      <c r="AF66" s="72" t="n">
        <f aca="false">INDEX(Data!$H$63:$H$262,AB66)/INDEX(Data!$K$63:$K$262,AB66)</f>
        <v>0.138723041306202</v>
      </c>
    </row>
    <row r="67" customFormat="false" ht="15" hidden="false" customHeight="true" outlineLevel="0" collapsed="false">
      <c r="A67" s="39" t="str">
        <f aca="false">Data!$A$44</f>
        <v>Kilfinnane</v>
      </c>
      <c r="B67" s="39" t="str">
        <f aca="false">Data!$B$44</f>
        <v>Village</v>
      </c>
      <c r="C67" s="20" t="n">
        <f aca="false">IF(B67="City neighbourhood",1,0)</f>
        <v>0</v>
      </c>
      <c r="D67" s="72" t="n">
        <f aca="false">CHOOSE(Model!$B$4,Data!$G$44/Data!$B$52,Data!$C$44/SUM(Data!$C$23:$C$47),Data!$D$44/SUM(Data!$D$23:$D$47))</f>
        <v>0.00522436794477097</v>
      </c>
      <c r="E67" s="39" t="n">
        <f aca="false">Model!$B$17*D67</f>
        <v>208.26420375035</v>
      </c>
      <c r="F67" s="39" t="n">
        <f aca="false">Data!$E$44</f>
        <v>323</v>
      </c>
      <c r="G67" s="72" t="n">
        <f aca="false">Data!$F$44</f>
        <v>0.22045</v>
      </c>
      <c r="H67" s="39" t="n">
        <f aca="false">E67*Model!$B$15</f>
        <v>20.826420375035</v>
      </c>
      <c r="I67" s="39" t="n">
        <f aca="false">IF(Model!$B$30&gt;Model!$B$28,H67*Model!$B$28/Model!$B$30,H67)</f>
        <v>20.826420375035</v>
      </c>
      <c r="J67" s="39" t="n">
        <f aca="false">IF(C67=1,MAX(0,MIN(E67,Model!$B$14*(F67+E67)-G67*F67)-I67),0)</f>
        <v>0</v>
      </c>
      <c r="K67" s="39" t="n">
        <f aca="false">IF(C67=1,E67,0)</f>
        <v>0</v>
      </c>
      <c r="L67" s="73" t="n">
        <f aca="false">IF(AND(C67=1,E67&gt;0),J67/E67,1000000000)</f>
        <v>1000000000</v>
      </c>
      <c r="M67" s="39" t="n">
        <f aca="false">IF(C67=1,SUMPRODUCT((Model!$L$46:$L$70&lt;=L67)*Model!$J$46:$J$70)+L67*SUMPRODUCT((Model!$L$46:$L$70&gt;L67)*Model!$K$46:$K$70),1000000000000)</f>
        <v>1000000000000</v>
      </c>
      <c r="N67" s="73" t="n">
        <f aca="false">IF(M67&lt;=Model!$B$31,IF(L67&lt;1000000000,L67,0),0)</f>
        <v>0</v>
      </c>
      <c r="O67" s="39" t="n">
        <f aca="false">IF(Model!$B$13=1,IF(Model!$B$31&gt;=Model!$B$32,J67+IF(Model!$B$33&gt;0,(Model!$B$31-Model!$B$32)*K67/Model!$B$33,0),MIN(J67,Model!$B$35*K67)),0)</f>
        <v>0</v>
      </c>
      <c r="P67" s="39" t="n">
        <f aca="false">IF(Model!$B$13=1,I67+O67,E67*Model!$B$27)</f>
        <v>20.826420375035</v>
      </c>
      <c r="Q67" s="72" t="n">
        <f aca="false">IF(E67&gt;0,P67/E67,0)</f>
        <v>0.1</v>
      </c>
      <c r="R67" s="72" t="n">
        <f aca="false">IF(F67+E67&gt;0,(G67*F67+P67)/(F67+E67),0)</f>
        <v>0.173231642044308</v>
      </c>
      <c r="S67" s="72" t="n">
        <f aca="false">Model!$B$24*(1-Q67)/Model!$B$29</f>
        <v>0.605437404773997</v>
      </c>
      <c r="T67" s="72" t="n">
        <f aca="false">Model!$B$23*(1-Q67)/Model!$B$29</f>
        <v>0.151180802437786</v>
      </c>
      <c r="U67" s="72" t="n">
        <f aca="false">Model!$B$19*Model!$B$12*(1-Q67)/Model!$B$29</f>
        <v>0.0716908963941087</v>
      </c>
      <c r="V67" s="72" t="n">
        <f aca="false">Model!$B$19*(1-Model!$B$12)*(1-Q67)/Model!$B$29</f>
        <v>0.0716908963941087</v>
      </c>
      <c r="W67" s="72" t="n">
        <f aca="false">Q67*Model!$B$38</f>
        <v>0.0678043230944255</v>
      </c>
      <c r="X67" s="72" t="n">
        <f aca="false">Q67*Model!$B$39</f>
        <v>0.018581721653394</v>
      </c>
      <c r="Y67" s="72" t="n">
        <f aca="false">Q67*Model!$B$40</f>
        <v>0.0106560485400076</v>
      </c>
      <c r="Z67" s="72" t="n">
        <f aca="false">Q67*Model!$B$41</f>
        <v>0.00109973454683352</v>
      </c>
      <c r="AA67" s="72" t="n">
        <f aca="false">Q67*Model!$B$42</f>
        <v>0.0018581721653394</v>
      </c>
      <c r="AB67" s="20" t="n">
        <f aca="false">MATCH(A67&amp;"|"&amp;Model!$B$6&amp;"|"&amp;Model!$B$7,Data!$A$63:$A$262,0)</f>
        <v>121</v>
      </c>
      <c r="AC67" s="72" t="n">
        <f aca="false">(INDEX(Data!$E$63:$E$262,AB67)-Model!$B$8*INDEX(Data!$I$63:$I$262,AB67)-Model!$B$9*INDEX(Data!$J$63:$J$262,AB67))/INDEX(Data!$K$63:$K$262,AB67)</f>
        <v>0.584569732937685</v>
      </c>
      <c r="AD67" s="72" t="n">
        <f aca="false">(INDEX(Data!$F$63:$F$262,AB67)+Model!$B$8*INDEX(Data!$I$63:$I$262,AB67)+Model!$B$9*INDEX(Data!$J$63:$J$262,AB67))/INDEX(Data!$K$63:$K$262,AB67)</f>
        <v>0.202204323866045</v>
      </c>
      <c r="AE67" s="72" t="n">
        <f aca="false">INDEX(Data!$G$63:$G$262,AB67)/INDEX(Data!$K$63:$K$262,AB67)</f>
        <v>0.136074607884697</v>
      </c>
      <c r="AF67" s="72" t="n">
        <f aca="false">INDEX(Data!$H$63:$H$262,AB67)/INDEX(Data!$K$63:$K$262,AB67)</f>
        <v>0.0771513353115727</v>
      </c>
    </row>
    <row r="68" customFormat="false" ht="15" hidden="false" customHeight="true" outlineLevel="0" collapsed="false">
      <c r="A68" s="39" t="str">
        <f aca="false">Data!$A$45</f>
        <v>Moroe</v>
      </c>
      <c r="B68" s="39" t="str">
        <f aca="false">Data!$B$45</f>
        <v>Village</v>
      </c>
      <c r="C68" s="20" t="n">
        <f aca="false">IF(B68="City neighbourhood",1,0)</f>
        <v>0</v>
      </c>
      <c r="D68" s="72" t="n">
        <f aca="false">CHOOSE(Model!$B$4,Data!$G$45/Data!$B$52,Data!$C$45/SUM(Data!$C$23:$C$47),Data!$D$45/SUM(Data!$D$23:$D$47))</f>
        <v>0.00751002892060827</v>
      </c>
      <c r="E68" s="39" t="n">
        <f aca="false">Model!$B$17*D68</f>
        <v>299.379792891128</v>
      </c>
      <c r="F68" s="39" t="n">
        <f aca="false">Data!$E$45</f>
        <v>494</v>
      </c>
      <c r="G68" s="72" t="n">
        <f aca="false">Data!$F$45</f>
        <v>0.1125</v>
      </c>
      <c r="H68" s="39" t="n">
        <f aca="false">E68*Model!$B$15</f>
        <v>29.9379792891128</v>
      </c>
      <c r="I68" s="39" t="n">
        <f aca="false">IF(Model!$B$30&gt;Model!$B$28,H68*Model!$B$28/Model!$B$30,H68)</f>
        <v>29.9379792891128</v>
      </c>
      <c r="J68" s="39" t="n">
        <f aca="false">IF(C68=1,MAX(0,MIN(E68,Model!$B$14*(F68+E68)-G68*F68)-I68),0)</f>
        <v>0</v>
      </c>
      <c r="K68" s="39" t="n">
        <f aca="false">IF(C68=1,E68,0)</f>
        <v>0</v>
      </c>
      <c r="L68" s="73" t="n">
        <f aca="false">IF(AND(C68=1,E68&gt;0),J68/E68,1000000000)</f>
        <v>1000000000</v>
      </c>
      <c r="M68" s="39" t="n">
        <f aca="false">IF(C68=1,SUMPRODUCT((Model!$L$46:$L$70&lt;=L68)*Model!$J$46:$J$70)+L68*SUMPRODUCT((Model!$L$46:$L$70&gt;L68)*Model!$K$46:$K$70),1000000000000)</f>
        <v>1000000000000</v>
      </c>
      <c r="N68" s="73" t="n">
        <f aca="false">IF(M68&lt;=Model!$B$31,IF(L68&lt;1000000000,L68,0),0)</f>
        <v>0</v>
      </c>
      <c r="O68" s="39" t="n">
        <f aca="false">IF(Model!$B$13=1,IF(Model!$B$31&gt;=Model!$B$32,J68+IF(Model!$B$33&gt;0,(Model!$B$31-Model!$B$32)*K68/Model!$B$33,0),MIN(J68,Model!$B$35*K68)),0)</f>
        <v>0</v>
      </c>
      <c r="P68" s="39" t="n">
        <f aca="false">IF(Model!$B$13=1,I68+O68,E68*Model!$B$27)</f>
        <v>29.9379792891128</v>
      </c>
      <c r="Q68" s="72" t="n">
        <f aca="false">IF(E68&gt;0,P68/E68,0)</f>
        <v>0.1</v>
      </c>
      <c r="R68" s="72" t="n">
        <f aca="false">IF(F68+E68&gt;0,(G68*F68+P68)/(F68+E68),0)</f>
        <v>0.107783157644459</v>
      </c>
      <c r="S68" s="72" t="n">
        <f aca="false">Model!$B$24*(1-Q68)/Model!$B$29</f>
        <v>0.605437404773997</v>
      </c>
      <c r="T68" s="72" t="n">
        <f aca="false">Model!$B$23*(1-Q68)/Model!$B$29</f>
        <v>0.151180802437786</v>
      </c>
      <c r="U68" s="72" t="n">
        <f aca="false">Model!$B$19*Model!$B$12*(1-Q68)/Model!$B$29</f>
        <v>0.0716908963941087</v>
      </c>
      <c r="V68" s="72" t="n">
        <f aca="false">Model!$B$19*(1-Model!$B$12)*(1-Q68)/Model!$B$29</f>
        <v>0.0716908963941087</v>
      </c>
      <c r="W68" s="72" t="n">
        <f aca="false">Q68*Model!$B$38</f>
        <v>0.0678043230944255</v>
      </c>
      <c r="X68" s="72" t="n">
        <f aca="false">Q68*Model!$B$39</f>
        <v>0.018581721653394</v>
      </c>
      <c r="Y68" s="72" t="n">
        <f aca="false">Q68*Model!$B$40</f>
        <v>0.0106560485400076</v>
      </c>
      <c r="Z68" s="72" t="n">
        <f aca="false">Q68*Model!$B$41</f>
        <v>0.00109973454683352</v>
      </c>
      <c r="AA68" s="72" t="n">
        <f aca="false">Q68*Model!$B$42</f>
        <v>0.0018581721653394</v>
      </c>
      <c r="AB68" s="20" t="n">
        <f aca="false">MATCH(A68&amp;"|"&amp;Model!$B$6&amp;"|"&amp;Model!$B$7,Data!$A$63:$A$262,0)</f>
        <v>145</v>
      </c>
      <c r="AC68" s="72" t="n">
        <f aca="false">(INDEX(Data!$E$63:$E$262,AB68)-Model!$B$8*INDEX(Data!$I$63:$I$262,AB68)-Model!$B$9*INDEX(Data!$J$63:$J$262,AB68))/INDEX(Data!$K$63:$K$262,AB68)</f>
        <v>0.390774050910195</v>
      </c>
      <c r="AD68" s="72" t="n">
        <f aca="false">(INDEX(Data!$F$63:$F$262,AB68)+Model!$B$8*INDEX(Data!$I$63:$I$262,AB68)+Model!$B$9*INDEX(Data!$J$63:$J$262,AB68))/INDEX(Data!$K$63:$K$262,AB68)</f>
        <v>0.205399810876242</v>
      </c>
      <c r="AE68" s="72" t="n">
        <f aca="false">INDEX(Data!$G$63:$G$262,AB68)/INDEX(Data!$K$63:$K$262,AB68)</f>
        <v>0.242574145418983</v>
      </c>
      <c r="AF68" s="72" t="n">
        <f aca="false">INDEX(Data!$H$63:$H$262,AB68)/INDEX(Data!$K$63:$K$262,AB68)</f>
        <v>0.16125199279458</v>
      </c>
    </row>
    <row r="69" customFormat="false" ht="15" hidden="false" customHeight="true" outlineLevel="0" collapsed="false">
      <c r="A69" s="39" t="str">
        <f aca="false">Data!$A$46</f>
        <v>Patrickswell</v>
      </c>
      <c r="B69" s="39" t="str">
        <f aca="false">Data!$B$46</f>
        <v>Village</v>
      </c>
      <c r="C69" s="20" t="n">
        <f aca="false">IF(B69="City neighbourhood",1,0)</f>
        <v>0</v>
      </c>
      <c r="D69" s="72" t="n">
        <f aca="false">CHOOSE(Model!$B$4,Data!$G$46/Data!$B$52,Data!$C$46/SUM(Data!$C$23:$C$47),Data!$D$46/SUM(Data!$D$23:$D$47))</f>
        <v>0.0186584569456106</v>
      </c>
      <c r="E69" s="39" t="n">
        <f aca="false">Model!$B$17*D69</f>
        <v>743.800727679821</v>
      </c>
      <c r="F69" s="39" t="n">
        <f aca="false">Data!$E$46</f>
        <v>316</v>
      </c>
      <c r="G69" s="72" t="n">
        <f aca="false">Data!$F$46</f>
        <v>0.15282</v>
      </c>
      <c r="H69" s="39" t="n">
        <f aca="false">E69*Model!$B$15</f>
        <v>74.3800727679821</v>
      </c>
      <c r="I69" s="39" t="n">
        <f aca="false">IF(Model!$B$30&gt;Model!$B$28,H69*Model!$B$28/Model!$B$30,H69)</f>
        <v>74.3800727679821</v>
      </c>
      <c r="J69" s="39" t="n">
        <f aca="false">IF(C69=1,MAX(0,MIN(E69,Model!$B$14*(F69+E69)-G69*F69)-I69),0)</f>
        <v>0</v>
      </c>
      <c r="K69" s="39" t="n">
        <f aca="false">IF(C69=1,E69,0)</f>
        <v>0</v>
      </c>
      <c r="L69" s="73" t="n">
        <f aca="false">IF(AND(C69=1,E69&gt;0),J69/E69,1000000000)</f>
        <v>1000000000</v>
      </c>
      <c r="M69" s="39" t="n">
        <f aca="false">IF(C69=1,SUMPRODUCT((Model!$L$46:$L$70&lt;=L69)*Model!$J$46:$J$70)+L69*SUMPRODUCT((Model!$L$46:$L$70&gt;L69)*Model!$K$46:$K$70),1000000000000)</f>
        <v>1000000000000</v>
      </c>
      <c r="N69" s="73" t="n">
        <f aca="false">IF(M69&lt;=Model!$B$31,IF(L69&lt;1000000000,L69,0),0)</f>
        <v>0</v>
      </c>
      <c r="O69" s="39" t="n">
        <f aca="false">IF(Model!$B$13=1,IF(Model!$B$31&gt;=Model!$B$32,J69+IF(Model!$B$33&gt;0,(Model!$B$31-Model!$B$32)*K69/Model!$B$33,0),MIN(J69,Model!$B$35*K69)),0)</f>
        <v>0</v>
      </c>
      <c r="P69" s="39" t="n">
        <f aca="false">IF(Model!$B$13=1,I69+O69,E69*Model!$B$27)</f>
        <v>74.3800727679821</v>
      </c>
      <c r="Q69" s="72" t="n">
        <f aca="false">IF(E69&gt;0,P69/E69,0)</f>
        <v>0.1</v>
      </c>
      <c r="R69" s="72" t="n">
        <f aca="false">IF(F69+E69&gt;0,(G69*F69+P69)/(F69+E69),0)</f>
        <v>0.115749300377007</v>
      </c>
      <c r="S69" s="72" t="n">
        <f aca="false">Model!$B$24*(1-Q69)/Model!$B$29</f>
        <v>0.605437404773997</v>
      </c>
      <c r="T69" s="72" t="n">
        <f aca="false">Model!$B$23*(1-Q69)/Model!$B$29</f>
        <v>0.151180802437786</v>
      </c>
      <c r="U69" s="72" t="n">
        <f aca="false">Model!$B$19*Model!$B$12*(1-Q69)/Model!$B$29</f>
        <v>0.0716908963941087</v>
      </c>
      <c r="V69" s="72" t="n">
        <f aca="false">Model!$B$19*(1-Model!$B$12)*(1-Q69)/Model!$B$29</f>
        <v>0.0716908963941087</v>
      </c>
      <c r="W69" s="72" t="n">
        <f aca="false">Q69*Model!$B$38</f>
        <v>0.0678043230944255</v>
      </c>
      <c r="X69" s="72" t="n">
        <f aca="false">Q69*Model!$B$39</f>
        <v>0.018581721653394</v>
      </c>
      <c r="Y69" s="72" t="n">
        <f aca="false">Q69*Model!$B$40</f>
        <v>0.0106560485400076</v>
      </c>
      <c r="Z69" s="72" t="n">
        <f aca="false">Q69*Model!$B$41</f>
        <v>0.00109973454683352</v>
      </c>
      <c r="AA69" s="72" t="n">
        <f aca="false">Q69*Model!$B$42</f>
        <v>0.0018581721653394</v>
      </c>
      <c r="AB69" s="20" t="n">
        <f aca="false">MATCH(A69&amp;"|"&amp;Model!$B$6&amp;"|"&amp;Model!$B$7,Data!$A$63:$A$262,0)</f>
        <v>161</v>
      </c>
      <c r="AC69" s="72" t="n">
        <f aca="false">(INDEX(Data!$E$63:$E$262,AB69)-Model!$B$8*INDEX(Data!$I$63:$I$262,AB69)-Model!$B$9*INDEX(Data!$J$63:$J$262,AB69))/INDEX(Data!$K$63:$K$262,AB69)</f>
        <v>0.461875147352527</v>
      </c>
      <c r="AD69" s="72" t="n">
        <f aca="false">(INDEX(Data!$F$63:$F$262,AB69)+Model!$B$8*INDEX(Data!$I$63:$I$262,AB69)+Model!$B$9*INDEX(Data!$J$63:$J$262,AB69))/INDEX(Data!$K$63:$K$262,AB69)</f>
        <v>0.213152880261769</v>
      </c>
      <c r="AE69" s="72" t="n">
        <f aca="false">INDEX(Data!$G$63:$G$262,AB69)/INDEX(Data!$K$63:$K$262,AB69)</f>
        <v>0.177951007304904</v>
      </c>
      <c r="AF69" s="72" t="n">
        <f aca="false">INDEX(Data!$H$63:$H$262,AB69)/INDEX(Data!$K$63:$K$262,AB69)</f>
        <v>0.1470209650808</v>
      </c>
    </row>
    <row r="70" customFormat="false" ht="15" hidden="false" customHeight="true" outlineLevel="0" collapsed="false">
      <c r="A70" s="39" t="str">
        <f aca="false">Data!$A$47</f>
        <v>Rest of county</v>
      </c>
      <c r="B70" s="39" t="str">
        <f aca="false">Data!$B$47</f>
        <v>Rest of county</v>
      </c>
      <c r="C70" s="20" t="n">
        <f aca="false">IF(B70="City neighbourhood",1,0)</f>
        <v>0</v>
      </c>
      <c r="D70" s="72" t="n">
        <f aca="false">CHOOSE(Model!$B$4,Data!$G$47/Data!$B$52,Data!$C$47/SUM(Data!$C$23:$C$47),Data!$D$47/SUM(Data!$D$23:$D$47))</f>
        <v>0.0976770221102715</v>
      </c>
      <c r="E70" s="39" t="n">
        <f aca="false">Model!$B$17*D70</f>
        <v>3893.79680940386</v>
      </c>
      <c r="F70" s="39" t="n">
        <f aca="false">Data!$E$47</f>
        <v>27554</v>
      </c>
      <c r="G70" s="72" t="n">
        <f aca="false">Data!$F$47</f>
        <v>0.03738</v>
      </c>
      <c r="H70" s="39" t="n">
        <f aca="false">E70*Model!$B$15</f>
        <v>389.379680940386</v>
      </c>
      <c r="I70" s="39" t="n">
        <f aca="false">IF(Model!$B$30&gt;Model!$B$28,H70*Model!$B$28/Model!$B$30,H70)</f>
        <v>389.379680940386</v>
      </c>
      <c r="J70" s="39" t="n">
        <f aca="false">IF(C70=1,MAX(0,MIN(E70,Model!$B$14*(F70+E70)-G70*F70)-I70),0)</f>
        <v>0</v>
      </c>
      <c r="K70" s="39" t="n">
        <f aca="false">IF(C70=1,E70,0)</f>
        <v>0</v>
      </c>
      <c r="L70" s="73" t="n">
        <f aca="false">IF(AND(C70=1,E70&gt;0),J70/E70,1000000000)</f>
        <v>1000000000</v>
      </c>
      <c r="M70" s="39" t="n">
        <f aca="false">IF(C70=1,SUMPRODUCT((Model!$L$46:$L$70&lt;=L70)*Model!$J$46:$J$70)+L70*SUMPRODUCT((Model!$L$46:$L$70&gt;L70)*Model!$K$46:$K$70),1000000000000)</f>
        <v>1000000000000</v>
      </c>
      <c r="N70" s="73" t="n">
        <f aca="false">IF(M70&lt;=Model!$B$31,IF(L70&lt;1000000000,L70,0),0)</f>
        <v>0</v>
      </c>
      <c r="O70" s="39" t="n">
        <f aca="false">IF(Model!$B$13=1,IF(Model!$B$31&gt;=Model!$B$32,J70+IF(Model!$B$33&gt;0,(Model!$B$31-Model!$B$32)*K70/Model!$B$33,0),MIN(J70,Model!$B$35*K70)),0)</f>
        <v>0</v>
      </c>
      <c r="P70" s="39" t="n">
        <f aca="false">IF(Model!$B$13=1,I70+O70,E70*Model!$B$27)</f>
        <v>389.379680940386</v>
      </c>
      <c r="Q70" s="72" t="n">
        <f aca="false">IF(E70&gt;0,P70/E70,0)</f>
        <v>0.1</v>
      </c>
      <c r="R70" s="72" t="n">
        <f aca="false">IF(F70+E70&gt;0,(G70*F70+P70)/(F70+E70),0)</f>
        <v>0.0451334702250416</v>
      </c>
      <c r="S70" s="72" t="n">
        <f aca="false">Model!$B$24*(1-Q70)/Model!$B$29</f>
        <v>0.605437404773997</v>
      </c>
      <c r="T70" s="72" t="n">
        <f aca="false">Model!$B$23*(1-Q70)/Model!$B$29</f>
        <v>0.151180802437786</v>
      </c>
      <c r="U70" s="72" t="n">
        <f aca="false">Model!$B$19*Model!$B$12*(1-Q70)/Model!$B$29</f>
        <v>0.0716908963941087</v>
      </c>
      <c r="V70" s="72" t="n">
        <f aca="false">Model!$B$19*(1-Model!$B$12)*(1-Q70)/Model!$B$29</f>
        <v>0.0716908963941087</v>
      </c>
      <c r="W70" s="72" t="n">
        <f aca="false">Q70*Model!$B$38</f>
        <v>0.0678043230944255</v>
      </c>
      <c r="X70" s="72" t="n">
        <f aca="false">Q70*Model!$B$39</f>
        <v>0.018581721653394</v>
      </c>
      <c r="Y70" s="72" t="n">
        <f aca="false">Q70*Model!$B$40</f>
        <v>0.0106560485400076</v>
      </c>
      <c r="Z70" s="72" t="n">
        <f aca="false">Q70*Model!$B$41</f>
        <v>0.00109973454683352</v>
      </c>
      <c r="AA70" s="72" t="n">
        <f aca="false">Q70*Model!$B$42</f>
        <v>0.0018581721653394</v>
      </c>
      <c r="AB70" s="20" t="n">
        <f aca="false">MATCH(A70&amp;"|"&amp;Model!$B$6&amp;"|"&amp;Model!$B$7,Data!$A$63:$A$262,0)</f>
        <v>177</v>
      </c>
      <c r="AC70" s="72" t="n">
        <f aca="false">(INDEX(Data!$E$63:$E$262,AB70)-Model!$B$8*INDEX(Data!$I$63:$I$262,AB70)-Model!$B$9*INDEX(Data!$J$63:$J$262,AB70))/INDEX(Data!$K$63:$K$262,AB70)</f>
        <v>0.461574691617666</v>
      </c>
      <c r="AD70" s="72" t="n">
        <f aca="false">(INDEX(Data!$F$63:$F$262,AB70)+Model!$B$8*INDEX(Data!$I$63:$I$262,AB70)+Model!$B$9*INDEX(Data!$J$63:$J$262,AB70))/INDEX(Data!$K$63:$K$262,AB70)</f>
        <v>0.191490402812365</v>
      </c>
      <c r="AE70" s="72" t="n">
        <f aca="false">INDEX(Data!$G$63:$G$262,AB70)/INDEX(Data!$K$63:$K$262,AB70)</f>
        <v>0.188264463949228</v>
      </c>
      <c r="AF70" s="72" t="n">
        <f aca="false">INDEX(Data!$H$63:$H$262,AB70)/INDEX(Data!$K$63:$K$262,AB70)</f>
        <v>0.158670441620741</v>
      </c>
    </row>
    <row r="71" customFormat="false" ht="15" hidden="false" customHeight="true" outlineLevel="0" collapsed="false">
      <c r="A71" s="74" t="s">
        <v>61</v>
      </c>
      <c r="D71" s="75" t="n">
        <f aca="false">SUM(D46:D70)</f>
        <v>1</v>
      </c>
      <c r="E71" s="76" t="n">
        <f aca="false">SUM(E46:E70)</f>
        <v>39864</v>
      </c>
      <c r="F71" s="76" t="n">
        <f aca="false">SUM(F46:F70)</f>
        <v>76295</v>
      </c>
      <c r="H71" s="76" t="n">
        <f aca="false">SUM(H46:H70)</f>
        <v>3986.4</v>
      </c>
      <c r="I71" s="76" t="n">
        <f aca="false">SUM(I46:I70)</f>
        <v>3986.4</v>
      </c>
      <c r="J71" s="76" t="n">
        <f aca="false">SUM(J46:J70)</f>
        <v>6021.88184291031</v>
      </c>
      <c r="K71" s="76" t="n">
        <f aca="false">SUM(K46:K70)</f>
        <v>29257.4016232858</v>
      </c>
      <c r="O71" s="76" t="n">
        <f aca="false">SUM(O46:O70)</f>
        <v>4375.97068251938</v>
      </c>
      <c r="P71" s="76" t="n">
        <f aca="false">SUM(P46:P70)</f>
        <v>8362.37068251938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AK3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4" min="2" style="1" width="13"/>
    <col collapsed="false" customWidth="true" hidden="false" outlineLevel="0" max="36" min="26" style="1" width="22"/>
  </cols>
  <sheetData>
    <row r="1" customFormat="false" ht="19.5" hidden="false" customHeight="true" outlineLevel="0" collapsed="false">
      <c r="A1" s="2" t="s">
        <v>511</v>
      </c>
    </row>
    <row r="2" customFormat="false" ht="15" hidden="false" customHeight="true" outlineLevel="0" collapsed="false">
      <c r="A2" s="12" t="s">
        <v>512</v>
      </c>
      <c r="Z2" s="12" t="s">
        <v>513</v>
      </c>
      <c r="AA2" s="12" t="s">
        <v>514</v>
      </c>
      <c r="AB2" s="12" t="s">
        <v>515</v>
      </c>
      <c r="AC2" s="12" t="s">
        <v>516</v>
      </c>
      <c r="AD2" s="12" t="s">
        <v>517</v>
      </c>
      <c r="AE2" s="12" t="s">
        <v>518</v>
      </c>
      <c r="AF2" s="12" t="s">
        <v>519</v>
      </c>
      <c r="AG2" s="12" t="s">
        <v>520</v>
      </c>
      <c r="AH2" s="12" t="s">
        <v>521</v>
      </c>
      <c r="AI2" s="12" t="s">
        <v>522</v>
      </c>
      <c r="AJ2" s="12" t="s">
        <v>523</v>
      </c>
      <c r="AK2" s="12" t="s">
        <v>524</v>
      </c>
    </row>
    <row r="3" customFormat="false" ht="45.75" hidden="false" customHeight="true" outlineLevel="0" collapsed="false">
      <c r="A3" s="4" t="s">
        <v>103</v>
      </c>
      <c r="B3" s="5" t="s">
        <v>525</v>
      </c>
      <c r="C3" s="5" t="s">
        <v>526</v>
      </c>
      <c r="D3" s="5" t="s">
        <v>527</v>
      </c>
      <c r="E3" s="5" t="s">
        <v>528</v>
      </c>
      <c r="F3" s="5" t="s">
        <v>529</v>
      </c>
      <c r="G3" s="5" t="s">
        <v>530</v>
      </c>
      <c r="H3" s="5" t="s">
        <v>531</v>
      </c>
      <c r="I3" s="5" t="s">
        <v>532</v>
      </c>
      <c r="J3" s="5" t="s">
        <v>533</v>
      </c>
      <c r="K3" s="5" t="s">
        <v>534</v>
      </c>
      <c r="L3" s="5" t="s">
        <v>535</v>
      </c>
      <c r="M3" s="5" t="s">
        <v>536</v>
      </c>
      <c r="N3" s="5" t="s">
        <v>537</v>
      </c>
      <c r="O3" s="5" t="s">
        <v>538</v>
      </c>
      <c r="P3" s="5" t="s">
        <v>539</v>
      </c>
      <c r="Q3" s="5" t="s">
        <v>540</v>
      </c>
      <c r="R3" s="5" t="s">
        <v>541</v>
      </c>
      <c r="S3" s="5" t="s">
        <v>542</v>
      </c>
      <c r="T3" s="5" t="s">
        <v>543</v>
      </c>
      <c r="U3" s="5" t="s">
        <v>544</v>
      </c>
      <c r="V3" s="5" t="s">
        <v>545</v>
      </c>
      <c r="W3" s="5" t="s">
        <v>546</v>
      </c>
      <c r="X3" s="5" t="s">
        <v>547</v>
      </c>
      <c r="Z3" s="13" t="n">
        <v>2026</v>
      </c>
      <c r="AA3" s="13" t="s">
        <v>12</v>
      </c>
      <c r="AB3" s="13" t="s">
        <v>16</v>
      </c>
      <c r="AC3" s="13" t="s">
        <v>20</v>
      </c>
      <c r="AD3" s="13" t="s">
        <v>23</v>
      </c>
      <c r="AE3" s="22" t="n">
        <v>0</v>
      </c>
      <c r="AF3" s="13" t="s">
        <v>31</v>
      </c>
      <c r="AG3" s="13" t="s">
        <v>35</v>
      </c>
      <c r="AH3" s="13" t="s">
        <v>41</v>
      </c>
      <c r="AI3" s="22" t="n">
        <v>0.1</v>
      </c>
      <c r="AJ3" s="22" t="n">
        <v>0</v>
      </c>
      <c r="AK3" s="13" t="s">
        <v>49</v>
      </c>
    </row>
    <row r="4" customFormat="false" ht="15" hidden="false" customHeight="true" outlineLevel="0" collapsed="false">
      <c r="A4" s="20" t="n">
        <v>2026</v>
      </c>
      <c r="B4" s="39" t="n">
        <v>4263</v>
      </c>
      <c r="C4" s="39" t="n">
        <v>2617</v>
      </c>
      <c r="D4" s="72" t="n">
        <v>0.258677298311445</v>
      </c>
      <c r="E4" s="72" t="n">
        <v>0.316604127579737</v>
      </c>
      <c r="F4" s="72" t="n">
        <v>0.185037523452158</v>
      </c>
      <c r="G4" s="72" t="n">
        <v>0.23968105065666</v>
      </c>
      <c r="H4" s="39" t="n">
        <v>130.8</v>
      </c>
      <c r="I4" s="39" t="n">
        <v>964</v>
      </c>
      <c r="J4" s="39" t="n">
        <v>543</v>
      </c>
      <c r="K4" s="39" t="n">
        <v>532</v>
      </c>
      <c r="L4" s="39" t="n">
        <v>2224</v>
      </c>
      <c r="M4" s="39" t="n">
        <v>548.593188387583</v>
      </c>
      <c r="N4" s="39" t="n">
        <v>86.169913283901</v>
      </c>
      <c r="O4" s="39" t="n">
        <v>476.23677265301</v>
      </c>
      <c r="P4" s="39" t="n">
        <v>1506.00012567551</v>
      </c>
      <c r="Q4" s="39" t="n">
        <v>548.593188387583</v>
      </c>
      <c r="R4" s="39" t="n">
        <v>334.812869171798</v>
      </c>
      <c r="S4" s="39" t="n">
        <v>296.661304511751</v>
      </c>
      <c r="T4" s="39" t="n">
        <v>1436.60374513007</v>
      </c>
      <c r="U4" s="39" t="n">
        <v>548.593188387583</v>
      </c>
      <c r="V4" s="39" t="n">
        <v>412.431569687068</v>
      </c>
      <c r="W4" s="39" t="n">
        <v>289.0967701395</v>
      </c>
      <c r="X4" s="39" t="n">
        <v>1366.87847178585</v>
      </c>
      <c r="Z4" s="13" t="n">
        <v>2027</v>
      </c>
      <c r="AA4" s="13" t="s">
        <v>548</v>
      </c>
      <c r="AB4" s="13" t="s">
        <v>549</v>
      </c>
      <c r="AC4" s="13" t="s">
        <v>550</v>
      </c>
      <c r="AD4" s="13" t="s">
        <v>551</v>
      </c>
      <c r="AE4" s="22" t="n">
        <v>0.05</v>
      </c>
      <c r="AF4" s="13" t="s">
        <v>552</v>
      </c>
      <c r="AG4" s="13" t="s">
        <v>553</v>
      </c>
      <c r="AH4" s="13" t="s">
        <v>554</v>
      </c>
      <c r="AI4" s="22" t="n">
        <v>0.11</v>
      </c>
      <c r="AJ4" s="22" t="n">
        <v>0.01</v>
      </c>
      <c r="AK4" s="13" t="s">
        <v>555</v>
      </c>
    </row>
    <row r="5" customFormat="false" ht="15" hidden="false" customHeight="true" outlineLevel="0" collapsed="false">
      <c r="A5" s="20" t="n">
        <v>2027</v>
      </c>
      <c r="B5" s="39" t="n">
        <v>4263</v>
      </c>
      <c r="C5" s="39" t="n">
        <v>2662</v>
      </c>
      <c r="D5" s="72" t="n">
        <v>0.25140712945591</v>
      </c>
      <c r="E5" s="72" t="n">
        <v>0.317542213883677</v>
      </c>
      <c r="F5" s="72" t="n">
        <v>0.184568480300188</v>
      </c>
      <c r="G5" s="72" t="n">
        <v>0.246482176360225</v>
      </c>
      <c r="H5" s="39" t="n">
        <v>130.8</v>
      </c>
      <c r="I5" s="39" t="n">
        <v>964</v>
      </c>
      <c r="J5" s="39" t="n">
        <v>543</v>
      </c>
      <c r="K5" s="39" t="n">
        <v>532</v>
      </c>
      <c r="L5" s="39" t="n">
        <v>2224</v>
      </c>
      <c r="M5" s="39" t="n">
        <v>558.026391856227</v>
      </c>
      <c r="N5" s="39" t="n">
        <v>87.6516274978007</v>
      </c>
      <c r="O5" s="39" t="n">
        <v>484.425788613799</v>
      </c>
      <c r="P5" s="39" t="n">
        <v>1531.89619203217</v>
      </c>
      <c r="Q5" s="39" t="n">
        <v>558.026391856227</v>
      </c>
      <c r="R5" s="39" t="n">
        <v>340.570064094508</v>
      </c>
      <c r="S5" s="39" t="n">
        <v>301.762473293955</v>
      </c>
      <c r="T5" s="39" t="n">
        <v>1461.30652255875</v>
      </c>
      <c r="U5" s="39" t="n">
        <v>558.026391856227</v>
      </c>
      <c r="V5" s="39" t="n">
        <v>419.52343848184</v>
      </c>
      <c r="W5" s="39" t="n">
        <v>294.067864773156</v>
      </c>
      <c r="X5" s="39" t="n">
        <v>1390.38230488878</v>
      </c>
      <c r="Z5" s="13" t="n">
        <v>2028</v>
      </c>
      <c r="AA5" s="13" t="s">
        <v>556</v>
      </c>
      <c r="AC5" s="13" t="s">
        <v>557</v>
      </c>
      <c r="AE5" s="22" t="n">
        <v>0.1</v>
      </c>
      <c r="AF5" s="13" t="s">
        <v>558</v>
      </c>
      <c r="AI5" s="22" t="n">
        <v>0.12</v>
      </c>
      <c r="AJ5" s="22" t="n">
        <v>0.02</v>
      </c>
      <c r="AK5" s="13" t="s">
        <v>559</v>
      </c>
    </row>
    <row r="6" customFormat="false" ht="15" hidden="false" customHeight="true" outlineLevel="0" collapsed="false">
      <c r="A6" s="20" t="n">
        <v>2028</v>
      </c>
      <c r="B6" s="39" t="n">
        <v>4263</v>
      </c>
      <c r="C6" s="39" t="n">
        <v>2678</v>
      </c>
      <c r="D6" s="72" t="n">
        <v>0.250586579070859</v>
      </c>
      <c r="E6" s="72" t="n">
        <v>0.3176912247771</v>
      </c>
      <c r="F6" s="72" t="n">
        <v>0.184655091506335</v>
      </c>
      <c r="G6" s="72" t="n">
        <v>0.247067104645706</v>
      </c>
      <c r="H6" s="39" t="n">
        <v>130.8</v>
      </c>
      <c r="I6" s="39" t="n">
        <v>964</v>
      </c>
      <c r="J6" s="39" t="n">
        <v>543</v>
      </c>
      <c r="K6" s="39" t="n">
        <v>532</v>
      </c>
      <c r="L6" s="39" t="n">
        <v>2224</v>
      </c>
      <c r="M6" s="39" t="n">
        <v>561.380419756189</v>
      </c>
      <c r="N6" s="39" t="n">
        <v>88.1784592182984</v>
      </c>
      <c r="O6" s="39" t="n">
        <v>487.337438733191</v>
      </c>
      <c r="P6" s="39" t="n">
        <v>1541.10368229232</v>
      </c>
      <c r="Q6" s="39" t="n">
        <v>561.380419756189</v>
      </c>
      <c r="R6" s="39" t="n">
        <v>342.617066733694</v>
      </c>
      <c r="S6" s="39" t="n">
        <v>303.576222194294</v>
      </c>
      <c r="T6" s="39" t="n">
        <v>1470.08973231117</v>
      </c>
      <c r="U6" s="39" t="n">
        <v>561.380419756189</v>
      </c>
      <c r="V6" s="39" t="n">
        <v>422.044991831092</v>
      </c>
      <c r="W6" s="39" t="n">
        <v>295.835365087345</v>
      </c>
      <c r="X6" s="39" t="n">
        <v>1398.73922332537</v>
      </c>
      <c r="Z6" s="13" t="n">
        <v>2029</v>
      </c>
      <c r="AC6" s="13" t="s">
        <v>560</v>
      </c>
      <c r="AE6" s="22" t="n">
        <v>0.15</v>
      </c>
      <c r="AF6" s="13" t="s">
        <v>561</v>
      </c>
      <c r="AI6" s="22" t="n">
        <v>0.13</v>
      </c>
      <c r="AJ6" s="22" t="n">
        <v>0.03</v>
      </c>
    </row>
    <row r="7" customFormat="false" ht="15" hidden="false" customHeight="true" outlineLevel="0" collapsed="false">
      <c r="A7" s="20" t="n">
        <v>2029</v>
      </c>
      <c r="B7" s="39" t="n">
        <v>4263</v>
      </c>
      <c r="C7" s="39" t="n">
        <v>2700</v>
      </c>
      <c r="D7" s="72" t="n">
        <v>0.247947454844007</v>
      </c>
      <c r="E7" s="72" t="n">
        <v>0.31597466572836</v>
      </c>
      <c r="F7" s="72" t="n">
        <v>0.183438892798499</v>
      </c>
      <c r="G7" s="72" t="n">
        <v>0.252638986629134</v>
      </c>
      <c r="H7" s="39" t="n">
        <v>130.8</v>
      </c>
      <c r="I7" s="39" t="n">
        <v>964</v>
      </c>
      <c r="J7" s="39" t="n">
        <v>543</v>
      </c>
      <c r="K7" s="39" t="n">
        <v>532</v>
      </c>
      <c r="L7" s="39" t="n">
        <v>2224</v>
      </c>
      <c r="M7" s="39" t="n">
        <v>487.590059517595</v>
      </c>
      <c r="N7" s="39" t="n">
        <v>203.691135010964</v>
      </c>
      <c r="O7" s="39" t="n">
        <v>478.004594340608</v>
      </c>
      <c r="P7" s="39" t="n">
        <v>1530.71421113083</v>
      </c>
      <c r="Q7" s="39" t="n">
        <v>487.590059517595</v>
      </c>
      <c r="R7" s="39" t="n">
        <v>454.886707737287</v>
      </c>
      <c r="S7" s="39" t="n">
        <v>285.449514461731</v>
      </c>
      <c r="T7" s="39" t="n">
        <v>1472.21468100658</v>
      </c>
      <c r="U7" s="39" t="n">
        <v>487.590059517595</v>
      </c>
      <c r="V7" s="39" t="n">
        <v>755.983084473217</v>
      </c>
      <c r="W7" s="39" t="n">
        <v>255.283491698862</v>
      </c>
      <c r="X7" s="39" t="n">
        <v>1201.14336431033</v>
      </c>
      <c r="Z7" s="13" t="n">
        <v>2030</v>
      </c>
      <c r="AE7" s="22" t="n">
        <v>0.2</v>
      </c>
      <c r="AI7" s="22" t="n">
        <v>0.14</v>
      </c>
      <c r="AJ7" s="22" t="n">
        <v>0.04</v>
      </c>
    </row>
    <row r="8" customFormat="false" ht="15" hidden="false" customHeight="true" outlineLevel="0" collapsed="false">
      <c r="A8" s="20" t="n">
        <v>2030</v>
      </c>
      <c r="B8" s="39" t="n">
        <v>4263</v>
      </c>
      <c r="C8" s="39" t="n">
        <v>2749</v>
      </c>
      <c r="D8" s="72" t="n">
        <v>0.247536367902393</v>
      </c>
      <c r="E8" s="72" t="n">
        <v>0.311356170811825</v>
      </c>
      <c r="F8" s="72" t="n">
        <v>0.183716564992961</v>
      </c>
      <c r="G8" s="72" t="n">
        <v>0.25739089629282</v>
      </c>
      <c r="H8" s="39" t="n">
        <v>130.8</v>
      </c>
      <c r="I8" s="39" t="n">
        <v>964</v>
      </c>
      <c r="J8" s="39" t="n">
        <v>543</v>
      </c>
      <c r="K8" s="39" t="n">
        <v>532</v>
      </c>
      <c r="L8" s="39" t="n">
        <v>2224</v>
      </c>
      <c r="M8" s="39" t="n">
        <v>496.438916153284</v>
      </c>
      <c r="N8" s="39" t="n">
        <v>207.387751905607</v>
      </c>
      <c r="O8" s="39" t="n">
        <v>486.679492534197</v>
      </c>
      <c r="P8" s="39" t="n">
        <v>1558.49383940691</v>
      </c>
      <c r="Q8" s="39" t="n">
        <v>496.438916153284</v>
      </c>
      <c r="R8" s="39" t="n">
        <v>463.142059099927</v>
      </c>
      <c r="S8" s="39" t="n">
        <v>290.629894539</v>
      </c>
      <c r="T8" s="39" t="n">
        <v>1498.93265114337</v>
      </c>
      <c r="U8" s="39" t="n">
        <v>496.438916153284</v>
      </c>
      <c r="V8" s="39" t="n">
        <v>769.702777487731</v>
      </c>
      <c r="W8" s="39" t="n">
        <v>259.916414325989</v>
      </c>
      <c r="X8" s="39" t="n">
        <v>1222.941892033</v>
      </c>
      <c r="Z8" s="13" t="n">
        <v>2031</v>
      </c>
      <c r="AE8" s="22" t="n">
        <v>0.25</v>
      </c>
      <c r="AI8" s="22" t="n">
        <v>0.15</v>
      </c>
      <c r="AJ8" s="22" t="n">
        <v>0.05</v>
      </c>
    </row>
    <row r="9" customFormat="false" ht="15" hidden="false" customHeight="true" outlineLevel="0" collapsed="false">
      <c r="A9" s="20" t="n">
        <v>2031</v>
      </c>
      <c r="B9" s="39" t="n">
        <v>2168</v>
      </c>
      <c r="C9" s="39" t="n">
        <v>2532</v>
      </c>
      <c r="D9" s="72" t="n">
        <v>0.231088560885609</v>
      </c>
      <c r="E9" s="72" t="n">
        <v>0.303966789667897</v>
      </c>
      <c r="F9" s="72" t="n">
        <v>0.190036900369004</v>
      </c>
      <c r="G9" s="72" t="n">
        <v>0.274907749077491</v>
      </c>
      <c r="H9" s="39" t="n">
        <v>130.8</v>
      </c>
      <c r="I9" s="39" t="n">
        <v>490</v>
      </c>
      <c r="J9" s="39" t="n">
        <v>276</v>
      </c>
      <c r="K9" s="39" t="n">
        <v>271</v>
      </c>
      <c r="L9" s="39" t="n">
        <v>1131</v>
      </c>
      <c r="M9" s="39" t="n">
        <v>457.251122480944</v>
      </c>
      <c r="N9" s="39" t="n">
        <v>191.017019943615</v>
      </c>
      <c r="O9" s="39" t="n">
        <v>448.262086248303</v>
      </c>
      <c r="P9" s="39" t="n">
        <v>1435.46977132714</v>
      </c>
      <c r="Q9" s="39" t="n">
        <v>457.251122480944</v>
      </c>
      <c r="R9" s="39" t="n">
        <v>426.582645922523</v>
      </c>
      <c r="S9" s="39" t="n">
        <v>267.688211339668</v>
      </c>
      <c r="T9" s="39" t="n">
        <v>1380.61021196617</v>
      </c>
      <c r="U9" s="39" t="n">
        <v>457.251122480944</v>
      </c>
      <c r="V9" s="39" t="n">
        <v>708.944136994884</v>
      </c>
      <c r="W9" s="39" t="n">
        <v>239.39918554871</v>
      </c>
      <c r="X9" s="39" t="n">
        <v>1126.40555497546</v>
      </c>
      <c r="Z9" s="13" t="n">
        <v>2032</v>
      </c>
      <c r="AE9" s="22" t="n">
        <v>0.3</v>
      </c>
      <c r="AI9" s="22" t="n">
        <v>0.16</v>
      </c>
      <c r="AJ9" s="22" t="n">
        <v>0.06</v>
      </c>
    </row>
    <row r="10" customFormat="false" ht="15" hidden="false" customHeight="true" outlineLevel="0" collapsed="false">
      <c r="A10" s="20" t="n">
        <v>2032</v>
      </c>
      <c r="B10" s="39" t="n">
        <v>2168</v>
      </c>
      <c r="C10" s="39" t="n">
        <v>2541</v>
      </c>
      <c r="D10" s="72" t="n">
        <v>0.222324723247233</v>
      </c>
      <c r="E10" s="72" t="n">
        <v>0.297970479704797</v>
      </c>
      <c r="F10" s="72" t="n">
        <v>0.193265682656827</v>
      </c>
      <c r="G10" s="72" t="n">
        <v>0.286439114391144</v>
      </c>
      <c r="H10" s="39" t="n">
        <v>130.8</v>
      </c>
      <c r="I10" s="39" t="n">
        <v>490</v>
      </c>
      <c r="J10" s="39" t="n">
        <v>276</v>
      </c>
      <c r="K10" s="39" t="n">
        <v>271</v>
      </c>
      <c r="L10" s="39" t="n">
        <v>1131</v>
      </c>
      <c r="M10" s="39" t="n">
        <v>458.876422679336</v>
      </c>
      <c r="N10" s="39" t="n">
        <v>191.695990393652</v>
      </c>
      <c r="O10" s="39" t="n">
        <v>449.855434896105</v>
      </c>
      <c r="P10" s="39" t="n">
        <v>1440.57215203091</v>
      </c>
      <c r="Q10" s="39" t="n">
        <v>458.876422679336</v>
      </c>
      <c r="R10" s="39" t="n">
        <v>428.098934948314</v>
      </c>
      <c r="S10" s="39" t="n">
        <v>268.639709721207</v>
      </c>
      <c r="T10" s="39" t="n">
        <v>1385.51759423619</v>
      </c>
      <c r="U10" s="39" t="n">
        <v>458.876422679336</v>
      </c>
      <c r="V10" s="39" t="n">
        <v>711.464080609794</v>
      </c>
      <c r="W10" s="39" t="n">
        <v>240.25013052104</v>
      </c>
      <c r="X10" s="39" t="n">
        <v>1130.40936618983</v>
      </c>
      <c r="Z10" s="13" t="n">
        <v>2033</v>
      </c>
      <c r="AE10" s="22" t="n">
        <v>0.35</v>
      </c>
      <c r="AI10" s="22" t="n">
        <v>0.17</v>
      </c>
      <c r="AJ10" s="22" t="n">
        <v>0.07</v>
      </c>
    </row>
    <row r="11" customFormat="false" ht="15" hidden="false" customHeight="true" outlineLevel="0" collapsed="false">
      <c r="A11" s="20" t="n">
        <v>2033</v>
      </c>
      <c r="B11" s="39" t="n">
        <v>2168</v>
      </c>
      <c r="C11" s="39" t="n">
        <v>2530</v>
      </c>
      <c r="D11" s="72" t="n">
        <v>0.220581449007845</v>
      </c>
      <c r="E11" s="72" t="n">
        <v>0.299030918320258</v>
      </c>
      <c r="F11" s="72" t="n">
        <v>0.193354868481772</v>
      </c>
      <c r="G11" s="72" t="n">
        <v>0.287032764190125</v>
      </c>
      <c r="H11" s="39" t="n">
        <v>130.8</v>
      </c>
      <c r="I11" s="39" t="n">
        <v>490</v>
      </c>
      <c r="J11" s="39" t="n">
        <v>276</v>
      </c>
      <c r="K11" s="39" t="n">
        <v>271</v>
      </c>
      <c r="L11" s="39" t="n">
        <v>1131</v>
      </c>
      <c r="M11" s="39" t="n">
        <v>456.889944659079</v>
      </c>
      <c r="N11" s="39" t="n">
        <v>190.866137621385</v>
      </c>
      <c r="O11" s="39" t="n">
        <v>447.908008771014</v>
      </c>
      <c r="P11" s="39" t="n">
        <v>1434.33590894852</v>
      </c>
      <c r="Q11" s="39" t="n">
        <v>456.889944659079</v>
      </c>
      <c r="R11" s="39" t="n">
        <v>426.24569280568</v>
      </c>
      <c r="S11" s="39" t="n">
        <v>267.476767254882</v>
      </c>
      <c r="T11" s="39" t="n">
        <v>1379.51968257283</v>
      </c>
      <c r="U11" s="39" t="n">
        <v>456.889944659079</v>
      </c>
      <c r="V11" s="39" t="n">
        <v>708.384149524904</v>
      </c>
      <c r="W11" s="39" t="n">
        <v>239.210086665971</v>
      </c>
      <c r="X11" s="39" t="n">
        <v>1125.51581915005</v>
      </c>
      <c r="Z11" s="13" t="n">
        <v>2034</v>
      </c>
      <c r="AE11" s="22" t="n">
        <v>0.4</v>
      </c>
      <c r="AI11" s="22" t="n">
        <v>0.18</v>
      </c>
      <c r="AJ11" s="22" t="n">
        <v>0.08</v>
      </c>
    </row>
    <row r="12" customFormat="false" ht="15" hidden="false" customHeight="true" outlineLevel="0" collapsed="false">
      <c r="A12" s="20" t="n">
        <v>2034</v>
      </c>
      <c r="B12" s="39" t="n">
        <v>2168</v>
      </c>
      <c r="C12" s="39" t="n">
        <v>2518</v>
      </c>
      <c r="D12" s="72" t="n">
        <v>0.218634686346864</v>
      </c>
      <c r="E12" s="72" t="n">
        <v>0.299815498154982</v>
      </c>
      <c r="F12" s="72" t="n">
        <v>0.193265682656827</v>
      </c>
      <c r="G12" s="72" t="n">
        <v>0.288284132841328</v>
      </c>
      <c r="H12" s="39" t="n">
        <v>130.8</v>
      </c>
      <c r="I12" s="39" t="n">
        <v>490</v>
      </c>
      <c r="J12" s="39" t="n">
        <v>276</v>
      </c>
      <c r="K12" s="39" t="n">
        <v>271</v>
      </c>
      <c r="L12" s="39" t="n">
        <v>1131</v>
      </c>
      <c r="M12" s="39" t="n">
        <v>454.72287772789</v>
      </c>
      <c r="N12" s="39" t="n">
        <v>189.960843688003</v>
      </c>
      <c r="O12" s="39" t="n">
        <v>445.783543907278</v>
      </c>
      <c r="P12" s="39" t="n">
        <v>1427.53273467683</v>
      </c>
      <c r="Q12" s="39" t="n">
        <v>454.72287772789</v>
      </c>
      <c r="R12" s="39" t="n">
        <v>424.223974104626</v>
      </c>
      <c r="S12" s="39" t="n">
        <v>266.208102746163</v>
      </c>
      <c r="T12" s="39" t="n">
        <v>1372.9765062128</v>
      </c>
      <c r="U12" s="39" t="n">
        <v>454.72287772789</v>
      </c>
      <c r="V12" s="39" t="n">
        <v>705.024224705023</v>
      </c>
      <c r="W12" s="39" t="n">
        <v>238.075493369531</v>
      </c>
      <c r="X12" s="39" t="n">
        <v>1120.17740419756</v>
      </c>
      <c r="Z12" s="13" t="n">
        <v>2035</v>
      </c>
      <c r="AE12" s="22" t="n">
        <v>0.45</v>
      </c>
      <c r="AI12" s="22" t="n">
        <v>0.19</v>
      </c>
      <c r="AJ12" s="22" t="n">
        <v>0.09</v>
      </c>
    </row>
    <row r="13" customFormat="false" ht="15" hidden="false" customHeight="true" outlineLevel="0" collapsed="false">
      <c r="A13" s="20" t="n">
        <v>2035</v>
      </c>
      <c r="B13" s="39" t="n">
        <v>2095</v>
      </c>
      <c r="C13" s="39" t="n">
        <v>3584</v>
      </c>
      <c r="D13" s="72" t="n">
        <v>0.214319809069212</v>
      </c>
      <c r="E13" s="72" t="n">
        <v>0.295465393794749</v>
      </c>
      <c r="F13" s="72" t="n">
        <v>0.191885441527446</v>
      </c>
      <c r="G13" s="72" t="n">
        <v>0.298329355608592</v>
      </c>
      <c r="H13" s="39" t="n">
        <v>130.8</v>
      </c>
      <c r="I13" s="39" t="n">
        <v>474</v>
      </c>
      <c r="J13" s="39" t="n">
        <v>267</v>
      </c>
      <c r="K13" s="39" t="n">
        <v>262</v>
      </c>
      <c r="L13" s="39" t="n">
        <v>1093</v>
      </c>
      <c r="M13" s="39" t="n">
        <v>647.230656781873</v>
      </c>
      <c r="N13" s="39" t="n">
        <v>270.381121436776</v>
      </c>
      <c r="O13" s="39" t="n">
        <v>634.506839302496</v>
      </c>
      <c r="P13" s="39" t="n">
        <v>2031.88138247886</v>
      </c>
      <c r="Q13" s="39" t="n">
        <v>647.230656781873</v>
      </c>
      <c r="R13" s="39" t="n">
        <v>603.819985381644</v>
      </c>
      <c r="S13" s="39" t="n">
        <v>378.90779993735</v>
      </c>
      <c r="T13" s="39" t="n">
        <v>1954.22867286207</v>
      </c>
      <c r="U13" s="39" t="n">
        <v>647.230656781873</v>
      </c>
      <c r="V13" s="39" t="n">
        <v>1003.49754620445</v>
      </c>
      <c r="W13" s="39" t="n">
        <v>338.865197869897</v>
      </c>
      <c r="X13" s="39" t="n">
        <v>1594.40659914378</v>
      </c>
      <c r="Z13" s="13" t="n">
        <v>2036</v>
      </c>
      <c r="AE13" s="22" t="n">
        <v>0.5</v>
      </c>
      <c r="AI13" s="22" t="n">
        <v>0.2</v>
      </c>
      <c r="AJ13" s="22" t="n">
        <v>0.1</v>
      </c>
    </row>
    <row r="14" customFormat="false" ht="15" hidden="false" customHeight="true" outlineLevel="0" collapsed="false">
      <c r="A14" s="20" t="n">
        <v>2036</v>
      </c>
      <c r="B14" s="39" t="n">
        <v>1587</v>
      </c>
      <c r="C14" s="39" t="n">
        <v>2600</v>
      </c>
      <c r="D14" s="72" t="n">
        <v>0.241233128643122</v>
      </c>
      <c r="E14" s="72" t="n">
        <v>0.310277111062623</v>
      </c>
      <c r="F14" s="72" t="n">
        <v>0.186995417848571</v>
      </c>
      <c r="G14" s="72" t="n">
        <v>0.261494342445684</v>
      </c>
      <c r="H14" s="39" t="n">
        <v>0</v>
      </c>
      <c r="I14" s="39" t="n">
        <v>241</v>
      </c>
      <c r="J14" s="39" t="n">
        <v>159</v>
      </c>
      <c r="K14" s="39" t="n">
        <v>273</v>
      </c>
      <c r="L14" s="39" t="n">
        <v>914</v>
      </c>
      <c r="M14" s="39" t="n">
        <v>370.438328236493</v>
      </c>
      <c r="N14" s="39" t="n">
        <v>311.722731906218</v>
      </c>
      <c r="O14" s="39" t="n">
        <v>429.561671763507</v>
      </c>
      <c r="P14" s="39" t="n">
        <v>1488.48114169215</v>
      </c>
      <c r="Q14" s="39" t="n">
        <v>370.438328236493</v>
      </c>
      <c r="R14" s="39" t="n">
        <v>551.070336391437</v>
      </c>
      <c r="S14" s="39" t="n">
        <v>251.172273190622</v>
      </c>
      <c r="T14" s="39" t="n">
        <v>1427.52293577982</v>
      </c>
      <c r="U14" s="39" t="n">
        <v>370.438328236493</v>
      </c>
      <c r="V14" s="39" t="n">
        <v>1111.72273190622</v>
      </c>
      <c r="W14" s="39" t="n">
        <v>195.107033639144</v>
      </c>
      <c r="X14" s="39" t="n">
        <v>922.731906218145</v>
      </c>
      <c r="Z14" s="13" t="n">
        <v>2037</v>
      </c>
      <c r="AE14" s="22" t="n">
        <v>0.55</v>
      </c>
      <c r="AI14" s="22" t="n">
        <v>0.21</v>
      </c>
      <c r="AJ14" s="22" t="n">
        <v>0.11</v>
      </c>
    </row>
    <row r="15" customFormat="false" ht="15" hidden="false" customHeight="true" outlineLevel="0" collapsed="false">
      <c r="A15" s="20" t="n">
        <v>2037</v>
      </c>
      <c r="B15" s="39" t="n">
        <v>1574</v>
      </c>
      <c r="C15" s="39" t="n">
        <v>2580</v>
      </c>
      <c r="D15" s="72" t="n">
        <v>0.241233128643122</v>
      </c>
      <c r="E15" s="72" t="n">
        <v>0.310277111062623</v>
      </c>
      <c r="F15" s="72" t="n">
        <v>0.186995417848571</v>
      </c>
      <c r="G15" s="72" t="n">
        <v>0.261494342445685</v>
      </c>
      <c r="H15" s="39" t="n">
        <v>0</v>
      </c>
      <c r="I15" s="39" t="n">
        <v>227</v>
      </c>
      <c r="J15" s="39" t="n">
        <v>189</v>
      </c>
      <c r="K15" s="39" t="n">
        <v>252</v>
      </c>
      <c r="L15" s="39" t="n">
        <v>907</v>
      </c>
      <c r="M15" s="39" t="n">
        <v>367.588802634674</v>
      </c>
      <c r="N15" s="39" t="n">
        <v>309.324864737709</v>
      </c>
      <c r="O15" s="39" t="n">
        <v>426.25735121148</v>
      </c>
      <c r="P15" s="39" t="n">
        <v>1477.03128675606</v>
      </c>
      <c r="Q15" s="39" t="n">
        <v>367.588802634674</v>
      </c>
      <c r="R15" s="39" t="n">
        <v>546.831333803811</v>
      </c>
      <c r="S15" s="39" t="n">
        <v>249.240178781463</v>
      </c>
      <c r="T15" s="39" t="n">
        <v>1416.54199011997</v>
      </c>
      <c r="U15" s="39" t="n">
        <v>367.588802634674</v>
      </c>
      <c r="V15" s="39" t="n">
        <v>1103.17101858386</v>
      </c>
      <c r="W15" s="39" t="n">
        <v>193.606210303458</v>
      </c>
      <c r="X15" s="39" t="n">
        <v>915.633968478005</v>
      </c>
      <c r="Z15" s="13" t="n">
        <v>2038</v>
      </c>
      <c r="AE15" s="22" t="n">
        <v>0.6</v>
      </c>
      <c r="AI15" s="22" t="n">
        <v>0.22</v>
      </c>
      <c r="AJ15" s="22" t="n">
        <v>0.12</v>
      </c>
    </row>
    <row r="16" customFormat="false" ht="15" hidden="false" customHeight="true" outlineLevel="0" collapsed="false">
      <c r="A16" s="20" t="n">
        <v>2038</v>
      </c>
      <c r="B16" s="39" t="n">
        <v>1555</v>
      </c>
      <c r="C16" s="39" t="n">
        <v>2549</v>
      </c>
      <c r="D16" s="72" t="n">
        <v>0.241233128643123</v>
      </c>
      <c r="E16" s="72" t="n">
        <v>0.310277111062623</v>
      </c>
      <c r="F16" s="72" t="n">
        <v>0.186995417848571</v>
      </c>
      <c r="G16" s="72" t="n">
        <v>0.261494342445684</v>
      </c>
      <c r="H16" s="39" t="n">
        <v>0</v>
      </c>
      <c r="I16" s="39" t="n">
        <v>224</v>
      </c>
      <c r="J16" s="39" t="n">
        <v>187</v>
      </c>
      <c r="K16" s="39" t="n">
        <v>249</v>
      </c>
      <c r="L16" s="39" t="n">
        <v>896</v>
      </c>
      <c r="M16" s="39" t="n">
        <v>363.172037951855</v>
      </c>
      <c r="N16" s="39" t="n">
        <v>305.608170626519</v>
      </c>
      <c r="O16" s="39" t="n">
        <v>421.135654355838</v>
      </c>
      <c r="P16" s="39" t="n">
        <v>1459.28401160511</v>
      </c>
      <c r="Q16" s="39" t="n">
        <v>363.172037951855</v>
      </c>
      <c r="R16" s="39" t="n">
        <v>540.26087979299</v>
      </c>
      <c r="S16" s="39" t="n">
        <v>246.245432447267</v>
      </c>
      <c r="T16" s="39" t="n">
        <v>1399.52152434721</v>
      </c>
      <c r="U16" s="39" t="n">
        <v>363.172037951855</v>
      </c>
      <c r="V16" s="39" t="n">
        <v>1089.91586293421</v>
      </c>
      <c r="W16" s="39" t="n">
        <v>191.279934133145</v>
      </c>
      <c r="X16" s="39" t="n">
        <v>904.632164980789</v>
      </c>
      <c r="Z16" s="13" t="n">
        <v>2039</v>
      </c>
      <c r="AE16" s="22" t="n">
        <v>0.65</v>
      </c>
      <c r="AI16" s="22" t="n">
        <v>0.23</v>
      </c>
      <c r="AJ16" s="22" t="n">
        <v>0.13</v>
      </c>
    </row>
    <row r="17" customFormat="false" ht="15" hidden="false" customHeight="true" outlineLevel="0" collapsed="false">
      <c r="A17" s="20" t="n">
        <v>2039</v>
      </c>
      <c r="B17" s="39" t="n">
        <v>1541</v>
      </c>
      <c r="C17" s="39" t="n">
        <v>2525</v>
      </c>
      <c r="D17" s="72" t="n">
        <v>0.241233128643122</v>
      </c>
      <c r="E17" s="72" t="n">
        <v>0.310277111062622</v>
      </c>
      <c r="F17" s="72" t="n">
        <v>0.186995417848571</v>
      </c>
      <c r="G17" s="72" t="n">
        <v>0.261494342445685</v>
      </c>
      <c r="H17" s="39" t="n">
        <v>0</v>
      </c>
      <c r="I17" s="39" t="n">
        <v>210</v>
      </c>
      <c r="J17" s="39" t="n">
        <v>200</v>
      </c>
      <c r="K17" s="39" t="n">
        <v>257</v>
      </c>
      <c r="L17" s="39" t="n">
        <v>874</v>
      </c>
      <c r="M17" s="39" t="n">
        <v>359.752607229671</v>
      </c>
      <c r="N17" s="39" t="n">
        <v>302.730730024308</v>
      </c>
      <c r="O17" s="39" t="n">
        <v>417.170469693406</v>
      </c>
      <c r="P17" s="39" t="n">
        <v>1445.5441856818</v>
      </c>
      <c r="Q17" s="39" t="n">
        <v>359.752607229671</v>
      </c>
      <c r="R17" s="39" t="n">
        <v>535.174076687838</v>
      </c>
      <c r="S17" s="39" t="n">
        <v>243.926919156277</v>
      </c>
      <c r="T17" s="39" t="n">
        <v>1386.3443895554</v>
      </c>
      <c r="U17" s="39" t="n">
        <v>359.752607229671</v>
      </c>
      <c r="V17" s="39" t="n">
        <v>1079.65380694739</v>
      </c>
      <c r="W17" s="39" t="n">
        <v>189.478946130322</v>
      </c>
      <c r="X17" s="39" t="n">
        <v>896.114639692622</v>
      </c>
      <c r="Z17" s="13" t="n">
        <v>2040</v>
      </c>
      <c r="AE17" s="22" t="n">
        <v>0.7</v>
      </c>
      <c r="AI17" s="22" t="n">
        <v>0.24</v>
      </c>
      <c r="AJ17" s="22" t="n">
        <v>0.14</v>
      </c>
    </row>
    <row r="18" customFormat="false" ht="15" hidden="false" customHeight="true" outlineLevel="0" collapsed="false">
      <c r="A18" s="20" t="n">
        <v>2040</v>
      </c>
      <c r="B18" s="39" t="n">
        <v>1525</v>
      </c>
      <c r="C18" s="39" t="n">
        <v>2499</v>
      </c>
      <c r="D18" s="72" t="n">
        <v>0.241233128643122</v>
      </c>
      <c r="E18" s="72" t="n">
        <v>0.310277111062623</v>
      </c>
      <c r="F18" s="72" t="n">
        <v>0.186995417848571</v>
      </c>
      <c r="G18" s="72" t="n">
        <v>0.261494342445684</v>
      </c>
      <c r="H18" s="39" t="n">
        <v>0</v>
      </c>
      <c r="I18" s="39" t="n">
        <v>207</v>
      </c>
      <c r="J18" s="39" t="n">
        <v>198</v>
      </c>
      <c r="K18" s="39" t="n">
        <v>255</v>
      </c>
      <c r="L18" s="39" t="n">
        <v>865</v>
      </c>
      <c r="M18" s="39" t="n">
        <v>356.048223947307</v>
      </c>
      <c r="N18" s="39" t="n">
        <v>299.613502705246</v>
      </c>
      <c r="O18" s="39" t="n">
        <v>412.87485297577</v>
      </c>
      <c r="P18" s="39" t="n">
        <v>1430.65937426488</v>
      </c>
      <c r="Q18" s="39" t="n">
        <v>356.048223947307</v>
      </c>
      <c r="R18" s="39" t="n">
        <v>529.663373323924</v>
      </c>
      <c r="S18" s="39" t="n">
        <v>241.415196424371</v>
      </c>
      <c r="T18" s="39" t="n">
        <v>1372.0691601976</v>
      </c>
      <c r="U18" s="39" t="n">
        <v>356.048223947307</v>
      </c>
      <c r="V18" s="39" t="n">
        <v>1068.53657962832</v>
      </c>
      <c r="W18" s="39" t="n">
        <v>187.527875793931</v>
      </c>
      <c r="X18" s="39" t="n">
        <v>886.88732063044</v>
      </c>
      <c r="AE18" s="22" t="n">
        <v>0.75</v>
      </c>
      <c r="AI18" s="22" t="n">
        <v>0.25</v>
      </c>
      <c r="AJ18" s="22" t="n">
        <v>0.15</v>
      </c>
    </row>
    <row r="19" customFormat="false" ht="15" hidden="false" customHeight="true" outlineLevel="0" collapsed="false">
      <c r="A19" s="3" t="s">
        <v>562</v>
      </c>
      <c r="AE19" s="22" t="n">
        <v>0.8</v>
      </c>
      <c r="AI19" s="22" t="n">
        <v>0.26</v>
      </c>
      <c r="AJ19" s="22" t="n">
        <v>0.16</v>
      </c>
    </row>
    <row r="20" customFormat="false" ht="15" hidden="false" customHeight="true" outlineLevel="0" collapsed="false">
      <c r="AE20" s="22" t="n">
        <v>0.85</v>
      </c>
      <c r="AI20" s="22" t="n">
        <v>0.27</v>
      </c>
      <c r="AJ20" s="22" t="n">
        <v>0.17</v>
      </c>
    </row>
    <row r="21" customFormat="false" ht="15" hidden="false" customHeight="true" outlineLevel="0" collapsed="false">
      <c r="A21" s="12" t="s">
        <v>563</v>
      </c>
      <c r="AE21" s="22" t="n">
        <v>0.9</v>
      </c>
      <c r="AI21" s="22" t="n">
        <v>0.28</v>
      </c>
      <c r="AJ21" s="22" t="n">
        <v>0.18</v>
      </c>
    </row>
    <row r="22" customFormat="false" ht="34.5" hidden="false" customHeight="true" outlineLevel="0" collapsed="false">
      <c r="A22" s="4" t="s">
        <v>132</v>
      </c>
      <c r="B22" s="5" t="s">
        <v>133</v>
      </c>
      <c r="C22" s="5" t="s">
        <v>564</v>
      </c>
      <c r="D22" s="5" t="s">
        <v>565</v>
      </c>
      <c r="E22" s="5" t="s">
        <v>566</v>
      </c>
      <c r="F22" s="5" t="s">
        <v>567</v>
      </c>
      <c r="G22" s="5" t="s">
        <v>568</v>
      </c>
      <c r="H22" s="5" t="s">
        <v>569</v>
      </c>
      <c r="I22" s="5" t="s">
        <v>570</v>
      </c>
      <c r="J22" s="5" t="s">
        <v>571</v>
      </c>
      <c r="K22" s="5" t="s">
        <v>572</v>
      </c>
      <c r="L22" s="5" t="s">
        <v>573</v>
      </c>
      <c r="M22" s="5" t="s">
        <v>574</v>
      </c>
      <c r="N22" s="5" t="s">
        <v>575</v>
      </c>
      <c r="O22" s="5" t="s">
        <v>576</v>
      </c>
      <c r="AE22" s="22" t="n">
        <v>0.95</v>
      </c>
      <c r="AI22" s="22" t="n">
        <v>0.29</v>
      </c>
      <c r="AJ22" s="22" t="n">
        <v>0.19</v>
      </c>
    </row>
    <row r="23" customFormat="false" ht="15" hidden="false" customHeight="true" outlineLevel="0" collapsed="false">
      <c r="A23" s="21" t="s">
        <v>153</v>
      </c>
      <c r="B23" s="21" t="s">
        <v>154</v>
      </c>
      <c r="C23" s="21" t="n">
        <v>4366</v>
      </c>
      <c r="D23" s="21" t="n">
        <v>1761</v>
      </c>
      <c r="E23" s="21" t="n">
        <v>1760</v>
      </c>
      <c r="F23" s="22" t="n">
        <v>0.0841</v>
      </c>
      <c r="G23" s="39" t="n">
        <v>649.932768815933</v>
      </c>
      <c r="H23" s="21" t="n">
        <v>33</v>
      </c>
      <c r="I23" s="21" t="n">
        <v>273</v>
      </c>
      <c r="J23" s="21" t="n">
        <v>763</v>
      </c>
      <c r="K23" s="21" t="n">
        <v>448</v>
      </c>
      <c r="L23" s="21" t="n">
        <v>243</v>
      </c>
      <c r="M23" s="21" t="n">
        <v>1760</v>
      </c>
      <c r="N23" s="38" t="n">
        <v>8.962</v>
      </c>
      <c r="O23" s="38" t="n">
        <v>11.357</v>
      </c>
      <c r="AE23" s="22" t="n">
        <v>1</v>
      </c>
      <c r="AI23" s="22" t="n">
        <v>0.3</v>
      </c>
      <c r="AJ23" s="22" t="n">
        <v>0.2</v>
      </c>
    </row>
    <row r="24" customFormat="false" ht="15" hidden="false" customHeight="true" outlineLevel="0" collapsed="false">
      <c r="A24" s="21" t="s">
        <v>156</v>
      </c>
      <c r="B24" s="21" t="s">
        <v>154</v>
      </c>
      <c r="C24" s="21" t="n">
        <v>17745</v>
      </c>
      <c r="D24" s="21" t="n">
        <v>6809</v>
      </c>
      <c r="E24" s="21" t="n">
        <v>6799</v>
      </c>
      <c r="F24" s="22" t="n">
        <v>0.17369</v>
      </c>
      <c r="G24" s="39" t="n">
        <v>2641.56137944084</v>
      </c>
      <c r="H24" s="21" t="n">
        <v>184</v>
      </c>
      <c r="I24" s="21" t="n">
        <v>804</v>
      </c>
      <c r="J24" s="21" t="n">
        <v>3467</v>
      </c>
      <c r="K24" s="21" t="n">
        <v>1598</v>
      </c>
      <c r="L24" s="21" t="n">
        <v>746</v>
      </c>
      <c r="M24" s="21" t="n">
        <v>6799</v>
      </c>
      <c r="N24" s="38" t="n">
        <v>3.847</v>
      </c>
      <c r="O24" s="38" t="n">
        <v>7.079</v>
      </c>
      <c r="AI24" s="22" t="n">
        <v>0.31</v>
      </c>
    </row>
    <row r="25" customFormat="false" ht="15" hidden="false" customHeight="true" outlineLevel="0" collapsed="false">
      <c r="A25" s="21" t="s">
        <v>158</v>
      </c>
      <c r="B25" s="21" t="s">
        <v>154</v>
      </c>
      <c r="C25" s="21" t="n">
        <v>21053</v>
      </c>
      <c r="D25" s="21" t="n">
        <v>7039</v>
      </c>
      <c r="E25" s="21" t="n">
        <v>7036</v>
      </c>
      <c r="F25" s="22" t="n">
        <v>0.03637</v>
      </c>
      <c r="G25" s="39" t="n">
        <v>3133.99784284971</v>
      </c>
      <c r="H25" s="21" t="n">
        <v>113</v>
      </c>
      <c r="I25" s="21" t="n">
        <v>608</v>
      </c>
      <c r="J25" s="21" t="n">
        <v>1635</v>
      </c>
      <c r="K25" s="21" t="n">
        <v>3612</v>
      </c>
      <c r="L25" s="21" t="n">
        <v>1068</v>
      </c>
      <c r="M25" s="21" t="n">
        <v>7036</v>
      </c>
      <c r="N25" s="38" t="n">
        <v>15.383</v>
      </c>
      <c r="O25" s="38" t="n">
        <v>21.281</v>
      </c>
      <c r="AI25" s="22" t="n">
        <v>0.32</v>
      </c>
    </row>
    <row r="26" customFormat="false" ht="15" hidden="false" customHeight="true" outlineLevel="0" collapsed="false">
      <c r="A26" s="21" t="s">
        <v>160</v>
      </c>
      <c r="B26" s="21" t="s">
        <v>154</v>
      </c>
      <c r="C26" s="21" t="n">
        <v>18288</v>
      </c>
      <c r="D26" s="21" t="n">
        <v>7649</v>
      </c>
      <c r="E26" s="21" t="n">
        <v>7647</v>
      </c>
      <c r="F26" s="22" t="n">
        <v>0.17116</v>
      </c>
      <c r="G26" s="39" t="n">
        <v>2722.39360423861</v>
      </c>
      <c r="H26" s="21" t="n">
        <v>1076</v>
      </c>
      <c r="I26" s="21" t="n">
        <v>2760</v>
      </c>
      <c r="J26" s="21" t="n">
        <v>1469</v>
      </c>
      <c r="K26" s="21" t="n">
        <v>670</v>
      </c>
      <c r="L26" s="21" t="n">
        <v>1672</v>
      </c>
      <c r="M26" s="21" t="n">
        <v>7647</v>
      </c>
      <c r="N26" s="38" t="n">
        <v>10.624796615685</v>
      </c>
      <c r="O26" s="38" t="n">
        <v>20.081</v>
      </c>
      <c r="AI26" s="22" t="n">
        <v>0.33</v>
      </c>
    </row>
    <row r="27" customFormat="false" ht="15" hidden="false" customHeight="true" outlineLevel="0" collapsed="false">
      <c r="A27" s="21" t="s">
        <v>162</v>
      </c>
      <c r="B27" s="21" t="s">
        <v>154</v>
      </c>
      <c r="C27" s="21" t="n">
        <v>4626</v>
      </c>
      <c r="D27" s="21" t="n">
        <v>1727</v>
      </c>
      <c r="E27" s="21" t="n">
        <v>1727</v>
      </c>
      <c r="F27" s="22" t="n">
        <v>0.03802</v>
      </c>
      <c r="G27" s="39" t="n">
        <v>688.636964851696</v>
      </c>
      <c r="H27" s="21" t="n">
        <v>16</v>
      </c>
      <c r="I27" s="21" t="n">
        <v>169</v>
      </c>
      <c r="J27" s="21" t="n">
        <v>723</v>
      </c>
      <c r="K27" s="21" t="n">
        <v>594</v>
      </c>
      <c r="L27" s="21" t="n">
        <v>225</v>
      </c>
      <c r="M27" s="21" t="n">
        <v>1727</v>
      </c>
      <c r="N27" s="38" t="n">
        <v>4.27</v>
      </c>
      <c r="O27" s="38" t="n">
        <v>8.454</v>
      </c>
      <c r="AI27" s="22" t="n">
        <v>0.34</v>
      </c>
    </row>
    <row r="28" customFormat="false" ht="15" hidden="false" customHeight="true" outlineLevel="0" collapsed="false">
      <c r="A28" s="21" t="s">
        <v>164</v>
      </c>
      <c r="B28" s="21" t="s">
        <v>154</v>
      </c>
      <c r="C28" s="21" t="n">
        <v>19725</v>
      </c>
      <c r="D28" s="21" t="n">
        <v>6830</v>
      </c>
      <c r="E28" s="21" t="n">
        <v>6830</v>
      </c>
      <c r="F28" s="22" t="n">
        <v>0.04887</v>
      </c>
      <c r="G28" s="39" t="n">
        <v>2936.30871848243</v>
      </c>
      <c r="H28" s="21" t="n">
        <v>108</v>
      </c>
      <c r="I28" s="21" t="n">
        <v>797</v>
      </c>
      <c r="J28" s="21" t="n">
        <v>3045</v>
      </c>
      <c r="K28" s="21" t="n">
        <v>2350</v>
      </c>
      <c r="L28" s="21" t="n">
        <v>530</v>
      </c>
      <c r="M28" s="21" t="n">
        <v>6830</v>
      </c>
      <c r="N28" s="38" t="n">
        <v>7.15</v>
      </c>
      <c r="O28" s="38" t="n">
        <v>7.833</v>
      </c>
      <c r="AI28" s="22" t="n">
        <v>0.35</v>
      </c>
    </row>
    <row r="29" customFormat="false" ht="15" hidden="false" customHeight="true" outlineLevel="0" collapsed="false">
      <c r="A29" s="21" t="s">
        <v>166</v>
      </c>
      <c r="B29" s="21" t="s">
        <v>154</v>
      </c>
      <c r="C29" s="21" t="n">
        <v>2288</v>
      </c>
      <c r="D29" s="21" t="n">
        <v>976</v>
      </c>
      <c r="E29" s="21" t="n">
        <v>976</v>
      </c>
      <c r="F29" s="22" t="n">
        <v>0.35414</v>
      </c>
      <c r="G29" s="39" t="n">
        <v>340.596925114717</v>
      </c>
      <c r="H29" s="21" t="n">
        <v>54</v>
      </c>
      <c r="I29" s="21" t="n">
        <v>354</v>
      </c>
      <c r="J29" s="21" t="n">
        <v>233</v>
      </c>
      <c r="K29" s="21" t="n">
        <v>44</v>
      </c>
      <c r="L29" s="21" t="n">
        <v>291</v>
      </c>
      <c r="M29" s="21" t="n">
        <v>976</v>
      </c>
      <c r="N29" s="38" t="n">
        <v>3.677</v>
      </c>
      <c r="O29" s="38" t="n">
        <v>17.418</v>
      </c>
    </row>
    <row r="30" customFormat="false" ht="15" hidden="false" customHeight="true" outlineLevel="0" collapsed="false">
      <c r="A30" s="21" t="s">
        <v>168</v>
      </c>
      <c r="B30" s="21" t="s">
        <v>154</v>
      </c>
      <c r="C30" s="21" t="n">
        <v>11370</v>
      </c>
      <c r="D30" s="21" t="n">
        <v>4208</v>
      </c>
      <c r="E30" s="21" t="n">
        <v>4195</v>
      </c>
      <c r="F30" s="22" t="n">
        <v>0.13674</v>
      </c>
      <c r="G30" s="39" t="n">
        <v>1692.56426510242</v>
      </c>
      <c r="H30" s="21" t="n">
        <v>170</v>
      </c>
      <c r="I30" s="21" t="n">
        <v>658</v>
      </c>
      <c r="J30" s="21" t="n">
        <v>2127</v>
      </c>
      <c r="K30" s="21" t="n">
        <v>515</v>
      </c>
      <c r="L30" s="21" t="n">
        <v>725</v>
      </c>
      <c r="M30" s="21" t="n">
        <v>4195</v>
      </c>
      <c r="N30" s="38" t="n">
        <v>3.845</v>
      </c>
      <c r="O30" s="38" t="n">
        <v>9.054</v>
      </c>
    </row>
    <row r="31" customFormat="false" ht="15" hidden="false" customHeight="true" outlineLevel="0" collapsed="false">
      <c r="A31" s="21" t="s">
        <v>170</v>
      </c>
      <c r="B31" s="21" t="s">
        <v>154</v>
      </c>
      <c r="C31" s="21" t="n">
        <v>6234</v>
      </c>
      <c r="D31" s="21" t="n">
        <v>2211</v>
      </c>
      <c r="E31" s="21" t="n">
        <v>2185</v>
      </c>
      <c r="F31" s="22" t="n">
        <v>0.29598</v>
      </c>
      <c r="G31" s="39" t="n">
        <v>928.007531103647</v>
      </c>
      <c r="H31" s="21" t="n">
        <v>72</v>
      </c>
      <c r="I31" s="21" t="n">
        <v>446</v>
      </c>
      <c r="J31" s="21" t="n">
        <v>966</v>
      </c>
      <c r="K31" s="21" t="n">
        <v>290</v>
      </c>
      <c r="L31" s="21" t="n">
        <v>411</v>
      </c>
      <c r="M31" s="21" t="n">
        <v>2185</v>
      </c>
      <c r="N31" s="38" t="n">
        <v>1.482</v>
      </c>
      <c r="O31" s="38" t="n">
        <v>6.784</v>
      </c>
    </row>
    <row r="32" customFormat="false" ht="15" hidden="false" customHeight="true" outlineLevel="0" collapsed="false">
      <c r="A32" s="21" t="s">
        <v>172</v>
      </c>
      <c r="B32" s="21" t="s">
        <v>173</v>
      </c>
      <c r="C32" s="21" t="n">
        <v>2206</v>
      </c>
      <c r="D32" s="21" t="n">
        <v>924</v>
      </c>
      <c r="E32" s="21" t="n">
        <v>924</v>
      </c>
      <c r="F32" s="22" t="n">
        <v>0.21444</v>
      </c>
      <c r="G32" s="39" t="n">
        <v>290</v>
      </c>
      <c r="H32" s="21" t="n">
        <v>43</v>
      </c>
      <c r="I32" s="21" t="n">
        <v>154</v>
      </c>
      <c r="J32" s="21" t="n">
        <v>434</v>
      </c>
      <c r="K32" s="21" t="n">
        <v>229</v>
      </c>
      <c r="L32" s="21" t="n">
        <v>64</v>
      </c>
      <c r="M32" s="21" t="n">
        <v>924</v>
      </c>
      <c r="N32" s="38" t="n">
        <v>2.157</v>
      </c>
      <c r="O32" s="38" t="n">
        <v>1.082</v>
      </c>
    </row>
    <row r="33" customFormat="false" ht="15" hidden="false" customHeight="true" outlineLevel="0" collapsed="false">
      <c r="A33" s="21" t="s">
        <v>175</v>
      </c>
      <c r="B33" s="21" t="s">
        <v>173</v>
      </c>
      <c r="C33" s="21" t="n">
        <v>1569</v>
      </c>
      <c r="D33" s="21" t="n">
        <v>521</v>
      </c>
      <c r="E33" s="21" t="n">
        <v>521</v>
      </c>
      <c r="F33" s="22" t="n">
        <v>0.16367</v>
      </c>
      <c r="G33" s="39" t="n">
        <v>172</v>
      </c>
      <c r="H33" s="21" t="n">
        <v>13</v>
      </c>
      <c r="I33" s="21" t="n">
        <v>57</v>
      </c>
      <c r="J33" s="21" t="n">
        <v>194</v>
      </c>
      <c r="K33" s="21" t="n">
        <v>204</v>
      </c>
      <c r="L33" s="21" t="n">
        <v>53</v>
      </c>
      <c r="M33" s="21" t="n">
        <v>521</v>
      </c>
      <c r="N33" s="38" t="n">
        <v>1.533</v>
      </c>
      <c r="O33" s="38" t="n">
        <v>3.455</v>
      </c>
    </row>
    <row r="34" customFormat="false" ht="15" hidden="false" customHeight="true" outlineLevel="0" collapsed="false">
      <c r="A34" s="21" t="s">
        <v>177</v>
      </c>
      <c r="B34" s="21" t="s">
        <v>173</v>
      </c>
      <c r="C34" s="21" t="n">
        <v>2488</v>
      </c>
      <c r="D34" s="21" t="n">
        <v>906</v>
      </c>
      <c r="E34" s="21" t="n">
        <v>905</v>
      </c>
      <c r="F34" s="22" t="n">
        <v>0.11251</v>
      </c>
      <c r="G34" s="39" t="n">
        <v>282</v>
      </c>
      <c r="H34" s="21" t="n">
        <v>28</v>
      </c>
      <c r="I34" s="21" t="n">
        <v>118</v>
      </c>
      <c r="J34" s="21" t="n">
        <v>395</v>
      </c>
      <c r="K34" s="21" t="n">
        <v>304</v>
      </c>
      <c r="L34" s="21" t="n">
        <v>60</v>
      </c>
      <c r="M34" s="21" t="n">
        <v>905</v>
      </c>
      <c r="N34" s="38" t="n">
        <v>1.776</v>
      </c>
      <c r="O34" s="38" t="n">
        <v>2.318</v>
      </c>
    </row>
    <row r="35" customFormat="false" ht="15" hidden="false" customHeight="true" outlineLevel="0" collapsed="false">
      <c r="A35" s="21" t="s">
        <v>179</v>
      </c>
      <c r="B35" s="21" t="s">
        <v>173</v>
      </c>
      <c r="C35" s="21" t="n">
        <v>1761</v>
      </c>
      <c r="D35" s="21" t="n">
        <v>729</v>
      </c>
      <c r="E35" s="21" t="n">
        <v>718</v>
      </c>
      <c r="F35" s="22" t="n">
        <v>0.20437</v>
      </c>
      <c r="G35" s="39" t="n">
        <v>223</v>
      </c>
      <c r="H35" s="21" t="n">
        <v>20</v>
      </c>
      <c r="I35" s="21" t="n">
        <v>123</v>
      </c>
      <c r="J35" s="21" t="n">
        <v>285</v>
      </c>
      <c r="K35" s="21" t="n">
        <v>162</v>
      </c>
      <c r="L35" s="21" t="n">
        <v>128</v>
      </c>
      <c r="M35" s="21" t="n">
        <v>718</v>
      </c>
      <c r="N35" s="38" t="n">
        <v>1.28</v>
      </c>
      <c r="O35" s="38" t="n">
        <v>4.527</v>
      </c>
    </row>
    <row r="36" customFormat="false" ht="15" hidden="false" customHeight="true" outlineLevel="0" collapsed="false">
      <c r="A36" s="21" t="s">
        <v>181</v>
      </c>
      <c r="B36" s="21" t="s">
        <v>173</v>
      </c>
      <c r="C36" s="21" t="n">
        <v>7209</v>
      </c>
      <c r="D36" s="21" t="n">
        <v>2674</v>
      </c>
      <c r="E36" s="21" t="n">
        <v>2672</v>
      </c>
      <c r="F36" s="22" t="n">
        <v>0.13176</v>
      </c>
      <c r="G36" s="39" t="n">
        <v>971</v>
      </c>
      <c r="H36" s="21" t="n">
        <v>117</v>
      </c>
      <c r="I36" s="21" t="n">
        <v>418</v>
      </c>
      <c r="J36" s="21" t="n">
        <v>1221</v>
      </c>
      <c r="K36" s="21" t="n">
        <v>639</v>
      </c>
      <c r="L36" s="21" t="n">
        <v>277</v>
      </c>
      <c r="M36" s="21" t="n">
        <v>2672</v>
      </c>
      <c r="N36" s="38" t="n">
        <v>2.878</v>
      </c>
      <c r="O36" s="38" t="n">
        <v>3.441</v>
      </c>
    </row>
    <row r="37" customFormat="false" ht="15" hidden="false" customHeight="true" outlineLevel="0" collapsed="false">
      <c r="A37" s="21" t="s">
        <v>183</v>
      </c>
      <c r="B37" s="21" t="s">
        <v>173</v>
      </c>
      <c r="C37" s="21" t="n">
        <v>1231</v>
      </c>
      <c r="D37" s="21" t="n">
        <v>478</v>
      </c>
      <c r="E37" s="21" t="n">
        <v>459</v>
      </c>
      <c r="F37" s="22" t="n">
        <v>0.31382</v>
      </c>
      <c r="G37" s="39" t="n">
        <v>202</v>
      </c>
      <c r="H37" s="21" t="n">
        <v>46</v>
      </c>
      <c r="I37" s="21" t="n">
        <v>96</v>
      </c>
      <c r="J37" s="21" t="n">
        <v>177</v>
      </c>
      <c r="K37" s="21" t="n">
        <v>73</v>
      </c>
      <c r="L37" s="21" t="n">
        <v>67</v>
      </c>
      <c r="M37" s="21" t="n">
        <v>459</v>
      </c>
      <c r="N37" s="38" t="n">
        <v>0.857</v>
      </c>
      <c r="O37" s="38" t="n">
        <v>5.858</v>
      </c>
    </row>
    <row r="38" customFormat="false" ht="15" hidden="false" customHeight="true" outlineLevel="0" collapsed="false">
      <c r="A38" s="21" t="s">
        <v>185</v>
      </c>
      <c r="B38" s="21" t="s">
        <v>186</v>
      </c>
      <c r="C38" s="21" t="n">
        <v>1224</v>
      </c>
      <c r="D38" s="21" t="n">
        <v>477</v>
      </c>
      <c r="E38" s="21" t="n">
        <v>476</v>
      </c>
      <c r="F38" s="22" t="n">
        <v>0.11398</v>
      </c>
      <c r="G38" s="39" t="n">
        <v>200</v>
      </c>
      <c r="H38" s="21" t="n">
        <v>33</v>
      </c>
      <c r="I38" s="21" t="n">
        <v>68</v>
      </c>
      <c r="J38" s="21" t="n">
        <v>164</v>
      </c>
      <c r="K38" s="21" t="n">
        <v>175</v>
      </c>
      <c r="L38" s="21" t="n">
        <v>36</v>
      </c>
      <c r="M38" s="21" t="n">
        <v>476</v>
      </c>
      <c r="N38" s="38" t="n">
        <v>5.398</v>
      </c>
      <c r="O38" s="38" t="n">
        <v>2.935</v>
      </c>
    </row>
    <row r="39" customFormat="false" ht="15" hidden="false" customHeight="true" outlineLevel="0" collapsed="false">
      <c r="A39" s="21" t="s">
        <v>188</v>
      </c>
      <c r="B39" s="21" t="s">
        <v>186</v>
      </c>
      <c r="C39" s="21" t="n">
        <v>1236</v>
      </c>
      <c r="D39" s="21" t="n">
        <v>452</v>
      </c>
      <c r="E39" s="21" t="n">
        <v>451</v>
      </c>
      <c r="F39" s="22" t="n">
        <v>0.20501</v>
      </c>
      <c r="G39" s="39" t="n">
        <v>163</v>
      </c>
      <c r="H39" s="21" t="n">
        <v>20</v>
      </c>
      <c r="I39" s="21" t="n">
        <v>84</v>
      </c>
      <c r="J39" s="21" t="n">
        <v>197</v>
      </c>
      <c r="K39" s="21" t="n">
        <v>108</v>
      </c>
      <c r="L39" s="21" t="n">
        <v>42</v>
      </c>
      <c r="M39" s="21" t="n">
        <v>451</v>
      </c>
      <c r="N39" s="38" t="n">
        <v>1.071</v>
      </c>
      <c r="O39" s="38" t="n">
        <v>1.77</v>
      </c>
    </row>
    <row r="40" customFormat="false" ht="15" hidden="false" customHeight="true" outlineLevel="0" collapsed="false">
      <c r="A40" s="21" t="s">
        <v>190</v>
      </c>
      <c r="B40" s="21" t="s">
        <v>186</v>
      </c>
      <c r="C40" s="21" t="n">
        <v>887</v>
      </c>
      <c r="D40" s="21" t="n">
        <v>342</v>
      </c>
      <c r="E40" s="21" t="n">
        <v>341</v>
      </c>
      <c r="F40" s="22" t="n">
        <v>0.18072</v>
      </c>
      <c r="G40" s="39" t="n">
        <v>114</v>
      </c>
      <c r="H40" s="21" t="n">
        <v>25</v>
      </c>
      <c r="I40" s="21" t="n">
        <v>54</v>
      </c>
      <c r="J40" s="21" t="n">
        <v>123</v>
      </c>
      <c r="K40" s="21" t="n">
        <v>105</v>
      </c>
      <c r="L40" s="21" t="n">
        <v>34</v>
      </c>
      <c r="M40" s="21" t="n">
        <v>341</v>
      </c>
      <c r="N40" s="38" t="n">
        <v>1.053</v>
      </c>
      <c r="O40" s="38" t="n">
        <v>2.339</v>
      </c>
    </row>
    <row r="41" customFormat="false" ht="15" hidden="false" customHeight="true" outlineLevel="0" collapsed="false">
      <c r="A41" s="21" t="s">
        <v>192</v>
      </c>
      <c r="B41" s="21" t="s">
        <v>186</v>
      </c>
      <c r="C41" s="21" t="n">
        <v>668</v>
      </c>
      <c r="D41" s="21" t="n">
        <v>266</v>
      </c>
      <c r="E41" s="21" t="n">
        <v>266</v>
      </c>
      <c r="F41" s="22" t="n">
        <v>0.24609</v>
      </c>
      <c r="G41" s="39" t="n">
        <v>89</v>
      </c>
      <c r="H41" s="21" t="n">
        <v>15</v>
      </c>
      <c r="I41" s="21" t="n">
        <v>39</v>
      </c>
      <c r="J41" s="21" t="n">
        <v>136</v>
      </c>
      <c r="K41" s="21" t="n">
        <v>48</v>
      </c>
      <c r="L41" s="21" t="n">
        <v>28</v>
      </c>
      <c r="M41" s="21" t="n">
        <v>266</v>
      </c>
      <c r="N41" s="38" t="n">
        <v>2.317</v>
      </c>
      <c r="O41" s="38" t="n">
        <v>1.128</v>
      </c>
    </row>
    <row r="42" customFormat="false" ht="15" hidden="false" customHeight="true" outlineLevel="0" collapsed="false">
      <c r="A42" s="21" t="s">
        <v>194</v>
      </c>
      <c r="B42" s="21" t="s">
        <v>186</v>
      </c>
      <c r="C42" s="21" t="n">
        <v>1240</v>
      </c>
      <c r="D42" s="21" t="n">
        <v>437</v>
      </c>
      <c r="E42" s="21" t="n">
        <v>437</v>
      </c>
      <c r="F42" s="22" t="n">
        <v>0.30183</v>
      </c>
      <c r="G42" s="39" t="n">
        <v>143</v>
      </c>
      <c r="H42" s="21" t="n">
        <v>18</v>
      </c>
      <c r="I42" s="21" t="n">
        <v>49</v>
      </c>
      <c r="J42" s="21" t="n">
        <v>151</v>
      </c>
      <c r="K42" s="21" t="n">
        <v>73</v>
      </c>
      <c r="L42" s="21" t="n">
        <v>146</v>
      </c>
      <c r="M42" s="21" t="n">
        <v>437</v>
      </c>
      <c r="N42" s="38" t="n">
        <v>1.093</v>
      </c>
      <c r="O42" s="38" t="n">
        <v>16.476</v>
      </c>
    </row>
    <row r="43" customFormat="false" ht="15" hidden="false" customHeight="true" outlineLevel="0" collapsed="false">
      <c r="A43" s="21" t="s">
        <v>196</v>
      </c>
      <c r="B43" s="21" t="s">
        <v>186</v>
      </c>
      <c r="C43" s="21" t="n">
        <v>674</v>
      </c>
      <c r="D43" s="21" t="n">
        <v>283</v>
      </c>
      <c r="E43" s="21" t="n">
        <v>283</v>
      </c>
      <c r="F43" s="22" t="n">
        <v>0.23297</v>
      </c>
      <c r="G43" s="39" t="n">
        <v>88</v>
      </c>
      <c r="H43" s="21" t="n">
        <v>13</v>
      </c>
      <c r="I43" s="21" t="n">
        <v>61</v>
      </c>
      <c r="J43" s="21" t="n">
        <v>123</v>
      </c>
      <c r="K43" s="21" t="n">
        <v>71</v>
      </c>
      <c r="L43" s="21" t="n">
        <v>15</v>
      </c>
      <c r="M43" s="21" t="n">
        <v>283</v>
      </c>
      <c r="N43" s="38" t="n">
        <v>0.966</v>
      </c>
      <c r="O43" s="38" t="n">
        <v>0.353</v>
      </c>
    </row>
    <row r="44" customFormat="false" ht="15" hidden="false" customHeight="true" outlineLevel="0" collapsed="false">
      <c r="A44" s="21" t="s">
        <v>198</v>
      </c>
      <c r="B44" s="21" t="s">
        <v>186</v>
      </c>
      <c r="C44" s="21" t="n">
        <v>757</v>
      </c>
      <c r="D44" s="21" t="n">
        <v>323</v>
      </c>
      <c r="E44" s="21" t="n">
        <v>323</v>
      </c>
      <c r="F44" s="22" t="n">
        <v>0.22045</v>
      </c>
      <c r="G44" s="39" t="n">
        <v>112</v>
      </c>
      <c r="H44" s="21" t="n">
        <v>17</v>
      </c>
      <c r="I44" s="21" t="n">
        <v>65</v>
      </c>
      <c r="J44" s="21" t="n">
        <v>115</v>
      </c>
      <c r="K44" s="21" t="n">
        <v>85</v>
      </c>
      <c r="L44" s="21" t="n">
        <v>41</v>
      </c>
      <c r="M44" s="21" t="n">
        <v>323</v>
      </c>
      <c r="N44" s="38" t="n">
        <v>0</v>
      </c>
      <c r="O44" s="38" t="n">
        <v>2.167</v>
      </c>
    </row>
    <row r="45" customFormat="false" ht="15" hidden="false" customHeight="true" outlineLevel="0" collapsed="false">
      <c r="A45" s="21" t="s">
        <v>200</v>
      </c>
      <c r="B45" s="21" t="s">
        <v>186</v>
      </c>
      <c r="C45" s="21" t="n">
        <v>1432</v>
      </c>
      <c r="D45" s="21" t="n">
        <v>494</v>
      </c>
      <c r="E45" s="21" t="n">
        <v>494</v>
      </c>
      <c r="F45" s="22" t="n">
        <v>0.1125</v>
      </c>
      <c r="G45" s="39" t="n">
        <v>161</v>
      </c>
      <c r="H45" s="21" t="n">
        <v>11</v>
      </c>
      <c r="I45" s="21" t="n">
        <v>62</v>
      </c>
      <c r="J45" s="21" t="n">
        <v>292</v>
      </c>
      <c r="K45" s="21" t="n">
        <v>88</v>
      </c>
      <c r="L45" s="21" t="n">
        <v>41</v>
      </c>
      <c r="M45" s="21" t="n">
        <v>494</v>
      </c>
      <c r="N45" s="38" t="n">
        <v>0.476</v>
      </c>
      <c r="O45" s="38" t="n">
        <v>3.239</v>
      </c>
    </row>
    <row r="46" customFormat="false" ht="15" hidden="false" customHeight="true" outlineLevel="0" collapsed="false">
      <c r="A46" s="21" t="s">
        <v>202</v>
      </c>
      <c r="B46" s="21" t="s">
        <v>186</v>
      </c>
      <c r="C46" s="21" t="n">
        <v>848</v>
      </c>
      <c r="D46" s="21" t="n">
        <v>317</v>
      </c>
      <c r="E46" s="21" t="n">
        <v>316</v>
      </c>
      <c r="F46" s="22" t="n">
        <v>0.15282</v>
      </c>
      <c r="G46" s="39" t="n">
        <v>400</v>
      </c>
      <c r="H46" s="21" t="n">
        <v>12</v>
      </c>
      <c r="I46" s="21" t="n">
        <v>18</v>
      </c>
      <c r="J46" s="21" t="n">
        <v>178</v>
      </c>
      <c r="K46" s="21" t="n">
        <v>73</v>
      </c>
      <c r="L46" s="21" t="n">
        <v>35</v>
      </c>
      <c r="M46" s="21" t="n">
        <v>316</v>
      </c>
      <c r="N46" s="38" t="n">
        <v>0.829</v>
      </c>
      <c r="O46" s="38" t="n">
        <v>1.577</v>
      </c>
    </row>
    <row r="47" customFormat="false" ht="15" hidden="false" customHeight="true" outlineLevel="0" collapsed="false">
      <c r="A47" s="21" t="s">
        <v>204</v>
      </c>
      <c r="B47" s="21" t="s">
        <v>204</v>
      </c>
      <c r="C47" s="21" t="n">
        <v>78411</v>
      </c>
      <c r="D47" s="21" t="n">
        <v>27639</v>
      </c>
      <c r="E47" s="21" t="n">
        <v>27554</v>
      </c>
      <c r="F47" s="22" t="n">
        <v>0.03738</v>
      </c>
      <c r="G47" s="39" t="n">
        <v>2094</v>
      </c>
      <c r="H47" s="21" t="n">
        <v>710</v>
      </c>
      <c r="I47" s="21" t="n">
        <v>2717</v>
      </c>
      <c r="J47" s="21" t="n">
        <v>8630</v>
      </c>
      <c r="K47" s="21" t="n">
        <v>13084</v>
      </c>
      <c r="L47" s="21" t="n">
        <v>2413</v>
      </c>
      <c r="M47" s="21" t="n">
        <v>27554</v>
      </c>
      <c r="N47" s="38" t="n">
        <v>0.67</v>
      </c>
      <c r="O47" s="38" t="n">
        <v>1.86</v>
      </c>
    </row>
    <row r="48" customFormat="false" ht="15" hidden="false" customHeight="true" outlineLevel="0" collapsed="false">
      <c r="A48" s="3" t="s">
        <v>577</v>
      </c>
    </row>
    <row r="50" customFormat="false" ht="15" hidden="false" customHeight="true" outlineLevel="0" collapsed="false">
      <c r="A50" s="12" t="s">
        <v>578</v>
      </c>
    </row>
    <row r="51" customFormat="false" ht="15" hidden="false" customHeight="true" outlineLevel="0" collapsed="false">
      <c r="A51" s="4" t="s">
        <v>579</v>
      </c>
      <c r="B51" s="5" t="s">
        <v>580</v>
      </c>
      <c r="C51" s="5" t="s">
        <v>581</v>
      </c>
    </row>
    <row r="52" customFormat="false" ht="15" hidden="false" customHeight="true" outlineLevel="0" collapsed="false">
      <c r="A52" s="13" t="s">
        <v>582</v>
      </c>
      <c r="B52" s="21" t="n">
        <v>21438</v>
      </c>
      <c r="C52" s="3" t="s">
        <v>583</v>
      </c>
    </row>
    <row r="53" customFormat="false" ht="15" hidden="false" customHeight="true" outlineLevel="0" collapsed="false">
      <c r="A53" s="13" t="s">
        <v>584</v>
      </c>
      <c r="B53" s="21" t="n">
        <v>490</v>
      </c>
      <c r="C53" s="3" t="s">
        <v>585</v>
      </c>
    </row>
    <row r="54" customFormat="false" ht="15" hidden="false" customHeight="true" outlineLevel="0" collapsed="false">
      <c r="A54" s="13" t="s">
        <v>586</v>
      </c>
      <c r="B54" s="21" t="n">
        <v>281</v>
      </c>
      <c r="C54" s="3" t="s">
        <v>585</v>
      </c>
    </row>
    <row r="55" customFormat="false" ht="15" hidden="false" customHeight="true" outlineLevel="0" collapsed="false">
      <c r="A55" s="13" t="s">
        <v>587</v>
      </c>
      <c r="B55" s="21" t="n">
        <v>29</v>
      </c>
      <c r="C55" s="3" t="s">
        <v>585</v>
      </c>
    </row>
    <row r="56" customFormat="false" ht="15" hidden="false" customHeight="true" outlineLevel="0" collapsed="false">
      <c r="A56" s="13" t="s">
        <v>588</v>
      </c>
      <c r="B56" s="21" t="n">
        <v>49</v>
      </c>
      <c r="C56" s="3" t="s">
        <v>585</v>
      </c>
    </row>
    <row r="57" customFormat="false" ht="15" hidden="false" customHeight="true" outlineLevel="0" collapsed="false">
      <c r="A57" s="13" t="s">
        <v>589</v>
      </c>
      <c r="B57" s="21" t="n">
        <v>2637</v>
      </c>
      <c r="C57" s="3" t="s">
        <v>585</v>
      </c>
    </row>
    <row r="58" customFormat="false" ht="15" hidden="false" customHeight="true" outlineLevel="0" collapsed="false">
      <c r="A58" s="13" t="s">
        <v>590</v>
      </c>
      <c r="B58" s="21" t="n">
        <v>1308</v>
      </c>
      <c r="C58" s="3" t="s">
        <v>591</v>
      </c>
    </row>
    <row r="59" customFormat="false" ht="15" hidden="false" customHeight="true" outlineLevel="0" collapsed="false">
      <c r="A59" s="13" t="s">
        <v>592</v>
      </c>
      <c r="B59" s="77" t="n">
        <v>3.78477192710953</v>
      </c>
      <c r="C59" s="3" t="s">
        <v>593</v>
      </c>
    </row>
    <row r="61" customFormat="false" ht="15" hidden="false" customHeight="true" outlineLevel="0" collapsed="false">
      <c r="A61" s="12" t="s">
        <v>594</v>
      </c>
    </row>
    <row r="62" customFormat="false" ht="45.75" hidden="false" customHeight="true" outlineLevel="0" collapsed="false">
      <c r="A62" s="4" t="s">
        <v>595</v>
      </c>
      <c r="B62" s="5" t="s">
        <v>132</v>
      </c>
      <c r="C62" s="5" t="s">
        <v>19</v>
      </c>
      <c r="D62" s="5" t="s">
        <v>596</v>
      </c>
      <c r="E62" s="5" t="s">
        <v>597</v>
      </c>
      <c r="F62" s="5" t="s">
        <v>598</v>
      </c>
      <c r="G62" s="5" t="s">
        <v>599</v>
      </c>
      <c r="H62" s="5" t="s">
        <v>600</v>
      </c>
      <c r="I62" s="5" t="s">
        <v>601</v>
      </c>
      <c r="J62" s="5" t="s">
        <v>602</v>
      </c>
      <c r="K62" s="5" t="s">
        <v>603</v>
      </c>
    </row>
    <row r="63" customFormat="false" ht="15" hidden="false" customHeight="true" outlineLevel="0" collapsed="false">
      <c r="A63" s="13" t="s">
        <v>604</v>
      </c>
      <c r="B63" s="13" t="s">
        <v>172</v>
      </c>
      <c r="C63" s="13" t="s">
        <v>605</v>
      </c>
      <c r="D63" s="13" t="s">
        <v>606</v>
      </c>
      <c r="E63" s="39" t="n">
        <v>491</v>
      </c>
      <c r="F63" s="39" t="n">
        <v>181.800498753117</v>
      </c>
      <c r="G63" s="39" t="n">
        <v>140.299251870324</v>
      </c>
      <c r="H63" s="39" t="n">
        <v>110.900249376559</v>
      </c>
      <c r="I63" s="39" t="n">
        <v>378.904191616767</v>
      </c>
      <c r="J63" s="39" t="n">
        <v>112.095808383234</v>
      </c>
      <c r="K63" s="39" t="n">
        <v>924</v>
      </c>
    </row>
    <row r="64" customFormat="false" ht="15" hidden="false" customHeight="true" outlineLevel="0" collapsed="false">
      <c r="A64" s="13" t="s">
        <v>607</v>
      </c>
      <c r="B64" s="13" t="s">
        <v>172</v>
      </c>
      <c r="C64" s="13" t="s">
        <v>605</v>
      </c>
      <c r="D64" s="13" t="s">
        <v>608</v>
      </c>
      <c r="E64" s="39" t="n">
        <v>491</v>
      </c>
      <c r="F64" s="39" t="n">
        <v>232.972568578554</v>
      </c>
      <c r="G64" s="39" t="n">
        <v>136.708229426434</v>
      </c>
      <c r="H64" s="39" t="n">
        <v>63.3192019950125</v>
      </c>
      <c r="I64" s="39" t="n">
        <v>378.904191616767</v>
      </c>
      <c r="J64" s="39" t="n">
        <v>112.095808383234</v>
      </c>
      <c r="K64" s="39" t="n">
        <v>924</v>
      </c>
    </row>
    <row r="65" customFormat="false" ht="15" hidden="false" customHeight="true" outlineLevel="0" collapsed="false">
      <c r="A65" s="13" t="s">
        <v>609</v>
      </c>
      <c r="B65" s="13" t="s">
        <v>172</v>
      </c>
      <c r="C65" s="13" t="s">
        <v>610</v>
      </c>
      <c r="D65" s="13" t="s">
        <v>606</v>
      </c>
      <c r="E65" s="39" t="n">
        <v>491</v>
      </c>
      <c r="F65" s="39" t="n">
        <v>181.800498753117</v>
      </c>
      <c r="G65" s="39" t="n">
        <v>140.299251870324</v>
      </c>
      <c r="H65" s="39" t="n">
        <v>110.900249376559</v>
      </c>
      <c r="I65" s="39" t="n">
        <v>378.904191616767</v>
      </c>
      <c r="J65" s="39" t="n">
        <v>112.095808383234</v>
      </c>
      <c r="K65" s="39" t="n">
        <v>924</v>
      </c>
    </row>
    <row r="66" customFormat="false" ht="15" hidden="false" customHeight="true" outlineLevel="0" collapsed="false">
      <c r="A66" s="13" t="s">
        <v>611</v>
      </c>
      <c r="B66" s="13" t="s">
        <v>172</v>
      </c>
      <c r="C66" s="13" t="s">
        <v>610</v>
      </c>
      <c r="D66" s="13" t="s">
        <v>608</v>
      </c>
      <c r="E66" s="39" t="n">
        <v>491</v>
      </c>
      <c r="F66" s="39" t="n">
        <v>232.972568578554</v>
      </c>
      <c r="G66" s="39" t="n">
        <v>136.708229426434</v>
      </c>
      <c r="H66" s="39" t="n">
        <v>63.3192019950125</v>
      </c>
      <c r="I66" s="39" t="n">
        <v>378.904191616767</v>
      </c>
      <c r="J66" s="39" t="n">
        <v>112.095808383234</v>
      </c>
      <c r="K66" s="39" t="n">
        <v>924</v>
      </c>
    </row>
    <row r="67" customFormat="false" ht="15" hidden="false" customHeight="true" outlineLevel="0" collapsed="false">
      <c r="A67" s="13" t="s">
        <v>612</v>
      </c>
      <c r="B67" s="13" t="s">
        <v>172</v>
      </c>
      <c r="C67" s="13" t="s">
        <v>613</v>
      </c>
      <c r="D67" s="13" t="s">
        <v>606</v>
      </c>
      <c r="E67" s="39" t="n">
        <v>518</v>
      </c>
      <c r="F67" s="39" t="n">
        <v>178.800498753117</v>
      </c>
      <c r="G67" s="39" t="n">
        <v>133.299251870324</v>
      </c>
      <c r="H67" s="39" t="n">
        <v>110.900249376559</v>
      </c>
      <c r="I67" s="39" t="n">
        <v>405.904191616767</v>
      </c>
      <c r="J67" s="39" t="n">
        <v>112.095808383234</v>
      </c>
      <c r="K67" s="39" t="n">
        <v>941</v>
      </c>
    </row>
    <row r="68" customFormat="false" ht="15" hidden="false" customHeight="true" outlineLevel="0" collapsed="false">
      <c r="A68" s="13" t="s">
        <v>614</v>
      </c>
      <c r="B68" s="13" t="s">
        <v>172</v>
      </c>
      <c r="C68" s="13" t="s">
        <v>613</v>
      </c>
      <c r="D68" s="13" t="s">
        <v>608</v>
      </c>
      <c r="E68" s="39" t="n">
        <v>518</v>
      </c>
      <c r="F68" s="39" t="n">
        <v>229.972568578554</v>
      </c>
      <c r="G68" s="39" t="n">
        <v>129.708229426434</v>
      </c>
      <c r="H68" s="39" t="n">
        <v>63.3192019950125</v>
      </c>
      <c r="I68" s="39" t="n">
        <v>405.904191616767</v>
      </c>
      <c r="J68" s="39" t="n">
        <v>112.095808383234</v>
      </c>
      <c r="K68" s="39" t="n">
        <v>941</v>
      </c>
    </row>
    <row r="69" customFormat="false" ht="15" hidden="false" customHeight="true" outlineLevel="0" collapsed="false">
      <c r="A69" s="13" t="s">
        <v>615</v>
      </c>
      <c r="B69" s="13" t="s">
        <v>172</v>
      </c>
      <c r="C69" s="13" t="s">
        <v>616</v>
      </c>
      <c r="D69" s="13" t="s">
        <v>606</v>
      </c>
      <c r="E69" s="39" t="n">
        <v>491</v>
      </c>
      <c r="F69" s="39" t="n">
        <v>181.800498753117</v>
      </c>
      <c r="G69" s="39" t="n">
        <v>140.299251870324</v>
      </c>
      <c r="H69" s="39" t="n">
        <v>110.900249376559</v>
      </c>
      <c r="I69" s="39" t="n">
        <v>378.904191616767</v>
      </c>
      <c r="J69" s="39" t="n">
        <v>112.095808383234</v>
      </c>
      <c r="K69" s="39" t="n">
        <v>924</v>
      </c>
    </row>
    <row r="70" customFormat="false" ht="15" hidden="false" customHeight="true" outlineLevel="0" collapsed="false">
      <c r="A70" s="13" t="s">
        <v>617</v>
      </c>
      <c r="B70" s="13" t="s">
        <v>172</v>
      </c>
      <c r="C70" s="13" t="s">
        <v>616</v>
      </c>
      <c r="D70" s="13" t="s">
        <v>608</v>
      </c>
      <c r="E70" s="39" t="n">
        <v>491</v>
      </c>
      <c r="F70" s="39" t="n">
        <v>232.972568578554</v>
      </c>
      <c r="G70" s="39" t="n">
        <v>136.708229426434</v>
      </c>
      <c r="H70" s="39" t="n">
        <v>63.3192019950125</v>
      </c>
      <c r="I70" s="39" t="n">
        <v>378.904191616767</v>
      </c>
      <c r="J70" s="39" t="n">
        <v>112.095808383234</v>
      </c>
      <c r="K70" s="39" t="n">
        <v>924</v>
      </c>
    </row>
    <row r="71" customFormat="false" ht="15" hidden="false" customHeight="true" outlineLevel="0" collapsed="false">
      <c r="A71" s="13" t="s">
        <v>618</v>
      </c>
      <c r="B71" s="13" t="s">
        <v>185</v>
      </c>
      <c r="C71" s="13" t="s">
        <v>605</v>
      </c>
      <c r="D71" s="13" t="s">
        <v>606</v>
      </c>
      <c r="E71" s="39" t="n">
        <v>259</v>
      </c>
      <c r="F71" s="39" t="n">
        <v>76.3636363636364</v>
      </c>
      <c r="G71" s="39" t="n">
        <v>90.2032085561497</v>
      </c>
      <c r="H71" s="39" t="n">
        <v>51.4331550802139</v>
      </c>
      <c r="I71" s="39" t="n">
        <v>168.643410852713</v>
      </c>
      <c r="J71" s="39" t="n">
        <v>90.3565891472868</v>
      </c>
      <c r="K71" s="39" t="n">
        <v>477</v>
      </c>
    </row>
    <row r="72" customFormat="false" ht="15" hidden="false" customHeight="true" outlineLevel="0" collapsed="false">
      <c r="A72" s="13" t="s">
        <v>619</v>
      </c>
      <c r="B72" s="13" t="s">
        <v>185</v>
      </c>
      <c r="C72" s="13" t="s">
        <v>605</v>
      </c>
      <c r="D72" s="13" t="s">
        <v>608</v>
      </c>
      <c r="E72" s="39" t="n">
        <v>259</v>
      </c>
      <c r="F72" s="39" t="n">
        <v>106.652406417112</v>
      </c>
      <c r="G72" s="39" t="n">
        <v>93.0427807486631</v>
      </c>
      <c r="H72" s="39" t="n">
        <v>18.3048128342246</v>
      </c>
      <c r="I72" s="39" t="n">
        <v>168.643410852713</v>
      </c>
      <c r="J72" s="39" t="n">
        <v>90.3565891472868</v>
      </c>
      <c r="K72" s="39" t="n">
        <v>477</v>
      </c>
    </row>
    <row r="73" customFormat="false" ht="15" hidden="false" customHeight="true" outlineLevel="0" collapsed="false">
      <c r="A73" s="13" t="s">
        <v>620</v>
      </c>
      <c r="B73" s="13" t="s">
        <v>185</v>
      </c>
      <c r="C73" s="13" t="s">
        <v>610</v>
      </c>
      <c r="D73" s="13" t="s">
        <v>606</v>
      </c>
      <c r="E73" s="39" t="n">
        <v>259</v>
      </c>
      <c r="F73" s="39" t="n">
        <v>76.3636363636364</v>
      </c>
      <c r="G73" s="39" t="n">
        <v>90.2032085561497</v>
      </c>
      <c r="H73" s="39" t="n">
        <v>51.4331550802139</v>
      </c>
      <c r="I73" s="39" t="n">
        <v>168.643410852713</v>
      </c>
      <c r="J73" s="39" t="n">
        <v>90.3565891472868</v>
      </c>
      <c r="K73" s="39" t="n">
        <v>477</v>
      </c>
    </row>
    <row r="74" customFormat="false" ht="15" hidden="false" customHeight="true" outlineLevel="0" collapsed="false">
      <c r="A74" s="13" t="s">
        <v>621</v>
      </c>
      <c r="B74" s="13" t="s">
        <v>185</v>
      </c>
      <c r="C74" s="13" t="s">
        <v>610</v>
      </c>
      <c r="D74" s="13" t="s">
        <v>608</v>
      </c>
      <c r="E74" s="39" t="n">
        <v>259</v>
      </c>
      <c r="F74" s="39" t="n">
        <v>106.652406417112</v>
      </c>
      <c r="G74" s="39" t="n">
        <v>93.0427807486631</v>
      </c>
      <c r="H74" s="39" t="n">
        <v>18.3048128342246</v>
      </c>
      <c r="I74" s="39" t="n">
        <v>168.643410852713</v>
      </c>
      <c r="J74" s="39" t="n">
        <v>90.3565891472868</v>
      </c>
      <c r="K74" s="39" t="n">
        <v>477</v>
      </c>
    </row>
    <row r="75" customFormat="false" ht="15" hidden="false" customHeight="true" outlineLevel="0" collapsed="false">
      <c r="A75" s="13" t="s">
        <v>622</v>
      </c>
      <c r="B75" s="13" t="s">
        <v>185</v>
      </c>
      <c r="C75" s="13" t="s">
        <v>613</v>
      </c>
      <c r="D75" s="13" t="s">
        <v>606</v>
      </c>
      <c r="E75" s="39" t="n">
        <v>301</v>
      </c>
      <c r="F75" s="39" t="n">
        <v>76.3636363636364</v>
      </c>
      <c r="G75" s="39" t="n">
        <v>76.2032085561497</v>
      </c>
      <c r="H75" s="39" t="n">
        <v>51.4331550802139</v>
      </c>
      <c r="I75" s="39" t="n">
        <v>210.643410852713</v>
      </c>
      <c r="J75" s="39" t="n">
        <v>90.3565891472868</v>
      </c>
      <c r="K75" s="39" t="n">
        <v>505</v>
      </c>
    </row>
    <row r="76" customFormat="false" ht="15" hidden="false" customHeight="true" outlineLevel="0" collapsed="false">
      <c r="A76" s="13" t="s">
        <v>623</v>
      </c>
      <c r="B76" s="13" t="s">
        <v>185</v>
      </c>
      <c r="C76" s="13" t="s">
        <v>613</v>
      </c>
      <c r="D76" s="13" t="s">
        <v>608</v>
      </c>
      <c r="E76" s="39" t="n">
        <v>301</v>
      </c>
      <c r="F76" s="39" t="n">
        <v>106.652406417112</v>
      </c>
      <c r="G76" s="39" t="n">
        <v>79.0427807486631</v>
      </c>
      <c r="H76" s="39" t="n">
        <v>18.3048128342246</v>
      </c>
      <c r="I76" s="39" t="n">
        <v>210.643410852713</v>
      </c>
      <c r="J76" s="39" t="n">
        <v>90.3565891472868</v>
      </c>
      <c r="K76" s="39" t="n">
        <v>505</v>
      </c>
    </row>
    <row r="77" customFormat="false" ht="15" hidden="false" customHeight="true" outlineLevel="0" collapsed="false">
      <c r="A77" s="13" t="s">
        <v>624</v>
      </c>
      <c r="B77" s="13" t="s">
        <v>185</v>
      </c>
      <c r="C77" s="13" t="s">
        <v>616</v>
      </c>
      <c r="D77" s="13" t="s">
        <v>606</v>
      </c>
      <c r="E77" s="39" t="n">
        <v>259</v>
      </c>
      <c r="F77" s="39" t="n">
        <v>76.3636363636364</v>
      </c>
      <c r="G77" s="39" t="n">
        <v>90.2032085561497</v>
      </c>
      <c r="H77" s="39" t="n">
        <v>51.4331550802139</v>
      </c>
      <c r="I77" s="39" t="n">
        <v>168.643410852713</v>
      </c>
      <c r="J77" s="39" t="n">
        <v>90.3565891472868</v>
      </c>
      <c r="K77" s="39" t="n">
        <v>477</v>
      </c>
    </row>
    <row r="78" customFormat="false" ht="15" hidden="false" customHeight="true" outlineLevel="0" collapsed="false">
      <c r="A78" s="13" t="s">
        <v>625</v>
      </c>
      <c r="B78" s="13" t="s">
        <v>185</v>
      </c>
      <c r="C78" s="13" t="s">
        <v>616</v>
      </c>
      <c r="D78" s="13" t="s">
        <v>608</v>
      </c>
      <c r="E78" s="39" t="n">
        <v>259</v>
      </c>
      <c r="F78" s="39" t="n">
        <v>106.652406417112</v>
      </c>
      <c r="G78" s="39" t="n">
        <v>93.0427807486631</v>
      </c>
      <c r="H78" s="39" t="n">
        <v>18.3048128342246</v>
      </c>
      <c r="I78" s="39" t="n">
        <v>168.643410852713</v>
      </c>
      <c r="J78" s="39" t="n">
        <v>90.3565891472868</v>
      </c>
      <c r="K78" s="39" t="n">
        <v>477</v>
      </c>
    </row>
    <row r="79" customFormat="false" ht="15" hidden="false" customHeight="true" outlineLevel="0" collapsed="false">
      <c r="A79" s="13" t="s">
        <v>626</v>
      </c>
      <c r="B79" s="13" t="s">
        <v>188</v>
      </c>
      <c r="C79" s="13" t="s">
        <v>605</v>
      </c>
      <c r="D79" s="13" t="s">
        <v>606</v>
      </c>
      <c r="E79" s="39" t="n">
        <v>222.502815</v>
      </c>
      <c r="F79" s="39" t="n">
        <v>86.3666964953271</v>
      </c>
      <c r="G79" s="39" t="n">
        <v>79.1564664953271</v>
      </c>
      <c r="H79" s="39" t="n">
        <v>68.3177570093458</v>
      </c>
      <c r="I79" s="39" t="n">
        <v>169.577815</v>
      </c>
      <c r="J79" s="39" t="n">
        <v>52.925</v>
      </c>
      <c r="K79" s="39" t="n">
        <v>456.343735</v>
      </c>
    </row>
    <row r="80" customFormat="false" ht="15" hidden="false" customHeight="true" outlineLevel="0" collapsed="false">
      <c r="A80" s="13" t="s">
        <v>627</v>
      </c>
      <c r="B80" s="13" t="s">
        <v>188</v>
      </c>
      <c r="C80" s="13" t="s">
        <v>605</v>
      </c>
      <c r="D80" s="13" t="s">
        <v>608</v>
      </c>
      <c r="E80" s="39" t="n">
        <v>222.502815</v>
      </c>
      <c r="F80" s="39" t="n">
        <v>120.081649766355</v>
      </c>
      <c r="G80" s="39" t="n">
        <v>81.8901113551402</v>
      </c>
      <c r="H80" s="39" t="n">
        <v>31.8691588785047</v>
      </c>
      <c r="I80" s="39" t="n">
        <v>169.577815</v>
      </c>
      <c r="J80" s="39" t="n">
        <v>52.925</v>
      </c>
      <c r="K80" s="39" t="n">
        <v>456.343735</v>
      </c>
    </row>
    <row r="81" customFormat="false" ht="15" hidden="false" customHeight="true" outlineLevel="0" collapsed="false">
      <c r="A81" s="13" t="s">
        <v>628</v>
      </c>
      <c r="B81" s="13" t="s">
        <v>188</v>
      </c>
      <c r="C81" s="13" t="s">
        <v>610</v>
      </c>
      <c r="D81" s="13" t="s">
        <v>606</v>
      </c>
      <c r="E81" s="39" t="n">
        <v>215</v>
      </c>
      <c r="F81" s="39" t="n">
        <v>88.3411214953271</v>
      </c>
      <c r="G81" s="39" t="n">
        <v>80.3411214953271</v>
      </c>
      <c r="H81" s="39" t="n">
        <v>68.3177570093458</v>
      </c>
      <c r="I81" s="39" t="n">
        <v>162.075</v>
      </c>
      <c r="J81" s="39" t="n">
        <v>52.925</v>
      </c>
      <c r="K81" s="39" t="n">
        <v>452</v>
      </c>
    </row>
    <row r="82" customFormat="false" ht="15" hidden="false" customHeight="true" outlineLevel="0" collapsed="false">
      <c r="A82" s="13" t="s">
        <v>629</v>
      </c>
      <c r="B82" s="13" t="s">
        <v>188</v>
      </c>
      <c r="C82" s="13" t="s">
        <v>610</v>
      </c>
      <c r="D82" s="13" t="s">
        <v>608</v>
      </c>
      <c r="E82" s="39" t="n">
        <v>215</v>
      </c>
      <c r="F82" s="39" t="n">
        <v>122.056074766355</v>
      </c>
      <c r="G82" s="39" t="n">
        <v>83.0747663551402</v>
      </c>
      <c r="H82" s="39" t="n">
        <v>31.8691588785047</v>
      </c>
      <c r="I82" s="39" t="n">
        <v>162.075</v>
      </c>
      <c r="J82" s="39" t="n">
        <v>52.925</v>
      </c>
      <c r="K82" s="39" t="n">
        <v>452</v>
      </c>
    </row>
    <row r="83" customFormat="false" ht="15" hidden="false" customHeight="true" outlineLevel="0" collapsed="false">
      <c r="A83" s="13" t="s">
        <v>630</v>
      </c>
      <c r="B83" s="13" t="s">
        <v>188</v>
      </c>
      <c r="C83" s="13" t="s">
        <v>613</v>
      </c>
      <c r="D83" s="13" t="s">
        <v>606</v>
      </c>
      <c r="E83" s="39" t="n">
        <v>234</v>
      </c>
      <c r="F83" s="39" t="n">
        <v>83.3411214953271</v>
      </c>
      <c r="G83" s="39" t="n">
        <v>77.3411214953271</v>
      </c>
      <c r="H83" s="39" t="n">
        <v>68.3177570093458</v>
      </c>
      <c r="I83" s="39" t="n">
        <v>181.075</v>
      </c>
      <c r="J83" s="39" t="n">
        <v>52.925</v>
      </c>
      <c r="K83" s="39" t="n">
        <v>463</v>
      </c>
    </row>
    <row r="84" customFormat="false" ht="15" hidden="false" customHeight="true" outlineLevel="0" collapsed="false">
      <c r="A84" s="13" t="s">
        <v>631</v>
      </c>
      <c r="B84" s="13" t="s">
        <v>188</v>
      </c>
      <c r="C84" s="13" t="s">
        <v>613</v>
      </c>
      <c r="D84" s="13" t="s">
        <v>608</v>
      </c>
      <c r="E84" s="39" t="n">
        <v>234</v>
      </c>
      <c r="F84" s="39" t="n">
        <v>117.056074766355</v>
      </c>
      <c r="G84" s="39" t="n">
        <v>80.0747663551402</v>
      </c>
      <c r="H84" s="39" t="n">
        <v>31.8691588785047</v>
      </c>
      <c r="I84" s="39" t="n">
        <v>181.075</v>
      </c>
      <c r="J84" s="39" t="n">
        <v>52.925</v>
      </c>
      <c r="K84" s="39" t="n">
        <v>463</v>
      </c>
    </row>
    <row r="85" customFormat="false" ht="15" hidden="false" customHeight="true" outlineLevel="0" collapsed="false">
      <c r="A85" s="13" t="s">
        <v>632</v>
      </c>
      <c r="B85" s="13" t="s">
        <v>188</v>
      </c>
      <c r="C85" s="13" t="s">
        <v>616</v>
      </c>
      <c r="D85" s="13" t="s">
        <v>606</v>
      </c>
      <c r="E85" s="39" t="n">
        <v>215</v>
      </c>
      <c r="F85" s="39" t="n">
        <v>88.3411214953271</v>
      </c>
      <c r="G85" s="39" t="n">
        <v>80.3411214953271</v>
      </c>
      <c r="H85" s="39" t="n">
        <v>68.3177570093458</v>
      </c>
      <c r="I85" s="39" t="n">
        <v>162.075</v>
      </c>
      <c r="J85" s="39" t="n">
        <v>52.925</v>
      </c>
      <c r="K85" s="39" t="n">
        <v>452</v>
      </c>
    </row>
    <row r="86" customFormat="false" ht="15" hidden="false" customHeight="true" outlineLevel="0" collapsed="false">
      <c r="A86" s="13" t="s">
        <v>633</v>
      </c>
      <c r="B86" s="13" t="s">
        <v>188</v>
      </c>
      <c r="C86" s="13" t="s">
        <v>616</v>
      </c>
      <c r="D86" s="13" t="s">
        <v>608</v>
      </c>
      <c r="E86" s="39" t="n">
        <v>215</v>
      </c>
      <c r="F86" s="39" t="n">
        <v>122.056074766355</v>
      </c>
      <c r="G86" s="39" t="n">
        <v>83.0747663551402</v>
      </c>
      <c r="H86" s="39" t="n">
        <v>31.8691588785047</v>
      </c>
      <c r="I86" s="39" t="n">
        <v>162.075</v>
      </c>
      <c r="J86" s="39" t="n">
        <v>52.925</v>
      </c>
      <c r="K86" s="39" t="n">
        <v>452</v>
      </c>
    </row>
    <row r="87" customFormat="false" ht="15" hidden="false" customHeight="true" outlineLevel="0" collapsed="false">
      <c r="A87" s="13" t="s">
        <v>634</v>
      </c>
      <c r="B87" s="13" t="s">
        <v>153</v>
      </c>
      <c r="C87" s="13" t="s">
        <v>605</v>
      </c>
      <c r="D87" s="13" t="s">
        <v>606</v>
      </c>
      <c r="E87" s="39" t="n">
        <v>916.665868</v>
      </c>
      <c r="F87" s="39" t="n">
        <v>404.201610442748</v>
      </c>
      <c r="G87" s="39" t="n">
        <v>302.097072152672</v>
      </c>
      <c r="H87" s="39" t="n">
        <v>205.52213740458</v>
      </c>
      <c r="I87" s="39" t="n">
        <v>712.837787770774</v>
      </c>
      <c r="J87" s="39" t="n">
        <v>203.828080229226</v>
      </c>
      <c r="K87" s="39" t="n">
        <v>1828.486688</v>
      </c>
    </row>
    <row r="88" customFormat="false" ht="15" hidden="false" customHeight="true" outlineLevel="0" collapsed="false">
      <c r="A88" s="13" t="s">
        <v>635</v>
      </c>
      <c r="B88" s="13" t="s">
        <v>153</v>
      </c>
      <c r="C88" s="13" t="s">
        <v>605</v>
      </c>
      <c r="D88" s="13" t="s">
        <v>608</v>
      </c>
      <c r="E88" s="39" t="n">
        <v>916.665868</v>
      </c>
      <c r="F88" s="39" t="n">
        <v>485.807717312977</v>
      </c>
      <c r="G88" s="39" t="n">
        <v>294.113866045802</v>
      </c>
      <c r="H88" s="39" t="n">
        <v>131.899236641221</v>
      </c>
      <c r="I88" s="39" t="n">
        <v>712.837787770774</v>
      </c>
      <c r="J88" s="39" t="n">
        <v>203.828080229226</v>
      </c>
      <c r="K88" s="39" t="n">
        <v>1828.486688</v>
      </c>
    </row>
    <row r="89" customFormat="false" ht="15" hidden="false" customHeight="true" outlineLevel="0" collapsed="false">
      <c r="A89" s="13" t="s">
        <v>636</v>
      </c>
      <c r="B89" s="13" t="s">
        <v>153</v>
      </c>
      <c r="C89" s="13" t="s">
        <v>610</v>
      </c>
      <c r="D89" s="13" t="s">
        <v>606</v>
      </c>
      <c r="E89" s="39" t="n">
        <v>1153.71043254536</v>
      </c>
      <c r="F89" s="39" t="n">
        <v>367.733215897308</v>
      </c>
      <c r="G89" s="39" t="n">
        <v>247.394480334511</v>
      </c>
      <c r="H89" s="39" t="n">
        <v>205.52213740458</v>
      </c>
      <c r="I89" s="39" t="n">
        <v>949.882352316137</v>
      </c>
      <c r="J89" s="39" t="n">
        <v>203.828080229226</v>
      </c>
      <c r="K89" s="39" t="n">
        <v>1974.36026618176</v>
      </c>
    </row>
    <row r="90" customFormat="false" ht="15" hidden="false" customHeight="true" outlineLevel="0" collapsed="false">
      <c r="A90" s="13" t="s">
        <v>637</v>
      </c>
      <c r="B90" s="13" t="s">
        <v>153</v>
      </c>
      <c r="C90" s="13" t="s">
        <v>610</v>
      </c>
      <c r="D90" s="13" t="s">
        <v>608</v>
      </c>
      <c r="E90" s="39" t="n">
        <v>1153.71043254536</v>
      </c>
      <c r="F90" s="39" t="n">
        <v>449.339322767537</v>
      </c>
      <c r="G90" s="39" t="n">
        <v>239.411274227641</v>
      </c>
      <c r="H90" s="39" t="n">
        <v>131.899236641221</v>
      </c>
      <c r="I90" s="39" t="n">
        <v>949.882352316137</v>
      </c>
      <c r="J90" s="39" t="n">
        <v>203.828080229226</v>
      </c>
      <c r="K90" s="39" t="n">
        <v>1974.36026618176</v>
      </c>
    </row>
    <row r="91" customFormat="false" ht="15" hidden="false" customHeight="true" outlineLevel="0" collapsed="false">
      <c r="A91" s="13" t="s">
        <v>638</v>
      </c>
      <c r="B91" s="13" t="s">
        <v>153</v>
      </c>
      <c r="C91" s="13" t="s">
        <v>613</v>
      </c>
      <c r="D91" s="13" t="s">
        <v>606</v>
      </c>
      <c r="E91" s="39" t="n">
        <v>1327</v>
      </c>
      <c r="F91" s="39" t="n">
        <v>341.073282442748</v>
      </c>
      <c r="G91" s="39" t="n">
        <v>207.404580152672</v>
      </c>
      <c r="H91" s="39" t="n">
        <v>205.52213740458</v>
      </c>
      <c r="I91" s="39" t="n">
        <v>1123.17191977077</v>
      </c>
      <c r="J91" s="39" t="n">
        <v>203.828080229226</v>
      </c>
      <c r="K91" s="39" t="n">
        <v>2081</v>
      </c>
    </row>
    <row r="92" customFormat="false" ht="15" hidden="false" customHeight="true" outlineLevel="0" collapsed="false">
      <c r="A92" s="13" t="s">
        <v>639</v>
      </c>
      <c r="B92" s="13" t="s">
        <v>153</v>
      </c>
      <c r="C92" s="13" t="s">
        <v>613</v>
      </c>
      <c r="D92" s="13" t="s">
        <v>608</v>
      </c>
      <c r="E92" s="39" t="n">
        <v>1327</v>
      </c>
      <c r="F92" s="39" t="n">
        <v>422.679389312977</v>
      </c>
      <c r="G92" s="39" t="n">
        <v>199.421374045802</v>
      </c>
      <c r="H92" s="39" t="n">
        <v>131.899236641221</v>
      </c>
      <c r="I92" s="39" t="n">
        <v>1123.17191977077</v>
      </c>
      <c r="J92" s="39" t="n">
        <v>203.828080229226</v>
      </c>
      <c r="K92" s="39" t="n">
        <v>2081</v>
      </c>
    </row>
    <row r="93" customFormat="false" ht="15" hidden="false" customHeight="true" outlineLevel="0" collapsed="false">
      <c r="A93" s="13" t="s">
        <v>640</v>
      </c>
      <c r="B93" s="13" t="s">
        <v>153</v>
      </c>
      <c r="C93" s="13" t="s">
        <v>616</v>
      </c>
      <c r="D93" s="13" t="s">
        <v>606</v>
      </c>
      <c r="E93" s="39" t="n">
        <v>807</v>
      </c>
      <c r="F93" s="39" t="n">
        <v>421.073282442748</v>
      </c>
      <c r="G93" s="39" t="n">
        <v>327.404580152672</v>
      </c>
      <c r="H93" s="39" t="n">
        <v>205.52213740458</v>
      </c>
      <c r="I93" s="39" t="n">
        <v>603.171919770774</v>
      </c>
      <c r="J93" s="39" t="n">
        <v>203.828080229226</v>
      </c>
      <c r="K93" s="39" t="n">
        <v>1761</v>
      </c>
    </row>
    <row r="94" customFormat="false" ht="15" hidden="false" customHeight="true" outlineLevel="0" collapsed="false">
      <c r="A94" s="13" t="s">
        <v>641</v>
      </c>
      <c r="B94" s="13" t="s">
        <v>153</v>
      </c>
      <c r="C94" s="13" t="s">
        <v>616</v>
      </c>
      <c r="D94" s="13" t="s">
        <v>608</v>
      </c>
      <c r="E94" s="39" t="n">
        <v>807</v>
      </c>
      <c r="F94" s="39" t="n">
        <v>502.679389312977</v>
      </c>
      <c r="G94" s="39" t="n">
        <v>319.421374045802</v>
      </c>
      <c r="H94" s="39" t="n">
        <v>131.899236641221</v>
      </c>
      <c r="I94" s="39" t="n">
        <v>603.171919770774</v>
      </c>
      <c r="J94" s="39" t="n">
        <v>203.828080229226</v>
      </c>
      <c r="K94" s="39" t="n">
        <v>1761</v>
      </c>
    </row>
    <row r="95" customFormat="false" ht="15" hidden="false" customHeight="true" outlineLevel="0" collapsed="false">
      <c r="A95" s="13" t="s">
        <v>642</v>
      </c>
      <c r="B95" s="13" t="s">
        <v>190</v>
      </c>
      <c r="C95" s="13" t="s">
        <v>605</v>
      </c>
      <c r="D95" s="13" t="s">
        <v>606</v>
      </c>
      <c r="E95" s="39" t="n">
        <v>178.39559</v>
      </c>
      <c r="F95" s="39" t="n">
        <v>67.8083832335329</v>
      </c>
      <c r="G95" s="39" t="n">
        <v>70.2916479640719</v>
      </c>
      <c r="H95" s="39" t="n">
        <v>36.5012288023952</v>
      </c>
      <c r="I95" s="39" t="n">
        <v>129.64559</v>
      </c>
      <c r="J95" s="39" t="n">
        <v>48.75</v>
      </c>
      <c r="K95" s="39" t="n">
        <v>352.99685</v>
      </c>
    </row>
    <row r="96" customFormat="false" ht="15" hidden="false" customHeight="true" outlineLevel="0" collapsed="false">
      <c r="A96" s="13" t="s">
        <v>643</v>
      </c>
      <c r="B96" s="13" t="s">
        <v>190</v>
      </c>
      <c r="C96" s="13" t="s">
        <v>605</v>
      </c>
      <c r="D96" s="13" t="s">
        <v>608</v>
      </c>
      <c r="E96" s="39" t="n">
        <v>178.39559</v>
      </c>
      <c r="F96" s="39" t="n">
        <v>94.3952095808383</v>
      </c>
      <c r="G96" s="39" t="n">
        <v>58.7706898802395</v>
      </c>
      <c r="H96" s="39" t="n">
        <v>21.4353605389222</v>
      </c>
      <c r="I96" s="39" t="n">
        <v>129.64559</v>
      </c>
      <c r="J96" s="39" t="n">
        <v>48.75</v>
      </c>
      <c r="K96" s="39" t="n">
        <v>352.99685</v>
      </c>
    </row>
    <row r="97" customFormat="false" ht="15" hidden="false" customHeight="true" outlineLevel="0" collapsed="false">
      <c r="A97" s="13" t="s">
        <v>644</v>
      </c>
      <c r="B97" s="13" t="s">
        <v>190</v>
      </c>
      <c r="C97" s="13" t="s">
        <v>610</v>
      </c>
      <c r="D97" s="13" t="s">
        <v>606</v>
      </c>
      <c r="E97" s="39" t="n">
        <v>163</v>
      </c>
      <c r="F97" s="39" t="n">
        <v>67.8083832335329</v>
      </c>
      <c r="G97" s="39" t="n">
        <v>72.4910179640719</v>
      </c>
      <c r="H97" s="39" t="n">
        <v>38.7005988023952</v>
      </c>
      <c r="I97" s="39" t="n">
        <v>114.25</v>
      </c>
      <c r="J97" s="39" t="n">
        <v>48.75</v>
      </c>
      <c r="K97" s="39" t="n">
        <v>342</v>
      </c>
    </row>
    <row r="98" customFormat="false" ht="15" hidden="false" customHeight="true" outlineLevel="0" collapsed="false">
      <c r="A98" s="13" t="s">
        <v>645</v>
      </c>
      <c r="B98" s="13" t="s">
        <v>190</v>
      </c>
      <c r="C98" s="13" t="s">
        <v>610</v>
      </c>
      <c r="D98" s="13" t="s">
        <v>608</v>
      </c>
      <c r="E98" s="39" t="n">
        <v>163</v>
      </c>
      <c r="F98" s="39" t="n">
        <v>94.3952095808383</v>
      </c>
      <c r="G98" s="39" t="n">
        <v>60.9700598802395</v>
      </c>
      <c r="H98" s="39" t="n">
        <v>23.6347305389222</v>
      </c>
      <c r="I98" s="39" t="n">
        <v>114.25</v>
      </c>
      <c r="J98" s="39" t="n">
        <v>48.75</v>
      </c>
      <c r="K98" s="39" t="n">
        <v>342</v>
      </c>
    </row>
    <row r="99" customFormat="false" ht="15" hidden="false" customHeight="true" outlineLevel="0" collapsed="false">
      <c r="A99" s="13" t="s">
        <v>646</v>
      </c>
      <c r="B99" s="13" t="s">
        <v>190</v>
      </c>
      <c r="C99" s="13" t="s">
        <v>613</v>
      </c>
      <c r="D99" s="13" t="s">
        <v>606</v>
      </c>
      <c r="E99" s="39" t="n">
        <v>191</v>
      </c>
      <c r="F99" s="39" t="n">
        <v>67.8083832335329</v>
      </c>
      <c r="G99" s="39" t="n">
        <v>68.4910179640719</v>
      </c>
      <c r="H99" s="39" t="n">
        <v>34.7005988023952</v>
      </c>
      <c r="I99" s="39" t="n">
        <v>142.25</v>
      </c>
      <c r="J99" s="39" t="n">
        <v>48.75</v>
      </c>
      <c r="K99" s="39" t="n">
        <v>362</v>
      </c>
    </row>
    <row r="100" customFormat="false" ht="15" hidden="false" customHeight="true" outlineLevel="0" collapsed="false">
      <c r="A100" s="13" t="s">
        <v>647</v>
      </c>
      <c r="B100" s="13" t="s">
        <v>190</v>
      </c>
      <c r="C100" s="13" t="s">
        <v>613</v>
      </c>
      <c r="D100" s="13" t="s">
        <v>608</v>
      </c>
      <c r="E100" s="39" t="n">
        <v>191</v>
      </c>
      <c r="F100" s="39" t="n">
        <v>94.3952095808383</v>
      </c>
      <c r="G100" s="39" t="n">
        <v>56.9700598802395</v>
      </c>
      <c r="H100" s="39" t="n">
        <v>19.6347305389222</v>
      </c>
      <c r="I100" s="39" t="n">
        <v>142.25</v>
      </c>
      <c r="J100" s="39" t="n">
        <v>48.75</v>
      </c>
      <c r="K100" s="39" t="n">
        <v>362</v>
      </c>
    </row>
    <row r="101" customFormat="false" ht="15" hidden="false" customHeight="true" outlineLevel="0" collapsed="false">
      <c r="A101" s="13" t="s">
        <v>648</v>
      </c>
      <c r="B101" s="13" t="s">
        <v>190</v>
      </c>
      <c r="C101" s="13" t="s">
        <v>616</v>
      </c>
      <c r="D101" s="13" t="s">
        <v>606</v>
      </c>
      <c r="E101" s="39" t="n">
        <v>163</v>
      </c>
      <c r="F101" s="39" t="n">
        <v>67.8083832335329</v>
      </c>
      <c r="G101" s="39" t="n">
        <v>72.4910179640719</v>
      </c>
      <c r="H101" s="39" t="n">
        <v>38.7005988023952</v>
      </c>
      <c r="I101" s="39" t="n">
        <v>114.25</v>
      </c>
      <c r="J101" s="39" t="n">
        <v>48.75</v>
      </c>
      <c r="K101" s="39" t="n">
        <v>342</v>
      </c>
    </row>
    <row r="102" customFormat="false" ht="15" hidden="false" customHeight="true" outlineLevel="0" collapsed="false">
      <c r="A102" s="13" t="s">
        <v>649</v>
      </c>
      <c r="B102" s="13" t="s">
        <v>190</v>
      </c>
      <c r="C102" s="13" t="s">
        <v>616</v>
      </c>
      <c r="D102" s="13" t="s">
        <v>608</v>
      </c>
      <c r="E102" s="39" t="n">
        <v>163</v>
      </c>
      <c r="F102" s="39" t="n">
        <v>94.3952095808383</v>
      </c>
      <c r="G102" s="39" t="n">
        <v>60.9700598802395</v>
      </c>
      <c r="H102" s="39" t="n">
        <v>23.6347305389222</v>
      </c>
      <c r="I102" s="39" t="n">
        <v>114.25</v>
      </c>
      <c r="J102" s="39" t="n">
        <v>48.75</v>
      </c>
      <c r="K102" s="39" t="n">
        <v>342</v>
      </c>
    </row>
    <row r="103" customFormat="false" ht="15" hidden="false" customHeight="true" outlineLevel="0" collapsed="false">
      <c r="A103" s="13" t="s">
        <v>650</v>
      </c>
      <c r="B103" s="13" t="s">
        <v>175</v>
      </c>
      <c r="C103" s="13" t="s">
        <v>605</v>
      </c>
      <c r="D103" s="13" t="s">
        <v>606</v>
      </c>
      <c r="E103" s="39" t="n">
        <v>205.70152</v>
      </c>
      <c r="F103" s="39" t="n">
        <v>118.40414006536</v>
      </c>
      <c r="G103" s="39" t="n">
        <v>133.269064444445</v>
      </c>
      <c r="H103" s="39" t="n">
        <v>80.3137254901961</v>
      </c>
      <c r="I103" s="39" t="n">
        <v>155.70152</v>
      </c>
      <c r="J103" s="39" t="n">
        <v>50</v>
      </c>
      <c r="K103" s="39" t="n">
        <v>537.68845</v>
      </c>
    </row>
    <row r="104" customFormat="false" ht="15" hidden="false" customHeight="true" outlineLevel="0" collapsed="false">
      <c r="A104" s="13" t="s">
        <v>651</v>
      </c>
      <c r="B104" s="13" t="s">
        <v>175</v>
      </c>
      <c r="C104" s="13" t="s">
        <v>605</v>
      </c>
      <c r="D104" s="13" t="s">
        <v>608</v>
      </c>
      <c r="E104" s="39" t="n">
        <v>205.70152</v>
      </c>
      <c r="F104" s="39" t="n">
        <v>177.717865555556</v>
      </c>
      <c r="G104" s="39" t="n">
        <v>116.193901045752</v>
      </c>
      <c r="H104" s="39" t="n">
        <v>38.0751633986928</v>
      </c>
      <c r="I104" s="39" t="n">
        <v>155.70152</v>
      </c>
      <c r="J104" s="39" t="n">
        <v>50</v>
      </c>
      <c r="K104" s="39" t="n">
        <v>537.68845</v>
      </c>
    </row>
    <row r="105" customFormat="false" ht="15" hidden="false" customHeight="true" outlineLevel="0" collapsed="false">
      <c r="A105" s="13" t="s">
        <v>652</v>
      </c>
      <c r="B105" s="13" t="s">
        <v>175</v>
      </c>
      <c r="C105" s="13" t="s">
        <v>610</v>
      </c>
      <c r="D105" s="13" t="s">
        <v>606</v>
      </c>
      <c r="E105" s="39" t="n">
        <v>179</v>
      </c>
      <c r="F105" s="39" t="n">
        <v>121.74183006536</v>
      </c>
      <c r="G105" s="39" t="n">
        <v>139.944444444445</v>
      </c>
      <c r="H105" s="39" t="n">
        <v>80.3137254901961</v>
      </c>
      <c r="I105" s="39" t="n">
        <v>129</v>
      </c>
      <c r="J105" s="39" t="n">
        <v>50</v>
      </c>
      <c r="K105" s="39" t="n">
        <v>521</v>
      </c>
    </row>
    <row r="106" customFormat="false" ht="15" hidden="false" customHeight="true" outlineLevel="0" collapsed="false">
      <c r="A106" s="13" t="s">
        <v>653</v>
      </c>
      <c r="B106" s="13" t="s">
        <v>175</v>
      </c>
      <c r="C106" s="13" t="s">
        <v>610</v>
      </c>
      <c r="D106" s="13" t="s">
        <v>608</v>
      </c>
      <c r="E106" s="39" t="n">
        <v>179</v>
      </c>
      <c r="F106" s="39" t="n">
        <v>181.055555555556</v>
      </c>
      <c r="G106" s="39" t="n">
        <v>122.869281045752</v>
      </c>
      <c r="H106" s="39" t="n">
        <v>38.0751633986928</v>
      </c>
      <c r="I106" s="39" t="n">
        <v>129</v>
      </c>
      <c r="J106" s="39" t="n">
        <v>50</v>
      </c>
      <c r="K106" s="39" t="n">
        <v>521</v>
      </c>
    </row>
    <row r="107" customFormat="false" ht="15" hidden="false" customHeight="true" outlineLevel="0" collapsed="false">
      <c r="A107" s="13" t="s">
        <v>654</v>
      </c>
      <c r="B107" s="13" t="s">
        <v>175</v>
      </c>
      <c r="C107" s="13" t="s">
        <v>613</v>
      </c>
      <c r="D107" s="13" t="s">
        <v>606</v>
      </c>
      <c r="E107" s="39" t="n">
        <v>227</v>
      </c>
      <c r="F107" s="39" t="n">
        <v>115.74183006536</v>
      </c>
      <c r="G107" s="39" t="n">
        <v>127.944444444445</v>
      </c>
      <c r="H107" s="39" t="n">
        <v>80.3137254901961</v>
      </c>
      <c r="I107" s="39" t="n">
        <v>177</v>
      </c>
      <c r="J107" s="39" t="n">
        <v>50</v>
      </c>
      <c r="K107" s="39" t="n">
        <v>551</v>
      </c>
    </row>
    <row r="108" customFormat="false" ht="15" hidden="false" customHeight="true" outlineLevel="0" collapsed="false">
      <c r="A108" s="13" t="s">
        <v>655</v>
      </c>
      <c r="B108" s="13" t="s">
        <v>175</v>
      </c>
      <c r="C108" s="13" t="s">
        <v>613</v>
      </c>
      <c r="D108" s="13" t="s">
        <v>608</v>
      </c>
      <c r="E108" s="39" t="n">
        <v>227</v>
      </c>
      <c r="F108" s="39" t="n">
        <v>175.055555555556</v>
      </c>
      <c r="G108" s="39" t="n">
        <v>110.869281045752</v>
      </c>
      <c r="H108" s="39" t="n">
        <v>38.0751633986928</v>
      </c>
      <c r="I108" s="39" t="n">
        <v>177</v>
      </c>
      <c r="J108" s="39" t="n">
        <v>50</v>
      </c>
      <c r="K108" s="39" t="n">
        <v>551</v>
      </c>
    </row>
    <row r="109" customFormat="false" ht="15" hidden="false" customHeight="true" outlineLevel="0" collapsed="false">
      <c r="A109" s="13" t="s">
        <v>656</v>
      </c>
      <c r="B109" s="13" t="s">
        <v>175</v>
      </c>
      <c r="C109" s="13" t="s">
        <v>616</v>
      </c>
      <c r="D109" s="13" t="s">
        <v>606</v>
      </c>
      <c r="E109" s="39" t="n">
        <v>179</v>
      </c>
      <c r="F109" s="39" t="n">
        <v>121.74183006536</v>
      </c>
      <c r="G109" s="39" t="n">
        <v>139.944444444445</v>
      </c>
      <c r="H109" s="39" t="n">
        <v>80.3137254901961</v>
      </c>
      <c r="I109" s="39" t="n">
        <v>129</v>
      </c>
      <c r="J109" s="39" t="n">
        <v>50</v>
      </c>
      <c r="K109" s="39" t="n">
        <v>521</v>
      </c>
    </row>
    <row r="110" customFormat="false" ht="15" hidden="false" customHeight="true" outlineLevel="0" collapsed="false">
      <c r="A110" s="13" t="s">
        <v>657</v>
      </c>
      <c r="B110" s="13" t="s">
        <v>175</v>
      </c>
      <c r="C110" s="13" t="s">
        <v>616</v>
      </c>
      <c r="D110" s="13" t="s">
        <v>608</v>
      </c>
      <c r="E110" s="39" t="n">
        <v>179</v>
      </c>
      <c r="F110" s="39" t="n">
        <v>181.055555555556</v>
      </c>
      <c r="G110" s="39" t="n">
        <v>122.869281045752</v>
      </c>
      <c r="H110" s="39" t="n">
        <v>38.0751633986928</v>
      </c>
      <c r="I110" s="39" t="n">
        <v>129</v>
      </c>
      <c r="J110" s="39" t="n">
        <v>50</v>
      </c>
      <c r="K110" s="39" t="n">
        <v>521</v>
      </c>
    </row>
    <row r="111" customFormat="false" ht="15" hidden="false" customHeight="true" outlineLevel="0" collapsed="false">
      <c r="A111" s="13" t="s">
        <v>658</v>
      </c>
      <c r="B111" s="13" t="s">
        <v>156</v>
      </c>
      <c r="C111" s="13" t="s">
        <v>605</v>
      </c>
      <c r="D111" s="13" t="s">
        <v>606</v>
      </c>
      <c r="E111" s="39" t="n">
        <v>3620.03682643154</v>
      </c>
      <c r="F111" s="39" t="n">
        <v>1430.04383879554</v>
      </c>
      <c r="G111" s="39" t="n">
        <v>1257.6263965772</v>
      </c>
      <c r="H111" s="39" t="n">
        <v>848.271994627267</v>
      </c>
      <c r="I111" s="39" t="n">
        <v>2638.55234124113</v>
      </c>
      <c r="J111" s="39" t="n">
        <v>981.484485190409</v>
      </c>
      <c r="K111" s="39" t="n">
        <v>7155.97905643154</v>
      </c>
    </row>
    <row r="112" customFormat="false" ht="15" hidden="false" customHeight="true" outlineLevel="0" collapsed="false">
      <c r="A112" s="13" t="s">
        <v>659</v>
      </c>
      <c r="B112" s="13" t="s">
        <v>156</v>
      </c>
      <c r="C112" s="13" t="s">
        <v>605</v>
      </c>
      <c r="D112" s="13" t="s">
        <v>608</v>
      </c>
      <c r="E112" s="39" t="n">
        <v>3620.03682643154</v>
      </c>
      <c r="F112" s="39" t="n">
        <v>1870.37997042751</v>
      </c>
      <c r="G112" s="39" t="n">
        <v>1157.82854567055</v>
      </c>
      <c r="H112" s="39" t="n">
        <v>507.733713901948</v>
      </c>
      <c r="I112" s="39" t="n">
        <v>2638.55234124113</v>
      </c>
      <c r="J112" s="39" t="n">
        <v>981.484485190409</v>
      </c>
      <c r="K112" s="39" t="n">
        <v>7155.97905643154</v>
      </c>
    </row>
    <row r="113" customFormat="false" ht="15" hidden="false" customHeight="true" outlineLevel="0" collapsed="false">
      <c r="A113" s="13" t="s">
        <v>660</v>
      </c>
      <c r="B113" s="13" t="s">
        <v>156</v>
      </c>
      <c r="C113" s="13" t="s">
        <v>610</v>
      </c>
      <c r="D113" s="13" t="s">
        <v>606</v>
      </c>
      <c r="E113" s="39" t="n">
        <v>3630.95485543159</v>
      </c>
      <c r="F113" s="39" t="n">
        <v>1428.25053934625</v>
      </c>
      <c r="G113" s="39" t="n">
        <v>1255.18258654337</v>
      </c>
      <c r="H113" s="39" t="n">
        <v>848.271994627267</v>
      </c>
      <c r="I113" s="39" t="n">
        <v>2649.47037024118</v>
      </c>
      <c r="J113" s="39" t="n">
        <v>981.484485190409</v>
      </c>
      <c r="K113" s="39" t="n">
        <v>7162.65997594848</v>
      </c>
    </row>
    <row r="114" customFormat="false" ht="15" hidden="false" customHeight="true" outlineLevel="0" collapsed="false">
      <c r="A114" s="13" t="s">
        <v>661</v>
      </c>
      <c r="B114" s="13" t="s">
        <v>156</v>
      </c>
      <c r="C114" s="13" t="s">
        <v>610</v>
      </c>
      <c r="D114" s="13" t="s">
        <v>608</v>
      </c>
      <c r="E114" s="39" t="n">
        <v>3630.95485543159</v>
      </c>
      <c r="F114" s="39" t="n">
        <v>1868.58667097822</v>
      </c>
      <c r="G114" s="39" t="n">
        <v>1155.38473563672</v>
      </c>
      <c r="H114" s="39" t="n">
        <v>507.733713901948</v>
      </c>
      <c r="I114" s="39" t="n">
        <v>2649.47037024118</v>
      </c>
      <c r="J114" s="39" t="n">
        <v>981.484485190409</v>
      </c>
      <c r="K114" s="39" t="n">
        <v>7162.65997594848</v>
      </c>
    </row>
    <row r="115" customFormat="false" ht="15" hidden="false" customHeight="true" outlineLevel="0" collapsed="false">
      <c r="A115" s="13" t="s">
        <v>662</v>
      </c>
      <c r="B115" s="13" t="s">
        <v>156</v>
      </c>
      <c r="C115" s="13" t="s">
        <v>613</v>
      </c>
      <c r="D115" s="13" t="s">
        <v>606</v>
      </c>
      <c r="E115" s="39" t="n">
        <v>4295</v>
      </c>
      <c r="F115" s="39" t="n">
        <v>1319.180322364</v>
      </c>
      <c r="G115" s="39" t="n">
        <v>1106.54768300873</v>
      </c>
      <c r="H115" s="39" t="n">
        <v>848.271994627267</v>
      </c>
      <c r="I115" s="39" t="n">
        <v>3313.51551480959</v>
      </c>
      <c r="J115" s="39" t="n">
        <v>981.484485190409</v>
      </c>
      <c r="K115" s="39" t="n">
        <v>7569</v>
      </c>
    </row>
    <row r="116" customFormat="false" ht="15" hidden="false" customHeight="true" outlineLevel="0" collapsed="false">
      <c r="A116" s="13" t="s">
        <v>663</v>
      </c>
      <c r="B116" s="13" t="s">
        <v>156</v>
      </c>
      <c r="C116" s="13" t="s">
        <v>613</v>
      </c>
      <c r="D116" s="13" t="s">
        <v>608</v>
      </c>
      <c r="E116" s="39" t="n">
        <v>4295</v>
      </c>
      <c r="F116" s="39" t="n">
        <v>1759.51645399597</v>
      </c>
      <c r="G116" s="39" t="n">
        <v>1006.74983210208</v>
      </c>
      <c r="H116" s="39" t="n">
        <v>507.733713901948</v>
      </c>
      <c r="I116" s="39" t="n">
        <v>3313.51551480959</v>
      </c>
      <c r="J116" s="39" t="n">
        <v>981.484485190409</v>
      </c>
      <c r="K116" s="39" t="n">
        <v>7569</v>
      </c>
    </row>
    <row r="117" customFormat="false" ht="15" hidden="false" customHeight="true" outlineLevel="0" collapsed="false">
      <c r="A117" s="13" t="s">
        <v>664</v>
      </c>
      <c r="B117" s="13" t="s">
        <v>156</v>
      </c>
      <c r="C117" s="13" t="s">
        <v>616</v>
      </c>
      <c r="D117" s="13" t="s">
        <v>606</v>
      </c>
      <c r="E117" s="39" t="n">
        <v>3053</v>
      </c>
      <c r="F117" s="39" t="n">
        <v>1523.180322364</v>
      </c>
      <c r="G117" s="39" t="n">
        <v>1384.54768300873</v>
      </c>
      <c r="H117" s="39" t="n">
        <v>848.271994627267</v>
      </c>
      <c r="I117" s="39" t="n">
        <v>2071.51551480959</v>
      </c>
      <c r="J117" s="39" t="n">
        <v>981.484485190409</v>
      </c>
      <c r="K117" s="39" t="n">
        <v>6809</v>
      </c>
    </row>
    <row r="118" customFormat="false" ht="15" hidden="false" customHeight="true" outlineLevel="0" collapsed="false">
      <c r="A118" s="13" t="s">
        <v>665</v>
      </c>
      <c r="B118" s="13" t="s">
        <v>156</v>
      </c>
      <c r="C118" s="13" t="s">
        <v>616</v>
      </c>
      <c r="D118" s="13" t="s">
        <v>608</v>
      </c>
      <c r="E118" s="39" t="n">
        <v>3053</v>
      </c>
      <c r="F118" s="39" t="n">
        <v>1963.51645399597</v>
      </c>
      <c r="G118" s="39" t="n">
        <v>1284.74983210208</v>
      </c>
      <c r="H118" s="39" t="n">
        <v>507.733713901948</v>
      </c>
      <c r="I118" s="39" t="n">
        <v>2071.51551480959</v>
      </c>
      <c r="J118" s="39" t="n">
        <v>981.484485190409</v>
      </c>
      <c r="K118" s="39" t="n">
        <v>6809</v>
      </c>
    </row>
    <row r="119" customFormat="false" ht="15" hidden="false" customHeight="true" outlineLevel="0" collapsed="false">
      <c r="A119" s="13" t="s">
        <v>666</v>
      </c>
      <c r="B119" s="13" t="s">
        <v>192</v>
      </c>
      <c r="C119" s="13" t="s">
        <v>605</v>
      </c>
      <c r="D119" s="13" t="s">
        <v>606</v>
      </c>
      <c r="E119" s="39" t="n">
        <v>137</v>
      </c>
      <c r="F119" s="39" t="n">
        <v>51.625</v>
      </c>
      <c r="G119" s="39" t="n">
        <v>46</v>
      </c>
      <c r="H119" s="39" t="n">
        <v>31.375</v>
      </c>
      <c r="I119" s="39" t="n">
        <v>90.3333333333333</v>
      </c>
      <c r="J119" s="39" t="n">
        <v>46.6666666666667</v>
      </c>
      <c r="K119" s="39" t="n">
        <v>266</v>
      </c>
    </row>
    <row r="120" customFormat="false" ht="15" hidden="false" customHeight="true" outlineLevel="0" collapsed="false">
      <c r="A120" s="13" t="s">
        <v>667</v>
      </c>
      <c r="B120" s="13" t="s">
        <v>192</v>
      </c>
      <c r="C120" s="13" t="s">
        <v>605</v>
      </c>
      <c r="D120" s="13" t="s">
        <v>608</v>
      </c>
      <c r="E120" s="39" t="n">
        <v>137</v>
      </c>
      <c r="F120" s="39" t="n">
        <v>68.25</v>
      </c>
      <c r="G120" s="39" t="n">
        <v>46</v>
      </c>
      <c r="H120" s="39" t="n">
        <v>14.75</v>
      </c>
      <c r="I120" s="39" t="n">
        <v>90.3333333333333</v>
      </c>
      <c r="J120" s="39" t="n">
        <v>46.6666666666667</v>
      </c>
      <c r="K120" s="39" t="n">
        <v>266</v>
      </c>
    </row>
    <row r="121" customFormat="false" ht="15" hidden="false" customHeight="true" outlineLevel="0" collapsed="false">
      <c r="A121" s="13" t="s">
        <v>668</v>
      </c>
      <c r="B121" s="13" t="s">
        <v>192</v>
      </c>
      <c r="C121" s="13" t="s">
        <v>610</v>
      </c>
      <c r="D121" s="13" t="s">
        <v>606</v>
      </c>
      <c r="E121" s="39" t="n">
        <v>137</v>
      </c>
      <c r="F121" s="39" t="n">
        <v>51.625</v>
      </c>
      <c r="G121" s="39" t="n">
        <v>46</v>
      </c>
      <c r="H121" s="39" t="n">
        <v>31.375</v>
      </c>
      <c r="I121" s="39" t="n">
        <v>90.3333333333333</v>
      </c>
      <c r="J121" s="39" t="n">
        <v>46.6666666666667</v>
      </c>
      <c r="K121" s="39" t="n">
        <v>266</v>
      </c>
    </row>
    <row r="122" customFormat="false" ht="15" hidden="false" customHeight="true" outlineLevel="0" collapsed="false">
      <c r="A122" s="13" t="s">
        <v>669</v>
      </c>
      <c r="B122" s="13" t="s">
        <v>192</v>
      </c>
      <c r="C122" s="13" t="s">
        <v>610</v>
      </c>
      <c r="D122" s="13" t="s">
        <v>608</v>
      </c>
      <c r="E122" s="39" t="n">
        <v>137</v>
      </c>
      <c r="F122" s="39" t="n">
        <v>68.25</v>
      </c>
      <c r="G122" s="39" t="n">
        <v>46</v>
      </c>
      <c r="H122" s="39" t="n">
        <v>14.75</v>
      </c>
      <c r="I122" s="39" t="n">
        <v>90.3333333333333</v>
      </c>
      <c r="J122" s="39" t="n">
        <v>46.6666666666667</v>
      </c>
      <c r="K122" s="39" t="n">
        <v>266</v>
      </c>
    </row>
    <row r="123" customFormat="false" ht="15" hidden="false" customHeight="true" outlineLevel="0" collapsed="false">
      <c r="A123" s="13" t="s">
        <v>670</v>
      </c>
      <c r="B123" s="13" t="s">
        <v>192</v>
      </c>
      <c r="C123" s="13" t="s">
        <v>613</v>
      </c>
      <c r="D123" s="13" t="s">
        <v>606</v>
      </c>
      <c r="E123" s="39" t="n">
        <v>143</v>
      </c>
      <c r="F123" s="39" t="n">
        <v>48.625</v>
      </c>
      <c r="G123" s="39" t="n">
        <v>46</v>
      </c>
      <c r="H123" s="39" t="n">
        <v>31.375</v>
      </c>
      <c r="I123" s="39" t="n">
        <v>96.3333333333333</v>
      </c>
      <c r="J123" s="39" t="n">
        <v>46.6666666666667</v>
      </c>
      <c r="K123" s="39" t="n">
        <v>269</v>
      </c>
    </row>
    <row r="124" customFormat="false" ht="15" hidden="false" customHeight="true" outlineLevel="0" collapsed="false">
      <c r="A124" s="13" t="s">
        <v>671</v>
      </c>
      <c r="B124" s="13" t="s">
        <v>192</v>
      </c>
      <c r="C124" s="13" t="s">
        <v>613</v>
      </c>
      <c r="D124" s="13" t="s">
        <v>608</v>
      </c>
      <c r="E124" s="39" t="n">
        <v>143</v>
      </c>
      <c r="F124" s="39" t="n">
        <v>65.25</v>
      </c>
      <c r="G124" s="39" t="n">
        <v>46</v>
      </c>
      <c r="H124" s="39" t="n">
        <v>14.75</v>
      </c>
      <c r="I124" s="39" t="n">
        <v>96.3333333333333</v>
      </c>
      <c r="J124" s="39" t="n">
        <v>46.6666666666667</v>
      </c>
      <c r="K124" s="39" t="n">
        <v>269</v>
      </c>
    </row>
    <row r="125" customFormat="false" ht="15" hidden="false" customHeight="true" outlineLevel="0" collapsed="false">
      <c r="A125" s="13" t="s">
        <v>672</v>
      </c>
      <c r="B125" s="13" t="s">
        <v>192</v>
      </c>
      <c r="C125" s="13" t="s">
        <v>616</v>
      </c>
      <c r="D125" s="13" t="s">
        <v>606</v>
      </c>
      <c r="E125" s="39" t="n">
        <v>137</v>
      </c>
      <c r="F125" s="39" t="n">
        <v>51.625</v>
      </c>
      <c r="G125" s="39" t="n">
        <v>46</v>
      </c>
      <c r="H125" s="39" t="n">
        <v>31.375</v>
      </c>
      <c r="I125" s="39" t="n">
        <v>90.3333333333333</v>
      </c>
      <c r="J125" s="39" t="n">
        <v>46.6666666666667</v>
      </c>
      <c r="K125" s="39" t="n">
        <v>266</v>
      </c>
    </row>
    <row r="126" customFormat="false" ht="15" hidden="false" customHeight="true" outlineLevel="0" collapsed="false">
      <c r="A126" s="13" t="s">
        <v>673</v>
      </c>
      <c r="B126" s="13" t="s">
        <v>192</v>
      </c>
      <c r="C126" s="13" t="s">
        <v>616</v>
      </c>
      <c r="D126" s="13" t="s">
        <v>608</v>
      </c>
      <c r="E126" s="39" t="n">
        <v>137</v>
      </c>
      <c r="F126" s="39" t="n">
        <v>68.25</v>
      </c>
      <c r="G126" s="39" t="n">
        <v>46</v>
      </c>
      <c r="H126" s="39" t="n">
        <v>14.75</v>
      </c>
      <c r="I126" s="39" t="n">
        <v>90.3333333333333</v>
      </c>
      <c r="J126" s="39" t="n">
        <v>46.6666666666667</v>
      </c>
      <c r="K126" s="39" t="n">
        <v>266</v>
      </c>
    </row>
    <row r="127" customFormat="false" ht="15" hidden="false" customHeight="true" outlineLevel="0" collapsed="false">
      <c r="A127" s="13" t="s">
        <v>674</v>
      </c>
      <c r="B127" s="13" t="s">
        <v>177</v>
      </c>
      <c r="C127" s="13" t="s">
        <v>605</v>
      </c>
      <c r="D127" s="13" t="s">
        <v>606</v>
      </c>
      <c r="E127" s="39" t="n">
        <v>392.922925714286</v>
      </c>
      <c r="F127" s="39" t="n">
        <v>192.617842228809</v>
      </c>
      <c r="G127" s="39" t="n">
        <v>212.032883746295</v>
      </c>
      <c r="H127" s="39" t="n">
        <v>115.439834024896</v>
      </c>
      <c r="I127" s="39" t="n">
        <v>279.056259047619</v>
      </c>
      <c r="J127" s="39" t="n">
        <v>113.866666666667</v>
      </c>
      <c r="K127" s="39" t="n">
        <v>913.013485714286</v>
      </c>
    </row>
    <row r="128" customFormat="false" ht="15" hidden="false" customHeight="true" outlineLevel="0" collapsed="false">
      <c r="A128" s="13" t="s">
        <v>675</v>
      </c>
      <c r="B128" s="13" t="s">
        <v>177</v>
      </c>
      <c r="C128" s="13" t="s">
        <v>605</v>
      </c>
      <c r="D128" s="13" t="s">
        <v>608</v>
      </c>
      <c r="E128" s="39" t="n">
        <v>392.922925714286</v>
      </c>
      <c r="F128" s="39" t="n">
        <v>300.221576668643</v>
      </c>
      <c r="G128" s="39" t="n">
        <v>171.79844391227</v>
      </c>
      <c r="H128" s="39" t="n">
        <v>48.0705394190871</v>
      </c>
      <c r="I128" s="39" t="n">
        <v>279.056259047619</v>
      </c>
      <c r="J128" s="39" t="n">
        <v>113.866666666667</v>
      </c>
      <c r="K128" s="39" t="n">
        <v>913.013485714286</v>
      </c>
    </row>
    <row r="129" customFormat="false" ht="15" hidden="false" customHeight="true" outlineLevel="0" collapsed="false">
      <c r="A129" s="13" t="s">
        <v>676</v>
      </c>
      <c r="B129" s="13" t="s">
        <v>177</v>
      </c>
      <c r="C129" s="13" t="s">
        <v>610</v>
      </c>
      <c r="D129" s="13" t="s">
        <v>606</v>
      </c>
      <c r="E129" s="39" t="n">
        <v>381</v>
      </c>
      <c r="F129" s="39" t="n">
        <v>195.423236514523</v>
      </c>
      <c r="G129" s="39" t="n">
        <v>214.136929460581</v>
      </c>
      <c r="H129" s="39" t="n">
        <v>115.439834024896</v>
      </c>
      <c r="I129" s="39" t="n">
        <v>267.133333333333</v>
      </c>
      <c r="J129" s="39" t="n">
        <v>113.866666666667</v>
      </c>
      <c r="K129" s="39" t="n">
        <v>906</v>
      </c>
    </row>
    <row r="130" customFormat="false" ht="15" hidden="false" customHeight="true" outlineLevel="0" collapsed="false">
      <c r="A130" s="13" t="s">
        <v>677</v>
      </c>
      <c r="B130" s="13" t="s">
        <v>177</v>
      </c>
      <c r="C130" s="13" t="s">
        <v>610</v>
      </c>
      <c r="D130" s="13" t="s">
        <v>608</v>
      </c>
      <c r="E130" s="39" t="n">
        <v>381</v>
      </c>
      <c r="F130" s="39" t="n">
        <v>303.026970954357</v>
      </c>
      <c r="G130" s="39" t="n">
        <v>173.902489626556</v>
      </c>
      <c r="H130" s="39" t="n">
        <v>48.0705394190871</v>
      </c>
      <c r="I130" s="39" t="n">
        <v>267.133333333333</v>
      </c>
      <c r="J130" s="39" t="n">
        <v>113.866666666667</v>
      </c>
      <c r="K130" s="39" t="n">
        <v>906</v>
      </c>
    </row>
    <row r="131" customFormat="false" ht="15" hidden="false" customHeight="true" outlineLevel="0" collapsed="false">
      <c r="A131" s="13" t="s">
        <v>678</v>
      </c>
      <c r="B131" s="13" t="s">
        <v>177</v>
      </c>
      <c r="C131" s="13" t="s">
        <v>613</v>
      </c>
      <c r="D131" s="13" t="s">
        <v>606</v>
      </c>
      <c r="E131" s="39" t="n">
        <v>432</v>
      </c>
      <c r="F131" s="39" t="n">
        <v>183.423236514523</v>
      </c>
      <c r="G131" s="39" t="n">
        <v>205.136929460581</v>
      </c>
      <c r="H131" s="39" t="n">
        <v>115.439834024896</v>
      </c>
      <c r="I131" s="39" t="n">
        <v>318.133333333333</v>
      </c>
      <c r="J131" s="39" t="n">
        <v>113.866666666667</v>
      </c>
      <c r="K131" s="39" t="n">
        <v>936</v>
      </c>
    </row>
    <row r="132" customFormat="false" ht="15" hidden="false" customHeight="true" outlineLevel="0" collapsed="false">
      <c r="A132" s="13" t="s">
        <v>679</v>
      </c>
      <c r="B132" s="13" t="s">
        <v>177</v>
      </c>
      <c r="C132" s="13" t="s">
        <v>613</v>
      </c>
      <c r="D132" s="13" t="s">
        <v>608</v>
      </c>
      <c r="E132" s="39" t="n">
        <v>432</v>
      </c>
      <c r="F132" s="39" t="n">
        <v>291.026970954357</v>
      </c>
      <c r="G132" s="39" t="n">
        <v>164.902489626556</v>
      </c>
      <c r="H132" s="39" t="n">
        <v>48.0705394190871</v>
      </c>
      <c r="I132" s="39" t="n">
        <v>318.133333333333</v>
      </c>
      <c r="J132" s="39" t="n">
        <v>113.866666666667</v>
      </c>
      <c r="K132" s="39" t="n">
        <v>936</v>
      </c>
    </row>
    <row r="133" customFormat="false" ht="15" hidden="false" customHeight="true" outlineLevel="0" collapsed="false">
      <c r="A133" s="13" t="s">
        <v>680</v>
      </c>
      <c r="B133" s="13" t="s">
        <v>177</v>
      </c>
      <c r="C133" s="13" t="s">
        <v>616</v>
      </c>
      <c r="D133" s="13" t="s">
        <v>606</v>
      </c>
      <c r="E133" s="39" t="n">
        <v>381</v>
      </c>
      <c r="F133" s="39" t="n">
        <v>195.423236514523</v>
      </c>
      <c r="G133" s="39" t="n">
        <v>214.136929460581</v>
      </c>
      <c r="H133" s="39" t="n">
        <v>115.439834024896</v>
      </c>
      <c r="I133" s="39" t="n">
        <v>267.133333333333</v>
      </c>
      <c r="J133" s="39" t="n">
        <v>113.866666666667</v>
      </c>
      <c r="K133" s="39" t="n">
        <v>906</v>
      </c>
    </row>
    <row r="134" customFormat="false" ht="15" hidden="false" customHeight="true" outlineLevel="0" collapsed="false">
      <c r="A134" s="13" t="s">
        <v>681</v>
      </c>
      <c r="B134" s="13" t="s">
        <v>177</v>
      </c>
      <c r="C134" s="13" t="s">
        <v>616</v>
      </c>
      <c r="D134" s="13" t="s">
        <v>608</v>
      </c>
      <c r="E134" s="39" t="n">
        <v>381</v>
      </c>
      <c r="F134" s="39" t="n">
        <v>303.026970954357</v>
      </c>
      <c r="G134" s="39" t="n">
        <v>173.902489626556</v>
      </c>
      <c r="H134" s="39" t="n">
        <v>48.0705394190871</v>
      </c>
      <c r="I134" s="39" t="n">
        <v>267.133333333333</v>
      </c>
      <c r="J134" s="39" t="n">
        <v>113.866666666667</v>
      </c>
      <c r="K134" s="39" t="n">
        <v>906</v>
      </c>
    </row>
    <row r="135" customFormat="false" ht="15" hidden="false" customHeight="true" outlineLevel="0" collapsed="false">
      <c r="A135" s="13" t="s">
        <v>682</v>
      </c>
      <c r="B135" s="13" t="s">
        <v>158</v>
      </c>
      <c r="C135" s="13" t="s">
        <v>605</v>
      </c>
      <c r="D135" s="13" t="s">
        <v>606</v>
      </c>
      <c r="E135" s="39" t="n">
        <v>3685.58099853138</v>
      </c>
      <c r="F135" s="39" t="n">
        <v>960.931777378815</v>
      </c>
      <c r="G135" s="39" t="n">
        <v>2231.31399020103</v>
      </c>
      <c r="H135" s="39" t="n">
        <v>1037.56360242015</v>
      </c>
      <c r="I135" s="39" t="n">
        <v>3015.70599853138</v>
      </c>
      <c r="J135" s="39" t="n">
        <v>669.875</v>
      </c>
      <c r="K135" s="39" t="n">
        <v>7915.39036853138</v>
      </c>
    </row>
    <row r="136" customFormat="false" ht="15" hidden="false" customHeight="true" outlineLevel="0" collapsed="false">
      <c r="A136" s="13" t="s">
        <v>683</v>
      </c>
      <c r="B136" s="13" t="s">
        <v>158</v>
      </c>
      <c r="C136" s="13" t="s">
        <v>605</v>
      </c>
      <c r="D136" s="13" t="s">
        <v>608</v>
      </c>
      <c r="E136" s="39" t="n">
        <v>3685.58099853138</v>
      </c>
      <c r="F136" s="39" t="n">
        <v>1531.96947935368</v>
      </c>
      <c r="G136" s="39" t="n">
        <v>2109.95671910588</v>
      </c>
      <c r="H136" s="39" t="n">
        <v>587.883171540438</v>
      </c>
      <c r="I136" s="39" t="n">
        <v>3015.70599853138</v>
      </c>
      <c r="J136" s="39" t="n">
        <v>669.875</v>
      </c>
      <c r="K136" s="39" t="n">
        <v>7915.39036853137</v>
      </c>
    </row>
    <row r="137" customFormat="false" ht="15" hidden="false" customHeight="true" outlineLevel="0" collapsed="false">
      <c r="A137" s="13" t="s">
        <v>684</v>
      </c>
      <c r="B137" s="13" t="s">
        <v>158</v>
      </c>
      <c r="C137" s="13" t="s">
        <v>610</v>
      </c>
      <c r="D137" s="13" t="s">
        <v>606</v>
      </c>
      <c r="E137" s="39" t="n">
        <v>6225.24763209382</v>
      </c>
      <c r="F137" s="39" t="n">
        <v>960.931777378815</v>
      </c>
      <c r="G137" s="39" t="n">
        <v>1505.38352756044</v>
      </c>
      <c r="H137" s="39" t="n">
        <v>947.094791009987</v>
      </c>
      <c r="I137" s="39" t="n">
        <v>5555.37263209382</v>
      </c>
      <c r="J137" s="39" t="n">
        <v>669.875</v>
      </c>
      <c r="K137" s="39" t="n">
        <v>9638.65772804306</v>
      </c>
    </row>
    <row r="138" customFormat="false" ht="15" hidden="false" customHeight="true" outlineLevel="0" collapsed="false">
      <c r="A138" s="13" t="s">
        <v>685</v>
      </c>
      <c r="B138" s="13" t="s">
        <v>158</v>
      </c>
      <c r="C138" s="13" t="s">
        <v>610</v>
      </c>
      <c r="D138" s="13" t="s">
        <v>608</v>
      </c>
      <c r="E138" s="39" t="n">
        <v>6225.24763209382</v>
      </c>
      <c r="F138" s="39" t="n">
        <v>1531.96947935368</v>
      </c>
      <c r="G138" s="39" t="n">
        <v>1384.02625646529</v>
      </c>
      <c r="H138" s="39" t="n">
        <v>497.414360130274</v>
      </c>
      <c r="I138" s="39" t="n">
        <v>5555.37263209382</v>
      </c>
      <c r="J138" s="39" t="n">
        <v>669.875</v>
      </c>
      <c r="K138" s="39" t="n">
        <v>9638.65772804306</v>
      </c>
    </row>
    <row r="139" customFormat="false" ht="15" hidden="false" customHeight="true" outlineLevel="0" collapsed="false">
      <c r="A139" s="13" t="s">
        <v>686</v>
      </c>
      <c r="B139" s="13" t="s">
        <v>158</v>
      </c>
      <c r="C139" s="13" t="s">
        <v>613</v>
      </c>
      <c r="D139" s="13" t="s">
        <v>606</v>
      </c>
      <c r="E139" s="39" t="n">
        <v>7054</v>
      </c>
      <c r="F139" s="39" t="n">
        <v>960.931777378815</v>
      </c>
      <c r="G139" s="39" t="n">
        <v>1268.49551166966</v>
      </c>
      <c r="H139" s="39" t="n">
        <v>917.572710951526</v>
      </c>
      <c r="I139" s="39" t="n">
        <v>6384.125</v>
      </c>
      <c r="J139" s="39" t="n">
        <v>669.875</v>
      </c>
      <c r="K139" s="39" t="n">
        <v>10201</v>
      </c>
    </row>
    <row r="140" customFormat="false" ht="15" hidden="false" customHeight="true" outlineLevel="0" collapsed="false">
      <c r="A140" s="13" t="s">
        <v>687</v>
      </c>
      <c r="B140" s="13" t="s">
        <v>158</v>
      </c>
      <c r="C140" s="13" t="s">
        <v>613</v>
      </c>
      <c r="D140" s="13" t="s">
        <v>608</v>
      </c>
      <c r="E140" s="39" t="n">
        <v>7054</v>
      </c>
      <c r="F140" s="39" t="n">
        <v>1531.96947935368</v>
      </c>
      <c r="G140" s="39" t="n">
        <v>1147.13824057451</v>
      </c>
      <c r="H140" s="39" t="n">
        <v>467.892280071813</v>
      </c>
      <c r="I140" s="39" t="n">
        <v>6384.125</v>
      </c>
      <c r="J140" s="39" t="n">
        <v>669.875</v>
      </c>
      <c r="K140" s="39" t="n">
        <v>10201</v>
      </c>
    </row>
    <row r="141" customFormat="false" ht="15" hidden="false" customHeight="true" outlineLevel="0" collapsed="false">
      <c r="A141" s="13" t="s">
        <v>688</v>
      </c>
      <c r="B141" s="13" t="s">
        <v>158</v>
      </c>
      <c r="C141" s="13" t="s">
        <v>616</v>
      </c>
      <c r="D141" s="13" t="s">
        <v>606</v>
      </c>
      <c r="E141" s="39" t="n">
        <v>2394</v>
      </c>
      <c r="F141" s="39" t="n">
        <v>960.931777378815</v>
      </c>
      <c r="G141" s="39" t="n">
        <v>2600.49551166966</v>
      </c>
      <c r="H141" s="39" t="n">
        <v>1083.57271095153</v>
      </c>
      <c r="I141" s="39" t="n">
        <v>1724.125</v>
      </c>
      <c r="J141" s="39" t="n">
        <v>669.875</v>
      </c>
      <c r="K141" s="39" t="n">
        <v>7039</v>
      </c>
    </row>
    <row r="142" customFormat="false" ht="15" hidden="false" customHeight="true" outlineLevel="0" collapsed="false">
      <c r="A142" s="13" t="s">
        <v>689</v>
      </c>
      <c r="B142" s="13" t="s">
        <v>158</v>
      </c>
      <c r="C142" s="13" t="s">
        <v>616</v>
      </c>
      <c r="D142" s="13" t="s">
        <v>608</v>
      </c>
      <c r="E142" s="39" t="n">
        <v>2394</v>
      </c>
      <c r="F142" s="39" t="n">
        <v>1531.96947935368</v>
      </c>
      <c r="G142" s="39" t="n">
        <v>2479.13824057451</v>
      </c>
      <c r="H142" s="39" t="n">
        <v>633.892280071813</v>
      </c>
      <c r="I142" s="39" t="n">
        <v>1724.125</v>
      </c>
      <c r="J142" s="39" t="n">
        <v>669.875</v>
      </c>
      <c r="K142" s="39" t="n">
        <v>7039</v>
      </c>
    </row>
    <row r="143" customFormat="false" ht="15" hidden="false" customHeight="true" outlineLevel="0" collapsed="false">
      <c r="A143" s="13" t="s">
        <v>690</v>
      </c>
      <c r="B143" s="13" t="s">
        <v>160</v>
      </c>
      <c r="C143" s="13" t="s">
        <v>605</v>
      </c>
      <c r="D143" s="13" t="s">
        <v>606</v>
      </c>
      <c r="E143" s="39" t="n">
        <v>5415.54366629464</v>
      </c>
      <c r="F143" s="39" t="n">
        <v>1469.21386186542</v>
      </c>
      <c r="G143" s="39" t="n">
        <v>1323.54538176544</v>
      </c>
      <c r="H143" s="39" t="n">
        <v>577.931449502878</v>
      </c>
      <c r="I143" s="39" t="n">
        <v>4905.68539857811</v>
      </c>
      <c r="J143" s="39" t="n">
        <v>509.858267716536</v>
      </c>
      <c r="K143" s="39" t="n">
        <v>8786.23435942839</v>
      </c>
    </row>
    <row r="144" customFormat="false" ht="15" hidden="false" customHeight="true" outlineLevel="0" collapsed="false">
      <c r="A144" s="13" t="s">
        <v>691</v>
      </c>
      <c r="B144" s="13" t="s">
        <v>160</v>
      </c>
      <c r="C144" s="13" t="s">
        <v>605</v>
      </c>
      <c r="D144" s="13" t="s">
        <v>608</v>
      </c>
      <c r="E144" s="39" t="n">
        <v>5415.54366629464</v>
      </c>
      <c r="F144" s="39" t="n">
        <v>1791.53882261896</v>
      </c>
      <c r="G144" s="39" t="n">
        <v>1209.44805052526</v>
      </c>
      <c r="H144" s="39" t="n">
        <v>369.703819989534</v>
      </c>
      <c r="I144" s="39" t="n">
        <v>4905.68539857811</v>
      </c>
      <c r="J144" s="39" t="n">
        <v>509.858267716536</v>
      </c>
      <c r="K144" s="39" t="n">
        <v>8786.23435942839</v>
      </c>
    </row>
    <row r="145" customFormat="false" ht="15" hidden="false" customHeight="true" outlineLevel="0" collapsed="false">
      <c r="A145" s="13" t="s">
        <v>692</v>
      </c>
      <c r="B145" s="13" t="s">
        <v>160</v>
      </c>
      <c r="C145" s="13" t="s">
        <v>610</v>
      </c>
      <c r="D145" s="13" t="s">
        <v>606</v>
      </c>
      <c r="E145" s="39" t="n">
        <v>6761.33629180475</v>
      </c>
      <c r="F145" s="39" t="n">
        <v>1245.42602208812</v>
      </c>
      <c r="G145" s="39" t="n">
        <v>1024.13973311361</v>
      </c>
      <c r="H145" s="39" t="n">
        <v>577.931449502878</v>
      </c>
      <c r="I145" s="39" t="n">
        <v>6251.47802408822</v>
      </c>
      <c r="J145" s="39" t="n">
        <v>509.858267716536</v>
      </c>
      <c r="K145" s="39" t="n">
        <v>9608.83349650936</v>
      </c>
    </row>
    <row r="146" customFormat="false" ht="15" hidden="false" customHeight="true" outlineLevel="0" collapsed="false">
      <c r="A146" s="13" t="s">
        <v>693</v>
      </c>
      <c r="B146" s="13" t="s">
        <v>160</v>
      </c>
      <c r="C146" s="13" t="s">
        <v>610</v>
      </c>
      <c r="D146" s="13" t="s">
        <v>608</v>
      </c>
      <c r="E146" s="39" t="n">
        <v>6761.33629180475</v>
      </c>
      <c r="F146" s="39" t="n">
        <v>1567.75098284165</v>
      </c>
      <c r="G146" s="39" t="n">
        <v>910.042401873424</v>
      </c>
      <c r="H146" s="39" t="n">
        <v>369.703819989534</v>
      </c>
      <c r="I146" s="39" t="n">
        <v>6251.47802408822</v>
      </c>
      <c r="J146" s="39" t="n">
        <v>509.858267716536</v>
      </c>
      <c r="K146" s="39" t="n">
        <v>9608.83349650936</v>
      </c>
    </row>
    <row r="147" customFormat="false" ht="15" hidden="false" customHeight="true" outlineLevel="0" collapsed="false">
      <c r="A147" s="13" t="s">
        <v>694</v>
      </c>
      <c r="B147" s="13" t="s">
        <v>160</v>
      </c>
      <c r="C147" s="13" t="s">
        <v>613</v>
      </c>
      <c r="D147" s="13" t="s">
        <v>606</v>
      </c>
      <c r="E147" s="39" t="n">
        <v>7506</v>
      </c>
      <c r="F147" s="39" t="n">
        <v>1121.59811616955</v>
      </c>
      <c r="G147" s="39" t="n">
        <v>858.470434327577</v>
      </c>
      <c r="H147" s="39" t="n">
        <v>577.931449502878</v>
      </c>
      <c r="I147" s="39" t="n">
        <v>6996.14173228347</v>
      </c>
      <c r="J147" s="39" t="n">
        <v>509.858267716536</v>
      </c>
      <c r="K147" s="39" t="n">
        <v>10064</v>
      </c>
    </row>
    <row r="148" customFormat="false" ht="15" hidden="false" customHeight="true" outlineLevel="0" collapsed="false">
      <c r="A148" s="13" t="s">
        <v>695</v>
      </c>
      <c r="B148" s="13" t="s">
        <v>160</v>
      </c>
      <c r="C148" s="13" t="s">
        <v>613</v>
      </c>
      <c r="D148" s="13" t="s">
        <v>608</v>
      </c>
      <c r="E148" s="39" t="n">
        <v>7506</v>
      </c>
      <c r="F148" s="39" t="n">
        <v>1443.92307692308</v>
      </c>
      <c r="G148" s="39" t="n">
        <v>744.373103087389</v>
      </c>
      <c r="H148" s="39" t="n">
        <v>369.703819989534</v>
      </c>
      <c r="I148" s="39" t="n">
        <v>6996.14173228347</v>
      </c>
      <c r="J148" s="39" t="n">
        <v>509.858267716536</v>
      </c>
      <c r="K148" s="39" t="n">
        <v>10064</v>
      </c>
    </row>
    <row r="149" customFormat="false" ht="15" hidden="false" customHeight="true" outlineLevel="0" collapsed="false">
      <c r="A149" s="13" t="s">
        <v>696</v>
      </c>
      <c r="B149" s="13" t="s">
        <v>160</v>
      </c>
      <c r="C149" s="13" t="s">
        <v>616</v>
      </c>
      <c r="D149" s="13" t="s">
        <v>606</v>
      </c>
      <c r="E149" s="39" t="n">
        <v>3555</v>
      </c>
      <c r="F149" s="39" t="n">
        <v>1778.59811616955</v>
      </c>
      <c r="G149" s="39" t="n">
        <v>1737.47043432758</v>
      </c>
      <c r="H149" s="39" t="n">
        <v>577.931449502878</v>
      </c>
      <c r="I149" s="39" t="n">
        <v>3045.14173228347</v>
      </c>
      <c r="J149" s="39" t="n">
        <v>509.858267716536</v>
      </c>
      <c r="K149" s="39" t="n">
        <v>7649</v>
      </c>
    </row>
    <row r="150" customFormat="false" ht="15" hidden="false" customHeight="true" outlineLevel="0" collapsed="false">
      <c r="A150" s="13" t="s">
        <v>697</v>
      </c>
      <c r="B150" s="13" t="s">
        <v>160</v>
      </c>
      <c r="C150" s="13" t="s">
        <v>616</v>
      </c>
      <c r="D150" s="13" t="s">
        <v>608</v>
      </c>
      <c r="E150" s="39" t="n">
        <v>3555</v>
      </c>
      <c r="F150" s="39" t="n">
        <v>2100.92307692308</v>
      </c>
      <c r="G150" s="39" t="n">
        <v>1623.37310308739</v>
      </c>
      <c r="H150" s="39" t="n">
        <v>369.703819989534</v>
      </c>
      <c r="I150" s="39" t="n">
        <v>3045.14173228347</v>
      </c>
      <c r="J150" s="39" t="n">
        <v>509.858267716536</v>
      </c>
      <c r="K150" s="39" t="n">
        <v>7649</v>
      </c>
    </row>
    <row r="151" customFormat="false" ht="15" hidden="false" customHeight="true" outlineLevel="0" collapsed="false">
      <c r="A151" s="13" t="s">
        <v>698</v>
      </c>
      <c r="B151" s="13" t="s">
        <v>162</v>
      </c>
      <c r="C151" s="13" t="s">
        <v>605</v>
      </c>
      <c r="D151" s="13" t="s">
        <v>606</v>
      </c>
      <c r="E151" s="39" t="n">
        <v>907.046071232877</v>
      </c>
      <c r="F151" s="39" t="n">
        <v>372.679834524016</v>
      </c>
      <c r="G151" s="39" t="n">
        <v>374.48838193168</v>
      </c>
      <c r="H151" s="39" t="n">
        <v>190.574683544304</v>
      </c>
      <c r="I151" s="39" t="n">
        <v>636.99507973146</v>
      </c>
      <c r="J151" s="39" t="n">
        <v>270.050991501417</v>
      </c>
      <c r="K151" s="39" t="n">
        <v>1844.78897123288</v>
      </c>
    </row>
    <row r="152" customFormat="false" ht="15" hidden="false" customHeight="true" outlineLevel="0" collapsed="false">
      <c r="A152" s="13" t="s">
        <v>699</v>
      </c>
      <c r="B152" s="13" t="s">
        <v>162</v>
      </c>
      <c r="C152" s="13" t="s">
        <v>605</v>
      </c>
      <c r="D152" s="13" t="s">
        <v>608</v>
      </c>
      <c r="E152" s="39" t="n">
        <v>907.046071232877</v>
      </c>
      <c r="F152" s="39" t="n">
        <v>507.960847182244</v>
      </c>
      <c r="G152" s="39" t="n">
        <v>319.820027501301</v>
      </c>
      <c r="H152" s="39" t="n">
        <v>109.962025316456</v>
      </c>
      <c r="I152" s="39" t="n">
        <v>636.99507973146</v>
      </c>
      <c r="J152" s="39" t="n">
        <v>270.050991501417</v>
      </c>
      <c r="K152" s="39" t="n">
        <v>1844.78897123288</v>
      </c>
    </row>
    <row r="153" customFormat="false" ht="15" hidden="false" customHeight="true" outlineLevel="0" collapsed="false">
      <c r="A153" s="13" t="s">
        <v>700</v>
      </c>
      <c r="B153" s="13" t="s">
        <v>162</v>
      </c>
      <c r="C153" s="13" t="s">
        <v>610</v>
      </c>
      <c r="D153" s="13" t="s">
        <v>606</v>
      </c>
      <c r="E153" s="39" t="n">
        <v>929.086326756344</v>
      </c>
      <c r="F153" s="39" t="n">
        <v>369.580423591028</v>
      </c>
      <c r="G153" s="39" t="n">
        <v>369.20790404585</v>
      </c>
      <c r="H153" s="39" t="n">
        <v>190.574683544304</v>
      </c>
      <c r="I153" s="39" t="n">
        <v>659.035335254928</v>
      </c>
      <c r="J153" s="39" t="n">
        <v>270.050991501416</v>
      </c>
      <c r="K153" s="39" t="n">
        <v>1858.44933793753</v>
      </c>
    </row>
    <row r="154" customFormat="false" ht="15" hidden="false" customHeight="true" outlineLevel="0" collapsed="false">
      <c r="A154" s="13" t="s">
        <v>701</v>
      </c>
      <c r="B154" s="13" t="s">
        <v>162</v>
      </c>
      <c r="C154" s="13" t="s">
        <v>610</v>
      </c>
      <c r="D154" s="13" t="s">
        <v>608</v>
      </c>
      <c r="E154" s="39" t="n">
        <v>929.086326756344</v>
      </c>
      <c r="F154" s="39" t="n">
        <v>504.861436249256</v>
      </c>
      <c r="G154" s="39" t="n">
        <v>314.53954961547</v>
      </c>
      <c r="H154" s="39" t="n">
        <v>109.962025316456</v>
      </c>
      <c r="I154" s="39" t="n">
        <v>659.035335254928</v>
      </c>
      <c r="J154" s="39" t="n">
        <v>270.050991501416</v>
      </c>
      <c r="K154" s="39" t="n">
        <v>1858.44933793753</v>
      </c>
    </row>
    <row r="155" customFormat="false" ht="15" hidden="false" customHeight="true" outlineLevel="0" collapsed="false">
      <c r="A155" s="13" t="s">
        <v>702</v>
      </c>
      <c r="B155" s="13" t="s">
        <v>162</v>
      </c>
      <c r="C155" s="13" t="s">
        <v>613</v>
      </c>
      <c r="D155" s="13" t="s">
        <v>606</v>
      </c>
      <c r="E155" s="39" t="n">
        <v>1101</v>
      </c>
      <c r="F155" s="39" t="n">
        <v>345.405063291139</v>
      </c>
      <c r="G155" s="39" t="n">
        <v>328.020253164557</v>
      </c>
      <c r="H155" s="39" t="n">
        <v>190.574683544304</v>
      </c>
      <c r="I155" s="39" t="n">
        <v>830.949008498584</v>
      </c>
      <c r="J155" s="39" t="n">
        <v>270.050991501416</v>
      </c>
      <c r="K155" s="39" t="n">
        <v>1965</v>
      </c>
    </row>
    <row r="156" customFormat="false" ht="15" hidden="false" customHeight="true" outlineLevel="0" collapsed="false">
      <c r="A156" s="13" t="s">
        <v>703</v>
      </c>
      <c r="B156" s="13" t="s">
        <v>162</v>
      </c>
      <c r="C156" s="13" t="s">
        <v>613</v>
      </c>
      <c r="D156" s="13" t="s">
        <v>608</v>
      </c>
      <c r="E156" s="39" t="n">
        <v>1101</v>
      </c>
      <c r="F156" s="39" t="n">
        <v>480.686075949367</v>
      </c>
      <c r="G156" s="39" t="n">
        <v>273.351898734177</v>
      </c>
      <c r="H156" s="39" t="n">
        <v>109.962025316456</v>
      </c>
      <c r="I156" s="39" t="n">
        <v>830.949008498584</v>
      </c>
      <c r="J156" s="39" t="n">
        <v>270.050991501416</v>
      </c>
      <c r="K156" s="39" t="n">
        <v>1965</v>
      </c>
    </row>
    <row r="157" customFormat="false" ht="15" hidden="false" customHeight="true" outlineLevel="0" collapsed="false">
      <c r="A157" s="13" t="s">
        <v>704</v>
      </c>
      <c r="B157" s="13" t="s">
        <v>162</v>
      </c>
      <c r="C157" s="13" t="s">
        <v>616</v>
      </c>
      <c r="D157" s="13" t="s">
        <v>606</v>
      </c>
      <c r="E157" s="39" t="n">
        <v>717</v>
      </c>
      <c r="F157" s="39" t="n">
        <v>399.405063291139</v>
      </c>
      <c r="G157" s="39" t="n">
        <v>420.020253164557</v>
      </c>
      <c r="H157" s="39" t="n">
        <v>190.574683544304</v>
      </c>
      <c r="I157" s="39" t="n">
        <v>446.949008498584</v>
      </c>
      <c r="J157" s="39" t="n">
        <v>270.050991501416</v>
      </c>
      <c r="K157" s="39" t="n">
        <v>1727</v>
      </c>
    </row>
    <row r="158" customFormat="false" ht="15" hidden="false" customHeight="true" outlineLevel="0" collapsed="false">
      <c r="A158" s="13" t="s">
        <v>705</v>
      </c>
      <c r="B158" s="13" t="s">
        <v>162</v>
      </c>
      <c r="C158" s="13" t="s">
        <v>616</v>
      </c>
      <c r="D158" s="13" t="s">
        <v>608</v>
      </c>
      <c r="E158" s="39" t="n">
        <v>717</v>
      </c>
      <c r="F158" s="39" t="n">
        <v>534.686075949367</v>
      </c>
      <c r="G158" s="39" t="n">
        <v>365.351898734177</v>
      </c>
      <c r="H158" s="39" t="n">
        <v>109.962025316456</v>
      </c>
      <c r="I158" s="39" t="n">
        <v>446.949008498584</v>
      </c>
      <c r="J158" s="39" t="n">
        <v>270.050991501416</v>
      </c>
      <c r="K158" s="39" t="n">
        <v>1727</v>
      </c>
    </row>
    <row r="159" customFormat="false" ht="15" hidden="false" customHeight="true" outlineLevel="0" collapsed="false">
      <c r="A159" s="13" t="s">
        <v>706</v>
      </c>
      <c r="B159" s="13" t="s">
        <v>194</v>
      </c>
      <c r="C159" s="13" t="s">
        <v>605</v>
      </c>
      <c r="D159" s="13" t="s">
        <v>606</v>
      </c>
      <c r="E159" s="39" t="n">
        <v>375.808362638889</v>
      </c>
      <c r="F159" s="39" t="n">
        <v>76.4156626506024</v>
      </c>
      <c r="G159" s="39" t="n">
        <v>76.2814725184069</v>
      </c>
      <c r="H159" s="39" t="n">
        <v>55.0792748309906</v>
      </c>
      <c r="I159" s="39" t="n">
        <v>324.825311791431</v>
      </c>
      <c r="J159" s="39" t="n">
        <v>50.9830508474576</v>
      </c>
      <c r="K159" s="39" t="n">
        <v>583.584772638889</v>
      </c>
    </row>
    <row r="160" customFormat="false" ht="15" hidden="false" customHeight="true" outlineLevel="0" collapsed="false">
      <c r="A160" s="13" t="s">
        <v>707</v>
      </c>
      <c r="B160" s="13" t="s">
        <v>194</v>
      </c>
      <c r="C160" s="13" t="s">
        <v>605</v>
      </c>
      <c r="D160" s="13" t="s">
        <v>608</v>
      </c>
      <c r="E160" s="39" t="n">
        <v>375.808362638889</v>
      </c>
      <c r="F160" s="39" t="n">
        <v>109.614457831325</v>
      </c>
      <c r="G160" s="39" t="n">
        <v>66.2212315545515</v>
      </c>
      <c r="H160" s="39" t="n">
        <v>31.9407206141232</v>
      </c>
      <c r="I160" s="39" t="n">
        <v>324.825311791431</v>
      </c>
      <c r="J160" s="39" t="n">
        <v>50.9830508474576</v>
      </c>
      <c r="K160" s="39" t="n">
        <v>583.584772638889</v>
      </c>
    </row>
    <row r="161" customFormat="false" ht="15" hidden="false" customHeight="true" outlineLevel="0" collapsed="false">
      <c r="A161" s="13" t="s">
        <v>708</v>
      </c>
      <c r="B161" s="13" t="s">
        <v>194</v>
      </c>
      <c r="C161" s="13" t="s">
        <v>610</v>
      </c>
      <c r="D161" s="13" t="s">
        <v>606</v>
      </c>
      <c r="E161" s="39" t="n">
        <v>338.395349852551</v>
      </c>
      <c r="F161" s="39" t="n">
        <v>76.4156626506024</v>
      </c>
      <c r="G161" s="39" t="n">
        <v>85.9206330179437</v>
      </c>
      <c r="H161" s="39" t="n">
        <v>57.2031576529225</v>
      </c>
      <c r="I161" s="39" t="n">
        <v>287.412299005094</v>
      </c>
      <c r="J161" s="39" t="n">
        <v>50.9830508474577</v>
      </c>
      <c r="K161" s="39" t="n">
        <v>557.93480317402</v>
      </c>
    </row>
    <row r="162" customFormat="false" ht="15" hidden="false" customHeight="true" outlineLevel="0" collapsed="false">
      <c r="A162" s="13" t="s">
        <v>709</v>
      </c>
      <c r="B162" s="13" t="s">
        <v>194</v>
      </c>
      <c r="C162" s="13" t="s">
        <v>610</v>
      </c>
      <c r="D162" s="13" t="s">
        <v>608</v>
      </c>
      <c r="E162" s="39" t="n">
        <v>338.395349852551</v>
      </c>
      <c r="F162" s="39" t="n">
        <v>109.614457831325</v>
      </c>
      <c r="G162" s="39" t="n">
        <v>75.8603920540884</v>
      </c>
      <c r="H162" s="39" t="n">
        <v>34.064603436055</v>
      </c>
      <c r="I162" s="39" t="n">
        <v>287.412299005094</v>
      </c>
      <c r="J162" s="39" t="n">
        <v>50.9830508474577</v>
      </c>
      <c r="K162" s="39" t="n">
        <v>557.93480317402</v>
      </c>
    </row>
    <row r="163" customFormat="false" ht="15" hidden="false" customHeight="true" outlineLevel="0" collapsed="false">
      <c r="A163" s="13" t="s">
        <v>710</v>
      </c>
      <c r="B163" s="13" t="s">
        <v>194</v>
      </c>
      <c r="C163" s="13" t="s">
        <v>613</v>
      </c>
      <c r="D163" s="13" t="s">
        <v>606</v>
      </c>
      <c r="E163" s="39" t="n">
        <v>391</v>
      </c>
      <c r="F163" s="39" t="n">
        <v>76.4156626506024</v>
      </c>
      <c r="G163" s="39" t="n">
        <v>72.3674698795181</v>
      </c>
      <c r="H163" s="39" t="n">
        <v>54.2168674698795</v>
      </c>
      <c r="I163" s="39" t="n">
        <v>340.016949152542</v>
      </c>
      <c r="J163" s="39" t="n">
        <v>50.9830508474577</v>
      </c>
      <c r="K163" s="39" t="n">
        <v>594</v>
      </c>
    </row>
    <row r="164" customFormat="false" ht="15" hidden="false" customHeight="true" outlineLevel="0" collapsed="false">
      <c r="A164" s="13" t="s">
        <v>711</v>
      </c>
      <c r="B164" s="13" t="s">
        <v>194</v>
      </c>
      <c r="C164" s="13" t="s">
        <v>613</v>
      </c>
      <c r="D164" s="13" t="s">
        <v>608</v>
      </c>
      <c r="E164" s="39" t="n">
        <v>391</v>
      </c>
      <c r="F164" s="39" t="n">
        <v>109.614457831325</v>
      </c>
      <c r="G164" s="39" t="n">
        <v>62.3072289156627</v>
      </c>
      <c r="H164" s="39" t="n">
        <v>31.0783132530121</v>
      </c>
      <c r="I164" s="39" t="n">
        <v>340.016949152542</v>
      </c>
      <c r="J164" s="39" t="n">
        <v>50.9830508474577</v>
      </c>
      <c r="K164" s="39" t="n">
        <v>594</v>
      </c>
    </row>
    <row r="165" customFormat="false" ht="15" hidden="false" customHeight="true" outlineLevel="0" collapsed="false">
      <c r="A165" s="13" t="s">
        <v>712</v>
      </c>
      <c r="B165" s="13" t="s">
        <v>194</v>
      </c>
      <c r="C165" s="13" t="s">
        <v>616</v>
      </c>
      <c r="D165" s="13" t="s">
        <v>606</v>
      </c>
      <c r="E165" s="39" t="n">
        <v>162</v>
      </c>
      <c r="F165" s="39" t="n">
        <v>76.4156626506024</v>
      </c>
      <c r="G165" s="39" t="n">
        <v>131.367469879518</v>
      </c>
      <c r="H165" s="39" t="n">
        <v>67.2168674698795</v>
      </c>
      <c r="I165" s="39" t="n">
        <v>111.016949152542</v>
      </c>
      <c r="J165" s="39" t="n">
        <v>50.9830508474576</v>
      </c>
      <c r="K165" s="39" t="n">
        <v>437</v>
      </c>
    </row>
    <row r="166" customFormat="false" ht="15" hidden="false" customHeight="true" outlineLevel="0" collapsed="false">
      <c r="A166" s="13" t="s">
        <v>713</v>
      </c>
      <c r="B166" s="13" t="s">
        <v>194</v>
      </c>
      <c r="C166" s="13" t="s">
        <v>616</v>
      </c>
      <c r="D166" s="13" t="s">
        <v>608</v>
      </c>
      <c r="E166" s="39" t="n">
        <v>162</v>
      </c>
      <c r="F166" s="39" t="n">
        <v>109.614457831325</v>
      </c>
      <c r="G166" s="39" t="n">
        <v>121.307228915663</v>
      </c>
      <c r="H166" s="39" t="n">
        <v>44.078313253012</v>
      </c>
      <c r="I166" s="39" t="n">
        <v>111.016949152542</v>
      </c>
      <c r="J166" s="39" t="n">
        <v>50.9830508474576</v>
      </c>
      <c r="K166" s="39" t="n">
        <v>437</v>
      </c>
    </row>
    <row r="167" customFormat="false" ht="15" hidden="false" customHeight="true" outlineLevel="0" collapsed="false">
      <c r="A167" s="13" t="s">
        <v>714</v>
      </c>
      <c r="B167" s="13" t="s">
        <v>164</v>
      </c>
      <c r="C167" s="13" t="s">
        <v>605</v>
      </c>
      <c r="D167" s="13" t="s">
        <v>606</v>
      </c>
      <c r="E167" s="39" t="n">
        <v>2803.43603738318</v>
      </c>
      <c r="F167" s="39" t="n">
        <v>1273.6965922722</v>
      </c>
      <c r="G167" s="39" t="n">
        <v>1879.21169507033</v>
      </c>
      <c r="H167" s="39" t="n">
        <v>964.436712657469</v>
      </c>
      <c r="I167" s="39" t="n">
        <v>2017.6418996872</v>
      </c>
      <c r="J167" s="39" t="n">
        <v>785.794137695978</v>
      </c>
      <c r="K167" s="39" t="n">
        <v>6920.78103738318</v>
      </c>
    </row>
    <row r="168" customFormat="false" ht="15" hidden="false" customHeight="true" outlineLevel="0" collapsed="false">
      <c r="A168" s="13" t="s">
        <v>715</v>
      </c>
      <c r="B168" s="13" t="s">
        <v>164</v>
      </c>
      <c r="C168" s="13" t="s">
        <v>605</v>
      </c>
      <c r="D168" s="13" t="s">
        <v>608</v>
      </c>
      <c r="E168" s="39" t="n">
        <v>2803.43603738318</v>
      </c>
      <c r="F168" s="39" t="n">
        <v>1909.37985561953</v>
      </c>
      <c r="G168" s="39" t="n">
        <v>1720.97294282078</v>
      </c>
      <c r="H168" s="39" t="n">
        <v>486.992201559688</v>
      </c>
      <c r="I168" s="39" t="n">
        <v>2017.6418996872</v>
      </c>
      <c r="J168" s="39" t="n">
        <v>785.794137695978</v>
      </c>
      <c r="K168" s="39" t="n">
        <v>6920.78103738318</v>
      </c>
    </row>
    <row r="169" customFormat="false" ht="15" hidden="false" customHeight="true" outlineLevel="0" collapsed="false">
      <c r="A169" s="13" t="s">
        <v>716</v>
      </c>
      <c r="B169" s="13" t="s">
        <v>164</v>
      </c>
      <c r="C169" s="13" t="s">
        <v>610</v>
      </c>
      <c r="D169" s="13" t="s">
        <v>606</v>
      </c>
      <c r="E169" s="39" t="n">
        <v>3480.51237747362</v>
      </c>
      <c r="F169" s="39" t="n">
        <v>1261.23770022739</v>
      </c>
      <c r="G169" s="39" t="n">
        <v>1661.82550973672</v>
      </c>
      <c r="H169" s="39" t="n">
        <v>964.436712657469</v>
      </c>
      <c r="I169" s="39" t="n">
        <v>2694.71823977765</v>
      </c>
      <c r="J169" s="39" t="n">
        <v>785.794137695978</v>
      </c>
      <c r="K169" s="39" t="n">
        <v>7368.0123000952</v>
      </c>
    </row>
    <row r="170" customFormat="false" ht="15" hidden="false" customHeight="true" outlineLevel="0" collapsed="false">
      <c r="A170" s="13" t="s">
        <v>717</v>
      </c>
      <c r="B170" s="13" t="s">
        <v>164</v>
      </c>
      <c r="C170" s="13" t="s">
        <v>610</v>
      </c>
      <c r="D170" s="13" t="s">
        <v>608</v>
      </c>
      <c r="E170" s="39" t="n">
        <v>3480.51237747362</v>
      </c>
      <c r="F170" s="39" t="n">
        <v>1896.92096357472</v>
      </c>
      <c r="G170" s="39" t="n">
        <v>1503.58675748717</v>
      </c>
      <c r="H170" s="39" t="n">
        <v>486.992201559688</v>
      </c>
      <c r="I170" s="39" t="n">
        <v>2694.71823977765</v>
      </c>
      <c r="J170" s="39" t="n">
        <v>785.794137695978</v>
      </c>
      <c r="K170" s="39" t="n">
        <v>7368.01230009521</v>
      </c>
    </row>
    <row r="171" customFormat="false" ht="15" hidden="false" customHeight="true" outlineLevel="0" collapsed="false">
      <c r="A171" s="13" t="s">
        <v>718</v>
      </c>
      <c r="B171" s="13" t="s">
        <v>164</v>
      </c>
      <c r="C171" s="13" t="s">
        <v>613</v>
      </c>
      <c r="D171" s="13" t="s">
        <v>606</v>
      </c>
      <c r="E171" s="39" t="n">
        <v>4242</v>
      </c>
      <c r="F171" s="39" t="n">
        <v>1247.22555488902</v>
      </c>
      <c r="G171" s="39" t="n">
        <v>1417.33773245351</v>
      </c>
      <c r="H171" s="39" t="n">
        <v>964.436712657469</v>
      </c>
      <c r="I171" s="39" t="n">
        <v>3456.20586230402</v>
      </c>
      <c r="J171" s="39" t="n">
        <v>785.794137695978</v>
      </c>
      <c r="K171" s="39" t="n">
        <v>7871</v>
      </c>
    </row>
    <row r="172" customFormat="false" ht="15" hidden="false" customHeight="true" outlineLevel="0" collapsed="false">
      <c r="A172" s="13" t="s">
        <v>719</v>
      </c>
      <c r="B172" s="13" t="s">
        <v>164</v>
      </c>
      <c r="C172" s="13" t="s">
        <v>613</v>
      </c>
      <c r="D172" s="13" t="s">
        <v>608</v>
      </c>
      <c r="E172" s="39" t="n">
        <v>4242</v>
      </c>
      <c r="F172" s="39" t="n">
        <v>1882.90881823635</v>
      </c>
      <c r="G172" s="39" t="n">
        <v>1259.09898020396</v>
      </c>
      <c r="H172" s="39" t="n">
        <v>486.992201559688</v>
      </c>
      <c r="I172" s="39" t="n">
        <v>3456.20586230402</v>
      </c>
      <c r="J172" s="39" t="n">
        <v>785.794137695978</v>
      </c>
      <c r="K172" s="39" t="n">
        <v>7871</v>
      </c>
    </row>
    <row r="173" customFormat="false" ht="15" hidden="false" customHeight="true" outlineLevel="0" collapsed="false">
      <c r="A173" s="13" t="s">
        <v>720</v>
      </c>
      <c r="B173" s="13" t="s">
        <v>164</v>
      </c>
      <c r="C173" s="13" t="s">
        <v>616</v>
      </c>
      <c r="D173" s="13" t="s">
        <v>606</v>
      </c>
      <c r="E173" s="39" t="n">
        <v>2666</v>
      </c>
      <c r="F173" s="39" t="n">
        <v>1276.22555488902</v>
      </c>
      <c r="G173" s="39" t="n">
        <v>1923.33773245351</v>
      </c>
      <c r="H173" s="39" t="n">
        <v>964.436712657469</v>
      </c>
      <c r="I173" s="39" t="n">
        <v>1880.20586230402</v>
      </c>
      <c r="J173" s="39" t="n">
        <v>785.794137695978</v>
      </c>
      <c r="K173" s="39" t="n">
        <v>6830</v>
      </c>
    </row>
    <row r="174" customFormat="false" ht="15" hidden="false" customHeight="true" outlineLevel="0" collapsed="false">
      <c r="A174" s="13" t="s">
        <v>721</v>
      </c>
      <c r="B174" s="13" t="s">
        <v>164</v>
      </c>
      <c r="C174" s="13" t="s">
        <v>616</v>
      </c>
      <c r="D174" s="13" t="s">
        <v>608</v>
      </c>
      <c r="E174" s="39" t="n">
        <v>2666</v>
      </c>
      <c r="F174" s="39" t="n">
        <v>1911.90881823635</v>
      </c>
      <c r="G174" s="39" t="n">
        <v>1765.09898020396</v>
      </c>
      <c r="H174" s="39" t="n">
        <v>486.992201559688</v>
      </c>
      <c r="I174" s="39" t="n">
        <v>1880.20586230402</v>
      </c>
      <c r="J174" s="39" t="n">
        <v>785.794137695978</v>
      </c>
      <c r="K174" s="39" t="n">
        <v>6830</v>
      </c>
    </row>
    <row r="175" customFormat="false" ht="15" hidden="false" customHeight="true" outlineLevel="0" collapsed="false">
      <c r="A175" s="13" t="s">
        <v>722</v>
      </c>
      <c r="B175" s="13" t="s">
        <v>196</v>
      </c>
      <c r="C175" s="13" t="s">
        <v>605</v>
      </c>
      <c r="D175" s="13" t="s">
        <v>606</v>
      </c>
      <c r="E175" s="39" t="n">
        <v>163</v>
      </c>
      <c r="F175" s="39" t="n">
        <v>41.6896551724138</v>
      </c>
      <c r="G175" s="39" t="n">
        <v>39.051724137931</v>
      </c>
      <c r="H175" s="39" t="n">
        <v>39.2586206896552</v>
      </c>
      <c r="I175" s="39" t="n">
        <v>118.35</v>
      </c>
      <c r="J175" s="39" t="n">
        <v>44.65</v>
      </c>
      <c r="K175" s="39" t="n">
        <v>283</v>
      </c>
    </row>
    <row r="176" customFormat="false" ht="15" hidden="false" customHeight="true" outlineLevel="0" collapsed="false">
      <c r="A176" s="13" t="s">
        <v>723</v>
      </c>
      <c r="B176" s="13" t="s">
        <v>196</v>
      </c>
      <c r="C176" s="13" t="s">
        <v>605</v>
      </c>
      <c r="D176" s="13" t="s">
        <v>608</v>
      </c>
      <c r="E176" s="39" t="n">
        <v>163</v>
      </c>
      <c r="F176" s="39" t="n">
        <v>63.6724137931034</v>
      </c>
      <c r="G176" s="39" t="n">
        <v>30.2586206896552</v>
      </c>
      <c r="H176" s="39" t="n">
        <v>26.0689655172414</v>
      </c>
      <c r="I176" s="39" t="n">
        <v>118.35</v>
      </c>
      <c r="J176" s="39" t="n">
        <v>44.65</v>
      </c>
      <c r="K176" s="39" t="n">
        <v>283</v>
      </c>
    </row>
    <row r="177" customFormat="false" ht="15" hidden="false" customHeight="true" outlineLevel="0" collapsed="false">
      <c r="A177" s="13" t="s">
        <v>724</v>
      </c>
      <c r="B177" s="13" t="s">
        <v>196</v>
      </c>
      <c r="C177" s="13" t="s">
        <v>610</v>
      </c>
      <c r="D177" s="13" t="s">
        <v>606</v>
      </c>
      <c r="E177" s="39" t="n">
        <v>163</v>
      </c>
      <c r="F177" s="39" t="n">
        <v>41.6896551724138</v>
      </c>
      <c r="G177" s="39" t="n">
        <v>39.051724137931</v>
      </c>
      <c r="H177" s="39" t="n">
        <v>39.2586206896552</v>
      </c>
      <c r="I177" s="39" t="n">
        <v>118.35</v>
      </c>
      <c r="J177" s="39" t="n">
        <v>44.65</v>
      </c>
      <c r="K177" s="39" t="n">
        <v>283</v>
      </c>
    </row>
    <row r="178" customFormat="false" ht="15" hidden="false" customHeight="true" outlineLevel="0" collapsed="false">
      <c r="A178" s="13" t="s">
        <v>725</v>
      </c>
      <c r="B178" s="13" t="s">
        <v>196</v>
      </c>
      <c r="C178" s="13" t="s">
        <v>610</v>
      </c>
      <c r="D178" s="13" t="s">
        <v>608</v>
      </c>
      <c r="E178" s="39" t="n">
        <v>163</v>
      </c>
      <c r="F178" s="39" t="n">
        <v>63.6724137931034</v>
      </c>
      <c r="G178" s="39" t="n">
        <v>30.2586206896552</v>
      </c>
      <c r="H178" s="39" t="n">
        <v>26.0689655172414</v>
      </c>
      <c r="I178" s="39" t="n">
        <v>118.35</v>
      </c>
      <c r="J178" s="39" t="n">
        <v>44.65</v>
      </c>
      <c r="K178" s="39" t="n">
        <v>283</v>
      </c>
    </row>
    <row r="179" customFormat="false" ht="15" hidden="false" customHeight="true" outlineLevel="0" collapsed="false">
      <c r="A179" s="13" t="s">
        <v>726</v>
      </c>
      <c r="B179" s="13" t="s">
        <v>196</v>
      </c>
      <c r="C179" s="13" t="s">
        <v>613</v>
      </c>
      <c r="D179" s="13" t="s">
        <v>606</v>
      </c>
      <c r="E179" s="39" t="n">
        <v>166</v>
      </c>
      <c r="F179" s="39" t="n">
        <v>41.6896551724138</v>
      </c>
      <c r="G179" s="39" t="n">
        <v>38.051724137931</v>
      </c>
      <c r="H179" s="39" t="n">
        <v>39.2586206896552</v>
      </c>
      <c r="I179" s="39" t="n">
        <v>121.35</v>
      </c>
      <c r="J179" s="39" t="n">
        <v>44.65</v>
      </c>
      <c r="K179" s="39" t="n">
        <v>285</v>
      </c>
    </row>
    <row r="180" customFormat="false" ht="15" hidden="false" customHeight="true" outlineLevel="0" collapsed="false">
      <c r="A180" s="13" t="s">
        <v>727</v>
      </c>
      <c r="B180" s="13" t="s">
        <v>196</v>
      </c>
      <c r="C180" s="13" t="s">
        <v>613</v>
      </c>
      <c r="D180" s="13" t="s">
        <v>608</v>
      </c>
      <c r="E180" s="39" t="n">
        <v>166</v>
      </c>
      <c r="F180" s="39" t="n">
        <v>63.6724137931034</v>
      </c>
      <c r="G180" s="39" t="n">
        <v>29.2586206896552</v>
      </c>
      <c r="H180" s="39" t="n">
        <v>26.0689655172414</v>
      </c>
      <c r="I180" s="39" t="n">
        <v>121.35</v>
      </c>
      <c r="J180" s="39" t="n">
        <v>44.65</v>
      </c>
      <c r="K180" s="39" t="n">
        <v>285</v>
      </c>
    </row>
    <row r="181" customFormat="false" ht="15" hidden="false" customHeight="true" outlineLevel="0" collapsed="false">
      <c r="A181" s="13" t="s">
        <v>728</v>
      </c>
      <c r="B181" s="13" t="s">
        <v>196</v>
      </c>
      <c r="C181" s="13" t="s">
        <v>616</v>
      </c>
      <c r="D181" s="13" t="s">
        <v>606</v>
      </c>
      <c r="E181" s="39" t="n">
        <v>163</v>
      </c>
      <c r="F181" s="39" t="n">
        <v>41.6896551724138</v>
      </c>
      <c r="G181" s="39" t="n">
        <v>39.051724137931</v>
      </c>
      <c r="H181" s="39" t="n">
        <v>39.2586206896552</v>
      </c>
      <c r="I181" s="39" t="n">
        <v>118.35</v>
      </c>
      <c r="J181" s="39" t="n">
        <v>44.65</v>
      </c>
      <c r="K181" s="39" t="n">
        <v>283</v>
      </c>
    </row>
    <row r="182" customFormat="false" ht="15" hidden="false" customHeight="true" outlineLevel="0" collapsed="false">
      <c r="A182" s="13" t="s">
        <v>729</v>
      </c>
      <c r="B182" s="13" t="s">
        <v>196</v>
      </c>
      <c r="C182" s="13" t="s">
        <v>616</v>
      </c>
      <c r="D182" s="13" t="s">
        <v>608</v>
      </c>
      <c r="E182" s="39" t="n">
        <v>163</v>
      </c>
      <c r="F182" s="39" t="n">
        <v>63.6724137931034</v>
      </c>
      <c r="G182" s="39" t="n">
        <v>30.2586206896552</v>
      </c>
      <c r="H182" s="39" t="n">
        <v>26.0689655172414</v>
      </c>
      <c r="I182" s="39" t="n">
        <v>118.35</v>
      </c>
      <c r="J182" s="39" t="n">
        <v>44.65</v>
      </c>
      <c r="K182" s="39" t="n">
        <v>283</v>
      </c>
    </row>
    <row r="183" customFormat="false" ht="15" hidden="false" customHeight="true" outlineLevel="0" collapsed="false">
      <c r="A183" s="13" t="s">
        <v>730</v>
      </c>
      <c r="B183" s="13" t="s">
        <v>198</v>
      </c>
      <c r="C183" s="13" t="s">
        <v>605</v>
      </c>
      <c r="D183" s="13" t="s">
        <v>606</v>
      </c>
      <c r="E183" s="39" t="n">
        <v>197</v>
      </c>
      <c r="F183" s="39" t="n">
        <v>68.1428571428571</v>
      </c>
      <c r="G183" s="39" t="n">
        <v>45.8571428571429</v>
      </c>
      <c r="H183" s="39" t="n">
        <v>26</v>
      </c>
      <c r="I183" s="39" t="n">
        <v>145.540540540541</v>
      </c>
      <c r="J183" s="39" t="n">
        <v>51.4594594594595</v>
      </c>
      <c r="K183" s="39" t="n">
        <v>337</v>
      </c>
    </row>
    <row r="184" customFormat="false" ht="15" hidden="false" customHeight="true" outlineLevel="0" collapsed="false">
      <c r="A184" s="13" t="s">
        <v>731</v>
      </c>
      <c r="B184" s="13" t="s">
        <v>198</v>
      </c>
      <c r="C184" s="13" t="s">
        <v>605</v>
      </c>
      <c r="D184" s="13" t="s">
        <v>608</v>
      </c>
      <c r="E184" s="39" t="n">
        <v>197</v>
      </c>
      <c r="F184" s="39" t="n">
        <v>91</v>
      </c>
      <c r="G184" s="39" t="n">
        <v>33.4761904761905</v>
      </c>
      <c r="H184" s="39" t="n">
        <v>15.5238095238095</v>
      </c>
      <c r="I184" s="39" t="n">
        <v>145.540540540541</v>
      </c>
      <c r="J184" s="39" t="n">
        <v>51.4594594594595</v>
      </c>
      <c r="K184" s="39" t="n">
        <v>337</v>
      </c>
    </row>
    <row r="185" customFormat="false" ht="15" hidden="false" customHeight="true" outlineLevel="0" collapsed="false">
      <c r="A185" s="13" t="s">
        <v>732</v>
      </c>
      <c r="B185" s="13" t="s">
        <v>198</v>
      </c>
      <c r="C185" s="13" t="s">
        <v>610</v>
      </c>
      <c r="D185" s="13" t="s">
        <v>606</v>
      </c>
      <c r="E185" s="39" t="n">
        <v>176</v>
      </c>
      <c r="F185" s="39" t="n">
        <v>68.1428571428571</v>
      </c>
      <c r="G185" s="39" t="n">
        <v>52.8571428571429</v>
      </c>
      <c r="H185" s="39" t="n">
        <v>26</v>
      </c>
      <c r="I185" s="39" t="n">
        <v>124.540540540541</v>
      </c>
      <c r="J185" s="39" t="n">
        <v>51.4594594594595</v>
      </c>
      <c r="K185" s="39" t="n">
        <v>323</v>
      </c>
    </row>
    <row r="186" customFormat="false" ht="15" hidden="false" customHeight="true" outlineLevel="0" collapsed="false">
      <c r="A186" s="13" t="s">
        <v>733</v>
      </c>
      <c r="B186" s="13" t="s">
        <v>198</v>
      </c>
      <c r="C186" s="13" t="s">
        <v>610</v>
      </c>
      <c r="D186" s="13" t="s">
        <v>608</v>
      </c>
      <c r="E186" s="39" t="n">
        <v>176</v>
      </c>
      <c r="F186" s="39" t="n">
        <v>91</v>
      </c>
      <c r="G186" s="39" t="n">
        <v>40.4761904761905</v>
      </c>
      <c r="H186" s="39" t="n">
        <v>15.5238095238095</v>
      </c>
      <c r="I186" s="39" t="n">
        <v>124.540540540541</v>
      </c>
      <c r="J186" s="39" t="n">
        <v>51.4594594594595</v>
      </c>
      <c r="K186" s="39" t="n">
        <v>323</v>
      </c>
    </row>
    <row r="187" customFormat="false" ht="15" hidden="false" customHeight="true" outlineLevel="0" collapsed="false">
      <c r="A187" s="13" t="s">
        <v>734</v>
      </c>
      <c r="B187" s="13" t="s">
        <v>198</v>
      </c>
      <c r="C187" s="13" t="s">
        <v>613</v>
      </c>
      <c r="D187" s="13" t="s">
        <v>606</v>
      </c>
      <c r="E187" s="39" t="n">
        <v>197</v>
      </c>
      <c r="F187" s="39" t="n">
        <v>68.1428571428571</v>
      </c>
      <c r="G187" s="39" t="n">
        <v>45.8571428571429</v>
      </c>
      <c r="H187" s="39" t="n">
        <v>26</v>
      </c>
      <c r="I187" s="39" t="n">
        <v>145.540540540541</v>
      </c>
      <c r="J187" s="39" t="n">
        <v>51.4594594594595</v>
      </c>
      <c r="K187" s="39" t="n">
        <v>337</v>
      </c>
    </row>
    <row r="188" customFormat="false" ht="15" hidden="false" customHeight="true" outlineLevel="0" collapsed="false">
      <c r="A188" s="13" t="s">
        <v>735</v>
      </c>
      <c r="B188" s="13" t="s">
        <v>198</v>
      </c>
      <c r="C188" s="13" t="s">
        <v>613</v>
      </c>
      <c r="D188" s="13" t="s">
        <v>608</v>
      </c>
      <c r="E188" s="39" t="n">
        <v>197</v>
      </c>
      <c r="F188" s="39" t="n">
        <v>91</v>
      </c>
      <c r="G188" s="39" t="n">
        <v>33.4761904761905</v>
      </c>
      <c r="H188" s="39" t="n">
        <v>15.5238095238095</v>
      </c>
      <c r="I188" s="39" t="n">
        <v>145.540540540541</v>
      </c>
      <c r="J188" s="39" t="n">
        <v>51.4594594594595</v>
      </c>
      <c r="K188" s="39" t="n">
        <v>337</v>
      </c>
    </row>
    <row r="189" customFormat="false" ht="15" hidden="false" customHeight="true" outlineLevel="0" collapsed="false">
      <c r="A189" s="13" t="s">
        <v>736</v>
      </c>
      <c r="B189" s="13" t="s">
        <v>198</v>
      </c>
      <c r="C189" s="13" t="s">
        <v>616</v>
      </c>
      <c r="D189" s="13" t="s">
        <v>606</v>
      </c>
      <c r="E189" s="39" t="n">
        <v>176</v>
      </c>
      <c r="F189" s="39" t="n">
        <v>68.1428571428571</v>
      </c>
      <c r="G189" s="39" t="n">
        <v>52.8571428571429</v>
      </c>
      <c r="H189" s="39" t="n">
        <v>26</v>
      </c>
      <c r="I189" s="39" t="n">
        <v>124.540540540541</v>
      </c>
      <c r="J189" s="39" t="n">
        <v>51.4594594594595</v>
      </c>
      <c r="K189" s="39" t="n">
        <v>323</v>
      </c>
    </row>
    <row r="190" customFormat="false" ht="15" hidden="false" customHeight="true" outlineLevel="0" collapsed="false">
      <c r="A190" s="13" t="s">
        <v>737</v>
      </c>
      <c r="B190" s="13" t="s">
        <v>198</v>
      </c>
      <c r="C190" s="13" t="s">
        <v>616</v>
      </c>
      <c r="D190" s="13" t="s">
        <v>608</v>
      </c>
      <c r="E190" s="39" t="n">
        <v>176</v>
      </c>
      <c r="F190" s="39" t="n">
        <v>91</v>
      </c>
      <c r="G190" s="39" t="n">
        <v>40.4761904761905</v>
      </c>
      <c r="H190" s="39" t="n">
        <v>15.5238095238095</v>
      </c>
      <c r="I190" s="39" t="n">
        <v>124.540540540541</v>
      </c>
      <c r="J190" s="39" t="n">
        <v>51.4594594594595</v>
      </c>
      <c r="K190" s="39" t="n">
        <v>323</v>
      </c>
    </row>
    <row r="191" customFormat="false" ht="15" hidden="false" customHeight="true" outlineLevel="0" collapsed="false">
      <c r="A191" s="13" t="s">
        <v>738</v>
      </c>
      <c r="B191" s="13" t="s">
        <v>179</v>
      </c>
      <c r="C191" s="13" t="s">
        <v>605</v>
      </c>
      <c r="D191" s="13" t="s">
        <v>606</v>
      </c>
      <c r="E191" s="39" t="n">
        <v>466.985745454546</v>
      </c>
      <c r="F191" s="39" t="n">
        <v>104.477444313861</v>
      </c>
      <c r="G191" s="39" t="n">
        <v>117.370865952299</v>
      </c>
      <c r="H191" s="39" t="n">
        <v>82.4828897338403</v>
      </c>
      <c r="I191" s="39" t="n">
        <v>357.607367076167</v>
      </c>
      <c r="J191" s="39" t="n">
        <v>109.378378378378</v>
      </c>
      <c r="K191" s="39" t="n">
        <v>771.316945454546</v>
      </c>
    </row>
    <row r="192" customFormat="false" ht="15" hidden="false" customHeight="true" outlineLevel="0" collapsed="false">
      <c r="A192" s="13" t="s">
        <v>739</v>
      </c>
      <c r="B192" s="13" t="s">
        <v>179</v>
      </c>
      <c r="C192" s="13" t="s">
        <v>605</v>
      </c>
      <c r="D192" s="13" t="s">
        <v>608</v>
      </c>
      <c r="E192" s="39" t="n">
        <v>466.985745454546</v>
      </c>
      <c r="F192" s="39" t="n">
        <v>147.329155340477</v>
      </c>
      <c r="G192" s="39" t="n">
        <v>116.439307016937</v>
      </c>
      <c r="H192" s="39" t="n">
        <v>40.5627376425856</v>
      </c>
      <c r="I192" s="39" t="n">
        <v>357.607367076167</v>
      </c>
      <c r="J192" s="39" t="n">
        <v>109.378378378378</v>
      </c>
      <c r="K192" s="39" t="n">
        <v>771.316945454546</v>
      </c>
    </row>
    <row r="193" customFormat="false" ht="15" hidden="false" customHeight="true" outlineLevel="0" collapsed="false">
      <c r="A193" s="13" t="s">
        <v>740</v>
      </c>
      <c r="B193" s="13" t="s">
        <v>179</v>
      </c>
      <c r="C193" s="13" t="s">
        <v>610</v>
      </c>
      <c r="D193" s="13" t="s">
        <v>606</v>
      </c>
      <c r="E193" s="39" t="n">
        <v>416.079671634127</v>
      </c>
      <c r="F193" s="39" t="n">
        <v>108.350732539328</v>
      </c>
      <c r="G193" s="39" t="n">
        <v>131.757365075461</v>
      </c>
      <c r="H193" s="39" t="n">
        <v>82.4828897338403</v>
      </c>
      <c r="I193" s="39" t="n">
        <v>306.701293255748</v>
      </c>
      <c r="J193" s="39" t="n">
        <v>109.378378378378</v>
      </c>
      <c r="K193" s="39" t="n">
        <v>738.670658982755</v>
      </c>
    </row>
    <row r="194" customFormat="false" ht="15" hidden="false" customHeight="true" outlineLevel="0" collapsed="false">
      <c r="A194" s="13" t="s">
        <v>741</v>
      </c>
      <c r="B194" s="13" t="s">
        <v>179</v>
      </c>
      <c r="C194" s="13" t="s">
        <v>610</v>
      </c>
      <c r="D194" s="13" t="s">
        <v>608</v>
      </c>
      <c r="E194" s="39" t="n">
        <v>416.079671634127</v>
      </c>
      <c r="F194" s="39" t="n">
        <v>151.202443565944</v>
      </c>
      <c r="G194" s="39" t="n">
        <v>130.825806140099</v>
      </c>
      <c r="H194" s="39" t="n">
        <v>40.5627376425856</v>
      </c>
      <c r="I194" s="39" t="n">
        <v>306.701293255748</v>
      </c>
      <c r="J194" s="39" t="n">
        <v>109.378378378378</v>
      </c>
      <c r="K194" s="39" t="n">
        <v>738.670658982755</v>
      </c>
    </row>
    <row r="195" customFormat="false" ht="15" hidden="false" customHeight="true" outlineLevel="0" collapsed="false">
      <c r="A195" s="13" t="s">
        <v>742</v>
      </c>
      <c r="B195" s="13" t="s">
        <v>179</v>
      </c>
      <c r="C195" s="13" t="s">
        <v>613</v>
      </c>
      <c r="D195" s="13" t="s">
        <v>606</v>
      </c>
      <c r="E195" s="39" t="n">
        <v>493</v>
      </c>
      <c r="F195" s="39" t="n">
        <v>102.498098859316</v>
      </c>
      <c r="G195" s="39" t="n">
        <v>110.019011406844</v>
      </c>
      <c r="H195" s="39" t="n">
        <v>82.4828897338403</v>
      </c>
      <c r="I195" s="39" t="n">
        <v>383.621621621622</v>
      </c>
      <c r="J195" s="39" t="n">
        <v>109.378378378378</v>
      </c>
      <c r="K195" s="39" t="n">
        <v>788</v>
      </c>
    </row>
    <row r="196" customFormat="false" ht="15" hidden="false" customHeight="true" outlineLevel="0" collapsed="false">
      <c r="A196" s="13" t="s">
        <v>743</v>
      </c>
      <c r="B196" s="13" t="s">
        <v>179</v>
      </c>
      <c r="C196" s="13" t="s">
        <v>613</v>
      </c>
      <c r="D196" s="13" t="s">
        <v>608</v>
      </c>
      <c r="E196" s="39" t="n">
        <v>493</v>
      </c>
      <c r="F196" s="39" t="n">
        <v>145.349809885932</v>
      </c>
      <c r="G196" s="39" t="n">
        <v>109.087452471483</v>
      </c>
      <c r="H196" s="39" t="n">
        <v>40.5627376425856</v>
      </c>
      <c r="I196" s="39" t="n">
        <v>383.621621621622</v>
      </c>
      <c r="J196" s="39" t="n">
        <v>109.378378378378</v>
      </c>
      <c r="K196" s="39" t="n">
        <v>788</v>
      </c>
    </row>
    <row r="197" customFormat="false" ht="15" hidden="false" customHeight="true" outlineLevel="0" collapsed="false">
      <c r="A197" s="13" t="s">
        <v>744</v>
      </c>
      <c r="B197" s="13" t="s">
        <v>179</v>
      </c>
      <c r="C197" s="13" t="s">
        <v>616</v>
      </c>
      <c r="D197" s="13" t="s">
        <v>606</v>
      </c>
      <c r="E197" s="39" t="n">
        <v>401</v>
      </c>
      <c r="F197" s="39" t="n">
        <v>109.498098859316</v>
      </c>
      <c r="G197" s="39" t="n">
        <v>136.019011406844</v>
      </c>
      <c r="H197" s="39" t="n">
        <v>82.4828897338403</v>
      </c>
      <c r="I197" s="39" t="n">
        <v>291.621621621622</v>
      </c>
      <c r="J197" s="39" t="n">
        <v>109.378378378378</v>
      </c>
      <c r="K197" s="39" t="n">
        <v>729</v>
      </c>
    </row>
    <row r="198" customFormat="false" ht="15" hidden="false" customHeight="true" outlineLevel="0" collapsed="false">
      <c r="A198" s="13" t="s">
        <v>745</v>
      </c>
      <c r="B198" s="13" t="s">
        <v>179</v>
      </c>
      <c r="C198" s="13" t="s">
        <v>616</v>
      </c>
      <c r="D198" s="13" t="s">
        <v>608</v>
      </c>
      <c r="E198" s="39" t="n">
        <v>401</v>
      </c>
      <c r="F198" s="39" t="n">
        <v>152.349809885932</v>
      </c>
      <c r="G198" s="39" t="n">
        <v>135.087452471483</v>
      </c>
      <c r="H198" s="39" t="n">
        <v>40.5627376425856</v>
      </c>
      <c r="I198" s="39" t="n">
        <v>291.621621621622</v>
      </c>
      <c r="J198" s="39" t="n">
        <v>109.378378378378</v>
      </c>
      <c r="K198" s="39" t="n">
        <v>729</v>
      </c>
    </row>
    <row r="199" customFormat="false" ht="15" hidden="false" customHeight="true" outlineLevel="0" collapsed="false">
      <c r="A199" s="13" t="s">
        <v>746</v>
      </c>
      <c r="B199" s="13" t="s">
        <v>166</v>
      </c>
      <c r="C199" s="13" t="s">
        <v>605</v>
      </c>
      <c r="D199" s="13" t="s">
        <v>606</v>
      </c>
      <c r="E199" s="39" t="n">
        <v>737.658848941177</v>
      </c>
      <c r="F199" s="39" t="n">
        <v>196.112106615595</v>
      </c>
      <c r="G199" s="39" t="n">
        <v>132.194018035568</v>
      </c>
      <c r="H199" s="39" t="n">
        <v>98.5813953488372</v>
      </c>
      <c r="I199" s="39" t="n">
        <v>651.408848941177</v>
      </c>
      <c r="J199" s="39" t="n">
        <v>86.25</v>
      </c>
      <c r="K199" s="39" t="n">
        <v>1164.54636894118</v>
      </c>
    </row>
    <row r="200" customFormat="false" ht="15" hidden="false" customHeight="true" outlineLevel="0" collapsed="false">
      <c r="A200" s="13" t="s">
        <v>747</v>
      </c>
      <c r="B200" s="13" t="s">
        <v>166</v>
      </c>
      <c r="C200" s="13" t="s">
        <v>605</v>
      </c>
      <c r="D200" s="13" t="s">
        <v>608</v>
      </c>
      <c r="E200" s="39" t="n">
        <v>737.658848941177</v>
      </c>
      <c r="F200" s="39" t="n">
        <v>233.298153127223</v>
      </c>
      <c r="G200" s="39" t="n">
        <v>119.798669198358</v>
      </c>
      <c r="H200" s="39" t="n">
        <v>73.7906976744186</v>
      </c>
      <c r="I200" s="39" t="n">
        <v>651.408848941177</v>
      </c>
      <c r="J200" s="39" t="n">
        <v>86.25</v>
      </c>
      <c r="K200" s="39" t="n">
        <v>1164.54636894118</v>
      </c>
    </row>
    <row r="201" customFormat="false" ht="15" hidden="false" customHeight="true" outlineLevel="0" collapsed="false">
      <c r="A201" s="13" t="s">
        <v>748</v>
      </c>
      <c r="B201" s="13" t="s">
        <v>166</v>
      </c>
      <c r="C201" s="13" t="s">
        <v>610</v>
      </c>
      <c r="D201" s="13" t="s">
        <v>606</v>
      </c>
      <c r="E201" s="39" t="n">
        <v>735.128211944042</v>
      </c>
      <c r="F201" s="39" t="n">
        <v>196.737031644227</v>
      </c>
      <c r="G201" s="39" t="n">
        <v>132.620947015524</v>
      </c>
      <c r="H201" s="39" t="n">
        <v>98.5813953488372</v>
      </c>
      <c r="I201" s="39" t="n">
        <v>648.878211944042</v>
      </c>
      <c r="J201" s="39" t="n">
        <v>86.25</v>
      </c>
      <c r="K201" s="39" t="n">
        <v>1163.06758595263</v>
      </c>
    </row>
    <row r="202" customFormat="false" ht="15" hidden="false" customHeight="true" outlineLevel="0" collapsed="false">
      <c r="A202" s="13" t="s">
        <v>749</v>
      </c>
      <c r="B202" s="13" t="s">
        <v>166</v>
      </c>
      <c r="C202" s="13" t="s">
        <v>610</v>
      </c>
      <c r="D202" s="13" t="s">
        <v>608</v>
      </c>
      <c r="E202" s="39" t="n">
        <v>735.128211944042</v>
      </c>
      <c r="F202" s="39" t="n">
        <v>233.923078155855</v>
      </c>
      <c r="G202" s="39" t="n">
        <v>120.225598178315</v>
      </c>
      <c r="H202" s="39" t="n">
        <v>73.7906976744186</v>
      </c>
      <c r="I202" s="39" t="n">
        <v>648.878211944042</v>
      </c>
      <c r="J202" s="39" t="n">
        <v>86.25</v>
      </c>
      <c r="K202" s="39" t="n">
        <v>1163.06758595263</v>
      </c>
    </row>
    <row r="203" customFormat="false" ht="15" hidden="false" customHeight="true" outlineLevel="0" collapsed="false">
      <c r="A203" s="13" t="s">
        <v>750</v>
      </c>
      <c r="B203" s="13" t="s">
        <v>166</v>
      </c>
      <c r="C203" s="13" t="s">
        <v>613</v>
      </c>
      <c r="D203" s="13" t="s">
        <v>606</v>
      </c>
      <c r="E203" s="39" t="n">
        <v>824</v>
      </c>
      <c r="F203" s="39" t="n">
        <v>174.790697674419</v>
      </c>
      <c r="G203" s="39" t="n">
        <v>117.627906976744</v>
      </c>
      <c r="H203" s="39" t="n">
        <v>98.5813953488372</v>
      </c>
      <c r="I203" s="39" t="n">
        <v>737.75</v>
      </c>
      <c r="J203" s="39" t="n">
        <v>86.25</v>
      </c>
      <c r="K203" s="39" t="n">
        <v>1215</v>
      </c>
    </row>
    <row r="204" customFormat="false" ht="15" hidden="false" customHeight="true" outlineLevel="0" collapsed="false">
      <c r="A204" s="13" t="s">
        <v>751</v>
      </c>
      <c r="B204" s="13" t="s">
        <v>166</v>
      </c>
      <c r="C204" s="13" t="s">
        <v>613</v>
      </c>
      <c r="D204" s="13" t="s">
        <v>608</v>
      </c>
      <c r="E204" s="39" t="n">
        <v>824</v>
      </c>
      <c r="F204" s="39" t="n">
        <v>211.976744186047</v>
      </c>
      <c r="G204" s="39" t="n">
        <v>105.232558139535</v>
      </c>
      <c r="H204" s="39" t="n">
        <v>73.7906976744186</v>
      </c>
      <c r="I204" s="39" t="n">
        <v>737.75</v>
      </c>
      <c r="J204" s="39" t="n">
        <v>86.25</v>
      </c>
      <c r="K204" s="39" t="n">
        <v>1215</v>
      </c>
    </row>
    <row r="205" customFormat="false" ht="15" hidden="false" customHeight="true" outlineLevel="0" collapsed="false">
      <c r="A205" s="13" t="s">
        <v>752</v>
      </c>
      <c r="B205" s="13" t="s">
        <v>166</v>
      </c>
      <c r="C205" s="13" t="s">
        <v>616</v>
      </c>
      <c r="D205" s="13" t="s">
        <v>606</v>
      </c>
      <c r="E205" s="39" t="n">
        <v>415</v>
      </c>
      <c r="F205" s="39" t="n">
        <v>275.790697674419</v>
      </c>
      <c r="G205" s="39" t="n">
        <v>186.627906976744</v>
      </c>
      <c r="H205" s="39" t="n">
        <v>98.5813953488372</v>
      </c>
      <c r="I205" s="39" t="n">
        <v>328.75</v>
      </c>
      <c r="J205" s="39" t="n">
        <v>86.25</v>
      </c>
      <c r="K205" s="39" t="n">
        <v>976</v>
      </c>
    </row>
    <row r="206" customFormat="false" ht="15" hidden="false" customHeight="true" outlineLevel="0" collapsed="false">
      <c r="A206" s="13" t="s">
        <v>753</v>
      </c>
      <c r="B206" s="13" t="s">
        <v>166</v>
      </c>
      <c r="C206" s="13" t="s">
        <v>616</v>
      </c>
      <c r="D206" s="13" t="s">
        <v>608</v>
      </c>
      <c r="E206" s="39" t="n">
        <v>415</v>
      </c>
      <c r="F206" s="39" t="n">
        <v>312.976744186047</v>
      </c>
      <c r="G206" s="39" t="n">
        <v>174.232558139535</v>
      </c>
      <c r="H206" s="39" t="n">
        <v>73.7906976744186</v>
      </c>
      <c r="I206" s="39" t="n">
        <v>328.75</v>
      </c>
      <c r="J206" s="39" t="n">
        <v>86.25</v>
      </c>
      <c r="K206" s="39" t="n">
        <v>976</v>
      </c>
    </row>
    <row r="207" customFormat="false" ht="15" hidden="false" customHeight="true" outlineLevel="0" collapsed="false">
      <c r="A207" s="13" t="s">
        <v>754</v>
      </c>
      <c r="B207" s="13" t="s">
        <v>200</v>
      </c>
      <c r="C207" s="13" t="s">
        <v>605</v>
      </c>
      <c r="D207" s="13" t="s">
        <v>606</v>
      </c>
      <c r="E207" s="39" t="n">
        <v>199.70926</v>
      </c>
      <c r="F207" s="39" t="n">
        <v>104.97177112628</v>
      </c>
      <c r="G207" s="39" t="n">
        <v>123.970112559727</v>
      </c>
      <c r="H207" s="39" t="n">
        <v>82.4095563139932</v>
      </c>
      <c r="I207" s="39" t="n">
        <v>167.074124864865</v>
      </c>
      <c r="J207" s="39" t="n">
        <v>32.6351351351351</v>
      </c>
      <c r="K207" s="39" t="n">
        <v>511.0607</v>
      </c>
    </row>
    <row r="208" customFormat="false" ht="15" hidden="false" customHeight="true" outlineLevel="0" collapsed="false">
      <c r="A208" s="13" t="s">
        <v>755</v>
      </c>
      <c r="B208" s="13" t="s">
        <v>200</v>
      </c>
      <c r="C208" s="13" t="s">
        <v>605</v>
      </c>
      <c r="D208" s="13" t="s">
        <v>608</v>
      </c>
      <c r="E208" s="39" t="n">
        <v>199.70926</v>
      </c>
      <c r="F208" s="39" t="n">
        <v>183.893272832765</v>
      </c>
      <c r="G208" s="39" t="n">
        <v>92.2090204095563</v>
      </c>
      <c r="H208" s="39" t="n">
        <v>35.2491467576792</v>
      </c>
      <c r="I208" s="39" t="n">
        <v>167.074124864865</v>
      </c>
      <c r="J208" s="39" t="n">
        <v>32.6351351351351</v>
      </c>
      <c r="K208" s="39" t="n">
        <v>511.0607</v>
      </c>
    </row>
    <row r="209" customFormat="false" ht="15" hidden="false" customHeight="true" outlineLevel="0" collapsed="false">
      <c r="A209" s="13" t="s">
        <v>756</v>
      </c>
      <c r="B209" s="13" t="s">
        <v>200</v>
      </c>
      <c r="C209" s="13" t="s">
        <v>610</v>
      </c>
      <c r="D209" s="13" t="s">
        <v>606</v>
      </c>
      <c r="E209" s="39" t="n">
        <v>169</v>
      </c>
      <c r="F209" s="39" t="n">
        <v>115.20819112628</v>
      </c>
      <c r="G209" s="39" t="n">
        <v>127.382252559727</v>
      </c>
      <c r="H209" s="39" t="n">
        <v>82.4095563139932</v>
      </c>
      <c r="I209" s="39" t="n">
        <v>136.364864864865</v>
      </c>
      <c r="J209" s="39" t="n">
        <v>32.6351351351351</v>
      </c>
      <c r="K209" s="39" t="n">
        <v>494</v>
      </c>
    </row>
    <row r="210" customFormat="false" ht="15" hidden="false" customHeight="true" outlineLevel="0" collapsed="false">
      <c r="A210" s="13" t="s">
        <v>757</v>
      </c>
      <c r="B210" s="13" t="s">
        <v>200</v>
      </c>
      <c r="C210" s="13" t="s">
        <v>610</v>
      </c>
      <c r="D210" s="13" t="s">
        <v>608</v>
      </c>
      <c r="E210" s="39" t="n">
        <v>169</v>
      </c>
      <c r="F210" s="39" t="n">
        <v>194.129692832765</v>
      </c>
      <c r="G210" s="39" t="n">
        <v>95.6211604095563</v>
      </c>
      <c r="H210" s="39" t="n">
        <v>35.2491467576792</v>
      </c>
      <c r="I210" s="39" t="n">
        <v>136.364864864865</v>
      </c>
      <c r="J210" s="39" t="n">
        <v>32.6351351351351</v>
      </c>
      <c r="K210" s="39" t="n">
        <v>494</v>
      </c>
    </row>
    <row r="211" customFormat="false" ht="15" hidden="false" customHeight="true" outlineLevel="0" collapsed="false">
      <c r="A211" s="13" t="s">
        <v>758</v>
      </c>
      <c r="B211" s="13" t="s">
        <v>200</v>
      </c>
      <c r="C211" s="13" t="s">
        <v>613</v>
      </c>
      <c r="D211" s="13" t="s">
        <v>606</v>
      </c>
      <c r="E211" s="39" t="n">
        <v>205</v>
      </c>
      <c r="F211" s="39" t="n">
        <v>103.20819112628</v>
      </c>
      <c r="G211" s="39" t="n">
        <v>123.382252559727</v>
      </c>
      <c r="H211" s="39" t="n">
        <v>82.4095563139932</v>
      </c>
      <c r="I211" s="39" t="n">
        <v>172.364864864865</v>
      </c>
      <c r="J211" s="39" t="n">
        <v>32.6351351351351</v>
      </c>
      <c r="K211" s="39" t="n">
        <v>514</v>
      </c>
    </row>
    <row r="212" customFormat="false" ht="15" hidden="false" customHeight="true" outlineLevel="0" collapsed="false">
      <c r="A212" s="13" t="s">
        <v>759</v>
      </c>
      <c r="B212" s="13" t="s">
        <v>200</v>
      </c>
      <c r="C212" s="13" t="s">
        <v>613</v>
      </c>
      <c r="D212" s="13" t="s">
        <v>608</v>
      </c>
      <c r="E212" s="39" t="n">
        <v>205</v>
      </c>
      <c r="F212" s="39" t="n">
        <v>182.129692832765</v>
      </c>
      <c r="G212" s="39" t="n">
        <v>91.6211604095563</v>
      </c>
      <c r="H212" s="39" t="n">
        <v>35.2491467576792</v>
      </c>
      <c r="I212" s="39" t="n">
        <v>172.364864864865</v>
      </c>
      <c r="J212" s="39" t="n">
        <v>32.6351351351351</v>
      </c>
      <c r="K212" s="39" t="n">
        <v>514</v>
      </c>
    </row>
    <row r="213" customFormat="false" ht="15" hidden="false" customHeight="true" outlineLevel="0" collapsed="false">
      <c r="A213" s="13" t="s">
        <v>760</v>
      </c>
      <c r="B213" s="13" t="s">
        <v>200</v>
      </c>
      <c r="C213" s="13" t="s">
        <v>616</v>
      </c>
      <c r="D213" s="13" t="s">
        <v>606</v>
      </c>
      <c r="E213" s="39" t="n">
        <v>169</v>
      </c>
      <c r="F213" s="39" t="n">
        <v>115.20819112628</v>
      </c>
      <c r="G213" s="39" t="n">
        <v>127.382252559727</v>
      </c>
      <c r="H213" s="39" t="n">
        <v>82.4095563139932</v>
      </c>
      <c r="I213" s="39" t="n">
        <v>136.364864864865</v>
      </c>
      <c r="J213" s="39" t="n">
        <v>32.6351351351351</v>
      </c>
      <c r="K213" s="39" t="n">
        <v>494</v>
      </c>
    </row>
    <row r="214" customFormat="false" ht="15" hidden="false" customHeight="true" outlineLevel="0" collapsed="false">
      <c r="A214" s="13" t="s">
        <v>761</v>
      </c>
      <c r="B214" s="13" t="s">
        <v>200</v>
      </c>
      <c r="C214" s="13" t="s">
        <v>616</v>
      </c>
      <c r="D214" s="13" t="s">
        <v>608</v>
      </c>
      <c r="E214" s="39" t="n">
        <v>169</v>
      </c>
      <c r="F214" s="39" t="n">
        <v>194.129692832765</v>
      </c>
      <c r="G214" s="39" t="n">
        <v>95.6211604095563</v>
      </c>
      <c r="H214" s="39" t="n">
        <v>35.2491467576792</v>
      </c>
      <c r="I214" s="39" t="n">
        <v>136.364864864865</v>
      </c>
      <c r="J214" s="39" t="n">
        <v>32.6351351351351</v>
      </c>
      <c r="K214" s="39" t="n">
        <v>494</v>
      </c>
    </row>
    <row r="215" customFormat="false" ht="15" hidden="false" customHeight="true" outlineLevel="0" collapsed="false">
      <c r="A215" s="13" t="s">
        <v>762</v>
      </c>
      <c r="B215" s="13" t="s">
        <v>181</v>
      </c>
      <c r="C215" s="13" t="s">
        <v>605</v>
      </c>
      <c r="D215" s="13" t="s">
        <v>606</v>
      </c>
      <c r="E215" s="39" t="n">
        <v>1262.22174869565</v>
      </c>
      <c r="F215" s="39" t="n">
        <v>568.672373484385</v>
      </c>
      <c r="G215" s="39" t="n">
        <v>515.443405983534</v>
      </c>
      <c r="H215" s="39" t="n">
        <v>352.841940532081</v>
      </c>
      <c r="I215" s="39" t="n">
        <v>974.907295570652</v>
      </c>
      <c r="J215" s="39" t="n">
        <v>287.314453125</v>
      </c>
      <c r="K215" s="39" t="n">
        <v>2699.17946869565</v>
      </c>
    </row>
    <row r="216" customFormat="false" ht="15" hidden="false" customHeight="true" outlineLevel="0" collapsed="false">
      <c r="A216" s="13" t="s">
        <v>763</v>
      </c>
      <c r="B216" s="13" t="s">
        <v>181</v>
      </c>
      <c r="C216" s="13" t="s">
        <v>605</v>
      </c>
      <c r="D216" s="13" t="s">
        <v>608</v>
      </c>
      <c r="E216" s="39" t="n">
        <v>1262.22174869565</v>
      </c>
      <c r="F216" s="39" t="n">
        <v>793.855472075934</v>
      </c>
      <c r="G216" s="39" t="n">
        <v>463.615549958495</v>
      </c>
      <c r="H216" s="39" t="n">
        <v>179.486697965571</v>
      </c>
      <c r="I216" s="39" t="n">
        <v>974.907295570652</v>
      </c>
      <c r="J216" s="39" t="n">
        <v>287.314453125</v>
      </c>
      <c r="K216" s="39" t="n">
        <v>2699.17946869565</v>
      </c>
    </row>
    <row r="217" customFormat="false" ht="15" hidden="false" customHeight="true" outlineLevel="0" collapsed="false">
      <c r="A217" s="13" t="s">
        <v>764</v>
      </c>
      <c r="B217" s="13" t="s">
        <v>181</v>
      </c>
      <c r="C217" s="13" t="s">
        <v>610</v>
      </c>
      <c r="D217" s="13" t="s">
        <v>606</v>
      </c>
      <c r="E217" s="39" t="n">
        <v>1222</v>
      </c>
      <c r="F217" s="39" t="n">
        <v>573.577464788732</v>
      </c>
      <c r="G217" s="39" t="n">
        <v>525.580594679186</v>
      </c>
      <c r="H217" s="39" t="n">
        <v>352.841940532081</v>
      </c>
      <c r="I217" s="39" t="n">
        <v>934.685546875</v>
      </c>
      <c r="J217" s="39" t="n">
        <v>287.314453125</v>
      </c>
      <c r="K217" s="39" t="n">
        <v>2674</v>
      </c>
    </row>
    <row r="218" customFormat="false" ht="15" hidden="false" customHeight="true" outlineLevel="0" collapsed="false">
      <c r="A218" s="13" t="s">
        <v>765</v>
      </c>
      <c r="B218" s="13" t="s">
        <v>181</v>
      </c>
      <c r="C218" s="13" t="s">
        <v>610</v>
      </c>
      <c r="D218" s="13" t="s">
        <v>608</v>
      </c>
      <c r="E218" s="39" t="n">
        <v>1222</v>
      </c>
      <c r="F218" s="39" t="n">
        <v>798.760563380282</v>
      </c>
      <c r="G218" s="39" t="n">
        <v>473.752738654147</v>
      </c>
      <c r="H218" s="39" t="n">
        <v>179.486697965571</v>
      </c>
      <c r="I218" s="39" t="n">
        <v>934.685546875</v>
      </c>
      <c r="J218" s="39" t="n">
        <v>287.314453125</v>
      </c>
      <c r="K218" s="39" t="n">
        <v>2674</v>
      </c>
    </row>
    <row r="219" customFormat="false" ht="15" hidden="false" customHeight="true" outlineLevel="0" collapsed="false">
      <c r="A219" s="13" t="s">
        <v>766</v>
      </c>
      <c r="B219" s="13" t="s">
        <v>181</v>
      </c>
      <c r="C219" s="13" t="s">
        <v>613</v>
      </c>
      <c r="D219" s="13" t="s">
        <v>606</v>
      </c>
      <c r="E219" s="39" t="n">
        <v>1468</v>
      </c>
      <c r="F219" s="39" t="n">
        <v>543.577464788732</v>
      </c>
      <c r="G219" s="39" t="n">
        <v>463.580594679186</v>
      </c>
      <c r="H219" s="39" t="n">
        <v>352.841940532081</v>
      </c>
      <c r="I219" s="39" t="n">
        <v>1180.685546875</v>
      </c>
      <c r="J219" s="39" t="n">
        <v>287.314453125</v>
      </c>
      <c r="K219" s="39" t="n">
        <v>2828</v>
      </c>
    </row>
    <row r="220" customFormat="false" ht="15" hidden="false" customHeight="true" outlineLevel="0" collapsed="false">
      <c r="A220" s="13" t="s">
        <v>767</v>
      </c>
      <c r="B220" s="13" t="s">
        <v>181</v>
      </c>
      <c r="C220" s="13" t="s">
        <v>613</v>
      </c>
      <c r="D220" s="13" t="s">
        <v>608</v>
      </c>
      <c r="E220" s="39" t="n">
        <v>1468</v>
      </c>
      <c r="F220" s="39" t="n">
        <v>768.760563380282</v>
      </c>
      <c r="G220" s="39" t="n">
        <v>411.752738654147</v>
      </c>
      <c r="H220" s="39" t="n">
        <v>179.486697965571</v>
      </c>
      <c r="I220" s="39" t="n">
        <v>1180.685546875</v>
      </c>
      <c r="J220" s="39" t="n">
        <v>287.314453125</v>
      </c>
      <c r="K220" s="39" t="n">
        <v>2828</v>
      </c>
    </row>
    <row r="221" customFormat="false" ht="15" hidden="false" customHeight="true" outlineLevel="0" collapsed="false">
      <c r="A221" s="13" t="s">
        <v>768</v>
      </c>
      <c r="B221" s="13" t="s">
        <v>181</v>
      </c>
      <c r="C221" s="13" t="s">
        <v>616</v>
      </c>
      <c r="D221" s="13" t="s">
        <v>606</v>
      </c>
      <c r="E221" s="39" t="n">
        <v>1222</v>
      </c>
      <c r="F221" s="39" t="n">
        <v>573.577464788732</v>
      </c>
      <c r="G221" s="39" t="n">
        <v>525.580594679186</v>
      </c>
      <c r="H221" s="39" t="n">
        <v>352.841940532081</v>
      </c>
      <c r="I221" s="39" t="n">
        <v>934.685546875</v>
      </c>
      <c r="J221" s="39" t="n">
        <v>287.314453125</v>
      </c>
      <c r="K221" s="39" t="n">
        <v>2674</v>
      </c>
    </row>
    <row r="222" customFormat="false" ht="15" hidden="false" customHeight="true" outlineLevel="0" collapsed="false">
      <c r="A222" s="13" t="s">
        <v>769</v>
      </c>
      <c r="B222" s="13" t="s">
        <v>181</v>
      </c>
      <c r="C222" s="13" t="s">
        <v>616</v>
      </c>
      <c r="D222" s="13" t="s">
        <v>608</v>
      </c>
      <c r="E222" s="39" t="n">
        <v>1222</v>
      </c>
      <c r="F222" s="39" t="n">
        <v>798.760563380282</v>
      </c>
      <c r="G222" s="39" t="n">
        <v>473.752738654147</v>
      </c>
      <c r="H222" s="39" t="n">
        <v>179.486697965571</v>
      </c>
      <c r="I222" s="39" t="n">
        <v>934.685546875</v>
      </c>
      <c r="J222" s="39" t="n">
        <v>287.314453125</v>
      </c>
      <c r="K222" s="39" t="n">
        <v>2674</v>
      </c>
    </row>
    <row r="223" customFormat="false" ht="15" hidden="false" customHeight="true" outlineLevel="0" collapsed="false">
      <c r="A223" s="13" t="s">
        <v>770</v>
      </c>
      <c r="B223" s="13" t="s">
        <v>202</v>
      </c>
      <c r="C223" s="13" t="s">
        <v>605</v>
      </c>
      <c r="D223" s="13" t="s">
        <v>606</v>
      </c>
      <c r="E223" s="39" t="n">
        <v>148.167382</v>
      </c>
      <c r="F223" s="39" t="n">
        <v>68.3784447272727</v>
      </c>
      <c r="G223" s="39" t="n">
        <v>57.0858489090909</v>
      </c>
      <c r="H223" s="39" t="n">
        <v>47.1636363636364</v>
      </c>
      <c r="I223" s="39" t="n">
        <v>101.948632</v>
      </c>
      <c r="J223" s="39" t="n">
        <v>46.21875</v>
      </c>
      <c r="K223" s="39" t="n">
        <v>320.795312</v>
      </c>
    </row>
    <row r="224" customFormat="false" ht="15" hidden="false" customHeight="true" outlineLevel="0" collapsed="false">
      <c r="A224" s="13" t="s">
        <v>771</v>
      </c>
      <c r="B224" s="13" t="s">
        <v>202</v>
      </c>
      <c r="C224" s="13" t="s">
        <v>605</v>
      </c>
      <c r="D224" s="13" t="s">
        <v>608</v>
      </c>
      <c r="E224" s="39" t="n">
        <v>148.167382</v>
      </c>
      <c r="F224" s="39" t="n">
        <v>89.3238992727273</v>
      </c>
      <c r="G224" s="39" t="n">
        <v>58.8313034545455</v>
      </c>
      <c r="H224" s="39" t="n">
        <v>24.4727272727273</v>
      </c>
      <c r="I224" s="39" t="n">
        <v>101.948632</v>
      </c>
      <c r="J224" s="39" t="n">
        <v>46.21875</v>
      </c>
      <c r="K224" s="39" t="n">
        <v>320.795312</v>
      </c>
    </row>
    <row r="225" customFormat="false" ht="15" hidden="false" customHeight="true" outlineLevel="0" collapsed="false">
      <c r="A225" s="13" t="s">
        <v>772</v>
      </c>
      <c r="B225" s="13" t="s">
        <v>202</v>
      </c>
      <c r="C225" s="13" t="s">
        <v>610</v>
      </c>
      <c r="D225" s="13" t="s">
        <v>606</v>
      </c>
      <c r="E225" s="39" t="n">
        <v>142</v>
      </c>
      <c r="F225" s="39" t="n">
        <v>69.3272727272727</v>
      </c>
      <c r="G225" s="39" t="n">
        <v>58.5090909090909</v>
      </c>
      <c r="H225" s="39" t="n">
        <v>47.1636363636364</v>
      </c>
      <c r="I225" s="39" t="n">
        <v>95.78125</v>
      </c>
      <c r="J225" s="39" t="n">
        <v>46.21875</v>
      </c>
      <c r="K225" s="39" t="n">
        <v>317</v>
      </c>
    </row>
    <row r="226" customFormat="false" ht="15" hidden="false" customHeight="true" outlineLevel="0" collapsed="false">
      <c r="A226" s="13" t="s">
        <v>773</v>
      </c>
      <c r="B226" s="13" t="s">
        <v>202</v>
      </c>
      <c r="C226" s="13" t="s">
        <v>610</v>
      </c>
      <c r="D226" s="13" t="s">
        <v>608</v>
      </c>
      <c r="E226" s="39" t="n">
        <v>142</v>
      </c>
      <c r="F226" s="39" t="n">
        <v>90.2727272727273</v>
      </c>
      <c r="G226" s="39" t="n">
        <v>60.2545454545455</v>
      </c>
      <c r="H226" s="39" t="n">
        <v>24.4727272727273</v>
      </c>
      <c r="I226" s="39" t="n">
        <v>95.78125</v>
      </c>
      <c r="J226" s="39" t="n">
        <v>46.21875</v>
      </c>
      <c r="K226" s="39" t="n">
        <v>317</v>
      </c>
    </row>
    <row r="227" customFormat="false" ht="15" hidden="false" customHeight="true" outlineLevel="0" collapsed="false">
      <c r="A227" s="13" t="s">
        <v>774</v>
      </c>
      <c r="B227" s="13" t="s">
        <v>202</v>
      </c>
      <c r="C227" s="13" t="s">
        <v>613</v>
      </c>
      <c r="D227" s="13" t="s">
        <v>606</v>
      </c>
      <c r="E227" s="39" t="n">
        <v>155</v>
      </c>
      <c r="F227" s="39" t="n">
        <v>67.3272727272727</v>
      </c>
      <c r="G227" s="39" t="n">
        <v>55.5090909090909</v>
      </c>
      <c r="H227" s="39" t="n">
        <v>47.1636363636364</v>
      </c>
      <c r="I227" s="39" t="n">
        <v>108.78125</v>
      </c>
      <c r="J227" s="39" t="n">
        <v>46.21875</v>
      </c>
      <c r="K227" s="39" t="n">
        <v>325</v>
      </c>
    </row>
    <row r="228" customFormat="false" ht="15" hidden="false" customHeight="true" outlineLevel="0" collapsed="false">
      <c r="A228" s="13" t="s">
        <v>775</v>
      </c>
      <c r="B228" s="13" t="s">
        <v>202</v>
      </c>
      <c r="C228" s="13" t="s">
        <v>613</v>
      </c>
      <c r="D228" s="13" t="s">
        <v>608</v>
      </c>
      <c r="E228" s="39" t="n">
        <v>155</v>
      </c>
      <c r="F228" s="39" t="n">
        <v>88.2727272727273</v>
      </c>
      <c r="G228" s="39" t="n">
        <v>57.2545454545455</v>
      </c>
      <c r="H228" s="39" t="n">
        <v>24.4727272727273</v>
      </c>
      <c r="I228" s="39" t="n">
        <v>108.78125</v>
      </c>
      <c r="J228" s="39" t="n">
        <v>46.21875</v>
      </c>
      <c r="K228" s="39" t="n">
        <v>325</v>
      </c>
    </row>
    <row r="229" customFormat="false" ht="15" hidden="false" customHeight="true" outlineLevel="0" collapsed="false">
      <c r="A229" s="13" t="s">
        <v>776</v>
      </c>
      <c r="B229" s="13" t="s">
        <v>202</v>
      </c>
      <c r="C229" s="13" t="s">
        <v>616</v>
      </c>
      <c r="D229" s="13" t="s">
        <v>606</v>
      </c>
      <c r="E229" s="39" t="n">
        <v>142</v>
      </c>
      <c r="F229" s="39" t="n">
        <v>69.3272727272727</v>
      </c>
      <c r="G229" s="39" t="n">
        <v>58.5090909090909</v>
      </c>
      <c r="H229" s="39" t="n">
        <v>47.1636363636364</v>
      </c>
      <c r="I229" s="39" t="n">
        <v>95.78125</v>
      </c>
      <c r="J229" s="39" t="n">
        <v>46.21875</v>
      </c>
      <c r="K229" s="39" t="n">
        <v>317</v>
      </c>
    </row>
    <row r="230" customFormat="false" ht="15" hidden="false" customHeight="true" outlineLevel="0" collapsed="false">
      <c r="A230" s="13" t="s">
        <v>777</v>
      </c>
      <c r="B230" s="13" t="s">
        <v>202</v>
      </c>
      <c r="C230" s="13" t="s">
        <v>616</v>
      </c>
      <c r="D230" s="13" t="s">
        <v>608</v>
      </c>
      <c r="E230" s="39" t="n">
        <v>142</v>
      </c>
      <c r="F230" s="39" t="n">
        <v>90.2727272727273</v>
      </c>
      <c r="G230" s="39" t="n">
        <v>60.2545454545455</v>
      </c>
      <c r="H230" s="39" t="n">
        <v>24.4727272727273</v>
      </c>
      <c r="I230" s="39" t="n">
        <v>95.78125</v>
      </c>
      <c r="J230" s="39" t="n">
        <v>46.21875</v>
      </c>
      <c r="K230" s="39" t="n">
        <v>317</v>
      </c>
    </row>
    <row r="231" customFormat="false" ht="15" hidden="false" customHeight="true" outlineLevel="0" collapsed="false">
      <c r="A231" s="13" t="s">
        <v>778</v>
      </c>
      <c r="B231" s="13" t="s">
        <v>183</v>
      </c>
      <c r="C231" s="13" t="s">
        <v>605</v>
      </c>
      <c r="D231" s="13" t="s">
        <v>606</v>
      </c>
      <c r="E231" s="39" t="n">
        <v>299.149526428571</v>
      </c>
      <c r="F231" s="39" t="n">
        <v>90.4230334126984</v>
      </c>
      <c r="G231" s="39" t="n">
        <v>70.8321567460317</v>
      </c>
      <c r="H231" s="39" t="n">
        <v>62.8412698412698</v>
      </c>
      <c r="I231" s="39" t="n">
        <v>233.020494170507</v>
      </c>
      <c r="J231" s="39" t="n">
        <v>66.1290322580645</v>
      </c>
      <c r="K231" s="39" t="n">
        <v>523.245986428571</v>
      </c>
    </row>
    <row r="232" customFormat="false" ht="15" hidden="false" customHeight="true" outlineLevel="0" collapsed="false">
      <c r="A232" s="13" t="s">
        <v>779</v>
      </c>
      <c r="B232" s="13" t="s">
        <v>183</v>
      </c>
      <c r="C232" s="13" t="s">
        <v>605</v>
      </c>
      <c r="D232" s="13" t="s">
        <v>608</v>
      </c>
      <c r="E232" s="39" t="n">
        <v>299.149526428571</v>
      </c>
      <c r="F232" s="39" t="n">
        <v>111.057954047619</v>
      </c>
      <c r="G232" s="39" t="n">
        <v>70.0067599206349</v>
      </c>
      <c r="H232" s="39" t="n">
        <v>43.031746031746</v>
      </c>
      <c r="I232" s="39" t="n">
        <v>233.020494170507</v>
      </c>
      <c r="J232" s="39" t="n">
        <v>66.1290322580645</v>
      </c>
      <c r="K232" s="39" t="n">
        <v>523.245986428571</v>
      </c>
    </row>
    <row r="233" customFormat="false" ht="15" hidden="false" customHeight="true" outlineLevel="0" collapsed="false">
      <c r="A233" s="13" t="s">
        <v>780</v>
      </c>
      <c r="B233" s="13" t="s">
        <v>183</v>
      </c>
      <c r="C233" s="13" t="s">
        <v>610</v>
      </c>
      <c r="D233" s="13" t="s">
        <v>606</v>
      </c>
      <c r="E233" s="39" t="n">
        <v>258.664714473633</v>
      </c>
      <c r="F233" s="39" t="n">
        <v>91.9224708925109</v>
      </c>
      <c r="G233" s="39" t="n">
        <v>83.3274690778028</v>
      </c>
      <c r="H233" s="39" t="n">
        <v>62.8412698412698</v>
      </c>
      <c r="I233" s="39" t="n">
        <v>192.535682215569</v>
      </c>
      <c r="J233" s="39" t="n">
        <v>66.1290322580645</v>
      </c>
      <c r="K233" s="39" t="n">
        <v>496.755924285217</v>
      </c>
    </row>
    <row r="234" customFormat="false" ht="15" hidden="false" customHeight="true" outlineLevel="0" collapsed="false">
      <c r="A234" s="13" t="s">
        <v>781</v>
      </c>
      <c r="B234" s="13" t="s">
        <v>183</v>
      </c>
      <c r="C234" s="13" t="s">
        <v>610</v>
      </c>
      <c r="D234" s="13" t="s">
        <v>608</v>
      </c>
      <c r="E234" s="39" t="n">
        <v>258.664714473633</v>
      </c>
      <c r="F234" s="39" t="n">
        <v>112.557391527432</v>
      </c>
      <c r="G234" s="39" t="n">
        <v>82.502072252406</v>
      </c>
      <c r="H234" s="39" t="n">
        <v>43.031746031746</v>
      </c>
      <c r="I234" s="39" t="n">
        <v>192.535682215569</v>
      </c>
      <c r="J234" s="39" t="n">
        <v>66.1290322580645</v>
      </c>
      <c r="K234" s="39" t="n">
        <v>496.755924285217</v>
      </c>
    </row>
    <row r="235" customFormat="false" ht="15" hidden="false" customHeight="true" outlineLevel="0" collapsed="false">
      <c r="A235" s="13" t="s">
        <v>782</v>
      </c>
      <c r="B235" s="13" t="s">
        <v>183</v>
      </c>
      <c r="C235" s="13" t="s">
        <v>613</v>
      </c>
      <c r="D235" s="13" t="s">
        <v>606</v>
      </c>
      <c r="E235" s="39" t="n">
        <v>311</v>
      </c>
      <c r="F235" s="39" t="n">
        <v>89.984126984127</v>
      </c>
      <c r="G235" s="39" t="n">
        <v>67.1746031746032</v>
      </c>
      <c r="H235" s="39" t="n">
        <v>62.8412698412698</v>
      </c>
      <c r="I235" s="39" t="n">
        <v>244.870967741936</v>
      </c>
      <c r="J235" s="39" t="n">
        <v>66.1290322580645</v>
      </c>
      <c r="K235" s="39" t="n">
        <v>531</v>
      </c>
    </row>
    <row r="236" customFormat="false" ht="15" hidden="false" customHeight="true" outlineLevel="0" collapsed="false">
      <c r="A236" s="13" t="s">
        <v>783</v>
      </c>
      <c r="B236" s="13" t="s">
        <v>183</v>
      </c>
      <c r="C236" s="13" t="s">
        <v>613</v>
      </c>
      <c r="D236" s="13" t="s">
        <v>608</v>
      </c>
      <c r="E236" s="39" t="n">
        <v>311</v>
      </c>
      <c r="F236" s="39" t="n">
        <v>110.619047619048</v>
      </c>
      <c r="G236" s="39" t="n">
        <v>66.3492063492064</v>
      </c>
      <c r="H236" s="39" t="n">
        <v>43.031746031746</v>
      </c>
      <c r="I236" s="39" t="n">
        <v>244.870967741936</v>
      </c>
      <c r="J236" s="39" t="n">
        <v>66.1290322580645</v>
      </c>
      <c r="K236" s="39" t="n">
        <v>531</v>
      </c>
    </row>
    <row r="237" customFormat="false" ht="15" hidden="false" customHeight="true" outlineLevel="0" collapsed="false">
      <c r="A237" s="13" t="s">
        <v>784</v>
      </c>
      <c r="B237" s="13" t="s">
        <v>183</v>
      </c>
      <c r="C237" s="13" t="s">
        <v>616</v>
      </c>
      <c r="D237" s="13" t="s">
        <v>606</v>
      </c>
      <c r="E237" s="39" t="n">
        <v>230</v>
      </c>
      <c r="F237" s="39" t="n">
        <v>92.984126984127</v>
      </c>
      <c r="G237" s="39" t="n">
        <v>92.1746031746032</v>
      </c>
      <c r="H237" s="39" t="n">
        <v>62.8412698412698</v>
      </c>
      <c r="I237" s="39" t="n">
        <v>163.870967741936</v>
      </c>
      <c r="J237" s="39" t="n">
        <v>66.1290322580645</v>
      </c>
      <c r="K237" s="39" t="n">
        <v>478</v>
      </c>
    </row>
    <row r="238" customFormat="false" ht="15" hidden="false" customHeight="true" outlineLevel="0" collapsed="false">
      <c r="A238" s="13" t="s">
        <v>785</v>
      </c>
      <c r="B238" s="13" t="s">
        <v>183</v>
      </c>
      <c r="C238" s="13" t="s">
        <v>616</v>
      </c>
      <c r="D238" s="13" t="s">
        <v>608</v>
      </c>
      <c r="E238" s="39" t="n">
        <v>230</v>
      </c>
      <c r="F238" s="39" t="n">
        <v>113.619047619048</v>
      </c>
      <c r="G238" s="39" t="n">
        <v>91.3492063492064</v>
      </c>
      <c r="H238" s="39" t="n">
        <v>43.031746031746</v>
      </c>
      <c r="I238" s="39" t="n">
        <v>163.870967741936</v>
      </c>
      <c r="J238" s="39" t="n">
        <v>66.1290322580645</v>
      </c>
      <c r="K238" s="39" t="n">
        <v>478</v>
      </c>
    </row>
    <row r="239" customFormat="false" ht="15" hidden="false" customHeight="true" outlineLevel="0" collapsed="false">
      <c r="A239" s="13" t="s">
        <v>786</v>
      </c>
      <c r="B239" s="13" t="s">
        <v>204</v>
      </c>
      <c r="C239" s="13" t="s">
        <v>605</v>
      </c>
      <c r="D239" s="13" t="s">
        <v>606</v>
      </c>
      <c r="E239" s="39" t="n">
        <v>13031.4835902724</v>
      </c>
      <c r="F239" s="39" t="n">
        <v>5406.28437230478</v>
      </c>
      <c r="G239" s="39" t="n">
        <v>5315.20752142531</v>
      </c>
      <c r="H239" s="39" t="n">
        <v>4479.6894062699</v>
      </c>
      <c r="I239" s="39" t="n">
        <v>8017.75329791052</v>
      </c>
      <c r="J239" s="39" t="n">
        <v>5013.73029236186</v>
      </c>
      <c r="K239" s="39" t="n">
        <v>28232.6648902724</v>
      </c>
    </row>
    <row r="240" customFormat="false" ht="15" hidden="false" customHeight="true" outlineLevel="0" collapsed="false">
      <c r="A240" s="13" t="s">
        <v>787</v>
      </c>
      <c r="B240" s="13" t="s">
        <v>204</v>
      </c>
      <c r="C240" s="13" t="s">
        <v>605</v>
      </c>
      <c r="D240" s="13" t="s">
        <v>608</v>
      </c>
      <c r="E240" s="39" t="n">
        <v>13031.4835902724</v>
      </c>
      <c r="F240" s="39" t="n">
        <v>7542.09358609008</v>
      </c>
      <c r="G240" s="39" t="n">
        <v>5365.49412534577</v>
      </c>
      <c r="H240" s="39" t="n">
        <v>2293.59358856415</v>
      </c>
      <c r="I240" s="39" t="n">
        <v>8017.75329791052</v>
      </c>
      <c r="J240" s="39" t="n">
        <v>5013.73029236186</v>
      </c>
      <c r="K240" s="39" t="n">
        <v>28232.6648902724</v>
      </c>
    </row>
    <row r="241" customFormat="false" ht="15" hidden="false" customHeight="true" outlineLevel="0" collapsed="false">
      <c r="A241" s="13" t="s">
        <v>788</v>
      </c>
      <c r="B241" s="13" t="s">
        <v>204</v>
      </c>
      <c r="C241" s="13" t="s">
        <v>610</v>
      </c>
      <c r="D241" s="13" t="s">
        <v>606</v>
      </c>
      <c r="E241" s="39" t="n">
        <v>12109</v>
      </c>
      <c r="F241" s="39" t="n">
        <v>5470.25688203241</v>
      </c>
      <c r="G241" s="39" t="n">
        <v>5580.05371169769</v>
      </c>
      <c r="H241" s="39" t="n">
        <v>4479.6894062699</v>
      </c>
      <c r="I241" s="39" t="n">
        <v>7095.26970763815</v>
      </c>
      <c r="J241" s="39" t="n">
        <v>5013.73029236186</v>
      </c>
      <c r="K241" s="39" t="n">
        <v>27639</v>
      </c>
    </row>
    <row r="242" customFormat="false" ht="15" hidden="false" customHeight="true" outlineLevel="0" collapsed="false">
      <c r="A242" s="13" t="s">
        <v>789</v>
      </c>
      <c r="B242" s="13" t="s">
        <v>204</v>
      </c>
      <c r="C242" s="13" t="s">
        <v>610</v>
      </c>
      <c r="D242" s="13" t="s">
        <v>608</v>
      </c>
      <c r="E242" s="39" t="n">
        <v>12109</v>
      </c>
      <c r="F242" s="39" t="n">
        <v>7606.06609581771</v>
      </c>
      <c r="G242" s="39" t="n">
        <v>5630.34031561814</v>
      </c>
      <c r="H242" s="39" t="n">
        <v>2293.59358856415</v>
      </c>
      <c r="I242" s="39" t="n">
        <v>7095.26970763815</v>
      </c>
      <c r="J242" s="39" t="n">
        <v>5013.73029236186</v>
      </c>
      <c r="K242" s="39" t="n">
        <v>27639</v>
      </c>
    </row>
    <row r="243" customFormat="false" ht="15" hidden="false" customHeight="true" outlineLevel="0" collapsed="false">
      <c r="A243" s="13" t="s">
        <v>790</v>
      </c>
      <c r="B243" s="13" t="s">
        <v>204</v>
      </c>
      <c r="C243" s="13" t="s">
        <v>613</v>
      </c>
      <c r="D243" s="13" t="s">
        <v>606</v>
      </c>
      <c r="E243" s="39" t="n">
        <v>13551</v>
      </c>
      <c r="F243" s="39" t="n">
        <v>5370.25688203241</v>
      </c>
      <c r="G243" s="39" t="n">
        <v>5166.05371169769</v>
      </c>
      <c r="H243" s="39" t="n">
        <v>4479.6894062699</v>
      </c>
      <c r="I243" s="39" t="n">
        <v>8537.26970763815</v>
      </c>
      <c r="J243" s="39" t="n">
        <v>5013.73029236186</v>
      </c>
      <c r="K243" s="39" t="n">
        <v>28567</v>
      </c>
    </row>
    <row r="244" customFormat="false" ht="15" hidden="false" customHeight="true" outlineLevel="0" collapsed="false">
      <c r="A244" s="13" t="s">
        <v>791</v>
      </c>
      <c r="B244" s="13" t="s">
        <v>204</v>
      </c>
      <c r="C244" s="13" t="s">
        <v>613</v>
      </c>
      <c r="D244" s="13" t="s">
        <v>608</v>
      </c>
      <c r="E244" s="39" t="n">
        <v>13551</v>
      </c>
      <c r="F244" s="39" t="n">
        <v>7506.06609581771</v>
      </c>
      <c r="G244" s="39" t="n">
        <v>5216.34031561814</v>
      </c>
      <c r="H244" s="39" t="n">
        <v>2293.59358856415</v>
      </c>
      <c r="I244" s="39" t="n">
        <v>8537.26970763815</v>
      </c>
      <c r="J244" s="39" t="n">
        <v>5013.73029236186</v>
      </c>
      <c r="K244" s="39" t="n">
        <v>28567</v>
      </c>
    </row>
    <row r="245" customFormat="false" ht="15" hidden="false" customHeight="true" outlineLevel="0" collapsed="false">
      <c r="A245" s="13" t="s">
        <v>792</v>
      </c>
      <c r="B245" s="13" t="s">
        <v>204</v>
      </c>
      <c r="C245" s="13" t="s">
        <v>616</v>
      </c>
      <c r="D245" s="13" t="s">
        <v>606</v>
      </c>
      <c r="E245" s="39" t="n">
        <v>12109</v>
      </c>
      <c r="F245" s="39" t="n">
        <v>5470.25688203241</v>
      </c>
      <c r="G245" s="39" t="n">
        <v>5580.05371169769</v>
      </c>
      <c r="H245" s="39" t="n">
        <v>4479.6894062699</v>
      </c>
      <c r="I245" s="39" t="n">
        <v>7095.26970763815</v>
      </c>
      <c r="J245" s="39" t="n">
        <v>5013.73029236186</v>
      </c>
      <c r="K245" s="39" t="n">
        <v>27639</v>
      </c>
    </row>
    <row r="246" customFormat="false" ht="15" hidden="false" customHeight="true" outlineLevel="0" collapsed="false">
      <c r="A246" s="13" t="s">
        <v>793</v>
      </c>
      <c r="B246" s="13" t="s">
        <v>204</v>
      </c>
      <c r="C246" s="13" t="s">
        <v>616</v>
      </c>
      <c r="D246" s="13" t="s">
        <v>608</v>
      </c>
      <c r="E246" s="39" t="n">
        <v>12109</v>
      </c>
      <c r="F246" s="39" t="n">
        <v>7606.06609581771</v>
      </c>
      <c r="G246" s="39" t="n">
        <v>5630.34031561814</v>
      </c>
      <c r="H246" s="39" t="n">
        <v>2293.59358856415</v>
      </c>
      <c r="I246" s="39" t="n">
        <v>7095.26970763815</v>
      </c>
      <c r="J246" s="39" t="n">
        <v>5013.73029236186</v>
      </c>
      <c r="K246" s="39" t="n">
        <v>27639</v>
      </c>
    </row>
    <row r="247" customFormat="false" ht="15" hidden="false" customHeight="true" outlineLevel="0" collapsed="false">
      <c r="A247" s="13" t="s">
        <v>794</v>
      </c>
      <c r="B247" s="13" t="s">
        <v>168</v>
      </c>
      <c r="C247" s="13" t="s">
        <v>605</v>
      </c>
      <c r="D247" s="13" t="s">
        <v>606</v>
      </c>
      <c r="E247" s="39" t="n">
        <v>2269.66306141732</v>
      </c>
      <c r="F247" s="39" t="n">
        <v>909.503913365375</v>
      </c>
      <c r="G247" s="39" t="n">
        <v>857.644335985275</v>
      </c>
      <c r="H247" s="39" t="n">
        <v>533.649350649351</v>
      </c>
      <c r="I247" s="39" t="n">
        <v>1777.95009845436</v>
      </c>
      <c r="J247" s="39" t="n">
        <v>491.712962962963</v>
      </c>
      <c r="K247" s="39" t="n">
        <v>4570.46066141732</v>
      </c>
    </row>
    <row r="248" customFormat="false" ht="15" hidden="false" customHeight="true" outlineLevel="0" collapsed="false">
      <c r="A248" s="13" t="s">
        <v>795</v>
      </c>
      <c r="B248" s="13" t="s">
        <v>168</v>
      </c>
      <c r="C248" s="13" t="s">
        <v>605</v>
      </c>
      <c r="D248" s="13" t="s">
        <v>608</v>
      </c>
      <c r="E248" s="39" t="n">
        <v>2269.66306141732</v>
      </c>
      <c r="F248" s="39" t="n">
        <v>1134.33832894979</v>
      </c>
      <c r="G248" s="39" t="n">
        <v>860.386219102158</v>
      </c>
      <c r="H248" s="39" t="n">
        <v>306.073051948052</v>
      </c>
      <c r="I248" s="39" t="n">
        <v>1777.95009845436</v>
      </c>
      <c r="J248" s="39" t="n">
        <v>491.712962962963</v>
      </c>
      <c r="K248" s="39" t="n">
        <v>4570.46066141732</v>
      </c>
    </row>
    <row r="249" customFormat="false" ht="15" hidden="false" customHeight="true" outlineLevel="0" collapsed="false">
      <c r="A249" s="13" t="s">
        <v>796</v>
      </c>
      <c r="B249" s="13" t="s">
        <v>168</v>
      </c>
      <c r="C249" s="13" t="s">
        <v>610</v>
      </c>
      <c r="D249" s="13" t="s">
        <v>606</v>
      </c>
      <c r="E249" s="39" t="n">
        <v>2276.38819442942</v>
      </c>
      <c r="F249" s="39" t="n">
        <v>908.625854455783</v>
      </c>
      <c r="G249" s="39" t="n">
        <v>855.987997587635</v>
      </c>
      <c r="H249" s="39" t="n">
        <v>533.649350649351</v>
      </c>
      <c r="I249" s="39" t="n">
        <v>1784.67523146646</v>
      </c>
      <c r="J249" s="39" t="n">
        <v>491.712962962963</v>
      </c>
      <c r="K249" s="39" t="n">
        <v>4574.65139712219</v>
      </c>
    </row>
    <row r="250" customFormat="false" ht="15" hidden="false" customHeight="true" outlineLevel="0" collapsed="false">
      <c r="A250" s="13" t="s">
        <v>797</v>
      </c>
      <c r="B250" s="13" t="s">
        <v>168</v>
      </c>
      <c r="C250" s="13" t="s">
        <v>610</v>
      </c>
      <c r="D250" s="13" t="s">
        <v>608</v>
      </c>
      <c r="E250" s="39" t="n">
        <v>2276.38819442942</v>
      </c>
      <c r="F250" s="39" t="n">
        <v>1133.4602700402</v>
      </c>
      <c r="G250" s="39" t="n">
        <v>858.729880704519</v>
      </c>
      <c r="H250" s="39" t="n">
        <v>306.073051948052</v>
      </c>
      <c r="I250" s="39" t="n">
        <v>1784.67523146646</v>
      </c>
      <c r="J250" s="39" t="n">
        <v>491.712962962963</v>
      </c>
      <c r="K250" s="39" t="n">
        <v>4574.65139712219</v>
      </c>
    </row>
    <row r="251" customFormat="false" ht="15" hidden="false" customHeight="true" outlineLevel="0" collapsed="false">
      <c r="A251" s="13" t="s">
        <v>798</v>
      </c>
      <c r="B251" s="13" t="s">
        <v>168</v>
      </c>
      <c r="C251" s="13" t="s">
        <v>613</v>
      </c>
      <c r="D251" s="13" t="s">
        <v>606</v>
      </c>
      <c r="E251" s="39" t="n">
        <v>2699</v>
      </c>
      <c r="F251" s="39" t="n">
        <v>853.448051948052</v>
      </c>
      <c r="G251" s="39" t="n">
        <v>751.902597402597</v>
      </c>
      <c r="H251" s="39" t="n">
        <v>533.649350649351</v>
      </c>
      <c r="I251" s="39" t="n">
        <v>2207.28703703704</v>
      </c>
      <c r="J251" s="39" t="n">
        <v>491.712962962963</v>
      </c>
      <c r="K251" s="39" t="n">
        <v>4838</v>
      </c>
    </row>
    <row r="252" customFormat="false" ht="15" hidden="false" customHeight="true" outlineLevel="0" collapsed="false">
      <c r="A252" s="13" t="s">
        <v>799</v>
      </c>
      <c r="B252" s="13" t="s">
        <v>168</v>
      </c>
      <c r="C252" s="13" t="s">
        <v>613</v>
      </c>
      <c r="D252" s="13" t="s">
        <v>608</v>
      </c>
      <c r="E252" s="39" t="n">
        <v>2699</v>
      </c>
      <c r="F252" s="39" t="n">
        <v>1078.28246753247</v>
      </c>
      <c r="G252" s="39" t="n">
        <v>754.644480519481</v>
      </c>
      <c r="H252" s="39" t="n">
        <v>306.073051948052</v>
      </c>
      <c r="I252" s="39" t="n">
        <v>2207.28703703704</v>
      </c>
      <c r="J252" s="39" t="n">
        <v>491.712962962963</v>
      </c>
      <c r="K252" s="39" t="n">
        <v>4838</v>
      </c>
    </row>
    <row r="253" customFormat="false" ht="15" hidden="false" customHeight="true" outlineLevel="0" collapsed="false">
      <c r="A253" s="13" t="s">
        <v>800</v>
      </c>
      <c r="B253" s="13" t="s">
        <v>168</v>
      </c>
      <c r="C253" s="13" t="s">
        <v>616</v>
      </c>
      <c r="D253" s="13" t="s">
        <v>606</v>
      </c>
      <c r="E253" s="39" t="n">
        <v>1688</v>
      </c>
      <c r="F253" s="39" t="n">
        <v>985.448051948052</v>
      </c>
      <c r="G253" s="39" t="n">
        <v>1000.9025974026</v>
      </c>
      <c r="H253" s="39" t="n">
        <v>533.649350649351</v>
      </c>
      <c r="I253" s="39" t="n">
        <v>1196.28703703704</v>
      </c>
      <c r="J253" s="39" t="n">
        <v>491.712962962963</v>
      </c>
      <c r="K253" s="39" t="n">
        <v>4208</v>
      </c>
    </row>
    <row r="254" customFormat="false" ht="15" hidden="false" customHeight="true" outlineLevel="0" collapsed="false">
      <c r="A254" s="13" t="s">
        <v>801</v>
      </c>
      <c r="B254" s="13" t="s">
        <v>168</v>
      </c>
      <c r="C254" s="13" t="s">
        <v>616</v>
      </c>
      <c r="D254" s="13" t="s">
        <v>608</v>
      </c>
      <c r="E254" s="39" t="n">
        <v>1688</v>
      </c>
      <c r="F254" s="39" t="n">
        <v>1210.28246753247</v>
      </c>
      <c r="G254" s="39" t="n">
        <v>1003.64448051948</v>
      </c>
      <c r="H254" s="39" t="n">
        <v>306.073051948052</v>
      </c>
      <c r="I254" s="39" t="n">
        <v>1196.28703703704</v>
      </c>
      <c r="J254" s="39" t="n">
        <v>491.712962962963</v>
      </c>
      <c r="K254" s="39" t="n">
        <v>4208</v>
      </c>
    </row>
    <row r="255" customFormat="false" ht="15" hidden="false" customHeight="true" outlineLevel="0" collapsed="false">
      <c r="A255" s="13" t="s">
        <v>802</v>
      </c>
      <c r="B255" s="13" t="s">
        <v>170</v>
      </c>
      <c r="C255" s="13" t="s">
        <v>605</v>
      </c>
      <c r="D255" s="13" t="s">
        <v>606</v>
      </c>
      <c r="E255" s="39" t="n">
        <v>1151.791174</v>
      </c>
      <c r="F255" s="39" t="n">
        <v>517.390832949212</v>
      </c>
      <c r="G255" s="39" t="n">
        <v>399.127500535902</v>
      </c>
      <c r="H255" s="39" t="n">
        <v>373.248686514886</v>
      </c>
      <c r="I255" s="39" t="n">
        <v>912.558615860465</v>
      </c>
      <c r="J255" s="39" t="n">
        <v>239.232558139535</v>
      </c>
      <c r="K255" s="39" t="n">
        <v>2441.558194</v>
      </c>
    </row>
    <row r="256" customFormat="false" ht="15" hidden="false" customHeight="true" outlineLevel="0" collapsed="false">
      <c r="A256" s="13" t="s">
        <v>803</v>
      </c>
      <c r="B256" s="13" t="s">
        <v>170</v>
      </c>
      <c r="C256" s="13" t="s">
        <v>605</v>
      </c>
      <c r="D256" s="13" t="s">
        <v>608</v>
      </c>
      <c r="E256" s="39" t="n">
        <v>1151.791174</v>
      </c>
      <c r="F256" s="39" t="n">
        <v>660.836542231173</v>
      </c>
      <c r="G256" s="39" t="n">
        <v>386.807010168126</v>
      </c>
      <c r="H256" s="39" t="n">
        <v>242.123467600701</v>
      </c>
      <c r="I256" s="39" t="n">
        <v>912.558615860465</v>
      </c>
      <c r="J256" s="39" t="n">
        <v>239.232558139535</v>
      </c>
      <c r="K256" s="39" t="n">
        <v>2441.558194</v>
      </c>
    </row>
    <row r="257" customFormat="false" ht="15" hidden="false" customHeight="true" outlineLevel="0" collapsed="false">
      <c r="A257" s="13" t="s">
        <v>804</v>
      </c>
      <c r="B257" s="13" t="s">
        <v>170</v>
      </c>
      <c r="C257" s="13" t="s">
        <v>610</v>
      </c>
      <c r="D257" s="13" t="s">
        <v>606</v>
      </c>
      <c r="E257" s="39" t="n">
        <v>1000.74545498511</v>
      </c>
      <c r="F257" s="39" t="n">
        <v>519.087975859492</v>
      </c>
      <c r="G257" s="39" t="n">
        <v>448.344644934014</v>
      </c>
      <c r="H257" s="39" t="n">
        <v>373.248686514886</v>
      </c>
      <c r="I257" s="39" t="n">
        <v>761.51289684557</v>
      </c>
      <c r="J257" s="39" t="n">
        <v>239.232558139535</v>
      </c>
      <c r="K257" s="39" t="n">
        <v>2341.4267622935</v>
      </c>
    </row>
    <row r="258" customFormat="false" ht="15" hidden="false" customHeight="true" outlineLevel="0" collapsed="false">
      <c r="A258" s="13" t="s">
        <v>805</v>
      </c>
      <c r="B258" s="13" t="s">
        <v>170</v>
      </c>
      <c r="C258" s="13" t="s">
        <v>610</v>
      </c>
      <c r="D258" s="13" t="s">
        <v>608</v>
      </c>
      <c r="E258" s="39" t="n">
        <v>1000.74545498511</v>
      </c>
      <c r="F258" s="39" t="n">
        <v>662.533685141453</v>
      </c>
      <c r="G258" s="39" t="n">
        <v>436.024154566238</v>
      </c>
      <c r="H258" s="39" t="n">
        <v>242.123467600701</v>
      </c>
      <c r="I258" s="39" t="n">
        <v>761.51289684557</v>
      </c>
      <c r="J258" s="39" t="n">
        <v>239.232558139535</v>
      </c>
      <c r="K258" s="39" t="n">
        <v>2341.4267622935</v>
      </c>
    </row>
    <row r="259" customFormat="false" ht="15" hidden="false" customHeight="true" outlineLevel="0" collapsed="false">
      <c r="A259" s="13" t="s">
        <v>806</v>
      </c>
      <c r="B259" s="13" t="s">
        <v>170</v>
      </c>
      <c r="C259" s="13" t="s">
        <v>613</v>
      </c>
      <c r="D259" s="13" t="s">
        <v>606</v>
      </c>
      <c r="E259" s="39" t="n">
        <v>1249</v>
      </c>
      <c r="F259" s="39" t="n">
        <v>516.298598949212</v>
      </c>
      <c r="G259" s="39" t="n">
        <v>367.452714535902</v>
      </c>
      <c r="H259" s="39" t="n">
        <v>373.248686514886</v>
      </c>
      <c r="I259" s="39" t="n">
        <v>1009.76744186047</v>
      </c>
      <c r="J259" s="39" t="n">
        <v>239.232558139535</v>
      </c>
      <c r="K259" s="39" t="n">
        <v>2506</v>
      </c>
    </row>
    <row r="260" customFormat="false" ht="15" hidden="false" customHeight="true" outlineLevel="0" collapsed="false">
      <c r="A260" s="13" t="s">
        <v>807</v>
      </c>
      <c r="B260" s="13" t="s">
        <v>170</v>
      </c>
      <c r="C260" s="13" t="s">
        <v>613</v>
      </c>
      <c r="D260" s="13" t="s">
        <v>608</v>
      </c>
      <c r="E260" s="39" t="n">
        <v>1249</v>
      </c>
      <c r="F260" s="39" t="n">
        <v>659.744308231173</v>
      </c>
      <c r="G260" s="39" t="n">
        <v>355.132224168126</v>
      </c>
      <c r="H260" s="39" t="n">
        <v>242.123467600701</v>
      </c>
      <c r="I260" s="39" t="n">
        <v>1009.76744186047</v>
      </c>
      <c r="J260" s="39" t="n">
        <v>239.232558139535</v>
      </c>
      <c r="K260" s="39" t="n">
        <v>2506</v>
      </c>
    </row>
    <row r="261" customFormat="false" ht="15" hidden="false" customHeight="true" outlineLevel="0" collapsed="false">
      <c r="A261" s="13" t="s">
        <v>808</v>
      </c>
      <c r="B261" s="13" t="s">
        <v>170</v>
      </c>
      <c r="C261" s="13" t="s">
        <v>616</v>
      </c>
      <c r="D261" s="13" t="s">
        <v>606</v>
      </c>
      <c r="E261" s="39" t="n">
        <v>804</v>
      </c>
      <c r="F261" s="39" t="n">
        <v>521.298598949212</v>
      </c>
      <c r="G261" s="39" t="n">
        <v>512.452714535902</v>
      </c>
      <c r="H261" s="39" t="n">
        <v>373.248686514886</v>
      </c>
      <c r="I261" s="39" t="n">
        <v>564.767441860465</v>
      </c>
      <c r="J261" s="39" t="n">
        <v>239.232558139535</v>
      </c>
      <c r="K261" s="39" t="n">
        <v>2211</v>
      </c>
    </row>
    <row r="262" customFormat="false" ht="15" hidden="false" customHeight="true" outlineLevel="0" collapsed="false">
      <c r="A262" s="13" t="s">
        <v>809</v>
      </c>
      <c r="B262" s="13" t="s">
        <v>170</v>
      </c>
      <c r="C262" s="13" t="s">
        <v>616</v>
      </c>
      <c r="D262" s="13" t="s">
        <v>608</v>
      </c>
      <c r="E262" s="39" t="n">
        <v>804</v>
      </c>
      <c r="F262" s="39" t="n">
        <v>664.744308231173</v>
      </c>
      <c r="G262" s="39" t="n">
        <v>500.132224168126</v>
      </c>
      <c r="H262" s="39" t="n">
        <v>242.123467600701</v>
      </c>
      <c r="I262" s="39" t="n">
        <v>564.767441860465</v>
      </c>
      <c r="J262" s="39" t="n">
        <v>239.232558139535</v>
      </c>
      <c r="K262" s="39" t="n">
        <v>2211</v>
      </c>
    </row>
    <row r="263" customFormat="false" ht="15" hidden="false" customHeight="true" outlineLevel="0" collapsed="false">
      <c r="A263" s="3" t="s">
        <v>810</v>
      </c>
    </row>
    <row r="266" customFormat="false" ht="15" hidden="false" customHeight="true" outlineLevel="0" collapsed="false">
      <c r="A266" s="12" t="s">
        <v>811</v>
      </c>
    </row>
    <row r="267" customFormat="false" ht="34.5" hidden="false" customHeight="true" outlineLevel="0" collapsed="false">
      <c r="A267" s="4" t="s">
        <v>132</v>
      </c>
      <c r="B267" s="5" t="s">
        <v>812</v>
      </c>
      <c r="C267" s="5" t="s">
        <v>813</v>
      </c>
      <c r="D267" s="5" t="s">
        <v>814</v>
      </c>
      <c r="E267" s="5" t="s">
        <v>815</v>
      </c>
      <c r="F267" s="5" t="s">
        <v>816</v>
      </c>
      <c r="G267" s="5" t="s">
        <v>817</v>
      </c>
      <c r="H267" s="5" t="s">
        <v>818</v>
      </c>
    </row>
    <row r="268" customFormat="false" ht="15" hidden="false" customHeight="true" outlineLevel="0" collapsed="false">
      <c r="A268" s="21" t="s">
        <v>153</v>
      </c>
      <c r="B268" s="39" t="n">
        <v>61.986</v>
      </c>
      <c r="C268" s="21" t="n">
        <v>1919</v>
      </c>
      <c r="D268" s="39" t="n">
        <f aca="false">IF(B268&gt;0,C268/B268,"")</f>
        <v>30.9586035556416</v>
      </c>
      <c r="E268" s="21" t="n">
        <v>2289</v>
      </c>
      <c r="F268" s="22" t="n">
        <f aca="false">IF(E268&gt;0,C268/E268,0)</f>
        <v>0.838357361293141</v>
      </c>
      <c r="G268" s="39" t="n">
        <v>73.9</v>
      </c>
      <c r="H268" s="21" t="n">
        <v>1</v>
      </c>
    </row>
    <row r="269" customFormat="false" ht="15" hidden="false" customHeight="true" outlineLevel="0" collapsed="false">
      <c r="A269" s="21" t="s">
        <v>156</v>
      </c>
      <c r="B269" s="39" t="n">
        <v>305.512</v>
      </c>
      <c r="C269" s="21" t="n">
        <v>7640</v>
      </c>
      <c r="D269" s="39" t="n">
        <f aca="false">IF(B269&gt;0,C269/B269,"")</f>
        <v>25.0072010264736</v>
      </c>
      <c r="E269" s="21" t="n">
        <v>7988</v>
      </c>
      <c r="F269" s="22" t="n">
        <f aca="false">IF(E269&gt;0,C269/E269,0)</f>
        <v>0.956434651977967</v>
      </c>
      <c r="G269" s="39" t="n">
        <v>308.1</v>
      </c>
      <c r="H269" s="21" t="n">
        <v>11</v>
      </c>
    </row>
    <row r="270" customFormat="false" ht="15" hidden="false" customHeight="true" outlineLevel="0" collapsed="false">
      <c r="A270" s="21" t="s">
        <v>158</v>
      </c>
      <c r="B270" s="39" t="n">
        <v>252.365</v>
      </c>
      <c r="C270" s="21" t="n">
        <v>6170</v>
      </c>
      <c r="D270" s="39" t="n">
        <f aca="false">IF(B270&gt;0,C270/B270,"")</f>
        <v>24.4487151546371</v>
      </c>
      <c r="E270" s="21" t="n">
        <v>8633</v>
      </c>
      <c r="F270" s="22" t="n">
        <f aca="false">IF(E270&gt;0,C270/E270,0)</f>
        <v>0.7146994092436</v>
      </c>
      <c r="G270" s="39" t="n">
        <v>5985.4</v>
      </c>
      <c r="H270" s="21" t="n">
        <v>1418</v>
      </c>
    </row>
    <row r="271" customFormat="false" ht="15" hidden="false" customHeight="true" outlineLevel="0" collapsed="false">
      <c r="A271" s="21" t="s">
        <v>160</v>
      </c>
      <c r="B271" s="39" t="n">
        <v>93.498</v>
      </c>
      <c r="C271" s="21" t="n">
        <v>3310</v>
      </c>
      <c r="D271" s="39" t="n">
        <f aca="false">IF(B271&gt;0,C271/B271,"")</f>
        <v>35.4018267770434</v>
      </c>
      <c r="E271" s="21" t="n">
        <v>8954</v>
      </c>
      <c r="F271" s="22" t="n">
        <f aca="false">IF(E271&gt;0,C271/E271,0)</f>
        <v>0.369667187849006</v>
      </c>
      <c r="G271" s="39" t="n">
        <v>117.7</v>
      </c>
      <c r="H271" s="21" t="n">
        <v>4</v>
      </c>
    </row>
    <row r="272" customFormat="false" ht="15" hidden="false" customHeight="true" outlineLevel="0" collapsed="false">
      <c r="A272" s="21" t="s">
        <v>162</v>
      </c>
      <c r="B272" s="39" t="n">
        <v>76.697</v>
      </c>
      <c r="C272" s="21" t="n">
        <v>1852</v>
      </c>
      <c r="D272" s="39" t="n">
        <f aca="false">IF(B272&gt;0,C272/B272,"")</f>
        <v>24.1469679387721</v>
      </c>
      <c r="E272" s="21" t="n">
        <v>1855</v>
      </c>
      <c r="F272" s="22" t="n">
        <f aca="false">IF(E272&gt;0,C272/E272,0)</f>
        <v>0.998382749326146</v>
      </c>
      <c r="G272" s="39" t="n">
        <v>61.5</v>
      </c>
      <c r="H272" s="21" t="n">
        <v>0</v>
      </c>
    </row>
    <row r="273" customFormat="false" ht="15" hidden="false" customHeight="true" outlineLevel="0" collapsed="false">
      <c r="A273" s="21" t="s">
        <v>164</v>
      </c>
      <c r="B273" s="39" t="n">
        <v>314.171</v>
      </c>
      <c r="C273" s="21" t="n">
        <v>7060</v>
      </c>
      <c r="D273" s="39" t="n">
        <f aca="false">IF(B273&gt;0,C273/B273,"")</f>
        <v>22.4718385847198</v>
      </c>
      <c r="E273" s="21" t="n">
        <v>7818</v>
      </c>
      <c r="F273" s="22" t="n">
        <f aca="false">IF(E273&gt;0,C273/E273,0)</f>
        <v>0.903044256843182</v>
      </c>
      <c r="G273" s="39" t="n">
        <v>1079.3</v>
      </c>
      <c r="H273" s="21" t="n">
        <v>313</v>
      </c>
    </row>
    <row r="274" customFormat="false" ht="15" hidden="false" customHeight="true" outlineLevel="0" collapsed="false">
      <c r="A274" s="21" t="s">
        <v>166</v>
      </c>
      <c r="B274" s="39" t="n">
        <v>13.59</v>
      </c>
      <c r="C274" s="21" t="n">
        <v>626</v>
      </c>
      <c r="D274" s="39" t="n">
        <f aca="false">IF(B274&gt;0,C274/B274,"")</f>
        <v>46.0632818248712</v>
      </c>
      <c r="E274" s="21" t="n">
        <v>1072</v>
      </c>
      <c r="F274" s="22" t="n">
        <f aca="false">IF(E274&gt;0,C274/E274,0)</f>
        <v>0.583955223880597</v>
      </c>
      <c r="G274" s="39" t="n">
        <v>33.2</v>
      </c>
      <c r="H274" s="21" t="n">
        <v>1</v>
      </c>
    </row>
    <row r="275" customFormat="false" ht="15" hidden="false" customHeight="true" outlineLevel="0" collapsed="false">
      <c r="A275" s="21" t="s">
        <v>168</v>
      </c>
      <c r="B275" s="39" t="n">
        <v>119.774</v>
      </c>
      <c r="C275" s="21" t="n">
        <v>4232</v>
      </c>
      <c r="D275" s="39" t="n">
        <f aca="false">IF(B275&gt;0,C275/B275,"")</f>
        <v>35.3332108804916</v>
      </c>
      <c r="E275" s="21" t="n">
        <v>4655</v>
      </c>
      <c r="F275" s="22" t="n">
        <f aca="false">IF(E275&gt;0,C275/E275,0)</f>
        <v>0.909129967776584</v>
      </c>
      <c r="G275" s="39" t="n">
        <v>74.3</v>
      </c>
      <c r="H275" s="21" t="n">
        <v>1</v>
      </c>
    </row>
    <row r="276" customFormat="false" ht="15" hidden="false" customHeight="true" outlineLevel="0" collapsed="false">
      <c r="A276" s="21" t="s">
        <v>170</v>
      </c>
      <c r="B276" s="39" t="n">
        <v>98.474</v>
      </c>
      <c r="C276" s="21" t="n">
        <v>2401</v>
      </c>
      <c r="D276" s="39" t="n">
        <f aca="false">IF(B276&gt;0,C276/B276,"")</f>
        <v>24.3820703942157</v>
      </c>
      <c r="E276" s="21" t="n">
        <v>2501</v>
      </c>
      <c r="F276" s="22" t="n">
        <f aca="false">IF(E276&gt;0,C276/E276,0)</f>
        <v>0.960015993602559</v>
      </c>
      <c r="G276" s="39" t="n">
        <v>131</v>
      </c>
      <c r="H276" s="21" t="n">
        <v>36</v>
      </c>
    </row>
    <row r="277" customFormat="false" ht="15" hidden="false" customHeight="true" outlineLevel="0" collapsed="false">
      <c r="A277" s="21" t="s">
        <v>172</v>
      </c>
      <c r="B277" s="39" t="n">
        <v>48.272</v>
      </c>
      <c r="C277" s="21" t="n">
        <v>872</v>
      </c>
      <c r="D277" s="39" t="n">
        <f aca="false">IF(B277&gt;0,C277/B277,"")</f>
        <v>18.0643022870401</v>
      </c>
      <c r="E277" s="21" t="n">
        <v>1150</v>
      </c>
      <c r="F277" s="22" t="n">
        <f aca="false">IF(E277&gt;0,C277/E277,0)</f>
        <v>0.758260869565217</v>
      </c>
      <c r="G277" s="39" t="n">
        <v>58</v>
      </c>
      <c r="H277" s="21" t="n">
        <v>101</v>
      </c>
    </row>
    <row r="278" customFormat="false" ht="15" hidden="false" customHeight="true" outlineLevel="0" collapsed="false">
      <c r="A278" s="21" t="s">
        <v>175</v>
      </c>
      <c r="B278" s="39" t="n">
        <v>21.911</v>
      </c>
      <c r="C278" s="21" t="n">
        <v>445</v>
      </c>
      <c r="D278" s="39" t="n">
        <f aca="false">IF(B278&gt;0,C278/B278,"")</f>
        <v>20.3094336178175</v>
      </c>
      <c r="E278" s="21" t="n">
        <v>567</v>
      </c>
      <c r="F278" s="22" t="n">
        <f aca="false">IF(E278&gt;0,C278/E278,0)</f>
        <v>0.784832451499118</v>
      </c>
      <c r="G278" s="39" t="n">
        <v>42.6</v>
      </c>
      <c r="H278" s="21" t="n">
        <v>74</v>
      </c>
    </row>
    <row r="279" customFormat="false" ht="15" hidden="false" customHeight="true" outlineLevel="0" collapsed="false">
      <c r="A279" s="21" t="s">
        <v>177</v>
      </c>
      <c r="B279" s="39" t="n">
        <v>40.445</v>
      </c>
      <c r="C279" s="21" t="n">
        <v>743</v>
      </c>
      <c r="D279" s="39" t="n">
        <f aca="false">IF(B279&gt;0,C279/B279,"")</f>
        <v>18.3706267771047</v>
      </c>
      <c r="E279" s="21" t="n">
        <v>1048</v>
      </c>
      <c r="F279" s="22" t="n">
        <f aca="false">IF(E279&gt;0,C279/E279,0)</f>
        <v>0.708969465648855</v>
      </c>
      <c r="G279" s="39" t="n">
        <v>65.8</v>
      </c>
      <c r="H279" s="21" t="n">
        <v>95</v>
      </c>
    </row>
    <row r="280" customFormat="false" ht="15" hidden="false" customHeight="true" outlineLevel="0" collapsed="false">
      <c r="A280" s="21" t="s">
        <v>179</v>
      </c>
      <c r="B280" s="39" t="n">
        <v>27.975</v>
      </c>
      <c r="C280" s="21" t="n">
        <v>482</v>
      </c>
      <c r="D280" s="39" t="n">
        <f aca="false">IF(B280&gt;0,C280/B280,"")</f>
        <v>17.2296693476318</v>
      </c>
      <c r="E280" s="21" t="n">
        <v>859</v>
      </c>
      <c r="F280" s="22" t="n">
        <f aca="false">IF(E280&gt;0,C280/E280,0)</f>
        <v>0.561117578579744</v>
      </c>
      <c r="G280" s="39" t="n">
        <v>63.8</v>
      </c>
      <c r="H280" s="21" t="n">
        <v>131</v>
      </c>
    </row>
    <row r="281" customFormat="false" ht="15" hidden="false" customHeight="true" outlineLevel="0" collapsed="false">
      <c r="A281" s="21" t="s">
        <v>181</v>
      </c>
      <c r="B281" s="39" t="n">
        <v>121.069</v>
      </c>
      <c r="C281" s="21" t="n">
        <v>2778</v>
      </c>
      <c r="D281" s="39" t="n">
        <f aca="false">IF(B281&gt;0,C281/B281,"")</f>
        <v>22.9455930089453</v>
      </c>
      <c r="E281" s="21" t="n">
        <v>3149</v>
      </c>
      <c r="F281" s="22" t="n">
        <f aca="false">IF(E281&gt;0,C281/E281,0)</f>
        <v>0.882184820577961</v>
      </c>
      <c r="G281" s="39" t="n">
        <v>59.2</v>
      </c>
      <c r="H281" s="21" t="n">
        <v>30</v>
      </c>
    </row>
    <row r="282" customFormat="false" ht="15" hidden="false" customHeight="true" outlineLevel="0" collapsed="false">
      <c r="A282" s="21" t="s">
        <v>183</v>
      </c>
      <c r="B282" s="39" t="n">
        <v>42.629</v>
      </c>
      <c r="C282" s="21" t="n">
        <v>705</v>
      </c>
      <c r="D282" s="39" t="n">
        <f aca="false">IF(B282&gt;0,C282/B282,"")</f>
        <v>16.5380374862183</v>
      </c>
      <c r="E282" s="21" t="n">
        <v>833</v>
      </c>
      <c r="F282" s="22" t="n">
        <f aca="false">IF(E282&gt;0,C282/E282,0)</f>
        <v>0.846338535414166</v>
      </c>
      <c r="G282" s="39" t="n">
        <v>19.9</v>
      </c>
      <c r="H282" s="21" t="n">
        <v>0</v>
      </c>
    </row>
    <row r="283" customFormat="false" ht="15" hidden="false" customHeight="true" outlineLevel="0" collapsed="false">
      <c r="A283" s="21" t="s">
        <v>185</v>
      </c>
      <c r="B283" s="39" t="n">
        <v>39.896</v>
      </c>
      <c r="C283" s="21" t="n">
        <v>515</v>
      </c>
      <c r="D283" s="39" t="n">
        <f aca="false">IF(B283&gt;0,C283/B283,"")</f>
        <v>12.9085622618809</v>
      </c>
      <c r="E283" s="21" t="n">
        <v>611</v>
      </c>
      <c r="F283" s="22" t="n">
        <f aca="false">IF(E283&gt;0,C283/E283,0)</f>
        <v>0.842880523731588</v>
      </c>
      <c r="G283" s="39" t="n">
        <v>18.3</v>
      </c>
      <c r="H283" s="21" t="n">
        <v>17</v>
      </c>
    </row>
    <row r="284" customFormat="false" ht="15" hidden="false" customHeight="true" outlineLevel="0" collapsed="false">
      <c r="A284" s="21" t="s">
        <v>188</v>
      </c>
      <c r="B284" s="39" t="n">
        <v>0</v>
      </c>
      <c r="C284" s="21" t="n">
        <v>0</v>
      </c>
      <c r="D284" s="39" t="str">
        <f aca="false">IF(B284&gt;0,C284/B284,"")</f>
        <v/>
      </c>
      <c r="E284" s="21" t="n">
        <v>533</v>
      </c>
      <c r="F284" s="22" t="n">
        <f aca="false">IF(E284&gt;0,C284/E284,0)</f>
        <v>0</v>
      </c>
      <c r="G284" s="39" t="n">
        <v>105.7</v>
      </c>
      <c r="H284" s="21" t="n">
        <v>533</v>
      </c>
    </row>
    <row r="285" customFormat="false" ht="15" hidden="false" customHeight="true" outlineLevel="0" collapsed="false">
      <c r="A285" s="21" t="s">
        <v>190</v>
      </c>
      <c r="B285" s="39" t="n">
        <v>20.015</v>
      </c>
      <c r="C285" s="21" t="n">
        <v>285</v>
      </c>
      <c r="D285" s="39" t="n">
        <f aca="false">IF(B285&gt;0,C285/B285,"")</f>
        <v>14.2393205096178</v>
      </c>
      <c r="E285" s="21" t="n">
        <v>426</v>
      </c>
      <c r="F285" s="22" t="n">
        <f aca="false">IF(E285&gt;0,C285/E285,0)</f>
        <v>0.669014084507042</v>
      </c>
      <c r="G285" s="39" t="n">
        <v>26.8</v>
      </c>
      <c r="H285" s="21" t="n">
        <v>38</v>
      </c>
    </row>
    <row r="286" customFormat="false" ht="15" hidden="false" customHeight="true" outlineLevel="0" collapsed="false">
      <c r="A286" s="21" t="s">
        <v>192</v>
      </c>
      <c r="B286" s="39" t="n">
        <v>12.25</v>
      </c>
      <c r="C286" s="21" t="n">
        <v>264</v>
      </c>
      <c r="D286" s="39" t="n">
        <f aca="false">IF(B286&gt;0,C286/B286,"")</f>
        <v>21.5510204081633</v>
      </c>
      <c r="E286" s="21" t="n">
        <v>355</v>
      </c>
      <c r="F286" s="22" t="n">
        <f aca="false">IF(E286&gt;0,C286/E286,0)</f>
        <v>0.743661971830986</v>
      </c>
      <c r="G286" s="39" t="n">
        <v>18.9</v>
      </c>
      <c r="H286" s="21" t="n">
        <v>18</v>
      </c>
    </row>
    <row r="287" customFormat="false" ht="15" hidden="false" customHeight="true" outlineLevel="0" collapsed="false">
      <c r="A287" s="21" t="s">
        <v>194</v>
      </c>
      <c r="B287" s="39" t="n">
        <v>21.6</v>
      </c>
      <c r="C287" s="21" t="n">
        <v>345</v>
      </c>
      <c r="D287" s="39" t="n">
        <f aca="false">IF(B287&gt;0,C287/B287,"")</f>
        <v>15.9722222222222</v>
      </c>
      <c r="E287" s="21" t="n">
        <v>539</v>
      </c>
      <c r="F287" s="22" t="n">
        <f aca="false">IF(E287&gt;0,C287/E287,0)</f>
        <v>0.640074211502783</v>
      </c>
      <c r="G287" s="39" t="n">
        <v>30.2</v>
      </c>
      <c r="H287" s="21" t="n">
        <v>11</v>
      </c>
    </row>
    <row r="288" customFormat="false" ht="15" hidden="false" customHeight="true" outlineLevel="0" collapsed="false">
      <c r="A288" s="21" t="s">
        <v>196</v>
      </c>
      <c r="B288" s="39" t="n">
        <v>15.621</v>
      </c>
      <c r="C288" s="21" t="n">
        <v>259</v>
      </c>
      <c r="D288" s="39" t="n">
        <f aca="false">IF(B288&gt;0,C288/B288,"")</f>
        <v>16.5802445426029</v>
      </c>
      <c r="E288" s="21" t="n">
        <v>356</v>
      </c>
      <c r="F288" s="22" t="n">
        <f aca="false">IF(E288&gt;0,C288/E288,0)</f>
        <v>0.72752808988764</v>
      </c>
      <c r="G288" s="39" t="n">
        <v>24.2</v>
      </c>
      <c r="H288" s="21" t="n">
        <v>22</v>
      </c>
    </row>
    <row r="289" customFormat="false" ht="15" hidden="false" customHeight="true" outlineLevel="0" collapsed="false">
      <c r="A289" s="21" t="s">
        <v>198</v>
      </c>
      <c r="B289" s="39" t="n">
        <v>17.689</v>
      </c>
      <c r="C289" s="21" t="n">
        <v>342</v>
      </c>
      <c r="D289" s="39" t="n">
        <f aca="false">IF(B289&gt;0,C289/B289,"")</f>
        <v>19.3340494092374</v>
      </c>
      <c r="E289" s="21" t="n">
        <v>433</v>
      </c>
      <c r="F289" s="22" t="n">
        <f aca="false">IF(E289&gt;0,C289/E289,0)</f>
        <v>0.789838337182448</v>
      </c>
      <c r="G289" s="39" t="n">
        <v>15.2</v>
      </c>
      <c r="H289" s="21" t="n">
        <v>34</v>
      </c>
    </row>
    <row r="290" customFormat="false" ht="15" hidden="false" customHeight="true" outlineLevel="0" collapsed="false">
      <c r="A290" s="21" t="s">
        <v>200</v>
      </c>
      <c r="B290" s="39" t="n">
        <v>18.768</v>
      </c>
      <c r="C290" s="21" t="n">
        <v>484</v>
      </c>
      <c r="D290" s="39" t="n">
        <f aca="false">IF(B290&gt;0,C290/B290,"")</f>
        <v>25.7885763000853</v>
      </c>
      <c r="E290" s="21" t="n">
        <v>539</v>
      </c>
      <c r="F290" s="22" t="n">
        <f aca="false">IF(E290&gt;0,C290/E290,0)</f>
        <v>0.897959183673469</v>
      </c>
      <c r="G290" s="39" t="n">
        <v>15</v>
      </c>
      <c r="H290" s="21" t="n">
        <v>15</v>
      </c>
    </row>
    <row r="291" customFormat="false" ht="15" hidden="false" customHeight="true" outlineLevel="0" collapsed="false">
      <c r="A291" s="21" t="s">
        <v>202</v>
      </c>
      <c r="B291" s="39" t="n">
        <v>17.425</v>
      </c>
      <c r="C291" s="21" t="n">
        <v>374</v>
      </c>
      <c r="D291" s="39" t="n">
        <f aca="false">IF(B291&gt;0,C291/B291,"")</f>
        <v>21.4634146341463</v>
      </c>
      <c r="E291" s="21" t="n">
        <v>462</v>
      </c>
      <c r="F291" s="22" t="n">
        <f aca="false">IF(E291&gt;0,C291/E291,0)</f>
        <v>0.80952380952381</v>
      </c>
      <c r="G291" s="39" t="n">
        <v>5.9</v>
      </c>
      <c r="H291" s="21" t="n">
        <v>0</v>
      </c>
    </row>
    <row r="292" customFormat="false" ht="15" hidden="false" customHeight="true" outlineLevel="0" collapsed="false">
      <c r="A292" s="21" t="s">
        <v>204</v>
      </c>
      <c r="B292" s="39" t="n">
        <v>179.216</v>
      </c>
      <c r="C292" s="21" t="n">
        <v>1802</v>
      </c>
      <c r="D292" s="39" t="n">
        <f aca="false">IF(B292&gt;0,C292/B292,"")</f>
        <v>10.0549058119811</v>
      </c>
      <c r="E292" s="21" t="n">
        <v>32871</v>
      </c>
      <c r="F292" s="22" t="n">
        <f aca="false">IF(E292&gt;0,C292/E292,0)</f>
        <v>0.0548203583706002</v>
      </c>
      <c r="G292" s="39" t="n">
        <v>258785.5</v>
      </c>
      <c r="H292" s="21" t="n">
        <v>30455</v>
      </c>
    </row>
    <row r="293" customFormat="false" ht="15" hidden="false" customHeight="true" outlineLevel="0" collapsed="false">
      <c r="A293" s="13" t="s">
        <v>819</v>
      </c>
      <c r="D293" s="39" t="n">
        <f aca="false">(C283+C285+C286+C287+C288+C289+C290+C291)/(B283+B285+B286+B287+B288+B289+B290+B291)</f>
        <v>17.5666405331243</v>
      </c>
    </row>
    <row r="296" customFormat="false" ht="15" hidden="false" customHeight="true" outlineLevel="0" collapsed="false">
      <c r="A296" s="12" t="s">
        <v>820</v>
      </c>
    </row>
    <row r="297" customFormat="false" ht="23.25" hidden="false" customHeight="true" outlineLevel="0" collapsed="false">
      <c r="A297" s="4" t="s">
        <v>132</v>
      </c>
      <c r="B297" s="5" t="s">
        <v>821</v>
      </c>
      <c r="C297" s="5" t="s">
        <v>822</v>
      </c>
      <c r="D297" s="5" t="s">
        <v>823</v>
      </c>
      <c r="E297" s="5" t="s">
        <v>824</v>
      </c>
      <c r="F297" s="5" t="s">
        <v>825</v>
      </c>
      <c r="G297" s="5" t="s">
        <v>826</v>
      </c>
      <c r="H297" s="5" t="s">
        <v>827</v>
      </c>
      <c r="I297" s="5" t="s">
        <v>828</v>
      </c>
    </row>
    <row r="298" customFormat="false" ht="15" hidden="false" customHeight="true" outlineLevel="0" collapsed="false">
      <c r="A298" s="13" t="s">
        <v>153</v>
      </c>
      <c r="B298" s="13" t="s">
        <v>829</v>
      </c>
      <c r="C298" s="38" t="n">
        <v>50</v>
      </c>
      <c r="D298" s="38" t="n">
        <v>200</v>
      </c>
      <c r="E298" s="13" t="s">
        <v>830</v>
      </c>
      <c r="F298" s="38" t="n">
        <v>35</v>
      </c>
      <c r="G298" s="38" t="n">
        <v>50</v>
      </c>
      <c r="H298" s="22" t="n">
        <v>0.866594750089896</v>
      </c>
      <c r="I298" s="13" t="s">
        <v>831</v>
      </c>
    </row>
    <row r="299" customFormat="false" ht="15" hidden="false" customHeight="true" outlineLevel="0" collapsed="false">
      <c r="A299" s="13" t="s">
        <v>156</v>
      </c>
      <c r="B299" s="13" t="s">
        <v>829</v>
      </c>
      <c r="C299" s="38" t="n">
        <v>50</v>
      </c>
      <c r="D299" s="38" t="n">
        <v>200</v>
      </c>
      <c r="E299" s="13" t="s">
        <v>830</v>
      </c>
      <c r="F299" s="38" t="n">
        <v>35</v>
      </c>
      <c r="G299" s="38" t="n">
        <v>50</v>
      </c>
      <c r="H299" s="22" t="n">
        <v>0.541250811111455</v>
      </c>
      <c r="I299" s="13" t="s">
        <v>832</v>
      </c>
    </row>
    <row r="300" customFormat="false" ht="15" hidden="false" customHeight="true" outlineLevel="0" collapsed="false">
      <c r="A300" s="13" t="s">
        <v>158</v>
      </c>
      <c r="B300" s="13" t="s">
        <v>829</v>
      </c>
      <c r="C300" s="38" t="n">
        <v>50</v>
      </c>
      <c r="D300" s="38" t="n">
        <v>200</v>
      </c>
      <c r="E300" s="13" t="s">
        <v>830</v>
      </c>
      <c r="F300" s="38" t="n">
        <v>35</v>
      </c>
      <c r="G300" s="38" t="n">
        <v>50</v>
      </c>
      <c r="H300" s="22" t="n">
        <v>0.245647328152298</v>
      </c>
      <c r="I300" s="13" t="s">
        <v>833</v>
      </c>
    </row>
    <row r="301" customFormat="false" ht="15" hidden="false" customHeight="true" outlineLevel="0" collapsed="false">
      <c r="A301" s="13" t="s">
        <v>160</v>
      </c>
      <c r="B301" s="13" t="s">
        <v>834</v>
      </c>
      <c r="C301" s="38" t="n">
        <v>100</v>
      </c>
      <c r="D301" s="38" t="n">
        <v>250</v>
      </c>
      <c r="E301" s="13" t="s">
        <v>830</v>
      </c>
      <c r="F301" s="38" t="n">
        <v>35</v>
      </c>
      <c r="G301" s="38" t="n">
        <v>50</v>
      </c>
      <c r="H301" s="22" t="n">
        <v>0.999901866980692</v>
      </c>
      <c r="I301" s="13" t="s">
        <v>835</v>
      </c>
    </row>
    <row r="302" customFormat="false" ht="15" hidden="false" customHeight="true" outlineLevel="0" collapsed="false">
      <c r="A302" s="13" t="s">
        <v>162</v>
      </c>
      <c r="B302" s="13" t="s">
        <v>829</v>
      </c>
      <c r="C302" s="38" t="n">
        <v>50</v>
      </c>
      <c r="D302" s="38" t="n">
        <v>200</v>
      </c>
      <c r="E302" s="13" t="s">
        <v>830</v>
      </c>
      <c r="F302" s="38" t="n">
        <v>35</v>
      </c>
      <c r="G302" s="38" t="n">
        <v>50</v>
      </c>
      <c r="H302" s="22" t="n">
        <v>0.46747988853252</v>
      </c>
      <c r="I302" s="13" t="s">
        <v>836</v>
      </c>
    </row>
    <row r="303" customFormat="false" ht="15" hidden="false" customHeight="true" outlineLevel="0" collapsed="false">
      <c r="A303" s="13" t="s">
        <v>164</v>
      </c>
      <c r="B303" s="13" t="s">
        <v>829</v>
      </c>
      <c r="C303" s="38" t="n">
        <v>50</v>
      </c>
      <c r="D303" s="38" t="n">
        <v>200</v>
      </c>
      <c r="E303" s="13" t="s">
        <v>830</v>
      </c>
      <c r="F303" s="38" t="n">
        <v>35</v>
      </c>
      <c r="G303" s="38" t="n">
        <v>50</v>
      </c>
      <c r="H303" s="22" t="n">
        <v>0.0525007706535142</v>
      </c>
      <c r="I303" s="13" t="s">
        <v>837</v>
      </c>
    </row>
    <row r="304" customFormat="false" ht="15" hidden="false" customHeight="true" outlineLevel="0" collapsed="false">
      <c r="A304" s="13" t="s">
        <v>166</v>
      </c>
      <c r="B304" s="13" t="s">
        <v>829</v>
      </c>
      <c r="C304" s="38" t="n">
        <v>50</v>
      </c>
      <c r="D304" s="38" t="n">
        <v>200</v>
      </c>
      <c r="E304" s="13" t="s">
        <v>830</v>
      </c>
      <c r="F304" s="38" t="n">
        <v>35</v>
      </c>
      <c r="G304" s="38" t="n">
        <v>50</v>
      </c>
      <c r="H304" s="22" t="n">
        <v>1</v>
      </c>
      <c r="I304" s="13" t="s">
        <v>838</v>
      </c>
    </row>
    <row r="305" customFormat="false" ht="15" hidden="false" customHeight="true" outlineLevel="0" collapsed="false">
      <c r="A305" s="13" t="s">
        <v>168</v>
      </c>
      <c r="B305" s="13" t="s">
        <v>829</v>
      </c>
      <c r="C305" s="38" t="n">
        <v>50</v>
      </c>
      <c r="D305" s="38" t="n">
        <v>200</v>
      </c>
      <c r="E305" s="13" t="s">
        <v>830</v>
      </c>
      <c r="F305" s="38" t="n">
        <v>35</v>
      </c>
      <c r="G305" s="38" t="n">
        <v>50</v>
      </c>
      <c r="H305" s="22" t="n">
        <v>0.930078820239003</v>
      </c>
      <c r="I305" s="13" t="s">
        <v>839</v>
      </c>
    </row>
    <row r="306" customFormat="false" ht="15" hidden="false" customHeight="true" outlineLevel="0" collapsed="false">
      <c r="A306" s="13" t="s">
        <v>170</v>
      </c>
      <c r="B306" s="13" t="s">
        <v>829</v>
      </c>
      <c r="C306" s="38" t="n">
        <v>50</v>
      </c>
      <c r="D306" s="38" t="n">
        <v>200</v>
      </c>
      <c r="E306" s="13" t="s">
        <v>830</v>
      </c>
      <c r="F306" s="38" t="n">
        <v>35</v>
      </c>
      <c r="G306" s="38" t="n">
        <v>50</v>
      </c>
      <c r="H306" s="22" t="n">
        <v>0.930037844535986</v>
      </c>
      <c r="I306" s="13" t="s">
        <v>840</v>
      </c>
    </row>
    <row r="307" customFormat="false" ht="15" hidden="false" customHeight="true" outlineLevel="0" collapsed="false">
      <c r="A307" s="13" t="s">
        <v>172</v>
      </c>
      <c r="B307" s="13" t="s">
        <v>841</v>
      </c>
      <c r="C307" s="38" t="n">
        <v>25</v>
      </c>
      <c r="D307" s="38" t="n">
        <v>40</v>
      </c>
      <c r="E307" s="13" t="s">
        <v>841</v>
      </c>
      <c r="F307" s="38" t="n">
        <v>25</v>
      </c>
      <c r="G307" s="38" t="n">
        <v>40</v>
      </c>
      <c r="H307" s="22" t="n">
        <v>1</v>
      </c>
      <c r="I307" s="13" t="s">
        <v>842</v>
      </c>
    </row>
    <row r="308" customFormat="false" ht="15" hidden="false" customHeight="true" outlineLevel="0" collapsed="false">
      <c r="A308" s="13" t="s">
        <v>175</v>
      </c>
      <c r="B308" s="13" t="s">
        <v>841</v>
      </c>
      <c r="C308" s="38" t="n">
        <v>25</v>
      </c>
      <c r="D308" s="38" t="n">
        <v>40</v>
      </c>
      <c r="E308" s="13" t="s">
        <v>841</v>
      </c>
      <c r="F308" s="38" t="n">
        <v>25</v>
      </c>
      <c r="G308" s="38" t="n">
        <v>40</v>
      </c>
      <c r="H308" s="22" t="n">
        <v>1</v>
      </c>
      <c r="I308" s="13" t="s">
        <v>842</v>
      </c>
    </row>
    <row r="309" customFormat="false" ht="15" hidden="false" customHeight="true" outlineLevel="0" collapsed="false">
      <c r="A309" s="13" t="s">
        <v>177</v>
      </c>
      <c r="B309" s="13" t="s">
        <v>843</v>
      </c>
      <c r="C309" s="38" t="n">
        <v>35</v>
      </c>
      <c r="D309" s="38" t="n">
        <v>50</v>
      </c>
      <c r="E309" s="13" t="s">
        <v>843</v>
      </c>
      <c r="F309" s="38" t="n">
        <v>35</v>
      </c>
      <c r="G309" s="38" t="n">
        <v>50</v>
      </c>
      <c r="H309" s="22" t="n">
        <v>1</v>
      </c>
      <c r="I309" s="13" t="s">
        <v>844</v>
      </c>
    </row>
    <row r="310" customFormat="false" ht="15" hidden="false" customHeight="true" outlineLevel="0" collapsed="false">
      <c r="A310" s="13" t="s">
        <v>179</v>
      </c>
      <c r="B310" s="13" t="s">
        <v>841</v>
      </c>
      <c r="C310" s="38" t="n">
        <v>25</v>
      </c>
      <c r="D310" s="38" t="n">
        <v>40</v>
      </c>
      <c r="E310" s="13" t="s">
        <v>841</v>
      </c>
      <c r="F310" s="38" t="n">
        <v>25</v>
      </c>
      <c r="G310" s="38" t="n">
        <v>40</v>
      </c>
      <c r="H310" s="22" t="n">
        <v>1</v>
      </c>
      <c r="I310" s="13" t="s">
        <v>842</v>
      </c>
    </row>
    <row r="311" customFormat="false" ht="15" hidden="false" customHeight="true" outlineLevel="0" collapsed="false">
      <c r="A311" s="13" t="s">
        <v>181</v>
      </c>
      <c r="B311" s="13" t="s">
        <v>845</v>
      </c>
      <c r="C311" s="38" t="n">
        <v>30</v>
      </c>
      <c r="D311" s="38" t="n">
        <v>50</v>
      </c>
      <c r="E311" s="13" t="s">
        <v>845</v>
      </c>
      <c r="F311" s="38" t="n">
        <v>30</v>
      </c>
      <c r="G311" s="38" t="n">
        <v>50</v>
      </c>
      <c r="H311" s="22" t="n">
        <v>1</v>
      </c>
      <c r="I311" s="13" t="s">
        <v>846</v>
      </c>
    </row>
    <row r="312" customFormat="false" ht="15" hidden="false" customHeight="true" outlineLevel="0" collapsed="false">
      <c r="A312" s="13" t="s">
        <v>183</v>
      </c>
      <c r="B312" s="13" t="s">
        <v>841</v>
      </c>
      <c r="C312" s="38" t="n">
        <v>25</v>
      </c>
      <c r="D312" s="38" t="n">
        <v>40</v>
      </c>
      <c r="E312" s="13" t="s">
        <v>841</v>
      </c>
      <c r="F312" s="38" t="n">
        <v>25</v>
      </c>
      <c r="G312" s="38" t="n">
        <v>40</v>
      </c>
      <c r="H312" s="22" t="n">
        <v>1</v>
      </c>
      <c r="I312" s="13" t="s">
        <v>842</v>
      </c>
    </row>
    <row r="313" customFormat="false" ht="15" hidden="false" customHeight="true" outlineLevel="0" collapsed="false">
      <c r="A313" s="13" t="s">
        <v>185</v>
      </c>
      <c r="B313" s="13" t="s">
        <v>847</v>
      </c>
      <c r="C313" s="38" t="n">
        <v>22</v>
      </c>
      <c r="D313" s="38" t="n">
        <v>22</v>
      </c>
      <c r="E313" s="13" t="s">
        <v>847</v>
      </c>
      <c r="F313" s="38" t="n">
        <v>22</v>
      </c>
      <c r="G313" s="38" t="n">
        <v>22</v>
      </c>
      <c r="H313" s="22" t="n">
        <v>1</v>
      </c>
      <c r="I313" s="13" t="s">
        <v>848</v>
      </c>
    </row>
    <row r="314" customFormat="false" ht="15" hidden="false" customHeight="true" outlineLevel="0" collapsed="false">
      <c r="A314" s="13" t="s">
        <v>188</v>
      </c>
      <c r="B314" s="13" t="s">
        <v>847</v>
      </c>
      <c r="C314" s="38" t="n">
        <v>22</v>
      </c>
      <c r="D314" s="38" t="n">
        <v>22</v>
      </c>
      <c r="E314" s="13" t="s">
        <v>847</v>
      </c>
      <c r="F314" s="38" t="n">
        <v>22</v>
      </c>
      <c r="G314" s="38" t="n">
        <v>22</v>
      </c>
      <c r="H314" s="22" t="n">
        <v>1</v>
      </c>
      <c r="I314" s="13" t="s">
        <v>848</v>
      </c>
    </row>
    <row r="315" customFormat="false" ht="15" hidden="false" customHeight="true" outlineLevel="0" collapsed="false">
      <c r="A315" s="13" t="s">
        <v>190</v>
      </c>
      <c r="B315" s="13" t="s">
        <v>847</v>
      </c>
      <c r="C315" s="38" t="n">
        <v>22</v>
      </c>
      <c r="D315" s="38" t="n">
        <v>22</v>
      </c>
      <c r="E315" s="13" t="s">
        <v>847</v>
      </c>
      <c r="F315" s="38" t="n">
        <v>22</v>
      </c>
      <c r="G315" s="38" t="n">
        <v>22</v>
      </c>
      <c r="H315" s="22" t="n">
        <v>1</v>
      </c>
      <c r="I315" s="13" t="s">
        <v>848</v>
      </c>
    </row>
    <row r="316" customFormat="false" ht="15" hidden="false" customHeight="true" outlineLevel="0" collapsed="false">
      <c r="A316" s="13" t="s">
        <v>192</v>
      </c>
      <c r="B316" s="13" t="s">
        <v>847</v>
      </c>
      <c r="C316" s="38" t="n">
        <v>22</v>
      </c>
      <c r="D316" s="38" t="n">
        <v>22</v>
      </c>
      <c r="E316" s="13" t="s">
        <v>847</v>
      </c>
      <c r="F316" s="38" t="n">
        <v>22</v>
      </c>
      <c r="G316" s="38" t="n">
        <v>22</v>
      </c>
      <c r="H316" s="22" t="n">
        <v>1</v>
      </c>
      <c r="I316" s="13" t="s">
        <v>848</v>
      </c>
    </row>
    <row r="317" customFormat="false" ht="15" hidden="false" customHeight="true" outlineLevel="0" collapsed="false">
      <c r="A317" s="13" t="s">
        <v>194</v>
      </c>
      <c r="B317" s="13" t="s">
        <v>847</v>
      </c>
      <c r="C317" s="38" t="n">
        <v>22</v>
      </c>
      <c r="D317" s="38" t="n">
        <v>22</v>
      </c>
      <c r="E317" s="13" t="s">
        <v>847</v>
      </c>
      <c r="F317" s="38" t="n">
        <v>22</v>
      </c>
      <c r="G317" s="38" t="n">
        <v>22</v>
      </c>
      <c r="H317" s="22" t="n">
        <v>1</v>
      </c>
      <c r="I317" s="13" t="s">
        <v>848</v>
      </c>
    </row>
    <row r="318" customFormat="false" ht="15" hidden="false" customHeight="true" outlineLevel="0" collapsed="false">
      <c r="A318" s="13" t="s">
        <v>196</v>
      </c>
      <c r="B318" s="13" t="s">
        <v>847</v>
      </c>
      <c r="C318" s="38" t="n">
        <v>22</v>
      </c>
      <c r="D318" s="38" t="n">
        <v>22</v>
      </c>
      <c r="E318" s="13" t="s">
        <v>847</v>
      </c>
      <c r="F318" s="38" t="n">
        <v>22</v>
      </c>
      <c r="G318" s="38" t="n">
        <v>22</v>
      </c>
      <c r="H318" s="22" t="n">
        <v>1</v>
      </c>
      <c r="I318" s="13" t="s">
        <v>848</v>
      </c>
    </row>
    <row r="319" customFormat="false" ht="15" hidden="false" customHeight="true" outlineLevel="0" collapsed="false">
      <c r="A319" s="13" t="s">
        <v>198</v>
      </c>
      <c r="B319" s="13" t="s">
        <v>847</v>
      </c>
      <c r="C319" s="38" t="n">
        <v>22</v>
      </c>
      <c r="D319" s="38" t="n">
        <v>22</v>
      </c>
      <c r="E319" s="13" t="s">
        <v>847</v>
      </c>
      <c r="F319" s="38" t="n">
        <v>22</v>
      </c>
      <c r="G319" s="38" t="n">
        <v>22</v>
      </c>
      <c r="H319" s="22" t="n">
        <v>1</v>
      </c>
      <c r="I319" s="13" t="s">
        <v>848</v>
      </c>
    </row>
    <row r="320" customFormat="false" ht="15" hidden="false" customHeight="true" outlineLevel="0" collapsed="false">
      <c r="A320" s="13" t="s">
        <v>200</v>
      </c>
      <c r="B320" s="13" t="s">
        <v>847</v>
      </c>
      <c r="C320" s="38" t="n">
        <v>22</v>
      </c>
      <c r="D320" s="38" t="n">
        <v>22</v>
      </c>
      <c r="E320" s="13" t="s">
        <v>847</v>
      </c>
      <c r="F320" s="38" t="n">
        <v>22</v>
      </c>
      <c r="G320" s="38" t="n">
        <v>22</v>
      </c>
      <c r="H320" s="22" t="n">
        <v>1</v>
      </c>
      <c r="I320" s="13" t="s">
        <v>848</v>
      </c>
    </row>
    <row r="321" customFormat="false" ht="15" hidden="false" customHeight="true" outlineLevel="0" collapsed="false">
      <c r="A321" s="13" t="s">
        <v>202</v>
      </c>
      <c r="B321" s="13" t="s">
        <v>849</v>
      </c>
      <c r="C321" s="38" t="n">
        <v>25</v>
      </c>
      <c r="D321" s="38" t="n">
        <v>25</v>
      </c>
      <c r="E321" s="13" t="s">
        <v>849</v>
      </c>
      <c r="F321" s="38" t="n">
        <v>25</v>
      </c>
      <c r="G321" s="38" t="n">
        <v>25</v>
      </c>
      <c r="H321" s="22" t="n">
        <v>1</v>
      </c>
      <c r="I321" s="13" t="s">
        <v>850</v>
      </c>
    </row>
    <row r="322" customFormat="false" ht="15" hidden="false" customHeight="true" outlineLevel="0" collapsed="false">
      <c r="A322" s="13" t="s">
        <v>204</v>
      </c>
      <c r="B322" s="13" t="s">
        <v>851</v>
      </c>
      <c r="C322" s="38" t="n">
        <v>10.1</v>
      </c>
      <c r="D322" s="38" t="n">
        <v>10.1</v>
      </c>
      <c r="E322" s="13" t="s">
        <v>851</v>
      </c>
      <c r="F322" s="38" t="n">
        <v>10.1</v>
      </c>
      <c r="G322" s="38" t="n">
        <v>10.1</v>
      </c>
      <c r="H322" s="22" t="n">
        <v>1</v>
      </c>
      <c r="I322" s="13" t="s">
        <v>852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2026-10-26T16:59:00Z</dcterms:created>
  <dc:creator>openpyxl</dc:creator>
  <dc:description/>
  <dc:language>en-US</dc:language>
  <cp:lastModifiedBy/>
  <dcterms:modified xsi:type="dcterms:W3CDTF">2026-10-28T09:45:36Z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